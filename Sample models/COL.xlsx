
<file path=[Content_Types].xml><?xml version="1.0" encoding="utf-8"?>
<Types xmlns="http://schemas.openxmlformats.org/package/2006/content-types">
  <Default Extension="bin" ContentType="application/vnd.openxmlformats-officedocument.spreadsheetml.customProperty"/>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rinterSettings/printerSettings1.bin" ContentType="application/vnd.openxmlformats-officedocument.spreadsheetml.printerSettings"/>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printerSettings/printerSettings2.bin" ContentType="application/vnd.openxmlformats-officedocument.spreadsheetml.printerSettings"/>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extended-properties" Target="docProps/app.xml"/><Relationship Id="rId5" Type="http://schemas.openxmlformats.org/package/2006/relationships/metadata/core-properties" Target="docProps/core.xml"/><Relationship Id="rId4" Type="http://schemas.openxmlformats.org/package/2006/relationships/metadata/thumbnail" Target="docProps/thumbnail.emf"/></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never"/>
  <mc:AlternateContent xmlns:mc="http://schemas.openxmlformats.org/markup-compatibility/2006">
    <mc:Choice Requires="x15">
      <x15ac:absPath xmlns:x15ac="http://schemas.microsoft.com/office/spreadsheetml/2010/11/ac" url="\\firmwide.corp.gs.com\irroot\projects\au\Consumer\5 - PM\Coverage\3 - COL\1 - Models\1 - New Model\Portal Versions\"/>
    </mc:Choice>
  </mc:AlternateContent>
  <xr:revisionPtr revIDLastSave="0" documentId="13_ncr:1_{0FF6395B-9B36-47AC-ABAD-B6EF52A5C25D}" xr6:coauthVersionLast="47" xr6:coauthVersionMax="47" xr10:uidLastSave="{00000000-0000-0000-0000-000000000000}"/>
  <bookViews>
    <workbookView xWindow="18810" yWindow="690" windowWidth="27765" windowHeight="20970" firstSheet="1" activeTab="3" xr2:uid="{9CAB4B75-3F59-44EB-A541-3EF14C404C9F}"/>
  </bookViews>
  <sheets>
    <sheet name="__FDSCACHE__" sheetId="19" state="veryHidden" r:id="rId1"/>
    <sheet name="Cover" sheetId="12" r:id="rId2"/>
    <sheet name="Summary" sheetId="11" r:id="rId3"/>
    <sheet name="Model" sheetId="1" r:id="rId4"/>
    <sheet name="PL" sheetId="2" r:id="rId5"/>
    <sheet name="CF" sheetId="3" r:id="rId6"/>
    <sheet name="BS" sheetId="4" r:id="rId7"/>
    <sheet name="Quarterly" sheetId="14" r:id="rId8"/>
    <sheet name="Valuation" sheetId="17" r:id="rId9"/>
  </sheets>
  <definedNames>
    <definedName name="_bdm.FastTrackBookmark.11_3_2025_10_56_30_AM.edm" hidden="1">PL!$D$36</definedName>
    <definedName name="A_ALL_COL.AX">#REF!</definedName>
    <definedName name="Abnormals_PostTAX">#REF!</definedName>
    <definedName name="AEndDrinks_Sales">#REF!</definedName>
    <definedName name="Continuing_sales">#REF!</definedName>
    <definedName name="DCF_INF">#REF!</definedName>
    <definedName name="DPS">#REF!</definedName>
    <definedName name="E_ALL_COL.AX">#REF!</definedName>
    <definedName name="EPS_Pre_Goodwill">#REF!</definedName>
    <definedName name="L_ALL_COL.AX">#REF!</definedName>
    <definedName name="NET_PROFIT">#REF!</definedName>
    <definedName name="NPAT_post_Abn">#REF!</definedName>
    <definedName name="Sales_Aust_FL">#REF!</definedName>
    <definedName name="Sales_NZ_FL">#REF!</definedName>
    <definedName name="TOTAL_SALES">#REF!</definedName>
    <definedName name="V_ALL_COL.A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8" i="3" l="1"/>
  <c r="I50" i="3"/>
  <c r="J50" i="3"/>
  <c r="L50" i="3"/>
  <c r="M50" i="3"/>
  <c r="N50" i="3"/>
  <c r="O50" i="3"/>
  <c r="P50" i="3"/>
  <c r="K50" i="3"/>
  <c r="L48" i="3"/>
  <c r="M48" i="3"/>
  <c r="N48" i="3"/>
  <c r="O48" i="3"/>
  <c r="P48" i="3"/>
  <c r="J48" i="3"/>
  <c r="K48" i="3"/>
  <c r="L27" i="2"/>
  <c r="M27" i="2" s="1"/>
  <c r="N27" i="2" s="1"/>
  <c r="O27" i="2" s="1"/>
  <c r="P27" i="2" s="1"/>
  <c r="K136" i="1"/>
  <c r="F28" i="2" l="1"/>
  <c r="K22" i="2"/>
  <c r="D76" i="17" l="1"/>
  <c r="L29" i="2"/>
  <c r="M29" i="2" s="1"/>
  <c r="N29" i="2" s="1"/>
  <c r="O29" i="2" s="1"/>
  <c r="P29" i="2" s="1"/>
  <c r="Y44" i="14" l="1"/>
  <c r="AA44" i="14"/>
  <c r="AC44" i="14"/>
  <c r="AC34" i="14" s="1"/>
  <c r="AE44" i="14"/>
  <c r="AE34" i="14" s="1"/>
  <c r="AG44" i="14"/>
  <c r="AG34" i="14" s="1"/>
  <c r="AI44" i="14"/>
  <c r="AI34" i="14" s="1"/>
  <c r="AK44" i="14"/>
  <c r="AK34" i="14" s="1"/>
  <c r="AM44" i="14"/>
  <c r="AM34" i="14" s="1"/>
  <c r="G90" i="1"/>
  <c r="H90" i="1"/>
  <c r="I90" i="1"/>
  <c r="J90" i="1"/>
  <c r="K90" i="1"/>
  <c r="Y42" i="14"/>
  <c r="AA42" i="14"/>
  <c r="AC42" i="14"/>
  <c r="AE42" i="14"/>
  <c r="AG42" i="14"/>
  <c r="AI42" i="14"/>
  <c r="AK42" i="14"/>
  <c r="AM42" i="14"/>
  <c r="F88" i="1"/>
  <c r="G87" i="1"/>
  <c r="E86" i="1"/>
  <c r="F87" i="1" s="1"/>
  <c r="E90" i="1" l="1"/>
  <c r="F90" i="1"/>
  <c r="AI170" i="1" l="1"/>
  <c r="AG170" i="1"/>
  <c r="AE170" i="1"/>
  <c r="AC170" i="1"/>
  <c r="AA167" i="1"/>
  <c r="K170" i="1"/>
  <c r="J170" i="1"/>
  <c r="I170" i="1"/>
  <c r="H170" i="1"/>
  <c r="V176" i="1"/>
  <c r="X176" i="1"/>
  <c r="V174" i="1"/>
  <c r="X174" i="1"/>
  <c r="Z176" i="1"/>
  <c r="AB176" i="1"/>
  <c r="AD176" i="1"/>
  <c r="AF176" i="1"/>
  <c r="AF174" i="1"/>
  <c r="AF172" i="1"/>
  <c r="AF169" i="1"/>
  <c r="AD174" i="1"/>
  <c r="AD169" i="1"/>
  <c r="AB174" i="1"/>
  <c r="AB169" i="1"/>
  <c r="Y169" i="1"/>
  <c r="F169" i="1"/>
  <c r="G170" i="1" s="1"/>
  <c r="AF170" i="1" l="1"/>
  <c r="Z169" i="1"/>
  <c r="AB170" i="1" s="1"/>
  <c r="AD170" i="1"/>
  <c r="AA170" i="1"/>
  <c r="Y174" i="1"/>
  <c r="Z174" i="1" s="1"/>
  <c r="AK169" i="1"/>
  <c r="AL176" i="1"/>
  <c r="AH176" i="1"/>
  <c r="AH174" i="1"/>
  <c r="AH172" i="1"/>
  <c r="AH169" i="1"/>
  <c r="AH170" i="1" s="1"/>
  <c r="AJ169" i="1"/>
  <c r="AJ176" i="1"/>
  <c r="AJ174" i="1"/>
  <c r="AJ172" i="1"/>
  <c r="L169" i="1"/>
  <c r="M169" i="1" s="1"/>
  <c r="L174" i="1"/>
  <c r="M174" i="1" s="1"/>
  <c r="N174" i="1" s="1"/>
  <c r="O174" i="1" s="1"/>
  <c r="P174" i="1" s="1"/>
  <c r="M183" i="1"/>
  <c r="N183" i="1" s="1"/>
  <c r="O183" i="1" s="1"/>
  <c r="P183" i="1" s="1"/>
  <c r="BO4" i="14"/>
  <c r="BN4" i="14"/>
  <c r="BM4" i="14"/>
  <c r="BL4" i="14"/>
  <c r="BK4" i="14"/>
  <c r="BJ4" i="14"/>
  <c r="L133" i="1"/>
  <c r="Y55" i="1"/>
  <c r="Y56" i="1" s="1"/>
  <c r="BZ23" i="14"/>
  <c r="BZ22" i="14"/>
  <c r="L26" i="1" s="1"/>
  <c r="BS22" i="14"/>
  <c r="BT22" i="14"/>
  <c r="BU22" i="14"/>
  <c r="BV22" i="14"/>
  <c r="BW22" i="14"/>
  <c r="BX22" i="14"/>
  <c r="BY22" i="14"/>
  <c r="BS23" i="14"/>
  <c r="BT23" i="14"/>
  <c r="BU23" i="14"/>
  <c r="BV23" i="14"/>
  <c r="BW23" i="14"/>
  <c r="BX23" i="14"/>
  <c r="BY23" i="14"/>
  <c r="BR23" i="14"/>
  <c r="BR22" i="14"/>
  <c r="BN23" i="14"/>
  <c r="BO23" i="14"/>
  <c r="BO22" i="14"/>
  <c r="BN22" i="14"/>
  <c r="AO8" i="14"/>
  <c r="AO17" i="14"/>
  <c r="AO7" i="14" s="1"/>
  <c r="AO16" i="14"/>
  <c r="K16" i="14"/>
  <c r="K26" i="14" s="1"/>
  <c r="M16" i="14"/>
  <c r="M26" i="14" s="1"/>
  <c r="O16" i="14"/>
  <c r="O26" i="14" s="1"/>
  <c r="Q16" i="14"/>
  <c r="Q26" i="14" s="1"/>
  <c r="S16" i="14"/>
  <c r="S26" i="14" s="1"/>
  <c r="U16" i="14"/>
  <c r="U26" i="14" s="1"/>
  <c r="W16" i="14"/>
  <c r="W26" i="14" s="1"/>
  <c r="Y16" i="14"/>
  <c r="Y26" i="14" s="1"/>
  <c r="AA16" i="14"/>
  <c r="AA26" i="14" s="1"/>
  <c r="AC16" i="14"/>
  <c r="AC26" i="14" s="1"/>
  <c r="K17" i="14"/>
  <c r="K27" i="14" s="1"/>
  <c r="M17" i="14"/>
  <c r="M27" i="14" s="1"/>
  <c r="O17" i="14"/>
  <c r="O27" i="14" s="1"/>
  <c r="Q17" i="14"/>
  <c r="Q27" i="14" s="1"/>
  <c r="S17" i="14"/>
  <c r="S27" i="14" s="1"/>
  <c r="U17" i="14"/>
  <c r="U27" i="14" s="1"/>
  <c r="W17" i="14"/>
  <c r="W27" i="14" s="1"/>
  <c r="Y17" i="14"/>
  <c r="Y27" i="14" s="1"/>
  <c r="AA17" i="14"/>
  <c r="AA27" i="14" s="1"/>
  <c r="AC17" i="14"/>
  <c r="AC27" i="14" s="1"/>
  <c r="AM17" i="14"/>
  <c r="AM27" i="14" s="1"/>
  <c r="AK17" i="14"/>
  <c r="AK27" i="14" s="1"/>
  <c r="AI17" i="14"/>
  <c r="AI27" i="14" s="1"/>
  <c r="AG17" i="14"/>
  <c r="AG27" i="14" s="1"/>
  <c r="AE17" i="14"/>
  <c r="AE27" i="14" s="1"/>
  <c r="AM16" i="14"/>
  <c r="AM26" i="14" s="1"/>
  <c r="AK16" i="14"/>
  <c r="AK26" i="14" s="1"/>
  <c r="AI16" i="14"/>
  <c r="AI26" i="14" s="1"/>
  <c r="AG16" i="14"/>
  <c r="AG26" i="14" s="1"/>
  <c r="AE16" i="14"/>
  <c r="AE26" i="14" s="1"/>
  <c r="AM64" i="14"/>
  <c r="AK64" i="14"/>
  <c r="AI64" i="14"/>
  <c r="AG64" i="14"/>
  <c r="AE64" i="14"/>
  <c r="AC64" i="14"/>
  <c r="AA64" i="14"/>
  <c r="Y64" i="14"/>
  <c r="AK166" i="1" l="1"/>
  <c r="AK167" i="1" s="1"/>
  <c r="N169" i="1"/>
  <c r="O169" i="1" s="1"/>
  <c r="P169" i="1" s="1"/>
  <c r="P166" i="1" s="1"/>
  <c r="M166" i="1"/>
  <c r="AO6" i="14"/>
  <c r="AO9" i="14" s="1"/>
  <c r="AJ170" i="1"/>
  <c r="AL169" i="1"/>
  <c r="AL174" i="1"/>
  <c r="AH65" i="4"/>
  <c r="AF65" i="4"/>
  <c r="AD65" i="4"/>
  <c r="AB65" i="4"/>
  <c r="Z65" i="4"/>
  <c r="X65" i="4"/>
  <c r="V65" i="4"/>
  <c r="T65" i="4"/>
  <c r="AH60" i="4"/>
  <c r="AF60" i="4"/>
  <c r="AD60" i="4"/>
  <c r="AB60" i="4"/>
  <c r="Z60" i="4"/>
  <c r="X60" i="4"/>
  <c r="V60" i="4"/>
  <c r="T60" i="4"/>
  <c r="U37" i="3"/>
  <c r="N166" i="1" l="1"/>
  <c r="N167" i="1" s="1"/>
  <c r="O166" i="1"/>
  <c r="P167" i="1" s="1"/>
  <c r="L16" i="4"/>
  <c r="M69" i="4"/>
  <c r="N69" i="4" s="1"/>
  <c r="O69" i="4" s="1"/>
  <c r="P69" i="4" s="1"/>
  <c r="L33" i="4"/>
  <c r="E65" i="4"/>
  <c r="F65" i="4"/>
  <c r="G65" i="4"/>
  <c r="H65" i="4"/>
  <c r="I65" i="4"/>
  <c r="J65" i="4"/>
  <c r="K65" i="4"/>
  <c r="D65" i="4"/>
  <c r="L28" i="4"/>
  <c r="M28" i="4" s="1"/>
  <c r="N28" i="4" s="1"/>
  <c r="O28" i="4" s="1"/>
  <c r="P28" i="4" s="1"/>
  <c r="M24" i="3"/>
  <c r="N24" i="3"/>
  <c r="O24" i="3"/>
  <c r="P24" i="3"/>
  <c r="L24" i="3"/>
  <c r="M189" i="1"/>
  <c r="N189" i="1"/>
  <c r="O189" i="1"/>
  <c r="P189" i="1"/>
  <c r="L189" i="1"/>
  <c r="M23" i="3"/>
  <c r="N23" i="3"/>
  <c r="O23" i="3"/>
  <c r="P23" i="3"/>
  <c r="L23" i="3"/>
  <c r="L33" i="3"/>
  <c r="AH44" i="4"/>
  <c r="AF44" i="4"/>
  <c r="AD44" i="4"/>
  <c r="AB44" i="4"/>
  <c r="Z44" i="4"/>
  <c r="X44" i="4"/>
  <c r="V44" i="4"/>
  <c r="T44" i="4"/>
  <c r="L26" i="4"/>
  <c r="E44" i="4"/>
  <c r="F44" i="4"/>
  <c r="G44" i="4"/>
  <c r="H44" i="4"/>
  <c r="I44" i="4"/>
  <c r="J44" i="4"/>
  <c r="K44" i="4"/>
  <c r="D44" i="4"/>
  <c r="L11" i="4"/>
  <c r="M11" i="4" s="1"/>
  <c r="N11" i="4" s="1"/>
  <c r="O11" i="4" s="1"/>
  <c r="P11" i="4" s="1"/>
  <c r="L38" i="2"/>
  <c r="E44" i="3"/>
  <c r="F44" i="3"/>
  <c r="G44" i="3"/>
  <c r="H44" i="3"/>
  <c r="I44" i="3"/>
  <c r="J44" i="3"/>
  <c r="K44" i="3"/>
  <c r="D44" i="3"/>
  <c r="D71" i="17"/>
  <c r="D75" i="17" s="1"/>
  <c r="D64" i="17"/>
  <c r="E23" i="17"/>
  <c r="C23" i="17"/>
  <c r="C22" i="17"/>
  <c r="C18" i="17"/>
  <c r="C17" i="17"/>
  <c r="C16" i="17"/>
  <c r="C15" i="17"/>
  <c r="C14" i="17"/>
  <c r="C13" i="17"/>
  <c r="C12" i="17"/>
  <c r="AX22" i="14"/>
  <c r="AX26" i="14" s="1"/>
  <c r="AZ22" i="14"/>
  <c r="BA22" i="14"/>
  <c r="BB22" i="14"/>
  <c r="BC22" i="14"/>
  <c r="BD22" i="14"/>
  <c r="BE22" i="14"/>
  <c r="BF22" i="14"/>
  <c r="BG22" i="14"/>
  <c r="BH22" i="14"/>
  <c r="BI22" i="14"/>
  <c r="BJ22" i="14"/>
  <c r="BK22" i="14"/>
  <c r="AH22" i="14" s="1"/>
  <c r="BL22" i="14"/>
  <c r="BM22" i="14"/>
  <c r="AX23" i="14"/>
  <c r="AX27" i="14" s="1"/>
  <c r="AZ23" i="14"/>
  <c r="AZ27" i="14" s="1"/>
  <c r="BA23" i="14"/>
  <c r="BA27" i="14" s="1"/>
  <c r="BB23" i="14"/>
  <c r="BB27" i="14" s="1"/>
  <c r="BC23" i="14"/>
  <c r="BC27" i="14" s="1"/>
  <c r="BD23" i="14"/>
  <c r="BD27" i="14" s="1"/>
  <c r="BE23" i="14"/>
  <c r="BF23" i="14"/>
  <c r="BG23" i="14"/>
  <c r="BH23" i="14"/>
  <c r="BI23" i="14"/>
  <c r="BJ23" i="14"/>
  <c r="BK23" i="14"/>
  <c r="BL23" i="14"/>
  <c r="BM23" i="14"/>
  <c r="M38" i="2" l="1"/>
  <c r="M33" i="3"/>
  <c r="M26" i="4"/>
  <c r="M16" i="4"/>
  <c r="O167" i="1"/>
  <c r="L34" i="4"/>
  <c r="L65" i="4"/>
  <c r="M33" i="4"/>
  <c r="E63" i="17"/>
  <c r="F62" i="17"/>
  <c r="F63" i="17" s="1"/>
  <c r="N38" i="2" l="1"/>
  <c r="M34" i="4"/>
  <c r="N33" i="3"/>
  <c r="N26" i="4"/>
  <c r="N33" i="4"/>
  <c r="N16" i="4"/>
  <c r="G62" i="17"/>
  <c r="AD153" i="1"/>
  <c r="O38" i="2" l="1"/>
  <c r="O26" i="4"/>
  <c r="O33" i="3"/>
  <c r="O33" i="4"/>
  <c r="O16" i="4"/>
  <c r="N34" i="4"/>
  <c r="H62" i="17"/>
  <c r="G63" i="17"/>
  <c r="AI8" i="2"/>
  <c r="AG8" i="2"/>
  <c r="AE8" i="2"/>
  <c r="AC8" i="2"/>
  <c r="AA8" i="2"/>
  <c r="Y8" i="2"/>
  <c r="W8" i="2"/>
  <c r="U8" i="2"/>
  <c r="AJ12" i="1"/>
  <c r="AH12" i="1"/>
  <c r="AF12" i="1"/>
  <c r="AD12" i="1"/>
  <c r="AB12" i="1"/>
  <c r="Z12" i="1"/>
  <c r="X12" i="1"/>
  <c r="X40" i="1"/>
  <c r="V12" i="1"/>
  <c r="M44" i="3"/>
  <c r="O44" i="3"/>
  <c r="P44" i="3"/>
  <c r="P38" i="2" l="1"/>
  <c r="P33" i="4"/>
  <c r="O34" i="4"/>
  <c r="P33" i="3"/>
  <c r="P16" i="4"/>
  <c r="P26" i="4"/>
  <c r="N44" i="3"/>
  <c r="L44" i="3"/>
  <c r="I62" i="17"/>
  <c r="H63" i="17"/>
  <c r="BY63" i="14"/>
  <c r="BX63" i="14"/>
  <c r="BW63" i="14"/>
  <c r="BV63" i="14"/>
  <c r="BY60" i="14"/>
  <c r="BX60" i="14"/>
  <c r="BW60" i="14"/>
  <c r="BV60" i="14"/>
  <c r="BU60" i="14"/>
  <c r="BT60" i="14"/>
  <c r="BS60" i="14"/>
  <c r="BS38" i="14"/>
  <c r="BT38" i="14"/>
  <c r="BU38" i="14"/>
  <c r="BV38" i="14"/>
  <c r="BW38" i="14"/>
  <c r="BX38" i="14"/>
  <c r="BY38" i="14"/>
  <c r="BY49" i="14"/>
  <c r="BX49" i="14"/>
  <c r="BW49" i="14"/>
  <c r="BV49" i="14"/>
  <c r="BU49" i="14"/>
  <c r="BT49" i="14"/>
  <c r="BS49" i="14"/>
  <c r="BU41" i="14"/>
  <c r="BV41" i="14"/>
  <c r="BW41" i="14"/>
  <c r="BX41" i="14"/>
  <c r="BY41" i="14"/>
  <c r="BY32" i="14"/>
  <c r="BX32" i="14"/>
  <c r="BQ9" i="14"/>
  <c r="BM60" i="14"/>
  <c r="AL60" i="14" s="1"/>
  <c r="BL60" i="14"/>
  <c r="AJ60" i="14" s="1"/>
  <c r="BK60" i="14"/>
  <c r="AH60" i="14" s="1"/>
  <c r="BJ60" i="14"/>
  <c r="AF60" i="14" s="1"/>
  <c r="BI60" i="14"/>
  <c r="AD60" i="14" s="1"/>
  <c r="BH60" i="14"/>
  <c r="AB60" i="14" s="1"/>
  <c r="BG60" i="14"/>
  <c r="Z60" i="14" s="1"/>
  <c r="BF60" i="14"/>
  <c r="X60" i="14" s="1"/>
  <c r="BE60" i="14"/>
  <c r="V60" i="14" s="1"/>
  <c r="BD60" i="14"/>
  <c r="T60" i="14" s="1"/>
  <c r="BC60" i="14"/>
  <c r="R60" i="14" s="1"/>
  <c r="BB60" i="14"/>
  <c r="P60" i="14" s="1"/>
  <c r="BA60" i="14"/>
  <c r="N60" i="14" s="1"/>
  <c r="AZ60" i="14"/>
  <c r="AX38" i="14"/>
  <c r="AZ38" i="14"/>
  <c r="BA38" i="14"/>
  <c r="N38" i="14" s="1"/>
  <c r="BB38" i="14"/>
  <c r="P38" i="14" s="1"/>
  <c r="BC38" i="14"/>
  <c r="R38" i="14" s="1"/>
  <c r="BD38" i="14"/>
  <c r="T38" i="14" s="1"/>
  <c r="BM38" i="14"/>
  <c r="AL38" i="14" s="1"/>
  <c r="BL38" i="14"/>
  <c r="AJ38" i="14" s="1"/>
  <c r="BK38" i="14"/>
  <c r="AH38" i="14" s="1"/>
  <c r="BJ38" i="14"/>
  <c r="AF38" i="14" s="1"/>
  <c r="BI38" i="14"/>
  <c r="AD38" i="14" s="1"/>
  <c r="BH38" i="14"/>
  <c r="AB38" i="14" s="1"/>
  <c r="BG38" i="14"/>
  <c r="Z38" i="14" s="1"/>
  <c r="BF38" i="14"/>
  <c r="X38" i="14" s="1"/>
  <c r="BE38" i="14"/>
  <c r="V38" i="14" s="1"/>
  <c r="BL41" i="14"/>
  <c r="AJ41" i="14" s="1"/>
  <c r="BJ41" i="14"/>
  <c r="AF41" i="14" s="1"/>
  <c r="BH41" i="14"/>
  <c r="AB41" i="14" s="1"/>
  <c r="BF41" i="14"/>
  <c r="X41" i="14" s="1"/>
  <c r="BH63" i="14"/>
  <c r="AB63" i="14" s="1"/>
  <c r="BJ63" i="14"/>
  <c r="BL63" i="14"/>
  <c r="BF63" i="14"/>
  <c r="AF32" i="14"/>
  <c r="AH32" i="14"/>
  <c r="AJ32" i="14"/>
  <c r="P49" i="14"/>
  <c r="P47" i="14"/>
  <c r="T49" i="14"/>
  <c r="T47" i="14"/>
  <c r="X49" i="14"/>
  <c r="X47" i="14"/>
  <c r="Z49" i="14"/>
  <c r="Z47" i="14"/>
  <c r="AL49" i="14"/>
  <c r="AL48" i="14"/>
  <c r="AL47" i="14"/>
  <c r="AB49" i="14"/>
  <c r="AB47" i="14"/>
  <c r="AD49" i="14"/>
  <c r="AD48" i="14"/>
  <c r="AD47" i="14"/>
  <c r="AF49" i="14"/>
  <c r="AF48" i="14"/>
  <c r="AF47" i="14"/>
  <c r="AH49" i="14"/>
  <c r="AH48" i="14"/>
  <c r="AH47" i="14"/>
  <c r="AJ49" i="14"/>
  <c r="AJ48" i="14"/>
  <c r="AJ47" i="14"/>
  <c r="AG18" i="14"/>
  <c r="AI18" i="14"/>
  <c r="AK18" i="14"/>
  <c r="AM18" i="14"/>
  <c r="Q31" i="14"/>
  <c r="Y56" i="14"/>
  <c r="V63" i="14"/>
  <c r="V114" i="1"/>
  <c r="V109" i="1"/>
  <c r="X114" i="1"/>
  <c r="X109" i="1"/>
  <c r="AB114" i="1"/>
  <c r="AB109" i="1"/>
  <c r="Z114" i="1"/>
  <c r="Z109" i="1"/>
  <c r="V71" i="1"/>
  <c r="AY38" i="14" s="1"/>
  <c r="V95" i="1"/>
  <c r="AY23" i="14" s="1"/>
  <c r="AY27" i="14" s="1"/>
  <c r="V26" i="1"/>
  <c r="M56" i="14"/>
  <c r="O56" i="14"/>
  <c r="Q56" i="14"/>
  <c r="K57" i="14"/>
  <c r="M57" i="14"/>
  <c r="O57" i="14"/>
  <c r="Q57" i="14"/>
  <c r="K35" i="14"/>
  <c r="K13" i="14"/>
  <c r="K56" i="14" s="1"/>
  <c r="K12" i="14"/>
  <c r="K31" i="14" s="1"/>
  <c r="M31" i="14"/>
  <c r="O31" i="14"/>
  <c r="M35" i="14"/>
  <c r="O35" i="14"/>
  <c r="Q35" i="14"/>
  <c r="S35" i="14"/>
  <c r="U35" i="14"/>
  <c r="V35" i="14"/>
  <c r="W35" i="14"/>
  <c r="Y35" i="14"/>
  <c r="Z35" i="14"/>
  <c r="AA35" i="14"/>
  <c r="AC35" i="14"/>
  <c r="AE35" i="14"/>
  <c r="AG35" i="14"/>
  <c r="AI35" i="14"/>
  <c r="AK35" i="14"/>
  <c r="AL35" i="14"/>
  <c r="AM35" i="14"/>
  <c r="S31" i="14"/>
  <c r="U31" i="14"/>
  <c r="W31" i="14"/>
  <c r="Y31" i="14"/>
  <c r="Z31" i="14"/>
  <c r="AA31" i="14"/>
  <c r="AB31" i="14"/>
  <c r="AC31" i="14"/>
  <c r="AC33" i="14" s="1"/>
  <c r="AE31" i="14"/>
  <c r="AE33" i="14" s="1"/>
  <c r="AG31" i="14"/>
  <c r="AG33" i="14" s="1"/>
  <c r="AH31" i="14"/>
  <c r="AI31" i="14"/>
  <c r="AI33" i="14" s="1"/>
  <c r="AK31" i="14"/>
  <c r="AK33" i="14" s="1"/>
  <c r="AL31" i="14"/>
  <c r="AL33" i="14" s="1"/>
  <c r="AM31" i="14"/>
  <c r="AM33" i="14" s="1"/>
  <c r="S57" i="14"/>
  <c r="U57" i="14"/>
  <c r="W57" i="14"/>
  <c r="Y57" i="14"/>
  <c r="Z57" i="14"/>
  <c r="AA57" i="14"/>
  <c r="AC57" i="14"/>
  <c r="AE57" i="14"/>
  <c r="AG57" i="14"/>
  <c r="AI57" i="14"/>
  <c r="AK57" i="14"/>
  <c r="AL57" i="14"/>
  <c r="AM57" i="14"/>
  <c r="S56" i="14"/>
  <c r="U56" i="14"/>
  <c r="W56" i="14"/>
  <c r="Z56" i="14"/>
  <c r="AA56" i="14"/>
  <c r="AC56" i="14"/>
  <c r="AE56" i="14"/>
  <c r="AG56" i="14"/>
  <c r="AH56" i="14"/>
  <c r="AI56" i="14"/>
  <c r="AK56" i="14"/>
  <c r="AL56" i="14"/>
  <c r="AM56" i="14"/>
  <c r="W9" i="14"/>
  <c r="Y9" i="14"/>
  <c r="AA9" i="14"/>
  <c r="AC9" i="14"/>
  <c r="AE9" i="14"/>
  <c r="AG9" i="14"/>
  <c r="AI9" i="14"/>
  <c r="AK9" i="14"/>
  <c r="AO19" i="14" s="1"/>
  <c r="AM9" i="14"/>
  <c r="I9" i="14"/>
  <c r="K9" i="14"/>
  <c r="L9" i="14"/>
  <c r="M9" i="14"/>
  <c r="O9" i="14"/>
  <c r="Q9" i="14"/>
  <c r="S9" i="14"/>
  <c r="U9" i="14"/>
  <c r="G9" i="14"/>
  <c r="P34" i="4" l="1"/>
  <c r="AY22" i="14"/>
  <c r="AY26" i="14" s="1"/>
  <c r="AH33" i="14"/>
  <c r="AB42" i="14"/>
  <c r="AF42" i="14"/>
  <c r="AJ42" i="14"/>
  <c r="AG58" i="14"/>
  <c r="AK58" i="14"/>
  <c r="W36" i="14"/>
  <c r="J62" i="17"/>
  <c r="I63" i="17"/>
  <c r="AA58" i="14"/>
  <c r="AE58" i="14"/>
  <c r="Z58" i="14"/>
  <c r="S58" i="14"/>
  <c r="BM35" i="14"/>
  <c r="AL58" i="14"/>
  <c r="BG35" i="14"/>
  <c r="O36" i="14"/>
  <c r="M36" i="14"/>
  <c r="O58" i="14"/>
  <c r="AG19" i="14"/>
  <c r="U19" i="14"/>
  <c r="S19" i="14"/>
  <c r="AK36" i="14"/>
  <c r="AE36" i="14"/>
  <c r="M58" i="14"/>
  <c r="K19" i="14"/>
  <c r="M19" i="14"/>
  <c r="AI19" i="14"/>
  <c r="W19" i="14"/>
  <c r="AI36" i="14"/>
  <c r="AA36" i="14"/>
  <c r="AM36" i="14"/>
  <c r="AC36" i="14"/>
  <c r="BM31" i="14"/>
  <c r="O19" i="14"/>
  <c r="BK31" i="14"/>
  <c r="Q19" i="14"/>
  <c r="AM19" i="14"/>
  <c r="AA19" i="14"/>
  <c r="K36" i="14"/>
  <c r="BY64" i="14"/>
  <c r="K58" i="14"/>
  <c r="AK19" i="14"/>
  <c r="Y19" i="14"/>
  <c r="U36" i="14"/>
  <c r="AM58" i="14"/>
  <c r="BG31" i="14"/>
  <c r="AC19" i="14"/>
  <c r="Y58" i="14"/>
  <c r="Q36" i="14"/>
  <c r="BE35" i="14"/>
  <c r="AG36" i="14"/>
  <c r="Q58" i="14"/>
  <c r="BW64" i="14"/>
  <c r="BX64" i="14"/>
  <c r="BW42" i="14"/>
  <c r="BX42" i="14"/>
  <c r="BV42" i="14"/>
  <c r="BY42" i="14"/>
  <c r="BL42" i="14"/>
  <c r="BJ42" i="14"/>
  <c r="BH42" i="14"/>
  <c r="BJ64" i="14"/>
  <c r="AF63" i="14"/>
  <c r="AF64" i="14" s="1"/>
  <c r="BH64" i="14"/>
  <c r="BL64" i="14"/>
  <c r="X63" i="14"/>
  <c r="AB64" i="14" s="1"/>
  <c r="AJ63" i="14"/>
  <c r="Y36" i="14"/>
  <c r="AE19" i="14"/>
  <c r="Z36" i="14"/>
  <c r="BH31" i="14"/>
  <c r="AL36" i="14"/>
  <c r="AI58" i="14"/>
  <c r="W58" i="14"/>
  <c r="AC58" i="14"/>
  <c r="U58" i="14"/>
  <c r="S36" i="14"/>
  <c r="L95" i="1"/>
  <c r="AJ64" i="14" l="1"/>
  <c r="K62" i="17"/>
  <c r="J63" i="17"/>
  <c r="BM36" i="14"/>
  <c r="BG36" i="14"/>
  <c r="BM57" i="14"/>
  <c r="BG57" i="14"/>
  <c r="AY47" i="14"/>
  <c r="AX47" i="14"/>
  <c r="BE43" i="14"/>
  <c r="AI190" i="1"/>
  <c r="AI184" i="1"/>
  <c r="U10" i="2"/>
  <c r="Z166" i="1"/>
  <c r="Z19" i="1" s="1"/>
  <c r="V166" i="1"/>
  <c r="V19" i="1" s="1"/>
  <c r="X166" i="1"/>
  <c r="X19" i="1" s="1"/>
  <c r="V153" i="1"/>
  <c r="X153" i="1"/>
  <c r="Z153" i="1"/>
  <c r="AB153" i="1"/>
  <c r="U158" i="1"/>
  <c r="W158" i="1"/>
  <c r="AG158" i="1"/>
  <c r="W157" i="1"/>
  <c r="Y157" i="1"/>
  <c r="AA157" i="1"/>
  <c r="AC157" i="1"/>
  <c r="AB156" i="1"/>
  <c r="Z156" i="1"/>
  <c r="X156" i="1"/>
  <c r="V156" i="1"/>
  <c r="AC149" i="1"/>
  <c r="AE148" i="1"/>
  <c r="AB147" i="1"/>
  <c r="AF147" i="1"/>
  <c r="BI63" i="14" s="1"/>
  <c r="AD147" i="1"/>
  <c r="BG63" i="14" s="1"/>
  <c r="W33" i="1"/>
  <c r="Y33" i="1"/>
  <c r="AA33" i="1"/>
  <c r="AC33" i="1"/>
  <c r="AE33" i="1"/>
  <c r="AK19" i="1"/>
  <c r="W19" i="1"/>
  <c r="Y19" i="1"/>
  <c r="AA19" i="1"/>
  <c r="AC19" i="1"/>
  <c r="AE19" i="1"/>
  <c r="AG19" i="1"/>
  <c r="AI19" i="1"/>
  <c r="W17" i="1"/>
  <c r="Y17" i="1"/>
  <c r="AA17" i="1"/>
  <c r="AC17" i="1"/>
  <c r="AE17" i="1"/>
  <c r="AG17" i="1"/>
  <c r="AI17" i="1"/>
  <c r="AB18" i="1"/>
  <c r="Z18" i="1"/>
  <c r="X18" i="1"/>
  <c r="V18" i="1"/>
  <c r="AB9" i="1"/>
  <c r="Z9" i="1"/>
  <c r="X9" i="1"/>
  <c r="V9" i="1"/>
  <c r="AH77" i="2"/>
  <c r="AF77" i="2"/>
  <c r="AD77" i="2"/>
  <c r="AB77" i="2"/>
  <c r="Z77" i="2"/>
  <c r="X77" i="2"/>
  <c r="V77" i="2"/>
  <c r="T77" i="2"/>
  <c r="L62" i="17" l="1"/>
  <c r="K63" i="17"/>
  <c r="AB157" i="1"/>
  <c r="AD63" i="14"/>
  <c r="BI64" i="14"/>
  <c r="Z63" i="14"/>
  <c r="Z64" i="14" s="1"/>
  <c r="V158" i="1"/>
  <c r="BK56" i="14"/>
  <c r="BG56" i="14"/>
  <c r="BM56" i="14"/>
  <c r="BX48" i="14"/>
  <c r="BX47" i="14"/>
  <c r="BS47" i="14"/>
  <c r="BV47" i="14"/>
  <c r="BY47" i="14"/>
  <c r="W159" i="1"/>
  <c r="BU43" i="14"/>
  <c r="BT47" i="14"/>
  <c r="BR47" i="14"/>
  <c r="AF148" i="1"/>
  <c r="Z157" i="1"/>
  <c r="X157" i="1"/>
  <c r="AG159" i="1"/>
  <c r="BU47" i="14"/>
  <c r="BW47" i="14"/>
  <c r="BY48" i="14"/>
  <c r="X158" i="1"/>
  <c r="AD64" i="14" l="1"/>
  <c r="M62" i="17"/>
  <c r="L63" i="17"/>
  <c r="BG58" i="14"/>
  <c r="BM58" i="14"/>
  <c r="X159" i="1"/>
  <c r="N62" i="17" l="1"/>
  <c r="M63" i="17"/>
  <c r="U161" i="1"/>
  <c r="W161" i="1"/>
  <c r="Y161" i="1"/>
  <c r="AA161" i="1"/>
  <c r="AC161" i="1"/>
  <c r="AE161" i="1"/>
  <c r="AG161" i="1"/>
  <c r="AI161" i="1"/>
  <c r="U19" i="1"/>
  <c r="U17" i="1"/>
  <c r="C10" i="1"/>
  <c r="BQ8" i="14" s="1"/>
  <c r="D10" i="1"/>
  <c r="BR8" i="14" s="1"/>
  <c r="E10" i="1"/>
  <c r="BS8" i="14" s="1"/>
  <c r="F10" i="1"/>
  <c r="BT8" i="14" s="1"/>
  <c r="G10" i="1"/>
  <c r="BU8" i="14" s="1"/>
  <c r="H10" i="1"/>
  <c r="BV8" i="14" s="1"/>
  <c r="U10" i="1"/>
  <c r="AX8" i="14" s="1"/>
  <c r="H8" i="14" s="1"/>
  <c r="C13" i="1"/>
  <c r="N63" i="17" l="1"/>
  <c r="AI68" i="1"/>
  <c r="AG68" i="1"/>
  <c r="AE68" i="1"/>
  <c r="W68" i="1"/>
  <c r="H8" i="1"/>
  <c r="BV7" i="14" s="1"/>
  <c r="AI32" i="3"/>
  <c r="AI33" i="3"/>
  <c r="AI34" i="3"/>
  <c r="AI35" i="3"/>
  <c r="AI36" i="3"/>
  <c r="AI37" i="3"/>
  <c r="AG32" i="3"/>
  <c r="AG33" i="3"/>
  <c r="AG34" i="3"/>
  <c r="AG35" i="3"/>
  <c r="AG36" i="3"/>
  <c r="AG37" i="3"/>
  <c r="AE32" i="3"/>
  <c r="AE33" i="3"/>
  <c r="AE34" i="3"/>
  <c r="AE35" i="3"/>
  <c r="AE36" i="3"/>
  <c r="AE37" i="3"/>
  <c r="AC32" i="3"/>
  <c r="AC33" i="3"/>
  <c r="AC34" i="3"/>
  <c r="AC35" i="3"/>
  <c r="AC36" i="3"/>
  <c r="AC37" i="3"/>
  <c r="AA32" i="3"/>
  <c r="AA33" i="3"/>
  <c r="AA34" i="3"/>
  <c r="AA35" i="3"/>
  <c r="AA36" i="3"/>
  <c r="AA37" i="3"/>
  <c r="Y32" i="3"/>
  <c r="Y33" i="3"/>
  <c r="Y34" i="3"/>
  <c r="Y35" i="3"/>
  <c r="Y36" i="3"/>
  <c r="Y37" i="3"/>
  <c r="W33" i="3"/>
  <c r="W34" i="3"/>
  <c r="W35" i="3"/>
  <c r="W36" i="3"/>
  <c r="W16" i="3"/>
  <c r="W17" i="3"/>
  <c r="W18" i="3"/>
  <c r="W19" i="3"/>
  <c r="U32" i="3"/>
  <c r="U33" i="3"/>
  <c r="U34" i="3"/>
  <c r="U35" i="3"/>
  <c r="U36" i="3"/>
  <c r="W23" i="3"/>
  <c r="U24" i="3"/>
  <c r="U25" i="3"/>
  <c r="U26" i="3"/>
  <c r="U27" i="3"/>
  <c r="U28" i="3"/>
  <c r="U16" i="3"/>
  <c r="U17" i="3"/>
  <c r="U18" i="3"/>
  <c r="U19" i="3"/>
  <c r="U20" i="3"/>
  <c r="T38" i="3"/>
  <c r="AH38" i="3"/>
  <c r="AF38" i="3"/>
  <c r="AD38" i="3"/>
  <c r="AB38" i="3"/>
  <c r="Z38" i="3"/>
  <c r="X38" i="3"/>
  <c r="V37" i="3"/>
  <c r="V32" i="3"/>
  <c r="V31" i="3"/>
  <c r="V20" i="3"/>
  <c r="W20" i="3" s="1"/>
  <c r="Y20" i="3"/>
  <c r="AA20" i="3"/>
  <c r="AE20" i="3"/>
  <c r="AG20" i="3"/>
  <c r="AI20" i="3"/>
  <c r="T36" i="4"/>
  <c r="T12" i="4"/>
  <c r="V36" i="4"/>
  <c r="AD30" i="4"/>
  <c r="V12" i="4"/>
  <c r="X12" i="4"/>
  <c r="Z12" i="4"/>
  <c r="AB12" i="4"/>
  <c r="AD12" i="4"/>
  <c r="AF12" i="4"/>
  <c r="AH12" i="4"/>
  <c r="J136" i="1"/>
  <c r="I136" i="1"/>
  <c r="H136" i="1"/>
  <c r="AD136" i="1" s="1"/>
  <c r="E136" i="1"/>
  <c r="K68" i="1"/>
  <c r="J68" i="1"/>
  <c r="I68" i="1"/>
  <c r="H68" i="1"/>
  <c r="E68" i="1"/>
  <c r="E187" i="1"/>
  <c r="F187" i="1"/>
  <c r="G187" i="1"/>
  <c r="H187" i="1"/>
  <c r="I187" i="1"/>
  <c r="J187" i="1"/>
  <c r="K187" i="1"/>
  <c r="D187" i="1"/>
  <c r="E183" i="1"/>
  <c r="F183" i="1"/>
  <c r="G183" i="1"/>
  <c r="H183" i="1"/>
  <c r="I183" i="1"/>
  <c r="J183" i="1"/>
  <c r="K183" i="1"/>
  <c r="D183" i="1"/>
  <c r="D56" i="4"/>
  <c r="E56" i="4"/>
  <c r="F56" i="4"/>
  <c r="G56" i="4"/>
  <c r="H56" i="4"/>
  <c r="I56" i="4"/>
  <c r="J56" i="4"/>
  <c r="K56" i="4"/>
  <c r="D52" i="4"/>
  <c r="E52" i="4"/>
  <c r="F52" i="4"/>
  <c r="G52" i="4"/>
  <c r="H52" i="4"/>
  <c r="I52" i="4"/>
  <c r="J52" i="4"/>
  <c r="K52" i="4"/>
  <c r="D48" i="4"/>
  <c r="E48" i="4"/>
  <c r="F48" i="4"/>
  <c r="G48" i="4"/>
  <c r="H48" i="4"/>
  <c r="I48" i="4"/>
  <c r="J48" i="4"/>
  <c r="K48" i="4"/>
  <c r="U40" i="3"/>
  <c r="F21" i="3"/>
  <c r="G21" i="3"/>
  <c r="H21" i="3"/>
  <c r="I21" i="3"/>
  <c r="J21" i="3"/>
  <c r="K21" i="3"/>
  <c r="D21" i="3"/>
  <c r="F38" i="3"/>
  <c r="G38" i="3"/>
  <c r="H38" i="3"/>
  <c r="I38" i="3"/>
  <c r="J38" i="3"/>
  <c r="K38" i="3"/>
  <c r="D38" i="3"/>
  <c r="E37" i="3"/>
  <c r="E31" i="3"/>
  <c r="E32" i="3"/>
  <c r="E15" i="3"/>
  <c r="E21" i="3" s="1"/>
  <c r="K29" i="3"/>
  <c r="J29" i="3"/>
  <c r="I29" i="3"/>
  <c r="G28" i="2"/>
  <c r="G189" i="1" l="1"/>
  <c r="E189" i="1"/>
  <c r="F189" i="1"/>
  <c r="AH183" i="1"/>
  <c r="J189" i="1"/>
  <c r="AH189" i="1" s="1"/>
  <c r="I189" i="1"/>
  <c r="K189" i="1"/>
  <c r="AJ189" i="1" s="1"/>
  <c r="AJ183" i="1"/>
  <c r="H189" i="1"/>
  <c r="W37" i="3"/>
  <c r="D189" i="1"/>
  <c r="V38" i="3"/>
  <c r="W32" i="3"/>
  <c r="W15" i="3"/>
  <c r="E38" i="3"/>
  <c r="AJ190" i="1" l="1"/>
  <c r="AJ184" i="1"/>
  <c r="L47" i="2"/>
  <c r="U47" i="2"/>
  <c r="W47" i="2"/>
  <c r="Y47" i="2"/>
  <c r="AA47" i="2"/>
  <c r="AC47" i="2"/>
  <c r="AE47" i="2"/>
  <c r="AG47" i="2"/>
  <c r="AI47" i="2"/>
  <c r="G83" i="1"/>
  <c r="H83" i="1"/>
  <c r="I83" i="1"/>
  <c r="J83" i="1"/>
  <c r="K83" i="1"/>
  <c r="F83" i="1"/>
  <c r="I71" i="17" l="1"/>
  <c r="E16" i="17" s="1"/>
  <c r="M47" i="2"/>
  <c r="AK47" i="2"/>
  <c r="N47" i="2" l="1"/>
  <c r="E20" i="4"/>
  <c r="F20" i="4"/>
  <c r="G20" i="4"/>
  <c r="H20" i="4"/>
  <c r="I20" i="4"/>
  <c r="J20" i="4"/>
  <c r="K20" i="4"/>
  <c r="D20" i="4"/>
  <c r="D12" i="4"/>
  <c r="E12" i="4"/>
  <c r="F12" i="4"/>
  <c r="G12" i="4"/>
  <c r="H12" i="4"/>
  <c r="I12" i="4"/>
  <c r="J12" i="4"/>
  <c r="K12" i="4"/>
  <c r="O47" i="2" l="1"/>
  <c r="E22" i="2"/>
  <c r="F22" i="2"/>
  <c r="G22" i="2"/>
  <c r="H22" i="2"/>
  <c r="I22" i="2"/>
  <c r="J22" i="2"/>
  <c r="D21" i="2"/>
  <c r="D19" i="1"/>
  <c r="E19" i="1"/>
  <c r="F19" i="1"/>
  <c r="G19" i="1"/>
  <c r="H19" i="1"/>
  <c r="I19" i="1"/>
  <c r="J19" i="1"/>
  <c r="K19" i="1"/>
  <c r="C19" i="1"/>
  <c r="V10" i="1"/>
  <c r="AY8" i="14" s="1"/>
  <c r="J8" i="14" s="1"/>
  <c r="W10" i="1"/>
  <c r="AZ8" i="14" s="1"/>
  <c r="X10" i="1"/>
  <c r="BA8" i="14" s="1"/>
  <c r="Y10" i="1"/>
  <c r="BB8" i="14" s="1"/>
  <c r="Z10" i="1"/>
  <c r="BC8" i="14" s="1"/>
  <c r="AA10" i="1"/>
  <c r="BD8" i="14" s="1"/>
  <c r="AB10" i="1"/>
  <c r="BE8" i="14" s="1"/>
  <c r="AC10" i="1"/>
  <c r="BF8" i="14" s="1"/>
  <c r="AD10" i="1"/>
  <c r="BG8" i="14" s="1"/>
  <c r="AE10" i="1"/>
  <c r="BH8" i="14" s="1"/>
  <c r="AG10" i="1"/>
  <c r="BJ8" i="14" s="1"/>
  <c r="AI10" i="1"/>
  <c r="BL8" i="14" s="1"/>
  <c r="I10" i="1"/>
  <c r="BW8" i="14" s="1"/>
  <c r="J10" i="1"/>
  <c r="BX8" i="14" s="1"/>
  <c r="K10" i="1"/>
  <c r="BY8" i="14" s="1"/>
  <c r="D161" i="1"/>
  <c r="V161" i="1" s="1"/>
  <c r="E161" i="1"/>
  <c r="X161" i="1" s="1"/>
  <c r="F161" i="1"/>
  <c r="Z161" i="1" s="1"/>
  <c r="G161" i="1"/>
  <c r="H161" i="1"/>
  <c r="I161" i="1"/>
  <c r="J161" i="1"/>
  <c r="K161" i="1"/>
  <c r="D17" i="1"/>
  <c r="E17" i="1"/>
  <c r="F17" i="1"/>
  <c r="G17" i="1"/>
  <c r="H17" i="1"/>
  <c r="I17" i="1"/>
  <c r="J17" i="1"/>
  <c r="K17" i="1"/>
  <c r="C17" i="1"/>
  <c r="U8" i="1"/>
  <c r="AX7" i="14" s="1"/>
  <c r="H7" i="14" s="1"/>
  <c r="W8" i="1"/>
  <c r="AZ7" i="14" s="1"/>
  <c r="Y8" i="1"/>
  <c r="BB7" i="14" s="1"/>
  <c r="P7" i="14" s="1"/>
  <c r="AA8" i="1"/>
  <c r="BD7" i="14" s="1"/>
  <c r="T7" i="14" s="1"/>
  <c r="AC8" i="1"/>
  <c r="BF7" i="14" s="1"/>
  <c r="AE8" i="1"/>
  <c r="BH7" i="14" s="1"/>
  <c r="AG8" i="1"/>
  <c r="BJ7" i="14" s="1"/>
  <c r="AI8" i="1"/>
  <c r="BL7" i="14" s="1"/>
  <c r="C8" i="1"/>
  <c r="BQ7" i="14" s="1"/>
  <c r="D8" i="1"/>
  <c r="BR7" i="14" s="1"/>
  <c r="E8" i="1"/>
  <c r="BS7" i="14" s="1"/>
  <c r="F8" i="1"/>
  <c r="BT7" i="14" s="1"/>
  <c r="G8" i="1"/>
  <c r="BU7" i="14" s="1"/>
  <c r="I8" i="1"/>
  <c r="BW7" i="14" s="1"/>
  <c r="BW17" i="14" s="1"/>
  <c r="BW27" i="14" s="1"/>
  <c r="J8" i="1"/>
  <c r="BX7" i="14" s="1"/>
  <c r="K8" i="1"/>
  <c r="BY7" i="14" s="1"/>
  <c r="D22" i="2" l="1"/>
  <c r="P47" i="2"/>
  <c r="AB161" i="1"/>
  <c r="G162" i="1"/>
  <c r="BR17" i="14"/>
  <c r="BR27" i="14" s="1"/>
  <c r="BY17" i="14"/>
  <c r="BY27" i="14" s="1"/>
  <c r="BX17" i="14"/>
  <c r="BX27" i="14" s="1"/>
  <c r="BT17" i="14"/>
  <c r="BT27" i="14" s="1"/>
  <c r="BY18" i="14"/>
  <c r="BU17" i="14"/>
  <c r="BU27" i="14" s="1"/>
  <c r="BV17" i="14"/>
  <c r="BV27" i="14" s="1"/>
  <c r="BS17" i="14"/>
  <c r="BS27" i="14" s="1"/>
  <c r="BX18" i="14"/>
  <c r="T17" i="14"/>
  <c r="P13" i="14"/>
  <c r="P56" i="14" s="1"/>
  <c r="P17" i="14"/>
  <c r="L13" i="14"/>
  <c r="L56" i="14" s="1"/>
  <c r="L17" i="14"/>
  <c r="BL17" i="14"/>
  <c r="BL27" i="14" s="1"/>
  <c r="BH17" i="14"/>
  <c r="BH27" i="14" s="1"/>
  <c r="BJ17" i="14"/>
  <c r="BJ27" i="14" s="1"/>
  <c r="BF17" i="14"/>
  <c r="BF27" i="14" s="1"/>
  <c r="AJ8" i="14"/>
  <c r="BL18" i="14"/>
  <c r="AF8" i="14"/>
  <c r="N8" i="14"/>
  <c r="T13" i="14"/>
  <c r="T56" i="14" s="1"/>
  <c r="BD56" i="14" s="1"/>
  <c r="BF65" i="14"/>
  <c r="X7" i="14"/>
  <c r="X17" i="14" s="1"/>
  <c r="AJ7" i="14"/>
  <c r="BL65" i="14"/>
  <c r="AB7" i="14"/>
  <c r="BH65" i="14"/>
  <c r="BJ65" i="14"/>
  <c r="AF7" i="14"/>
  <c r="H28" i="2"/>
  <c r="I28" i="2"/>
  <c r="J28" i="2"/>
  <c r="K28" i="2"/>
  <c r="AI38" i="2"/>
  <c r="AH39" i="2"/>
  <c r="F39" i="2"/>
  <c r="G39" i="2"/>
  <c r="H39" i="2"/>
  <c r="I39" i="2"/>
  <c r="J39" i="2"/>
  <c r="K39" i="2"/>
  <c r="L74" i="2"/>
  <c r="L64" i="2" s="1"/>
  <c r="L52" i="2" s="1"/>
  <c r="K60" i="4"/>
  <c r="AB17" i="14" l="1"/>
  <c r="AF17" i="14"/>
  <c r="AJ17" i="14"/>
  <c r="L15" i="4"/>
  <c r="AJ18" i="14"/>
  <c r="X13" i="14"/>
  <c r="X56" i="14" s="1"/>
  <c r="X65" i="14"/>
  <c r="AB65" i="14"/>
  <c r="AB13" i="14"/>
  <c r="AB56" i="14" s="1"/>
  <c r="AJ13" i="14"/>
  <c r="AJ56" i="14" s="1"/>
  <c r="AJ65" i="14"/>
  <c r="AF13" i="14"/>
  <c r="AF56" i="14" s="1"/>
  <c r="AF65" i="14"/>
  <c r="L28" i="2"/>
  <c r="L14" i="4" s="1"/>
  <c r="AE78" i="2"/>
  <c r="AE79" i="2"/>
  <c r="AE77" i="2"/>
  <c r="AG78" i="2"/>
  <c r="AG79" i="2"/>
  <c r="AG77" i="2"/>
  <c r="AI78" i="2"/>
  <c r="AI79" i="2"/>
  <c r="AI77" i="2"/>
  <c r="M15" i="4" l="1"/>
  <c r="BJ56" i="14"/>
  <c r="BX56" i="14" s="1"/>
  <c r="BL56" i="14"/>
  <c r="BY56" i="14" s="1"/>
  <c r="BF56" i="14"/>
  <c r="BV56" i="14" s="1"/>
  <c r="BH56" i="14"/>
  <c r="U36" i="2"/>
  <c r="Y40" i="2"/>
  <c r="L134" i="1"/>
  <c r="M134" i="1" s="1"/>
  <c r="N134" i="1" s="1"/>
  <c r="O134" i="1" s="1"/>
  <c r="P134" i="1" s="1"/>
  <c r="P96" i="1" s="1"/>
  <c r="E96" i="1"/>
  <c r="F96" i="1"/>
  <c r="G96" i="1"/>
  <c r="H96" i="1"/>
  <c r="I96" i="1"/>
  <c r="J96" i="1"/>
  <c r="K96" i="1"/>
  <c r="E142" i="1"/>
  <c r="F142" i="1"/>
  <c r="G142" i="1"/>
  <c r="H142" i="1"/>
  <c r="I142" i="1"/>
  <c r="J142" i="1"/>
  <c r="K142" i="1"/>
  <c r="Y96" i="1"/>
  <c r="AA96" i="1"/>
  <c r="AC96" i="1"/>
  <c r="AE96" i="1"/>
  <c r="AG96" i="1"/>
  <c r="AI96" i="1"/>
  <c r="Y142" i="1"/>
  <c r="AA142" i="1"/>
  <c r="AC142" i="1"/>
  <c r="X133" i="1"/>
  <c r="X134" i="1" s="1"/>
  <c r="Z133" i="1"/>
  <c r="Z134" i="1" s="1"/>
  <c r="AD133" i="1"/>
  <c r="AD134" i="1" s="1"/>
  <c r="AF133" i="1"/>
  <c r="AF134" i="1" s="1"/>
  <c r="AH133" i="1"/>
  <c r="AH134" i="1" s="1"/>
  <c r="AJ133" i="1"/>
  <c r="X65" i="1"/>
  <c r="X66" i="1" s="1"/>
  <c r="Z65" i="1"/>
  <c r="Z66" i="1" s="1"/>
  <c r="AB65" i="1"/>
  <c r="AB66" i="1" s="1"/>
  <c r="AD65" i="1"/>
  <c r="AD66" i="1" s="1"/>
  <c r="AF65" i="1"/>
  <c r="AF66" i="1" s="1"/>
  <c r="AH65" i="1"/>
  <c r="AH66" i="1" s="1"/>
  <c r="AC137" i="1"/>
  <c r="AA137" i="1"/>
  <c r="K137" i="1"/>
  <c r="J137" i="1"/>
  <c r="I137" i="1"/>
  <c r="H137" i="1"/>
  <c r="G137" i="1"/>
  <c r="AB136" i="1"/>
  <c r="AD137" i="1" s="1"/>
  <c r="Z136" i="1"/>
  <c r="AL133" i="1"/>
  <c r="L18" i="4"/>
  <c r="L17" i="4"/>
  <c r="L41" i="4"/>
  <c r="L42" i="4"/>
  <c r="L35" i="4"/>
  <c r="L30" i="4"/>
  <c r="L29" i="4"/>
  <c r="L27" i="4"/>
  <c r="M27" i="4" s="1"/>
  <c r="D60" i="4"/>
  <c r="E60" i="4"/>
  <c r="F60" i="4"/>
  <c r="G60" i="4"/>
  <c r="H60" i="4"/>
  <c r="I60" i="4"/>
  <c r="J60" i="4"/>
  <c r="L19" i="4"/>
  <c r="M19" i="4" s="1"/>
  <c r="N19" i="4" s="1"/>
  <c r="O19" i="4" s="1"/>
  <c r="P19" i="4" s="1"/>
  <c r="L10" i="4"/>
  <c r="M10" i="4" s="1"/>
  <c r="L9" i="4"/>
  <c r="AJ74" i="2"/>
  <c r="AJ64" i="2" s="1"/>
  <c r="M74" i="2"/>
  <c r="M64" i="2" s="1"/>
  <c r="M52" i="2" s="1"/>
  <c r="N74" i="2"/>
  <c r="N64" i="2" s="1"/>
  <c r="N52" i="2" s="1"/>
  <c r="O74" i="2"/>
  <c r="O64" i="2" s="1"/>
  <c r="O52" i="2" s="1"/>
  <c r="P74" i="2"/>
  <c r="P64" i="2" s="1"/>
  <c r="P52" i="2" s="1"/>
  <c r="AK52" i="2"/>
  <c r="AK82" i="2"/>
  <c r="L77" i="2"/>
  <c r="L78" i="2"/>
  <c r="L79" i="2"/>
  <c r="L87" i="2"/>
  <c r="M87" i="2" s="1"/>
  <c r="N87" i="2" s="1"/>
  <c r="O87" i="2" s="1"/>
  <c r="P87" i="2" s="1"/>
  <c r="L86" i="2"/>
  <c r="AK34" i="2"/>
  <c r="AJ29" i="2"/>
  <c r="M40" i="2"/>
  <c r="N40" i="2"/>
  <c r="O40" i="2"/>
  <c r="P40" i="2"/>
  <c r="L40" i="2"/>
  <c r="L161" i="1"/>
  <c r="AK114" i="1"/>
  <c r="AK101" i="1"/>
  <c r="AK147" i="1"/>
  <c r="L147" i="1"/>
  <c r="L114" i="1"/>
  <c r="L101" i="1"/>
  <c r="M101" i="1" s="1"/>
  <c r="AK86" i="1"/>
  <c r="AK45" i="1"/>
  <c r="AK32" i="1"/>
  <c r="AL65" i="1"/>
  <c r="L86" i="1"/>
  <c r="L66" i="1"/>
  <c r="M66" i="1" s="1"/>
  <c r="L32" i="1"/>
  <c r="L45" i="1"/>
  <c r="L44" i="1" s="1"/>
  <c r="AG82" i="2"/>
  <c r="AE82" i="2"/>
  <c r="AC82" i="2"/>
  <c r="AA82" i="2"/>
  <c r="Y82" i="2"/>
  <c r="W82" i="2"/>
  <c r="U82" i="2"/>
  <c r="AI81" i="2"/>
  <c r="AG81" i="2"/>
  <c r="AE81" i="2"/>
  <c r="AC81" i="2"/>
  <c r="AA81" i="2"/>
  <c r="Y81" i="2"/>
  <c r="W81" i="2"/>
  <c r="U81" i="2"/>
  <c r="T83" i="2"/>
  <c r="D83" i="2"/>
  <c r="V83" i="2"/>
  <c r="E83" i="2"/>
  <c r="X83" i="2"/>
  <c r="F83" i="2"/>
  <c r="Z83" i="2"/>
  <c r="G83" i="2"/>
  <c r="AB83" i="2"/>
  <c r="H83" i="2"/>
  <c r="AD83" i="2"/>
  <c r="I83" i="2"/>
  <c r="AF83" i="2"/>
  <c r="J83" i="2"/>
  <c r="AH83" i="2"/>
  <c r="Y31" i="3"/>
  <c r="Y28" i="3"/>
  <c r="Y27" i="3"/>
  <c r="Y26" i="3"/>
  <c r="Y25" i="3"/>
  <c r="Y24" i="3"/>
  <c r="Y23" i="3"/>
  <c r="Y19" i="3"/>
  <c r="Y18" i="3"/>
  <c r="Y17" i="3"/>
  <c r="Y16" i="3"/>
  <c r="Y15" i="3"/>
  <c r="W31" i="3"/>
  <c r="W28" i="3"/>
  <c r="W27" i="3"/>
  <c r="W26" i="3"/>
  <c r="W25" i="3"/>
  <c r="W24" i="3"/>
  <c r="U31" i="3"/>
  <c r="U23" i="3"/>
  <c r="U15" i="3"/>
  <c r="AI31" i="3"/>
  <c r="AI28" i="3"/>
  <c r="AI27" i="3"/>
  <c r="AI26" i="3"/>
  <c r="AI25" i="3"/>
  <c r="AI24" i="3"/>
  <c r="AI23" i="3"/>
  <c r="AI19" i="3"/>
  <c r="AI18" i="3"/>
  <c r="AI17" i="3"/>
  <c r="AI16" i="3"/>
  <c r="AI15" i="3"/>
  <c r="AG31" i="3"/>
  <c r="AG28" i="3"/>
  <c r="AG27" i="3"/>
  <c r="AG26" i="3"/>
  <c r="AG25" i="3"/>
  <c r="AG24" i="3"/>
  <c r="AG23" i="3"/>
  <c r="AG19" i="3"/>
  <c r="AG18" i="3"/>
  <c r="AG17" i="3"/>
  <c r="AG16" i="3"/>
  <c r="AG15" i="3"/>
  <c r="AE31" i="3"/>
  <c r="AE28" i="3"/>
  <c r="AE27" i="3"/>
  <c r="AE26" i="3"/>
  <c r="AE25" i="3"/>
  <c r="AE24" i="3"/>
  <c r="AE23" i="3"/>
  <c r="AE19" i="3"/>
  <c r="AE18" i="3"/>
  <c r="AE17" i="3"/>
  <c r="AE16" i="3"/>
  <c r="AE15" i="3"/>
  <c r="AC31" i="3"/>
  <c r="AC28" i="3"/>
  <c r="AC27" i="3"/>
  <c r="AC26" i="3"/>
  <c r="AC25" i="3"/>
  <c r="AC24" i="3"/>
  <c r="AC23" i="3"/>
  <c r="AC19" i="3"/>
  <c r="AC18" i="3"/>
  <c r="AC17" i="3"/>
  <c r="AC16" i="3"/>
  <c r="AC15" i="3"/>
  <c r="AA31" i="3"/>
  <c r="AA28" i="3"/>
  <c r="AA27" i="3"/>
  <c r="AA26" i="3"/>
  <c r="AA25" i="3"/>
  <c r="AA24" i="3"/>
  <c r="AA23" i="3"/>
  <c r="AA19" i="3"/>
  <c r="AA18" i="3"/>
  <c r="AA17" i="3"/>
  <c r="AA16" i="3"/>
  <c r="AA15" i="3"/>
  <c r="K55" i="2"/>
  <c r="AH55" i="2"/>
  <c r="J55" i="2"/>
  <c r="AF55" i="2"/>
  <c r="I55" i="2"/>
  <c r="AD55" i="2"/>
  <c r="H55" i="2"/>
  <c r="AB55" i="2"/>
  <c r="G55" i="2"/>
  <c r="Z55" i="2"/>
  <c r="F55" i="2"/>
  <c r="X55" i="2"/>
  <c r="E55" i="2"/>
  <c r="V55" i="2"/>
  <c r="D55" i="2"/>
  <c r="S3" i="3"/>
  <c r="C3" i="3"/>
  <c r="T3" i="3"/>
  <c r="U3" i="3"/>
  <c r="D3" i="3"/>
  <c r="V3" i="3"/>
  <c r="W3" i="3"/>
  <c r="E3" i="3"/>
  <c r="X3" i="3"/>
  <c r="Y3" i="3"/>
  <c r="F3" i="3"/>
  <c r="Z3" i="3"/>
  <c r="AA3" i="3"/>
  <c r="G3" i="3"/>
  <c r="AB3" i="3"/>
  <c r="AC3" i="3"/>
  <c r="H3" i="3"/>
  <c r="AD3" i="3"/>
  <c r="AE3" i="3"/>
  <c r="I3" i="3"/>
  <c r="AF3" i="3"/>
  <c r="AG3" i="3"/>
  <c r="J3" i="3"/>
  <c r="AH3" i="3"/>
  <c r="AI3" i="3"/>
  <c r="K3" i="3"/>
  <c r="R3" i="3"/>
  <c r="S3" i="2"/>
  <c r="C3" i="2"/>
  <c r="T3" i="2"/>
  <c r="U3" i="2"/>
  <c r="D3" i="2"/>
  <c r="V3" i="2"/>
  <c r="W3" i="2"/>
  <c r="E3" i="2"/>
  <c r="X3" i="2"/>
  <c r="Y3" i="2"/>
  <c r="F3" i="2"/>
  <c r="Z3" i="2"/>
  <c r="AA3" i="2"/>
  <c r="G3" i="2"/>
  <c r="AB3" i="2"/>
  <c r="AC3" i="2"/>
  <c r="H3" i="2"/>
  <c r="AD3" i="2"/>
  <c r="AE3" i="2"/>
  <c r="I3" i="2"/>
  <c r="AF3" i="2"/>
  <c r="AG3" i="2"/>
  <c r="J3" i="2"/>
  <c r="AH3" i="2"/>
  <c r="AI3" i="2"/>
  <c r="K3" i="2"/>
  <c r="R3" i="2"/>
  <c r="S3" i="4"/>
  <c r="C3" i="4"/>
  <c r="T3" i="4"/>
  <c r="U3" i="4"/>
  <c r="D3" i="4"/>
  <c r="V3" i="4"/>
  <c r="W3" i="4"/>
  <c r="E3" i="4"/>
  <c r="X3" i="4"/>
  <c r="Y3" i="4"/>
  <c r="F3" i="4"/>
  <c r="Z3" i="4"/>
  <c r="AA3" i="4"/>
  <c r="G3" i="4"/>
  <c r="AB3" i="4"/>
  <c r="AC3" i="4"/>
  <c r="H3" i="4"/>
  <c r="AD3" i="4"/>
  <c r="AE3" i="4"/>
  <c r="I3" i="4"/>
  <c r="AF3" i="4"/>
  <c r="AG3" i="4"/>
  <c r="J3" i="4"/>
  <c r="AH3" i="4"/>
  <c r="AI3" i="4"/>
  <c r="K3" i="4"/>
  <c r="W36" i="2"/>
  <c r="Y54" i="2"/>
  <c r="U47" i="1"/>
  <c r="D47" i="1"/>
  <c r="W47" i="1"/>
  <c r="Y47" i="1"/>
  <c r="U42" i="1"/>
  <c r="D42" i="1"/>
  <c r="W42" i="1"/>
  <c r="E42" i="1"/>
  <c r="Y42" i="1"/>
  <c r="W41" i="1"/>
  <c r="E41" i="1"/>
  <c r="Y41" i="1"/>
  <c r="F41" i="1"/>
  <c r="AA41" i="1"/>
  <c r="G41" i="1"/>
  <c r="Z40" i="1"/>
  <c r="Z41" i="1" s="1"/>
  <c r="V40" i="1"/>
  <c r="X41" i="1" s="1"/>
  <c r="AC41" i="1"/>
  <c r="AJ40" i="1"/>
  <c r="R42" i="11"/>
  <c r="Q42" i="11"/>
  <c r="P42" i="11"/>
  <c r="O42" i="11"/>
  <c r="N42" i="11"/>
  <c r="M42" i="11"/>
  <c r="R37" i="11"/>
  <c r="Q37" i="11"/>
  <c r="P37" i="11"/>
  <c r="O37" i="11"/>
  <c r="N37" i="11"/>
  <c r="M37" i="11"/>
  <c r="N13" i="11"/>
  <c r="O13" i="11"/>
  <c r="P13" i="11"/>
  <c r="Q13" i="11"/>
  <c r="R13" i="11"/>
  <c r="M13" i="11"/>
  <c r="G16" i="11"/>
  <c r="AJ65" i="1"/>
  <c r="AJ66" i="1" s="1"/>
  <c r="AI87" i="2"/>
  <c r="AI86" i="2"/>
  <c r="AG87" i="2"/>
  <c r="AG86" i="2"/>
  <c r="AE87" i="2"/>
  <c r="AE86" i="2"/>
  <c r="F49" i="11" l="1"/>
  <c r="G46" i="11"/>
  <c r="E49" i="11"/>
  <c r="H46" i="11"/>
  <c r="I46" i="11"/>
  <c r="J46" i="11"/>
  <c r="J49" i="11"/>
  <c r="I49" i="11"/>
  <c r="H49" i="11"/>
  <c r="E46" i="11"/>
  <c r="G49" i="11"/>
  <c r="F46" i="11"/>
  <c r="L10" i="3"/>
  <c r="H37" i="11" s="1"/>
  <c r="M29" i="4"/>
  <c r="M18" i="4"/>
  <c r="P10" i="3"/>
  <c r="M86" i="2"/>
  <c r="O10" i="3"/>
  <c r="N15" i="4"/>
  <c r="M9" i="4"/>
  <c r="M30" i="4"/>
  <c r="N10" i="3"/>
  <c r="J37" i="11" s="1"/>
  <c r="M42" i="4"/>
  <c r="Q33" i="11" s="1"/>
  <c r="M10" i="3"/>
  <c r="I37" i="11" s="1"/>
  <c r="M78" i="2"/>
  <c r="M45" i="1"/>
  <c r="N45" i="1" s="1"/>
  <c r="O45" i="1" s="1"/>
  <c r="P45" i="1" s="1"/>
  <c r="M86" i="1"/>
  <c r="N86" i="1" s="1"/>
  <c r="O86" i="1" s="1"/>
  <c r="P86" i="1" s="1"/>
  <c r="L90" i="1"/>
  <c r="E51" i="17"/>
  <c r="D51" i="17"/>
  <c r="M65" i="4"/>
  <c r="I57" i="17"/>
  <c r="I55" i="17"/>
  <c r="D57" i="17"/>
  <c r="H57" i="17"/>
  <c r="E57" i="17"/>
  <c r="E55" i="17"/>
  <c r="D55" i="17"/>
  <c r="F57" i="17"/>
  <c r="F55" i="17"/>
  <c r="G57" i="17"/>
  <c r="G55" i="17"/>
  <c r="H55" i="17"/>
  <c r="L96" i="1"/>
  <c r="H61" i="4"/>
  <c r="H8" i="3" s="1"/>
  <c r="F61" i="4"/>
  <c r="R52" i="11"/>
  <c r="H20" i="11"/>
  <c r="G20" i="11"/>
  <c r="F20" i="11"/>
  <c r="E20" i="11"/>
  <c r="Q52" i="11"/>
  <c r="P52" i="11"/>
  <c r="D61" i="4"/>
  <c r="D8" i="3" s="1"/>
  <c r="AJ77" i="2"/>
  <c r="M32" i="1"/>
  <c r="J61" i="4"/>
  <c r="J8" i="3" s="1"/>
  <c r="K61" i="4"/>
  <c r="K8" i="3" s="1"/>
  <c r="M79" i="2"/>
  <c r="N79" i="2" s="1"/>
  <c r="O79" i="2" s="1"/>
  <c r="O57" i="2" s="1"/>
  <c r="L57" i="2"/>
  <c r="I61" i="4"/>
  <c r="I8" i="3" s="1"/>
  <c r="G61" i="4"/>
  <c r="G8" i="3" s="1"/>
  <c r="M41" i="4"/>
  <c r="N41" i="4" s="1"/>
  <c r="O41" i="4" s="1"/>
  <c r="P41" i="4" s="1"/>
  <c r="E61" i="4"/>
  <c r="E8" i="3" s="1"/>
  <c r="G42" i="11"/>
  <c r="G43" i="11"/>
  <c r="G44" i="11"/>
  <c r="G45" i="11"/>
  <c r="E43" i="11"/>
  <c r="F43" i="11"/>
  <c r="H43" i="11"/>
  <c r="H44" i="11"/>
  <c r="H45" i="11"/>
  <c r="E45" i="11"/>
  <c r="F44" i="11"/>
  <c r="I42" i="11"/>
  <c r="I43" i="11"/>
  <c r="I44" i="11"/>
  <c r="E42" i="11"/>
  <c r="F45" i="11"/>
  <c r="J42" i="11"/>
  <c r="J43" i="11"/>
  <c r="J44" i="11"/>
  <c r="E44" i="11"/>
  <c r="F42" i="11"/>
  <c r="N38" i="11"/>
  <c r="N28" i="11"/>
  <c r="N24" i="11"/>
  <c r="N21" i="11"/>
  <c r="N16" i="11"/>
  <c r="N32" i="11"/>
  <c r="N33" i="11"/>
  <c r="N34" i="11"/>
  <c r="N20" i="11"/>
  <c r="N15" i="11"/>
  <c r="N14" i="11"/>
  <c r="N29" i="11"/>
  <c r="N25" i="11"/>
  <c r="N19" i="11"/>
  <c r="N40" i="11"/>
  <c r="P40" i="11"/>
  <c r="O28" i="11"/>
  <c r="O29" i="11"/>
  <c r="O24" i="11"/>
  <c r="O25" i="11"/>
  <c r="O19" i="11"/>
  <c r="O21" i="11"/>
  <c r="O16" i="11"/>
  <c r="O40" i="11"/>
  <c r="O14" i="11"/>
  <c r="O38" i="11"/>
  <c r="O32" i="11"/>
  <c r="O33" i="11"/>
  <c r="O34" i="11"/>
  <c r="O20" i="11"/>
  <c r="O15" i="11"/>
  <c r="M14" i="11"/>
  <c r="M19" i="11"/>
  <c r="M40" i="11"/>
  <c r="M32" i="11"/>
  <c r="M33" i="11"/>
  <c r="M34" i="11"/>
  <c r="M20" i="11"/>
  <c r="M15" i="11"/>
  <c r="M29" i="11"/>
  <c r="M25" i="11"/>
  <c r="M16" i="11"/>
  <c r="M28" i="11"/>
  <c r="M24" i="11"/>
  <c r="M21" i="11"/>
  <c r="M38" i="11"/>
  <c r="R40" i="11"/>
  <c r="R38" i="11"/>
  <c r="R29" i="11"/>
  <c r="Q40" i="11"/>
  <c r="Q29" i="11"/>
  <c r="Q25" i="11"/>
  <c r="Q38" i="11"/>
  <c r="P33" i="11"/>
  <c r="P28" i="11"/>
  <c r="P29" i="11"/>
  <c r="P25" i="11"/>
  <c r="P21" i="11"/>
  <c r="P32" i="11"/>
  <c r="P38" i="11"/>
  <c r="AF96" i="1"/>
  <c r="M77" i="2"/>
  <c r="Z96" i="1"/>
  <c r="O96" i="1"/>
  <c r="N96" i="1"/>
  <c r="M96" i="1"/>
  <c r="AD142" i="1"/>
  <c r="AH96" i="1"/>
  <c r="J143" i="1"/>
  <c r="Z142" i="1"/>
  <c r="G143" i="1"/>
  <c r="G140" i="1"/>
  <c r="K143" i="1"/>
  <c r="H140" i="1"/>
  <c r="H143" i="1"/>
  <c r="AC143" i="1"/>
  <c r="AA143" i="1"/>
  <c r="I140" i="1"/>
  <c r="J140" i="1"/>
  <c r="I143" i="1"/>
  <c r="K140" i="1"/>
  <c r="F143" i="1"/>
  <c r="F137" i="1"/>
  <c r="AB137" i="1"/>
  <c r="AL147" i="1"/>
  <c r="AK40" i="2"/>
  <c r="AJ78" i="2"/>
  <c r="AL114" i="1"/>
  <c r="P29" i="3"/>
  <c r="AK78" i="2"/>
  <c r="O29" i="3"/>
  <c r="AJ79" i="2"/>
  <c r="AJ57" i="2" s="1"/>
  <c r="AK77" i="2"/>
  <c r="AK79" i="2"/>
  <c r="AK57" i="2" s="1"/>
  <c r="AK74" i="2"/>
  <c r="L7" i="3"/>
  <c r="M29" i="3"/>
  <c r="M17" i="4"/>
  <c r="M35" i="4"/>
  <c r="N27" i="4"/>
  <c r="N10" i="4"/>
  <c r="Q28" i="11"/>
  <c r="N29" i="3"/>
  <c r="AK64" i="2"/>
  <c r="AK29" i="2"/>
  <c r="M28" i="2"/>
  <c r="F51" i="17" s="1"/>
  <c r="AG83" i="2"/>
  <c r="U83" i="2"/>
  <c r="AE83" i="2"/>
  <c r="Y83" i="2"/>
  <c r="M161" i="1"/>
  <c r="M147" i="1"/>
  <c r="N147" i="1" s="1"/>
  <c r="O147" i="1" s="1"/>
  <c r="M114" i="1"/>
  <c r="N101" i="1"/>
  <c r="M27" i="1"/>
  <c r="N66" i="1"/>
  <c r="L27" i="1"/>
  <c r="AL45" i="1"/>
  <c r="E43" i="1"/>
  <c r="AL86" i="1"/>
  <c r="E28" i="11"/>
  <c r="G48" i="11"/>
  <c r="E26" i="11"/>
  <c r="I40" i="11"/>
  <c r="F26" i="11"/>
  <c r="J40" i="11"/>
  <c r="J26" i="11"/>
  <c r="H40" i="11"/>
  <c r="I26" i="11"/>
  <c r="G28" i="11"/>
  <c r="E48" i="11"/>
  <c r="Y48" i="1"/>
  <c r="H26" i="11"/>
  <c r="F32" i="11"/>
  <c r="F28" i="11"/>
  <c r="F48" i="11"/>
  <c r="G26" i="11"/>
  <c r="E32" i="11"/>
  <c r="AC83" i="2"/>
  <c r="AA83" i="2"/>
  <c r="W83" i="2"/>
  <c r="E46" i="1"/>
  <c r="W48" i="1"/>
  <c r="W43" i="1"/>
  <c r="D43" i="1"/>
  <c r="Y43" i="1"/>
  <c r="D48" i="1"/>
  <c r="U48" i="1"/>
  <c r="F46" i="1"/>
  <c r="E47" i="1"/>
  <c r="E48" i="1" s="1"/>
  <c r="U43" i="1"/>
  <c r="Y46" i="1"/>
  <c r="W46" i="1"/>
  <c r="N29" i="4" l="1"/>
  <c r="H36" i="11"/>
  <c r="N30" i="4"/>
  <c r="N86" i="2"/>
  <c r="R25" i="11"/>
  <c r="N77" i="2"/>
  <c r="N42" i="4"/>
  <c r="N9" i="4"/>
  <c r="N18" i="4"/>
  <c r="N17" i="4"/>
  <c r="D53" i="17"/>
  <c r="N78" i="2"/>
  <c r="O15" i="4"/>
  <c r="L24" i="1"/>
  <c r="M24" i="1"/>
  <c r="M14" i="4"/>
  <c r="N65" i="4"/>
  <c r="H30" i="11"/>
  <c r="I73" i="17"/>
  <c r="E18" i="17" s="1"/>
  <c r="N50" i="11"/>
  <c r="M50" i="11"/>
  <c r="R32" i="11"/>
  <c r="Q32" i="11"/>
  <c r="F8" i="3"/>
  <c r="I20" i="11"/>
  <c r="N32" i="1"/>
  <c r="M57" i="2"/>
  <c r="P19" i="11"/>
  <c r="H42" i="11"/>
  <c r="I45" i="11"/>
  <c r="Q21" i="11"/>
  <c r="P20" i="11"/>
  <c r="F140" i="1"/>
  <c r="P79" i="2"/>
  <c r="P57" i="2" s="1"/>
  <c r="N57" i="2"/>
  <c r="L29" i="3"/>
  <c r="M7" i="3"/>
  <c r="N35" i="4"/>
  <c r="O29" i="4"/>
  <c r="O27" i="4"/>
  <c r="O10" i="4"/>
  <c r="N161" i="1"/>
  <c r="P147" i="1"/>
  <c r="N114" i="1"/>
  <c r="O101" i="1"/>
  <c r="O66" i="1"/>
  <c r="N27" i="1"/>
  <c r="N24" i="1" s="1"/>
  <c r="O86" i="2" l="1"/>
  <c r="O17" i="4"/>
  <c r="O18" i="4"/>
  <c r="O77" i="2"/>
  <c r="P15" i="4"/>
  <c r="O30" i="4"/>
  <c r="O9" i="4"/>
  <c r="O78" i="2"/>
  <c r="O42" i="4"/>
  <c r="R33" i="11"/>
  <c r="L23" i="1"/>
  <c r="L30" i="1" s="1"/>
  <c r="P65" i="4"/>
  <c r="O65" i="4"/>
  <c r="I30" i="11"/>
  <c r="J30" i="11"/>
  <c r="I36" i="11"/>
  <c r="N28" i="2"/>
  <c r="G51" i="17" s="1"/>
  <c r="J20" i="11"/>
  <c r="O32" i="1"/>
  <c r="P32" i="1" s="1"/>
  <c r="Q19" i="11"/>
  <c r="R28" i="11"/>
  <c r="J45" i="11"/>
  <c r="R21" i="11"/>
  <c r="O28" i="2"/>
  <c r="H51" i="17" s="1"/>
  <c r="N7" i="3"/>
  <c r="O35" i="4"/>
  <c r="P29" i="4"/>
  <c r="P27" i="4"/>
  <c r="P10" i="4"/>
  <c r="O161" i="1"/>
  <c r="O114" i="1"/>
  <c r="P101" i="1"/>
  <c r="O27" i="1"/>
  <c r="O24" i="1" s="1"/>
  <c r="P66" i="1"/>
  <c r="P27" i="1" s="1"/>
  <c r="P24" i="1" s="1"/>
  <c r="P78" i="2" l="1"/>
  <c r="P30" i="4"/>
  <c r="P18" i="4"/>
  <c r="P17" i="4"/>
  <c r="P42" i="4"/>
  <c r="P9" i="4"/>
  <c r="P77" i="2"/>
  <c r="P86" i="2"/>
  <c r="M90" i="1"/>
  <c r="M23" i="1"/>
  <c r="M7" i="1" s="1"/>
  <c r="L47" i="1"/>
  <c r="L88" i="1"/>
  <c r="L7" i="1"/>
  <c r="N14" i="4"/>
  <c r="J36" i="11"/>
  <c r="Q20" i="11"/>
  <c r="O7" i="3"/>
  <c r="P28" i="2"/>
  <c r="I51" i="17" s="1"/>
  <c r="P35" i="4"/>
  <c r="P161" i="1"/>
  <c r="P114" i="1"/>
  <c r="O14" i="4" l="1"/>
  <c r="M47" i="1"/>
  <c r="M48" i="1" s="1"/>
  <c r="M30" i="1"/>
  <c r="N23" i="1"/>
  <c r="N47" i="1" s="1"/>
  <c r="M88" i="1"/>
  <c r="N90" i="1"/>
  <c r="H15" i="11"/>
  <c r="BZ6" i="14"/>
  <c r="I15" i="11"/>
  <c r="R19" i="11"/>
  <c r="R20" i="11"/>
  <c r="P7" i="3"/>
  <c r="U75" i="2"/>
  <c r="U70" i="2" s="1"/>
  <c r="W75" i="2"/>
  <c r="W70" i="2" s="1"/>
  <c r="K7" i="3"/>
  <c r="AH7" i="3"/>
  <c r="J7" i="3"/>
  <c r="AF7" i="3"/>
  <c r="I7" i="3"/>
  <c r="AD7" i="3"/>
  <c r="H7" i="3"/>
  <c r="AB7" i="3"/>
  <c r="G7" i="3"/>
  <c r="Z7" i="3"/>
  <c r="F7" i="3"/>
  <c r="X7" i="3"/>
  <c r="E7" i="3"/>
  <c r="V7" i="3"/>
  <c r="D7" i="3"/>
  <c r="T7" i="3"/>
  <c r="Y75" i="2"/>
  <c r="Y70" i="2" s="1"/>
  <c r="AA75" i="2"/>
  <c r="AA65" i="2"/>
  <c r="AC75" i="2"/>
  <c r="AC65" i="2"/>
  <c r="AE75" i="2"/>
  <c r="AE65" i="2"/>
  <c r="AG65" i="2"/>
  <c r="AG75" i="2"/>
  <c r="J70" i="2"/>
  <c r="AF70" i="2"/>
  <c r="I70" i="2"/>
  <c r="AD70" i="2"/>
  <c r="H70" i="2"/>
  <c r="AB70" i="2"/>
  <c r="G70" i="2"/>
  <c r="Z70" i="2"/>
  <c r="F70" i="2"/>
  <c r="X70" i="2"/>
  <c r="E70" i="2"/>
  <c r="V70" i="2"/>
  <c r="D70" i="2"/>
  <c r="T70" i="2"/>
  <c r="AH70" i="2"/>
  <c r="AI75" i="2"/>
  <c r="AI65" i="2"/>
  <c r="K70" i="2"/>
  <c r="Y60" i="1"/>
  <c r="F128" i="1"/>
  <c r="Y128" i="1"/>
  <c r="Z126" i="1"/>
  <c r="F55" i="1"/>
  <c r="F124" i="1"/>
  <c r="G124" i="1" s="1"/>
  <c r="Y124" i="1"/>
  <c r="AA124" i="1" s="1"/>
  <c r="AC124" i="1" s="1"/>
  <c r="E126" i="1"/>
  <c r="F127" i="1" s="1"/>
  <c r="W126" i="1"/>
  <c r="W128" i="1" s="1"/>
  <c r="D126" i="1"/>
  <c r="D128" i="1" s="1"/>
  <c r="U126" i="1"/>
  <c r="C126" i="1"/>
  <c r="Z58" i="1"/>
  <c r="M89" i="1" l="1"/>
  <c r="P14" i="4"/>
  <c r="E36" i="11"/>
  <c r="F36" i="11"/>
  <c r="N48" i="1"/>
  <c r="N88" i="1"/>
  <c r="M31" i="1"/>
  <c r="N30" i="1"/>
  <c r="O90" i="1"/>
  <c r="O23" i="1"/>
  <c r="N7" i="1"/>
  <c r="F56" i="1"/>
  <c r="G36" i="11"/>
  <c r="H124" i="1"/>
  <c r="I124" i="1" s="1"/>
  <c r="J124" i="1" s="1"/>
  <c r="K124" i="1" s="1"/>
  <c r="L124" i="1" s="1"/>
  <c r="M124" i="1" s="1"/>
  <c r="N124" i="1" s="1"/>
  <c r="O124" i="1" s="1"/>
  <c r="P124" i="1" s="1"/>
  <c r="G126" i="1"/>
  <c r="K12" i="3"/>
  <c r="AC70" i="2"/>
  <c r="Y129" i="1"/>
  <c r="AA70" i="2"/>
  <c r="AI70" i="2"/>
  <c r="E128" i="1"/>
  <c r="E129" i="1" s="1"/>
  <c r="E127" i="1"/>
  <c r="Y127" i="1"/>
  <c r="U128" i="1"/>
  <c r="U129" i="1" s="1"/>
  <c r="D127" i="1"/>
  <c r="C128" i="1"/>
  <c r="D129" i="1" s="1"/>
  <c r="AG70" i="2"/>
  <c r="W127" i="1"/>
  <c r="AE70" i="2"/>
  <c r="N89" i="1" l="1"/>
  <c r="N31" i="1"/>
  <c r="J15" i="11"/>
  <c r="P90" i="1"/>
  <c r="O7" i="1"/>
  <c r="P23" i="1"/>
  <c r="O47" i="1"/>
  <c r="O48" i="1" s="1"/>
  <c r="O30" i="1"/>
  <c r="O88" i="1"/>
  <c r="G41" i="11"/>
  <c r="G47" i="11" s="1"/>
  <c r="G50" i="11" s="1"/>
  <c r="F129" i="1"/>
  <c r="W129" i="1"/>
  <c r="E58" i="1"/>
  <c r="W58" i="1"/>
  <c r="D58" i="1"/>
  <c r="U58" i="1"/>
  <c r="C58" i="1"/>
  <c r="O89" i="1" l="1"/>
  <c r="O31" i="1"/>
  <c r="P47" i="1"/>
  <c r="P48" i="1" s="1"/>
  <c r="P7" i="1"/>
  <c r="P88" i="1"/>
  <c r="P30" i="1"/>
  <c r="C55" i="1"/>
  <c r="D55" i="1"/>
  <c r="E55" i="1"/>
  <c r="D60" i="1"/>
  <c r="D59" i="1"/>
  <c r="W60" i="1"/>
  <c r="Y59" i="1"/>
  <c r="W59" i="1"/>
  <c r="C60" i="1"/>
  <c r="U60" i="1"/>
  <c r="E59" i="1"/>
  <c r="E60" i="1"/>
  <c r="F59" i="1"/>
  <c r="P89" i="1" l="1"/>
  <c r="P31" i="1"/>
  <c r="E61" i="1"/>
  <c r="U61" i="1"/>
  <c r="D61" i="1"/>
  <c r="W61" i="1"/>
  <c r="Y61" i="1"/>
  <c r="Y79" i="2"/>
  <c r="Y78" i="2"/>
  <c r="Y77" i="2"/>
  <c r="W79" i="2"/>
  <c r="W78" i="2"/>
  <c r="W77" i="2"/>
  <c r="U79" i="2"/>
  <c r="U78" i="2"/>
  <c r="U77" i="2"/>
  <c r="AI36" i="2"/>
  <c r="AG36" i="2"/>
  <c r="AE36" i="2"/>
  <c r="AC36" i="2"/>
  <c r="AA36" i="2"/>
  <c r="Y36" i="2"/>
  <c r="Y29" i="2"/>
  <c r="Y10" i="2"/>
  <c r="W10" i="2"/>
  <c r="AK66" i="1"/>
  <c r="AH29" i="3"/>
  <c r="AH21" i="3"/>
  <c r="AF29" i="3"/>
  <c r="AF21" i="3"/>
  <c r="AF12" i="3" s="1"/>
  <c r="AD29" i="3"/>
  <c r="AD21" i="3"/>
  <c r="AD12" i="3" s="1"/>
  <c r="H29" i="3"/>
  <c r="AB29" i="3"/>
  <c r="AB21" i="3"/>
  <c r="AB12" i="3" s="1"/>
  <c r="G29" i="3"/>
  <c r="Z29" i="3"/>
  <c r="Z21" i="3"/>
  <c r="Z12" i="3" s="1"/>
  <c r="F29" i="3"/>
  <c r="X29" i="3"/>
  <c r="X21" i="3"/>
  <c r="X12" i="3" s="1"/>
  <c r="E29" i="3"/>
  <c r="V29" i="3"/>
  <c r="V21" i="3"/>
  <c r="V12" i="3" s="1"/>
  <c r="T21" i="3"/>
  <c r="T12" i="3" s="1"/>
  <c r="T29" i="3"/>
  <c r="Y7" i="3" l="1"/>
  <c r="AK153" i="1"/>
  <c r="W38" i="3"/>
  <c r="Y38" i="3"/>
  <c r="AA38" i="3"/>
  <c r="AC38" i="3"/>
  <c r="AE38" i="3"/>
  <c r="AG38" i="3"/>
  <c r="AI29" i="3"/>
  <c r="W29" i="3"/>
  <c r="Y29" i="3"/>
  <c r="AA29" i="3"/>
  <c r="AC29" i="3"/>
  <c r="AE29" i="3"/>
  <c r="AG29" i="3"/>
  <c r="AI38" i="3"/>
  <c r="U38" i="3"/>
  <c r="D12" i="3"/>
  <c r="U21" i="3"/>
  <c r="E12" i="3"/>
  <c r="W21" i="3"/>
  <c r="F12" i="3"/>
  <c r="Y21" i="3"/>
  <c r="G12" i="3"/>
  <c r="AA21" i="3"/>
  <c r="H12" i="3"/>
  <c r="AC21" i="3"/>
  <c r="I12" i="3"/>
  <c r="AE21" i="3"/>
  <c r="J12" i="3"/>
  <c r="AG21" i="3"/>
  <c r="D29" i="3"/>
  <c r="AH12" i="3"/>
  <c r="AI21" i="3"/>
  <c r="AK27" i="1"/>
  <c r="AL66" i="1"/>
  <c r="AL27" i="1" s="1"/>
  <c r="X41" i="3"/>
  <c r="AB41" i="3"/>
  <c r="Z41" i="3"/>
  <c r="AD41" i="3"/>
  <c r="J41" i="3"/>
  <c r="V41" i="3"/>
  <c r="G41" i="3"/>
  <c r="AH41" i="3"/>
  <c r="T41" i="3"/>
  <c r="AF41" i="3"/>
  <c r="F41" i="3"/>
  <c r="H41" i="3"/>
  <c r="I41" i="3"/>
  <c r="E41" i="3"/>
  <c r="K41" i="3"/>
  <c r="U29" i="3" l="1"/>
  <c r="AC12" i="3"/>
  <c r="F41" i="11"/>
  <c r="F47" i="11" s="1"/>
  <c r="F50" i="11" s="1"/>
  <c r="AA12" i="3"/>
  <c r="U12" i="3"/>
  <c r="E41" i="11"/>
  <c r="E47" i="11" s="1"/>
  <c r="E50" i="11" s="1"/>
  <c r="Y12" i="3"/>
  <c r="AI12" i="3"/>
  <c r="W12" i="3"/>
  <c r="AK10" i="1"/>
  <c r="AG12" i="3"/>
  <c r="AE41" i="3"/>
  <c r="AE12" i="3"/>
  <c r="AC41" i="3"/>
  <c r="Y41" i="3"/>
  <c r="D41" i="3"/>
  <c r="AA41" i="3"/>
  <c r="AI41" i="3"/>
  <c r="W41" i="3"/>
  <c r="AG41" i="3"/>
  <c r="T10" i="3"/>
  <c r="D10" i="3"/>
  <c r="V10" i="3"/>
  <c r="E10" i="3"/>
  <c r="X10" i="3"/>
  <c r="Y10" i="3"/>
  <c r="F10" i="3"/>
  <c r="Z10" i="3"/>
  <c r="G10" i="3"/>
  <c r="AB10" i="3"/>
  <c r="H10" i="3"/>
  <c r="AD10" i="3"/>
  <c r="I10" i="3"/>
  <c r="E37" i="11" s="1"/>
  <c r="AF10" i="3"/>
  <c r="J10" i="3"/>
  <c r="F37" i="11" s="1"/>
  <c r="AH10" i="3"/>
  <c r="K10" i="3"/>
  <c r="G37" i="11" s="1"/>
  <c r="T9" i="3"/>
  <c r="D9" i="3"/>
  <c r="V9" i="3"/>
  <c r="E9" i="3"/>
  <c r="X9" i="3"/>
  <c r="F9" i="3"/>
  <c r="Z9" i="3"/>
  <c r="G9" i="3"/>
  <c r="AB9" i="3"/>
  <c r="H9" i="3"/>
  <c r="AD9" i="3"/>
  <c r="I9" i="3"/>
  <c r="AF9" i="3"/>
  <c r="J9" i="3"/>
  <c r="AH9" i="3"/>
  <c r="K9" i="3"/>
  <c r="K64" i="4"/>
  <c r="T64" i="4"/>
  <c r="D64" i="4"/>
  <c r="V64" i="4"/>
  <c r="E64" i="4"/>
  <c r="X64" i="4"/>
  <c r="F64" i="4"/>
  <c r="Z64" i="4"/>
  <c r="G64" i="4"/>
  <c r="AB64" i="4"/>
  <c r="H64" i="4"/>
  <c r="AD64" i="4"/>
  <c r="I64" i="4"/>
  <c r="AF64" i="4"/>
  <c r="J64" i="4"/>
  <c r="AH64" i="4"/>
  <c r="AH61" i="4"/>
  <c r="AH8" i="3" s="1"/>
  <c r="T63" i="2"/>
  <c r="T64" i="2" s="1"/>
  <c r="D63" i="2"/>
  <c r="D64" i="2" s="1"/>
  <c r="V63" i="2"/>
  <c r="V64" i="2" s="1"/>
  <c r="E63" i="2"/>
  <c r="E64" i="2" s="1"/>
  <c r="X63" i="2"/>
  <c r="X64" i="2" s="1"/>
  <c r="F63" i="2"/>
  <c r="F64" i="2" s="1"/>
  <c r="Z63" i="2"/>
  <c r="Z64" i="2" s="1"/>
  <c r="G63" i="2"/>
  <c r="G64" i="2" s="1"/>
  <c r="AB63" i="2"/>
  <c r="AB64" i="2" s="1"/>
  <c r="H63" i="2"/>
  <c r="H64" i="2" s="1"/>
  <c r="AD63" i="2"/>
  <c r="AD64" i="2" s="1"/>
  <c r="I63" i="2"/>
  <c r="I64" i="2" s="1"/>
  <c r="AF63" i="2"/>
  <c r="AF64" i="2" s="1"/>
  <c r="J63" i="2"/>
  <c r="J64" i="2" s="1"/>
  <c r="AH63" i="2"/>
  <c r="AH64" i="2" s="1"/>
  <c r="K63" i="2"/>
  <c r="K64" i="2" s="1"/>
  <c r="Y57" i="2"/>
  <c r="W57" i="2"/>
  <c r="C57" i="2"/>
  <c r="D57" i="2"/>
  <c r="E57" i="2"/>
  <c r="F57" i="2"/>
  <c r="G57" i="2"/>
  <c r="H57" i="2"/>
  <c r="I57" i="2"/>
  <c r="J57" i="2"/>
  <c r="K57" i="2"/>
  <c r="AI54" i="2"/>
  <c r="AG54" i="2"/>
  <c r="AE54" i="2"/>
  <c r="AC54" i="2"/>
  <c r="AA54" i="2"/>
  <c r="W54" i="2"/>
  <c r="U54" i="2"/>
  <c r="U45" i="2"/>
  <c r="W45" i="2"/>
  <c r="Y45" i="2"/>
  <c r="AI40" i="2"/>
  <c r="AG40" i="2"/>
  <c r="AE40" i="2"/>
  <c r="AC40" i="2"/>
  <c r="AA40" i="2"/>
  <c r="W40" i="2"/>
  <c r="U40" i="2"/>
  <c r="AI29" i="2"/>
  <c r="AG29" i="2"/>
  <c r="AE29" i="2"/>
  <c r="AC29" i="2"/>
  <c r="AA29" i="2"/>
  <c r="W29" i="2"/>
  <c r="U29" i="2"/>
  <c r="AJ161" i="1"/>
  <c r="AH161" i="1"/>
  <c r="AF161" i="1"/>
  <c r="AJ156" i="1"/>
  <c r="AH156" i="1"/>
  <c r="AF156" i="1"/>
  <c r="AB93" i="1"/>
  <c r="Z93" i="1"/>
  <c r="Z8" i="1" s="1"/>
  <c r="BC7" i="14" s="1"/>
  <c r="R7" i="14" s="1"/>
  <c r="X93" i="1"/>
  <c r="V93" i="1"/>
  <c r="AA88" i="1"/>
  <c r="G88" i="1"/>
  <c r="AC88" i="1"/>
  <c r="H88" i="1"/>
  <c r="AE88" i="1"/>
  <c r="I88" i="1"/>
  <c r="AG88" i="1"/>
  <c r="J88" i="1"/>
  <c r="AI88" i="1"/>
  <c r="K88" i="1"/>
  <c r="AJ68" i="1"/>
  <c r="AH68" i="1"/>
  <c r="AF68" i="1"/>
  <c r="AD68" i="1"/>
  <c r="AB68" i="1"/>
  <c r="Z68" i="1"/>
  <c r="V50" i="1"/>
  <c r="V45" i="1" s="1"/>
  <c r="X23" i="1"/>
  <c r="V23" i="1"/>
  <c r="E27" i="1"/>
  <c r="Y27" i="1"/>
  <c r="F27" i="1"/>
  <c r="AA27" i="1"/>
  <c r="AA55" i="1" s="1"/>
  <c r="G27" i="1"/>
  <c r="G55" i="1" s="1"/>
  <c r="AC27" i="1"/>
  <c r="H27" i="1"/>
  <c r="AE27" i="1"/>
  <c r="I27" i="1"/>
  <c r="AG27" i="1"/>
  <c r="J27" i="1"/>
  <c r="AI27" i="1"/>
  <c r="K27" i="1"/>
  <c r="W74" i="1"/>
  <c r="Y74" i="1"/>
  <c r="F74" i="1"/>
  <c r="AA74" i="1"/>
  <c r="G74" i="1"/>
  <c r="AC74" i="1"/>
  <c r="H74" i="1"/>
  <c r="AE74" i="1"/>
  <c r="I74" i="1"/>
  <c r="AG74" i="1"/>
  <c r="J74" i="1"/>
  <c r="AI74" i="1"/>
  <c r="K74" i="1"/>
  <c r="AE7" i="3" l="1"/>
  <c r="U63" i="2"/>
  <c r="U64" i="2" s="1"/>
  <c r="F38" i="11"/>
  <c r="U7" i="3"/>
  <c r="AI7" i="3"/>
  <c r="G30" i="11"/>
  <c r="O53" i="11" s="1"/>
  <c r="E38" i="11"/>
  <c r="AG7" i="3"/>
  <c r="W7" i="3"/>
  <c r="U10" i="3"/>
  <c r="AA55" i="2"/>
  <c r="F30" i="11"/>
  <c r="N53" i="11" s="1"/>
  <c r="AA7" i="3"/>
  <c r="W10" i="3"/>
  <c r="Y9" i="3"/>
  <c r="E30" i="11"/>
  <c r="M53" i="11" s="1"/>
  <c r="AC7" i="3"/>
  <c r="W63" i="2"/>
  <c r="W64" i="2" s="1"/>
  <c r="L89" i="1"/>
  <c r="BN8" i="14"/>
  <c r="G56" i="1"/>
  <c r="H55" i="1"/>
  <c r="AB55" i="1"/>
  <c r="AA56" i="1"/>
  <c r="AC55" i="1"/>
  <c r="G38" i="11"/>
  <c r="X42" i="1"/>
  <c r="V42" i="1"/>
  <c r="D66" i="4"/>
  <c r="U41" i="3"/>
  <c r="D42" i="3"/>
  <c r="V40" i="3" s="1"/>
  <c r="V8" i="1"/>
  <c r="AY7" i="14" s="1"/>
  <c r="J7" i="14" s="1"/>
  <c r="X8" i="1"/>
  <c r="BA7" i="14" s="1"/>
  <c r="N7" i="14" s="1"/>
  <c r="AB8" i="1"/>
  <c r="BE7" i="14" s="1"/>
  <c r="AC10" i="3"/>
  <c r="AA10" i="3"/>
  <c r="AE10" i="3"/>
  <c r="AI10" i="3"/>
  <c r="AI39" i="2"/>
  <c r="AG10" i="3"/>
  <c r="J89" i="1"/>
  <c r="Z128" i="1"/>
  <c r="AB133" i="1"/>
  <c r="AB134" i="1" s="1"/>
  <c r="Z61" i="4"/>
  <c r="Z8" i="3" s="1"/>
  <c r="F39" i="11"/>
  <c r="G39" i="11"/>
  <c r="AG55" i="2"/>
  <c r="AE55" i="2"/>
  <c r="L94" i="1"/>
  <c r="L93" i="1" s="1"/>
  <c r="L8" i="1" s="1"/>
  <c r="AG89" i="1"/>
  <c r="I89" i="1"/>
  <c r="AI55" i="2"/>
  <c r="W55" i="2"/>
  <c r="Y55" i="2"/>
  <c r="AC55" i="2"/>
  <c r="AE89" i="1"/>
  <c r="AB61" i="4"/>
  <c r="K89" i="1"/>
  <c r="H89" i="1"/>
  <c r="V47" i="1"/>
  <c r="AI89" i="1"/>
  <c r="AC89" i="1"/>
  <c r="AF61" i="4"/>
  <c r="AF8" i="3" s="1"/>
  <c r="AD61" i="4"/>
  <c r="AD8" i="3" s="1"/>
  <c r="V58" i="1"/>
  <c r="K66" i="4"/>
  <c r="K62" i="4"/>
  <c r="H62" i="4"/>
  <c r="AH62" i="4"/>
  <c r="AB62" i="4"/>
  <c r="I62" i="4"/>
  <c r="AH66" i="4"/>
  <c r="AB66" i="4"/>
  <c r="V66" i="4"/>
  <c r="AF66" i="4"/>
  <c r="Z66" i="4"/>
  <c r="AD62" i="4"/>
  <c r="E62" i="4"/>
  <c r="U9" i="3"/>
  <c r="Y63" i="2"/>
  <c r="Y64" i="2" s="1"/>
  <c r="T66" i="4"/>
  <c r="I66" i="4"/>
  <c r="F66" i="4"/>
  <c r="W9" i="3"/>
  <c r="J62" i="4"/>
  <c r="G62" i="4"/>
  <c r="AD66" i="4"/>
  <c r="X66" i="4"/>
  <c r="AF62" i="4"/>
  <c r="H66" i="4"/>
  <c r="E66" i="4"/>
  <c r="J66" i="4"/>
  <c r="G66" i="4"/>
  <c r="F62" i="4"/>
  <c r="I75" i="1"/>
  <c r="K75" i="1"/>
  <c r="H75" i="1"/>
  <c r="AJ27" i="1"/>
  <c r="AB27" i="1"/>
  <c r="Y75" i="1"/>
  <c r="AD27" i="1"/>
  <c r="AI75" i="1"/>
  <c r="Z27" i="1"/>
  <c r="AE75" i="1"/>
  <c r="AF27" i="1"/>
  <c r="J75" i="1"/>
  <c r="G75" i="1"/>
  <c r="AH27" i="1"/>
  <c r="AC75" i="1"/>
  <c r="AG75" i="1"/>
  <c r="AA75" i="1"/>
  <c r="AN8" i="14" l="1"/>
  <c r="AN18" i="14" s="1"/>
  <c r="BN18" i="14"/>
  <c r="BZ7" i="14"/>
  <c r="BZ17" i="14" s="1"/>
  <c r="BZ27" i="14" s="1"/>
  <c r="X43" i="1"/>
  <c r="I55" i="1"/>
  <c r="AD55" i="1"/>
  <c r="AE55" i="1"/>
  <c r="AC56" i="1"/>
  <c r="N17" i="14"/>
  <c r="R17" i="14"/>
  <c r="V7" i="14"/>
  <c r="BE17" i="14"/>
  <c r="BE27" i="14" s="1"/>
  <c r="N13" i="14"/>
  <c r="N56" i="14" s="1"/>
  <c r="R13" i="14"/>
  <c r="R56" i="14" s="1"/>
  <c r="V67" i="4"/>
  <c r="H67" i="4"/>
  <c r="G67" i="4"/>
  <c r="E67" i="4"/>
  <c r="Z67" i="4"/>
  <c r="H16" i="11"/>
  <c r="T67" i="4"/>
  <c r="AF67" i="4"/>
  <c r="AH67" i="4"/>
  <c r="AB67" i="4"/>
  <c r="X67" i="4"/>
  <c r="AD67" i="4"/>
  <c r="M36" i="11"/>
  <c r="I67" i="4"/>
  <c r="E51" i="11" s="1"/>
  <c r="N36" i="11"/>
  <c r="J67" i="4"/>
  <c r="F51" i="11" s="1"/>
  <c r="O36" i="11"/>
  <c r="K67" i="4"/>
  <c r="G51" i="11" s="1"/>
  <c r="F67" i="4"/>
  <c r="D67" i="4"/>
  <c r="AD96" i="1"/>
  <c r="AB96" i="1"/>
  <c r="AB142" i="1"/>
  <c r="AB143" i="1" s="1"/>
  <c r="AA61" i="4"/>
  <c r="AA8" i="3" s="1"/>
  <c r="AI61" i="4"/>
  <c r="AI8" i="3" s="1"/>
  <c r="AC61" i="4"/>
  <c r="AC8" i="3" s="1"/>
  <c r="AB8" i="3"/>
  <c r="L149" i="1"/>
  <c r="L99" i="1"/>
  <c r="L10" i="2" s="1"/>
  <c r="L116" i="1"/>
  <c r="M94" i="1"/>
  <c r="M93" i="1" s="1"/>
  <c r="M8" i="1" s="1"/>
  <c r="AB124" i="1"/>
  <c r="AG61" i="4"/>
  <c r="AG8" i="3" s="1"/>
  <c r="AE61" i="4"/>
  <c r="AE8" i="3" s="1"/>
  <c r="E39" i="11"/>
  <c r="AD124" i="1"/>
  <c r="AA126" i="1"/>
  <c r="V60" i="1"/>
  <c r="AI45" i="2"/>
  <c r="AG45" i="2"/>
  <c r="AE45" i="2"/>
  <c r="AC45" i="2"/>
  <c r="AA45" i="2"/>
  <c r="AC87" i="2"/>
  <c r="AA87" i="2"/>
  <c r="AC86" i="2"/>
  <c r="AA86" i="2"/>
  <c r="Y87" i="2"/>
  <c r="W87" i="2"/>
  <c r="Y86" i="2"/>
  <c r="W86" i="2"/>
  <c r="AA79" i="2"/>
  <c r="AA57" i="2" s="1"/>
  <c r="Z57" i="2"/>
  <c r="AA78" i="2"/>
  <c r="AC77" i="2"/>
  <c r="AA77" i="2"/>
  <c r="AD57" i="2"/>
  <c r="AC79" i="2"/>
  <c r="AC57" i="2" s="1"/>
  <c r="AB57" i="2"/>
  <c r="AC78" i="2"/>
  <c r="V57" i="2"/>
  <c r="U57" i="2"/>
  <c r="T57" i="2"/>
  <c r="AE149" i="1"/>
  <c r="AE150" i="1" s="1"/>
  <c r="AG149" i="1"/>
  <c r="J149" i="1"/>
  <c r="AI149" i="1"/>
  <c r="K149" i="1"/>
  <c r="H149" i="1"/>
  <c r="K148" i="1"/>
  <c r="AI148" i="1"/>
  <c r="AG148" i="1"/>
  <c r="AJ147" i="1"/>
  <c r="AH147" i="1"/>
  <c r="BK63" i="14" s="1"/>
  <c r="I149" i="1"/>
  <c r="E17" i="11"/>
  <c r="F17" i="11"/>
  <c r="G17" i="11"/>
  <c r="I163" i="1"/>
  <c r="AG163" i="1"/>
  <c r="J163" i="1"/>
  <c r="AI163" i="1"/>
  <c r="K163" i="1"/>
  <c r="K162" i="1"/>
  <c r="AJ162" i="1"/>
  <c r="AI162" i="1"/>
  <c r="J162" i="1"/>
  <c r="AH162" i="1"/>
  <c r="AG162" i="1"/>
  <c r="I162" i="1"/>
  <c r="AE162" i="1"/>
  <c r="H162" i="1"/>
  <c r="I158" i="1"/>
  <c r="I159" i="1" s="1"/>
  <c r="J158" i="1"/>
  <c r="AI158" i="1"/>
  <c r="K158" i="1"/>
  <c r="K157" i="1"/>
  <c r="AJ157" i="1"/>
  <c r="AI157" i="1"/>
  <c r="J157" i="1"/>
  <c r="AH157" i="1"/>
  <c r="AG157" i="1"/>
  <c r="I157" i="1"/>
  <c r="AE157" i="1"/>
  <c r="H157" i="1"/>
  <c r="E23" i="11"/>
  <c r="F23" i="11"/>
  <c r="G23" i="11"/>
  <c r="E16" i="11"/>
  <c r="F16" i="11"/>
  <c r="K150" i="1" l="1"/>
  <c r="I150" i="1"/>
  <c r="J150" i="1"/>
  <c r="J55" i="1"/>
  <c r="AF55" i="1"/>
  <c r="AE56" i="1"/>
  <c r="AG55" i="1"/>
  <c r="V65" i="14"/>
  <c r="V17" i="14"/>
  <c r="V13" i="14"/>
  <c r="V56" i="14" s="1"/>
  <c r="BE56" i="14" s="1"/>
  <c r="BU56" i="14" s="1"/>
  <c r="AH63" i="14"/>
  <c r="AH64" i="14" s="1"/>
  <c r="BK64" i="14"/>
  <c r="AL148" i="1"/>
  <c r="BM63" i="14"/>
  <c r="AC67" i="4"/>
  <c r="W67" i="4"/>
  <c r="AI150" i="1"/>
  <c r="AG150" i="1"/>
  <c r="AA67" i="4"/>
  <c r="U67" i="4"/>
  <c r="I16" i="11"/>
  <c r="AE67" i="4"/>
  <c r="AI67" i="4"/>
  <c r="AG67" i="4"/>
  <c r="Y67" i="4"/>
  <c r="AD143" i="1"/>
  <c r="L150" i="1"/>
  <c r="M116" i="1"/>
  <c r="M117" i="1" s="1"/>
  <c r="M99" i="1"/>
  <c r="M10" i="2" s="1"/>
  <c r="M149" i="1"/>
  <c r="M150" i="1" s="1"/>
  <c r="N94" i="1"/>
  <c r="N93" i="1" s="1"/>
  <c r="N8" i="1" s="1"/>
  <c r="J164" i="1"/>
  <c r="J159" i="1"/>
  <c r="K159" i="1"/>
  <c r="K164" i="1"/>
  <c r="AI159" i="1"/>
  <c r="AI164" i="1"/>
  <c r="AG164" i="1"/>
  <c r="I164" i="1"/>
  <c r="AA127" i="1"/>
  <c r="AA128" i="1"/>
  <c r="AA129" i="1" s="1"/>
  <c r="AC126" i="1"/>
  <c r="AG63" i="2"/>
  <c r="AG64" i="2" s="1"/>
  <c r="AG9" i="3"/>
  <c r="AC63" i="2"/>
  <c r="AC64" i="2" s="1"/>
  <c r="AC9" i="3"/>
  <c r="AI63" i="2"/>
  <c r="AI64" i="2" s="1"/>
  <c r="AI9" i="3"/>
  <c r="AE63" i="2"/>
  <c r="AE64" i="2" s="1"/>
  <c r="AE9" i="3"/>
  <c r="AA63" i="2"/>
  <c r="AA64" i="2" s="1"/>
  <c r="AA9" i="3"/>
  <c r="AH148" i="1"/>
  <c r="E24" i="11"/>
  <c r="AJ148" i="1"/>
  <c r="J148" i="1"/>
  <c r="I148" i="1"/>
  <c r="AG56" i="1" l="1"/>
  <c r="AI55" i="1"/>
  <c r="K55" i="1"/>
  <c r="AH55" i="1"/>
  <c r="AL63" i="14"/>
  <c r="AL64" i="14" s="1"/>
  <c r="BM64" i="14"/>
  <c r="J16" i="11"/>
  <c r="E40" i="3"/>
  <c r="N99" i="1"/>
  <c r="N10" i="2" s="1"/>
  <c r="N149" i="1"/>
  <c r="N150" i="1" s="1"/>
  <c r="N116" i="1"/>
  <c r="N117" i="1" s="1"/>
  <c r="M100" i="1"/>
  <c r="O94" i="1"/>
  <c r="O93" i="1" s="1"/>
  <c r="O8" i="1" s="1"/>
  <c r="P94" i="1"/>
  <c r="G24" i="11"/>
  <c r="AC127" i="1"/>
  <c r="AC128" i="1"/>
  <c r="AC129" i="1" s="1"/>
  <c r="F24" i="11"/>
  <c r="L55" i="1" l="1"/>
  <c r="M55" i="1" s="1"/>
  <c r="N55" i="1" s="1"/>
  <c r="O55" i="1" s="1"/>
  <c r="P55" i="1" s="1"/>
  <c r="AJ55" i="1"/>
  <c r="AI56" i="1"/>
  <c r="AK55" i="1"/>
  <c r="E42" i="3"/>
  <c r="X40" i="3" s="1"/>
  <c r="W40" i="3"/>
  <c r="O99" i="1"/>
  <c r="O10" i="2" s="1"/>
  <c r="O149" i="1"/>
  <c r="O150" i="1" s="1"/>
  <c r="O116" i="1"/>
  <c r="O117" i="1" s="1"/>
  <c r="P93" i="1"/>
  <c r="P8" i="1" s="1"/>
  <c r="N100" i="1"/>
  <c r="AC111" i="1"/>
  <c r="H111" i="1"/>
  <c r="AE111" i="1"/>
  <c r="I111" i="1"/>
  <c r="AG111" i="1"/>
  <c r="J111" i="1"/>
  <c r="AI111" i="1"/>
  <c r="K111" i="1"/>
  <c r="G111" i="1"/>
  <c r="AC116" i="1"/>
  <c r="H116" i="1"/>
  <c r="AE116" i="1"/>
  <c r="I116" i="1"/>
  <c r="AG116" i="1"/>
  <c r="J116" i="1"/>
  <c r="AI116" i="1"/>
  <c r="K116" i="1"/>
  <c r="L117" i="1" s="1"/>
  <c r="G116" i="1"/>
  <c r="K115" i="1"/>
  <c r="AI115" i="1"/>
  <c r="J115" i="1"/>
  <c r="AG115" i="1"/>
  <c r="I115" i="1"/>
  <c r="AE115" i="1"/>
  <c r="H115" i="1"/>
  <c r="K110" i="1"/>
  <c r="AI110" i="1"/>
  <c r="J110" i="1"/>
  <c r="AG110" i="1"/>
  <c r="I110" i="1"/>
  <c r="AE110" i="1"/>
  <c r="H110" i="1"/>
  <c r="K167" i="1"/>
  <c r="AI167" i="1"/>
  <c r="J167" i="1"/>
  <c r="AG167" i="1"/>
  <c r="I167" i="1"/>
  <c r="AE167" i="1"/>
  <c r="H167" i="1"/>
  <c r="AC167" i="1"/>
  <c r="G167" i="1"/>
  <c r="F167" i="1"/>
  <c r="E167" i="1"/>
  <c r="AJ166" i="1"/>
  <c r="AH166" i="1"/>
  <c r="AH19" i="1" s="1"/>
  <c r="AF166" i="1"/>
  <c r="AF19" i="1" s="1"/>
  <c r="AD166" i="1"/>
  <c r="AD19" i="1" s="1"/>
  <c r="AB166" i="1"/>
  <c r="AB19" i="1" s="1"/>
  <c r="AD161" i="1"/>
  <c r="AD156" i="1"/>
  <c r="K154" i="1"/>
  <c r="AI154" i="1"/>
  <c r="J154" i="1"/>
  <c r="Y154" i="1"/>
  <c r="W154" i="1"/>
  <c r="C121" i="1"/>
  <c r="D121" i="1"/>
  <c r="W121" i="1"/>
  <c r="E121" i="1"/>
  <c r="Y121" i="1"/>
  <c r="F121" i="1"/>
  <c r="AA121" i="1"/>
  <c r="G121" i="1"/>
  <c r="AC121" i="1"/>
  <c r="H121" i="1"/>
  <c r="AE121" i="1"/>
  <c r="I121" i="1"/>
  <c r="M41" i="11" s="1"/>
  <c r="AG121" i="1"/>
  <c r="J121" i="1"/>
  <c r="N41" i="11" s="1"/>
  <c r="AI121" i="1"/>
  <c r="K121" i="1"/>
  <c r="O41" i="11" s="1"/>
  <c r="U121" i="1"/>
  <c r="K120" i="1"/>
  <c r="AI120" i="1"/>
  <c r="J120" i="1"/>
  <c r="AG120" i="1"/>
  <c r="I120" i="1"/>
  <c r="AE120" i="1"/>
  <c r="H120" i="1"/>
  <c r="AC120" i="1"/>
  <c r="G120" i="1"/>
  <c r="AA120" i="1"/>
  <c r="F120" i="1"/>
  <c r="Y120" i="1"/>
  <c r="E120" i="1"/>
  <c r="W120" i="1"/>
  <c r="D120" i="1"/>
  <c r="U99" i="1"/>
  <c r="W99" i="1"/>
  <c r="D99" i="1"/>
  <c r="Y99" i="1"/>
  <c r="E99" i="1"/>
  <c r="AA99" i="1"/>
  <c r="F99" i="1"/>
  <c r="AC99" i="1"/>
  <c r="G99" i="1"/>
  <c r="AE99" i="1"/>
  <c r="H99" i="1"/>
  <c r="AG99" i="1"/>
  <c r="I99" i="1"/>
  <c r="AI99" i="1"/>
  <c r="J99" i="1"/>
  <c r="K99" i="1"/>
  <c r="L100" i="1" s="1"/>
  <c r="I47" i="1"/>
  <c r="AG47" i="1"/>
  <c r="J47" i="1"/>
  <c r="AI47" i="1"/>
  <c r="K47" i="1"/>
  <c r="L48" i="1" s="1"/>
  <c r="K46" i="1"/>
  <c r="AI46" i="1"/>
  <c r="J46" i="1"/>
  <c r="H47" i="1"/>
  <c r="AC47" i="1"/>
  <c r="G42" i="1"/>
  <c r="AC42" i="1"/>
  <c r="H42" i="1"/>
  <c r="AE42" i="1"/>
  <c r="I42" i="1"/>
  <c r="AG42" i="1"/>
  <c r="J42" i="1"/>
  <c r="AI42" i="1"/>
  <c r="K42" i="1"/>
  <c r="AA42" i="1"/>
  <c r="AA43" i="1" s="1"/>
  <c r="M35" i="11"/>
  <c r="N35" i="11"/>
  <c r="L36" i="4"/>
  <c r="AH37" i="4"/>
  <c r="AF37" i="4"/>
  <c r="AD37" i="4"/>
  <c r="H37" i="4"/>
  <c r="AB37" i="4"/>
  <c r="G37" i="4"/>
  <c r="Z37" i="4"/>
  <c r="F37" i="4"/>
  <c r="X37" i="4"/>
  <c r="E37" i="4"/>
  <c r="V37" i="4"/>
  <c r="D37" i="4"/>
  <c r="T37" i="4"/>
  <c r="AB31" i="4"/>
  <c r="Z31" i="4"/>
  <c r="F31" i="4"/>
  <c r="E31" i="4"/>
  <c r="D31" i="4"/>
  <c r="X61" i="4"/>
  <c r="Y61" i="4" s="1"/>
  <c r="V61" i="4"/>
  <c r="O18" i="11"/>
  <c r="O17" i="11" s="1"/>
  <c r="N18" i="11"/>
  <c r="N17" i="11" s="1"/>
  <c r="AI30" i="1"/>
  <c r="J30" i="1"/>
  <c r="AG30" i="1"/>
  <c r="I30" i="1"/>
  <c r="AE30" i="1"/>
  <c r="H30" i="1"/>
  <c r="AC30" i="1"/>
  <c r="AL55" i="1" l="1"/>
  <c r="AJ19" i="1"/>
  <c r="AD157" i="1"/>
  <c r="O35" i="11"/>
  <c r="AE43" i="1"/>
  <c r="AG122" i="1"/>
  <c r="AA122" i="1"/>
  <c r="L20" i="4"/>
  <c r="P23" i="11" s="1"/>
  <c r="P22" i="11" s="1"/>
  <c r="M36" i="4"/>
  <c r="L37" i="4"/>
  <c r="F40" i="3"/>
  <c r="O100" i="1"/>
  <c r="AI117" i="1"/>
  <c r="I112" i="1"/>
  <c r="P116" i="1"/>
  <c r="P117" i="1" s="1"/>
  <c r="P99" i="1"/>
  <c r="P10" i="2" s="1"/>
  <c r="P149" i="1"/>
  <c r="P150" i="1" s="1"/>
  <c r="AE122" i="1"/>
  <c r="Y122" i="1"/>
  <c r="AG117" i="1"/>
  <c r="AG43" i="1"/>
  <c r="K48" i="1"/>
  <c r="K112" i="1"/>
  <c r="J43" i="1"/>
  <c r="I48" i="1"/>
  <c r="I122" i="1"/>
  <c r="F122" i="1"/>
  <c r="J117" i="1"/>
  <c r="AE112" i="1"/>
  <c r="I43" i="1"/>
  <c r="J122" i="1"/>
  <c r="G122" i="1"/>
  <c r="D122" i="1"/>
  <c r="K117" i="1"/>
  <c r="H117" i="1"/>
  <c r="AG112" i="1"/>
  <c r="AA47" i="1"/>
  <c r="AA48" i="1" s="1"/>
  <c r="AA46" i="1"/>
  <c r="G47" i="1"/>
  <c r="G46" i="1"/>
  <c r="U122" i="1"/>
  <c r="H112" i="1"/>
  <c r="K122" i="1"/>
  <c r="H122" i="1"/>
  <c r="E122" i="1"/>
  <c r="I117" i="1"/>
  <c r="AI112" i="1"/>
  <c r="AI122" i="1"/>
  <c r="AC122" i="1"/>
  <c r="W122" i="1"/>
  <c r="AE117" i="1"/>
  <c r="J112" i="1"/>
  <c r="K43" i="1"/>
  <c r="H43" i="1"/>
  <c r="AI48" i="1"/>
  <c r="AI43" i="1"/>
  <c r="AC43" i="1"/>
  <c r="J48" i="1"/>
  <c r="K100" i="1"/>
  <c r="W100" i="1"/>
  <c r="V8" i="3"/>
  <c r="W61" i="4"/>
  <c r="W8" i="3" s="1"/>
  <c r="I100" i="1"/>
  <c r="F100" i="1"/>
  <c r="Y8" i="3"/>
  <c r="X8" i="3"/>
  <c r="AA100" i="1"/>
  <c r="T61" i="4"/>
  <c r="H100" i="1"/>
  <c r="E100" i="1"/>
  <c r="AI104" i="1"/>
  <c r="AI100" i="1"/>
  <c r="AC104" i="1"/>
  <c r="AC106" i="1" s="1"/>
  <c r="AC100" i="1"/>
  <c r="AG104" i="1"/>
  <c r="AG106" i="1" s="1"/>
  <c r="AG100" i="1"/>
  <c r="AE104" i="1"/>
  <c r="AE106" i="1" s="1"/>
  <c r="AE100" i="1"/>
  <c r="Y100" i="1"/>
  <c r="J100" i="1"/>
  <c r="G100" i="1"/>
  <c r="AE31" i="1"/>
  <c r="I31" i="1"/>
  <c r="AG31" i="1"/>
  <c r="J31" i="1"/>
  <c r="AI31" i="1"/>
  <c r="X62" i="4"/>
  <c r="Z62" i="4"/>
  <c r="V62" i="4"/>
  <c r="X31" i="4"/>
  <c r="T31" i="4"/>
  <c r="V99" i="1"/>
  <c r="V101" i="1" s="1"/>
  <c r="AF30" i="1"/>
  <c r="AH30" i="1"/>
  <c r="K104" i="1"/>
  <c r="AJ99" i="1"/>
  <c r="AD30" i="1"/>
  <c r="J104" i="1"/>
  <c r="J106" i="1" s="1"/>
  <c r="AH99" i="1"/>
  <c r="G104" i="1"/>
  <c r="G106" i="1" s="1"/>
  <c r="AB99" i="1"/>
  <c r="AB101" i="1" s="1"/>
  <c r="I104" i="1"/>
  <c r="I106" i="1" s="1"/>
  <c r="AF99" i="1"/>
  <c r="Z99" i="1"/>
  <c r="Z101" i="1" s="1"/>
  <c r="H104" i="1"/>
  <c r="H106" i="1" s="1"/>
  <c r="AD99" i="1"/>
  <c r="X99" i="1"/>
  <c r="X101" i="1" s="1"/>
  <c r="J37" i="4"/>
  <c r="H72" i="1"/>
  <c r="AB20" i="4"/>
  <c r="AB22" i="4" s="1"/>
  <c r="K72" i="1"/>
  <c r="I37" i="4"/>
  <c r="M23" i="11"/>
  <c r="M22" i="11" s="1"/>
  <c r="V31" i="4"/>
  <c r="K37" i="4"/>
  <c r="F22" i="4"/>
  <c r="T20" i="4"/>
  <c r="T22" i="4" s="1"/>
  <c r="AB39" i="4"/>
  <c r="D39" i="4"/>
  <c r="AG35" i="1"/>
  <c r="AG37" i="1" s="1"/>
  <c r="J35" i="1"/>
  <c r="J37" i="1" s="1"/>
  <c r="AC35" i="1"/>
  <c r="AC37" i="1" s="1"/>
  <c r="AI35" i="1"/>
  <c r="H35" i="1"/>
  <c r="H37" i="1" s="1"/>
  <c r="I35" i="1"/>
  <c r="I37" i="1" s="1"/>
  <c r="AE35" i="1"/>
  <c r="AE37" i="1" s="1"/>
  <c r="AF157" i="1"/>
  <c r="AF162" i="1"/>
  <c r="AD167" i="1"/>
  <c r="AH167" i="1"/>
  <c r="Z167" i="1"/>
  <c r="H46" i="1"/>
  <c r="I46" i="1"/>
  <c r="AE72" i="1"/>
  <c r="AB167" i="1"/>
  <c r="E39" i="4"/>
  <c r="G31" i="4"/>
  <c r="F39" i="4"/>
  <c r="AA72" i="1"/>
  <c r="AF167" i="1"/>
  <c r="I72" i="1"/>
  <c r="D22" i="4"/>
  <c r="I31" i="4"/>
  <c r="AC46" i="1"/>
  <c r="Z39" i="4"/>
  <c r="AJ167" i="1"/>
  <c r="Z20" i="4"/>
  <c r="Z22" i="4" s="1"/>
  <c r="AH20" i="4"/>
  <c r="AH22" i="4" s="1"/>
  <c r="H31" i="4"/>
  <c r="AI72" i="1"/>
  <c r="J72" i="1"/>
  <c r="AE46" i="1"/>
  <c r="AE47" i="1"/>
  <c r="AE48" i="1" s="1"/>
  <c r="AG46" i="1"/>
  <c r="Y72" i="1"/>
  <c r="AC72" i="1"/>
  <c r="AG72" i="1"/>
  <c r="J31" i="4"/>
  <c r="AF31" i="4"/>
  <c r="AD31" i="4"/>
  <c r="V20" i="4"/>
  <c r="V22" i="4" s="1"/>
  <c r="M18" i="11"/>
  <c r="M17" i="11" s="1"/>
  <c r="X20" i="4"/>
  <c r="X22" i="4" s="1"/>
  <c r="AD20" i="4"/>
  <c r="AD22" i="4" s="1"/>
  <c r="V39" i="4" l="1"/>
  <c r="V45" i="4" s="1"/>
  <c r="N31" i="11"/>
  <c r="N30" i="11" s="1"/>
  <c r="X39" i="4"/>
  <c r="X45" i="4" s="1"/>
  <c r="M27" i="11"/>
  <c r="M26" i="11" s="1"/>
  <c r="H39" i="4"/>
  <c r="G39" i="4"/>
  <c r="AD39" i="4"/>
  <c r="AD45" i="4" s="1"/>
  <c r="M31" i="11"/>
  <c r="M30" i="11" s="1"/>
  <c r="AF39" i="4"/>
  <c r="N27" i="11"/>
  <c r="N26" i="11" s="1"/>
  <c r="O31" i="11"/>
  <c r="O30" i="11" s="1"/>
  <c r="T39" i="4"/>
  <c r="T45" i="4" s="1"/>
  <c r="F42" i="3"/>
  <c r="Z40" i="3" s="1"/>
  <c r="Y40" i="3"/>
  <c r="P31" i="11"/>
  <c r="P30" i="11" s="1"/>
  <c r="J22" i="4"/>
  <c r="N23" i="11"/>
  <c r="N22" i="11" s="1"/>
  <c r="K22" i="4"/>
  <c r="O23" i="11"/>
  <c r="O22" i="11" s="1"/>
  <c r="V102" i="1"/>
  <c r="Z102" i="1"/>
  <c r="J38" i="1"/>
  <c r="I38" i="1"/>
  <c r="X102" i="1"/>
  <c r="AB102" i="1"/>
  <c r="N36" i="4"/>
  <c r="M37" i="4"/>
  <c r="M20" i="4"/>
  <c r="Q23" i="11" s="1"/>
  <c r="Q22" i="11" s="1"/>
  <c r="P100" i="1"/>
  <c r="AI106" i="1"/>
  <c r="AI107" i="1" s="1"/>
  <c r="AK104" i="1"/>
  <c r="K106" i="1"/>
  <c r="K107" i="1" s="1"/>
  <c r="L104" i="1"/>
  <c r="AI37" i="1"/>
  <c r="AK35" i="1"/>
  <c r="AC48" i="1"/>
  <c r="J107" i="1"/>
  <c r="I107" i="1"/>
  <c r="H48" i="1"/>
  <c r="AG48" i="1"/>
  <c r="AE107" i="1"/>
  <c r="H107" i="1"/>
  <c r="AG107" i="1"/>
  <c r="Z100" i="1"/>
  <c r="U61" i="4"/>
  <c r="U8" i="3" s="1"/>
  <c r="T8" i="3"/>
  <c r="AF100" i="1"/>
  <c r="AI105" i="1"/>
  <c r="AJ100" i="1"/>
  <c r="X100" i="1"/>
  <c r="AB100" i="1"/>
  <c r="AD100" i="1"/>
  <c r="AH31" i="1"/>
  <c r="AG105" i="1"/>
  <c r="AE105" i="1"/>
  <c r="AH100" i="1"/>
  <c r="AF31" i="1"/>
  <c r="J39" i="4"/>
  <c r="Z45" i="4"/>
  <c r="D45" i="4"/>
  <c r="H105" i="1"/>
  <c r="K105" i="1"/>
  <c r="J105" i="1"/>
  <c r="I105" i="1"/>
  <c r="J36" i="1"/>
  <c r="AI36" i="1"/>
  <c r="AG36" i="1"/>
  <c r="I36" i="1"/>
  <c r="AB45" i="4"/>
  <c r="F45" i="4"/>
  <c r="I22" i="4"/>
  <c r="AE36" i="1"/>
  <c r="I39" i="4"/>
  <c r="E22" i="4"/>
  <c r="H22" i="4"/>
  <c r="G22" i="4"/>
  <c r="AH31" i="4"/>
  <c r="G45" i="4" l="1"/>
  <c r="H45" i="4"/>
  <c r="E45" i="4"/>
  <c r="AH39" i="4"/>
  <c r="J45" i="4"/>
  <c r="Q31" i="11"/>
  <c r="Q30" i="11" s="1"/>
  <c r="N20" i="4"/>
  <c r="R23" i="11" s="1"/>
  <c r="R22" i="11" s="1"/>
  <c r="O36" i="4"/>
  <c r="N37" i="4"/>
  <c r="G40" i="3"/>
  <c r="G42" i="3" s="1"/>
  <c r="AB40" i="3" s="1"/>
  <c r="M104" i="1"/>
  <c r="AL104" i="1"/>
  <c r="L106" i="1"/>
  <c r="L107" i="1" s="1"/>
  <c r="L109" i="1"/>
  <c r="L119" i="1" s="1"/>
  <c r="I45" i="4"/>
  <c r="K31" i="4"/>
  <c r="R31" i="11" l="1"/>
  <c r="R30" i="11" s="1"/>
  <c r="AH45" i="4"/>
  <c r="AA40" i="3"/>
  <c r="K39" i="4"/>
  <c r="O27" i="11"/>
  <c r="O26" i="11" s="1"/>
  <c r="P20" i="4"/>
  <c r="O20" i="4"/>
  <c r="P36" i="4"/>
  <c r="O37" i="4"/>
  <c r="L111" i="1"/>
  <c r="L112" i="1" s="1"/>
  <c r="L17" i="1"/>
  <c r="L110" i="1"/>
  <c r="N104" i="1"/>
  <c r="M106" i="1"/>
  <c r="M107" i="1" s="1"/>
  <c r="M109" i="1"/>
  <c r="AF20" i="4"/>
  <c r="AF22" i="4" s="1"/>
  <c r="P37" i="4" l="1"/>
  <c r="AF45" i="4"/>
  <c r="K45" i="4"/>
  <c r="H23" i="11"/>
  <c r="H40" i="3"/>
  <c r="M111" i="1"/>
  <c r="M112" i="1" s="1"/>
  <c r="M119" i="1"/>
  <c r="M17" i="1" s="1"/>
  <c r="M110" i="1"/>
  <c r="O104" i="1"/>
  <c r="N106" i="1"/>
  <c r="N107" i="1" s="1"/>
  <c r="N109" i="1"/>
  <c r="L121" i="1"/>
  <c r="L120" i="1"/>
  <c r="L126" i="1"/>
  <c r="C16" i="1"/>
  <c r="C20" i="1" s="1"/>
  <c r="C31" i="2" s="1"/>
  <c r="U16" i="1"/>
  <c r="U20" i="1" s="1"/>
  <c r="D16" i="1"/>
  <c r="D20" i="1" s="1"/>
  <c r="W16" i="1"/>
  <c r="W20" i="1" s="1"/>
  <c r="E16" i="1"/>
  <c r="E20" i="1" s="1"/>
  <c r="Y16" i="1"/>
  <c r="Y20" i="1" s="1"/>
  <c r="F16" i="1"/>
  <c r="F20" i="1" s="1"/>
  <c r="AA16" i="1"/>
  <c r="AA20" i="1" s="1"/>
  <c r="G16" i="1"/>
  <c r="G20" i="1" s="1"/>
  <c r="AC16" i="1"/>
  <c r="AC20" i="1" s="1"/>
  <c r="H16" i="1"/>
  <c r="H20" i="1" s="1"/>
  <c r="AE16" i="1"/>
  <c r="AE20" i="1" s="1"/>
  <c r="I16" i="1"/>
  <c r="AG16" i="1"/>
  <c r="AG20" i="1" s="1"/>
  <c r="J16" i="1"/>
  <c r="AI16" i="1"/>
  <c r="C7" i="1"/>
  <c r="U7" i="1"/>
  <c r="AX6" i="14" s="1"/>
  <c r="H6" i="14" s="1"/>
  <c r="L16" i="14" s="1"/>
  <c r="D7" i="1"/>
  <c r="W7" i="1"/>
  <c r="AZ6" i="14" s="1"/>
  <c r="E7" i="1"/>
  <c r="Y7" i="1"/>
  <c r="AA7" i="1"/>
  <c r="BD6" i="14" s="1"/>
  <c r="G7" i="1"/>
  <c r="AC7" i="1"/>
  <c r="BF6" i="14" s="1"/>
  <c r="H7" i="1"/>
  <c r="AE7" i="1"/>
  <c r="BH6" i="14" s="1"/>
  <c r="I7" i="1"/>
  <c r="AG7" i="1"/>
  <c r="BJ6" i="14" s="1"/>
  <c r="J7" i="1"/>
  <c r="AI7" i="1"/>
  <c r="K16" i="1"/>
  <c r="K30" i="1"/>
  <c r="L31" i="1" s="1"/>
  <c r="K7" i="1"/>
  <c r="G30" i="1"/>
  <c r="AA30" i="1"/>
  <c r="Y30" i="1"/>
  <c r="Y35" i="1" s="1"/>
  <c r="E30" i="1"/>
  <c r="W30" i="1"/>
  <c r="W35" i="1" s="1"/>
  <c r="D30" i="1"/>
  <c r="U30" i="1"/>
  <c r="U35" i="1" s="1"/>
  <c r="C36" i="2" l="1"/>
  <c r="G22" i="11"/>
  <c r="K20" i="1"/>
  <c r="BX6" i="14"/>
  <c r="BW6" i="14"/>
  <c r="BU6" i="14"/>
  <c r="BQ6" i="14"/>
  <c r="AZ16" i="14"/>
  <c r="AZ26" i="14" s="1"/>
  <c r="X6" i="14"/>
  <c r="BF16" i="14"/>
  <c r="BF26" i="14" s="1"/>
  <c r="AB6" i="14"/>
  <c r="AF44" i="14" s="1"/>
  <c r="AF34" i="14" s="1"/>
  <c r="BH16" i="14"/>
  <c r="BH26" i="14" s="1"/>
  <c r="AF6" i="14"/>
  <c r="BJ16" i="14"/>
  <c r="BJ26" i="14" s="1"/>
  <c r="T6" i="14"/>
  <c r="H11" i="1"/>
  <c r="H53" i="4" s="1"/>
  <c r="BV6" i="14"/>
  <c r="BL6" i="14"/>
  <c r="D11" i="1"/>
  <c r="BR9" i="14" s="1"/>
  <c r="BR6" i="14"/>
  <c r="L12" i="14"/>
  <c r="H9" i="14"/>
  <c r="L19" i="14" s="1"/>
  <c r="E11" i="1"/>
  <c r="BS9" i="14" s="1"/>
  <c r="BS6" i="14"/>
  <c r="G15" i="11"/>
  <c r="BY6" i="14"/>
  <c r="Y11" i="1"/>
  <c r="BB6" i="14"/>
  <c r="H42" i="3"/>
  <c r="AD40" i="3" s="1"/>
  <c r="AC40" i="3"/>
  <c r="I23" i="11"/>
  <c r="AI20" i="1"/>
  <c r="L122" i="1"/>
  <c r="P41" i="11"/>
  <c r="N111" i="1"/>
  <c r="N112" i="1" s="1"/>
  <c r="N119" i="1"/>
  <c r="N17" i="1" s="1"/>
  <c r="N110" i="1"/>
  <c r="P104" i="1"/>
  <c r="O106" i="1"/>
  <c r="O107" i="1" s="1"/>
  <c r="O109" i="1"/>
  <c r="L128" i="1"/>
  <c r="M121" i="1"/>
  <c r="M120" i="1"/>
  <c r="M126" i="1"/>
  <c r="W37" i="1"/>
  <c r="W36" i="1"/>
  <c r="Y36" i="1"/>
  <c r="Y37" i="1"/>
  <c r="U37" i="1"/>
  <c r="AF31" i="2"/>
  <c r="Z31" i="2"/>
  <c r="F31" i="2"/>
  <c r="AD31" i="2"/>
  <c r="X31" i="2"/>
  <c r="H31" i="2"/>
  <c r="E31" i="2"/>
  <c r="V31" i="2"/>
  <c r="T31" i="2"/>
  <c r="AB31" i="2"/>
  <c r="G31" i="2"/>
  <c r="D31" i="2"/>
  <c r="J11" i="1"/>
  <c r="F15" i="11"/>
  <c r="I20" i="1"/>
  <c r="E22" i="11"/>
  <c r="I11" i="1"/>
  <c r="E15" i="11"/>
  <c r="J20" i="1"/>
  <c r="F22" i="11"/>
  <c r="AI11" i="1"/>
  <c r="AC11" i="1"/>
  <c r="U11" i="1"/>
  <c r="AA11" i="1"/>
  <c r="AE11" i="1"/>
  <c r="W11" i="1"/>
  <c r="C24" i="2"/>
  <c r="W31" i="1"/>
  <c r="Y31" i="1"/>
  <c r="H31" i="1"/>
  <c r="AA31" i="1"/>
  <c r="AC31" i="1"/>
  <c r="AJ30" i="1"/>
  <c r="AJ10" i="2" s="1"/>
  <c r="K31" i="1"/>
  <c r="E31" i="1"/>
  <c r="C42" i="2"/>
  <c r="X30" i="1"/>
  <c r="AB30" i="1"/>
  <c r="V30" i="1"/>
  <c r="C5" i="2"/>
  <c r="AA35" i="1"/>
  <c r="G35" i="1"/>
  <c r="H36" i="1" s="1"/>
  <c r="K35" i="1"/>
  <c r="K11" i="1"/>
  <c r="D43" i="17" s="1"/>
  <c r="AJ153" i="1"/>
  <c r="AH153" i="1"/>
  <c r="AH10" i="1" s="1"/>
  <c r="BK8" i="14" s="1"/>
  <c r="AF153" i="1"/>
  <c r="K94" i="1"/>
  <c r="K97" i="1" s="1"/>
  <c r="AI94" i="1"/>
  <c r="J94" i="1"/>
  <c r="J97" i="1" s="1"/>
  <c r="AG94" i="1"/>
  <c r="I94" i="1"/>
  <c r="I97" i="1" s="1"/>
  <c r="AE94" i="1"/>
  <c r="H94" i="1"/>
  <c r="H97" i="1" s="1"/>
  <c r="AC94" i="1"/>
  <c r="G94" i="1"/>
  <c r="G97" i="1" s="1"/>
  <c r="AA94" i="1"/>
  <c r="F94" i="1"/>
  <c r="F97" i="1" s="1"/>
  <c r="Y94" i="1"/>
  <c r="E94" i="1"/>
  <c r="E97" i="1" s="1"/>
  <c r="W94" i="1"/>
  <c r="D94" i="1"/>
  <c r="AJ114" i="1"/>
  <c r="AL115" i="1" s="1"/>
  <c r="AJ109" i="1"/>
  <c r="AH114" i="1"/>
  <c r="AH109" i="1"/>
  <c r="AF114" i="1"/>
  <c r="AF109" i="1"/>
  <c r="AD114" i="1"/>
  <c r="AD109" i="1"/>
  <c r="AJ119" i="1"/>
  <c r="AJ17" i="1" s="1"/>
  <c r="AH119" i="1"/>
  <c r="AH17" i="1" s="1"/>
  <c r="AF119" i="1"/>
  <c r="AF17" i="1" s="1"/>
  <c r="AD119" i="1"/>
  <c r="AD17" i="1" s="1"/>
  <c r="AB119" i="1"/>
  <c r="AB17" i="1" s="1"/>
  <c r="Z119" i="1"/>
  <c r="X119" i="1"/>
  <c r="V119" i="1"/>
  <c r="AJ93" i="1"/>
  <c r="AJ136" i="1" s="1"/>
  <c r="AH93" i="1"/>
  <c r="AF93" i="1"/>
  <c r="AD93" i="1"/>
  <c r="K69" i="1"/>
  <c r="AI69" i="1"/>
  <c r="J69" i="1"/>
  <c r="AG69" i="1"/>
  <c r="I69" i="1"/>
  <c r="AE69" i="1"/>
  <c r="H69" i="1"/>
  <c r="AC69" i="1"/>
  <c r="G69" i="1"/>
  <c r="AA69" i="1"/>
  <c r="Y69" i="1"/>
  <c r="AD74" i="1"/>
  <c r="AF74" i="1"/>
  <c r="AB74" i="1"/>
  <c r="Z74" i="1"/>
  <c r="AJ74" i="1"/>
  <c r="K87" i="1"/>
  <c r="AI87" i="1"/>
  <c r="J87" i="1"/>
  <c r="AG87" i="1"/>
  <c r="I87" i="1"/>
  <c r="AE87" i="1"/>
  <c r="H87" i="1"/>
  <c r="AC87" i="1"/>
  <c r="AJ86" i="1"/>
  <c r="AH86" i="1"/>
  <c r="BK41" i="14" s="1"/>
  <c r="AF86" i="1"/>
  <c r="BI41" i="14" s="1"/>
  <c r="AD86" i="1"/>
  <c r="BG41" i="14" s="1"/>
  <c r="AB86" i="1"/>
  <c r="BE41" i="14" s="1"/>
  <c r="V41" i="14" s="1"/>
  <c r="Y88" i="1"/>
  <c r="W88" i="1"/>
  <c r="K41" i="1"/>
  <c r="AI41" i="1"/>
  <c r="J41" i="1"/>
  <c r="AG41" i="1"/>
  <c r="I41" i="1"/>
  <c r="AE41" i="1"/>
  <c r="H41" i="1"/>
  <c r="AJ45" i="1"/>
  <c r="AH45" i="1"/>
  <c r="AF45" i="1"/>
  <c r="AH40" i="1"/>
  <c r="AF40" i="1"/>
  <c r="AD40" i="1"/>
  <c r="AB40" i="1"/>
  <c r="AB41" i="1" s="1"/>
  <c r="C52" i="1"/>
  <c r="U52" i="1"/>
  <c r="D52" i="1"/>
  <c r="W52" i="1"/>
  <c r="E52" i="1"/>
  <c r="Y52" i="1"/>
  <c r="AA52" i="1"/>
  <c r="G52" i="1"/>
  <c r="AC52" i="1"/>
  <c r="H52" i="1"/>
  <c r="AE52" i="1"/>
  <c r="I52" i="1"/>
  <c r="AG52" i="1"/>
  <c r="J52" i="1"/>
  <c r="AI52" i="1"/>
  <c r="K52" i="1"/>
  <c r="K51" i="1"/>
  <c r="AI51" i="1"/>
  <c r="J51" i="1"/>
  <c r="AG51" i="1"/>
  <c r="I51" i="1"/>
  <c r="AE51" i="1"/>
  <c r="H51" i="1"/>
  <c r="AC51" i="1"/>
  <c r="G51" i="1"/>
  <c r="AA51" i="1"/>
  <c r="F51" i="1"/>
  <c r="Y51" i="1"/>
  <c r="E51" i="1"/>
  <c r="W51" i="1"/>
  <c r="D51" i="1"/>
  <c r="AJ50" i="1"/>
  <c r="AH50" i="1"/>
  <c r="AF50" i="1"/>
  <c r="AD50" i="1"/>
  <c r="AB50" i="1"/>
  <c r="Z50" i="1"/>
  <c r="Z55" i="1" s="1"/>
  <c r="X50" i="1"/>
  <c r="W24" i="1"/>
  <c r="E24" i="1"/>
  <c r="E28" i="1" s="1"/>
  <c r="Y24" i="1"/>
  <c r="Y28" i="1" s="1"/>
  <c r="AA24" i="1"/>
  <c r="AA28" i="1" s="1"/>
  <c r="AC24" i="1"/>
  <c r="AC28" i="1" s="1"/>
  <c r="H24" i="1"/>
  <c r="H28" i="1" s="1"/>
  <c r="AE24" i="1"/>
  <c r="AE28" i="1" s="1"/>
  <c r="I24" i="1"/>
  <c r="I28" i="1" s="1"/>
  <c r="AG24" i="1"/>
  <c r="AG28" i="1" s="1"/>
  <c r="J24" i="1"/>
  <c r="J28" i="1" s="1"/>
  <c r="AI24" i="1"/>
  <c r="AI28" i="1" s="1"/>
  <c r="K24" i="1"/>
  <c r="K28" i="1" s="1"/>
  <c r="D24" i="1"/>
  <c r="AJ23" i="1"/>
  <c r="AH23" i="1"/>
  <c r="AF23" i="1"/>
  <c r="AF56" i="1" s="1"/>
  <c r="AD23" i="1"/>
  <c r="AD56" i="1" s="1"/>
  <c r="AB23" i="1"/>
  <c r="AB56" i="1" s="1"/>
  <c r="AD149" i="1" l="1"/>
  <c r="AE136" i="1"/>
  <c r="AF8" i="1"/>
  <c r="BI7" i="14" s="1"/>
  <c r="BI65" i="14" s="1"/>
  <c r="BW65" i="14" s="1"/>
  <c r="AF136" i="1"/>
  <c r="AG136" i="1"/>
  <c r="AH8" i="1"/>
  <c r="BK7" i="14" s="1"/>
  <c r="AH136" i="1"/>
  <c r="AJ137" i="1" s="1"/>
  <c r="AI136" i="1"/>
  <c r="AK10" i="2"/>
  <c r="G34" i="2"/>
  <c r="X42" i="2"/>
  <c r="X49" i="2" s="1"/>
  <c r="AB34" i="2"/>
  <c r="AD24" i="2"/>
  <c r="T24" i="2"/>
  <c r="Z24" i="2"/>
  <c r="E34" i="2"/>
  <c r="AF42" i="2"/>
  <c r="AF73" i="2" s="1"/>
  <c r="BX16" i="14"/>
  <c r="BX26" i="14" s="1"/>
  <c r="BR16" i="14"/>
  <c r="BR26" i="14" s="1"/>
  <c r="BV16" i="14"/>
  <c r="BV26" i="14" s="1"/>
  <c r="AH56" i="1"/>
  <c r="AJ56" i="1"/>
  <c r="AL46" i="1"/>
  <c r="AJ44" i="14"/>
  <c r="AJ34" i="14" s="1"/>
  <c r="T9" i="14"/>
  <c r="X9" i="14"/>
  <c r="AB44" i="14"/>
  <c r="O39" i="11"/>
  <c r="M39" i="11"/>
  <c r="N39" i="11"/>
  <c r="AJ10" i="1"/>
  <c r="BM8" i="14" s="1"/>
  <c r="AL8" i="14" s="1"/>
  <c r="AL153" i="1"/>
  <c r="L153" i="1" s="1"/>
  <c r="L172" i="1" s="1"/>
  <c r="BY16" i="14"/>
  <c r="BY26" i="14" s="1"/>
  <c r="BZ16" i="14"/>
  <c r="BZ26" i="14" s="1"/>
  <c r="BS16" i="14"/>
  <c r="BS26" i="14" s="1"/>
  <c r="BW16" i="14"/>
  <c r="BW26" i="14" s="1"/>
  <c r="AB43" i="14"/>
  <c r="BH43" i="14" s="1"/>
  <c r="AB16" i="14"/>
  <c r="X43" i="14"/>
  <c r="BF43" i="14" s="1"/>
  <c r="X16" i="14"/>
  <c r="AF43" i="14"/>
  <c r="BJ43" i="14" s="1"/>
  <c r="AF16" i="14"/>
  <c r="AB50" i="4"/>
  <c r="AB49" i="4"/>
  <c r="AH50" i="4"/>
  <c r="AH49" i="4"/>
  <c r="V50" i="4"/>
  <c r="V49" i="4"/>
  <c r="Z49" i="4"/>
  <c r="Z50" i="4"/>
  <c r="T49" i="4"/>
  <c r="T50" i="4"/>
  <c r="AD49" i="4"/>
  <c r="AD50" i="4"/>
  <c r="X50" i="4"/>
  <c r="X49" i="4"/>
  <c r="X12" i="14"/>
  <c r="D54" i="17"/>
  <c r="D52" i="17"/>
  <c r="D56" i="17"/>
  <c r="D57" i="4"/>
  <c r="AH8" i="14"/>
  <c r="AF9" i="14"/>
  <c r="P6" i="14"/>
  <c r="T16" i="14" s="1"/>
  <c r="BB16" i="14"/>
  <c r="BB26" i="14" s="1"/>
  <c r="AF12" i="14"/>
  <c r="AB9" i="14"/>
  <c r="AJ6" i="14"/>
  <c r="BL16" i="14"/>
  <c r="BL26" i="14" s="1"/>
  <c r="BD16" i="14"/>
  <c r="BD26" i="14" s="1"/>
  <c r="D50" i="4"/>
  <c r="D53" i="4"/>
  <c r="H49" i="4"/>
  <c r="H5" i="2"/>
  <c r="H57" i="4"/>
  <c r="H50" i="4"/>
  <c r="BL9" i="14"/>
  <c r="AI13" i="1"/>
  <c r="AZ9" i="14"/>
  <c r="W13" i="1"/>
  <c r="BH9" i="14"/>
  <c r="AE13" i="1"/>
  <c r="BB9" i="14"/>
  <c r="Y13" i="1"/>
  <c r="AA13" i="1"/>
  <c r="BD9" i="14"/>
  <c r="AX9" i="14"/>
  <c r="U13" i="1"/>
  <c r="BF9" i="14"/>
  <c r="AC13" i="1"/>
  <c r="E50" i="4"/>
  <c r="D49" i="4"/>
  <c r="J13" i="1"/>
  <c r="BX9" i="14"/>
  <c r="L31" i="14"/>
  <c r="AH41" i="14"/>
  <c r="BK42" i="14"/>
  <c r="AL87" i="1"/>
  <c r="BM41" i="14"/>
  <c r="E53" i="4"/>
  <c r="Z41" i="14"/>
  <c r="BG42" i="14"/>
  <c r="K13" i="1"/>
  <c r="BY9" i="14"/>
  <c r="I13" i="1"/>
  <c r="BW9" i="14"/>
  <c r="E57" i="4"/>
  <c r="AD41" i="14"/>
  <c r="BI42" i="14"/>
  <c r="E49" i="4"/>
  <c r="H13" i="1"/>
  <c r="BV9" i="14"/>
  <c r="AD32" i="1"/>
  <c r="AF32" i="1"/>
  <c r="AH32" i="1"/>
  <c r="X126" i="1"/>
  <c r="X128" i="1" s="1"/>
  <c r="X17" i="1"/>
  <c r="AF10" i="1"/>
  <c r="BI8" i="14" s="1"/>
  <c r="AD8" i="14" s="1"/>
  <c r="AF158" i="1"/>
  <c r="Z124" i="1"/>
  <c r="Z17" i="1"/>
  <c r="V126" i="1"/>
  <c r="V17" i="1"/>
  <c r="AH31" i="2"/>
  <c r="D32" i="2"/>
  <c r="D34" i="2"/>
  <c r="H42" i="2"/>
  <c r="H34" i="2"/>
  <c r="F24" i="2"/>
  <c r="F34" i="2"/>
  <c r="J23" i="11"/>
  <c r="AJ8" i="1"/>
  <c r="BM7" i="14" s="1"/>
  <c r="AD8" i="1"/>
  <c r="BG7" i="14" s="1"/>
  <c r="BG17" i="14" s="1"/>
  <c r="BG27" i="14" s="1"/>
  <c r="M122" i="1"/>
  <c r="Q41" i="11"/>
  <c r="AH101" i="1"/>
  <c r="AF101" i="1"/>
  <c r="AC97" i="1"/>
  <c r="AC140" i="1"/>
  <c r="AI97" i="1"/>
  <c r="AE97" i="1"/>
  <c r="Y97" i="1"/>
  <c r="Y140" i="1"/>
  <c r="AA97" i="1"/>
  <c r="AG97" i="1"/>
  <c r="AD101" i="1"/>
  <c r="AD102" i="1" s="1"/>
  <c r="AJ101" i="1"/>
  <c r="K53" i="4"/>
  <c r="L53" i="4" s="1"/>
  <c r="K50" i="4"/>
  <c r="K49" i="4"/>
  <c r="L49" i="4" s="1"/>
  <c r="I49" i="4"/>
  <c r="I50" i="4"/>
  <c r="I53" i="4"/>
  <c r="J49" i="4"/>
  <c r="J53" i="4"/>
  <c r="J50" i="4"/>
  <c r="I40" i="3"/>
  <c r="M128" i="1"/>
  <c r="M129" i="1" s="1"/>
  <c r="M127" i="1"/>
  <c r="N120" i="1"/>
  <c r="N121" i="1"/>
  <c r="N126" i="1"/>
  <c r="O111" i="1"/>
  <c r="O112" i="1" s="1"/>
  <c r="O110" i="1"/>
  <c r="O119" i="1"/>
  <c r="O17" i="1" s="1"/>
  <c r="P106" i="1"/>
  <c r="P107" i="1" s="1"/>
  <c r="P109" i="1"/>
  <c r="AB32" i="1"/>
  <c r="AA37" i="1"/>
  <c r="AA36" i="1"/>
  <c r="U38" i="1"/>
  <c r="V32" i="1"/>
  <c r="V35" i="1"/>
  <c r="X35" i="1"/>
  <c r="X32" i="1"/>
  <c r="K36" i="1"/>
  <c r="L35" i="1"/>
  <c r="L40" i="1" s="1"/>
  <c r="L50" i="1" s="1"/>
  <c r="AJ31" i="1"/>
  <c r="AJ32" i="1"/>
  <c r="AB6" i="3"/>
  <c r="AB42" i="2"/>
  <c r="AB24" i="2"/>
  <c r="F6" i="3"/>
  <c r="F42" i="2"/>
  <c r="V32" i="2"/>
  <c r="T6" i="3"/>
  <c r="T42" i="2"/>
  <c r="X34" i="2"/>
  <c r="AD6" i="3"/>
  <c r="V34" i="2"/>
  <c r="V42" i="2"/>
  <c r="X6" i="3"/>
  <c r="X32" i="2"/>
  <c r="AD42" i="2"/>
  <c r="T34" i="2"/>
  <c r="X24" i="2"/>
  <c r="F32" i="2"/>
  <c r="H6" i="3"/>
  <c r="V24" i="2"/>
  <c r="Z6" i="3"/>
  <c r="Z32" i="2"/>
  <c r="G32" i="2"/>
  <c r="Z42" i="2"/>
  <c r="Z34" i="2"/>
  <c r="AB32" i="2"/>
  <c r="V6" i="3"/>
  <c r="H24" i="2"/>
  <c r="AF32" i="2"/>
  <c r="E6" i="3"/>
  <c r="D6" i="3"/>
  <c r="AD34" i="2"/>
  <c r="AF34" i="2"/>
  <c r="E42" i="2"/>
  <c r="D42" i="2"/>
  <c r="E24" i="2"/>
  <c r="AF24" i="2"/>
  <c r="D24" i="2"/>
  <c r="AD53" i="4"/>
  <c r="Z53" i="4"/>
  <c r="AF6" i="3"/>
  <c r="V53" i="4"/>
  <c r="X5" i="2"/>
  <c r="E32" i="2"/>
  <c r="AD32" i="2"/>
  <c r="AB53" i="4"/>
  <c r="G6" i="3"/>
  <c r="G42" i="2"/>
  <c r="G24" i="2"/>
  <c r="H32" i="2"/>
  <c r="F25" i="11"/>
  <c r="I53" i="1"/>
  <c r="Y53" i="1"/>
  <c r="AH53" i="4"/>
  <c r="AJ35" i="1"/>
  <c r="AH5" i="2"/>
  <c r="I57" i="4"/>
  <c r="E18" i="11"/>
  <c r="I5" i="2"/>
  <c r="I31" i="2"/>
  <c r="E25" i="11"/>
  <c r="J31" i="2"/>
  <c r="J57" i="4"/>
  <c r="T53" i="4"/>
  <c r="AE53" i="1"/>
  <c r="E53" i="1"/>
  <c r="H53" i="1"/>
  <c r="K53" i="1"/>
  <c r="W53" i="1"/>
  <c r="AI53" i="1"/>
  <c r="AC53" i="1"/>
  <c r="D53" i="1"/>
  <c r="AB5" i="2"/>
  <c r="AD5" i="2"/>
  <c r="V5" i="2"/>
  <c r="Z5" i="2"/>
  <c r="Y89" i="1"/>
  <c r="AA89" i="1"/>
  <c r="X46" i="1"/>
  <c r="X47" i="1"/>
  <c r="X48" i="1" s="1"/>
  <c r="V61" i="1"/>
  <c r="V43" i="1"/>
  <c r="V48" i="1"/>
  <c r="F42" i="1"/>
  <c r="F47" i="1"/>
  <c r="AG53" i="1"/>
  <c r="AA53" i="1"/>
  <c r="J53" i="1"/>
  <c r="U53" i="1"/>
  <c r="T5" i="2"/>
  <c r="X53" i="4"/>
  <c r="V57" i="4"/>
  <c r="X57" i="4"/>
  <c r="T57" i="4"/>
  <c r="AD57" i="4"/>
  <c r="Z57" i="4"/>
  <c r="AB57" i="4"/>
  <c r="AH57" i="4"/>
  <c r="AE10" i="2"/>
  <c r="AD31" i="1"/>
  <c r="X31" i="1"/>
  <c r="H56" i="1"/>
  <c r="G58" i="1"/>
  <c r="F60" i="1"/>
  <c r="F61" i="1" s="1"/>
  <c r="AA58" i="1"/>
  <c r="AD16" i="1"/>
  <c r="AH16" i="1"/>
  <c r="X16" i="1"/>
  <c r="X58" i="1"/>
  <c r="AJ16" i="1"/>
  <c r="AF16" i="1"/>
  <c r="Z16" i="1"/>
  <c r="AB16" i="1"/>
  <c r="C49" i="2"/>
  <c r="C52" i="2" s="1"/>
  <c r="K57" i="4"/>
  <c r="L57" i="4" s="1"/>
  <c r="U88" i="1"/>
  <c r="W89" i="1" s="1"/>
  <c r="V88" i="1"/>
  <c r="AF88" i="1"/>
  <c r="AH88" i="1"/>
  <c r="AJ88" i="1"/>
  <c r="E74" i="1"/>
  <c r="X68" i="1"/>
  <c r="AB88" i="1"/>
  <c r="AD88" i="1"/>
  <c r="AF75" i="1"/>
  <c r="AD75" i="1"/>
  <c r="AB75" i="1"/>
  <c r="AH69" i="1"/>
  <c r="AH74" i="1"/>
  <c r="AH75" i="1" s="1"/>
  <c r="C9" i="2"/>
  <c r="C11" i="2"/>
  <c r="AC36" i="1"/>
  <c r="K37" i="1"/>
  <c r="K38" i="1" s="1"/>
  <c r="G37" i="1"/>
  <c r="H38" i="1" s="1"/>
  <c r="AH149" i="1"/>
  <c r="AJ158" i="1"/>
  <c r="AJ163" i="1"/>
  <c r="AF163" i="1"/>
  <c r="AF149" i="1"/>
  <c r="AH163" i="1"/>
  <c r="AH158" i="1"/>
  <c r="AJ149" i="1"/>
  <c r="Z121" i="1"/>
  <c r="Z120" i="1"/>
  <c r="AH115" i="1"/>
  <c r="AH116" i="1"/>
  <c r="AB121" i="1"/>
  <c r="AB120" i="1"/>
  <c r="AD104" i="1"/>
  <c r="AD106" i="1" s="1"/>
  <c r="AD111" i="1"/>
  <c r="AJ111" i="1"/>
  <c r="AJ104" i="1"/>
  <c r="AJ110" i="1"/>
  <c r="AH154" i="1"/>
  <c r="AD120" i="1"/>
  <c r="AD121" i="1"/>
  <c r="AD116" i="1"/>
  <c r="AJ116" i="1"/>
  <c r="AJ115" i="1"/>
  <c r="X154" i="1"/>
  <c r="AJ154" i="1"/>
  <c r="AF121" i="1"/>
  <c r="AF120" i="1"/>
  <c r="AF111" i="1"/>
  <c r="AF104" i="1"/>
  <c r="AF106" i="1" s="1"/>
  <c r="AF110" i="1"/>
  <c r="Z154" i="1"/>
  <c r="V121" i="1"/>
  <c r="AH120" i="1"/>
  <c r="AH121" i="1"/>
  <c r="AF116" i="1"/>
  <c r="AF115" i="1"/>
  <c r="X121" i="1"/>
  <c r="X120" i="1"/>
  <c r="AJ121" i="1"/>
  <c r="AJ120" i="1"/>
  <c r="AH104" i="1"/>
  <c r="AH106" i="1" s="1"/>
  <c r="AH110" i="1"/>
  <c r="AH111" i="1"/>
  <c r="F7" i="1"/>
  <c r="AB7" i="1"/>
  <c r="BE6" i="14" s="1"/>
  <c r="AD7" i="1"/>
  <c r="BG6" i="14" s="1"/>
  <c r="AF7" i="1"/>
  <c r="BI6" i="14" s="1"/>
  <c r="V7" i="1"/>
  <c r="AY6" i="14" s="1"/>
  <c r="J6" i="14" s="1"/>
  <c r="J9" i="14" s="1"/>
  <c r="X7" i="1"/>
  <c r="BA6" i="14" s="1"/>
  <c r="AH7" i="1"/>
  <c r="BK6" i="14" s="1"/>
  <c r="AJ7" i="1"/>
  <c r="BM6" i="14" s="1"/>
  <c r="AB35" i="1"/>
  <c r="AB42" i="1"/>
  <c r="AD35" i="1"/>
  <c r="AD37" i="1" s="1"/>
  <c r="AD42" i="1"/>
  <c r="AF35" i="1"/>
  <c r="AF42" i="1"/>
  <c r="AH35" i="1"/>
  <c r="AH37" i="1" s="1"/>
  <c r="AH42" i="1"/>
  <c r="AF47" i="1"/>
  <c r="AH47" i="1"/>
  <c r="AH46" i="1"/>
  <c r="AJ46" i="1"/>
  <c r="AJ47" i="1"/>
  <c r="AJ42" i="1"/>
  <c r="F69" i="1"/>
  <c r="V16" i="1"/>
  <c r="AD45" i="1"/>
  <c r="AF46" i="1" s="1"/>
  <c r="X94" i="1"/>
  <c r="Z23" i="1"/>
  <c r="Z56" i="1" s="1"/>
  <c r="F30" i="1"/>
  <c r="AD94" i="1"/>
  <c r="AF94" i="1"/>
  <c r="AJ94" i="1"/>
  <c r="AH94" i="1"/>
  <c r="Z94" i="1"/>
  <c r="AB94" i="1"/>
  <c r="AH41" i="1"/>
  <c r="AH87" i="1"/>
  <c r="AH51" i="1"/>
  <c r="AD41" i="1"/>
  <c r="AF69" i="1"/>
  <c r="AH52" i="1"/>
  <c r="AB69" i="1"/>
  <c r="AD52" i="1"/>
  <c r="AJ41" i="1"/>
  <c r="AF87" i="1"/>
  <c r="AJ87" i="1"/>
  <c r="AD69" i="1"/>
  <c r="Y87" i="1"/>
  <c r="X24" i="1"/>
  <c r="AF41" i="1"/>
  <c r="AJ69" i="1"/>
  <c r="AD87" i="1"/>
  <c r="Z86" i="1"/>
  <c r="AH24" i="1"/>
  <c r="AH28" i="1" s="1"/>
  <c r="AJ51" i="1"/>
  <c r="AB51" i="1"/>
  <c r="AA87" i="1"/>
  <c r="AD24" i="1"/>
  <c r="AD28" i="1" s="1"/>
  <c r="AB45" i="1"/>
  <c r="V52" i="1"/>
  <c r="X51" i="1"/>
  <c r="AF51" i="1"/>
  <c r="Z51" i="1"/>
  <c r="AJ24" i="1"/>
  <c r="AJ28" i="1" s="1"/>
  <c r="AF24" i="1"/>
  <c r="AF28" i="1" s="1"/>
  <c r="AJ52" i="1"/>
  <c r="AF52" i="1"/>
  <c r="AB52" i="1"/>
  <c r="X52" i="1"/>
  <c r="G24" i="1"/>
  <c r="G28" i="1" s="1"/>
  <c r="AD51" i="1"/>
  <c r="F24" i="1"/>
  <c r="F28" i="1" s="1"/>
  <c r="F52" i="1"/>
  <c r="AF150" i="1" l="1"/>
  <c r="BK17" i="14"/>
  <c r="BK27" i="14" s="1"/>
  <c r="AD7" i="14"/>
  <c r="AD65" i="14" s="1"/>
  <c r="AF137" i="1"/>
  <c r="AF142" i="1"/>
  <c r="AF143" i="1" s="1"/>
  <c r="AH7" i="14"/>
  <c r="AH65" i="14" s="1"/>
  <c r="AI137" i="1"/>
  <c r="AI142" i="1"/>
  <c r="AE137" i="1"/>
  <c r="AE124" i="1" s="1"/>
  <c r="AE142" i="1"/>
  <c r="AE143" i="1" s="1"/>
  <c r="AG137" i="1"/>
  <c r="AG142" i="1"/>
  <c r="BM17" i="14"/>
  <c r="BM27" i="14" s="1"/>
  <c r="BK65" i="14"/>
  <c r="BX65" i="14" s="1"/>
  <c r="AH137" i="1"/>
  <c r="AH142" i="1"/>
  <c r="H11" i="3"/>
  <c r="I34" i="2"/>
  <c r="G49" i="2"/>
  <c r="G59" i="2" s="1"/>
  <c r="E11" i="3"/>
  <c r="Z43" i="2"/>
  <c r="V49" i="2"/>
  <c r="V59" i="2" s="1"/>
  <c r="AF25" i="2"/>
  <c r="T11" i="3"/>
  <c r="G11" i="3"/>
  <c r="AF11" i="3"/>
  <c r="D49" i="2"/>
  <c r="Z25" i="2"/>
  <c r="F73" i="2"/>
  <c r="F68" i="2" s="1"/>
  <c r="AB11" i="3"/>
  <c r="E49" i="2"/>
  <c r="E84" i="2" s="1"/>
  <c r="AD11" i="3"/>
  <c r="F11" i="3"/>
  <c r="D11" i="3"/>
  <c r="V11" i="3"/>
  <c r="Z11" i="3"/>
  <c r="AD49" i="2"/>
  <c r="AD84" i="2" s="1"/>
  <c r="AB25" i="2"/>
  <c r="X73" i="2"/>
  <c r="X11" i="3"/>
  <c r="H49" i="2"/>
  <c r="J34" i="2"/>
  <c r="D25" i="2"/>
  <c r="V25" i="2"/>
  <c r="T49" i="2"/>
  <c r="T59" i="2" s="1"/>
  <c r="AB73" i="2"/>
  <c r="AB68" i="2" s="1"/>
  <c r="AF49" i="2"/>
  <c r="AJ37" i="1"/>
  <c r="AJ38" i="1" s="1"/>
  <c r="L16" i="1"/>
  <c r="AN14" i="14"/>
  <c r="AN15" i="14"/>
  <c r="X19" i="14"/>
  <c r="AB19" i="14"/>
  <c r="Z42" i="14"/>
  <c r="AD42" i="14"/>
  <c r="AH42" i="14"/>
  <c r="F53" i="1"/>
  <c r="L166" i="1"/>
  <c r="AL172" i="1"/>
  <c r="BM18" i="14"/>
  <c r="L154" i="1"/>
  <c r="AJ16" i="14"/>
  <c r="BX19" i="14"/>
  <c r="BW19" i="14"/>
  <c r="BY19" i="14"/>
  <c r="AF31" i="14"/>
  <c r="AF33" i="14" s="1"/>
  <c r="X31" i="14"/>
  <c r="BF31" i="14" s="1"/>
  <c r="BV31" i="14" s="1"/>
  <c r="P12" i="14"/>
  <c r="P31" i="14" s="1"/>
  <c r="P16" i="14"/>
  <c r="AJ9" i="14"/>
  <c r="AJ19" i="14" s="1"/>
  <c r="V11" i="2"/>
  <c r="V54" i="4"/>
  <c r="V58" i="4"/>
  <c r="T11" i="2"/>
  <c r="T54" i="4"/>
  <c r="T58" i="4"/>
  <c r="AH11" i="2"/>
  <c r="AH58" i="4"/>
  <c r="AH54" i="4"/>
  <c r="AB11" i="2"/>
  <c r="AB54" i="4"/>
  <c r="AB58" i="4"/>
  <c r="X11" i="2"/>
  <c r="X58" i="4"/>
  <c r="X54" i="4"/>
  <c r="AD11" i="2"/>
  <c r="AD54" i="4"/>
  <c r="AD58" i="4"/>
  <c r="Z11" i="2"/>
  <c r="Z54" i="4"/>
  <c r="Z58" i="4"/>
  <c r="H54" i="4"/>
  <c r="H58" i="4"/>
  <c r="I54" i="4"/>
  <c r="I58" i="4"/>
  <c r="AL18" i="14"/>
  <c r="T12" i="14"/>
  <c r="P9" i="14"/>
  <c r="P19" i="14" s="1"/>
  <c r="BK18" i="14"/>
  <c r="AF19" i="14"/>
  <c r="BI17" i="14"/>
  <c r="BI27" i="14" s="1"/>
  <c r="N6" i="14"/>
  <c r="BA16" i="14"/>
  <c r="BA26" i="14" s="1"/>
  <c r="AD6" i="14"/>
  <c r="AH44" i="14" s="1"/>
  <c r="AH34" i="14" s="1"/>
  <c r="BI16" i="14"/>
  <c r="BI26" i="14" s="1"/>
  <c r="Z6" i="14"/>
  <c r="AD44" i="14" s="1"/>
  <c r="BG16" i="14"/>
  <c r="BG26" i="14" s="1"/>
  <c r="AJ12" i="14"/>
  <c r="AH6" i="14"/>
  <c r="BK16" i="14"/>
  <c r="BK26" i="14" s="1"/>
  <c r="AJ43" i="14"/>
  <c r="BL43" i="14" s="1"/>
  <c r="AL6" i="14"/>
  <c r="BM16" i="14"/>
  <c r="BM26" i="14" s="1"/>
  <c r="V6" i="14"/>
  <c r="Z44" i="14" s="1"/>
  <c r="AD33" i="1"/>
  <c r="AF33" i="1"/>
  <c r="V128" i="1"/>
  <c r="X129" i="1" s="1"/>
  <c r="AL7" i="14"/>
  <c r="BM65" i="14"/>
  <c r="BY65" i="14" s="1"/>
  <c r="AH33" i="1"/>
  <c r="AH18" i="14"/>
  <c r="Z7" i="14"/>
  <c r="BG65" i="14"/>
  <c r="BV65" i="14" s="1"/>
  <c r="F11" i="1"/>
  <c r="BT9" i="14" s="1"/>
  <c r="BT19" i="14" s="1"/>
  <c r="BT6" i="14"/>
  <c r="AL41" i="14"/>
  <c r="BM42" i="14"/>
  <c r="AZ31" i="14"/>
  <c r="X127" i="1"/>
  <c r="Z127" i="1"/>
  <c r="X33" i="1"/>
  <c r="AH150" i="1"/>
  <c r="AJ150" i="1"/>
  <c r="I42" i="3"/>
  <c r="AF40" i="3" s="1"/>
  <c r="AE40" i="3"/>
  <c r="AH32" i="2"/>
  <c r="AH34" i="2"/>
  <c r="AH42" i="2"/>
  <c r="AH6" i="3"/>
  <c r="AH24" i="2"/>
  <c r="H73" i="2"/>
  <c r="H68" i="2" s="1"/>
  <c r="F25" i="2"/>
  <c r="I11" i="2"/>
  <c r="I9" i="2"/>
  <c r="AH102" i="1"/>
  <c r="N122" i="1"/>
  <c r="R41" i="11"/>
  <c r="AG140" i="1"/>
  <c r="AI140" i="1"/>
  <c r="AD97" i="1"/>
  <c r="AD140" i="1"/>
  <c r="AA140" i="1"/>
  <c r="AE140" i="1"/>
  <c r="Z97" i="1"/>
  <c r="AH97" i="1"/>
  <c r="AF97" i="1"/>
  <c r="AB97" i="1"/>
  <c r="AB140" i="1"/>
  <c r="Z88" i="1"/>
  <c r="AB89" i="1" s="1"/>
  <c r="AD38" i="1"/>
  <c r="AE38" i="1"/>
  <c r="AH38" i="1"/>
  <c r="AI38" i="1"/>
  <c r="AJ102" i="1"/>
  <c r="AF102" i="1"/>
  <c r="M57" i="4"/>
  <c r="M49" i="4"/>
  <c r="M53" i="4"/>
  <c r="AB49" i="2"/>
  <c r="AJ106" i="1"/>
  <c r="AL105" i="1"/>
  <c r="P110" i="1"/>
  <c r="P111" i="1"/>
  <c r="P112" i="1" s="1"/>
  <c r="P119" i="1"/>
  <c r="P17" i="1" s="1"/>
  <c r="N128" i="1"/>
  <c r="N129" i="1" s="1"/>
  <c r="N127" i="1"/>
  <c r="O121" i="1"/>
  <c r="O122" i="1" s="1"/>
  <c r="O120" i="1"/>
  <c r="O126" i="1"/>
  <c r="AD25" i="2"/>
  <c r="V33" i="1"/>
  <c r="M35" i="1"/>
  <c r="AL35" i="1"/>
  <c r="L37" i="1"/>
  <c r="L38" i="1" s="1"/>
  <c r="X37" i="1"/>
  <c r="X36" i="1"/>
  <c r="AB37" i="1"/>
  <c r="AJ33" i="1"/>
  <c r="V37" i="1"/>
  <c r="F49" i="2"/>
  <c r="AB43" i="2"/>
  <c r="V73" i="2"/>
  <c r="V68" i="2" s="1"/>
  <c r="V43" i="2"/>
  <c r="D73" i="2"/>
  <c r="D74" i="2" s="1"/>
  <c r="D69" i="2" s="1"/>
  <c r="Z73" i="2"/>
  <c r="Z68" i="2" s="1"/>
  <c r="X43" i="2"/>
  <c r="T73" i="2"/>
  <c r="T68" i="2" s="1"/>
  <c r="D43" i="2"/>
  <c r="Z49" i="2"/>
  <c r="X9" i="2"/>
  <c r="E73" i="2"/>
  <c r="E74" i="2" s="1"/>
  <c r="E69" i="2" s="1"/>
  <c r="X6" i="2"/>
  <c r="AF43" i="2"/>
  <c r="AD43" i="2"/>
  <c r="E25" i="2"/>
  <c r="AD73" i="2"/>
  <c r="AD74" i="2" s="1"/>
  <c r="X25" i="2"/>
  <c r="H25" i="2"/>
  <c r="E43" i="2"/>
  <c r="F43" i="2"/>
  <c r="H43" i="2"/>
  <c r="G25" i="2"/>
  <c r="G73" i="2"/>
  <c r="G68" i="2" s="1"/>
  <c r="G43" i="2"/>
  <c r="AF107" i="1"/>
  <c r="AF53" i="1"/>
  <c r="AH122" i="1"/>
  <c r="AD43" i="1"/>
  <c r="AJ159" i="1"/>
  <c r="I6" i="2"/>
  <c r="M43" i="11" s="1"/>
  <c r="I32" i="2"/>
  <c r="M44" i="11" s="1"/>
  <c r="I24" i="2"/>
  <c r="I42" i="2"/>
  <c r="I6" i="3"/>
  <c r="AJ43" i="1"/>
  <c r="AH107" i="1"/>
  <c r="J6" i="3"/>
  <c r="J24" i="2"/>
  <c r="J32" i="2"/>
  <c r="N44" i="11" s="1"/>
  <c r="T9" i="2"/>
  <c r="Z6" i="2"/>
  <c r="AD9" i="2"/>
  <c r="AD6" i="2"/>
  <c r="V9" i="2"/>
  <c r="V6" i="2"/>
  <c r="AB6" i="2"/>
  <c r="AJ89" i="1"/>
  <c r="AD89" i="1"/>
  <c r="AH48" i="1"/>
  <c r="AJ164" i="1"/>
  <c r="AJ117" i="1"/>
  <c r="AH159" i="1"/>
  <c r="X122" i="1"/>
  <c r="AF117" i="1"/>
  <c r="AB122" i="1"/>
  <c r="AB9" i="2"/>
  <c r="AF89" i="1"/>
  <c r="AF112" i="1"/>
  <c r="AD122" i="1"/>
  <c r="AH112" i="1"/>
  <c r="Z47" i="1"/>
  <c r="Z48" i="1" s="1"/>
  <c r="Z46" i="1"/>
  <c r="AB47" i="1"/>
  <c r="AB46" i="1"/>
  <c r="AH53" i="1"/>
  <c r="AF122" i="1"/>
  <c r="Z122" i="1"/>
  <c r="F48" i="1"/>
  <c r="G48" i="1"/>
  <c r="AJ112" i="1"/>
  <c r="Z129" i="1"/>
  <c r="F43" i="1"/>
  <c r="G43" i="1"/>
  <c r="X53" i="1"/>
  <c r="AH43" i="1"/>
  <c r="G89" i="1"/>
  <c r="Z60" i="1"/>
  <c r="Z42" i="1"/>
  <c r="Z43" i="1" s="1"/>
  <c r="AJ122" i="1"/>
  <c r="V122" i="1"/>
  <c r="AH117" i="1"/>
  <c r="AH164" i="1"/>
  <c r="AH89" i="1"/>
  <c r="X84" i="2"/>
  <c r="X52" i="2"/>
  <c r="AJ48" i="1"/>
  <c r="AD53" i="1"/>
  <c r="AF43" i="1"/>
  <c r="AJ53" i="1"/>
  <c r="V53" i="1"/>
  <c r="G53" i="1"/>
  <c r="AJ11" i="1"/>
  <c r="Z30" i="1"/>
  <c r="F31" i="1"/>
  <c r="G31" i="1"/>
  <c r="Z20" i="1"/>
  <c r="AB58" i="1"/>
  <c r="X59" i="1"/>
  <c r="X60" i="1"/>
  <c r="X61" i="1" s="1"/>
  <c r="Z59" i="1"/>
  <c r="AB20" i="1"/>
  <c r="AC58" i="1"/>
  <c r="G59" i="1"/>
  <c r="G60" i="1"/>
  <c r="G61" i="1" s="1"/>
  <c r="AA60" i="1"/>
  <c r="AA61" i="1" s="1"/>
  <c r="AA59" i="1"/>
  <c r="I56" i="1"/>
  <c r="H58" i="1"/>
  <c r="AF68" i="2"/>
  <c r="AF74" i="2"/>
  <c r="AH57" i="2"/>
  <c r="W87" i="1"/>
  <c r="AF11" i="1"/>
  <c r="F75" i="1"/>
  <c r="X87" i="1"/>
  <c r="X88" i="1"/>
  <c r="X89" i="1" s="1"/>
  <c r="AJ75" i="1"/>
  <c r="X74" i="1"/>
  <c r="AD11" i="1"/>
  <c r="V11" i="1"/>
  <c r="X11" i="1"/>
  <c r="AF72" i="1"/>
  <c r="AF20" i="1"/>
  <c r="AD20" i="1"/>
  <c r="AH105" i="1"/>
  <c r="X20" i="1"/>
  <c r="V20" i="1"/>
  <c r="AH72" i="1"/>
  <c r="AJ105" i="1"/>
  <c r="AF105" i="1"/>
  <c r="AH36" i="1"/>
  <c r="AJ72" i="1"/>
  <c r="AD36" i="1"/>
  <c r="AJ36" i="1"/>
  <c r="AD72" i="1"/>
  <c r="Z24" i="1"/>
  <c r="Z28" i="1" s="1"/>
  <c r="AD47" i="1"/>
  <c r="AD46" i="1"/>
  <c r="AF36" i="1"/>
  <c r="AF37" i="1"/>
  <c r="F72" i="1"/>
  <c r="G72" i="1"/>
  <c r="Z52" i="1"/>
  <c r="Z53" i="1" s="1"/>
  <c r="Z7" i="1"/>
  <c r="BC6" i="14" s="1"/>
  <c r="BE16" i="14" s="1"/>
  <c r="BE26" i="14" s="1"/>
  <c r="Z87" i="1"/>
  <c r="AB24" i="1"/>
  <c r="AB28" i="1" s="1"/>
  <c r="AB87" i="1"/>
  <c r="Z69" i="1"/>
  <c r="AG143" i="1" l="1"/>
  <c r="AH17" i="14"/>
  <c r="AI143" i="1"/>
  <c r="AG124" i="1"/>
  <c r="AF124" i="1"/>
  <c r="AE126" i="1"/>
  <c r="AH143" i="1"/>
  <c r="AD52" i="2"/>
  <c r="AB74" i="2"/>
  <c r="G52" i="2"/>
  <c r="E59" i="2"/>
  <c r="V84" i="2"/>
  <c r="X50" i="2"/>
  <c r="E52" i="2"/>
  <c r="AD59" i="2"/>
  <c r="G84" i="2"/>
  <c r="H50" i="2"/>
  <c r="AB52" i="2"/>
  <c r="AH11" i="3"/>
  <c r="AF84" i="2"/>
  <c r="AF52" i="2"/>
  <c r="H84" i="2"/>
  <c r="D52" i="2"/>
  <c r="D50" i="2"/>
  <c r="V50" i="2"/>
  <c r="AH73" i="2"/>
  <c r="AH74" i="2" s="1"/>
  <c r="AH69" i="2" s="1"/>
  <c r="F74" i="2"/>
  <c r="H52" i="2"/>
  <c r="AH25" i="2"/>
  <c r="T52" i="2"/>
  <c r="F19" i="11"/>
  <c r="E50" i="2"/>
  <c r="Z84" i="2"/>
  <c r="T84" i="2"/>
  <c r="V52" i="2"/>
  <c r="D84" i="2"/>
  <c r="D59" i="2"/>
  <c r="H59" i="2"/>
  <c r="H60" i="2" s="1"/>
  <c r="X68" i="2"/>
  <c r="X74" i="2"/>
  <c r="AF50" i="2"/>
  <c r="AJ31" i="14"/>
  <c r="AJ33" i="14" s="1"/>
  <c r="AL42" i="14"/>
  <c r="AL44" i="14"/>
  <c r="AL34" i="14" s="1"/>
  <c r="BJ31" i="14"/>
  <c r="BX31" i="14" s="1"/>
  <c r="L156" i="1"/>
  <c r="AL166" i="1"/>
  <c r="BT16" i="14"/>
  <c r="BT26" i="14" s="1"/>
  <c r="BU16" i="14"/>
  <c r="BU26" i="14" s="1"/>
  <c r="T31" i="14"/>
  <c r="BD31" i="14" s="1"/>
  <c r="AD16" i="14"/>
  <c r="Z65" i="14"/>
  <c r="Z17" i="14"/>
  <c r="Z27" i="14" s="1"/>
  <c r="V9" i="14"/>
  <c r="N12" i="14"/>
  <c r="N31" i="14" s="1"/>
  <c r="N16" i="14"/>
  <c r="AL16" i="14"/>
  <c r="AL26" i="14" s="1"/>
  <c r="Z43" i="14"/>
  <c r="BG43" i="14" s="1"/>
  <c r="BV43" i="14" s="1"/>
  <c r="Z16" i="14"/>
  <c r="Z26" i="14" s="1"/>
  <c r="AD17" i="14"/>
  <c r="AH9" i="14"/>
  <c r="AH16" i="14"/>
  <c r="AL65" i="14"/>
  <c r="AL17" i="14"/>
  <c r="AL27" i="14" s="1"/>
  <c r="N9" i="14"/>
  <c r="N19" i="14" s="1"/>
  <c r="T19" i="14"/>
  <c r="AH43" i="14"/>
  <c r="BK43" i="14" s="1"/>
  <c r="BX43" i="14" s="1"/>
  <c r="AD12" i="14"/>
  <c r="AD31" i="14" s="1"/>
  <c r="AD33" i="14" s="1"/>
  <c r="AL43" i="14"/>
  <c r="BM43" i="14" s="1"/>
  <c r="BY43" i="14" s="1"/>
  <c r="AD9" i="14"/>
  <c r="R6" i="14"/>
  <c r="BC16" i="14"/>
  <c r="BC26" i="14" s="1"/>
  <c r="AD43" i="14"/>
  <c r="BI43" i="14" s="1"/>
  <c r="BW43" i="14" s="1"/>
  <c r="F57" i="4"/>
  <c r="V129" i="1"/>
  <c r="F53" i="4"/>
  <c r="AY9" i="14"/>
  <c r="V13" i="1"/>
  <c r="BG9" i="14"/>
  <c r="AD13" i="1"/>
  <c r="BI9" i="14"/>
  <c r="AF13" i="1"/>
  <c r="BM9" i="14"/>
  <c r="AJ13" i="1"/>
  <c r="BA9" i="14"/>
  <c r="X13" i="1"/>
  <c r="AL9" i="14"/>
  <c r="F49" i="4"/>
  <c r="F50" i="4"/>
  <c r="BB31" i="14"/>
  <c r="AD13" i="14"/>
  <c r="AD56" i="14" s="1"/>
  <c r="Z9" i="14"/>
  <c r="X12" i="2"/>
  <c r="AH49" i="2"/>
  <c r="AH43" i="2"/>
  <c r="H74" i="2"/>
  <c r="F84" i="2"/>
  <c r="F52" i="2"/>
  <c r="I25" i="2"/>
  <c r="E19" i="11"/>
  <c r="Z140" i="1"/>
  <c r="AJ140" i="1"/>
  <c r="AF140" i="1"/>
  <c r="AH140" i="1"/>
  <c r="V38" i="1"/>
  <c r="W38" i="1"/>
  <c r="X38" i="1"/>
  <c r="Y38" i="1"/>
  <c r="AB38" i="1"/>
  <c r="AC38" i="1"/>
  <c r="AF38" i="1"/>
  <c r="AG38" i="1"/>
  <c r="AJ107" i="1"/>
  <c r="N53" i="4"/>
  <c r="N49" i="4"/>
  <c r="N57" i="4"/>
  <c r="J40" i="3"/>
  <c r="J42" i="3" s="1"/>
  <c r="AH40" i="3" s="1"/>
  <c r="F59" i="2"/>
  <c r="AB59" i="2"/>
  <c r="AD50" i="2"/>
  <c r="AB84" i="2"/>
  <c r="O128" i="1"/>
  <c r="O129" i="1" s="1"/>
  <c r="O127" i="1"/>
  <c r="P121" i="1"/>
  <c r="P122" i="1" s="1"/>
  <c r="P120" i="1"/>
  <c r="P126" i="1"/>
  <c r="L42" i="1"/>
  <c r="L43" i="1" s="1"/>
  <c r="L41" i="1"/>
  <c r="G50" i="2"/>
  <c r="AL36" i="1"/>
  <c r="F50" i="2"/>
  <c r="N35" i="1"/>
  <c r="M37" i="1"/>
  <c r="M38" i="1" s="1"/>
  <c r="M40" i="1"/>
  <c r="Z32" i="1"/>
  <c r="Z35" i="1"/>
  <c r="D68" i="2"/>
  <c r="V60" i="2"/>
  <c r="Z74" i="2"/>
  <c r="E68" i="2"/>
  <c r="V74" i="2"/>
  <c r="V69" i="2" s="1"/>
  <c r="AB50" i="2"/>
  <c r="Z59" i="2"/>
  <c r="T74" i="2"/>
  <c r="Z52" i="2"/>
  <c r="Z50" i="2"/>
  <c r="G74" i="2"/>
  <c r="AD68" i="2"/>
  <c r="AA31" i="2"/>
  <c r="AE31" i="2"/>
  <c r="U31" i="2"/>
  <c r="W31" i="2"/>
  <c r="AC31" i="2"/>
  <c r="Y31" i="2"/>
  <c r="J25" i="2"/>
  <c r="J11" i="3"/>
  <c r="F35" i="11"/>
  <c r="I73" i="2"/>
  <c r="I49" i="2"/>
  <c r="E27" i="11"/>
  <c r="I43" i="2"/>
  <c r="E35" i="11"/>
  <c r="I11" i="3"/>
  <c r="AD12" i="2"/>
  <c r="AB48" i="1"/>
  <c r="V12" i="2"/>
  <c r="AD48" i="1"/>
  <c r="Z89" i="1"/>
  <c r="AB43" i="1"/>
  <c r="AF48" i="1"/>
  <c r="Z61" i="1"/>
  <c r="AB53" i="1"/>
  <c r="AE5" i="2"/>
  <c r="Z11" i="1"/>
  <c r="AI5" i="2"/>
  <c r="Z31" i="1"/>
  <c r="AB31" i="1"/>
  <c r="AE58" i="1"/>
  <c r="J56" i="1"/>
  <c r="I58" i="1"/>
  <c r="AC60" i="1"/>
  <c r="AC61" i="1" s="1"/>
  <c r="AC59" i="1"/>
  <c r="H60" i="1"/>
  <c r="H61" i="1" s="1"/>
  <c r="H59" i="1"/>
  <c r="AD58" i="1"/>
  <c r="AB59" i="1"/>
  <c r="AB60" i="1"/>
  <c r="AB61" i="1" s="1"/>
  <c r="AF57" i="2"/>
  <c r="X57" i="2"/>
  <c r="Z75" i="1"/>
  <c r="AH20" i="1"/>
  <c r="AC5" i="2"/>
  <c r="W5" i="2"/>
  <c r="U5" i="2"/>
  <c r="AJ20" i="1"/>
  <c r="Z72" i="1"/>
  <c r="AB72" i="1"/>
  <c r="AE127" i="1" l="1"/>
  <c r="AE128" i="1"/>
  <c r="AE129" i="1" s="1"/>
  <c r="AI124" i="1"/>
  <c r="AH124" i="1"/>
  <c r="AG126" i="1"/>
  <c r="E60" i="2"/>
  <c r="AH68" i="2"/>
  <c r="E40" i="11"/>
  <c r="AE6" i="3"/>
  <c r="W24" i="2"/>
  <c r="AA42" i="2"/>
  <c r="AA49" i="2" s="1"/>
  <c r="U11" i="2"/>
  <c r="AF59" i="2"/>
  <c r="AD60" i="2"/>
  <c r="F40" i="11"/>
  <c r="X59" i="2"/>
  <c r="X60" i="2" s="1"/>
  <c r="I52" i="2"/>
  <c r="AC6" i="3"/>
  <c r="F60" i="2"/>
  <c r="BL31" i="14"/>
  <c r="BY31" i="14" s="1"/>
  <c r="V16" i="14"/>
  <c r="V26" i="14" s="1"/>
  <c r="AL167" i="1"/>
  <c r="AL19" i="1"/>
  <c r="L157" i="1"/>
  <c r="L158" i="1"/>
  <c r="L159" i="1" s="1"/>
  <c r="Z19" i="14"/>
  <c r="AL19" i="14"/>
  <c r="AH19" i="14"/>
  <c r="R9" i="14"/>
  <c r="R19" i="14" s="1"/>
  <c r="R16" i="14"/>
  <c r="V12" i="14"/>
  <c r="R12" i="14"/>
  <c r="BC9" i="14"/>
  <c r="Z13" i="1"/>
  <c r="AD19" i="14"/>
  <c r="BI56" i="14"/>
  <c r="BW56" i="14" s="1"/>
  <c r="BI31" i="14"/>
  <c r="BW31" i="14" s="1"/>
  <c r="BA31" i="14"/>
  <c r="Z33" i="1"/>
  <c r="AB33" i="1"/>
  <c r="AH59" i="2"/>
  <c r="AG40" i="3"/>
  <c r="AH84" i="2"/>
  <c r="AJ84" i="2" s="1"/>
  <c r="AH52" i="2"/>
  <c r="AH50" i="2"/>
  <c r="AC74" i="2"/>
  <c r="G60" i="2"/>
  <c r="O57" i="4"/>
  <c r="O49" i="4"/>
  <c r="O53" i="4"/>
  <c r="AB60" i="2"/>
  <c r="P127" i="1"/>
  <c r="P128" i="1"/>
  <c r="P129" i="1" s="1"/>
  <c r="Z37" i="1"/>
  <c r="Z36" i="1"/>
  <c r="AB36" i="1"/>
  <c r="L52" i="1"/>
  <c r="L51" i="1"/>
  <c r="O35" i="1"/>
  <c r="N37" i="1"/>
  <c r="N38" i="1" s="1"/>
  <c r="N40" i="1"/>
  <c r="M50" i="1"/>
  <c r="M41" i="1"/>
  <c r="M42" i="1"/>
  <c r="M43" i="1" s="1"/>
  <c r="W34" i="2"/>
  <c r="AE34" i="2"/>
  <c r="AA6" i="3"/>
  <c r="AE24" i="2"/>
  <c r="AA24" i="2"/>
  <c r="W6" i="3"/>
  <c r="AA34" i="2"/>
  <c r="W42" i="2"/>
  <c r="AA32" i="2"/>
  <c r="Y34" i="2"/>
  <c r="U42" i="2"/>
  <c r="AE32" i="2"/>
  <c r="Y42" i="2"/>
  <c r="U6" i="3"/>
  <c r="U24" i="2"/>
  <c r="AC32" i="2"/>
  <c r="AC34" i="2"/>
  <c r="AC24" i="2"/>
  <c r="U34" i="2"/>
  <c r="W32" i="2"/>
  <c r="Y32" i="2"/>
  <c r="AG31" i="2"/>
  <c r="AI31" i="2"/>
  <c r="Y6" i="3"/>
  <c r="Y24" i="2"/>
  <c r="I84" i="2"/>
  <c r="M52" i="11" s="1"/>
  <c r="I50" i="2"/>
  <c r="M45" i="11" s="1"/>
  <c r="I59" i="2"/>
  <c r="E29" i="11"/>
  <c r="M51" i="11" s="1"/>
  <c r="I68" i="2"/>
  <c r="I74" i="2"/>
  <c r="AE6" i="2"/>
  <c r="W6" i="2"/>
  <c r="Y5" i="2"/>
  <c r="I60" i="1"/>
  <c r="I61" i="1" s="1"/>
  <c r="I59" i="1"/>
  <c r="K56" i="1"/>
  <c r="J58" i="1"/>
  <c r="AD60" i="1"/>
  <c r="AD61" i="1" s="1"/>
  <c r="AD59" i="1"/>
  <c r="AF58" i="1"/>
  <c r="AE60" i="1"/>
  <c r="AE61" i="1" s="1"/>
  <c r="AE59" i="1"/>
  <c r="AG58" i="1"/>
  <c r="U9" i="2"/>
  <c r="W11" i="2"/>
  <c r="W9" i="2"/>
  <c r="AG127" i="1" l="1"/>
  <c r="AG128" i="1"/>
  <c r="AG129" i="1" s="1"/>
  <c r="AK124" i="1"/>
  <c r="AL124" i="1" s="1"/>
  <c r="AI126" i="1"/>
  <c r="AJ124" i="1"/>
  <c r="Z60" i="2"/>
  <c r="U73" i="2"/>
  <c r="U68" i="2" s="1"/>
  <c r="AG32" i="2"/>
  <c r="AA11" i="3"/>
  <c r="AE11" i="3"/>
  <c r="U11" i="3"/>
  <c r="W73" i="2"/>
  <c r="W68" i="2" s="1"/>
  <c r="Y49" i="2"/>
  <c r="Y59" i="2" s="1"/>
  <c r="AF60" i="2"/>
  <c r="AA73" i="2"/>
  <c r="Y25" i="2"/>
  <c r="Y11" i="3"/>
  <c r="W11" i="3"/>
  <c r="AC11" i="3"/>
  <c r="V19" i="14"/>
  <c r="R31" i="14"/>
  <c r="BC31" i="14" s="1"/>
  <c r="M47" i="11"/>
  <c r="D49" i="17"/>
  <c r="D50" i="17" s="1"/>
  <c r="V31" i="14"/>
  <c r="BE31" i="14" s="1"/>
  <c r="BU31" i="14" s="1"/>
  <c r="AH60" i="2"/>
  <c r="L53" i="1"/>
  <c r="P39" i="11"/>
  <c r="Z38" i="1"/>
  <c r="AA38" i="1"/>
  <c r="P53" i="4"/>
  <c r="P49" i="4"/>
  <c r="P57" i="4"/>
  <c r="K40" i="3"/>
  <c r="AI34" i="2"/>
  <c r="N50" i="1"/>
  <c r="N41" i="1"/>
  <c r="N42" i="1"/>
  <c r="N43" i="1" s="1"/>
  <c r="P35" i="1"/>
  <c r="O37" i="1"/>
  <c r="O38" i="1" s="1"/>
  <c r="O40" i="1"/>
  <c r="M56" i="1"/>
  <c r="M51" i="1"/>
  <c r="M16" i="1"/>
  <c r="M52" i="1"/>
  <c r="H22" i="11"/>
  <c r="AI58" i="1"/>
  <c r="AI59" i="1" s="1"/>
  <c r="W25" i="2"/>
  <c r="AA43" i="2"/>
  <c r="W49" i="2"/>
  <c r="W43" i="2"/>
  <c r="AC25" i="2"/>
  <c r="U49" i="2"/>
  <c r="Y43" i="2"/>
  <c r="Y73" i="2"/>
  <c r="Y68" i="2" s="1"/>
  <c r="AE25" i="2"/>
  <c r="AA25" i="2"/>
  <c r="AI6" i="3"/>
  <c r="AI24" i="2"/>
  <c r="AG24" i="2"/>
  <c r="AG42" i="2"/>
  <c r="AG6" i="3"/>
  <c r="AG34" i="2"/>
  <c r="AI32" i="2"/>
  <c r="E31" i="11"/>
  <c r="M49" i="11" s="1"/>
  <c r="I60" i="2"/>
  <c r="M46" i="11" s="1"/>
  <c r="AA52" i="2"/>
  <c r="AA84" i="2"/>
  <c r="AA59" i="2"/>
  <c r="Y11" i="2"/>
  <c r="Y12" i="2" s="1"/>
  <c r="Y6" i="2"/>
  <c r="W12" i="2"/>
  <c r="Y9" i="2"/>
  <c r="K58" i="1"/>
  <c r="AJ58" i="1"/>
  <c r="AJ60" i="1" s="1"/>
  <c r="AG60" i="1"/>
  <c r="AG61" i="1" s="1"/>
  <c r="AG59" i="1"/>
  <c r="J60" i="1"/>
  <c r="J61" i="1" s="1"/>
  <c r="J59" i="1"/>
  <c r="AF60" i="1"/>
  <c r="AF61" i="1" s="1"/>
  <c r="AF59" i="1"/>
  <c r="AH58" i="1"/>
  <c r="AI127" i="1" l="1"/>
  <c r="AI128" i="1"/>
  <c r="AI129" i="1" s="1"/>
  <c r="U74" i="2"/>
  <c r="U69" i="2" s="1"/>
  <c r="W74" i="2"/>
  <c r="W69" i="2" s="1"/>
  <c r="AA68" i="2"/>
  <c r="AA74" i="2"/>
  <c r="W59" i="2"/>
  <c r="Y60" i="2" s="1"/>
  <c r="AG25" i="2"/>
  <c r="AG73" i="2"/>
  <c r="AG74" i="2" s="1"/>
  <c r="Y84" i="2"/>
  <c r="AI11" i="3"/>
  <c r="AA50" i="2"/>
  <c r="Y52" i="2"/>
  <c r="AG11" i="3"/>
  <c r="K59" i="1"/>
  <c r="E49" i="17"/>
  <c r="L56" i="1"/>
  <c r="L58" i="1"/>
  <c r="L60" i="1" s="1"/>
  <c r="V36" i="14"/>
  <c r="BE36" i="14" s="1"/>
  <c r="N56" i="1"/>
  <c r="F49" i="17"/>
  <c r="K42" i="3"/>
  <c r="L40" i="3" s="1"/>
  <c r="AI40" i="3"/>
  <c r="M53" i="1"/>
  <c r="Q39" i="11"/>
  <c r="AI60" i="1"/>
  <c r="AI61" i="1" s="1"/>
  <c r="M58" i="1"/>
  <c r="M60" i="1" s="1"/>
  <c r="AA60" i="2"/>
  <c r="I22" i="11"/>
  <c r="P37" i="1"/>
  <c r="P38" i="1" s="1"/>
  <c r="P40" i="1"/>
  <c r="O42" i="1"/>
  <c r="O43" i="1" s="1"/>
  <c r="O50" i="1"/>
  <c r="O41" i="1"/>
  <c r="N16" i="1"/>
  <c r="N52" i="1"/>
  <c r="N51" i="1"/>
  <c r="W52" i="2"/>
  <c r="Y50" i="2"/>
  <c r="U59" i="2"/>
  <c r="W84" i="2"/>
  <c r="U52" i="2"/>
  <c r="U84" i="2"/>
  <c r="W50" i="2"/>
  <c r="Y74" i="2"/>
  <c r="AI25" i="2"/>
  <c r="K60" i="1"/>
  <c r="K61" i="1" s="1"/>
  <c r="AJ59" i="1"/>
  <c r="AH59" i="1"/>
  <c r="AH60" i="1"/>
  <c r="AH61" i="1" s="1"/>
  <c r="L59" i="1" l="1"/>
  <c r="N58" i="1"/>
  <c r="N59" i="1" s="1"/>
  <c r="O56" i="1"/>
  <c r="G49" i="17"/>
  <c r="N53" i="1"/>
  <c r="R39" i="11"/>
  <c r="M59" i="1"/>
  <c r="P50" i="1"/>
  <c r="P41" i="1"/>
  <c r="P42" i="1"/>
  <c r="P43" i="1" s="1"/>
  <c r="J22" i="11"/>
  <c r="L61" i="1"/>
  <c r="O58" i="1"/>
  <c r="O16" i="1"/>
  <c r="O52" i="1"/>
  <c r="O51" i="1"/>
  <c r="M61" i="1"/>
  <c r="W60" i="2"/>
  <c r="AJ61" i="1"/>
  <c r="J42" i="2"/>
  <c r="F27" i="11" l="1"/>
  <c r="O53" i="1"/>
  <c r="N60" i="1"/>
  <c r="N61" i="1" s="1"/>
  <c r="H49" i="17"/>
  <c r="O60" i="1"/>
  <c r="O59" i="1"/>
  <c r="P58" i="1"/>
  <c r="P16" i="1"/>
  <c r="P52" i="1"/>
  <c r="P51" i="1"/>
  <c r="J49" i="2"/>
  <c r="J73" i="2"/>
  <c r="J43" i="2"/>
  <c r="P53" i="1" l="1"/>
  <c r="O61" i="1"/>
  <c r="I49" i="17"/>
  <c r="P56" i="1"/>
  <c r="F29" i="11"/>
  <c r="N51" i="11" s="1"/>
  <c r="J52" i="2"/>
  <c r="P60" i="1"/>
  <c r="P61" i="1" s="1"/>
  <c r="P59" i="1"/>
  <c r="J68" i="2"/>
  <c r="J74" i="2"/>
  <c r="J84" i="2"/>
  <c r="N52" i="11" s="1"/>
  <c r="J50" i="2"/>
  <c r="N45" i="11" s="1"/>
  <c r="J59" i="2"/>
  <c r="AE11" i="2"/>
  <c r="AE9" i="2"/>
  <c r="F31" i="11" l="1"/>
  <c r="N49" i="11" s="1"/>
  <c r="N47" i="11"/>
  <c r="J60" i="2"/>
  <c r="N46" i="11" s="1"/>
  <c r="AC42" i="2"/>
  <c r="AE42" i="2"/>
  <c r="AC73" i="2" l="1"/>
  <c r="AC68" i="2" s="1"/>
  <c r="AE49" i="2"/>
  <c r="AE73" i="2"/>
  <c r="AE74" i="2" s="1"/>
  <c r="AC43" i="2"/>
  <c r="AC49" i="2"/>
  <c r="AE43" i="2"/>
  <c r="AC84" i="2" l="1"/>
  <c r="AE52" i="2"/>
  <c r="AE84" i="2"/>
  <c r="AE50" i="2"/>
  <c r="AC59" i="2"/>
  <c r="AE68" i="2"/>
  <c r="AC52" i="2"/>
  <c r="AC50" i="2"/>
  <c r="AC60" i="2" l="1"/>
  <c r="AE57" i="2"/>
  <c r="AG68" i="2"/>
  <c r="AE59" i="2" l="1"/>
  <c r="AG43" i="2"/>
  <c r="AG49" i="2"/>
  <c r="AG84" i="2" l="1"/>
  <c r="AE60" i="2"/>
  <c r="AG57" i="2"/>
  <c r="AG52" i="2"/>
  <c r="AG50" i="2"/>
  <c r="AG59" i="2" l="1"/>
  <c r="AI42" i="2"/>
  <c r="AG60" i="2" l="1"/>
  <c r="AI73" i="2"/>
  <c r="AI74" i="2" s="1"/>
  <c r="AI57" i="2"/>
  <c r="AI43" i="2"/>
  <c r="AI49" i="2"/>
  <c r="AI68" i="2" l="1"/>
  <c r="AI59" i="2"/>
  <c r="AI50" i="2"/>
  <c r="AI52" i="2"/>
  <c r="AI60" i="2" l="1"/>
  <c r="G11" i="1"/>
  <c r="BU9" i="14" s="1"/>
  <c r="BU19" i="14" l="1"/>
  <c r="BV19" i="14"/>
  <c r="G49" i="4"/>
  <c r="G53" i="4"/>
  <c r="G50" i="4"/>
  <c r="G57" i="4"/>
  <c r="AB11" i="1"/>
  <c r="AA5" i="2" l="1"/>
  <c r="BE9" i="14"/>
  <c r="AB13" i="1"/>
  <c r="AA6" i="2" l="1"/>
  <c r="AC6" i="2"/>
  <c r="AF126" i="1"/>
  <c r="K126" i="1"/>
  <c r="L127" i="1" s="1"/>
  <c r="I126" i="1"/>
  <c r="J126" i="1"/>
  <c r="H126" i="1"/>
  <c r="AD126" i="1"/>
  <c r="AJ126" i="1"/>
  <c r="AB126" i="1"/>
  <c r="AH126" i="1"/>
  <c r="H128" i="1" l="1"/>
  <c r="H127" i="1"/>
  <c r="G128" i="1"/>
  <c r="G129" i="1" s="1"/>
  <c r="G127" i="1"/>
  <c r="AH127" i="1"/>
  <c r="AH128" i="1"/>
  <c r="J128" i="1"/>
  <c r="J127" i="1"/>
  <c r="AB128" i="1"/>
  <c r="AB129" i="1" s="1"/>
  <c r="AB127" i="1"/>
  <c r="I127" i="1"/>
  <c r="I128" i="1"/>
  <c r="AJ128" i="1"/>
  <c r="AJ127" i="1"/>
  <c r="K128" i="1"/>
  <c r="L129" i="1" s="1"/>
  <c r="K127" i="1"/>
  <c r="AD127" i="1"/>
  <c r="AD128" i="1"/>
  <c r="AF128" i="1"/>
  <c r="AF127" i="1"/>
  <c r="AD129" i="1" l="1"/>
  <c r="I129" i="1"/>
  <c r="AH129" i="1"/>
  <c r="K129" i="1"/>
  <c r="J129" i="1"/>
  <c r="H129" i="1"/>
  <c r="AF129" i="1"/>
  <c r="AJ129" i="1"/>
  <c r="AG11" i="1" l="1"/>
  <c r="AF50" i="4" l="1"/>
  <c r="AF49" i="4"/>
  <c r="BJ9" i="14"/>
  <c r="AG13" i="1"/>
  <c r="AH11" i="1"/>
  <c r="AG5" i="2" s="1"/>
  <c r="AF53" i="4"/>
  <c r="AF5" i="2"/>
  <c r="AF57" i="4"/>
  <c r="AF11" i="2" l="1"/>
  <c r="AF58" i="4"/>
  <c r="AF54" i="4"/>
  <c r="BK9" i="14"/>
  <c r="AH13" i="1"/>
  <c r="AF6" i="2"/>
  <c r="AH6" i="2"/>
  <c r="AG6" i="2"/>
  <c r="AI6" i="2"/>
  <c r="D45" i="17" l="1"/>
  <c r="D58" i="17" l="1"/>
  <c r="D47" i="17"/>
  <c r="K31" i="2"/>
  <c r="K24" i="2" s="1"/>
  <c r="G25" i="11"/>
  <c r="K34" i="2" l="1"/>
  <c r="D59" i="17"/>
  <c r="D60" i="17" s="1"/>
  <c r="K32" i="2"/>
  <c r="O44" i="11" s="1"/>
  <c r="K42" i="2"/>
  <c r="K6" i="3"/>
  <c r="K49" i="2" l="1"/>
  <c r="K25" i="2"/>
  <c r="G19" i="11"/>
  <c r="K11" i="3"/>
  <c r="G35" i="11"/>
  <c r="G27" i="11"/>
  <c r="K43" i="2"/>
  <c r="K73" i="2"/>
  <c r="K52" i="2" l="1"/>
  <c r="G40" i="11"/>
  <c r="K68" i="2"/>
  <c r="K74" i="2"/>
  <c r="K69" i="2" s="1"/>
  <c r="G29" i="11"/>
  <c r="O51" i="11" s="1"/>
  <c r="K59" i="2"/>
  <c r="K50" i="2"/>
  <c r="O45" i="11" s="1"/>
  <c r="AI82" i="2"/>
  <c r="K83" i="2"/>
  <c r="AI83" i="2" l="1"/>
  <c r="O47" i="11"/>
  <c r="G32" i="11"/>
  <c r="K84" i="2"/>
  <c r="O52" i="11" s="1"/>
  <c r="K60" i="2"/>
  <c r="O46" i="11" s="1"/>
  <c r="G31" i="11"/>
  <c r="O49" i="11" s="1"/>
  <c r="AI84" i="2" l="1"/>
  <c r="O50" i="11"/>
  <c r="L19" i="1"/>
  <c r="L20" i="1" l="1"/>
  <c r="H24" i="11"/>
  <c r="L167" i="1"/>
  <c r="E45" i="17" l="1"/>
  <c r="E46" i="17" s="1"/>
  <c r="L31" i="2" l="1"/>
  <c r="L24" i="2" s="1"/>
  <c r="H25" i="11"/>
  <c r="L36" i="2" l="1"/>
  <c r="L42" i="2"/>
  <c r="L6" i="3"/>
  <c r="L32" i="2"/>
  <c r="P44" i="11" s="1"/>
  <c r="L43" i="2" l="1"/>
  <c r="H19" i="11"/>
  <c r="H35" i="11"/>
  <c r="H27" i="11"/>
  <c r="L73" i="2"/>
  <c r="L75" i="2" s="1"/>
  <c r="L63" i="2" l="1"/>
  <c r="L45" i="2" s="1"/>
  <c r="L25" i="2"/>
  <c r="L65" i="2" l="1"/>
  <c r="L70" i="2" s="1"/>
  <c r="L9" i="3"/>
  <c r="L49" i="2"/>
  <c r="L90" i="2" s="1"/>
  <c r="H28" i="11"/>
  <c r="L54" i="2" l="1"/>
  <c r="L50" i="2"/>
  <c r="P45" i="11" s="1"/>
  <c r="L59" i="2"/>
  <c r="H38" i="11"/>
  <c r="H29" i="11"/>
  <c r="L60" i="2" l="1"/>
  <c r="P46" i="11" s="1"/>
  <c r="AJ54" i="2"/>
  <c r="L81" i="2"/>
  <c r="H31" i="11"/>
  <c r="P49" i="11" s="1"/>
  <c r="AJ55" i="2" l="1"/>
  <c r="L83" i="2"/>
  <c r="L34" i="3" l="1"/>
  <c r="H32" i="11"/>
  <c r="L43" i="4" l="1"/>
  <c r="P34" i="11" s="1"/>
  <c r="P50" i="11"/>
  <c r="H48" i="11"/>
  <c r="L38" i="3"/>
  <c r="L44" i="4" l="1"/>
  <c r="AJ134" i="1"/>
  <c r="P35" i="11" l="1"/>
  <c r="AJ96" i="1"/>
  <c r="AJ97" i="1" s="1"/>
  <c r="AK134" i="1"/>
  <c r="AJ142" i="1"/>
  <c r="AJ143" i="1" s="1"/>
  <c r="P51" i="11" l="1"/>
  <c r="P47" i="11"/>
  <c r="AL134" i="1"/>
  <c r="AL96" i="1" s="1"/>
  <c r="AK96" i="1"/>
  <c r="T42" i="3" l="1"/>
  <c r="U42" i="3" s="1"/>
  <c r="V42" i="3" s="1"/>
  <c r="W42" i="3" s="1"/>
  <c r="X42" i="3" s="1"/>
  <c r="Y42" i="3" s="1"/>
  <c r="Z42" i="3" s="1"/>
  <c r="AA42" i="3" s="1"/>
  <c r="AB42" i="3" s="1"/>
  <c r="AC42" i="3" s="1"/>
  <c r="AD42" i="3" s="1"/>
  <c r="AE42" i="3" s="1"/>
  <c r="AF42" i="3" s="1"/>
  <c r="AG42" i="3" s="1"/>
  <c r="AH42" i="3" s="1"/>
  <c r="AI42" i="3" s="1"/>
  <c r="M10" i="1" l="1"/>
  <c r="L10" i="1"/>
  <c r="AL10" i="1"/>
  <c r="BZ8" i="14" l="1"/>
  <c r="BZ18" i="14" s="1"/>
  <c r="BO8" i="14"/>
  <c r="H17" i="11"/>
  <c r="L11" i="1"/>
  <c r="AL154" i="1"/>
  <c r="I17" i="11"/>
  <c r="M11" i="1"/>
  <c r="E43" i="17" l="1"/>
  <c r="E47" i="17" s="1"/>
  <c r="E48" i="17" s="1"/>
  <c r="AP8" i="14"/>
  <c r="AP18" i="14" s="1"/>
  <c r="BO18" i="14"/>
  <c r="F43" i="17"/>
  <c r="BZ9" i="14"/>
  <c r="BZ19" i="14" s="1"/>
  <c r="N10" i="1"/>
  <c r="H18" i="11"/>
  <c r="L5" i="2"/>
  <c r="L56" i="4"/>
  <c r="L25" i="4" s="1"/>
  <c r="L48" i="4"/>
  <c r="L52" i="4"/>
  <c r="M56" i="4"/>
  <c r="M25" i="4" s="1"/>
  <c r="I18" i="11"/>
  <c r="M48" i="4"/>
  <c r="M5" i="2"/>
  <c r="M52" i="4"/>
  <c r="M9" i="2" l="1"/>
  <c r="L9" i="2"/>
  <c r="E44" i="17"/>
  <c r="E50" i="17"/>
  <c r="E56" i="17"/>
  <c r="E52" i="17"/>
  <c r="F56" i="17"/>
  <c r="F52" i="17"/>
  <c r="F50" i="17"/>
  <c r="F44" i="17"/>
  <c r="M58" i="4"/>
  <c r="M54" i="4"/>
  <c r="L58" i="4"/>
  <c r="L54" i="4"/>
  <c r="M6" i="2"/>
  <c r="Q43" i="11" s="1"/>
  <c r="L7" i="4"/>
  <c r="L60" i="4"/>
  <c r="L8" i="4"/>
  <c r="P24" i="11"/>
  <c r="L31" i="4"/>
  <c r="O10" i="1"/>
  <c r="O11" i="1" s="1"/>
  <c r="H43" i="17" s="1"/>
  <c r="N11" i="1"/>
  <c r="J17" i="11"/>
  <c r="Q24" i="11"/>
  <c r="M31" i="4"/>
  <c r="M7" i="4"/>
  <c r="M60" i="4"/>
  <c r="M8" i="4"/>
  <c r="P16" i="11" l="1"/>
  <c r="L50" i="4"/>
  <c r="Q16" i="11"/>
  <c r="M50" i="4"/>
  <c r="G43" i="17"/>
  <c r="G52" i="17" s="1"/>
  <c r="H56" i="17"/>
  <c r="H52" i="17"/>
  <c r="H50" i="17"/>
  <c r="P10" i="1"/>
  <c r="P11" i="1" s="1"/>
  <c r="I43" i="17" s="1"/>
  <c r="J43" i="17" s="1"/>
  <c r="O52" i="4"/>
  <c r="O48" i="4"/>
  <c r="O5" i="2"/>
  <c r="O56" i="4"/>
  <c r="O25" i="4" s="1"/>
  <c r="N56" i="4"/>
  <c r="N25" i="4" s="1"/>
  <c r="N5" i="2"/>
  <c r="N9" i="2" s="1"/>
  <c r="J18" i="11"/>
  <c r="N48" i="4"/>
  <c r="N52" i="4"/>
  <c r="L61" i="4"/>
  <c r="L8" i="3" s="1"/>
  <c r="L62" i="4"/>
  <c r="P27" i="11"/>
  <c r="P26" i="11" s="1"/>
  <c r="L39" i="4"/>
  <c r="P15" i="11"/>
  <c r="Q27" i="11"/>
  <c r="Q26" i="11" s="1"/>
  <c r="M39" i="4"/>
  <c r="M61" i="4"/>
  <c r="M8" i="3" s="1"/>
  <c r="M62" i="4"/>
  <c r="Q15" i="11"/>
  <c r="O9" i="2" l="1"/>
  <c r="F53" i="17"/>
  <c r="F54" i="17" s="1"/>
  <c r="N6" i="2"/>
  <c r="R43" i="11" s="1"/>
  <c r="E53" i="17"/>
  <c r="E54" i="17" s="1"/>
  <c r="G50" i="17"/>
  <c r="G56" i="17"/>
  <c r="H44" i="17"/>
  <c r="G44" i="17"/>
  <c r="K43" i="17"/>
  <c r="I44" i="17"/>
  <c r="I52" i="17"/>
  <c r="J52" i="17" s="1"/>
  <c r="J51" i="17" s="1"/>
  <c r="I56" i="17"/>
  <c r="J56" i="17" s="1"/>
  <c r="J55" i="17" s="1"/>
  <c r="I50" i="17"/>
  <c r="J50" i="17" s="1"/>
  <c r="J49" i="17" s="1"/>
  <c r="O54" i="4"/>
  <c r="O58" i="4"/>
  <c r="N58" i="4"/>
  <c r="N54" i="4"/>
  <c r="H39" i="11"/>
  <c r="L12" i="3"/>
  <c r="I39" i="11"/>
  <c r="N31" i="4"/>
  <c r="R24" i="11"/>
  <c r="N7" i="4"/>
  <c r="N60" i="4"/>
  <c r="O31" i="4"/>
  <c r="P52" i="4"/>
  <c r="P48" i="4"/>
  <c r="P5" i="2"/>
  <c r="P9" i="2" s="1"/>
  <c r="P56" i="4"/>
  <c r="P25" i="4" s="1"/>
  <c r="N8" i="4"/>
  <c r="O6" i="2"/>
  <c r="O8" i="4"/>
  <c r="O7" i="4"/>
  <c r="O60" i="4"/>
  <c r="E58" i="17" l="1"/>
  <c r="E59" i="17" s="1"/>
  <c r="E60" i="17" s="1"/>
  <c r="R16" i="11"/>
  <c r="O50" i="4"/>
  <c r="O39" i="4"/>
  <c r="N50" i="4"/>
  <c r="P6" i="2"/>
  <c r="L43" i="17"/>
  <c r="K50" i="17"/>
  <c r="K49" i="17" s="1"/>
  <c r="K56" i="17"/>
  <c r="K55" i="17" s="1"/>
  <c r="K52" i="17"/>
  <c r="K51" i="17" s="1"/>
  <c r="P58" i="4"/>
  <c r="P54" i="4"/>
  <c r="H41" i="11"/>
  <c r="H47" i="11" s="1"/>
  <c r="L21" i="3"/>
  <c r="L41" i="3" s="1"/>
  <c r="O61" i="4"/>
  <c r="O8" i="3" s="1"/>
  <c r="O62" i="4"/>
  <c r="R15" i="11"/>
  <c r="P7" i="4"/>
  <c r="P60" i="4"/>
  <c r="P8" i="4"/>
  <c r="P31" i="4"/>
  <c r="N62" i="4"/>
  <c r="N61" i="4"/>
  <c r="N8" i="3" s="1"/>
  <c r="N39" i="4"/>
  <c r="R27" i="11"/>
  <c r="R26" i="11" s="1"/>
  <c r="H50" i="11" l="1"/>
  <c r="G53" i="17"/>
  <c r="G54" i="17" s="1"/>
  <c r="P50" i="4"/>
  <c r="H53" i="17"/>
  <c r="H54" i="17" s="1"/>
  <c r="P39" i="4"/>
  <c r="E61" i="17"/>
  <c r="E64" i="17"/>
  <c r="M43" i="17"/>
  <c r="L52" i="17"/>
  <c r="L51" i="17" s="1"/>
  <c r="L56" i="17"/>
  <c r="L55" i="17" s="1"/>
  <c r="L50" i="17"/>
  <c r="L49" i="17" s="1"/>
  <c r="L42" i="3"/>
  <c r="J39" i="11"/>
  <c r="P62" i="4"/>
  <c r="P61" i="4"/>
  <c r="P8" i="3" s="1"/>
  <c r="AC10" i="2"/>
  <c r="AC11" i="2" s="1"/>
  <c r="H9" i="2"/>
  <c r="H11" i="2"/>
  <c r="P53" i="11" l="1"/>
  <c r="I53" i="17"/>
  <c r="I54" i="17" s="1"/>
  <c r="J54" i="17" s="1"/>
  <c r="N43" i="17"/>
  <c r="M56" i="17"/>
  <c r="M55" i="17" s="1"/>
  <c r="M50" i="17"/>
  <c r="M49" i="17" s="1"/>
  <c r="M52" i="17"/>
  <c r="M51" i="17" s="1"/>
  <c r="M40" i="3"/>
  <c r="L6" i="4"/>
  <c r="AC9" i="2"/>
  <c r="AE12" i="2"/>
  <c r="I12" i="2"/>
  <c r="L12" i="4" l="1"/>
  <c r="J53" i="17"/>
  <c r="K54" i="17"/>
  <c r="N50" i="17"/>
  <c r="N52" i="17"/>
  <c r="N51" i="17" s="1"/>
  <c r="N56" i="17"/>
  <c r="N55" i="17" s="1"/>
  <c r="P14" i="11"/>
  <c r="L64" i="4"/>
  <c r="L66" i="4" s="1"/>
  <c r="I70" i="17" l="1"/>
  <c r="E15" i="17" s="1"/>
  <c r="N49" i="17"/>
  <c r="K53" i="17"/>
  <c r="L54" i="17"/>
  <c r="L67" i="4"/>
  <c r="H51" i="11" s="1"/>
  <c r="P36" i="11"/>
  <c r="P18" i="11"/>
  <c r="P17" i="11" s="1"/>
  <c r="L22" i="4"/>
  <c r="W72" i="1"/>
  <c r="U68" i="1"/>
  <c r="L45" i="4" l="1"/>
  <c r="L53" i="17"/>
  <c r="M54" i="17"/>
  <c r="V68" i="1"/>
  <c r="W69" i="1"/>
  <c r="M53" i="17" l="1"/>
  <c r="N54" i="17"/>
  <c r="N53" i="17" s="1"/>
  <c r="X72" i="1"/>
  <c r="X69" i="1"/>
  <c r="K5" i="2"/>
  <c r="G18" i="11"/>
  <c r="K9" i="2" l="1"/>
  <c r="L6" i="2"/>
  <c r="P43" i="11" s="1"/>
  <c r="K54" i="4"/>
  <c r="K58" i="4"/>
  <c r="K11" i="2"/>
  <c r="F18" i="11" l="1"/>
  <c r="J5" i="2"/>
  <c r="J58" i="4" l="1"/>
  <c r="J54" i="4"/>
  <c r="J9" i="2"/>
  <c r="J6" i="2"/>
  <c r="N43" i="11" s="1"/>
  <c r="J11" i="2"/>
  <c r="K6" i="2"/>
  <c r="O43" i="11" s="1"/>
  <c r="J12" i="2" l="1"/>
  <c r="K12" i="2"/>
  <c r="G13" i="1"/>
  <c r="G5" i="2"/>
  <c r="H6" i="2" l="1"/>
  <c r="G58" i="4"/>
  <c r="G54" i="4"/>
  <c r="G11" i="2"/>
  <c r="G9" i="2"/>
  <c r="H12" i="2" l="1"/>
  <c r="F13" i="1"/>
  <c r="F5" i="2"/>
  <c r="G6" i="2" l="1"/>
  <c r="F58" i="4"/>
  <c r="F54" i="4"/>
  <c r="F9" i="2"/>
  <c r="F11" i="2"/>
  <c r="G12" i="2" l="1"/>
  <c r="E13" i="1"/>
  <c r="E5" i="2"/>
  <c r="E11" i="2" l="1"/>
  <c r="F12" i="2" s="1"/>
  <c r="E54" i="4"/>
  <c r="E58" i="4"/>
  <c r="E9" i="2"/>
  <c r="F6" i="2"/>
  <c r="D13" i="1" l="1"/>
  <c r="D5" i="2"/>
  <c r="D9" i="2" l="1"/>
  <c r="D54" i="4"/>
  <c r="D58" i="4"/>
  <c r="D6" i="2"/>
  <c r="D11" i="2"/>
  <c r="E6" i="2"/>
  <c r="E12" i="2" l="1"/>
  <c r="D12" i="2"/>
  <c r="AI10" i="2"/>
  <c r="AI9" i="2" s="1"/>
  <c r="AH9" i="2"/>
  <c r="AI11" i="2" l="1"/>
  <c r="AF9" i="2"/>
  <c r="AG10" i="2"/>
  <c r="AG9" i="2" s="1"/>
  <c r="AG11" i="2" l="1"/>
  <c r="AG12" i="2" s="1"/>
  <c r="AI12" i="2" l="1"/>
  <c r="AH12" i="2"/>
  <c r="AF12" i="2"/>
  <c r="AA10" i="2"/>
  <c r="AA11" i="2" s="1"/>
  <c r="AA12" i="2" s="1"/>
  <c r="Z9" i="2"/>
  <c r="AC12" i="2" l="1"/>
  <c r="AA9" i="2"/>
  <c r="AB12" i="2" l="1"/>
  <c r="Z12" i="2"/>
  <c r="BM19" i="14" l="1"/>
  <c r="BI19" i="14"/>
  <c r="AY19" i="14" l="1"/>
  <c r="AZ19" i="14"/>
  <c r="BG19" i="14"/>
  <c r="BH19" i="14"/>
  <c r="BA19" i="14"/>
  <c r="BB19" i="14"/>
  <c r="BC19" i="14" l="1"/>
  <c r="BD19" i="14"/>
  <c r="BE19" i="14" l="1"/>
  <c r="BF19" i="14"/>
  <c r="BJ19" i="14" l="1"/>
  <c r="BK19" i="14" l="1"/>
  <c r="BL19" i="14"/>
  <c r="J23" i="14" l="1"/>
  <c r="N22" i="14"/>
  <c r="R23" i="14"/>
  <c r="R27" i="14" s="1"/>
  <c r="J22" i="14"/>
  <c r="AJ23" i="14"/>
  <c r="AJ27" i="14" s="1"/>
  <c r="AD22" i="14"/>
  <c r="X22" i="14"/>
  <c r="AB22" i="14"/>
  <c r="AH23" i="14"/>
  <c r="AH27" i="14" s="1"/>
  <c r="P22" i="14"/>
  <c r="L22" i="14"/>
  <c r="R22" i="14"/>
  <c r="X23" i="14"/>
  <c r="X27" i="14" s="1"/>
  <c r="AD23" i="14"/>
  <c r="AD27" i="14" s="1"/>
  <c r="AF22" i="14"/>
  <c r="V23" i="14"/>
  <c r="V27" i="14" s="1"/>
  <c r="AB23" i="14"/>
  <c r="AB27" i="14" s="1"/>
  <c r="AF23" i="14"/>
  <c r="AF27" i="14" s="1"/>
  <c r="T22" i="14"/>
  <c r="T23" i="14"/>
  <c r="T27" i="14" s="1"/>
  <c r="P23" i="14"/>
  <c r="P27" i="14" s="1"/>
  <c r="N23" i="14"/>
  <c r="N27" i="14" s="1"/>
  <c r="L23" i="14"/>
  <c r="L27" i="14" s="1"/>
  <c r="L26" i="14" l="1"/>
  <c r="AJ26" i="14"/>
  <c r="P26" i="14"/>
  <c r="AF26" i="14"/>
  <c r="T26" i="14"/>
  <c r="AB26" i="14"/>
  <c r="X26" i="14"/>
  <c r="N26" i="14"/>
  <c r="R26" i="14"/>
  <c r="AD26" i="14"/>
  <c r="AH35" i="14"/>
  <c r="AH36" i="14" s="1"/>
  <c r="BK36" i="14" s="1"/>
  <c r="AH26" i="14"/>
  <c r="N57" i="14"/>
  <c r="N58" i="14" s="1"/>
  <c r="T35" i="14"/>
  <c r="T36" i="14" s="1"/>
  <c r="BD36" i="14" s="1"/>
  <c r="BU36" i="14" s="1"/>
  <c r="R57" i="14"/>
  <c r="R58" i="14" s="1"/>
  <c r="X35" i="14"/>
  <c r="BF35" i="14" s="1"/>
  <c r="BV35" i="14" s="1"/>
  <c r="N35" i="14"/>
  <c r="BA35" i="14" s="1"/>
  <c r="L35" i="14"/>
  <c r="L36" i="14" s="1"/>
  <c r="AZ36" i="14" s="1"/>
  <c r="T57" i="14"/>
  <c r="T58" i="14" s="1"/>
  <c r="AB57" i="14"/>
  <c r="AB58" i="14" s="1"/>
  <c r="AD35" i="14"/>
  <c r="AD36" i="14" s="1"/>
  <c r="BI36" i="14" s="1"/>
  <c r="AH57" i="14"/>
  <c r="BK57" i="14" s="1"/>
  <c r="AF57" i="14"/>
  <c r="AF58" i="14" s="1"/>
  <c r="AF35" i="14"/>
  <c r="AF36" i="14" s="1"/>
  <c r="BJ36" i="14" s="1"/>
  <c r="R35" i="14"/>
  <c r="R36" i="14" s="1"/>
  <c r="BC36" i="14" s="1"/>
  <c r="AJ35" i="14"/>
  <c r="BL35" i="14" s="1"/>
  <c r="BY35" i="14" s="1"/>
  <c r="V57" i="14"/>
  <c r="V58" i="14" s="1"/>
  <c r="X57" i="14"/>
  <c r="X58" i="14" s="1"/>
  <c r="P35" i="14"/>
  <c r="BB35" i="14" s="1"/>
  <c r="AD57" i="14"/>
  <c r="P57" i="14"/>
  <c r="P58" i="14" s="1"/>
  <c r="AJ57" i="14"/>
  <c r="BL57" i="14" s="1"/>
  <c r="BY57" i="14" s="1"/>
  <c r="AB35" i="14"/>
  <c r="L57" i="14"/>
  <c r="L58" i="14" s="1"/>
  <c r="BK35" i="14" l="1"/>
  <c r="BH57" i="14"/>
  <c r="BD57" i="14"/>
  <c r="AH58" i="14"/>
  <c r="BK58" i="14" s="1"/>
  <c r="BD35" i="14"/>
  <c r="BU35" i="14" s="1"/>
  <c r="X36" i="14"/>
  <c r="BF36" i="14" s="1"/>
  <c r="BV36" i="14" s="1"/>
  <c r="AZ35" i="14"/>
  <c r="BI35" i="14"/>
  <c r="N36" i="14"/>
  <c r="BA36" i="14" s="1"/>
  <c r="BJ35" i="14"/>
  <c r="AJ58" i="14"/>
  <c r="BL58" i="14" s="1"/>
  <c r="BY58" i="14" s="1"/>
  <c r="BJ57" i="14"/>
  <c r="BX57" i="14" s="1"/>
  <c r="BX36" i="14"/>
  <c r="BJ58" i="14"/>
  <c r="BE58" i="14"/>
  <c r="BD58" i="14"/>
  <c r="BF58" i="14"/>
  <c r="BV58" i="14" s="1"/>
  <c r="BH58" i="14"/>
  <c r="BF57" i="14"/>
  <c r="BV57" i="14" s="1"/>
  <c r="BC35" i="14"/>
  <c r="AJ36" i="14"/>
  <c r="BL36" i="14" s="1"/>
  <c r="BY36" i="14" s="1"/>
  <c r="P36" i="14"/>
  <c r="BB36" i="14" s="1"/>
  <c r="BE57" i="14"/>
  <c r="BI57" i="14"/>
  <c r="AD58" i="14"/>
  <c r="AB36" i="14"/>
  <c r="BH36" i="14" s="1"/>
  <c r="BW36" i="14" s="1"/>
  <c r="BH35" i="14"/>
  <c r="BX35" i="14" l="1"/>
  <c r="BW57" i="14"/>
  <c r="BU57" i="14"/>
  <c r="BW35" i="14"/>
  <c r="BU58" i="14"/>
  <c r="BX58" i="14"/>
  <c r="BI58" i="14"/>
  <c r="BW58" i="14" s="1"/>
  <c r="AK26" i="1"/>
  <c r="AK24" i="1" l="1"/>
  <c r="AK23" i="1" s="1"/>
  <c r="AK56" i="1" l="1"/>
  <c r="AK37" i="1"/>
  <c r="AK38" i="1" s="1"/>
  <c r="AK7" i="1"/>
  <c r="AL23" i="1"/>
  <c r="AK47" i="1"/>
  <c r="AK48" i="1" s="1"/>
  <c r="AK30" i="1"/>
  <c r="AK88" i="1"/>
  <c r="AK89" i="1" s="1"/>
  <c r="AL56" i="1" l="1"/>
  <c r="BN6" i="14"/>
  <c r="BN16" i="14" s="1"/>
  <c r="BN26" i="14" s="1"/>
  <c r="AL88" i="1"/>
  <c r="AL89" i="1" s="1"/>
  <c r="AL24" i="1"/>
  <c r="AL7" i="1"/>
  <c r="AL47" i="1"/>
  <c r="AL48" i="1" s="1"/>
  <c r="AL37" i="1"/>
  <c r="AL38" i="1" s="1"/>
  <c r="AL30" i="1"/>
  <c r="AK31" i="1"/>
  <c r="AK40" i="1"/>
  <c r="AK41" i="1" l="1"/>
  <c r="AN6" i="14"/>
  <c r="AL32" i="1"/>
  <c r="BO6" i="14"/>
  <c r="BO16" i="14" s="1"/>
  <c r="BO26" i="14" s="1"/>
  <c r="AL31" i="1"/>
  <c r="AK42" i="1"/>
  <c r="AK43" i="1" s="1"/>
  <c r="AL40" i="1"/>
  <c r="AK50" i="1"/>
  <c r="AL33" i="1" l="1"/>
  <c r="AL41" i="1"/>
  <c r="AL50" i="1"/>
  <c r="AL52" i="1" s="1"/>
  <c r="AN16" i="14"/>
  <c r="AP6" i="14"/>
  <c r="AL42" i="1"/>
  <c r="AL43" i="1" s="1"/>
  <c r="AK51" i="1"/>
  <c r="AK16" i="1"/>
  <c r="AK58" i="1"/>
  <c r="AK59" i="1" s="1"/>
  <c r="AK52" i="1"/>
  <c r="AL53" i="1" l="1"/>
  <c r="AK53" i="1"/>
  <c r="AL51" i="1"/>
  <c r="AL16" i="1"/>
  <c r="AL58" i="1"/>
  <c r="AL59" i="1" s="1"/>
  <c r="AN26" i="14"/>
  <c r="AP16" i="14"/>
  <c r="AK60" i="1"/>
  <c r="AK61" i="1" s="1"/>
  <c r="AL60" i="1" l="1"/>
  <c r="AL61" i="1" s="1"/>
  <c r="AP26" i="14"/>
  <c r="AL26" i="1"/>
  <c r="AL95" i="1"/>
  <c r="AK95" i="1"/>
  <c r="AK94" i="1" s="1"/>
  <c r="AK93" i="1" s="1"/>
  <c r="AL28" i="1" l="1"/>
  <c r="AK116" i="1"/>
  <c r="AK117" i="1" s="1"/>
  <c r="AK8" i="1"/>
  <c r="AK99" i="1"/>
  <c r="AK106" i="1"/>
  <c r="AK107" i="1" s="1"/>
  <c r="AL93" i="1"/>
  <c r="AK149" i="1"/>
  <c r="AK150" i="1" s="1"/>
  <c r="AL116" i="1" l="1"/>
  <c r="AL117" i="1" s="1"/>
  <c r="AL8" i="1"/>
  <c r="AL94" i="1"/>
  <c r="AL97" i="1" s="1"/>
  <c r="AL149" i="1"/>
  <c r="AL150" i="1" s="1"/>
  <c r="AL106" i="1"/>
  <c r="AL107" i="1" s="1"/>
  <c r="AK100" i="1"/>
  <c r="AK109" i="1"/>
  <c r="AL99" i="1"/>
  <c r="AK11" i="1"/>
  <c r="BN7" i="14"/>
  <c r="BN9" i="14" l="1"/>
  <c r="AJ5" i="2"/>
  <c r="AJ9" i="2" s="1"/>
  <c r="AL100" i="1"/>
  <c r="AL101" i="1"/>
  <c r="AL102" i="1" s="1"/>
  <c r="AL11" i="1"/>
  <c r="BO7" i="14"/>
  <c r="BN17" i="14"/>
  <c r="BN27" i="14" s="1"/>
  <c r="AN7" i="14"/>
  <c r="AN17" i="14" s="1"/>
  <c r="AN27" i="14" s="1"/>
  <c r="AL109" i="1"/>
  <c r="AL119" i="1" s="1"/>
  <c r="AK119" i="1"/>
  <c r="AK111" i="1"/>
  <c r="AK112" i="1" s="1"/>
  <c r="AK110" i="1"/>
  <c r="AJ6" i="2" l="1"/>
  <c r="AK126" i="1"/>
  <c r="AK120" i="1"/>
  <c r="AK17" i="1"/>
  <c r="AK121" i="1"/>
  <c r="AK122" i="1" s="1"/>
  <c r="AL110" i="1"/>
  <c r="AL111" i="1"/>
  <c r="AL112" i="1" s="1"/>
  <c r="BN19" i="14"/>
  <c r="AN9" i="14"/>
  <c r="AN19" i="14" s="1"/>
  <c r="BO17" i="14"/>
  <c r="BO27" i="14" s="1"/>
  <c r="AP7" i="14"/>
  <c r="AP17" i="14" s="1"/>
  <c r="AP27" i="14" s="1"/>
  <c r="AK5" i="2"/>
  <c r="AK9" i="2" s="1"/>
  <c r="BO9" i="14"/>
  <c r="AK6" i="2" l="1"/>
  <c r="AP9" i="14"/>
  <c r="AP19" i="14" s="1"/>
  <c r="BO19" i="14"/>
  <c r="AL17" i="1"/>
  <c r="AL120" i="1"/>
  <c r="AL126" i="1"/>
  <c r="AL121" i="1"/>
  <c r="AL122" i="1" s="1"/>
  <c r="AK20" i="1"/>
  <c r="AK128" i="1"/>
  <c r="AK129" i="1" s="1"/>
  <c r="AK127" i="1"/>
  <c r="AL20" i="1" l="1"/>
  <c r="AL128" i="1"/>
  <c r="AL129" i="1" s="1"/>
  <c r="AL127" i="1"/>
  <c r="AJ31" i="2"/>
  <c r="AK31" i="2" l="1"/>
  <c r="AJ32" i="2"/>
  <c r="AJ42" i="2"/>
  <c r="AJ24" i="2"/>
  <c r="AJ36" i="2"/>
  <c r="AK36" i="2" l="1"/>
  <c r="AK24" i="2"/>
  <c r="AK32" i="2"/>
  <c r="AJ25" i="2"/>
  <c r="AK42" i="2"/>
  <c r="AJ43" i="2"/>
  <c r="AJ73" i="2"/>
  <c r="AK25" i="2" l="1"/>
  <c r="AJ75" i="2"/>
  <c r="AK75" i="2" s="1"/>
  <c r="AJ63" i="2"/>
  <c r="AK73" i="2"/>
  <c r="AK43" i="2"/>
  <c r="AK63" i="2" l="1"/>
  <c r="AJ45" i="2"/>
  <c r="AJ65" i="2"/>
  <c r="AJ49" i="2" l="1"/>
  <c r="AK65" i="2"/>
  <c r="AK70" i="2" s="1"/>
  <c r="AJ70" i="2"/>
  <c r="AK45" i="2"/>
  <c r="AK68" i="2"/>
  <c r="AK49" i="2" l="1"/>
  <c r="AJ50" i="2"/>
  <c r="AJ59" i="2"/>
  <c r="AJ60" i="2" l="1"/>
  <c r="AJ81" i="2"/>
  <c r="AK59" i="2"/>
  <c r="AK50" i="2"/>
  <c r="AJ83" i="2" l="1"/>
  <c r="AK81" i="2"/>
  <c r="AK60" i="2"/>
  <c r="AK83" i="2" l="1"/>
  <c r="AK84" i="2" l="1"/>
  <c r="M167" i="1" l="1"/>
  <c r="M19" i="1"/>
  <c r="I24" i="11" s="1"/>
  <c r="M156" i="1"/>
  <c r="M157" i="1" l="1"/>
  <c r="M20" i="1"/>
  <c r="I25" i="11" s="1"/>
  <c r="M31" i="2" l="1"/>
  <c r="F45" i="17"/>
  <c r="F58" i="17" s="1"/>
  <c r="M36" i="2" l="1"/>
  <c r="M32" i="2"/>
  <c r="Q44" i="11" s="1"/>
  <c r="M24" i="2"/>
  <c r="M42" i="2"/>
  <c r="M6" i="3"/>
  <c r="F47" i="17"/>
  <c r="F48" i="17" s="1"/>
  <c r="F46" i="17"/>
  <c r="F59" i="17"/>
  <c r="F60" i="17" s="1"/>
  <c r="M43" i="2" l="1"/>
  <c r="I19" i="11"/>
  <c r="I35" i="11"/>
  <c r="I27" i="11"/>
  <c r="M25" i="2"/>
  <c r="M73" i="2"/>
  <c r="M63" i="2" s="1"/>
  <c r="M65" i="2" s="1"/>
  <c r="F61" i="17"/>
  <c r="F64" i="17"/>
  <c r="M45" i="2" l="1"/>
  <c r="M75" i="2"/>
  <c r="M70" i="2" s="1"/>
  <c r="M9" i="3" l="1"/>
  <c r="M49" i="2"/>
  <c r="M90" i="2" s="1"/>
  <c r="I28" i="11"/>
  <c r="M12" i="3" l="1"/>
  <c r="I41" i="11" s="1"/>
  <c r="I47" i="11" s="1"/>
  <c r="I38" i="11"/>
  <c r="M59" i="2"/>
  <c r="M50" i="2"/>
  <c r="Q45" i="11" s="1"/>
  <c r="I29" i="11"/>
  <c r="M54" i="2"/>
  <c r="M21" i="3" l="1"/>
  <c r="D33" i="17"/>
  <c r="E22" i="17" s="1"/>
  <c r="M81" i="2"/>
  <c r="M83" i="2" s="1"/>
  <c r="I31" i="11"/>
  <c r="Q49" i="11" s="1"/>
  <c r="M60" i="2"/>
  <c r="Q46" i="11" s="1"/>
  <c r="AK54" i="2"/>
  <c r="Q53" i="11" l="1"/>
  <c r="M34" i="3"/>
  <c r="I32" i="11"/>
  <c r="Q50" i="11" s="1"/>
  <c r="D35" i="17"/>
  <c r="E24" i="17" s="1"/>
  <c r="AK55" i="2"/>
  <c r="I48" i="11" l="1"/>
  <c r="I50" i="11" s="1"/>
  <c r="M43" i="4"/>
  <c r="M38" i="3"/>
  <c r="Q34" i="11" l="1"/>
  <c r="M44" i="4"/>
  <c r="M41" i="3"/>
  <c r="M42" i="3" s="1"/>
  <c r="M6" i="4" s="1"/>
  <c r="Q35" i="11" l="1"/>
  <c r="Q47" i="11" s="1"/>
  <c r="N40" i="3"/>
  <c r="Q14" i="11"/>
  <c r="M12" i="4"/>
  <c r="M64" i="4"/>
  <c r="M66" i="4" s="1"/>
  <c r="Q51" i="11" l="1"/>
  <c r="Q36" i="11"/>
  <c r="M67" i="4"/>
  <c r="I51" i="11" s="1"/>
  <c r="Q18" i="11"/>
  <c r="Q17" i="11" s="1"/>
  <c r="M22" i="4"/>
  <c r="N156" i="1"/>
  <c r="N19" i="1"/>
  <c r="M45" i="4" l="1"/>
  <c r="N157" i="1"/>
  <c r="N20" i="1"/>
  <c r="J24" i="11"/>
  <c r="N31" i="2" l="1"/>
  <c r="J25" i="11"/>
  <c r="G45" i="17"/>
  <c r="G58" i="17" l="1"/>
  <c r="G46" i="17"/>
  <c r="G47" i="17"/>
  <c r="G48" i="17" s="1"/>
  <c r="N36" i="2"/>
  <c r="N24" i="2"/>
  <c r="N32" i="2"/>
  <c r="R44" i="11" s="1"/>
  <c r="N42" i="2"/>
  <c r="N6" i="3"/>
  <c r="N25" i="2" l="1"/>
  <c r="J19" i="11"/>
  <c r="J35" i="11"/>
  <c r="N43" i="2"/>
  <c r="J27" i="11"/>
  <c r="N73" i="2"/>
  <c r="G59" i="17"/>
  <c r="G60" i="17" s="1"/>
  <c r="N75" i="2" l="1"/>
  <c r="N63" i="2"/>
  <c r="G61" i="17"/>
  <c r="G64" i="17"/>
  <c r="N65" i="2" l="1"/>
  <c r="N70" i="2" s="1"/>
  <c r="N45" i="2"/>
  <c r="N9" i="3" l="1"/>
  <c r="N49" i="2"/>
  <c r="N90" i="2" s="1"/>
  <c r="J28" i="11"/>
  <c r="J29" i="11" l="1"/>
  <c r="N54" i="2"/>
  <c r="N50" i="2"/>
  <c r="R45" i="11" s="1"/>
  <c r="N59" i="2"/>
  <c r="J38" i="11"/>
  <c r="N12" i="3"/>
  <c r="J31" i="11" l="1"/>
  <c r="R49" i="11" s="1"/>
  <c r="N81" i="2"/>
  <c r="N83" i="2" s="1"/>
  <c r="N60" i="2"/>
  <c r="R46" i="11" s="1"/>
  <c r="N21" i="3"/>
  <c r="J41" i="11"/>
  <c r="J47" i="11" s="1"/>
  <c r="J32" i="11" l="1"/>
  <c r="N34" i="3"/>
  <c r="R53" i="11" l="1"/>
  <c r="N38" i="3"/>
  <c r="J48" i="11"/>
  <c r="J50" i="11" s="1"/>
  <c r="N43" i="4"/>
  <c r="R50" i="11"/>
  <c r="N41" i="3" l="1"/>
  <c r="R34" i="11"/>
  <c r="N44" i="4"/>
  <c r="N42" i="3" l="1"/>
  <c r="N6" i="4" s="1"/>
  <c r="R35" i="11"/>
  <c r="R47" i="11" s="1"/>
  <c r="O40" i="3" l="1"/>
  <c r="R51" i="11"/>
  <c r="N64" i="4"/>
  <c r="N66" i="4" s="1"/>
  <c r="N12" i="4"/>
  <c r="R14" i="11"/>
  <c r="R18" i="11" l="1"/>
  <c r="R17" i="11" s="1"/>
  <c r="N22" i="4"/>
  <c r="N67" i="4"/>
  <c r="J51" i="11" s="1"/>
  <c r="R36" i="11"/>
  <c r="P156" i="1"/>
  <c r="P19" i="1"/>
  <c r="P20" i="1" s="1"/>
  <c r="O156" i="1"/>
  <c r="O19" i="1"/>
  <c r="O20" i="1" s="1"/>
  <c r="O31" i="2" s="1"/>
  <c r="N45" i="4" l="1"/>
  <c r="I45" i="17"/>
  <c r="I58" i="17" s="1"/>
  <c r="P31" i="2"/>
  <c r="O157" i="1"/>
  <c r="P157" i="1"/>
  <c r="O36" i="2"/>
  <c r="O6" i="3"/>
  <c r="O42" i="2"/>
  <c r="O32" i="2"/>
  <c r="O24" i="2"/>
  <c r="H45" i="17"/>
  <c r="P6" i="3" l="1"/>
  <c r="O25" i="2"/>
  <c r="I46" i="17"/>
  <c r="I47" i="17"/>
  <c r="J47" i="17" s="1"/>
  <c r="P24" i="2"/>
  <c r="P36" i="2"/>
  <c r="P42" i="2"/>
  <c r="P32" i="2"/>
  <c r="H46" i="17"/>
  <c r="H58" i="17"/>
  <c r="H47" i="17"/>
  <c r="H48" i="17" s="1"/>
  <c r="O73" i="2"/>
  <c r="O43" i="2"/>
  <c r="I59" i="17"/>
  <c r="I60" i="17" s="1"/>
  <c r="P25" i="2" l="1"/>
  <c r="P43" i="2"/>
  <c r="P73" i="2"/>
  <c r="P63" i="2" s="1"/>
  <c r="J45" i="17"/>
  <c r="K47" i="17"/>
  <c r="I48" i="17"/>
  <c r="O75" i="2"/>
  <c r="O63" i="2"/>
  <c r="I64" i="17"/>
  <c r="H59" i="17"/>
  <c r="H60" i="17" s="1"/>
  <c r="P75" i="2" l="1"/>
  <c r="H64" i="17"/>
  <c r="H61" i="17"/>
  <c r="I61" i="17"/>
  <c r="O65" i="2"/>
  <c r="O70" i="2" s="1"/>
  <c r="O45" i="2"/>
  <c r="K45" i="17"/>
  <c r="L47" i="17"/>
  <c r="P65" i="2"/>
  <c r="P45" i="2"/>
  <c r="J46" i="17"/>
  <c r="J58" i="17"/>
  <c r="P49" i="2" l="1"/>
  <c r="P70" i="2"/>
  <c r="J59" i="17"/>
  <c r="J60" i="17" s="1"/>
  <c r="O9" i="3"/>
  <c r="O49" i="2"/>
  <c r="O90" i="2" s="1"/>
  <c r="P9" i="3"/>
  <c r="K58" i="17"/>
  <c r="K46" i="17"/>
  <c r="L45" i="17"/>
  <c r="M47" i="17"/>
  <c r="O12" i="3" l="1"/>
  <c r="P59" i="2"/>
  <c r="P12" i="3"/>
  <c r="P50" i="2"/>
  <c r="P54" i="2"/>
  <c r="N47" i="17"/>
  <c r="N45" i="17" s="1"/>
  <c r="M45" i="17"/>
  <c r="O59" i="2"/>
  <c r="O50" i="2"/>
  <c r="O54" i="2"/>
  <c r="L46" i="17"/>
  <c r="L58" i="17"/>
  <c r="J61" i="17"/>
  <c r="J64" i="17"/>
  <c r="K59" i="17"/>
  <c r="K60" i="17" s="1"/>
  <c r="P21" i="3" l="1"/>
  <c r="O21" i="3"/>
  <c r="K61" i="17"/>
  <c r="K64" i="17"/>
  <c r="O81" i="2"/>
  <c r="O83" i="2" s="1"/>
  <c r="O60" i="2"/>
  <c r="M46" i="17"/>
  <c r="M58" i="17"/>
  <c r="L59" i="17"/>
  <c r="L60" i="17" s="1"/>
  <c r="N58" i="17"/>
  <c r="N46" i="17"/>
  <c r="P60" i="2"/>
  <c r="P81" i="2"/>
  <c r="P83" i="2" s="1"/>
  <c r="O34" i="3" l="1"/>
  <c r="O43" i="4" s="1"/>
  <c r="P34" i="3"/>
  <c r="L61" i="17"/>
  <c r="L64" i="17"/>
  <c r="N59" i="17"/>
  <c r="N60" i="17" s="1"/>
  <c r="M59" i="17"/>
  <c r="M60" i="17" s="1"/>
  <c r="O44" i="4" l="1"/>
  <c r="P38" i="3"/>
  <c r="O38" i="3"/>
  <c r="P43" i="4"/>
  <c r="M64" i="17"/>
  <c r="M61" i="17"/>
  <c r="N64" i="17"/>
  <c r="I68" i="17" s="1"/>
  <c r="E13" i="17" s="1"/>
  <c r="N61" i="17"/>
  <c r="P44" i="4" l="1"/>
  <c r="O41" i="3"/>
  <c r="P41" i="3"/>
  <c r="I67" i="17"/>
  <c r="E12" i="17" s="1"/>
  <c r="O42" i="3" l="1"/>
  <c r="I69" i="17"/>
  <c r="I72" i="17" s="1"/>
  <c r="P40" i="3" l="1"/>
  <c r="P42" i="3" s="1"/>
  <c r="P6" i="4" s="1"/>
  <c r="O6" i="4"/>
  <c r="E14" i="17"/>
  <c r="E17" i="17"/>
  <c r="I74" i="17"/>
  <c r="E19" i="17" s="1"/>
  <c r="E26" i="17" s="1"/>
  <c r="P12" i="4" l="1"/>
  <c r="P64" i="4"/>
  <c r="P66" i="4" s="1"/>
  <c r="O12" i="4"/>
  <c r="O64" i="4"/>
  <c r="O66" i="4" s="1"/>
  <c r="E27" i="17"/>
  <c r="F8" i="11"/>
  <c r="F10" i="11" s="1"/>
  <c r="O22" i="4" l="1"/>
  <c r="O67" i="4"/>
  <c r="P67" i="4"/>
  <c r="P22" i="4"/>
  <c r="P45" i="4" l="1"/>
  <c r="O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Marks, Peter J [GIR]</author>
  </authors>
  <commentList>
    <comment ref="A1" authorId="0" shapeId="0" xr:uid="{03A00ED4-04CE-4F41-8B9C-1C16EE5B2BE8}">
      <text>
        <r>
          <rPr>
            <b/>
            <sz val="9"/>
            <color indexed="81"/>
            <rFont val="Tahoma"/>
            <family val="2"/>
          </rPr>
          <t>&lt;?xml version="1.0" encoding="utf-8"?&gt;&lt;Schema xmlns:xsd="http://www.w3.org/2001/XMLSchema" xmlns:xsi="http://www.w3.org/2001/XMLSchema-instance" Version="2" Timestamp="1770616103"&gt;&lt;FQL&gt;&lt;Q&gt;186745^FE_VALUATION(PE,MEAN,ANNUAL_ROLL,2027,0,-8AY,W,'')&lt;/Q&gt;&lt;R&gt;418&lt;/R&gt;&lt;C&gt;1&lt;/C&gt;&lt;D xsi:type="xsd:double"&gt;16.627129&lt;/D&gt;&lt;D xsi:type="xsd:double"&gt;17.009947&lt;/D&gt;&lt;D xsi:type="xsd:double"&gt;16.941944&lt;/D&gt;&lt;D xsi:type="xsd:double"&gt;16.994848&lt;/D&gt;&lt;D xsi:type="xsd:double"&gt;16.699926&lt;/D&gt;&lt;D xsi:type="xsd:double"&gt;16.877005&lt;/D&gt;&lt;D xsi:type="xsd:double"&gt;17.002386&lt;/D&gt;&lt;D xsi:type="xsd:double"&gt;16.628813&lt;/D&gt;&lt;D xsi:type="xsd:double"&gt;16.844105&lt;/D&gt;&lt;D xsi:type="xsd:double"&gt;16.887354&lt;/D&gt;&lt;D xsi:type="xsd:double"&gt;16.780203&lt;/D&gt;&lt;D xsi:type="xsd:double"&gt;16.324474&lt;/D&gt;&lt;D xsi:type="xsd:double"&gt;16.938002&lt;/D&gt;&lt;D xsi:type="xsd:double"&gt;17.177713&lt;/D&gt;&lt;D xsi:type="xsd:double"&gt;17.563875&lt;/D&gt;&lt;D xsi:type="xsd:double"&gt;17.752375&lt;/D&gt;&lt;D xsi:type="xsd:double"&gt;17.769796&lt;/D&gt;&lt;D xsi:type="xsd:double"&gt;17.882025&lt;/D&gt;&lt;D xsi:type="xsd:double"&gt;18.055391&lt;/D&gt;&lt;D xsi:type="xsd:double"&gt;17.690233&lt;/D&gt;&lt;D xsi:type="xsd:double"&gt;17.77868&lt;/D&gt;&lt;D xsi:type="xsd:double"&gt;18.099009&lt;/D&gt;&lt;D xsi:type="xsd:double"&gt;18.062912&lt;/D&gt;&lt;D xsi:type="xsd:double"&gt;18.344618&lt;/D&gt;&lt;D xsi:type="xsd:double"&gt;18.195892&lt;/D&gt;&lt;D xsi:type="xsd:double"&gt;17.945179&lt;/D&gt;&lt;D xsi:type="xsd:double"&gt;17.656055&lt;/D&gt;&lt;D xsi:type="xsd:double"&gt;17.294315&lt;/D&gt;&lt;D xsi:type="xsd:double"&gt;17.374449&lt;/D&gt;&lt;D xsi:type="xsd:double"&gt;17.472206&lt;/D&gt;&lt;D xsi:type="xsd:double"&gt;17.135612&lt;/D&gt;&lt;D xsi:type="xsd:double"&gt;17.132385&lt;/D&gt;&lt;D xsi:type="xsd:double"&gt;16.880707&lt;/D&gt;&lt;D xsi:type="xsd:double"&gt;16.85426&lt;/D&gt;&lt;D xsi:type="xsd:double"&gt;16.950724&lt;/D&gt;&lt;D xsi:type="xsd:double"&gt;16.883785&lt;/D&gt;&lt;D xsi:type="xsd:double"&gt;16.686367&lt;/D&gt;&lt;D xsi:type="xsd:double"&gt;16.567833&lt;/D&gt;&lt;D xsi:type="xsd:double"&gt;16.43396&lt;/D&gt;&lt;D xsi:type="xsd:double"&gt;16.062923&lt;/D&gt;&lt;D xsi:type="xsd:double"&gt;16.034887&lt;/D&gt;&lt;D xsi:type="xsd:double"&gt;15.406097&lt;/D&gt;&lt;D xsi:type="xsd:double"&gt;15.048325&lt;/D&gt;&lt;D xsi:type="xsd:double"&gt;14.602518&lt;/D&gt;&lt;D xsi:type="xsd:double"&gt;14.465936&lt;/D&gt;&lt;D xsi:type="xsd:double"&gt;15.250133&lt;/D&gt;&lt;D xsi:type="xsd:double"&gt;15.141637&lt;/D&gt;&lt;D xsi:type="xsd:double"&gt;14.910673&lt;/D&gt;&lt;D xsi:type="xsd:double"&gt;15.190265&lt;/D&gt;&lt;D xsi:type="xsd:double"&gt;15.515085&lt;/D&gt;&lt;D xsi:type="xsd:double"&gt;15.883265&lt;/D&gt;&lt;D xsi:type="xsd:double"&gt;16.145515&lt;/D&gt;&lt;D xsi:type="xsd:double"&gt;15.859362&lt;/D&gt;&lt;D xsi:type="xsd:double"&gt;15.906108&lt;/D&gt;&lt;D xsi:type="xsd:double"&gt;15.977042&lt;/D&gt;&lt;D xsi:type="xsd:double"&gt;15.75466&lt;/D&gt;&lt;D xsi:type="xsd:double"&gt;15.663323&lt;/D&gt;&lt;D xsi:type="xsd:double"&gt;15.668462&lt;/D&gt;&lt;D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tc={AB27C86C-6947-4709-A0FD-8EA0488BAF6D}</author>
    <author>tc={9E0B5414-3621-424E-9414-4953C89F36C5}</author>
    <author>tc={621DB4C9-78F2-4B17-9CF4-B0BC738FFA30}</author>
    <author>tc={A8B5F964-9FE5-44DA-97C0-95293A69D662}</author>
    <author>tc={0E2D977C-DCFB-4503-83F6-C94181BA9F96}</author>
    <author>tc={A1CC8673-7939-4E39-AC97-8623C2C92D91}</author>
    <author>tc={DE251D1F-BC62-4D14-A314-8044FBA7DF4E}</author>
    <author>tc={A49FEB7A-77EF-4A8F-B24A-378939BEACB5}</author>
    <author>tc={6F8657A5-F764-4D84-BE49-3CF616B4A2E5}</author>
    <author>tc={A6ACC149-9AF4-498B-8835-6F12441F67A0}</author>
    <author>tc={8DFB3653-7690-43B9-A07C-D15737601B1F}</author>
    <author>tc={373E59F2-E142-45B7-88A7-6B1E45137DAF}</author>
    <author>tc={71127293-9D19-4E8A-8C82-3653CC7420A9}</author>
    <author>tc={E08C8950-E7FC-4A35-8B27-E55E11A657E6}</author>
    <author>tc={8EEFBDB9-11AF-4533-BE35-33808FFB978D}</author>
    <author>tc={098A39CF-ACDC-4D82-B123-B0A85BEB8EAF}</author>
    <author>tc={F741F300-9183-4150-BA33-DF51719D218A}</author>
    <author>tc={4A64E8B7-97A0-4988-A73C-8EAD0977CDBC}</author>
    <author>tc={BE66E01E-7E7B-4547-8041-BA223459346F}</author>
  </authors>
  <commentList>
    <comment ref="L19" authorId="0" shapeId="0" xr:uid="{AB27C86C-6947-4709-A0FD-8EA0488BAF6D}">
      <text>
        <t xml:space="preserve">[Threaded comment]
Your version of Excel allows you to read this threaded comment; however, any edits to it will get removed if the file is opened in a newer version of Excel. Learn more: https://go.microsoft.com/fwlink/?linkid=870924
Comment:
    FY25: Look, in terms of corporate costs as part of the other division, I think you should think about that is pretty much flat year-to-year from 2025 into 2026. </t>
      </text>
    </comment>
    <comment ref="L44" authorId="1" shapeId="0" xr:uid="{9E0B5414-3621-424E-9414-4953C89F36C5}">
      <text>
        <t>[Threaded comment]
Your version of Excel allows you to read this threaded comment; however, any edits to it will get removed if the file is opened in a newer version of Excel. Learn more: https://go.microsoft.com/fwlink/?linkid=870924
Comment:
    ~120m step up i.e. ~half of last years step up</t>
      </text>
    </comment>
    <comment ref="L65" authorId="2" shapeId="0" xr:uid="{621DB4C9-78F2-4B17-9CF4-B0BC738FFA30}">
      <text>
        <t>[Threaded comment]
Your version of Excel allows you to read this threaded comment; however, any edits to it will get removed if the file is opened in a newer version of Excel. Learn more: https://go.microsoft.com/fwlink/?linkid=870924
Comment:
    No 24 strategy day: A clear plank of our strategy is to actually target space growth in excess of 1.5% per annum, which is underpinned by population growth 
Reply:
    FY25 result: In Supermarkets, this year we expect to open approximately 12 new stores and close two, and renew approximately
70 stores.</t>
      </text>
    </comment>
    <comment ref="AK65" authorId="3" shapeId="0" xr:uid="{A8B5F964-9FE5-44DA-97C0-95293A69D662}">
      <text>
        <t xml:space="preserve">[Threaded comment]
Your version of Excel allows you to read this threaded comment; however, any edits to it will get removed if the file is opened in a newer version of Excel. Learn more: https://go.microsoft.com/fwlink/?linkid=870924
Comment:
    1Q26: Two new supermarkets were opened and three were renewed during the quar </t>
      </text>
    </comment>
    <comment ref="L104" authorId="4" shapeId="0" xr:uid="{0E2D977C-DCFB-4503-83F6-C94181BA9F96}">
      <text>
        <t>[Threaded comment]
Your version of Excel allows you to read this threaded comment; however, any edits to it will get removed if the file is opened in a newer version of Excel. Learn more: https://go.microsoft.com/fwlink/?linkid=870924
Comment:
    Simply Liquorland' is expected to be
completed by the third quarter of FY26 and incur one-off costs of approximately $20 million
Reply:
    Vs. $8m one offs in FY25 so $12m incremental in FY26 and $11m in FY24</t>
      </text>
    </comment>
    <comment ref="J119" authorId="5" shapeId="0" xr:uid="{A1CC8673-7939-4E39-AC97-8623C2C92D91}">
      <text>
        <t>[Threaded comment]
Your version of Excel allows you to read this threaded comment; however, any edits to it will get removed if the file is opened in a newer version of Excel. Learn more: https://go.microsoft.com/fwlink/?linkid=870924
Comment:
    $11 million that were incurred in FY24 in relation to a prior year tax adjustment and IT write-off</t>
      </text>
    </comment>
    <comment ref="K119" authorId="6" shapeId="0" xr:uid="{DE251D1F-BC62-4D14-A314-8044FBA7DF4E}">
      <text>
        <t>[Threaded comment]
Your version of Excel allows you to read this threaded comment; however, any edits to it will get removed if the file is opened in a newer version of Excel. Learn more: https://go.microsoft.com/fwlink/?linkid=870924
Comment:
    During the year, non-recurring costs of $8 million were incurred in relation to 'Simply Liquorland'.</t>
      </text>
    </comment>
    <comment ref="L119" authorId="7" shapeId="0" xr:uid="{A49FEB7A-77EF-4A8F-B24A-378939BEACB5}">
      <text>
        <t>[Threaded comment]
Your version of Excel allows you to read this threaded comment; however, any edits to it will get removed if the file is opened in a newer version of Excel. Learn more: https://go.microsoft.com/fwlink/?linkid=870924
Comment:
    Simply Liquorland' is expected to be
completed by the third quarter of FY26 and incur one-off costs of approximately $20 million</t>
      </text>
    </comment>
    <comment ref="AL119" authorId="8" shapeId="0" xr:uid="{6F8657A5-F764-4D84-BE49-3CF616B4A2E5}">
      <text>
        <t>[Threaded comment]
Your version of Excel allows you to read this threaded comment; however, any edits to it will get removed if the file is opened in a newer version of Excel. Learn more: https://go.microsoft.com/fwlink/?linkid=870924
Comment:
    Simply Liquorland' is expected to be
completed by the third quarter of FY26 and incur one-off costs of approximately $20 million</t>
      </text>
    </comment>
    <comment ref="J126" authorId="9" shapeId="0" xr:uid="{A6ACC149-9AF4-498B-8835-6F12441F67A0}">
      <text>
        <t>[Threaded comment]
Your version of Excel allows you to read this threaded comment; however, any edits to it will get removed if the file is opened in a newer version of Excel. Learn more: https://go.microsoft.com/fwlink/?linkid=870924
Comment:
    $11 million that were incurred in FY24 in relation to a prior year tax adjustment and IT write-off</t>
      </text>
    </comment>
    <comment ref="K126" authorId="10" shapeId="0" xr:uid="{8DFB3653-7690-43B9-A07C-D15737601B1F}">
      <text>
        <t>[Threaded comment]
Your version of Excel allows you to read this threaded comment; however, any edits to it will get removed if the file is opened in a newer version of Excel. Learn more: https://go.microsoft.com/fwlink/?linkid=870924
Comment:
    During the year, non-recurring costs of $8 million were incurred in relation to 'Simply Liquorland'.</t>
      </text>
    </comment>
    <comment ref="L126" authorId="11" shapeId="0" xr:uid="{373E59F2-E142-45B7-88A7-6B1E45137DAF}">
      <text>
        <t>[Threaded comment]
Your version of Excel allows you to read this threaded comment; however, any edits to it will get removed if the file is opened in a newer version of Excel. Learn more: https://go.microsoft.com/fwlink/?linkid=870924
Comment:
    Simply Liquorland' is expected to be
completed by the third quarter of FY26 and incur one-off costs of approximately $20 million</t>
      </text>
    </comment>
    <comment ref="L133" authorId="12" shapeId="0" xr:uid="{71127293-9D19-4E8A-8C82-3653CC7420A9}">
      <text>
        <t>[Threaded comment]
Your version of Excel allows you to read this threaded comment; however, any edits to it will get removed if the file is opened in a newer version of Excel. Learn more: https://go.microsoft.com/fwlink/?linkid=870924
Comment:
    In Liquor, as we optimise our network to ensure we are positioned in the right locations for long-term growth,
we expect to open approximately 19 new stores and close approximately 25, including approximately 15 closures
identified as part of 'Simply Liquorland'. In addition, approximately 130 renewals are expected to be completed,
inclusive of the remaining 'Simply Liquorland' conversions.</t>
      </text>
    </comment>
    <comment ref="AK133" authorId="13" shapeId="0" xr:uid="{E08C8950-E7FC-4A35-8B27-E55E11A657E6}">
      <text>
        <t xml:space="preserve">[Threaded comment]
Your version of Excel allows you to read this threaded comment; however, any edits to it will get removed if the file is opened in a newer version of Excel. Learn more: https://go.microsoft.com/fwlink/?linkid=870924
Comment:
    1Q26: Four new stores were opened, seven stores were closed and 61 store renewals were completed, inclusive of the ‘Simply Liquorland’ conver </t>
      </text>
    </comment>
    <comment ref="B153" authorId="14" shapeId="0" xr:uid="{8EEFBDB9-11AF-4533-BE35-33808FFB978D}">
      <text>
        <t xml:space="preserve">[Threaded comment]
Your version of Excel allows you to read this threaded comment; however, any edits to it will get removed if the file is opened in a newer version of Excel. Learn more: https://go.microsoft.com/fwlink/?linkid=870924
Comment:
    Other includes corporate costs, Coles’ 50% share of Flybuys’ net result, the net gain or loss generated by Coles’ property portfolio and the PSA with Viva Energy. </t>
      </text>
    </comment>
    <comment ref="L153" authorId="15" shapeId="0" xr:uid="{098A39CF-ACDC-4D82-B123-B0A85BEB8EAF}">
      <text>
        <t>[Threaded comment]
Your version of Excel allows you to read this threaded comment; however, any edits to it will get removed if the file is opened in a newer version of Excel. Learn more: https://go.microsoft.com/fwlink/?linkid=870924
Comment:
    Viva contract expected to conclude in April 2026</t>
      </text>
    </comment>
    <comment ref="L166" authorId="16" shapeId="0" xr:uid="{F741F300-9183-4150-BA33-DF51719D218A}">
      <text>
        <t xml:space="preserve">[Threaded comment]
Your version of Excel allows you to read this threaded comment; however, any edits to it will get removed if the file is opened in a newer version of Excel. Learn more: https://go.microsoft.com/fwlink/?linkid=870924
Comment:
    Look, in terms of corporate costs as part of the other division, I think you should think about that is pretty much flat year-to-year from 2025 into 2026. </t>
      </text>
    </comment>
    <comment ref="K169" authorId="17" shapeId="0" xr:uid="{4A64E8B7-97A0-4988-A73C-8EAD0977CDBC}">
      <text>
        <t>[Threaded comment]
Your version of Excel allows you to read this threaded comment; however, any edits to it will get removed if the file is opened in a newer version of Excel. Learn more: https://go.microsoft.com/fwlink/?linkid=870924
Comment:
    The EBIT result includes corporate costs of $107 million, which are higher than the prior year largely due an increase in
insurance related costs,</t>
      </text>
    </comment>
    <comment ref="L183" authorId="18" shapeId="0" xr:uid="{BE66E01E-7E7B-4547-8041-BA223459346F}">
      <text>
        <t>[Threaded comment]
Your version of Excel allows you to read this threaded comment; however, any edits to it will get removed if the file is opened in a newer version of Excel. Learn more: https://go.microsoft.com/fwlink/?linkid=870924
Comment:
    Capital expenditure is expected to be approximately $1.2 billion as we continue to invest in store renewals, digital and
technology and growth initiatives and enter the second year of our Victorian ADC development.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tc={C633BA9F-0CB8-4335-970C-996D5E8EFC95}</author>
    <author>tc={AB4E0210-7690-4323-B5F1-4040B3625155}</author>
    <author>Nair Syama, Darshana [GIR]</author>
  </authors>
  <commentList>
    <comment ref="L29" authorId="0" shapeId="0" xr:uid="{C633BA9F-0CB8-4335-970C-996D5E8EFC95}">
      <text>
        <t>[Threaded comment]
Your version of Excel allows you to read this threaded comment; however, any edits to it will get removed if the file is opened in a newer version of Excel. Learn more: https://go.microsoft.com/fwlink/?linkid=870924
Comment:
    120m step up</t>
      </text>
    </comment>
    <comment ref="L40" authorId="1" shapeId="0" xr:uid="{AB4E0210-7690-4323-B5F1-4040B3625155}">
      <text>
        <t>[Threaded comment]
Your version of Excel allows you to read this threaded comment; however, any edits to it will get removed if the file is opened in a newer version of Excel. Learn more: https://go.microsoft.com/fwlink/?linkid=870924
Comment:
    Slight step up</t>
      </text>
    </comment>
    <comment ref="D88" authorId="2" shapeId="0" xr:uid="{C90FBBCE-2560-4960-8747-7E78A80F04E1}">
      <text>
        <r>
          <rPr>
            <b/>
            <sz val="9"/>
            <color indexed="81"/>
            <rFont val="Tahoma"/>
            <family val="2"/>
          </rPr>
          <t>Nair Syama, Darshana [GIR]:</t>
        </r>
        <r>
          <rPr>
            <sz val="9"/>
            <color indexed="81"/>
            <rFont val="Tahoma"/>
            <family val="2"/>
          </rPr>
          <t xml:space="preserve">
134mn is attributable to non-controlling interest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tc={B564F845-FF21-4E95-B612-4A0528CE79C8}</author>
    <author>tc={A1EE736E-EAF4-4EE6-936E-0D91D0F863B1}</author>
    <author>tc={CC6DE1CF-AAC9-487A-BCAB-FCEBC150E76F}</author>
  </authors>
  <commentList>
    <comment ref="AP8" authorId="0" shapeId="0" xr:uid="{B564F845-FF21-4E95-B612-4A0528CE79C8}">
      <text>
        <t>[Threaded comment]
Your version of Excel allows you to read this threaded comment; however, any edits to it will get removed if the file is opened in a newer version of Excel. Learn more: https://go.microsoft.com/fwlink/?linkid=870924
Comment:
    Viva supply agreement expected to conclude April 2026</t>
      </text>
    </comment>
    <comment ref="AJ16" authorId="1" shapeId="0" xr:uid="{A1EE736E-EAF4-4EE6-936E-0D91D0F863B1}">
      <text>
        <t>[Threaded comment]
Your version of Excel allows you to read this threaded comment; however, any edits to it will get removed if the file is opened in a newer version of Excel. Learn more: https://go.microsoft.com/fwlink/?linkid=870924
Comment:
    $120m benefit incremental sales from WOW industrial action</t>
      </text>
    </comment>
    <comment ref="AN16" authorId="2" shapeId="0" xr:uid="{CC6DE1CF-AAC9-487A-BCAB-FCEBC150E76F}">
      <text>
        <t>[Threaded comment]
Your version of Excel allows you to read this threaded comment; however, any edits to it will get removed if the file is opened in a newer version of Excel. Learn more: https://go.microsoft.com/fwlink/?linkid=870924
Comment:
    In the early part of the second quarter, Supermarkets sales revenue growth has remained at similar levels to the first quar 
Reply:
    WOW industrial action was $120m benefit in 2Q25, assume COL gives the majority back</t>
      </text>
    </comment>
  </commentList>
</comments>
</file>

<file path=xl/sharedStrings.xml><?xml version="1.0" encoding="utf-8"?>
<sst xmlns="http://schemas.openxmlformats.org/spreadsheetml/2006/main" count="845" uniqueCount="466">
  <si>
    <t>Sales</t>
  </si>
  <si>
    <t>Sales from Continuing Ops.</t>
  </si>
  <si>
    <t>FY17</t>
  </si>
  <si>
    <t>FY18</t>
  </si>
  <si>
    <t>FY19</t>
  </si>
  <si>
    <t>FY20</t>
  </si>
  <si>
    <t>FY21</t>
  </si>
  <si>
    <t>FY22</t>
  </si>
  <si>
    <t>FY23</t>
  </si>
  <si>
    <t>FY24</t>
  </si>
  <si>
    <t>FY25</t>
  </si>
  <si>
    <t>1H17</t>
  </si>
  <si>
    <t>2H17</t>
  </si>
  <si>
    <t>1H18</t>
  </si>
  <si>
    <t>2H18</t>
  </si>
  <si>
    <t>1H19</t>
  </si>
  <si>
    <t>2H19</t>
  </si>
  <si>
    <t>1H20</t>
  </si>
  <si>
    <t>2H20</t>
  </si>
  <si>
    <t>1H21</t>
  </si>
  <si>
    <t>2H21</t>
  </si>
  <si>
    <t>1H22</t>
  </si>
  <si>
    <t>2H22</t>
  </si>
  <si>
    <t>1H23</t>
  </si>
  <si>
    <t>2H23</t>
  </si>
  <si>
    <t>1H24</t>
  </si>
  <si>
    <t>2H24</t>
  </si>
  <si>
    <t>1H25</t>
  </si>
  <si>
    <t>2H25</t>
  </si>
  <si>
    <t>FY26E</t>
  </si>
  <si>
    <t>FY27E</t>
  </si>
  <si>
    <t>1H26E</t>
  </si>
  <si>
    <t>2H26E</t>
  </si>
  <si>
    <t>EBIT</t>
  </si>
  <si>
    <t>CODB</t>
  </si>
  <si>
    <t>EBITDA</t>
  </si>
  <si>
    <t>D&amp;A</t>
  </si>
  <si>
    <t>AASB16 adjustment</t>
  </si>
  <si>
    <t>EBIT pre AASB16</t>
  </si>
  <si>
    <t>Store Numbers and Trading Area</t>
  </si>
  <si>
    <t xml:space="preserve">Trading Area </t>
  </si>
  <si>
    <t>Refurbishments</t>
  </si>
  <si>
    <t>Online sales</t>
  </si>
  <si>
    <t>Area per store</t>
  </si>
  <si>
    <t>Other</t>
  </si>
  <si>
    <t>Gross Profit</t>
  </si>
  <si>
    <t>Gross Margin</t>
  </si>
  <si>
    <t>A$M</t>
  </si>
  <si>
    <t>P&amp;L</t>
  </si>
  <si>
    <t>Significant items</t>
  </si>
  <si>
    <t>Total EBIT</t>
  </si>
  <si>
    <t>Net interest</t>
  </si>
  <si>
    <t>PBT</t>
  </si>
  <si>
    <t>PBT statutory</t>
  </si>
  <si>
    <t>Franking</t>
  </si>
  <si>
    <t>Franking Rate</t>
  </si>
  <si>
    <t>Franking Credits</t>
  </si>
  <si>
    <t>CFS</t>
  </si>
  <si>
    <t>Depreciation and Amortisation</t>
  </si>
  <si>
    <t>Operating cash flow</t>
  </si>
  <si>
    <t>Receipts from customers</t>
  </si>
  <si>
    <t>Payments to suppliers</t>
  </si>
  <si>
    <t>Other Growth</t>
  </si>
  <si>
    <t>Acquisitions</t>
  </si>
  <si>
    <t>Capex model</t>
  </si>
  <si>
    <t>BS</t>
  </si>
  <si>
    <t xml:space="preserve">Assets </t>
  </si>
  <si>
    <t>Inventory</t>
  </si>
  <si>
    <t>Total Current Assets</t>
  </si>
  <si>
    <t>Fixed Assets</t>
  </si>
  <si>
    <t>Total Non-Current Assets</t>
  </si>
  <si>
    <t>Total Assets</t>
  </si>
  <si>
    <t>Liabilities</t>
  </si>
  <si>
    <t>Trade Payables</t>
  </si>
  <si>
    <t>Provisions</t>
  </si>
  <si>
    <t>Total Current liabilities</t>
  </si>
  <si>
    <t>Total Non-Current liabilities</t>
  </si>
  <si>
    <t>Total Liabilities</t>
  </si>
  <si>
    <t>Reserves</t>
  </si>
  <si>
    <t>Retained Profits</t>
  </si>
  <si>
    <t>Total Equity</t>
  </si>
  <si>
    <t>Check</t>
  </si>
  <si>
    <t>Contributed equity</t>
  </si>
  <si>
    <t>Weeks in period</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</si>
  <si>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</si>
  <si>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</si>
  <si>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</si>
  <si>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</si>
  <si>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</si>
  <si>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</si>
  <si>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</si>
  <si>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</si>
  <si>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</si>
  <si>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</si>
  <si>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</si>
  <si>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</si>
  <si>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</si>
  <si>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</si>
  <si>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</si>
  <si>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</si>
  <si>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</si>
  <si>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</si>
  <si>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</si>
  <si>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</si>
  <si>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</si>
  <si>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</si>
  <si>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</si>
  <si>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</si>
  <si>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1Q23</t>
  </si>
  <si>
    <t>2Q23</t>
  </si>
  <si>
    <t>3Q23</t>
  </si>
  <si>
    <t>4Q23</t>
  </si>
  <si>
    <t>1Q24</t>
  </si>
  <si>
    <t>2Q24</t>
  </si>
  <si>
    <t>3Q24</t>
  </si>
  <si>
    <t>4Q24</t>
  </si>
  <si>
    <t>1Q25</t>
  </si>
  <si>
    <t>2Q25</t>
  </si>
  <si>
    <t>3Q25</t>
  </si>
  <si>
    <t>1Q26</t>
  </si>
  <si>
    <t>Total</t>
  </si>
  <si>
    <t># of stores</t>
  </si>
  <si>
    <t>Supermarkets</t>
  </si>
  <si>
    <t>Online Sales</t>
  </si>
  <si>
    <t>Online Penetration</t>
  </si>
  <si>
    <t>P/E</t>
  </si>
  <si>
    <t>Valuation</t>
  </si>
  <si>
    <t>Weighting</t>
  </si>
  <si>
    <t>Payables</t>
  </si>
  <si>
    <t>Cash</t>
  </si>
  <si>
    <t>Borrowings</t>
  </si>
  <si>
    <t>NPAT</t>
  </si>
  <si>
    <t>EPS</t>
  </si>
  <si>
    <t>DPS</t>
  </si>
  <si>
    <t>OCF</t>
  </si>
  <si>
    <t>Net Debt</t>
  </si>
  <si>
    <t>Receivables</t>
  </si>
  <si>
    <t>Rating</t>
  </si>
  <si>
    <t>Target Price/ Target price period/ Upside/downside to target price</t>
  </si>
  <si>
    <t>M&amp;A probability (1 = high, 3 = low)</t>
  </si>
  <si>
    <t>Current shares outstanding (mn):</t>
  </si>
  <si>
    <t>Currency:</t>
  </si>
  <si>
    <t>AUD</t>
  </si>
  <si>
    <t>Current Publication Date:</t>
  </si>
  <si>
    <t>Previous Publication Date:</t>
  </si>
  <si>
    <t xml:space="preserve">Team Contacts: </t>
  </si>
  <si>
    <t>Rayanne Haidar, rayanne.haidar@gs.com +61 2 9321 8739, Goldman Sachs Australia Pty Ltd</t>
  </si>
  <si>
    <t>Market Cap (US$ mn) (price as of ______):</t>
  </si>
  <si>
    <t>Lead Analyst</t>
  </si>
  <si>
    <t>Income tax paid</t>
  </si>
  <si>
    <t>Proceeds from borrowings</t>
  </si>
  <si>
    <t>Dividends paid</t>
  </si>
  <si>
    <t>Total Sales</t>
  </si>
  <si>
    <t>Net Interest Income / (Expense)</t>
  </si>
  <si>
    <t>EBIT Margin</t>
  </si>
  <si>
    <t>Group EBIT</t>
  </si>
  <si>
    <t>Net New Stores</t>
  </si>
  <si>
    <t>Ending Stores</t>
  </si>
  <si>
    <t xml:space="preserve">Australian Supermarkets </t>
  </si>
  <si>
    <t>Growth %</t>
  </si>
  <si>
    <t>LFL Sales Growth %</t>
  </si>
  <si>
    <t>Store Growth %</t>
  </si>
  <si>
    <t>Change YoY %</t>
  </si>
  <si>
    <t>% of Sales</t>
  </si>
  <si>
    <t>Growth  %</t>
  </si>
  <si>
    <t>EBITDA Margin</t>
  </si>
  <si>
    <t>Gross Profit Reported</t>
  </si>
  <si>
    <t>Employee Expenses</t>
  </si>
  <si>
    <t>EBIT Normalised</t>
  </si>
  <si>
    <t>PBT Normalised</t>
  </si>
  <si>
    <t>Tax Normalised</t>
  </si>
  <si>
    <t>Minority Interest</t>
  </si>
  <si>
    <t>NPAT Normalised</t>
  </si>
  <si>
    <t>Significant Items</t>
  </si>
  <si>
    <t>NPAT Statutory</t>
  </si>
  <si>
    <t>Shares (Diluted)</t>
  </si>
  <si>
    <t>EPS Normalised</t>
  </si>
  <si>
    <t>Tax Modelling</t>
  </si>
  <si>
    <t>Tax Statutory</t>
  </si>
  <si>
    <t>Tax Rates</t>
  </si>
  <si>
    <t>Weighted Average Basic</t>
  </si>
  <si>
    <t>Weighted Average Diluted</t>
  </si>
  <si>
    <t>Receivables Days</t>
  </si>
  <si>
    <t>Inventory Days</t>
  </si>
  <si>
    <t>Payables Days</t>
  </si>
  <si>
    <t>Net Working Capital</t>
  </si>
  <si>
    <t>Balance Sheet Metrics</t>
  </si>
  <si>
    <t>Net Operating Cash Flow</t>
  </si>
  <si>
    <t>Change in Net Working Capital</t>
  </si>
  <si>
    <t>Tax Paid</t>
  </si>
  <si>
    <t>EBITDA Normalised</t>
  </si>
  <si>
    <t>EBIT Statutory</t>
  </si>
  <si>
    <t>Income Tax Normalised</t>
  </si>
  <si>
    <t>Period End Shares</t>
  </si>
  <si>
    <t>Implied Other Growth %</t>
  </si>
  <si>
    <t>Comparable Sales %</t>
  </si>
  <si>
    <t>Total Sales Growth %</t>
  </si>
  <si>
    <t>Sales Productivity Measures</t>
  </si>
  <si>
    <t>Quarterly Sales</t>
  </si>
  <si>
    <t>Sales from Continuing Ops. %</t>
  </si>
  <si>
    <t>eComm Penetration %</t>
  </si>
  <si>
    <t>EBIT pre AASB16 Margin</t>
  </si>
  <si>
    <t>Payout Ratio %</t>
  </si>
  <si>
    <t>Total Operating Cash Flow</t>
  </si>
  <si>
    <t>Total Investing Cash Flow</t>
  </si>
  <si>
    <t>Total Financing Cash Flow</t>
  </si>
  <si>
    <t>Cash at Beginning</t>
  </si>
  <si>
    <t>Cash at Ending</t>
  </si>
  <si>
    <t>Net Increase in Cash</t>
  </si>
  <si>
    <t>Reported Operating Cash Flow Items</t>
  </si>
  <si>
    <t>Branch &amp; Administration Expenses</t>
  </si>
  <si>
    <t>4Q25</t>
  </si>
  <si>
    <t>Peter Marks, peter.marks@gs.com, +61 2 9321 8846, Goldman Sachs Australia Pty Ltd</t>
  </si>
  <si>
    <t>Consumer Team</t>
  </si>
  <si>
    <t>James Leigh, james.leigh@gs.com, +61 2 , Goldman Sachs Australia Pty Ltd</t>
  </si>
  <si>
    <t>FY28E</t>
  </si>
  <si>
    <t>Balance sheet</t>
  </si>
  <si>
    <t xml:space="preserve">Cash </t>
  </si>
  <si>
    <t>Trade receivables</t>
  </si>
  <si>
    <t>Inventories</t>
  </si>
  <si>
    <t>Other current assets</t>
  </si>
  <si>
    <t>Current assets</t>
  </si>
  <si>
    <t>PPE</t>
  </si>
  <si>
    <t>Intangibles</t>
  </si>
  <si>
    <t>Other non current assets</t>
  </si>
  <si>
    <t>Non-current assets</t>
  </si>
  <si>
    <t>Trade payables</t>
  </si>
  <si>
    <t>Other current liabilities</t>
  </si>
  <si>
    <t>Current liabilities</t>
  </si>
  <si>
    <t>Lease liabilities</t>
  </si>
  <si>
    <t>Other non-current liabilities</t>
  </si>
  <si>
    <t>Non-current liabilities</t>
  </si>
  <si>
    <t>Cash flow</t>
  </si>
  <si>
    <t>Divisional key metrics</t>
  </si>
  <si>
    <t>Group key metrics</t>
  </si>
  <si>
    <t>Total sales</t>
  </si>
  <si>
    <t xml:space="preserve">Tax </t>
  </si>
  <si>
    <t xml:space="preserve">NPAT </t>
  </si>
  <si>
    <t>Shares (m)</t>
  </si>
  <si>
    <t>Net debt ex leases</t>
  </si>
  <si>
    <t>Tax</t>
  </si>
  <si>
    <t>Change in net working capital</t>
  </si>
  <si>
    <t>Operating cashflow</t>
  </si>
  <si>
    <t>Capex</t>
  </si>
  <si>
    <t>Proceeds from asset sales</t>
  </si>
  <si>
    <t>Lease repayments</t>
  </si>
  <si>
    <t>FCF</t>
  </si>
  <si>
    <t>Change in net debt</t>
  </si>
  <si>
    <t>Price target</t>
  </si>
  <si>
    <t>Current share price</t>
  </si>
  <si>
    <t>Upside / downside</t>
  </si>
  <si>
    <t>Model Summary</t>
  </si>
  <si>
    <t>Ordinary Dividend</t>
  </si>
  <si>
    <t>Special Dividend</t>
  </si>
  <si>
    <t>Total Dividend Per Share</t>
  </si>
  <si>
    <t>Net Interest</t>
  </si>
  <si>
    <t>Chg WC</t>
  </si>
  <si>
    <t>TR</t>
  </si>
  <si>
    <t>Other CA</t>
  </si>
  <si>
    <t>NCA</t>
  </si>
  <si>
    <t>TP</t>
  </si>
  <si>
    <t>CL</t>
  </si>
  <si>
    <t>FY29E</t>
  </si>
  <si>
    <t>FY30E</t>
  </si>
  <si>
    <t>3Q26E</t>
  </si>
  <si>
    <t>4Q26E</t>
  </si>
  <si>
    <t>2Q26E</t>
  </si>
  <si>
    <t>Col C</t>
  </si>
  <si>
    <t>Col K</t>
  </si>
  <si>
    <t>Total Sales Growth</t>
  </si>
  <si>
    <t>Total EBIT Growth</t>
  </si>
  <si>
    <t>PBT Growth</t>
  </si>
  <si>
    <t>NPAT Growth</t>
  </si>
  <si>
    <t>EPS Growth</t>
  </si>
  <si>
    <t>CA</t>
  </si>
  <si>
    <t>-</t>
  </si>
  <si>
    <t>ROU</t>
  </si>
  <si>
    <t>NC Lease</t>
  </si>
  <si>
    <t>NC Borrowings</t>
  </si>
  <si>
    <t>C Borrowings</t>
  </si>
  <si>
    <t>NCL</t>
  </si>
  <si>
    <t>Contributed Equity</t>
  </si>
  <si>
    <t>Proceeds PPE</t>
  </si>
  <si>
    <t>Lease Repayment</t>
  </si>
  <si>
    <t>Other FCF</t>
  </si>
  <si>
    <t>Least Interest</t>
  </si>
  <si>
    <t>Non-Lease Interest</t>
  </si>
  <si>
    <t>Sales Growth</t>
  </si>
  <si>
    <t>EBIT Growth</t>
  </si>
  <si>
    <t>Change in Net Debt</t>
  </si>
  <si>
    <t>Chg in Net Debt</t>
  </si>
  <si>
    <t>Net Chg Cash</t>
  </si>
  <si>
    <t>RoE</t>
  </si>
  <si>
    <t>Terminal Growth Rate</t>
  </si>
  <si>
    <t>Risk Free Rate</t>
  </si>
  <si>
    <t>Market Equity Risk Premium</t>
  </si>
  <si>
    <t>Beta</t>
  </si>
  <si>
    <t>Cost of Equity</t>
  </si>
  <si>
    <t xml:space="preserve">Cost of Debt </t>
  </si>
  <si>
    <t>Tax Rate</t>
  </si>
  <si>
    <t>WACC</t>
  </si>
  <si>
    <t>Chg in NWC</t>
  </si>
  <si>
    <t>D/E</t>
  </si>
  <si>
    <t>Payout Ratio</t>
  </si>
  <si>
    <t>FCF Yield</t>
  </si>
  <si>
    <t>Div Yield</t>
  </si>
  <si>
    <t>Coles Group (COL.AX)</t>
  </si>
  <si>
    <t>Goldman Sachs | Coles Group | COL-AU</t>
  </si>
  <si>
    <t>Food</t>
  </si>
  <si>
    <t>Food Sales</t>
  </si>
  <si>
    <t>Liquor</t>
  </si>
  <si>
    <t>Corporate / Other</t>
  </si>
  <si>
    <t>Discontinued Ops</t>
  </si>
  <si>
    <t>Liquor Sales</t>
  </si>
  <si>
    <t>Corporate/Other Sales</t>
  </si>
  <si>
    <t>Corporate/Other EBIT</t>
  </si>
  <si>
    <t>Food EBIT</t>
  </si>
  <si>
    <t>Food EBIT Margin</t>
  </si>
  <si>
    <t>Liquor EBIT</t>
  </si>
  <si>
    <t>Food Growth</t>
  </si>
  <si>
    <t>Food Comp</t>
  </si>
  <si>
    <t>Food GP</t>
  </si>
  <si>
    <t>Food GPM</t>
  </si>
  <si>
    <t>Online</t>
  </si>
  <si>
    <t>Liquor Growth</t>
  </si>
  <si>
    <t>Liquor EBIT Margin</t>
  </si>
  <si>
    <t>Group Sales from Continuing Ops.</t>
  </si>
  <si>
    <t>Occupancy</t>
  </si>
  <si>
    <t>Marketing</t>
  </si>
  <si>
    <t>Impairment</t>
  </si>
  <si>
    <t>Other store expenses</t>
  </si>
  <si>
    <t>Other administrative expenses</t>
  </si>
  <si>
    <t>Cash and cash equivalents</t>
  </si>
  <si>
    <t>Trade and other receivables</t>
  </si>
  <si>
    <t>Income tax receivables</t>
  </si>
  <si>
    <t xml:space="preserve">Assets held for sale </t>
  </si>
  <si>
    <t>RoU Assets</t>
  </si>
  <si>
    <t>Intangible assets</t>
  </si>
  <si>
    <t>DTA</t>
  </si>
  <si>
    <t>Investments</t>
  </si>
  <si>
    <t>Interest bearing liabilities</t>
  </si>
  <si>
    <t>Income tax payable</t>
  </si>
  <si>
    <t>Interest paid</t>
  </si>
  <si>
    <t>Interest component of lease payments</t>
  </si>
  <si>
    <t>Interest received</t>
  </si>
  <si>
    <t>Purchase of PP&amp;E</t>
  </si>
  <si>
    <t>Proceeds from sale of PP&amp;E</t>
  </si>
  <si>
    <t>Investments in JV and associates</t>
  </si>
  <si>
    <t>Net advances to related parties</t>
  </si>
  <si>
    <t>Payments for acquisitions</t>
  </si>
  <si>
    <t>Payment of principal element of lease payment</t>
  </si>
  <si>
    <t>Purchase of shares to satisfy DRP</t>
  </si>
  <si>
    <t xml:space="preserve">Purchase of shares to satisfy employee equity incentive and share plans </t>
  </si>
  <si>
    <t>Store Locations</t>
  </si>
  <si>
    <t>NSW &amp; ACT</t>
  </si>
  <si>
    <t>QLD</t>
  </si>
  <si>
    <t>VIC &amp; TAS</t>
  </si>
  <si>
    <t>SA &amp; NT</t>
  </si>
  <si>
    <t>WA</t>
  </si>
  <si>
    <t>Liquor Stores</t>
  </si>
  <si>
    <t>Ending</t>
  </si>
  <si>
    <t>Net Selling Area</t>
  </si>
  <si>
    <t>Sales Density per sqm</t>
  </si>
  <si>
    <t>Coles Express (Divested FY23)</t>
  </si>
  <si>
    <t>Cost of Sales</t>
  </si>
  <si>
    <t>Other Revenue</t>
  </si>
  <si>
    <t>Non RoU D&amp;A</t>
  </si>
  <si>
    <t>RoU D&amp;A</t>
  </si>
  <si>
    <t>Repayments</t>
  </si>
  <si>
    <t>Store renewals</t>
  </si>
  <si>
    <t>Growth initiatives</t>
  </si>
  <si>
    <t>Efficiency initiatives</t>
  </si>
  <si>
    <t>Maintenance</t>
  </si>
  <si>
    <t>Property acquisitions and development</t>
  </si>
  <si>
    <t>Property divestments</t>
  </si>
  <si>
    <t>Net capex</t>
  </si>
  <si>
    <t>Total Group Sales (Reported)</t>
  </si>
  <si>
    <t>Gross Operating Capital Expenditure</t>
  </si>
  <si>
    <t>Total Sales Growth ex. Tobacco %</t>
  </si>
  <si>
    <t>eCommerce Online Sales</t>
  </si>
  <si>
    <t>eCommerce Online Sales Growth %</t>
  </si>
  <si>
    <t>eCommerce Online Penetration</t>
  </si>
  <si>
    <t>Price Metrics</t>
  </si>
  <si>
    <t>Inflation / (deflation) (%)</t>
  </si>
  <si>
    <t>Inflation / (deflation) excl. tobacco (%)</t>
  </si>
  <si>
    <t xml:space="preserve">Inflation / (deflation) excl. tobacco and fresh (%) </t>
  </si>
  <si>
    <t>Liquor Key Metrics</t>
  </si>
  <si>
    <t>Shares EOP</t>
  </si>
  <si>
    <t>Free Cash Flow</t>
  </si>
  <si>
    <t>Discount Factor</t>
  </si>
  <si>
    <t>P/E Multiple Valuation</t>
  </si>
  <si>
    <t>EPS (cps)</t>
  </si>
  <si>
    <t>Applied Multiple (x)</t>
  </si>
  <si>
    <t>VALUATION SUMMARY Coles Group (COL.AX)</t>
  </si>
  <si>
    <t>Goldman Sachs | Coles Group Valuation | COL-AU</t>
  </si>
  <si>
    <t>Food Key Metrics</t>
  </si>
  <si>
    <t>Liquor Comp</t>
  </si>
  <si>
    <t>Food Density</t>
  </si>
  <si>
    <t>Liquor Density</t>
  </si>
  <si>
    <t>Liquor Online</t>
  </si>
  <si>
    <t>Food Online</t>
  </si>
  <si>
    <t>Return on Equity</t>
  </si>
  <si>
    <t>DISCOUNTED CASH FLOW MODEL Coles Group (COL.AX)</t>
  </si>
  <si>
    <t>MULTIPLES VALUATION Coles Group (COL.AX)</t>
  </si>
  <si>
    <t>Shares Diluted</t>
  </si>
  <si>
    <t>Liquor LFL Sales Growth</t>
  </si>
  <si>
    <t>Food LFL Sales Growth</t>
  </si>
  <si>
    <t>Discounted Cash Flow</t>
  </si>
  <si>
    <t>Value (A$m)</t>
  </si>
  <si>
    <t>Implied Value Per Share</t>
  </si>
  <si>
    <t>P/E Multiple</t>
  </si>
  <si>
    <t>Value (A$)</t>
  </si>
  <si>
    <t>Final Weighted Price Target</t>
  </si>
  <si>
    <t>Upside/Downside to Px</t>
  </si>
  <si>
    <t>Target Price</t>
  </si>
  <si>
    <t>FY31E</t>
  </si>
  <si>
    <t>FY32E</t>
  </si>
  <si>
    <t>FY33E</t>
  </si>
  <si>
    <t>FY34E</t>
  </si>
  <si>
    <t>FY35E</t>
  </si>
  <si>
    <t>Total AASB16 impact</t>
  </si>
  <si>
    <t>AASB16 EBIT Adjustment</t>
  </si>
  <si>
    <t>D&amp;A ex leases</t>
  </si>
  <si>
    <t>Add: D&amp;A ex Leases</t>
  </si>
  <si>
    <t>Less: Net Capex</t>
  </si>
  <si>
    <t>Less: Acquisitions</t>
  </si>
  <si>
    <t>Free Cash Flow pre Tax</t>
  </si>
  <si>
    <t>Less: Tax</t>
  </si>
  <si>
    <t>Timing</t>
  </si>
  <si>
    <t>Discounted FCF</t>
  </si>
  <si>
    <t>DCF Assumptions</t>
  </si>
  <si>
    <t>DCF Calculation</t>
  </si>
  <si>
    <t>Present Value of FCF</t>
  </si>
  <si>
    <t>Terminal Value</t>
  </si>
  <si>
    <t>Total EV</t>
  </si>
  <si>
    <t>Less: Net Debt</t>
  </si>
  <si>
    <t>Less Minority Interest</t>
  </si>
  <si>
    <t>Equity Value</t>
  </si>
  <si>
    <t>Shares</t>
  </si>
  <si>
    <t>Equity Value per Share</t>
  </si>
  <si>
    <t>Current Share Price</t>
  </si>
  <si>
    <t>Net Capex</t>
  </si>
  <si>
    <t>Lease Modelling Adjustment</t>
  </si>
  <si>
    <t>Total Growth % (reported)</t>
  </si>
  <si>
    <t>Total Growth % (calculated)</t>
  </si>
  <si>
    <t>Other Growth (space/timing) %</t>
  </si>
  <si>
    <t>% of sales</t>
  </si>
  <si>
    <t>Product Supply Agreement</t>
  </si>
  <si>
    <t>Flybuys</t>
  </si>
  <si>
    <t>Property gain / (loss)</t>
  </si>
  <si>
    <t>Corporate costs</t>
  </si>
  <si>
    <t>Net Property Capex</t>
  </si>
  <si>
    <t>Growth ex Tobacco %</t>
  </si>
  <si>
    <t>Food Growth ex Tobacco</t>
  </si>
  <si>
    <t>Online Contribution to LFL</t>
  </si>
  <si>
    <t>Total Sales Growth ex. Tobacco ex. Online %</t>
  </si>
  <si>
    <t>Tobacco Impact %</t>
  </si>
  <si>
    <t>Recommendation</t>
  </si>
  <si>
    <t>NEUTRAL</t>
  </si>
  <si>
    <t>Other financing</t>
  </si>
  <si>
    <t>Other investing</t>
  </si>
  <si>
    <t>FCF post financing</t>
  </si>
  <si>
    <t>Note: FY24 includes 53 weeks vs. all other years include 52 weeks.</t>
  </si>
  <si>
    <t>This sheet contains FactSet XML data for use with this workbook's =FDS codes.  Modifying the worksheet's contents may damage the workbook's =FDS functionality.</t>
  </si>
  <si>
    <t>Neutral</t>
  </si>
  <si>
    <t>A$23/ 12 Month/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</si>
</sst>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8">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0"/>
    <numFmt numFmtId="169" formatCode="#,##0.0"/>
    <numFmt numFmtId="170" formatCode="0.0%"/>
    <numFmt numFmtId="171" formatCode="##0.00"/>
    <numFmt numFmtId="172" formatCode="&quot;$&quot;#,##0.00"/>
    <numFmt numFmtId="173" formatCode="#,##0.0_);\(#,##0.0\)"/>
    <numFmt numFmtId="174" formatCode="#,##0_)\x;\(#,##0\)\x;0_)\x;@_)_x"/>
    <numFmt numFmtId="175" formatCode="#,##0.0_);\(#,##0.0\);#,##0.0_);@_)"/>
    <numFmt numFmtId="176" formatCode="&quot;£&quot;_(#,##0.00_);&quot;£&quot;\(#,##0.00\);&quot;£&quot;_(0.00_);@_)"/>
    <numFmt numFmtId="177" formatCode="#,##0.00_);\(#,##0.00\);0.00_);@_)"/>
    <numFmt numFmtId="178" formatCode="\€_(#,##0.00_);\€\(#,##0.00\);\€_(0.00_);@_)"/>
    <numFmt numFmtId="179" formatCode="0.0_)\%;\(0.0\)\%;0.0_)\%;@_)_%"/>
    <numFmt numFmtId="180" formatCode="#,##0.0_)_%;\(#,##0.0\)_%;0.0_)_%;@_)_%"/>
    <numFmt numFmtId="181" formatCode="#,##0_)_x;\(#,##0\)_x;0_)_x;@_)_x"/>
    <numFmt numFmtId="182" formatCode="&quot;$&quot;_(#,##0.00_);&quot;$&quot;\(#,##0.00\);&quot;$&quot;_(0.00_);@_)"/>
    <numFmt numFmtId="183" formatCode="&quot;$&quot;_(#,##0.00_);&quot;$&quot;\(#,##0.00\)"/>
    <numFmt numFmtId="184" formatCode="#,##0.0_)\x;\(#,##0.0\)\x"/>
    <numFmt numFmtId="185" formatCode="#,##0.0_)_x;\(#,##0.0\)_x"/>
    <numFmt numFmtId="186" formatCode="0.0_)\%;\(0.0\)\%"/>
    <numFmt numFmtId="187" formatCode="#,##0.0_)_%;\(#,##0.0\)_%"/>
    <numFmt numFmtId="188" formatCode="#,##0.0_)\x;\(#,##0.0\)\x;0.0_)\x;@_)_x"/>
    <numFmt numFmtId="189" formatCode="#,##0.0_)_x;\(#,##0.0\)_x;0.0_)_x;@_)_x"/>
    <numFmt numFmtId="190" formatCode="&quot;$&quot;0.0"/>
    <numFmt numFmtId="191" formatCode="#,##0;\(#,##0\)"/>
    <numFmt numFmtId="192" formatCode="0\A"/>
    <numFmt numFmtId="193" formatCode="0.00_)"/>
    <numFmt numFmtId="194" formatCode="0\p"/>
    <numFmt numFmtId="195" formatCode="\$0.00;\(\$0.00\)"/>
    <numFmt numFmtId="196" formatCode="0.0&quot;  &quot;"/>
    <numFmt numFmtId="197" formatCode="_-* #,##0_-;\(#,##0\);_-* &quot;–&quot;_-;_-@_-"/>
    <numFmt numFmtId="198" formatCode="#,##0.00;;;[White]General"/>
    <numFmt numFmtId="199" formatCode="_(* #,##0.00000_);_(* \(#,##0.00000\);_(* &quot;-&quot;??_);_(@_)"/>
    <numFmt numFmtId="200" formatCode="#,##0.000_);[Red]\(#,##0.000\)"/>
    <numFmt numFmtId="201" formatCode="#,##0;\(#,##0\);\–;@"/>
    <numFmt numFmtId="202" formatCode="_(&quot;CHF&quot;* #,##0.0_);_(&quot;CHF&quot;* \(#,##0.0\);_(&quot;CHF&quot;* &quot;-&quot;??_);_(@_)"/>
    <numFmt numFmtId="203" formatCode="#,##0.0\ ;\(#,##0.0\)"/>
    <numFmt numFmtId="204" formatCode="0.0_)%;\(0.0\)%"/>
    <numFmt numFmtId="205" formatCode="0.0%_);\(0.0%\)"/>
    <numFmt numFmtId="206" formatCode="0.0_)"/>
    <numFmt numFmtId="207" formatCode="&quot;US$&quot;&quot;$&quot;#,##0.00_);\(&quot;$&quot;#,##0.00\)"/>
    <numFmt numFmtId="208" formatCode="#,##0.0_);[Red]\(#,##0.0\)"/>
    <numFmt numFmtId="209" formatCode="&quot;$&quot;#,##0.0_);[Red]\(&quot;$&quot;#,##0.0\)"/>
    <numFmt numFmtId="210" formatCode="#,##0.000_);\(#,##0.000\)"/>
    <numFmt numFmtId="211" formatCode="0&quot;E&quot;"/>
    <numFmt numFmtId="212" formatCode="_ #,###_-;\(#,##0\);_-* &quot;–&quot;?;_-@_-"/>
    <numFmt numFmtId="213" formatCode="#,##0.000;\(#,##0.000\)"/>
    <numFmt numFmtId="214" formatCode="mmmm\ dd\.\ yyyy"/>
    <numFmt numFmtId="215" formatCode="&quot;Valuation date: &quot;[$-409]d\-mmm\-yy;@"/>
    <numFmt numFmtId="216" formatCode="#,##0.0&quot; &quot;;\(#,##0.0\)"/>
    <numFmt numFmtId="217" formatCode="&quot;At current px: &quot;\A&quot;$&quot;#,##0.00"/>
    <numFmt numFmtId="218" formatCode="#,##0.0000"/>
    <numFmt numFmtId="219" formatCode="#,##0.00;[Red]\(#,##0.00\)"/>
    <numFmt numFmtId="220" formatCode="0.0\x"/>
    <numFmt numFmtId="221" formatCode="\A&quot;$&quot;0.0"/>
    <numFmt numFmtId="222" formatCode="_(* #,##0_);_(* \(#,##0\);_(* &quot;-&quot;??_);_(@_)"/>
    <numFmt numFmtId="223" formatCode="\A&quot;$&quot;0.00"/>
    <numFmt numFmtId="225" formatCode="_(* #,##0.000_);_(* \(#,##0.000\);_(* &quot;-&quot;??_);_(@_)"/>
  </numFmts>
  <fonts count="200">
    <font>
      <sz val="11"/>
      <color theme="1"/>
      <name val="Aptos Narrow"/>
      <family val="2"/>
      <scheme val="minor"/>
    </font>
    <font>
      <sz val="8"/>
      <name val="Aptos Narrow"/>
      <family val="2"/>
      <scheme val="minor"/>
    </font>
    <font>
      <sz val="10"/>
      <name val="Verdana"/>
      <family val="2"/>
    </font>
    <font>
      <b/>
      <sz val="9"/>
      <color indexed="81"/>
      <name val="Tahoma"/>
      <family val="2"/>
    </font>
    <font>
      <sz val="9"/>
      <color indexed="81"/>
      <name val="Tahoma"/>
      <family val="2"/>
    </font>
    <font>
      <sz val="11"/>
      <color theme="1"/>
      <name val="Aptos Narrow"/>
      <family val="2"/>
      <scheme val="minor"/>
    </font>
    <font>
      <sz val="11"/>
      <color rgb="FF006100"/>
      <name val="Aptos Narrow"/>
      <family val="2"/>
      <scheme val="minor"/>
    </font>
    <font>
      <sz val="11"/>
      <color rgb="FF9C0006"/>
      <name val="Aptos Narrow"/>
      <family val="2"/>
      <scheme val="minor"/>
    </font>
    <font>
      <b/>
      <sz val="11"/>
      <color rgb="FF3F3F3F"/>
      <name val="Aptos Narrow"/>
      <family val="2"/>
      <scheme val="minor"/>
    </font>
    <font>
      <b/>
      <sz val="10"/>
      <color theme="0"/>
      <name val="Arial"/>
      <family val="2"/>
    </font>
    <font>
      <sz val="10"/>
      <name val="Arial"/>
      <family val="2"/>
    </font>
    <font>
      <i/>
      <sz val="10"/>
      <name val="Arial"/>
      <family val="2"/>
    </font>
    <font>
      <b/>
      <sz val="10"/>
      <name val="Arial"/>
      <family val="2"/>
    </font>
    <font>
      <sz val="10"/>
      <color theme="1"/>
      <name val="Arial"/>
      <family val="2"/>
    </font>
    <font>
      <b/>
      <sz val="10"/>
      <color theme="1"/>
      <name val="Arial"/>
      <family val="2"/>
    </font>
    <font>
      <sz val="10"/>
      <name val="Helvetica"/>
      <family val="2"/>
    </font>
    <font>
      <sz val="8"/>
      <name val="Arial"/>
      <family val="2"/>
    </font>
    <font>
      <sz val="10"/>
      <color indexed="8"/>
      <name val="Arial"/>
      <family val="2"/>
    </font>
    <font>
      <b/>
      <sz val="9"/>
      <name val="Arial"/>
      <family val="2"/>
    </font>
    <font>
      <b/>
      <sz val="8"/>
      <name val="Arial"/>
      <family val="2"/>
    </font>
    <font>
      <sz val="8"/>
      <color indexed="8"/>
      <name val="Arial"/>
      <family val="2"/>
    </font>
    <font>
      <b/>
      <i/>
      <sz val="8"/>
      <name val="Arial"/>
      <family val="2"/>
    </font>
    <font>
      <b/>
      <sz val="12"/>
      <name val="Arial"/>
      <family val="2"/>
    </font>
    <font>
      <sz val="9"/>
      <name val="Arial"/>
      <family val="2"/>
    </font>
    <font>
      <sz val="8"/>
      <color indexed="10"/>
      <name val="Arial"/>
      <family val="2"/>
    </font>
    <font>
      <sz val="9"/>
      <name val="Helvetica"/>
      <family val="2"/>
    </font>
    <font>
      <sz val="9"/>
      <color indexed="8"/>
      <name val="Arial"/>
      <family val="2"/>
    </font>
    <font>
      <sz val="8"/>
      <name val="Tahoma"/>
      <family val="2"/>
    </font>
    <font>
      <sz val="10"/>
      <color indexed="10"/>
      <name val="Arial"/>
      <family val="2"/>
    </font>
    <font>
      <sz val="12"/>
      <name val="Helvetica"/>
      <family val="2"/>
    </font>
    <font>
      <b/>
      <sz val="14"/>
      <name val="Times New Roman"/>
      <family val="1"/>
    </font>
    <font>
      <b/>
      <sz val="12"/>
      <name val="Times New Roman"/>
      <family val="1"/>
    </font>
    <font>
      <b/>
      <u/>
      <sz val="9"/>
      <name val="Arial"/>
      <family val="2"/>
    </font>
    <font>
      <b/>
      <i/>
      <sz val="12"/>
      <color indexed="39"/>
      <name val="Arial"/>
      <family val="2"/>
    </font>
    <font>
      <sz val="10"/>
      <color indexed="17"/>
      <name val="Arial"/>
      <family val="2"/>
    </font>
    <font>
      <sz val="10"/>
      <name val="MS Serif"/>
      <family val="1"/>
    </font>
    <font>
      <sz val="10"/>
      <name val="MS Sans Serif"/>
      <family val="2"/>
    </font>
    <font>
      <sz val="10"/>
      <name val="Geneva"/>
      <family val="2"/>
    </font>
    <font>
      <sz val="10"/>
      <name val="Helv"/>
    </font>
    <font>
      <sz val="10"/>
      <name val="Courier"/>
      <family val="3"/>
    </font>
    <font>
      <b/>
      <sz val="10"/>
      <color indexed="9"/>
      <name val="Helvetica"/>
      <family val="2"/>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b/>
      <sz val="10"/>
      <name val="MS Sans Serif"/>
      <family val="2"/>
    </font>
    <font>
      <sz val="10"/>
      <name val="GS TheSans"/>
      <family val="2"/>
    </font>
    <font>
      <sz val="8"/>
      <color indexed="12"/>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b/>
      <sz val="15"/>
      <color indexed="62"/>
      <name val="Arial"/>
      <family val="2"/>
    </font>
    <font>
      <b/>
      <sz val="13"/>
      <color indexed="62"/>
      <name val="Arial"/>
      <family val="2"/>
    </font>
    <font>
      <b/>
      <sz val="11"/>
      <color indexed="62"/>
      <name val="Arial"/>
      <family val="2"/>
    </font>
    <font>
      <sz val="10"/>
      <color indexed="62"/>
      <name val="Arial"/>
      <family val="2"/>
    </font>
    <font>
      <sz val="10"/>
      <color indexed="52"/>
      <name val="Arial"/>
      <family val="2"/>
    </font>
    <font>
      <sz val="10"/>
      <color indexed="60"/>
      <name val="Arial"/>
      <family val="2"/>
    </font>
    <font>
      <b/>
      <sz val="10"/>
      <color indexed="34"/>
      <name val="Arial"/>
      <family val="2"/>
    </font>
    <font>
      <b/>
      <sz val="18"/>
      <color indexed="62"/>
      <name val="Cambria"/>
      <family val="2"/>
    </font>
    <font>
      <b/>
      <sz val="10"/>
      <color indexed="8"/>
      <name val="Arial"/>
      <family val="2"/>
    </font>
    <font>
      <sz val="11"/>
      <color rgb="FF9C6500"/>
      <name val="Aptos Narrow"/>
      <family val="2"/>
      <scheme val="minor"/>
    </font>
    <font>
      <sz val="9"/>
      <color indexed="8"/>
      <name val="Times New Roman"/>
      <family val="1"/>
    </font>
    <font>
      <b/>
      <sz val="10"/>
      <color indexed="8"/>
      <name val="Times New Roman"/>
      <family val="1"/>
    </font>
    <font>
      <sz val="8"/>
      <name val="Times"/>
      <family val="1"/>
    </font>
    <font>
      <sz val="8"/>
      <name val="Helvetica"/>
      <family val="2"/>
    </font>
    <font>
      <b/>
      <sz val="12"/>
      <name val="Tms Rmn"/>
    </font>
    <font>
      <sz val="9"/>
      <color indexed="9"/>
      <name val="Times New Roman"/>
      <family val="1"/>
    </font>
    <font>
      <sz val="8"/>
      <color indexed="12"/>
      <name val="Tms Rmn"/>
    </font>
    <font>
      <b/>
      <sz val="10"/>
      <name val="Bookman"/>
      <family val="1"/>
    </font>
    <font>
      <b/>
      <sz val="24"/>
      <name val="Times New Roman"/>
      <family val="1"/>
    </font>
    <font>
      <b/>
      <sz val="14"/>
      <name val="Book Antiqua"/>
      <family val="1"/>
    </font>
    <font>
      <sz val="11"/>
      <color indexed="12"/>
      <name val="Book Antiqua"/>
      <family val="1"/>
    </font>
    <font>
      <b/>
      <u/>
      <sz val="7"/>
      <name val="Helvetica"/>
      <family val="2"/>
    </font>
    <font>
      <sz val="9"/>
      <name val="Times New Roman"/>
      <family val="1"/>
    </font>
    <font>
      <sz val="10"/>
      <name val="Book Antiqua"/>
      <family val="1"/>
    </font>
    <font>
      <sz val="7"/>
      <name val="Arial"/>
      <family val="2"/>
    </font>
    <font>
      <b/>
      <sz val="8.5"/>
      <color indexed="17"/>
      <name val="Arial"/>
      <family val="2"/>
    </font>
    <font>
      <b/>
      <sz val="7"/>
      <color indexed="17"/>
      <name val="Arial"/>
      <family val="2"/>
    </font>
    <font>
      <sz val="8.5"/>
      <color indexed="8"/>
      <name val="Arial"/>
      <family val="2"/>
    </font>
    <font>
      <b/>
      <sz val="8"/>
      <name val="Book Antiqua"/>
      <family val="1"/>
    </font>
    <font>
      <b/>
      <sz val="10"/>
      <name val="Palatino"/>
      <family val="1"/>
    </font>
    <font>
      <b/>
      <sz val="14"/>
      <name val="Arial"/>
      <family val="2"/>
    </font>
    <font>
      <sz val="8"/>
      <name val="Book Antiqua"/>
      <family val="1"/>
    </font>
    <font>
      <i/>
      <sz val="7"/>
      <name val="Book Antiqua"/>
      <family val="1"/>
    </font>
    <font>
      <sz val="8"/>
      <color indexed="9"/>
      <name val="Arial"/>
      <family val="2"/>
    </font>
    <font>
      <b/>
      <i/>
      <sz val="16"/>
      <name val="Helv"/>
    </font>
    <font>
      <sz val="10"/>
      <color indexed="72"/>
      <name val="System"/>
      <family val="2"/>
    </font>
    <font>
      <sz val="10"/>
      <name val="Palatino"/>
      <family val="1"/>
    </font>
    <font>
      <sz val="8"/>
      <name val="Helv"/>
      <family val="2"/>
    </font>
    <font>
      <sz val="10"/>
      <name val="Times New Roman"/>
      <family val="1"/>
    </font>
    <font>
      <sz val="8"/>
      <name val="Helv"/>
    </font>
    <font>
      <b/>
      <sz val="14"/>
      <name val="Bookman"/>
      <family val="1"/>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2"/>
      <color indexed="16"/>
      <name val="Arial"/>
      <family val="2"/>
    </font>
    <font>
      <sz val="7"/>
      <name val="Times New Roman"/>
      <family val="1"/>
    </font>
    <font>
      <b/>
      <u/>
      <sz val="14"/>
      <name val="Book Antiqua"/>
      <family val="1"/>
    </font>
    <font>
      <b/>
      <sz val="10"/>
      <name val="Book Antiqua"/>
      <family val="1"/>
    </font>
    <font>
      <b/>
      <sz val="7"/>
      <name val="Arial"/>
      <family val="2"/>
    </font>
    <font>
      <b/>
      <sz val="10"/>
      <name val="Times New Roman"/>
      <family val="1"/>
    </font>
    <font>
      <sz val="8"/>
      <color indexed="49"/>
      <name val="Times New Roman"/>
      <family val="1"/>
    </font>
    <font>
      <sz val="10"/>
      <color indexed="8"/>
      <name val="MS Sans Serif"/>
      <family val="2"/>
    </font>
    <font>
      <sz val="10"/>
      <name val="Tms Rmn"/>
    </font>
    <font>
      <b/>
      <sz val="10"/>
      <color indexed="17"/>
      <name val="MS Sans Serif"/>
      <family val="2"/>
    </font>
    <font>
      <i/>
      <sz val="11"/>
      <name val="Helvetica-Black"/>
      <family val="2"/>
    </font>
    <font>
      <sz val="8"/>
      <name val="Tms Rmn"/>
    </font>
    <font>
      <b/>
      <sz val="9"/>
      <color indexed="8"/>
      <name val="Helvetica 65"/>
    </font>
    <font>
      <sz val="7"/>
      <color indexed="8"/>
      <name val="Helvetica 45"/>
      <family val="2"/>
    </font>
    <font>
      <sz val="7"/>
      <color indexed="8"/>
      <name val="Helvetica 65"/>
      <family val="2"/>
    </font>
    <font>
      <sz val="6"/>
      <color indexed="8"/>
      <name val="Helvetica 65"/>
      <family val="2"/>
    </font>
    <font>
      <b/>
      <sz val="8"/>
      <name val="Courier New"/>
      <family val="3"/>
    </font>
    <font>
      <b/>
      <sz val="9"/>
      <name val="Helvetica 65"/>
      <family val="2"/>
    </font>
    <font>
      <sz val="8"/>
      <name val="Times New Roman"/>
      <family val="1"/>
    </font>
    <font>
      <sz val="11"/>
      <name val="Times New Roman"/>
      <family val="1"/>
    </font>
    <font>
      <b/>
      <sz val="8"/>
      <name val="TimesNewRomanPS"/>
      <family val="1"/>
    </font>
    <font>
      <b/>
      <sz val="7"/>
      <name val="TarzanaNarrow"/>
    </font>
    <font>
      <sz val="7"/>
      <name val="TarzanaNarrow"/>
    </font>
    <font>
      <sz val="11"/>
      <name val="Tms Rmn"/>
    </font>
    <font>
      <sz val="8"/>
      <color indexed="12"/>
      <name val="Helv"/>
    </font>
    <font>
      <sz val="8"/>
      <name val="Palatino"/>
      <family val="1"/>
    </font>
    <font>
      <sz val="8.5"/>
      <name val="Arial Narrow"/>
      <family val="2"/>
    </font>
    <font>
      <sz val="8.5"/>
      <color indexed="49"/>
      <name val="Arial Narrow"/>
      <family val="2"/>
    </font>
    <font>
      <sz val="24"/>
      <name val="Arial"/>
      <family val="2"/>
    </font>
    <font>
      <sz val="14"/>
      <name val="Palatino"/>
      <family val="1"/>
    </font>
    <font>
      <sz val="16"/>
      <name val="Palatino"/>
      <family val="1"/>
    </font>
    <font>
      <sz val="32"/>
      <name val="Helvetica-Black"/>
    </font>
    <font>
      <b/>
      <i/>
      <u/>
      <sz val="8.5"/>
      <color indexed="12"/>
      <name val="Arial Narrow"/>
      <family val="2"/>
    </font>
    <font>
      <sz val="8.5"/>
      <color indexed="12"/>
      <name val="Arial Narrow"/>
      <family val="2"/>
    </font>
    <font>
      <b/>
      <sz val="8.5"/>
      <name val="Arial Narrow"/>
      <family val="2"/>
    </font>
    <font>
      <sz val="9"/>
      <name val="Helvetica 45"/>
      <family val="2"/>
    </font>
    <font>
      <sz val="10"/>
      <name val="TarzanaNarrow"/>
    </font>
    <font>
      <b/>
      <sz val="8"/>
      <name val="Times New Roman"/>
      <family val="1"/>
    </font>
    <font>
      <sz val="8"/>
      <color indexed="14"/>
      <name val="Arial Narrow"/>
      <family val="2"/>
    </font>
    <font>
      <b/>
      <sz val="8"/>
      <color indexed="8"/>
      <name val="Arial"/>
      <family val="2"/>
    </font>
    <font>
      <b/>
      <sz val="9.5"/>
      <color indexed="10"/>
      <name val="MS Sans Serif"/>
      <family val="2"/>
    </font>
    <font>
      <sz val="6"/>
      <color indexed="23"/>
      <name val="Helvetica-Black"/>
    </font>
    <font>
      <sz val="9.5"/>
      <color indexed="23"/>
      <name val="Helvetica-Black"/>
    </font>
    <font>
      <sz val="7"/>
      <name val="Palatino"/>
      <family val="1"/>
    </font>
    <font>
      <sz val="10"/>
      <color indexed="12"/>
      <name val="MS Sans Serif"/>
      <family val="2"/>
    </font>
    <font>
      <i/>
      <sz val="8"/>
      <color indexed="17"/>
      <name val="Times New Roman"/>
      <family val="1"/>
    </font>
    <font>
      <sz val="8"/>
      <color indexed="21"/>
      <name val="Arial"/>
      <family val="2"/>
    </font>
    <font>
      <i/>
      <sz val="8"/>
      <name val="MS Sans Serif"/>
      <family val="2"/>
    </font>
    <font>
      <sz val="6"/>
      <name val="Palatino"/>
      <family val="1"/>
    </font>
    <font>
      <sz val="6"/>
      <color indexed="12"/>
      <name val="Palatino"/>
      <family val="1"/>
    </font>
    <font>
      <i/>
      <sz val="8"/>
      <name val="Tms Rmn"/>
    </font>
    <font>
      <i/>
      <sz val="8"/>
      <color indexed="14"/>
      <name val="MS Sans Serif"/>
      <family val="2"/>
    </font>
    <font>
      <b/>
      <sz val="9"/>
      <name val="TarzanaNarrow"/>
    </font>
    <font>
      <b/>
      <sz val="10"/>
      <name val="TarzanaNarrow"/>
    </font>
    <font>
      <sz val="9"/>
      <name val="Geneva"/>
      <family val="2"/>
    </font>
    <font>
      <b/>
      <sz val="14.5"/>
      <name val="TarzanaNarrow"/>
    </font>
    <font>
      <sz val="10"/>
      <color indexed="16"/>
      <name val="Helvetica-Black"/>
    </font>
    <font>
      <sz val="9"/>
      <color indexed="21"/>
      <name val="Helvetica-Black"/>
    </font>
    <font>
      <b/>
      <u/>
      <sz val="10"/>
      <name val="Arial"/>
      <family val="2"/>
    </font>
    <font>
      <sz val="9.5"/>
      <name val="TarzanaNarrow"/>
    </font>
    <font>
      <sz val="9"/>
      <name val="Helv"/>
    </font>
    <font>
      <b/>
      <sz val="10"/>
      <color indexed="50"/>
      <name val="Arial"/>
      <family val="2"/>
    </font>
    <font>
      <u/>
      <sz val="10"/>
      <color theme="10"/>
      <name val="Arial"/>
      <family val="2"/>
    </font>
    <font>
      <u/>
      <sz val="10"/>
      <color theme="10"/>
      <name val="Helvetica"/>
      <family val="2"/>
    </font>
    <font>
      <sz val="10.5"/>
      <color theme="1"/>
      <name val="Calibri"/>
      <family val="2"/>
    </font>
    <font>
      <sz val="11"/>
      <color indexed="8"/>
      <name val="Calibri"/>
      <family val="2"/>
    </font>
    <font>
      <sz val="11"/>
      <color rgb="FF000000"/>
      <name val="Calibri"/>
      <family val="2"/>
    </font>
    <font>
      <sz val="11"/>
      <color rgb="FF800080"/>
      <name val="Calibri"/>
      <family val="2"/>
    </font>
    <font>
      <sz val="11"/>
      <color indexed="20"/>
      <name val="Calibri"/>
      <family val="2"/>
    </font>
    <font>
      <sz val="11"/>
      <color rgb="FF993300"/>
      <name val="Calibri"/>
      <family val="2"/>
    </font>
    <font>
      <sz val="11"/>
      <color indexed="60"/>
      <name val="Calibri"/>
      <family val="2"/>
    </font>
    <font>
      <b/>
      <sz val="10"/>
      <color rgb="FF0000FF"/>
      <name val="Arial"/>
      <family val="2"/>
    </font>
    <font>
      <sz val="10"/>
      <color rgb="FF0000FF"/>
      <name val="Arial"/>
      <family val="2"/>
    </font>
    <font>
      <i/>
      <sz val="10"/>
      <color indexed="12"/>
      <name val="Arial"/>
      <family val="2"/>
    </font>
    <font>
      <sz val="10"/>
      <name val="Aptos Display"/>
      <family val="2"/>
      <scheme val="major"/>
    </font>
    <font>
      <sz val="10"/>
      <color indexed="12"/>
      <name val="Arial"/>
      <family val="2"/>
    </font>
    <font>
      <sz val="10"/>
      <color rgb="FFFF0000"/>
      <name val="Arial"/>
      <family val="2"/>
    </font>
    <font>
      <b/>
      <sz val="10"/>
      <color indexed="12"/>
      <name val="Arial"/>
      <family val="2"/>
    </font>
    <font>
      <sz val="10"/>
      <color theme="0"/>
      <name val="Arial"/>
      <family val="2"/>
    </font>
    <font>
      <i/>
      <sz val="10"/>
      <color theme="1"/>
      <name val="Arial"/>
      <family val="2"/>
    </font>
    <font>
      <b/>
      <sz val="10"/>
      <color rgb="FFFF0000"/>
      <name val="Arial"/>
      <family val="2"/>
    </font>
    <font>
      <sz val="10"/>
      <name val="Verdana"/>
      <family val="2"/>
    </font>
    <font>
      <i/>
      <sz val="10"/>
      <color rgb="FFFF0000"/>
      <name val="Arial"/>
      <family val="2"/>
    </font>
    <font>
      <i/>
      <sz val="11"/>
      <color theme="1"/>
      <name val="Aptos Narrow"/>
      <family val="2"/>
      <scheme val="minor"/>
    </font>
    <font>
      <sz val="9"/>
      <name val="Verdana"/>
      <family val="2"/>
    </font>
    <font>
      <b/>
      <sz val="10"/>
      <color theme="4"/>
      <name val="Arial"/>
      <family val="2"/>
    </font>
    <font>
      <b/>
      <sz val="8"/>
      <color theme="0"/>
      <name val="Arial"/>
      <family val="2"/>
    </font>
    <font>
      <sz val="8"/>
      <color theme="1"/>
      <name val="Arial"/>
      <family val="2"/>
    </font>
    <font>
      <b/>
      <sz val="8"/>
      <color theme="1"/>
      <name val="Arial"/>
      <family val="2"/>
    </font>
    <font>
      <sz val="16"/>
      <color theme="1"/>
      <name val="Arial"/>
      <family val="2"/>
    </font>
    <font>
      <b/>
      <sz val="18"/>
      <color theme="0"/>
      <name val="Arial"/>
      <family val="2"/>
    </font>
    <font>
      <sz val="18"/>
      <color theme="1"/>
      <name val="Arial"/>
      <family val="2"/>
    </font>
    <font>
      <b/>
      <sz val="18"/>
      <color theme="1"/>
      <name val="Arial"/>
      <family val="2"/>
    </font>
    <font>
      <b/>
      <sz val="18"/>
      <name val="Arial"/>
      <family val="2"/>
    </font>
    <font>
      <b/>
      <sz val="18"/>
      <color rgb="FF0000FF"/>
      <name val="Arial"/>
      <family val="2"/>
    </font>
    <font>
      <b/>
      <sz val="18"/>
      <color theme="0" tint="-0.499984740745262"/>
      <name val="Arial"/>
      <family val="2"/>
    </font>
    <font>
      <sz val="18"/>
      <name val="Arial"/>
      <family val="2"/>
    </font>
    <font>
      <sz val="15"/>
      <color theme="1"/>
      <name val="Arial"/>
      <family val="2"/>
    </font>
    <font>
      <sz val="15"/>
      <color rgb="FF0000FF"/>
      <name val="Arial"/>
      <family val="2"/>
    </font>
    <font>
      <i/>
      <sz val="14"/>
      <color theme="1"/>
      <name val="Arial"/>
      <family val="2"/>
    </font>
  </fonts>
  <fills count="58">
    <fill>
      <patternFill patternType="none"/>
    </fill>
    <fill>
      <patternFill patternType="gray125"/>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indexed="43"/>
      </patternFill>
    </fill>
    <fill>
      <patternFill patternType="solid">
        <fgColor indexed="30"/>
      </patternFill>
    </fill>
    <fill>
      <patternFill patternType="solid">
        <fgColor indexed="47"/>
      </patternFill>
    </fill>
    <fill>
      <patternFill patternType="solid">
        <fgColor indexed="38"/>
      </patternFill>
    </fill>
    <fill>
      <patternFill patternType="solid">
        <fgColor indexed="28"/>
      </patternFill>
    </fill>
    <fill>
      <patternFill patternType="solid">
        <fgColor indexed="26"/>
      </patternFill>
    </fill>
    <fill>
      <patternFill patternType="solid">
        <fgColor indexed="33"/>
      </patternFill>
    </fill>
    <fill>
      <patternFill patternType="solid">
        <fgColor indexed="24"/>
      </patternFill>
    </fill>
    <fill>
      <patternFill patternType="solid">
        <fgColor indexed="10"/>
      </patternFill>
    </fill>
    <fill>
      <patternFill patternType="solid">
        <fgColor indexed="57"/>
      </patternFill>
    </fill>
    <fill>
      <patternFill patternType="solid">
        <fgColor indexed="54"/>
      </patternFill>
    </fill>
    <fill>
      <patternFill patternType="solid">
        <fgColor indexed="49"/>
      </patternFill>
    </fill>
    <fill>
      <patternFill patternType="solid">
        <fgColor indexed="53"/>
      </patternFill>
    </fill>
    <fill>
      <patternFill patternType="solid">
        <fgColor indexed="45"/>
      </patternFill>
    </fill>
    <fill>
      <patternFill patternType="solid">
        <fgColor indexed="27"/>
      </patternFill>
    </fill>
    <fill>
      <patternFill patternType="solid">
        <fgColor indexed="42"/>
      </patternFill>
    </fill>
    <fill>
      <patternFill patternType="solid">
        <fgColor indexed="22"/>
        <bgColor indexed="64"/>
      </patternFill>
    </fill>
    <fill>
      <patternFill patternType="solid">
        <fgColor indexed="13"/>
      </patternFill>
    </fill>
    <fill>
      <patternFill patternType="solid">
        <fgColor indexed="11"/>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47"/>
        <bgColor indexed="64"/>
      </patternFill>
    </fill>
    <fill>
      <patternFill patternType="solid">
        <fgColor indexed="45"/>
        <bgColor indexed="64"/>
      </patternFill>
    </fill>
    <fill>
      <patternFill patternType="solid">
        <fgColor indexed="29"/>
        <bgColor indexed="64"/>
      </patternFill>
    </fill>
    <fill>
      <patternFill patternType="solid">
        <fgColor indexed="18"/>
        <bgColor indexed="64"/>
      </patternFill>
    </fill>
    <fill>
      <patternFill patternType="solid">
        <fgColor rgb="FFFFFF99"/>
        <bgColor indexed="64"/>
      </patternFill>
    </fill>
    <fill>
      <patternFill patternType="gray0625">
        <fgColor indexed="10"/>
        <bgColor indexed="9"/>
      </patternFill>
    </fill>
    <fill>
      <patternFill patternType="lightGray">
        <fgColor indexed="14"/>
        <bgColor indexed="9"/>
      </patternFill>
    </fill>
    <fill>
      <patternFill patternType="lightGray">
        <fgColor indexed="15"/>
      </patternFill>
    </fill>
    <fill>
      <patternFill patternType="lightGray">
        <fgColor indexed="12"/>
        <bgColor indexed="9"/>
      </patternFill>
    </fill>
    <fill>
      <patternFill patternType="solid">
        <fgColor indexed="11"/>
        <bgColor indexed="9"/>
      </patternFill>
    </fill>
    <fill>
      <patternFill patternType="lightGray">
        <fgColor indexed="22"/>
        <bgColor indexed="9"/>
      </patternFill>
    </fill>
    <fill>
      <patternFill patternType="mediumGray">
        <fgColor indexed="22"/>
      </patternFill>
    </fill>
    <fill>
      <patternFill patternType="lightGray">
        <fgColor indexed="12"/>
      </patternFill>
    </fill>
    <fill>
      <patternFill patternType="gray0625">
        <fgColor indexed="13"/>
        <bgColor indexed="9"/>
      </patternFill>
    </fill>
    <fill>
      <patternFill patternType="solid">
        <fgColor indexed="26"/>
        <bgColor indexed="64"/>
      </patternFill>
    </fill>
    <fill>
      <patternFill patternType="solid">
        <fgColor indexed="63"/>
        <bgColor indexed="64"/>
      </patternFill>
    </fill>
    <fill>
      <patternFill patternType="solid">
        <fgColor indexed="31"/>
        <bgColor indexed="64"/>
      </patternFill>
    </fill>
    <fill>
      <patternFill patternType="solid">
        <fgColor indexed="15"/>
      </patternFill>
    </fill>
    <fill>
      <patternFill patternType="mediumGray"/>
    </fill>
    <fill>
      <patternFill patternType="solid">
        <fgColor indexed="16"/>
        <bgColor indexed="64"/>
      </patternFill>
    </fill>
    <fill>
      <patternFill patternType="solid">
        <fgColor rgb="FFFF8080"/>
        <bgColor indexed="64"/>
      </patternFill>
    </fill>
    <fill>
      <patternFill patternType="solid">
        <fgColor rgb="FFFF99CC"/>
        <bgColor indexed="64"/>
      </patternFill>
    </fill>
    <fill>
      <patternFill patternType="solid">
        <fgColor rgb="FFC6EFCE"/>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4" tint="0.89999084444715716"/>
        <bgColor indexed="64"/>
      </patternFill>
    </fill>
    <fill>
      <patternFill patternType="solid">
        <fgColor theme="7" tint="0.79998168889431442"/>
        <bgColor indexed="64"/>
      </patternFill>
    </fill>
  </fills>
  <borders count="43">
    <border>
      <left/>
      <right/>
      <top/>
      <bottom/>
      <diagonal/>
    </border>
    <border>
      <left style="thin">
        <color rgb="FF3F3F3F"/>
      </left>
      <right style="thin">
        <color rgb="FF3F3F3F"/>
      </right>
      <top style="thin">
        <color rgb="FF3F3F3F"/>
      </top>
      <bottom style="thin">
        <color rgb="FF3F3F3F"/>
      </bottom>
      <diagonal/>
    </border>
    <border>
      <left/>
      <right/>
      <top style="hair">
        <color indexed="8"/>
      </top>
      <bottom style="hair">
        <color indexed="8"/>
      </bottom>
      <diagonal/>
    </border>
    <border>
      <left/>
      <right/>
      <top/>
      <bottom style="medium">
        <color indexed="18"/>
      </bottom>
      <diagonal/>
    </border>
    <border>
      <left style="thin">
        <color indexed="23"/>
      </left>
      <right style="thin">
        <color indexed="23"/>
      </right>
      <top style="thin">
        <color indexed="23"/>
      </top>
      <bottom style="thin">
        <color indexed="23"/>
      </bottom>
      <diagonal/>
    </border>
    <border>
      <left style="double">
        <color indexed="34"/>
      </left>
      <right style="double">
        <color indexed="34"/>
      </right>
      <top style="double">
        <color indexed="34"/>
      </top>
      <bottom style="double">
        <color indexed="34"/>
      </bottom>
      <diagonal/>
    </border>
    <border>
      <left/>
      <right/>
      <top/>
      <bottom style="thick">
        <color indexed="24"/>
      </bottom>
      <diagonal/>
    </border>
    <border>
      <left/>
      <right/>
      <top/>
      <bottom style="thick">
        <color indexed="31"/>
      </bottom>
      <diagonal/>
    </border>
    <border>
      <left/>
      <right/>
      <top/>
      <bottom style="medium">
        <color indexed="26"/>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right/>
      <top style="dotted">
        <color indexed="64"/>
      </top>
      <bottom style="dotted">
        <color indexed="64"/>
      </bottom>
      <diagonal/>
    </border>
    <border>
      <left style="thin">
        <color indexed="33"/>
      </left>
      <right style="thin">
        <color indexed="33"/>
      </right>
      <top style="thin">
        <color indexed="33"/>
      </top>
      <bottom style="thin">
        <color indexed="33"/>
      </bottom>
      <diagonal/>
    </border>
    <border>
      <left style="thin">
        <color indexed="64"/>
      </left>
      <right style="thin">
        <color indexed="64"/>
      </right>
      <top/>
      <bottom/>
      <diagonal/>
    </border>
    <border>
      <left style="thin">
        <color indexed="34"/>
      </left>
      <right style="thin">
        <color indexed="34"/>
      </right>
      <top style="thin">
        <color indexed="34"/>
      </top>
      <bottom style="thin">
        <color indexed="34"/>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style="thin">
        <color indexed="24"/>
      </top>
      <bottom style="double">
        <color indexed="24"/>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top style="thin">
        <color indexed="64"/>
      </top>
      <bottom style="thin">
        <color indexed="64"/>
      </bottom>
      <diagonal/>
    </border>
    <border>
      <left/>
      <right/>
      <top style="medium">
        <color indexed="64"/>
      </top>
      <bottom style="medium">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style="thin">
        <color indexed="8"/>
      </top>
      <bottom style="thin">
        <color indexed="8"/>
      </bottom>
      <diagonal/>
    </border>
    <border>
      <left style="medium">
        <color indexed="9"/>
      </left>
      <right style="medium">
        <color indexed="9"/>
      </right>
      <top/>
      <bottom/>
      <diagonal/>
    </border>
    <border>
      <left/>
      <right style="thin">
        <color indexed="8"/>
      </right>
      <top style="thin">
        <color indexed="8"/>
      </top>
      <bottom/>
      <diagonal/>
    </border>
    <border>
      <left style="thick">
        <color indexed="9"/>
      </left>
      <right style="thick">
        <color indexed="9"/>
      </right>
      <top/>
      <bottom style="double">
        <color indexed="64"/>
      </bottom>
      <diagonal/>
    </border>
    <border>
      <left/>
      <right/>
      <top style="thin">
        <color indexed="64"/>
      </top>
      <bottom style="medium">
        <color indexed="64"/>
      </bottom>
      <diagonal/>
    </border>
    <border>
      <left/>
      <right/>
      <top/>
      <bottom style="thin">
        <color indexed="8"/>
      </bottom>
      <diagonal/>
    </border>
    <border>
      <left style="hair">
        <color indexed="64"/>
      </left>
      <right style="hair">
        <color indexed="64"/>
      </right>
      <top style="hair">
        <color indexed="64"/>
      </top>
      <bottom style="hair">
        <color indexed="64"/>
      </bottom>
      <diagonal/>
    </border>
    <border>
      <left style="medium">
        <color indexed="8"/>
      </left>
      <right style="medium">
        <color indexed="8"/>
      </right>
      <top/>
      <bottom/>
      <diagonal/>
    </border>
    <border>
      <left/>
      <right/>
      <top style="medium">
        <color indexed="64"/>
      </top>
      <bottom style="thin">
        <color indexed="64"/>
      </bottom>
      <diagonal/>
    </border>
    <border>
      <left style="thick">
        <color indexed="64"/>
      </left>
      <right/>
      <top/>
      <bottom/>
      <diagonal/>
    </border>
    <border>
      <left/>
      <right/>
      <top/>
      <bottom style="dotted">
        <color indexed="64"/>
      </bottom>
      <diagonal/>
    </border>
    <border>
      <left style="medium">
        <color indexed="62"/>
      </left>
      <right style="medium">
        <color indexed="62"/>
      </right>
      <top style="medium">
        <color indexed="62"/>
      </top>
      <bottom style="medium">
        <color indexed="62"/>
      </bottom>
      <diagonal/>
    </border>
    <border>
      <left style="thin">
        <color indexed="10"/>
      </left>
      <right style="thin">
        <color indexed="10"/>
      </right>
      <top style="thin">
        <color indexed="10"/>
      </top>
      <bottom style="thin">
        <color indexed="10"/>
      </bottom>
      <diagonal/>
    </border>
    <border>
      <left style="medium">
        <color indexed="57"/>
      </left>
      <right style="medium">
        <color indexed="57"/>
      </right>
      <top style="medium">
        <color indexed="57"/>
      </top>
      <bottom style="medium">
        <color indexed="57"/>
      </bottom>
      <diagonal/>
    </border>
    <border>
      <left/>
      <right/>
      <top/>
      <bottom style="thin">
        <color auto="1"/>
      </bottom>
      <diagonal/>
    </border>
  </borders>
  <cellStyleXfs count="1589">
    <xf numFmtId="0" fontId="0" fillId="0" borderId="0"/>
    <xf numFmtId="0" fontId="2" fillId="0" borderId="0"/>
    <xf numFmtId="179" fontId="16" fillId="0" borderId="0" applyFont="0" applyFill="0" applyBorder="0" applyAlignment="0" applyProtection="0"/>
    <xf numFmtId="180" fontId="16" fillId="0" borderId="0" applyFont="0" applyFill="0" applyBorder="0" applyAlignment="0" applyProtection="0"/>
    <xf numFmtId="175" fontId="16" fillId="0" borderId="0" applyFont="0" applyFill="0" applyBorder="0" applyAlignment="0" applyProtection="0"/>
    <xf numFmtId="173" fontId="10" fillId="0" borderId="0" applyFont="0" applyFill="0" applyBorder="0" applyAlignment="0" applyProtection="0"/>
    <xf numFmtId="176" fontId="16"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77" fontId="16" fillId="0" borderId="0" applyFont="0" applyFill="0" applyBorder="0" applyAlignment="0" applyProtection="0"/>
    <xf numFmtId="39" fontId="10" fillId="0" borderId="0" applyFont="0" applyFill="0" applyBorder="0" applyAlignment="0" applyProtection="0"/>
    <xf numFmtId="178" fontId="16" fillId="0" borderId="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6" fillId="7" borderId="0" applyNumberFormat="0" applyFont="0" applyAlignment="0" applyProtection="0"/>
    <xf numFmtId="174" fontId="16" fillId="0" borderId="0" applyFont="0" applyFill="0" applyBorder="0" applyAlignment="0" applyProtection="0"/>
    <xf numFmtId="184" fontId="10" fillId="0" borderId="0" applyFont="0" applyFill="0" applyBorder="0" applyAlignment="0" applyProtection="0"/>
    <xf numFmtId="188" fontId="10" fillId="0" borderId="0" applyFont="0" applyFill="0" applyBorder="0" applyAlignment="0" applyProtection="0"/>
    <xf numFmtId="181" fontId="16" fillId="0" borderId="0" applyFont="0" applyFill="0" applyBorder="0" applyProtection="0">
      <alignment horizontal="right"/>
    </xf>
    <xf numFmtId="185" fontId="10" fillId="0" borderId="0" applyFont="0" applyFill="0" applyBorder="0" applyAlignment="0" applyProtection="0"/>
    <xf numFmtId="189" fontId="10" fillId="0" borderId="0" applyFont="0" applyFill="0" applyBorder="0" applyProtection="0">
      <alignment horizontal="right"/>
    </xf>
    <xf numFmtId="186" fontId="10" fillId="0" borderId="0" applyFont="0" applyFill="0" applyBorder="0" applyAlignment="0" applyProtection="0"/>
    <xf numFmtId="187" fontId="10" fillId="0" borderId="0" applyFont="0" applyFill="0" applyBorder="0" applyAlignment="0" applyProtection="0"/>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26" fillId="0" borderId="2" applyNumberFormat="0" applyFill="0" applyAlignment="0" applyProtection="0"/>
    <xf numFmtId="0" fontId="26" fillId="0" borderId="2" applyNumberFormat="0" applyFill="0" applyAlignment="0" applyProtection="0"/>
    <xf numFmtId="0" fontId="26" fillId="0" borderId="2" applyNumberFormat="0" applyFill="0" applyAlignment="0" applyProtection="0"/>
    <xf numFmtId="0" fontId="26" fillId="0" borderId="2" applyNumberFormat="0" applyFill="0" applyAlignment="0" applyProtection="0"/>
    <xf numFmtId="0" fontId="26" fillId="0" borderId="2" applyNumberFormat="0" applyFill="0" applyAlignment="0" applyProtection="0"/>
    <xf numFmtId="0" fontId="43"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17" fillId="8" borderId="0" applyNumberFormat="0" applyBorder="0" applyAlignment="0" applyProtection="0"/>
    <xf numFmtId="0" fontId="17" fillId="9" borderId="0" applyNumberFormat="0" applyBorder="0" applyAlignment="0" applyProtection="0"/>
    <xf numFmtId="0" fontId="17" fillId="7" borderId="0" applyNumberFormat="0" applyBorder="0" applyAlignment="0" applyProtection="0"/>
    <xf numFmtId="0" fontId="17" fillId="10"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1" borderId="0" applyNumberFormat="0" applyBorder="0" applyAlignment="0" applyProtection="0"/>
    <xf numFmtId="0" fontId="17" fillId="9" borderId="0" applyNumberFormat="0" applyBorder="0" applyAlignment="0" applyProtection="0"/>
    <xf numFmtId="0" fontId="17" fillId="7"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9" borderId="0" applyNumberFormat="0" applyBorder="0" applyAlignment="0" applyProtection="0"/>
    <xf numFmtId="0" fontId="48" fillId="12" borderId="0" applyNumberFormat="0" applyBorder="0" applyAlignment="0" applyProtection="0"/>
    <xf numFmtId="0" fontId="48" fillId="9" borderId="0" applyNumberFormat="0" applyBorder="0" applyAlignment="0" applyProtection="0"/>
    <xf numFmtId="0" fontId="48" fillId="7" borderId="0" applyNumberFormat="0" applyBorder="0" applyAlignment="0" applyProtection="0"/>
    <xf numFmtId="0" fontId="48" fillId="13" borderId="0" applyNumberFormat="0" applyBorder="0" applyAlignment="0" applyProtection="0"/>
    <xf numFmtId="0" fontId="48" fillId="12" borderId="0" applyNumberFormat="0" applyBorder="0" applyAlignment="0" applyProtection="0"/>
    <xf numFmtId="0" fontId="48" fillId="9" borderId="0" applyNumberFormat="0" applyBorder="0" applyAlignment="0" applyProtection="0"/>
    <xf numFmtId="0" fontId="48" fillId="14" borderId="0" applyNumberFormat="0" applyBorder="0" applyAlignment="0" applyProtection="0"/>
    <xf numFmtId="0" fontId="48"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9" fillId="20" borderId="0" applyNumberFormat="0" applyBorder="0" applyAlignment="0" applyProtection="0"/>
    <xf numFmtId="0" fontId="50" fillId="21" borderId="4" applyNumberFormat="0" applyAlignment="0" applyProtection="0"/>
    <xf numFmtId="0" fontId="51" fillId="13" borderId="5" applyNumberFormat="0" applyAlignment="0" applyProtection="0"/>
    <xf numFmtId="4" fontId="2" fillId="0" borderId="0" applyFont="0" applyFill="0" applyBorder="0" applyAlignment="0" applyProtection="0"/>
    <xf numFmtId="8" fontId="2" fillId="0" borderId="0" applyFont="0" applyFill="0" applyBorder="0" applyAlignment="0" applyProtection="0"/>
    <xf numFmtId="0" fontId="52" fillId="0" borderId="0" applyNumberFormat="0" applyFill="0" applyBorder="0" applyAlignment="0" applyProtection="0"/>
    <xf numFmtId="12" fontId="38" fillId="0" borderId="0">
      <alignment horizontal="center"/>
    </xf>
    <xf numFmtId="0" fontId="34" fillId="22" borderId="0" applyNumberFormat="0" applyBorder="0" applyAlignment="0" applyProtection="0"/>
    <xf numFmtId="0" fontId="33" fillId="23" borderId="0"/>
    <xf numFmtId="0" fontId="53" fillId="0" borderId="6" applyNumberFormat="0" applyFill="0" applyAlignment="0" applyProtection="0"/>
    <xf numFmtId="0" fontId="54" fillId="0" borderId="7" applyNumberFormat="0" applyFill="0" applyAlignment="0" applyProtection="0"/>
    <xf numFmtId="0" fontId="55" fillId="0" borderId="8" applyNumberFormat="0" applyFill="0" applyAlignment="0" applyProtection="0"/>
    <xf numFmtId="0" fontId="55" fillId="0" borderId="0" applyNumberFormat="0" applyFill="0" applyBorder="0" applyAlignment="0" applyProtection="0"/>
    <xf numFmtId="0" fontId="56" fillId="9" borderId="4" applyNumberFormat="0" applyAlignment="0" applyProtection="0"/>
    <xf numFmtId="171" fontId="34" fillId="0" borderId="9" applyBorder="0">
      <protection locked="0"/>
    </xf>
    <xf numFmtId="0" fontId="45" fillId="24" borderId="10">
      <alignment horizontal="left" vertical="center" wrapText="1"/>
    </xf>
    <xf numFmtId="0" fontId="57" fillId="0" borderId="11" applyNumberFormat="0" applyFill="0" applyAlignment="0" applyProtection="0"/>
    <xf numFmtId="0" fontId="2" fillId="0" borderId="0">
      <alignment horizontal="right"/>
    </xf>
    <xf numFmtId="0" fontId="58" fillId="7" borderId="0" applyNumberFormat="0" applyBorder="0" applyAlignment="0" applyProtection="0"/>
    <xf numFmtId="0" fontId="34" fillId="0" borderId="12" applyNumberFormat="0" applyAlignment="0"/>
    <xf numFmtId="0" fontId="17" fillId="7" borderId="13" applyNumberFormat="0" applyFont="0" applyAlignment="0" applyProtection="0"/>
    <xf numFmtId="0" fontId="2" fillId="0" borderId="14"/>
    <xf numFmtId="0" fontId="59" fillId="21" borderId="15" applyNumberFormat="0" applyAlignment="0" applyProtection="0"/>
    <xf numFmtId="10" fontId="46" fillId="0" borderId="0" applyFont="0" applyFill="0" applyBorder="0" applyProtection="0">
      <alignment horizontal="right"/>
    </xf>
    <xf numFmtId="9" fontId="2" fillId="0" borderId="0" applyFont="0" applyFill="0" applyBorder="0" applyAlignment="0" applyProtection="0"/>
    <xf numFmtId="38" fontId="16" fillId="0" borderId="0" applyFill="0" applyBorder="0" applyAlignment="0" applyProtection="0">
      <alignment horizontal="right"/>
    </xf>
    <xf numFmtId="3" fontId="10" fillId="23" borderId="16" applyFont="0" applyFill="0" applyBorder="0" applyAlignment="0" applyProtection="0"/>
    <xf numFmtId="4" fontId="10" fillId="23" borderId="16" applyFont="0" applyFill="0" applyBorder="0" applyAlignment="0" applyProtection="0"/>
    <xf numFmtId="0" fontId="10" fillId="23" borderId="16" applyFont="0" applyFill="0" applyBorder="0" applyAlignment="0" applyProtection="0"/>
    <xf numFmtId="0" fontId="10" fillId="23" borderId="17" applyFont="0" applyFill="0" applyBorder="0" applyAlignment="0" applyProtection="0"/>
    <xf numFmtId="10" fontId="10" fillId="23" borderId="16" applyFont="0" applyFill="0" applyBorder="0" applyAlignment="0" applyProtection="0"/>
    <xf numFmtId="9" fontId="10" fillId="23" borderId="16" applyFont="0" applyFill="0" applyBorder="0" applyAlignment="0" applyProtection="0"/>
    <xf numFmtId="2" fontId="10" fillId="23" borderId="16" applyFont="0" applyFill="0" applyBorder="0" applyAlignment="0" applyProtection="0"/>
    <xf numFmtId="0" fontId="10" fillId="0" borderId="0" applyFont="0" applyFill="0" applyBorder="0" applyAlignment="0" applyProtection="0"/>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60" fillId="0" borderId="0" applyNumberFormat="0" applyFill="0" applyBorder="0" applyAlignment="0" applyProtection="0"/>
    <xf numFmtId="0" fontId="36" fillId="0" borderId="0" applyBorder="0"/>
    <xf numFmtId="0" fontId="61" fillId="0" borderId="18" applyNumberFormat="0" applyFill="0" applyAlignment="0" applyProtection="0"/>
    <xf numFmtId="0" fontId="35" fillId="0" borderId="19" applyNumberFormat="0" applyFill="0" applyProtection="0"/>
    <xf numFmtId="0" fontId="28" fillId="0" borderId="0" applyNumberFormat="0" applyFill="0" applyBorder="0" applyAlignment="0" applyProtection="0"/>
    <xf numFmtId="0" fontId="5" fillId="0" borderId="0"/>
    <xf numFmtId="0" fontId="6" fillId="3" borderId="0" applyNumberFormat="0" applyBorder="0" applyAlignment="0" applyProtection="0"/>
    <xf numFmtId="0" fontId="62" fillId="5" borderId="0" applyNumberFormat="0" applyBorder="0" applyAlignment="0" applyProtection="0"/>
    <xf numFmtId="0" fontId="7" fillId="4" borderId="0" applyNumberFormat="0" applyBorder="0" applyAlignment="0" applyProtection="0"/>
    <xf numFmtId="0" fontId="8" fillId="6" borderId="1" applyNumberFormat="0" applyAlignment="0" applyProtection="0"/>
    <xf numFmtId="175" fontId="10" fillId="0" borderId="0" applyFont="0" applyFill="0" applyBorder="0" applyAlignment="0" applyProtection="0"/>
    <xf numFmtId="175" fontId="10"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27"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5" fontId="10" fillId="0" borderId="0" applyFont="0" applyFill="0" applyBorder="0" applyAlignment="0" applyProtection="0"/>
    <xf numFmtId="175" fontId="45"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46"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5" fontId="46"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46"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5" fontId="46"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2" fontId="27"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82" fontId="45"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2" fontId="46"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3" fontId="10" fillId="0" borderId="0" applyFont="0" applyFill="0" applyBorder="0" applyAlignment="0" applyProtection="0"/>
    <xf numFmtId="182" fontId="46" fillId="0" borderId="0" applyFont="0" applyFill="0" applyBorder="0" applyAlignment="0" applyProtection="0"/>
    <xf numFmtId="183" fontId="10" fillId="0" borderId="0" applyFont="0" applyFill="0" applyBorder="0" applyAlignment="0" applyProtection="0"/>
    <xf numFmtId="182" fontId="46"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177" fontId="27" fillId="0" borderId="0" applyFont="0" applyFill="0" applyBorder="0" applyAlignment="0" applyProtection="0"/>
    <xf numFmtId="39"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177" fontId="10" fillId="0" borderId="0" applyFont="0" applyFill="0" applyBorder="0" applyAlignment="0" applyProtection="0"/>
    <xf numFmtId="177" fontId="45"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177" fontId="46" fillId="0" borderId="0" applyFont="0" applyFill="0" applyBorder="0" applyAlignment="0" applyProtection="0"/>
    <xf numFmtId="39"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39" fontId="10" fillId="0" borderId="0" applyFont="0" applyFill="0" applyBorder="0" applyAlignment="0" applyProtection="0"/>
    <xf numFmtId="177" fontId="46" fillId="0" borderId="0" applyFont="0" applyFill="0" applyBorder="0" applyAlignment="0" applyProtection="0"/>
    <xf numFmtId="39" fontId="10" fillId="0" borderId="0" applyFont="0" applyFill="0" applyBorder="0" applyAlignment="0" applyProtection="0"/>
    <xf numFmtId="177" fontId="46" fillId="0" borderId="0" applyFont="0" applyFill="0" applyBorder="0" applyAlignment="0" applyProtection="0"/>
    <xf numFmtId="39"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83"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74" fontId="27" fillId="0" borderId="0" applyFont="0" applyFill="0" applyBorder="0" applyAlignment="0" applyProtection="0"/>
    <xf numFmtId="184" fontId="10" fillId="0" borderId="0" applyFont="0" applyFill="0" applyBorder="0" applyAlignment="0" applyProtection="0"/>
    <xf numFmtId="174" fontId="10" fillId="0" borderId="0" applyFont="0" applyFill="0" applyBorder="0" applyAlignment="0" applyProtection="0"/>
    <xf numFmtId="184" fontId="10" fillId="0" borderId="0" applyFont="0" applyFill="0" applyBorder="0" applyAlignment="0" applyProtection="0"/>
    <xf numFmtId="17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74" fontId="10" fillId="0" borderId="0" applyFont="0" applyFill="0" applyBorder="0" applyAlignment="0" applyProtection="0"/>
    <xf numFmtId="174" fontId="45"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74" fontId="46" fillId="0" borderId="0" applyFont="0" applyFill="0" applyBorder="0" applyAlignment="0" applyProtection="0"/>
    <xf numFmtId="18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84" fontId="10" fillId="0" borderId="0" applyFont="0" applyFill="0" applyBorder="0" applyAlignment="0" applyProtection="0"/>
    <xf numFmtId="174" fontId="46" fillId="0" borderId="0" applyFont="0" applyFill="0" applyBorder="0" applyAlignment="0" applyProtection="0"/>
    <xf numFmtId="184" fontId="10" fillId="0" borderId="0" applyFont="0" applyFill="0" applyBorder="0" applyAlignment="0" applyProtection="0"/>
    <xf numFmtId="174" fontId="46" fillId="0" borderId="0" applyFont="0" applyFill="0" applyBorder="0" applyAlignment="0" applyProtection="0"/>
    <xf numFmtId="18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81" fontId="10" fillId="0" borderId="0" applyFont="0" applyFill="0" applyBorder="0" applyProtection="0">
      <alignment horizontal="right"/>
    </xf>
    <xf numFmtId="181" fontId="10" fillId="0" borderId="0" applyFont="0" applyFill="0" applyBorder="0" applyProtection="0">
      <alignment horizontal="right"/>
    </xf>
    <xf numFmtId="185" fontId="10" fillId="0" borderId="0" applyFont="0" applyFill="0" applyBorder="0" applyAlignment="0" applyProtection="0"/>
    <xf numFmtId="185" fontId="10" fillId="0" borderId="0" applyFont="0" applyFill="0" applyBorder="0" applyAlignment="0" applyProtection="0"/>
    <xf numFmtId="181" fontId="27" fillId="0" borderId="0" applyFont="0" applyFill="0" applyBorder="0" applyProtection="0">
      <alignment horizontal="right"/>
    </xf>
    <xf numFmtId="185" fontId="10" fillId="0" borderId="0" applyFont="0" applyFill="0" applyBorder="0" applyAlignment="0" applyProtection="0"/>
    <xf numFmtId="181" fontId="10" fillId="0" borderId="0" applyFont="0" applyFill="0" applyBorder="0" applyProtection="0">
      <alignment horizontal="right"/>
    </xf>
    <xf numFmtId="185" fontId="10" fillId="0" borderId="0" applyFont="0" applyFill="0" applyBorder="0" applyAlignment="0" applyProtection="0"/>
    <xf numFmtId="181" fontId="10" fillId="0" borderId="0" applyFont="0" applyFill="0" applyBorder="0" applyProtection="0">
      <alignment horizontal="right"/>
    </xf>
    <xf numFmtId="185" fontId="10" fillId="0" borderId="0" applyFont="0" applyFill="0" applyBorder="0" applyAlignment="0" applyProtection="0"/>
    <xf numFmtId="185" fontId="10" fillId="0" borderId="0" applyFont="0" applyFill="0" applyBorder="0" applyAlignment="0" applyProtection="0"/>
    <xf numFmtId="181" fontId="10" fillId="0" borderId="0" applyFont="0" applyFill="0" applyBorder="0" applyProtection="0">
      <alignment horizontal="right"/>
    </xf>
    <xf numFmtId="181" fontId="45" fillId="0" borderId="0" applyFont="0" applyFill="0" applyBorder="0" applyProtection="0">
      <alignment horizontal="right"/>
    </xf>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1" fontId="46" fillId="0" borderId="0" applyFont="0" applyFill="0" applyBorder="0" applyProtection="0">
      <alignment horizontal="right"/>
    </xf>
    <xf numFmtId="185" fontId="10" fillId="0" borderId="0" applyFont="0" applyFill="0" applyBorder="0" applyAlignment="0" applyProtection="0"/>
    <xf numFmtId="181" fontId="10" fillId="0" borderId="0" applyFont="0" applyFill="0" applyBorder="0" applyProtection="0">
      <alignment horizontal="right"/>
    </xf>
    <xf numFmtId="181" fontId="10"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185" fontId="10" fillId="0" borderId="0" applyFont="0" applyFill="0" applyBorder="0" applyAlignment="0" applyProtection="0"/>
    <xf numFmtId="181" fontId="46" fillId="0" borderId="0" applyFont="0" applyFill="0" applyBorder="0" applyProtection="0">
      <alignment horizontal="right"/>
    </xf>
    <xf numFmtId="185" fontId="10" fillId="0" borderId="0" applyFont="0" applyFill="0" applyBorder="0" applyAlignment="0" applyProtection="0"/>
    <xf numFmtId="181" fontId="46" fillId="0" borderId="0" applyFont="0" applyFill="0" applyBorder="0" applyProtection="0">
      <alignment horizontal="right"/>
    </xf>
    <xf numFmtId="185" fontId="10" fillId="0" borderId="0" applyFont="0" applyFill="0" applyBorder="0" applyAlignment="0" applyProtection="0"/>
    <xf numFmtId="181"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79" fontId="10" fillId="0" borderId="0" applyFont="0" applyFill="0" applyBorder="0" applyProtection="0">
      <alignment horizontal="right"/>
    </xf>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Protection="0">
      <alignment horizontal="right"/>
    </xf>
    <xf numFmtId="180" fontId="10" fillId="0" borderId="0" applyFont="0" applyFill="0" applyBorder="0" applyProtection="0">
      <alignment horizontal="right"/>
    </xf>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42" fillId="0" borderId="0" applyNumberFormat="0" applyFill="0" applyBorder="0" applyProtection="0">
      <alignment vertical="top"/>
    </xf>
    <xf numFmtId="0" fontId="42" fillId="0" borderId="0" applyNumberFormat="0" applyFill="0" applyBorder="0" applyAlignment="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26" fillId="0" borderId="2" applyNumberFormat="0" applyFill="0" applyAlignment="0" applyProtection="0"/>
    <xf numFmtId="0" fontId="26" fillId="0" borderId="28" applyNumberFormat="0" applyFill="0" applyAlignment="0" applyProtection="0"/>
    <xf numFmtId="0" fontId="26" fillId="0" borderId="2" applyNumberFormat="0" applyFill="0" applyAlignment="0" applyProtection="0"/>
    <xf numFmtId="0" fontId="26" fillId="0" borderId="2" applyNumberFormat="0" applyFill="0" applyAlignment="0" applyProtection="0"/>
    <xf numFmtId="0" fontId="44" fillId="0" borderId="0" applyNumberFormat="0" applyFill="0" applyBorder="0" applyProtection="0">
      <alignment horizontal="centerContinuous"/>
    </xf>
    <xf numFmtId="0" fontId="44" fillId="0" borderId="0" applyNumberFormat="0" applyFill="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191" fontId="63" fillId="34" borderId="0" applyNumberFormat="0" applyFont="0" applyBorder="0" applyAlignment="0">
      <alignment horizontal="right"/>
    </xf>
    <xf numFmtId="192" fontId="64" fillId="34" borderId="24" applyFont="0">
      <alignment horizontal="right"/>
    </xf>
    <xf numFmtId="0" fontId="16" fillId="0" borderId="0" applyNumberFormat="0" applyFill="0" applyBorder="0" applyAlignment="0" applyProtection="0"/>
    <xf numFmtId="0" fontId="65" fillId="0" borderId="0"/>
    <xf numFmtId="2" fontId="66" fillId="0" borderId="0" applyNumberFormat="0" applyBorder="0" applyAlignment="0"/>
    <xf numFmtId="169" fontId="67" fillId="0" borderId="0"/>
    <xf numFmtId="0" fontId="68" fillId="0" borderId="0" applyNumberFormat="0" applyFill="0" applyBorder="0" applyAlignment="0"/>
    <xf numFmtId="0" fontId="69" fillId="0" borderId="0" applyNumberFormat="0" applyFill="0" applyBorder="0" applyAlignment="0" applyProtection="0"/>
    <xf numFmtId="0" fontId="51" fillId="32" borderId="29">
      <alignment horizontal="center"/>
    </xf>
    <xf numFmtId="2" fontId="16" fillId="35" borderId="0" applyNumberFormat="0" applyFont="0" applyBorder="0" applyAlignment="0" applyProtection="0"/>
    <xf numFmtId="193" fontId="16" fillId="36" borderId="0" applyNumberFormat="0" applyFont="0" applyBorder="0" applyAlignment="0">
      <protection locked="0"/>
    </xf>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193" fontId="70" fillId="0" borderId="0" applyNumberFormat="0" applyFill="0" applyBorder="0" applyProtection="0">
      <alignment horizontal="right"/>
    </xf>
    <xf numFmtId="194" fontId="10" fillId="0" borderId="0">
      <protection locked="0"/>
    </xf>
    <xf numFmtId="0" fontId="71" fillId="0" borderId="0" applyNumberFormat="0" applyFill="0" applyBorder="0">
      <alignment horizontal="right"/>
    </xf>
    <xf numFmtId="38" fontId="72" fillId="0" borderId="0" applyNumberFormat="0" applyFill="0" applyBorder="0">
      <alignment vertical="center"/>
    </xf>
    <xf numFmtId="8" fontId="73" fillId="0" borderId="30">
      <protection locked="0"/>
    </xf>
    <xf numFmtId="194" fontId="10" fillId="0" borderId="0">
      <protection locked="0"/>
    </xf>
    <xf numFmtId="14" fontId="74" fillId="0" borderId="0">
      <alignment horizontal="right"/>
    </xf>
    <xf numFmtId="0" fontId="23" fillId="0" borderId="0"/>
    <xf numFmtId="195" fontId="75" fillId="0" borderId="0" applyFont="0" applyFill="0" applyBorder="0" applyAlignment="0" applyProtection="0">
      <alignment horizontal="right"/>
    </xf>
    <xf numFmtId="0" fontId="66" fillId="0" borderId="0" applyNumberFormat="0" applyAlignment="0"/>
    <xf numFmtId="196" fontId="16" fillId="37" borderId="22" applyNumberFormat="0" applyFont="0" applyBorder="0" applyAlignment="0" applyProtection="0">
      <alignment horizontal="right"/>
    </xf>
    <xf numFmtId="170" fontId="76" fillId="0" borderId="0" applyNumberFormat="0" applyFont="0" applyAlignment="0">
      <alignment vertical="center"/>
    </xf>
    <xf numFmtId="194" fontId="10" fillId="0" borderId="0">
      <protection locked="0"/>
    </xf>
    <xf numFmtId="0" fontId="77" fillId="0" borderId="0" applyNumberFormat="0" applyFill="0" applyBorder="0" applyAlignment="0" applyProtection="0"/>
    <xf numFmtId="1" fontId="16" fillId="0" borderId="0" applyNumberFormat="0" applyBorder="0" applyAlignment="0" applyProtection="0"/>
    <xf numFmtId="197" fontId="78" fillId="0" borderId="0">
      <alignment vertical="center"/>
    </xf>
    <xf numFmtId="49" fontId="77" fillId="0" borderId="0">
      <alignment horizontal="right"/>
    </xf>
    <xf numFmtId="49" fontId="79" fillId="0" borderId="0">
      <alignment horizontal="right"/>
    </xf>
    <xf numFmtId="197" fontId="80" fillId="0" borderId="0">
      <alignment vertical="center"/>
    </xf>
    <xf numFmtId="170" fontId="81" fillId="0" borderId="0" applyNumberFormat="0" applyFill="0" applyBorder="0">
      <alignment horizontal="left" vertical="center"/>
    </xf>
    <xf numFmtId="0" fontId="22" fillId="0" borderId="0"/>
    <xf numFmtId="0" fontId="36" fillId="38" borderId="0" applyNumberFormat="0" applyFont="0" applyBorder="0" applyAlignment="0" applyProtection="0"/>
    <xf numFmtId="198" fontId="10" fillId="0" borderId="0" applyNumberFormat="0" applyFill="0" applyBorder="0" applyAlignment="0" applyProtection="0"/>
    <xf numFmtId="0" fontId="82" fillId="0" borderId="0"/>
    <xf numFmtId="0" fontId="83" fillId="0" borderId="0"/>
    <xf numFmtId="38" fontId="84" fillId="0" borderId="0" applyNumberFormat="0" applyFill="0" applyBorder="0">
      <alignment horizontal="left" vertical="center"/>
    </xf>
    <xf numFmtId="170" fontId="85" fillId="0" borderId="0" applyFill="0" applyBorder="0">
      <alignment vertical="center"/>
    </xf>
    <xf numFmtId="0" fontId="86" fillId="28" borderId="0"/>
    <xf numFmtId="199" fontId="10" fillId="0" borderId="0" applyFont="0" applyFill="0" applyBorder="0" applyAlignment="0" applyProtection="0"/>
    <xf numFmtId="193" fontId="87" fillId="0" borderId="0"/>
    <xf numFmtId="0" fontId="5" fillId="0" borderId="0"/>
    <xf numFmtId="2" fontId="36" fillId="0" borderId="0" applyBorder="0" applyProtection="0"/>
    <xf numFmtId="0" fontId="10" fillId="0" borderId="0"/>
    <xf numFmtId="0" fontId="16" fillId="0" borderId="0" applyNumberFormat="0" applyFill="0" applyBorder="0" applyAlignment="0" applyProtection="0"/>
    <xf numFmtId="0" fontId="19" fillId="0" borderId="0" applyNumberFormat="0" applyFill="0" applyBorder="0" applyAlignment="0" applyProtection="0"/>
    <xf numFmtId="198" fontId="10" fillId="0" borderId="0" applyNumberFormat="0" applyFill="0" applyBorder="0" applyAlignment="0" applyProtection="0"/>
    <xf numFmtId="0" fontId="19" fillId="0" borderId="0" applyNumberFormat="0" applyFill="0" applyBorder="0" applyAlignment="0" applyProtection="0"/>
    <xf numFmtId="0" fontId="84" fillId="0" borderId="0" applyNumberFormat="0" applyFill="0" applyBorder="0" applyAlignment="0" applyProtection="0"/>
    <xf numFmtId="0" fontId="16" fillId="0" borderId="0" applyNumberFormat="0" applyFill="0" applyBorder="0" applyAlignment="0" applyProtection="0"/>
    <xf numFmtId="0" fontId="88" fillId="0" borderId="0">
      <alignment horizontal="left" vertical="top"/>
      <protection locked="0"/>
    </xf>
    <xf numFmtId="200" fontId="10" fillId="0" borderId="0" applyFill="0">
      <alignment horizontal="center" vertical="center"/>
    </xf>
    <xf numFmtId="0" fontId="30" fillId="0" borderId="0" applyNumberFormat="0" applyFill="0" applyBorder="0">
      <alignment horizontal="left"/>
    </xf>
    <xf numFmtId="190" fontId="10" fillId="0" borderId="0"/>
    <xf numFmtId="7" fontId="89" fillId="0" borderId="0" applyFont="0" applyFill="0" applyBorder="0" applyAlignment="0" applyProtection="0"/>
    <xf numFmtId="0" fontId="90" fillId="0" borderId="0" applyNumberFormat="0" applyAlignment="0"/>
    <xf numFmtId="169" fontId="10" fillId="0" borderId="0" applyFill="0" applyBorder="0" applyAlignment="0" applyProtection="0"/>
    <xf numFmtId="173" fontId="91" fillId="0" borderId="0">
      <alignment vertical="top"/>
    </xf>
    <xf numFmtId="168" fontId="36" fillId="15" borderId="27" applyNumberFormat="0" applyFont="0" applyBorder="0" applyAlignment="0" applyProtection="0">
      <alignment horizontal="center"/>
    </xf>
    <xf numFmtId="37" fontId="92" fillId="1" borderId="0">
      <alignment horizontal="right"/>
    </xf>
    <xf numFmtId="1" fontId="29" fillId="39" borderId="0" applyNumberFormat="0" applyFont="0" applyBorder="0" applyAlignment="0">
      <alignment horizontal="left"/>
    </xf>
    <xf numFmtId="2" fontId="93" fillId="0" borderId="0"/>
    <xf numFmtId="1" fontId="10" fillId="0" borderId="0"/>
    <xf numFmtId="201" fontId="94" fillId="0" borderId="0" applyNumberFormat="0" applyFill="0" applyBorder="0" applyAlignment="0" applyProtection="0">
      <alignment horizontal="right" vertical="center" wrapText="1"/>
    </xf>
    <xf numFmtId="0" fontId="95" fillId="0" borderId="0" applyNumberFormat="0" applyFill="0" applyBorder="0" applyAlignment="0" applyProtection="0"/>
    <xf numFmtId="0" fontId="96" fillId="0" borderId="0" applyNumberFormat="0" applyFill="0" applyBorder="0" applyAlignment="0" applyProtection="0">
      <protection locked="0"/>
    </xf>
    <xf numFmtId="0" fontId="97" fillId="0" borderId="22" applyNumberFormat="0" applyFill="0" applyProtection="0">
      <alignment horizontal="right"/>
    </xf>
    <xf numFmtId="6" fontId="84" fillId="0" borderId="31" applyFill="0">
      <alignment vertical="center"/>
    </xf>
    <xf numFmtId="202" fontId="16" fillId="0" borderId="0"/>
    <xf numFmtId="39" fontId="12" fillId="0" borderId="24" applyNumberFormat="0" applyBorder="0">
      <alignment horizontal="right"/>
    </xf>
    <xf numFmtId="0" fontId="97" fillId="0" borderId="32" applyNumberFormat="0" applyProtection="0">
      <alignment horizontal="right"/>
    </xf>
    <xf numFmtId="0" fontId="98" fillId="0" borderId="19" applyNumberFormat="0" applyFill="0" applyProtection="0"/>
    <xf numFmtId="0" fontId="99" fillId="0" borderId="0">
      <alignment vertical="center"/>
    </xf>
    <xf numFmtId="0" fontId="78" fillId="0" borderId="0">
      <alignment vertical="center"/>
    </xf>
    <xf numFmtId="0" fontId="80" fillId="0" borderId="0">
      <alignment vertical="center"/>
    </xf>
    <xf numFmtId="0" fontId="100" fillId="0" borderId="0" applyNumberFormat="0">
      <alignment horizontal="left"/>
    </xf>
    <xf numFmtId="0" fontId="101" fillId="0" borderId="0" applyFill="0" applyBorder="0" applyProtection="0">
      <alignment horizontal="left" vertical="top"/>
    </xf>
    <xf numFmtId="14" fontId="10" fillId="0" borderId="0" applyFill="0" applyBorder="0">
      <alignment vertical="center"/>
    </xf>
    <xf numFmtId="0" fontId="22" fillId="0" borderId="0" applyNumberFormat="0" applyFill="0" applyBorder="0" applyAlignment="0" applyProtection="0"/>
    <xf numFmtId="0" fontId="32" fillId="0" borderId="0" applyNumberFormat="0" applyFill="0" applyBorder="0" applyAlignment="0" applyProtection="0"/>
    <xf numFmtId="38" fontId="102" fillId="0" borderId="0" applyNumberFormat="0" applyFill="0" applyBorder="0">
      <alignment horizontal="left" vertical="center"/>
    </xf>
    <xf numFmtId="38" fontId="103" fillId="0" borderId="0" applyNumberFormat="0" applyFill="0" applyBorder="0">
      <alignment horizontal="centerContinuous" vertical="center"/>
    </xf>
    <xf numFmtId="0" fontId="104" fillId="0" borderId="0" applyNumberFormat="0" applyFill="0" applyBorder="0" applyAlignment="0" applyProtection="0"/>
    <xf numFmtId="0" fontId="18" fillId="0" borderId="0" applyNumberFormat="0" applyFill="0" applyBorder="0" applyAlignment="0" applyProtection="0"/>
    <xf numFmtId="168" fontId="66" fillId="0" borderId="0" applyNumberFormat="0" applyBorder="0" applyAlignment="0"/>
    <xf numFmtId="1" fontId="105" fillId="0" borderId="24" applyFill="0" applyProtection="0">
      <alignment horizontal="right"/>
    </xf>
    <xf numFmtId="172" fontId="10" fillId="0" borderId="0" applyFill="0" applyBorder="0">
      <alignment vertical="center"/>
    </xf>
    <xf numFmtId="0" fontId="5" fillId="0" borderId="0"/>
    <xf numFmtId="9"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0" fontId="36" fillId="0" borderId="0"/>
    <xf numFmtId="9" fontId="36" fillId="0" borderId="0" applyFont="0" applyFill="0" applyBorder="0" applyAlignment="0" applyProtection="0"/>
    <xf numFmtId="0" fontId="15" fillId="0" borderId="0"/>
    <xf numFmtId="0" fontId="23" fillId="0" borderId="0"/>
    <xf numFmtId="203" fontId="23" fillId="0" borderId="0"/>
    <xf numFmtId="203" fontId="23" fillId="0" borderId="0"/>
    <xf numFmtId="0" fontId="92" fillId="0" borderId="0"/>
    <xf numFmtId="0" fontId="23" fillId="0" borderId="0" applyFont="0" applyFill="0" applyBorder="0" applyAlignment="0" applyProtection="0">
      <alignment horizontal="centerContinuous"/>
    </xf>
    <xf numFmtId="9" fontId="23" fillId="0" borderId="0"/>
    <xf numFmtId="0" fontId="23" fillId="0" borderId="0"/>
    <xf numFmtId="10" fontId="23" fillId="0" borderId="0"/>
    <xf numFmtId="9" fontId="10" fillId="0" borderId="0"/>
    <xf numFmtId="9" fontId="10" fillId="0" borderId="0"/>
    <xf numFmtId="9" fontId="10" fillId="0" borderId="0"/>
    <xf numFmtId="0" fontId="10" fillId="0" borderId="0"/>
    <xf numFmtId="0" fontId="10" fillId="0" borderId="0"/>
    <xf numFmtId="0" fontId="10" fillId="0" borderId="0"/>
    <xf numFmtId="10" fontId="10" fillId="0" borderId="0"/>
    <xf numFmtId="10" fontId="10" fillId="0" borderId="0"/>
    <xf numFmtId="10" fontId="10" fillId="0" borderId="0"/>
    <xf numFmtId="204" fontId="23" fillId="0" borderId="0" applyFont="0" applyFill="0" applyBorder="0" applyAlignment="0" applyProtection="0">
      <alignment horizontal="centerContinuous"/>
    </xf>
    <xf numFmtId="0" fontId="106" fillId="0" borderId="0" applyFont="0" applyFill="0" applyBorder="0" applyAlignment="0" applyProtection="0"/>
    <xf numFmtId="205" fontId="106" fillId="0" borderId="0" applyFont="0" applyFill="0" applyBorder="0" applyAlignment="0" applyProtection="0"/>
    <xf numFmtId="205" fontId="106" fillId="0" borderId="0" applyFont="0" applyFill="0" applyBorder="0" applyAlignment="0" applyProtection="0"/>
    <xf numFmtId="0" fontId="106" fillId="0" borderId="0" applyFont="0" applyFill="0" applyBorder="0" applyAlignment="0" applyProtection="0"/>
    <xf numFmtId="205" fontId="106" fillId="0" borderId="0" applyFont="0" applyFill="0" applyBorder="0" applyAlignment="0" applyProtection="0"/>
    <xf numFmtId="205" fontId="106" fillId="0" borderId="0" applyFont="0" applyFill="0" applyBorder="0" applyAlignment="0" applyProtection="0"/>
    <xf numFmtId="204" fontId="23" fillId="0" borderId="0" applyFont="0" applyFill="0" applyBorder="0" applyAlignment="0" applyProtection="0">
      <alignment horizontal="centerContinuous"/>
    </xf>
    <xf numFmtId="37" fontId="15" fillId="0" borderId="0"/>
    <xf numFmtId="0" fontId="15" fillId="0" borderId="0"/>
    <xf numFmtId="0" fontId="107" fillId="0" borderId="0" applyNumberFormat="0" applyFont="0" applyFill="0" applyBorder="0" applyAlignment="0" applyProtection="0"/>
    <xf numFmtId="0" fontId="10" fillId="0" borderId="0" applyNumberFormat="0" applyFont="0" applyFill="0" applyBorder="0" applyAlignment="0" applyProtection="0"/>
    <xf numFmtId="17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0"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183"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3" fontId="23" fillId="0" borderId="0"/>
    <xf numFmtId="0" fontId="23" fillId="0" borderId="0"/>
    <xf numFmtId="0" fontId="23" fillId="0" borderId="0"/>
    <xf numFmtId="0" fontId="23" fillId="0" borderId="0"/>
    <xf numFmtId="0" fontId="23" fillId="0" borderId="0"/>
    <xf numFmtId="0" fontId="23" fillId="0" borderId="0"/>
    <xf numFmtId="0" fontId="23" fillId="0" borderId="0"/>
    <xf numFmtId="207"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207" fontId="23" fillId="0" borderId="0"/>
    <xf numFmtId="0"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8"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8"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8" fontId="10" fillId="0" borderId="0" applyFont="0" applyFill="0" applyBorder="0" applyAlignment="0" applyProtection="0"/>
    <xf numFmtId="0" fontId="10" fillId="0" borderId="0"/>
    <xf numFmtId="0" fontId="1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1"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1"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1" fillId="0" borderId="0" applyNumberFormat="0" applyFill="0" applyBorder="0" applyAlignment="0" applyProtection="0"/>
    <xf numFmtId="0" fontId="10"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0" fillId="0" borderId="0" applyNumberForma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applyFont="0" applyFill="0" applyBorder="0" applyAlignment="0" applyProtection="0"/>
    <xf numFmtId="3" fontId="23" fillId="0" borderId="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8" fontId="10" fillId="0" borderId="0" applyFont="0" applyFill="0" applyBorder="0" applyAlignment="0" applyProtection="0"/>
    <xf numFmtId="208" fontId="10" fillId="0" borderId="0" applyFont="0" applyFill="0" applyBorder="0" applyAlignment="0" applyProtection="0"/>
    <xf numFmtId="0" fontId="10" fillId="0" borderId="0" applyFont="0" applyFill="0" applyBorder="0" applyAlignment="0" applyProtection="0"/>
    <xf numFmtId="208" fontId="10" fillId="0" borderId="0" applyFont="0" applyFill="0" applyBorder="0" applyAlignment="0" applyProtection="0"/>
    <xf numFmtId="208" fontId="10" fillId="0" borderId="0" applyFont="0" applyFill="0" applyBorder="0" applyAlignment="0" applyProtection="0"/>
    <xf numFmtId="0"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85" fontId="10" fillId="0" borderId="0" applyFont="0" applyFill="0" applyBorder="0" applyAlignment="0" applyProtection="0"/>
    <xf numFmtId="0"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Alignment="0" applyProtection="0"/>
    <xf numFmtId="0" fontId="10" fillId="0" borderId="0" applyFont="0" applyFill="0" applyBorder="0" applyAlignment="0" applyProtection="0"/>
    <xf numFmtId="208" fontId="10" fillId="0" borderId="0" applyFont="0" applyFill="0" applyBorder="0" applyAlignment="0" applyProtection="0"/>
    <xf numFmtId="208"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8" fontId="10" fillId="0" borderId="0" applyFont="0" applyFill="0" applyBorder="0" applyAlignment="0" applyProtection="0"/>
    <xf numFmtId="208"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Alignment="0" applyProtection="0"/>
    <xf numFmtId="0"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Alignment="0" applyProtection="0"/>
    <xf numFmtId="208" fontId="10" fillId="0" borderId="0" applyFont="0" applyFill="0" applyBorder="0" applyAlignment="0" applyProtection="0"/>
    <xf numFmtId="208" fontId="10" fillId="0" borderId="0" applyFont="0" applyFill="0" applyBorder="0" applyAlignment="0" applyProtection="0"/>
    <xf numFmtId="0"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Alignment="0" applyProtection="0"/>
    <xf numFmtId="209" fontId="10" fillId="0" borderId="0" applyFont="0" applyFill="0" applyBorder="0" applyAlignment="0" applyProtection="0"/>
    <xf numFmtId="20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9" fontId="10" fillId="0" borderId="0" applyFont="0" applyFill="0" applyBorder="0" applyAlignment="0" applyProtection="0"/>
    <xf numFmtId="209" fontId="10" fillId="0" borderId="0" applyFont="0" applyFill="0" applyBorder="0" applyAlignment="0" applyProtection="0"/>
    <xf numFmtId="186" fontId="10" fillId="0" borderId="0" applyFont="0" applyFill="0" applyBorder="0" applyAlignment="0" applyProtection="0"/>
    <xf numFmtId="0" fontId="10" fillId="0" borderId="0" applyFont="0" applyFill="0" applyBorder="0" applyAlignment="0" applyProtection="0"/>
    <xf numFmtId="210" fontId="10" fillId="0" borderId="0" applyFont="0" applyFill="0" applyBorder="0" applyAlignment="0" applyProtection="0"/>
    <xf numFmtId="210" fontId="10" fillId="0" borderId="0" applyFont="0" applyFill="0" applyBorder="0" applyAlignment="0" applyProtection="0"/>
    <xf numFmtId="18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10" fontId="10" fillId="0" borderId="0" applyFont="0" applyFill="0" applyBorder="0" applyAlignment="0" applyProtection="0"/>
    <xf numFmtId="210" fontId="10" fillId="0" borderId="0" applyFont="0" applyFill="0" applyBorder="0" applyAlignment="0" applyProtection="0"/>
    <xf numFmtId="187" fontId="10" fillId="0" borderId="0" applyFont="0" applyFill="0" applyBorder="0" applyAlignment="0" applyProtection="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Protection="0">
      <alignment vertical="top"/>
    </xf>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Protection="0">
      <alignment vertical="top"/>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Protection="0">
      <alignment vertical="top"/>
    </xf>
    <xf numFmtId="0" fontId="10" fillId="0" borderId="0" applyNumberFormat="0" applyFill="0" applyBorder="0" applyAlignment="0" applyProtection="0"/>
    <xf numFmtId="0" fontId="42" fillId="0" borderId="0" applyNumberFormat="0" applyFill="0" applyBorder="0" applyProtection="0">
      <alignment vertical="top"/>
    </xf>
    <xf numFmtId="0" fontId="42" fillId="0" borderId="0" applyNumberFormat="0" applyFill="0" applyBorder="0" applyProtection="0">
      <alignment vertical="top"/>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6" fillId="0" borderId="2"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6" fillId="0" borderId="2"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6" fillId="0" borderId="2" applyNumberFormat="0" applyFill="0" applyAlignment="0" applyProtection="0"/>
    <xf numFmtId="0" fontId="10" fillId="0" borderId="0" applyNumberFormat="0" applyFill="0" applyBorder="0" applyAlignment="0" applyProtection="0"/>
    <xf numFmtId="0" fontId="26" fillId="0" borderId="2" applyNumberFormat="0" applyFill="0" applyAlignment="0" applyProtection="0"/>
    <xf numFmtId="0" fontId="26" fillId="0" borderId="2" applyNumberFormat="0" applyFill="0" applyAlignment="0" applyProtection="0"/>
    <xf numFmtId="0" fontId="10" fillId="0" borderId="0" applyNumberFormat="0" applyFill="0" applyBorder="0" applyAlignment="0" applyProtection="0"/>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43"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43"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43" fillId="0" borderId="3" applyNumberFormat="0" applyFill="0" applyProtection="0">
      <alignment horizontal="center"/>
    </xf>
    <xf numFmtId="0" fontId="10"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10" fillId="0" borderId="3" applyNumberFormat="0" applyFill="0" applyProtection="0">
      <alignment horizontal="center"/>
    </xf>
    <xf numFmtId="0" fontId="10" fillId="0" borderId="33" applyNumberFormat="0" applyFont="0" applyFill="0" applyAlignment="0" applyProtection="0"/>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43"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43"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43" fillId="0" borderId="0" applyNumberFormat="0" applyFill="0" applyBorder="0" applyProtection="0">
      <alignment horizontal="left"/>
    </xf>
    <xf numFmtId="0" fontId="10"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44"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44"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44" fillId="0" borderId="0" applyNumberFormat="0" applyFill="0" applyBorder="0" applyProtection="0">
      <alignment horizontal="centerContinuous"/>
    </xf>
    <xf numFmtId="0" fontId="10"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10" fillId="0" borderId="0" applyNumberFormat="0" applyFill="0" applyBorder="0" applyProtection="0">
      <alignment horizontal="centerContinuous"/>
    </xf>
    <xf numFmtId="0" fontId="92" fillId="0" borderId="0"/>
    <xf numFmtId="0" fontId="10" fillId="0" borderId="0"/>
    <xf numFmtId="0" fontId="10" fillId="0" borderId="0"/>
    <xf numFmtId="9" fontId="92" fillId="0" borderId="0" applyFont="0" applyFill="0" applyBorder="0" applyAlignment="0" applyProtection="0"/>
    <xf numFmtId="0" fontId="38" fillId="0" borderId="0" applyFont="0" applyFill="0" applyBorder="0" applyAlignment="0" applyProtection="0">
      <alignment horizontal="right"/>
    </xf>
    <xf numFmtId="0" fontId="108" fillId="0" borderId="0"/>
    <xf numFmtId="168" fontId="38" fillId="0" borderId="0" applyFont="0" applyFill="0" applyBorder="0" applyAlignment="0" applyProtection="0">
      <alignment horizontal="right"/>
    </xf>
    <xf numFmtId="10" fontId="92" fillId="0" borderId="0" applyFont="0" applyFill="0" applyBorder="0" applyAlignment="0" applyProtection="0"/>
    <xf numFmtId="0" fontId="97" fillId="0" borderId="0" applyFont="0" applyBorder="0" applyAlignment="0">
      <alignment horizontal="centerContinuous"/>
    </xf>
    <xf numFmtId="0" fontId="75" fillId="0" borderId="0" applyFont="0" applyFill="0" applyBorder="0" applyAlignment="0" applyProtection="0">
      <alignment horizontal="right"/>
    </xf>
    <xf numFmtId="0" fontId="89" fillId="0" borderId="0" applyNumberFormat="0" applyBorder="0" applyAlignment="0"/>
    <xf numFmtId="0" fontId="92" fillId="0" borderId="0" applyFont="0" applyFill="0" applyBorder="0" applyAlignment="0" applyProtection="0"/>
    <xf numFmtId="3" fontId="15" fillId="0" borderId="0"/>
    <xf numFmtId="0" fontId="10" fillId="0" borderId="0" applyBorder="0"/>
    <xf numFmtId="39" fontId="39" fillId="0" borderId="0" applyFont="0" applyFill="0" applyBorder="0" applyAlignment="0" applyProtection="0"/>
    <xf numFmtId="0" fontId="39" fillId="0" borderId="0" applyFont="0" applyFill="0" applyBorder="0" applyAlignment="0" applyProtection="0"/>
    <xf numFmtId="0" fontId="109" fillId="0" borderId="34">
      <alignment horizontal="right"/>
    </xf>
    <xf numFmtId="0" fontId="110" fillId="0" borderId="0" applyNumberFormat="0" applyFill="0" applyProtection="0"/>
    <xf numFmtId="0" fontId="111" fillId="0" borderId="0"/>
    <xf numFmtId="0" fontId="111" fillId="0" borderId="0"/>
    <xf numFmtId="173" fontId="109" fillId="0" borderId="34">
      <alignment horizontal="right"/>
    </xf>
    <xf numFmtId="173" fontId="109" fillId="0" borderId="34">
      <alignment horizontal="right"/>
    </xf>
    <xf numFmtId="0" fontId="112" fillId="0" borderId="0" applyNumberFormat="0" applyAlignment="0"/>
    <xf numFmtId="0" fontId="113" fillId="0" borderId="0" applyNumberFormat="0" applyAlignment="0"/>
    <xf numFmtId="0" fontId="114" fillId="0" borderId="0" applyNumberFormat="0" applyAlignment="0"/>
    <xf numFmtId="0" fontId="115" fillId="0" borderId="0" applyNumberFormat="0" applyAlignment="0"/>
    <xf numFmtId="0" fontId="47" fillId="0" borderId="0">
      <protection locked="0"/>
    </xf>
    <xf numFmtId="0" fontId="116" fillId="0" borderId="0" applyNumberFormat="0" applyFont="0" applyAlignment="0"/>
    <xf numFmtId="0" fontId="10" fillId="0" borderId="0"/>
    <xf numFmtId="0" fontId="117" fillId="0" borderId="0" applyNumberFormat="0" applyFill="0" applyBorder="0" applyProtection="0"/>
    <xf numFmtId="0" fontId="118" fillId="0" borderId="0" applyFill="0" applyBorder="0" applyAlignment="0" applyProtection="0">
      <protection locked="0"/>
    </xf>
    <xf numFmtId="38" fontId="16" fillId="0" borderId="0"/>
    <xf numFmtId="0" fontId="16" fillId="0" borderId="35" applyNumberFormat="0" applyFont="0" applyFill="0" applyAlignment="0" applyProtection="0"/>
    <xf numFmtId="0" fontId="119" fillId="0" borderId="20" applyNumberFormat="0" applyFill="0" applyAlignment="0" applyProtection="0">
      <alignment horizontal="center"/>
    </xf>
    <xf numFmtId="0" fontId="10" fillId="0" borderId="0" applyFont="0" applyFill="0" applyBorder="0" applyAlignment="0" applyProtection="0"/>
    <xf numFmtId="0" fontId="120" fillId="0" borderId="0"/>
    <xf numFmtId="0" fontId="10" fillId="0" borderId="0" applyFill="0" applyBorder="0" applyAlignment="0"/>
    <xf numFmtId="0" fontId="118" fillId="0" borderId="0" applyFont="0" applyFill="0" applyBorder="0" applyAlignment="0" applyProtection="0">
      <protection locked="0"/>
    </xf>
    <xf numFmtId="0" fontId="19" fillId="40" borderId="36" applyFont="0" applyFill="0" applyBorder="0"/>
    <xf numFmtId="0" fontId="16" fillId="0" borderId="14"/>
    <xf numFmtId="49" fontId="121" fillId="0" borderId="0">
      <alignment horizontal="right" vertical="center"/>
    </xf>
    <xf numFmtId="49" fontId="122" fillId="0" borderId="0">
      <alignment horizontal="right" vertical="center"/>
    </xf>
    <xf numFmtId="0" fontId="10" fillId="0" borderId="0" applyNumberFormat="0" applyFont="0" applyFill="0" applyBorder="0" applyAlignment="0" applyProtection="0"/>
    <xf numFmtId="0" fontId="12" fillId="0" borderId="0" applyNumberFormat="0" applyFont="0" applyFill="0" applyBorder="0" applyAlignment="0" applyProtection="0"/>
    <xf numFmtId="0" fontId="10" fillId="0" borderId="0">
      <alignment horizontal="center" wrapText="1"/>
      <protection hidden="1"/>
    </xf>
    <xf numFmtId="0" fontId="10" fillId="0" borderId="24" applyNumberFormat="0" applyFill="0" applyProtection="0">
      <alignment horizontal="right"/>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18" fillId="0" borderId="0"/>
    <xf numFmtId="38" fontId="124" fillId="0" borderId="0">
      <alignment horizontal="center"/>
      <protection locked="0"/>
    </xf>
    <xf numFmtId="0" fontId="91" fillId="0" borderId="0" applyFont="0" applyFill="0" applyBorder="0" applyAlignment="0" applyProtection="0">
      <alignment horizontal="right"/>
    </xf>
    <xf numFmtId="0" fontId="125" fillId="0" borderId="0" applyFont="0" applyFill="0" applyBorder="0" applyAlignment="0" applyProtection="0"/>
    <xf numFmtId="0" fontId="66" fillId="0" borderId="0" applyFill="0" applyBorder="0" applyProtection="0"/>
    <xf numFmtId="0" fontId="91" fillId="0" borderId="0" applyFont="0" applyFill="0" applyBorder="0" applyAlignment="0" applyProtection="0">
      <alignment horizontal="right"/>
    </xf>
    <xf numFmtId="0" fontId="126" fillId="0" borderId="0" applyFont="0" applyFill="0" applyBorder="0">
      <alignment horizontal="right"/>
    </xf>
    <xf numFmtId="0" fontId="10" fillId="0" borderId="37" applyFill="0" applyBorder="0" applyProtection="0"/>
    <xf numFmtId="0" fontId="126" fillId="0" borderId="0" applyFont="0" applyFill="0" applyBorder="0" applyAlignment="0"/>
    <xf numFmtId="0" fontId="127" fillId="29" borderId="22" applyFont="0" applyFill="0" applyBorder="0" applyAlignment="0"/>
    <xf numFmtId="0" fontId="128" fillId="41" borderId="0">
      <alignment horizontal="center" vertical="center" wrapText="1"/>
    </xf>
    <xf numFmtId="0" fontId="10" fillId="0" borderId="0" applyNumberFormat="0" applyAlignment="0">
      <alignment horizontal="left"/>
    </xf>
    <xf numFmtId="0" fontId="129" fillId="0" borderId="0">
      <alignment horizontal="left"/>
    </xf>
    <xf numFmtId="0" fontId="130" fillId="0" borderId="0"/>
    <xf numFmtId="0" fontId="131" fillId="0" borderId="0">
      <alignment horizontal="left"/>
    </xf>
    <xf numFmtId="0" fontId="10" fillId="0" borderId="0" applyFill="0" applyBorder="0">
      <alignment horizontal="right"/>
      <protection locked="0"/>
    </xf>
    <xf numFmtId="0" fontId="23" fillId="0" borderId="0"/>
    <xf numFmtId="38" fontId="16" fillId="0" borderId="14" applyBorder="0"/>
    <xf numFmtId="6" fontId="23" fillId="0" borderId="0"/>
    <xf numFmtId="0" fontId="10" fillId="0" borderId="0"/>
    <xf numFmtId="0" fontId="132" fillId="0" borderId="0" applyFont="0" applyFill="0" applyBorder="0"/>
    <xf numFmtId="0" fontId="133" fillId="0" borderId="0" applyFont="0" applyFill="0" applyBorder="0" applyAlignment="0"/>
    <xf numFmtId="0" fontId="134" fillId="0" borderId="19" applyFont="0" applyFill="0" applyBorder="0" applyAlignment="0"/>
    <xf numFmtId="0" fontId="125" fillId="0" borderId="0" applyFill="0" applyBorder="0" applyProtection="0">
      <alignment vertical="center"/>
    </xf>
    <xf numFmtId="0" fontId="10" fillId="23" borderId="0" applyFont="0" applyBorder="0"/>
    <xf numFmtId="0" fontId="135" fillId="0" borderId="24" applyNumberFormat="0" applyFill="0" applyBorder="0" applyProtection="0"/>
    <xf numFmtId="3" fontId="10" fillId="0" borderId="0"/>
    <xf numFmtId="0" fontId="10" fillId="0" borderId="0"/>
    <xf numFmtId="4" fontId="10" fillId="0" borderId="0"/>
    <xf numFmtId="3" fontId="10" fillId="0" borderId="0"/>
    <xf numFmtId="0" fontId="10" fillId="0" borderId="0"/>
    <xf numFmtId="4" fontId="10" fillId="0" borderId="0"/>
    <xf numFmtId="38" fontId="20" fillId="26" borderId="34">
      <protection locked="0"/>
    </xf>
    <xf numFmtId="17" fontId="19" fillId="0" borderId="0" applyFill="0" applyBorder="0">
      <alignment horizontal="right"/>
    </xf>
    <xf numFmtId="17" fontId="25" fillId="0" borderId="23">
      <alignment horizontal="right"/>
    </xf>
    <xf numFmtId="0" fontId="91" fillId="0" borderId="0" applyFont="0" applyFill="0" applyBorder="0" applyAlignment="0" applyProtection="0"/>
    <xf numFmtId="14" fontId="23" fillId="0" borderId="0">
      <alignment horizontal="right"/>
    </xf>
    <xf numFmtId="14" fontId="10" fillId="0" borderId="0">
      <alignment horizontal="right"/>
    </xf>
    <xf numFmtId="0" fontId="136" fillId="0" borderId="0"/>
    <xf numFmtId="14" fontId="38" fillId="0" borderId="0"/>
    <xf numFmtId="14" fontId="137" fillId="0" borderId="0" applyFont="0" applyFill="0" applyBorder="0" applyAlignment="0" applyProtection="0">
      <alignment horizontal="center"/>
    </xf>
    <xf numFmtId="0" fontId="137" fillId="0" borderId="0" applyFont="0" applyFill="0" applyBorder="0" applyAlignment="0" applyProtection="0">
      <alignment horizontal="center"/>
    </xf>
    <xf numFmtId="0" fontId="138" fillId="29" borderId="0" applyFont="0" applyFill="0">
      <alignment horizontal="right"/>
    </xf>
    <xf numFmtId="1" fontId="91" fillId="0" borderId="0" applyFont="0" applyFill="0" applyBorder="0" applyAlignment="0" applyProtection="0">
      <alignment horizontal="right"/>
    </xf>
    <xf numFmtId="2" fontId="139" fillId="25" borderId="0">
      <alignment horizontal="left"/>
      <protection hidden="1"/>
    </xf>
    <xf numFmtId="0" fontId="118" fillId="0" borderId="0" applyFont="0" applyFill="0" applyBorder="0" applyAlignment="0" applyProtection="0"/>
    <xf numFmtId="0" fontId="91" fillId="0" borderId="38" applyNumberFormat="0" applyFont="0" applyFill="0" applyAlignment="0" applyProtection="0"/>
    <xf numFmtId="1" fontId="118" fillId="0" borderId="0"/>
    <xf numFmtId="0" fontId="134" fillId="0" borderId="19" applyFont="0" applyFill="0" applyBorder="0">
      <alignment horizontal="center"/>
    </xf>
    <xf numFmtId="0" fontId="134" fillId="0" borderId="19" applyFont="0" applyFill="0" applyBorder="0">
      <alignment horizontal="center"/>
    </xf>
    <xf numFmtId="211" fontId="134" fillId="0" borderId="19" applyFont="0" applyFill="0" applyBorder="0">
      <alignment horizontal="center"/>
    </xf>
    <xf numFmtId="0" fontId="10" fillId="0" borderId="0" applyNumberFormat="0" applyAlignment="0">
      <alignment horizontal="left"/>
    </xf>
    <xf numFmtId="9" fontId="140" fillId="0" borderId="21" applyNumberFormat="0" applyBorder="0" applyAlignment="0">
      <protection locked="0"/>
    </xf>
    <xf numFmtId="0" fontId="118" fillId="42" borderId="34" applyNumberFormat="0" applyFont="0" applyAlignment="0">
      <protection locked="0"/>
    </xf>
    <xf numFmtId="0" fontId="12" fillId="0" borderId="0" applyNumberFormat="0" applyFont="0" applyFill="0" applyBorder="0" applyAlignment="0" applyProtection="0"/>
    <xf numFmtId="38" fontId="10" fillId="0" borderId="24" applyBorder="0" applyAlignment="0" applyProtection="0"/>
    <xf numFmtId="0" fontId="118" fillId="0" borderId="0" applyFont="0" applyFill="0" applyBorder="0" applyAlignment="0" applyProtection="0">
      <alignment horizontal="right"/>
    </xf>
    <xf numFmtId="0" fontId="91" fillId="0" borderId="0" applyFont="0" applyFill="0" applyBorder="0" applyProtection="0">
      <alignment horizontal="left"/>
      <protection locked="0"/>
    </xf>
    <xf numFmtId="0" fontId="91" fillId="0" borderId="0" applyFont="0" applyFill="0" applyBorder="0" applyProtection="0">
      <alignment horizontal="left"/>
      <protection locked="0"/>
    </xf>
    <xf numFmtId="0" fontId="10" fillId="0" borderId="0" applyFont="0" applyFill="0" applyBorder="0" applyAlignment="0" applyProtection="0"/>
    <xf numFmtId="0" fontId="91" fillId="0" borderId="0" applyFont="0" applyFill="0" applyBorder="0" applyAlignment="0" applyProtection="0"/>
    <xf numFmtId="0" fontId="111" fillId="0" borderId="0">
      <alignment horizontal="right"/>
    </xf>
    <xf numFmtId="0" fontId="91" fillId="0" borderId="0" applyFont="0" applyFill="0" applyBorder="0" applyAlignment="0" applyProtection="0">
      <alignment horizontal="right"/>
    </xf>
    <xf numFmtId="49" fontId="121" fillId="0" borderId="0"/>
    <xf numFmtId="0" fontId="24" fillId="0" borderId="0" applyNumberFormat="0" applyFill="0" applyBorder="0" applyAlignment="0" applyProtection="0"/>
    <xf numFmtId="0" fontId="141" fillId="0" borderId="0">
      <alignment horizontal="left"/>
    </xf>
    <xf numFmtId="0" fontId="142" fillId="0" borderId="0">
      <alignment horizontal="left"/>
    </xf>
    <xf numFmtId="0" fontId="143" fillId="0" borderId="0" applyFill="0" applyBorder="0" applyProtection="0">
      <alignment horizontal="left"/>
    </xf>
    <xf numFmtId="0" fontId="143" fillId="0" borderId="0" applyNumberFormat="0" applyFill="0" applyBorder="0" applyProtection="0">
      <alignment horizontal="left"/>
    </xf>
    <xf numFmtId="0" fontId="143" fillId="0" borderId="0" applyFill="0" applyBorder="0" applyProtection="0">
      <alignment vertical="center"/>
    </xf>
    <xf numFmtId="38" fontId="144" fillId="0" borderId="0" applyBorder="0"/>
    <xf numFmtId="0" fontId="105" fillId="0" borderId="19" applyProtection="0">
      <alignment horizontal="center"/>
    </xf>
    <xf numFmtId="0" fontId="118" fillId="0" borderId="0" applyFill="0" applyBorder="0" applyAlignment="0" applyProtection="0">
      <protection locked="0"/>
    </xf>
    <xf numFmtId="38" fontId="16" fillId="23" borderId="0" applyNumberFormat="0" applyBorder="0" applyAlignment="0" applyProtection="0"/>
    <xf numFmtId="0" fontId="145" fillId="0" borderId="0" applyFill="0" applyBorder="0" applyAlignment="0" applyProtection="0"/>
    <xf numFmtId="0" fontId="146" fillId="0" borderId="0" applyAlignment="0">
      <alignment horizontal="left"/>
      <protection locked="0"/>
    </xf>
    <xf numFmtId="38" fontId="147" fillId="0" borderId="0" applyBorder="0" applyAlignment="0">
      <alignment horizontal="center"/>
    </xf>
    <xf numFmtId="0" fontId="19" fillId="43" borderId="21" applyNumberFormat="0" applyFont="0" applyAlignment="0"/>
    <xf numFmtId="0" fontId="91" fillId="0" borderId="0" applyFont="0" applyFill="0" applyBorder="0" applyAlignment="0" applyProtection="0">
      <alignment horizontal="right"/>
    </xf>
    <xf numFmtId="0" fontId="31" fillId="0" borderId="0" applyAlignment="0" applyProtection="0"/>
    <xf numFmtId="0" fontId="10" fillId="0" borderId="0" applyAlignment="0" applyProtection="0"/>
    <xf numFmtId="0" fontId="10" fillId="0" borderId="0" applyAlignment="0" applyProtection="0"/>
    <xf numFmtId="0" fontId="148" fillId="0" borderId="0">
      <alignment horizontal="left"/>
    </xf>
    <xf numFmtId="0" fontId="149" fillId="0" borderId="0">
      <alignment horizontal="right"/>
    </xf>
    <xf numFmtId="0" fontId="22" fillId="0" borderId="25" applyNumberFormat="0" applyAlignment="0" applyProtection="0">
      <alignment horizontal="left" vertical="center"/>
    </xf>
    <xf numFmtId="0" fontId="22" fillId="0" borderId="24">
      <alignment horizontal="left" vertical="center"/>
    </xf>
    <xf numFmtId="0" fontId="40" fillId="44" borderId="0" applyFont="0" applyAlignment="0"/>
    <xf numFmtId="0" fontId="10" fillId="0" borderId="0" applyNumberFormat="0" applyFill="0" applyBorder="0" applyAlignment="0" applyProtection="0"/>
    <xf numFmtId="4" fontId="56" fillId="45" borderId="39"/>
    <xf numFmtId="10" fontId="16" fillId="43" borderId="21" applyNumberFormat="0" applyBorder="0" applyAlignment="0" applyProtection="0"/>
    <xf numFmtId="0" fontId="150" fillId="0" borderId="0"/>
    <xf numFmtId="10" fontId="48" fillId="31" borderId="40" applyNumberFormat="0"/>
    <xf numFmtId="0" fontId="151" fillId="0" borderId="0" applyNumberFormat="0" applyBorder="0" applyAlignment="0" applyProtection="0"/>
    <xf numFmtId="0" fontId="10" fillId="0" borderId="0"/>
    <xf numFmtId="0" fontId="10" fillId="0" borderId="0"/>
    <xf numFmtId="1" fontId="91" fillId="0" borderId="0"/>
    <xf numFmtId="37" fontId="10" fillId="0" borderId="0"/>
    <xf numFmtId="4" fontId="17" fillId="0" borderId="0"/>
    <xf numFmtId="0" fontId="36" fillId="0" borderId="34">
      <alignment horizontal="right"/>
    </xf>
    <xf numFmtId="3" fontId="23" fillId="0" borderId="0"/>
    <xf numFmtId="38" fontId="92" fillId="0" borderId="14" applyBorder="0"/>
    <xf numFmtId="0" fontId="5" fillId="0" borderId="0"/>
    <xf numFmtId="0" fontId="66" fillId="0" borderId="0"/>
    <xf numFmtId="14" fontId="16" fillId="0" borderId="0" applyFont="0" applyFill="0" applyBorder="0" applyAlignment="0" applyProtection="0"/>
    <xf numFmtId="39" fontId="111" fillId="0" borderId="0"/>
    <xf numFmtId="0" fontId="152" fillId="0" borderId="0" applyFill="0" applyBorder="0">
      <alignment horizontal="right" vertical="center"/>
    </xf>
    <xf numFmtId="0" fontId="153" fillId="0" borderId="0">
      <alignment horizontal="right"/>
    </xf>
    <xf numFmtId="0" fontId="154" fillId="0" borderId="0" applyNumberFormat="0" applyFont="0" applyAlignment="0"/>
    <xf numFmtId="212" fontId="152" fillId="0" borderId="0" applyFill="0" applyBorder="0">
      <alignment horizontal="right" vertical="center"/>
    </xf>
    <xf numFmtId="0" fontId="136" fillId="0" borderId="0" applyFill="0" applyBorder="0" applyProtection="0">
      <alignment horizontal="right" vertical="center"/>
    </xf>
    <xf numFmtId="0" fontId="155" fillId="0" borderId="0"/>
    <xf numFmtId="1" fontId="156" fillId="0" borderId="0" applyProtection="0">
      <alignment horizontal="right" vertical="center"/>
    </xf>
    <xf numFmtId="0" fontId="16" fillId="46" borderId="0" applyNumberFormat="0" applyFont="0" applyBorder="0" applyAlignment="0" applyProtection="0"/>
    <xf numFmtId="0" fontId="10" fillId="0" borderId="0" applyFill="0"/>
    <xf numFmtId="0" fontId="10" fillId="0" borderId="0" applyFont="0" applyFill="0" applyBorder="0" applyAlignment="0" applyProtection="0"/>
    <xf numFmtId="10" fontId="10" fillId="0" borderId="0" applyFont="0" applyFill="0" applyBorder="0" applyAlignment="0" applyProtection="0"/>
    <xf numFmtId="38" fontId="92" fillId="0" borderId="14" applyBorder="0"/>
    <xf numFmtId="9" fontId="5" fillId="0" borderId="0" applyFont="0" applyFill="0" applyBorder="0" applyAlignment="0" applyProtection="0"/>
    <xf numFmtId="0" fontId="23" fillId="0" borderId="37" applyFill="0" applyBorder="0" applyProtection="0"/>
    <xf numFmtId="0" fontId="37" fillId="0" borderId="0"/>
    <xf numFmtId="0" fontId="91" fillId="0" borderId="0" applyFill="0" applyBorder="0" applyAlignment="0" applyProtection="0"/>
    <xf numFmtId="38" fontId="10" fillId="0" borderId="0" applyNumberFormat="0" applyBorder="0" applyAlignment="0" applyProtection="0"/>
    <xf numFmtId="14" fontId="92" fillId="0" borderId="0" applyNumberFormat="0" applyFill="0" applyBorder="0" applyAlignment="0" applyProtection="0">
      <alignment horizontal="left"/>
    </xf>
    <xf numFmtId="38" fontId="10" fillId="1" borderId="0">
      <alignment horizontal="right"/>
    </xf>
    <xf numFmtId="38" fontId="10" fillId="1" borderId="0">
      <alignment horizontal="right"/>
    </xf>
    <xf numFmtId="38" fontId="10" fillId="1" borderId="0">
      <alignment horizontal="right"/>
    </xf>
    <xf numFmtId="0" fontId="38" fillId="47" borderId="0" applyNumberFormat="0" applyFont="0" applyBorder="0" applyAlignment="0" applyProtection="0"/>
    <xf numFmtId="0" fontId="26" fillId="31" borderId="0"/>
    <xf numFmtId="0" fontId="26" fillId="30" borderId="0"/>
    <xf numFmtId="40" fontId="10" fillId="0" borderId="0" applyBorder="0">
      <alignment horizontal="right"/>
    </xf>
    <xf numFmtId="0" fontId="91" fillId="0" borderId="19" applyBorder="0" applyProtection="0">
      <alignment horizontal="right" vertical="center"/>
    </xf>
    <xf numFmtId="0" fontId="157" fillId="48" borderId="0" applyBorder="0" applyProtection="0">
      <alignment horizontal="centerContinuous" vertical="center"/>
    </xf>
    <xf numFmtId="0" fontId="157" fillId="28" borderId="19" applyBorder="0" applyProtection="0">
      <alignment horizontal="centerContinuous" vertical="center"/>
    </xf>
    <xf numFmtId="0" fontId="98" fillId="0" borderId="19" applyNumberFormat="0" applyFill="0" applyProtection="0"/>
    <xf numFmtId="0" fontId="158" fillId="0" borderId="0" applyNumberFormat="0" applyFont="0" applyFill="0" applyBorder="0" applyAlignment="0" applyProtection="0"/>
    <xf numFmtId="0" fontId="153" fillId="0" borderId="0" applyFill="0" applyBorder="0">
      <alignment vertical="center"/>
    </xf>
    <xf numFmtId="0" fontId="136" fillId="0" borderId="0">
      <alignment vertical="center"/>
    </xf>
    <xf numFmtId="0" fontId="23" fillId="0" borderId="0" applyNumberFormat="0" applyProtection="0"/>
    <xf numFmtId="0" fontId="159" fillId="0" borderId="19" applyAlignment="0"/>
    <xf numFmtId="0" fontId="136" fillId="0" borderId="26" applyAlignment="0"/>
    <xf numFmtId="3" fontId="160" fillId="0" borderId="0" applyFill="0" applyBorder="0" applyAlignment="0" applyProtection="0"/>
    <xf numFmtId="0" fontId="10" fillId="0" borderId="21">
      <protection locked="0"/>
    </xf>
    <xf numFmtId="0" fontId="10" fillId="0" borderId="21">
      <alignment horizontal="right"/>
      <protection locked="0"/>
    </xf>
    <xf numFmtId="4" fontId="161" fillId="26" borderId="41"/>
    <xf numFmtId="0" fontId="91" fillId="0" borderId="0" applyFont="0" applyFill="0" applyBorder="0" applyAlignment="0" applyProtection="0"/>
    <xf numFmtId="37" fontId="91" fillId="0" borderId="0" applyFont="0" applyFill="0" applyBorder="0" applyAlignment="0" applyProtection="0"/>
    <xf numFmtId="0" fontId="2" fillId="0" borderId="0"/>
    <xf numFmtId="0" fontId="162" fillId="0" borderId="0" applyNumberFormat="0" applyFill="0" applyBorder="0" applyAlignment="0" applyProtection="0"/>
    <xf numFmtId="0" fontId="163" fillId="0" borderId="0" applyNumberFormat="0" applyFill="0" applyBorder="0" applyAlignment="0" applyProtection="0"/>
    <xf numFmtId="0" fontId="15" fillId="0" borderId="0" applyFont="0"/>
    <xf numFmtId="0" fontId="5" fillId="0" borderId="0"/>
    <xf numFmtId="0" fontId="2" fillId="0" borderId="0"/>
    <xf numFmtId="9" fontId="5" fillId="0" borderId="0" applyFont="0" applyFill="0" applyBorder="0" applyAlignment="0" applyProtection="0"/>
    <xf numFmtId="0" fontId="164" fillId="0" borderId="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81" fontId="46"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26" fillId="0" borderId="2" applyNumberFormat="0" applyFill="0" applyAlignment="0" applyProtection="0"/>
    <xf numFmtId="0" fontId="43"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165" fillId="31" borderId="0" applyNumberFormat="0" applyBorder="0" applyAlignment="0" applyProtection="0"/>
    <xf numFmtId="0" fontId="166" fillId="49" borderId="0"/>
    <xf numFmtId="0" fontId="167" fillId="50" borderId="0"/>
    <xf numFmtId="0" fontId="168" fillId="30" borderId="0" applyNumberFormat="0" applyBorder="0" applyAlignment="0" applyProtection="0"/>
    <xf numFmtId="41" fontId="10" fillId="0" borderId="0" applyFont="0" applyFill="0" applyBorder="0" applyAlignment="0" applyProtection="0"/>
    <xf numFmtId="43" fontId="10" fillId="0" borderId="0" applyFont="0" applyFill="0" applyBorder="0" applyAlignment="0" applyProtection="0"/>
    <xf numFmtId="167" fontId="2" fillId="0" borderId="0" applyFont="0" applyFill="0" applyBorder="0" applyAlignment="0" applyProtection="0"/>
    <xf numFmtId="43" fontId="166"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42" fontId="10" fillId="0" borderId="0" applyFont="0" applyFill="0" applyBorder="0" applyAlignment="0" applyProtection="0"/>
    <xf numFmtId="44" fontId="10" fillId="0" borderId="0"/>
    <xf numFmtId="166" fontId="2" fillId="0" borderId="0" applyFont="0" applyFill="0" applyBorder="0" applyAlignment="0" applyProtection="0"/>
    <xf numFmtId="44" fontId="166"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6" fillId="51" borderId="0"/>
    <xf numFmtId="0" fontId="169" fillId="33" borderId="0"/>
    <xf numFmtId="0" fontId="170" fillId="27" borderId="0" applyNumberFormat="0" applyBorder="0" applyAlignment="0" applyProtection="0"/>
    <xf numFmtId="0" fontId="2" fillId="0" borderId="0"/>
    <xf numFmtId="0" fontId="2" fillId="0" borderId="0"/>
    <xf numFmtId="0" fontId="2" fillId="0" borderId="0"/>
    <xf numFmtId="0" fontId="2" fillId="0" borderId="0"/>
    <xf numFmtId="0" fontId="5" fillId="0" borderId="0"/>
    <xf numFmtId="0" fontId="5" fillId="0" borderId="0"/>
    <xf numFmtId="0" fontId="10" fillId="0" borderId="0"/>
    <xf numFmtId="0" fontId="2" fillId="0" borderId="0"/>
    <xf numFmtId="0" fontId="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38" fontId="16" fillId="0" borderId="0" applyFill="0" applyBorder="0" applyAlignment="0" applyProtection="0">
      <alignment horizontal="right"/>
    </xf>
    <xf numFmtId="3" fontId="10" fillId="23" borderId="16" applyFont="0" applyFill="0" applyBorder="0" applyAlignment="0" applyProtection="0"/>
    <xf numFmtId="4" fontId="10" fillId="23" borderId="16" applyFont="0" applyFill="0" applyBorder="0" applyAlignment="0" applyProtection="0"/>
    <xf numFmtId="213" fontId="37" fillId="23" borderId="16" applyFont="0" applyFill="0" applyBorder="0" applyAlignment="0" applyProtection="0"/>
    <xf numFmtId="0" fontId="37" fillId="23" borderId="17" applyFont="0" applyFill="0" applyBorder="0" applyAlignment="0" applyProtection="0"/>
    <xf numFmtId="10" fontId="10" fillId="23" borderId="16" applyFont="0" applyFill="0" applyBorder="0" applyAlignment="0" applyProtection="0"/>
    <xf numFmtId="9" fontId="10" fillId="23" borderId="16" applyFont="0" applyFill="0" applyBorder="0" applyAlignment="0" applyProtection="0"/>
    <xf numFmtId="2" fontId="10" fillId="23" borderId="16" applyFont="0" applyFill="0" applyBorder="0" applyAlignment="0" applyProtection="0"/>
    <xf numFmtId="0" fontId="5" fillId="0" borderId="0"/>
    <xf numFmtId="9" fontId="5" fillId="0" borderId="0" applyFont="0" applyFill="0" applyBorder="0" applyAlignment="0" applyProtection="0"/>
    <xf numFmtId="0" fontId="5" fillId="0" borderId="0"/>
    <xf numFmtId="9" fontId="13" fillId="0" borderId="0" applyFont="0" applyFill="0" applyBorder="0" applyAlignment="0" applyProtection="0"/>
    <xf numFmtId="166" fontId="13" fillId="0" borderId="0" applyFont="0" applyFill="0" applyBorder="0" applyAlignment="0" applyProtection="0"/>
    <xf numFmtId="164" fontId="13" fillId="0" borderId="0" applyFont="0" applyFill="0" applyBorder="0" applyAlignment="0" applyProtection="0"/>
    <xf numFmtId="167" fontId="13" fillId="0" borderId="0" applyFont="0" applyFill="0" applyBorder="0" applyAlignment="0" applyProtection="0"/>
    <xf numFmtId="165" fontId="13" fillId="0" borderId="0" applyFont="0" applyFill="0" applyBorder="0" applyAlignment="0" applyProtection="0"/>
    <xf numFmtId="0" fontId="13" fillId="0" borderId="0"/>
    <xf numFmtId="0" fontId="5" fillId="0" borderId="0"/>
    <xf numFmtId="9" fontId="13" fillId="0" borderId="0" applyFont="0" applyFill="0" applyBorder="0" applyAlignment="0" applyProtection="0"/>
    <xf numFmtId="166" fontId="13" fillId="0" borderId="0" applyFont="0" applyFill="0" applyBorder="0" applyAlignment="0" applyProtection="0"/>
    <xf numFmtId="167" fontId="13" fillId="0" borderId="0" applyFont="0" applyFill="0" applyBorder="0" applyAlignment="0" applyProtection="0"/>
    <xf numFmtId="0" fontId="2" fillId="0" borderId="0"/>
    <xf numFmtId="0" fontId="2" fillId="0" borderId="0"/>
    <xf numFmtId="4" fontId="2" fillId="0" borderId="0" applyFont="0" applyFill="0" applyBorder="0" applyAlignment="0" applyProtection="0"/>
    <xf numFmtId="8"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0" fontId="56" fillId="9" borderId="4" applyNumberFormat="0" applyAlignment="0" applyProtection="0"/>
    <xf numFmtId="0" fontId="60" fillId="0" borderId="0" applyNumberForma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60" fillId="0" borderId="0" applyNumberFormat="0" applyFill="0" applyBorder="0" applyAlignment="0" applyProtection="0"/>
    <xf numFmtId="0" fontId="35" fillId="0" borderId="42" applyNumberFormat="0" applyFill="0" applyProtection="0"/>
    <xf numFmtId="4" fontId="2" fillId="0" borderId="0" applyFont="0" applyFill="0" applyBorder="0" applyAlignment="0" applyProtection="0"/>
    <xf numFmtId="0" fontId="60" fillId="0" borderId="0" applyNumberFormat="0" applyFill="0" applyBorder="0" applyAlignment="0" applyProtection="0"/>
    <xf numFmtId="0" fontId="2" fillId="0" borderId="0"/>
    <xf numFmtId="0" fontId="56" fillId="9" borderId="4" applyNumberFormat="0" applyAlignment="0" applyProtection="0"/>
    <xf numFmtId="8"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4" fontId="2" fillId="0" borderId="0" applyFont="0" applyFill="0" applyBorder="0" applyAlignment="0" applyProtection="0"/>
    <xf numFmtId="0" fontId="60" fillId="0" borderId="0" applyNumberFormat="0" applyFill="0" applyBorder="0" applyAlignment="0" applyProtection="0"/>
    <xf numFmtId="9" fontId="2" fillId="0" borderId="0" applyFont="0" applyFill="0" applyBorder="0" applyAlignment="0" applyProtection="0"/>
    <xf numFmtId="0" fontId="56" fillId="9" borderId="4" applyNumberFormat="0" applyAlignment="0" applyProtection="0"/>
    <xf numFmtId="0" fontId="60" fillId="0" borderId="0" applyNumberFormat="0" applyFill="0" applyBorder="0" applyAlignment="0" applyProtection="0"/>
    <xf numFmtId="9" fontId="2" fillId="0" borderId="0" applyFont="0" applyFill="0" applyBorder="0" applyAlignment="0" applyProtection="0"/>
    <xf numFmtId="0" fontId="60" fillId="0" borderId="0" applyNumberFormat="0" applyFill="0" applyBorder="0" applyAlignment="0" applyProtection="0"/>
    <xf numFmtId="0" fontId="56" fillId="9" borderId="4" applyNumberFormat="0" applyAlignment="0" applyProtection="0"/>
    <xf numFmtId="0" fontId="60" fillId="0" borderId="0" applyNumberFormat="0" applyFill="0" applyBorder="0" applyAlignment="0" applyProtection="0"/>
    <xf numFmtId="0" fontId="98" fillId="0" borderId="42" applyNumberFormat="0" applyFill="0" applyProtection="0"/>
    <xf numFmtId="0" fontId="2" fillId="0" borderId="0"/>
    <xf numFmtId="0" fontId="56" fillId="9" borderId="4" applyNumberFormat="0" applyAlignment="0" applyProtection="0"/>
    <xf numFmtId="0" fontId="2" fillId="0" borderId="0"/>
    <xf numFmtId="0" fontId="60" fillId="0" borderId="0" applyNumberFormat="0" applyFill="0" applyBorder="0" applyAlignment="0" applyProtection="0"/>
    <xf numFmtId="9" fontId="2" fillId="0" borderId="0" applyFont="0" applyFill="0" applyBorder="0" applyAlignment="0" applyProtection="0"/>
    <xf numFmtId="0" fontId="2" fillId="0" borderId="0"/>
    <xf numFmtId="0" fontId="56" fillId="9" borderId="4" applyNumberFormat="0" applyAlignment="0" applyProtection="0"/>
    <xf numFmtId="8"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60" fillId="0" borderId="0" applyNumberFormat="0" applyFill="0" applyBorder="0" applyAlignment="0" applyProtection="0"/>
    <xf numFmtId="8" fontId="2" fillId="0" borderId="0" applyFont="0" applyFill="0" applyBorder="0" applyAlignment="0" applyProtection="0"/>
    <xf numFmtId="4" fontId="2" fillId="0" borderId="0" applyFont="0" applyFill="0" applyBorder="0" applyAlignment="0" applyProtection="0"/>
    <xf numFmtId="9" fontId="2" fillId="0" borderId="0" applyFont="0" applyFill="0" applyBorder="0" applyAlignment="0" applyProtection="0"/>
    <xf numFmtId="0" fontId="56" fillId="9" borderId="4" applyNumberFormat="0" applyAlignment="0" applyProtection="0"/>
    <xf numFmtId="9" fontId="2" fillId="0" borderId="0" applyFont="0" applyFill="0" applyBorder="0" applyAlignment="0" applyProtection="0"/>
    <xf numFmtId="4" fontId="2" fillId="0" borderId="0" applyFont="0" applyFill="0" applyBorder="0" applyAlignment="0" applyProtection="0"/>
    <xf numFmtId="0" fontId="56" fillId="9" borderId="4" applyNumberFormat="0" applyAlignment="0" applyProtection="0"/>
    <xf numFmtId="0" fontId="56" fillId="9" borderId="4" applyNumberFormat="0" applyAlignment="0" applyProtection="0"/>
    <xf numFmtId="8"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0" fontId="60" fillId="0" borderId="0" applyNumberFormat="0" applyFill="0" applyBorder="0" applyAlignment="0" applyProtection="0"/>
    <xf numFmtId="9" fontId="2" fillId="0" borderId="0" applyFont="0" applyFill="0" applyBorder="0" applyAlignment="0" applyProtection="0"/>
    <xf numFmtId="0" fontId="56" fillId="9" borderId="4" applyNumberFormat="0" applyAlignment="0" applyProtection="0"/>
    <xf numFmtId="0" fontId="56" fillId="9" borderId="4" applyNumberFormat="0" applyAlignment="0" applyProtection="0"/>
    <xf numFmtId="9" fontId="2" fillId="0" borderId="0" applyFont="0" applyFill="0" applyBorder="0" applyAlignment="0" applyProtection="0"/>
    <xf numFmtId="0" fontId="60" fillId="0" borderId="0" applyNumberFormat="0" applyFill="0" applyBorder="0" applyAlignment="0" applyProtection="0"/>
    <xf numFmtId="0" fontId="2" fillId="0" borderId="0"/>
    <xf numFmtId="0" fontId="60" fillId="0" borderId="0" applyNumberFormat="0" applyFill="0" applyBorder="0" applyAlignment="0" applyProtection="0"/>
    <xf numFmtId="0" fontId="56" fillId="9" borderId="4" applyNumberFormat="0" applyAlignment="0" applyProtection="0"/>
    <xf numFmtId="0" fontId="2" fillId="0" borderId="0"/>
    <xf numFmtId="0" fontId="134" fillId="0" borderId="42" applyFont="0" applyFill="0" applyBorder="0" applyAlignment="0"/>
    <xf numFmtId="9" fontId="2" fillId="0" borderId="0" applyFont="0" applyFill="0" applyBorder="0" applyAlignment="0" applyProtection="0"/>
    <xf numFmtId="0" fontId="134" fillId="0" borderId="42" applyFont="0" applyFill="0" applyBorder="0">
      <alignment horizontal="center"/>
    </xf>
    <xf numFmtId="0" fontId="134" fillId="0" borderId="42" applyFont="0" applyFill="0" applyBorder="0">
      <alignment horizontal="center"/>
    </xf>
    <xf numFmtId="211" fontId="134" fillId="0" borderId="42" applyFont="0" applyFill="0" applyBorder="0">
      <alignment horizontal="center"/>
    </xf>
    <xf numFmtId="8" fontId="2" fillId="0" borderId="0" applyFont="0" applyFill="0" applyBorder="0" applyAlignment="0" applyProtection="0"/>
    <xf numFmtId="0" fontId="105" fillId="0" borderId="42" applyProtection="0">
      <alignment horizontal="center"/>
    </xf>
    <xf numFmtId="0" fontId="2" fillId="0" borderId="0"/>
    <xf numFmtId="0" fontId="91" fillId="0" borderId="42" applyBorder="0" applyProtection="0">
      <alignment horizontal="right" vertical="center"/>
    </xf>
    <xf numFmtId="0" fontId="157" fillId="28" borderId="42" applyBorder="0" applyProtection="0">
      <alignment horizontal="centerContinuous" vertical="center"/>
    </xf>
    <xf numFmtId="4" fontId="2" fillId="0" borderId="0" applyFont="0" applyFill="0" applyBorder="0" applyAlignment="0" applyProtection="0"/>
    <xf numFmtId="0" fontId="159" fillId="0" borderId="42" applyAlignment="0"/>
    <xf numFmtId="0" fontId="2" fillId="0" borderId="0"/>
    <xf numFmtId="0" fontId="2" fillId="0" borderId="0"/>
    <xf numFmtId="0" fontId="60" fillId="0" borderId="0" applyNumberFormat="0" applyFill="0" applyBorder="0" applyAlignment="0" applyProtection="0"/>
    <xf numFmtId="8" fontId="2" fillId="0" borderId="0" applyFont="0" applyFill="0" applyBorder="0" applyAlignment="0" applyProtection="0"/>
    <xf numFmtId="9" fontId="2" fillId="0" borderId="0" applyFont="0" applyFill="0" applyBorder="0" applyAlignment="0" applyProtection="0"/>
    <xf numFmtId="0" fontId="2" fillId="0" borderId="0"/>
    <xf numFmtId="8" fontId="2" fillId="0" borderId="0" applyFont="0" applyFill="0" applyBorder="0" applyAlignment="0" applyProtection="0"/>
    <xf numFmtId="4" fontId="2" fillId="0" borderId="0" applyFont="0" applyFill="0" applyBorder="0" applyAlignment="0" applyProtection="0"/>
    <xf numFmtId="0" fontId="56" fillId="9" borderId="4" applyNumberFormat="0" applyAlignment="0" applyProtection="0"/>
    <xf numFmtId="0" fontId="2" fillId="0" borderId="0"/>
    <xf numFmtId="9" fontId="5" fillId="0" borderId="0" applyFont="0" applyFill="0" applyBorder="0" applyAlignment="0" applyProtection="0"/>
    <xf numFmtId="0" fontId="10" fillId="0" borderId="0"/>
    <xf numFmtId="0" fontId="2" fillId="0" borderId="0"/>
    <xf numFmtId="0" fontId="181" fillId="0" borderId="0"/>
    <xf numFmtId="0" fontId="60" fillId="0" borderId="0" applyNumberFormat="0" applyFill="0" applyBorder="0" applyAlignment="0" applyProtection="0"/>
    <xf numFmtId="9" fontId="2" fillId="0" borderId="0" applyFont="0" applyFill="0" applyBorder="0" applyAlignment="0" applyProtection="0"/>
    <xf numFmtId="0" fontId="56" fillId="9" borderId="4" applyNumberFormat="0" applyAlignment="0" applyProtection="0"/>
    <xf numFmtId="4" fontId="2" fillId="0" borderId="0" applyFont="0" applyFill="0" applyBorder="0" applyAlignment="0" applyProtection="0"/>
    <xf numFmtId="9"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8" fontId="2" fillId="0" borderId="0" applyFont="0" applyFill="0" applyBorder="0" applyAlignment="0" applyProtection="0"/>
    <xf numFmtId="0" fontId="56" fillId="9" borderId="4" applyNumberFormat="0" applyAlignment="0" applyProtection="0"/>
    <xf numFmtId="9" fontId="2" fillId="0" borderId="0" applyFont="0" applyFill="0" applyBorder="0" applyAlignment="0" applyProtection="0"/>
    <xf numFmtId="8" fontId="2" fillId="0" borderId="0" applyFont="0" applyFill="0" applyBorder="0" applyAlignment="0" applyProtection="0"/>
    <xf numFmtId="8" fontId="2" fillId="0" borderId="0" applyFon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 fillId="0" borderId="0"/>
    <xf numFmtId="0" fontId="60" fillId="0" borderId="0" applyNumberFormat="0" applyFill="0" applyBorder="0" applyAlignment="0" applyProtection="0"/>
    <xf numFmtId="9" fontId="2" fillId="0" borderId="0" applyFont="0" applyFill="0" applyBorder="0" applyAlignment="0" applyProtection="0"/>
    <xf numFmtId="4" fontId="2" fillId="0" borderId="0" applyFont="0" applyFill="0" applyBorder="0" applyAlignment="0" applyProtection="0"/>
    <xf numFmtId="0" fontId="2" fillId="0" borderId="0"/>
    <xf numFmtId="0" fontId="60" fillId="0" borderId="0" applyNumberFormat="0" applyFill="0" applyBorder="0" applyAlignment="0" applyProtection="0"/>
    <xf numFmtId="4" fontId="2" fillId="0" borderId="0" applyFont="0" applyFill="0" applyBorder="0" applyAlignment="0" applyProtection="0"/>
    <xf numFmtId="9" fontId="2" fillId="0" borderId="0" applyFont="0" applyFill="0" applyBorder="0" applyAlignment="0" applyProtection="0"/>
    <xf numFmtId="4" fontId="2" fillId="0" borderId="0" applyFont="0" applyFill="0" applyBorder="0" applyAlignment="0" applyProtection="0"/>
    <xf numFmtId="9" fontId="2" fillId="0" borderId="0" applyFont="0" applyFill="0" applyBorder="0" applyAlignment="0" applyProtection="0"/>
    <xf numFmtId="0" fontId="60" fillId="0" borderId="0" applyNumberFormat="0" applyFill="0" applyBorder="0" applyAlignment="0" applyProtection="0"/>
    <xf numFmtId="0" fontId="2" fillId="0" borderId="0"/>
    <xf numFmtId="4" fontId="2" fillId="0" borderId="0" applyFon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8" fontId="2" fillId="0" borderId="0" applyFont="0" applyFill="0" applyBorder="0" applyAlignment="0" applyProtection="0"/>
    <xf numFmtId="8" fontId="2" fillId="0" borderId="0" applyFont="0" applyFill="0" applyBorder="0" applyAlignment="0" applyProtection="0"/>
    <xf numFmtId="0" fontId="2" fillId="0" borderId="0"/>
    <xf numFmtId="0" fontId="56" fillId="9" borderId="4" applyNumberFormat="0" applyAlignment="0" applyProtection="0"/>
    <xf numFmtId="0" fontId="60" fillId="0" borderId="0" applyNumberFormat="0" applyFill="0" applyBorder="0" applyAlignment="0" applyProtection="0"/>
    <xf numFmtId="0" fontId="2" fillId="0" borderId="0"/>
    <xf numFmtId="0" fontId="2" fillId="0" borderId="0"/>
    <xf numFmtId="0" fontId="56" fillId="9" borderId="4" applyNumberFormat="0" applyAlignment="0" applyProtection="0"/>
    <xf numFmtId="8" fontId="2" fillId="0" borderId="0" applyFont="0" applyFill="0" applyBorder="0" applyAlignment="0" applyProtection="0"/>
    <xf numFmtId="0" fontId="2" fillId="0" borderId="0"/>
    <xf numFmtId="4" fontId="2" fillId="0" borderId="0" applyFont="0" applyFill="0" applyBorder="0" applyAlignment="0" applyProtection="0"/>
    <xf numFmtId="0" fontId="56" fillId="9" borderId="4" applyNumberFormat="0" applyAlignment="0" applyProtection="0"/>
    <xf numFmtId="9" fontId="2" fillId="0" borderId="0" applyFont="0" applyFill="0" applyBorder="0" applyAlignment="0" applyProtection="0"/>
    <xf numFmtId="4" fontId="2" fillId="0" borderId="0" applyFont="0" applyFill="0" applyBorder="0" applyAlignment="0" applyProtection="0"/>
    <xf numFmtId="9" fontId="2" fillId="0" borderId="0" applyFont="0" applyFill="0" applyBorder="0" applyAlignment="0" applyProtection="0"/>
    <xf numFmtId="8" fontId="2" fillId="0" borderId="0" applyFont="0" applyFill="0" applyBorder="0" applyAlignment="0" applyProtection="0"/>
    <xf numFmtId="0" fontId="56" fillId="9" borderId="4" applyNumberFormat="0" applyAlignment="0" applyProtection="0"/>
    <xf numFmtId="0" fontId="2" fillId="0" borderId="0"/>
    <xf numFmtId="9" fontId="2" fillId="0" borderId="0" applyFont="0" applyFill="0" applyBorder="0" applyAlignment="0" applyProtection="0"/>
    <xf numFmtId="0" fontId="56" fillId="9" borderId="4" applyNumberFormat="0" applyAlignment="0" applyProtection="0"/>
    <xf numFmtId="8" fontId="2" fillId="0" borderId="0" applyFont="0" applyFill="0" applyBorder="0" applyAlignment="0" applyProtection="0"/>
    <xf numFmtId="0" fontId="56" fillId="9" borderId="4" applyNumberFormat="0" applyAlignment="0" applyProtection="0"/>
    <xf numFmtId="4" fontId="2" fillId="0" borderId="0" applyFont="0" applyFill="0" applyBorder="0" applyAlignment="0" applyProtection="0"/>
    <xf numFmtId="8" fontId="2" fillId="0" borderId="0" applyFont="0" applyFill="0" applyBorder="0" applyAlignment="0" applyProtection="0"/>
    <xf numFmtId="0" fontId="56" fillId="9" borderId="4" applyNumberFormat="0" applyAlignment="0" applyProtection="0"/>
    <xf numFmtId="9" fontId="2" fillId="0" borderId="0" applyFont="0" applyFill="0" applyBorder="0" applyAlignment="0" applyProtection="0"/>
    <xf numFmtId="0" fontId="2" fillId="0" borderId="0"/>
    <xf numFmtId="0" fontId="60" fillId="0" borderId="0" applyNumberFormat="0" applyFill="0" applyBorder="0" applyAlignment="0" applyProtection="0"/>
    <xf numFmtId="0" fontId="56" fillId="9" borderId="4" applyNumberFormat="0" applyAlignment="0" applyProtection="0"/>
    <xf numFmtId="43" fontId="5" fillId="0" borderId="0" applyFont="0" applyFill="0" applyBorder="0" applyAlignment="0" applyProtection="0"/>
    <xf numFmtId="0" fontId="184" fillId="0" borderId="0"/>
    <xf numFmtId="167" fontId="5" fillId="0" borderId="0" applyFont="0" applyFill="0" applyBorder="0" applyAlignment="0" applyProtection="0"/>
    <xf numFmtId="167" fontId="5" fillId="0" borderId="0" applyFont="0" applyFill="0" applyBorder="0" applyAlignment="0" applyProtection="0"/>
  </cellStyleXfs>
  <cellXfs count="451">
    <xf numFmtId="0" fontId="0" fillId="0" borderId="0" xfId="0"/>
    <xf numFmtId="0" fontId="9" fillId="2" borderId="0" xfId="0" quotePrefix="1" applyFont="1" applyFill="1" applyAlignment="1">
      <alignment vertical="center"/>
    </xf>
    <xf numFmtId="0" fontId="9" fillId="2" borderId="0" xfId="0" applyFont="1" applyFill="1" applyAlignment="1">
      <alignment vertical="center"/>
    </xf>
    <xf numFmtId="0" fontId="9" fillId="2" borderId="0" xfId="0" applyFont="1" applyFill="1" applyAlignment="1">
      <alignment horizontal="left" vertical="center"/>
    </xf>
    <xf numFmtId="0" fontId="9" fillId="2" borderId="0" xfId="0" applyFont="1" applyFill="1"/>
    <xf numFmtId="0" fontId="13" fillId="0" borderId="0" xfId="0" applyFont="1"/>
    <xf numFmtId="0" fontId="14" fillId="0" borderId="0" xfId="0" applyFont="1"/>
    <xf numFmtId="0" fontId="13" fillId="2" borderId="0" xfId="0" applyFont="1" applyFill="1"/>
    <xf numFmtId="0" fontId="9" fillId="2" borderId="0" xfId="0" applyFont="1" applyFill="1" applyAlignment="1">
      <alignment horizontal="center"/>
    </xf>
    <xf numFmtId="0" fontId="9" fillId="2" borderId="0" xfId="0" applyFont="1" applyFill="1" applyAlignment="1">
      <alignment horizontal="left"/>
    </xf>
    <xf numFmtId="0" fontId="14" fillId="2" borderId="0" xfId="0" applyFont="1" applyFill="1"/>
    <xf numFmtId="0" fontId="13" fillId="2" borderId="0" xfId="0" applyFont="1" applyFill="1" applyAlignment="1">
      <alignment horizontal="right"/>
    </xf>
    <xf numFmtId="0" fontId="13" fillId="0" borderId="0" xfId="0" applyFont="1" applyAlignment="1">
      <alignment horizontal="right"/>
    </xf>
    <xf numFmtId="0" fontId="14" fillId="2" borderId="0" xfId="0" applyFont="1" applyFill="1" applyAlignment="1">
      <alignment horizontal="right"/>
    </xf>
    <xf numFmtId="0" fontId="13" fillId="0" borderId="0" xfId="1317" applyFont="1" applyAlignment="1">
      <alignment vertical="center"/>
    </xf>
    <xf numFmtId="0" fontId="9" fillId="2" borderId="0" xfId="1317" applyFont="1" applyFill="1" applyAlignment="1">
      <alignment vertical="center"/>
    </xf>
    <xf numFmtId="0" fontId="178" fillId="2" borderId="0" xfId="1317" applyFont="1" applyFill="1" applyAlignment="1">
      <alignment vertical="center"/>
    </xf>
    <xf numFmtId="0" fontId="14" fillId="0" borderId="0" xfId="1317" applyFont="1" applyAlignment="1">
      <alignment horizontal="left" vertical="center" indent="2"/>
    </xf>
    <xf numFmtId="214" fontId="172" fillId="0" borderId="0" xfId="1317" applyNumberFormat="1" applyFont="1" applyAlignment="1">
      <alignment horizontal="left" vertical="center"/>
    </xf>
    <xf numFmtId="214" fontId="13" fillId="0" borderId="0" xfId="1317" applyNumberFormat="1" applyFont="1" applyAlignment="1">
      <alignment horizontal="left" vertical="center"/>
    </xf>
    <xf numFmtId="0" fontId="172" fillId="0" borderId="0" xfId="1317" applyFont="1" applyAlignment="1">
      <alignment horizontal="left" vertical="center"/>
    </xf>
    <xf numFmtId="168" fontId="13" fillId="0" borderId="0" xfId="1317" applyNumberFormat="1" applyFont="1" applyAlignment="1">
      <alignment horizontal="left" vertical="center"/>
    </xf>
    <xf numFmtId="9" fontId="13" fillId="0" borderId="0" xfId="1406" applyFont="1" applyAlignment="1">
      <alignment vertical="center"/>
    </xf>
    <xf numFmtId="0" fontId="14" fillId="0" borderId="0" xfId="1317" applyFont="1" applyAlignment="1">
      <alignment horizontal="left" vertical="center" indent="1"/>
    </xf>
    <xf numFmtId="0" fontId="13" fillId="0" borderId="0" xfId="1317" applyFont="1" applyAlignment="1">
      <alignment horizontal="left" vertical="center" indent="3"/>
    </xf>
    <xf numFmtId="0" fontId="9" fillId="2" borderId="0" xfId="0" applyFont="1" applyFill="1" applyAlignment="1">
      <alignment horizontal="right" vertical="center"/>
    </xf>
    <xf numFmtId="0" fontId="13" fillId="0" borderId="0" xfId="0" applyFont="1" applyAlignment="1">
      <alignment vertical="center"/>
    </xf>
    <xf numFmtId="0" fontId="10" fillId="53" borderId="0" xfId="0" quotePrefix="1" applyFont="1" applyFill="1" applyAlignment="1">
      <alignment vertical="center"/>
    </xf>
    <xf numFmtId="3" fontId="13" fillId="53" borderId="0" xfId="0" applyNumberFormat="1" applyFont="1" applyFill="1" applyAlignment="1">
      <alignment horizontal="right"/>
    </xf>
    <xf numFmtId="0" fontId="10" fillId="53" borderId="0" xfId="0" applyFont="1" applyFill="1" applyAlignment="1">
      <alignment vertical="center"/>
    </xf>
    <xf numFmtId="3" fontId="175" fillId="53" borderId="0" xfId="0" applyNumberFormat="1" applyFont="1" applyFill="1" applyAlignment="1">
      <alignment horizontal="right" vertical="center"/>
    </xf>
    <xf numFmtId="3" fontId="10" fillId="53" borderId="0" xfId="82" applyNumberFormat="1" applyFont="1" applyFill="1" applyBorder="1" applyAlignment="1">
      <alignment horizontal="right" vertical="center"/>
    </xf>
    <xf numFmtId="3" fontId="172" fillId="53" borderId="0" xfId="82" applyNumberFormat="1" applyFont="1" applyFill="1" applyBorder="1" applyAlignment="1">
      <alignment horizontal="right" vertical="center"/>
    </xf>
    <xf numFmtId="3" fontId="10" fillId="53" borderId="0" xfId="0" applyNumberFormat="1" applyFont="1" applyFill="1" applyAlignment="1">
      <alignment horizontal="right" vertical="center"/>
    </xf>
    <xf numFmtId="3" fontId="172" fillId="53" borderId="0" xfId="0" applyNumberFormat="1" applyFont="1" applyFill="1" applyAlignment="1">
      <alignment horizontal="right" vertical="center"/>
    </xf>
    <xf numFmtId="0" fontId="12" fillId="53" borderId="0" xfId="0" applyFont="1" applyFill="1" applyAlignment="1">
      <alignment vertical="center"/>
    </xf>
    <xf numFmtId="0" fontId="179" fillId="0" borderId="0" xfId="0" applyFont="1"/>
    <xf numFmtId="0" fontId="14" fillId="53" borderId="0" xfId="0" applyFont="1" applyFill="1"/>
    <xf numFmtId="3" fontId="171" fillId="53" borderId="0" xfId="1" applyNumberFormat="1" applyFont="1" applyFill="1" applyAlignment="1">
      <alignment horizontal="right" vertical="center"/>
    </xf>
    <xf numFmtId="3" fontId="12" fillId="53" borderId="0" xfId="82" applyNumberFormat="1" applyFont="1" applyFill="1" applyBorder="1" applyAlignment="1">
      <alignment horizontal="right" vertical="center"/>
    </xf>
    <xf numFmtId="3" fontId="171" fillId="53" borderId="0" xfId="82" applyNumberFormat="1" applyFont="1" applyFill="1" applyBorder="1" applyAlignment="1">
      <alignment horizontal="right" vertical="center"/>
    </xf>
    <xf numFmtId="0" fontId="179" fillId="53" borderId="0" xfId="0" applyFont="1" applyFill="1"/>
    <xf numFmtId="0" fontId="179" fillId="53" borderId="0" xfId="0" applyFont="1" applyFill="1" applyAlignment="1">
      <alignment horizontal="right"/>
    </xf>
    <xf numFmtId="170" fontId="179" fillId="53" borderId="0" xfId="1522" applyNumberFormat="1" applyFont="1" applyFill="1" applyAlignment="1">
      <alignment horizontal="right"/>
    </xf>
    <xf numFmtId="170" fontId="173" fillId="53" borderId="0" xfId="1406" applyNumberFormat="1" applyFont="1" applyFill="1" applyBorder="1" applyAlignment="1">
      <alignment horizontal="right" vertical="center"/>
    </xf>
    <xf numFmtId="0" fontId="14" fillId="53" borderId="0" xfId="0" applyFont="1" applyFill="1" applyAlignment="1">
      <alignment horizontal="right"/>
    </xf>
    <xf numFmtId="0" fontId="13" fillId="53" borderId="0" xfId="0" applyFont="1" applyFill="1"/>
    <xf numFmtId="170" fontId="175" fillId="53" borderId="0" xfId="1406" applyNumberFormat="1" applyFont="1" applyFill="1" applyBorder="1" applyAlignment="1">
      <alignment horizontal="right" vertical="center"/>
    </xf>
    <xf numFmtId="170" fontId="10" fillId="53" borderId="0" xfId="1406" applyNumberFormat="1" applyFont="1" applyFill="1" applyBorder="1" applyAlignment="1">
      <alignment horizontal="right" vertical="center"/>
    </xf>
    <xf numFmtId="170" fontId="172" fillId="53" borderId="0" xfId="1406" applyNumberFormat="1" applyFont="1" applyFill="1" applyBorder="1" applyAlignment="1">
      <alignment horizontal="right" vertical="center"/>
    </xf>
    <xf numFmtId="10" fontId="10" fillId="53" borderId="0" xfId="1406" applyNumberFormat="1" applyFont="1" applyFill="1" applyBorder="1" applyAlignment="1">
      <alignment horizontal="right" vertical="center"/>
    </xf>
    <xf numFmtId="3" fontId="14" fillId="53" borderId="0" xfId="0" applyNumberFormat="1" applyFont="1" applyFill="1" applyAlignment="1">
      <alignment horizontal="right"/>
    </xf>
    <xf numFmtId="0" fontId="13" fillId="53" borderId="0" xfId="0" applyFont="1" applyFill="1" applyAlignment="1">
      <alignment horizontal="right"/>
    </xf>
    <xf numFmtId="3" fontId="175" fillId="53" borderId="0" xfId="82" applyNumberFormat="1" applyFont="1" applyFill="1" applyBorder="1" applyAlignment="1">
      <alignment horizontal="right" vertical="center"/>
    </xf>
    <xf numFmtId="170" fontId="13" fillId="53" borderId="0" xfId="1522" applyNumberFormat="1" applyFont="1" applyFill="1" applyAlignment="1">
      <alignment horizontal="right"/>
    </xf>
    <xf numFmtId="3" fontId="177" fillId="53" borderId="0" xfId="82" applyNumberFormat="1" applyFont="1" applyFill="1" applyBorder="1" applyAlignment="1">
      <alignment horizontal="right" vertical="center"/>
    </xf>
    <xf numFmtId="3" fontId="12" fillId="53" borderId="0" xfId="0" applyNumberFormat="1" applyFont="1" applyFill="1" applyAlignment="1">
      <alignment horizontal="right" vertical="center"/>
    </xf>
    <xf numFmtId="3" fontId="171" fillId="53" borderId="0" xfId="0" applyNumberFormat="1" applyFont="1" applyFill="1" applyAlignment="1">
      <alignment horizontal="right" vertical="center"/>
    </xf>
    <xf numFmtId="169" fontId="10" fillId="53" borderId="0" xfId="82" applyNumberFormat="1" applyFont="1" applyFill="1" applyBorder="1" applyAlignment="1">
      <alignment horizontal="right" vertical="center"/>
    </xf>
    <xf numFmtId="169" fontId="13" fillId="53" borderId="0" xfId="0" applyNumberFormat="1" applyFont="1" applyFill="1" applyAlignment="1">
      <alignment horizontal="right"/>
    </xf>
    <xf numFmtId="3" fontId="177" fillId="53" borderId="0" xfId="82" applyNumberFormat="1" applyFont="1" applyFill="1" applyAlignment="1">
      <alignment horizontal="right" vertical="center"/>
    </xf>
    <xf numFmtId="3" fontId="12" fillId="53" borderId="0" xfId="425" applyNumberFormat="1" applyFont="1" applyFill="1" applyBorder="1" applyAlignment="1">
      <alignment horizontal="right" vertical="center"/>
    </xf>
    <xf numFmtId="0" fontId="12" fillId="53" borderId="0" xfId="1" applyFont="1" applyFill="1"/>
    <xf numFmtId="1" fontId="14" fillId="53" borderId="0" xfId="0" applyNumberFormat="1" applyFont="1" applyFill="1" applyAlignment="1">
      <alignment horizontal="right"/>
    </xf>
    <xf numFmtId="0" fontId="12" fillId="53" borderId="0" xfId="1" applyFont="1" applyFill="1" applyAlignment="1">
      <alignment vertical="center"/>
    </xf>
    <xf numFmtId="3" fontId="171" fillId="53" borderId="0" xfId="82" applyNumberFormat="1" applyFont="1" applyFill="1" applyAlignment="1">
      <alignment horizontal="right" vertical="center"/>
    </xf>
    <xf numFmtId="0" fontId="12" fillId="53" borderId="0" xfId="0" applyFont="1" applyFill="1" applyAlignment="1">
      <alignment horizontal="right" vertical="center"/>
    </xf>
    <xf numFmtId="3" fontId="171" fillId="53" borderId="0" xfId="129" applyNumberFormat="1" applyFont="1" applyFill="1" applyBorder="1" applyAlignment="1">
      <alignment horizontal="right"/>
    </xf>
    <xf numFmtId="3" fontId="12" fillId="53" borderId="0" xfId="1" applyNumberFormat="1" applyFont="1" applyFill="1" applyAlignment="1">
      <alignment horizontal="right"/>
    </xf>
    <xf numFmtId="3" fontId="171" fillId="53" borderId="0" xfId="1" applyNumberFormat="1" applyFont="1" applyFill="1" applyAlignment="1">
      <alignment horizontal="right"/>
    </xf>
    <xf numFmtId="3" fontId="171" fillId="53" borderId="0" xfId="0" applyNumberFormat="1" applyFont="1" applyFill="1" applyAlignment="1">
      <alignment horizontal="right"/>
    </xf>
    <xf numFmtId="0" fontId="172" fillId="53" borderId="0" xfId="0" applyFont="1" applyFill="1" applyAlignment="1">
      <alignment horizontal="right"/>
    </xf>
    <xf numFmtId="3" fontId="172" fillId="53" borderId="0" xfId="0" applyNumberFormat="1" applyFont="1" applyFill="1" applyAlignment="1">
      <alignment horizontal="right"/>
    </xf>
    <xf numFmtId="3" fontId="10" fillId="53" borderId="0" xfId="0" applyNumberFormat="1" applyFont="1" applyFill="1" applyAlignment="1">
      <alignment horizontal="right"/>
    </xf>
    <xf numFmtId="3" fontId="171" fillId="53" borderId="0" xfId="82" applyNumberFormat="1" applyFont="1" applyFill="1" applyAlignment="1">
      <alignment horizontal="right"/>
    </xf>
    <xf numFmtId="3" fontId="171" fillId="53" borderId="0" xfId="82" applyNumberFormat="1" applyFont="1" applyFill="1" applyBorder="1" applyAlignment="1">
      <alignment horizontal="right"/>
    </xf>
    <xf numFmtId="3" fontId="12" fillId="53" borderId="0" xfId="0" applyNumberFormat="1" applyFont="1" applyFill="1" applyAlignment="1">
      <alignment horizontal="right"/>
    </xf>
    <xf numFmtId="1" fontId="13" fillId="53" borderId="0" xfId="0" applyNumberFormat="1" applyFont="1" applyFill="1" applyAlignment="1">
      <alignment horizontal="right"/>
    </xf>
    <xf numFmtId="169" fontId="171" fillId="53" borderId="0" xfId="0" applyNumberFormat="1" applyFont="1" applyFill="1" applyAlignment="1">
      <alignment horizontal="right"/>
    </xf>
    <xf numFmtId="3" fontId="172" fillId="53" borderId="0" xfId="82" applyNumberFormat="1" applyFont="1" applyFill="1" applyBorder="1" applyAlignment="1">
      <alignment horizontal="right"/>
    </xf>
    <xf numFmtId="3" fontId="12" fillId="53" borderId="0" xfId="82" applyNumberFormat="1" applyFont="1" applyFill="1" applyBorder="1" applyAlignment="1">
      <alignment horizontal="right"/>
    </xf>
    <xf numFmtId="3" fontId="12" fillId="53" borderId="0" xfId="0" applyNumberFormat="1" applyFont="1" applyFill="1"/>
    <xf numFmtId="0" fontId="12" fillId="53" borderId="0" xfId="0" applyFont="1" applyFill="1"/>
    <xf numFmtId="0" fontId="10" fillId="53" borderId="0" xfId="0" applyFont="1" applyFill="1"/>
    <xf numFmtId="0" fontId="12" fillId="53" borderId="0" xfId="0" applyFont="1" applyFill="1" applyAlignment="1">
      <alignment horizontal="right"/>
    </xf>
    <xf numFmtId="169" fontId="177" fillId="53" borderId="0" xfId="0" applyNumberFormat="1" applyFont="1" applyFill="1" applyAlignment="1">
      <alignment horizontal="right" vertical="center"/>
    </xf>
    <xf numFmtId="169" fontId="12" fillId="53" borderId="0" xfId="0" applyNumberFormat="1" applyFont="1" applyFill="1" applyAlignment="1">
      <alignment horizontal="right" vertical="center"/>
    </xf>
    <xf numFmtId="169" fontId="175" fillId="53" borderId="0" xfId="0" applyNumberFormat="1" applyFont="1" applyFill="1" applyAlignment="1">
      <alignment horizontal="right" vertical="center"/>
    </xf>
    <xf numFmtId="169" fontId="10" fillId="53" borderId="0" xfId="0" applyNumberFormat="1" applyFont="1" applyFill="1" applyAlignment="1">
      <alignment horizontal="right" vertical="center"/>
    </xf>
    <xf numFmtId="169" fontId="172" fillId="53" borderId="0" xfId="0" applyNumberFormat="1" applyFont="1" applyFill="1" applyAlignment="1">
      <alignment horizontal="right" vertical="center"/>
    </xf>
    <xf numFmtId="169" fontId="171" fillId="53" borderId="0" xfId="0" applyNumberFormat="1" applyFont="1" applyFill="1" applyAlignment="1">
      <alignment horizontal="right" vertical="center"/>
    </xf>
    <xf numFmtId="3" fontId="177" fillId="53" borderId="0" xfId="0" applyNumberFormat="1" applyFont="1" applyFill="1" applyAlignment="1">
      <alignment horizontal="right" vertical="center"/>
    </xf>
    <xf numFmtId="3" fontId="14" fillId="53" borderId="0" xfId="0" applyNumberFormat="1" applyFont="1" applyFill="1"/>
    <xf numFmtId="170" fontId="179" fillId="53" borderId="0" xfId="1522" applyNumberFormat="1" applyFont="1" applyFill="1" applyBorder="1"/>
    <xf numFmtId="3" fontId="13" fillId="53" borderId="0" xfId="0" applyNumberFormat="1" applyFont="1" applyFill="1"/>
    <xf numFmtId="170" fontId="179" fillId="53" borderId="0" xfId="1522" applyNumberFormat="1" applyFont="1" applyFill="1"/>
    <xf numFmtId="1" fontId="13" fillId="53" borderId="0" xfId="0" applyNumberFormat="1" applyFont="1" applyFill="1"/>
    <xf numFmtId="170" fontId="13" fillId="53" borderId="0" xfId="1522" applyNumberFormat="1" applyFont="1" applyFill="1"/>
    <xf numFmtId="0" fontId="172" fillId="0" borderId="0" xfId="0" applyFont="1"/>
    <xf numFmtId="3" fontId="172" fillId="53" borderId="0" xfId="0" applyNumberFormat="1" applyFont="1" applyFill="1"/>
    <xf numFmtId="3" fontId="10" fillId="53" borderId="0" xfId="0" applyNumberFormat="1" applyFont="1" applyFill="1" applyAlignment="1">
      <alignment vertical="center"/>
    </xf>
    <xf numFmtId="3" fontId="12" fillId="53" borderId="0" xfId="0" applyNumberFormat="1" applyFont="1" applyFill="1" applyAlignment="1">
      <alignment vertical="center"/>
    </xf>
    <xf numFmtId="0" fontId="172" fillId="53" borderId="0" xfId="1" applyFont="1" applyFill="1" applyAlignment="1">
      <alignment horizontal="right"/>
    </xf>
    <xf numFmtId="0" fontId="172" fillId="53" borderId="0" xfId="1558" applyFont="1" applyFill="1" applyAlignment="1">
      <alignment horizontal="right"/>
    </xf>
    <xf numFmtId="1" fontId="172" fillId="53" borderId="0" xfId="1541" applyNumberFormat="1" applyFont="1" applyFill="1" applyAlignment="1">
      <alignment horizontal="right" vertical="center"/>
    </xf>
    <xf numFmtId="1" fontId="10" fillId="53" borderId="0" xfId="1541" applyNumberFormat="1" applyFont="1" applyFill="1" applyAlignment="1">
      <alignment horizontal="right" vertical="center"/>
    </xf>
    <xf numFmtId="3" fontId="172" fillId="53" borderId="0" xfId="1582" applyNumberFormat="1" applyFont="1" applyFill="1" applyAlignment="1">
      <alignment horizontal="right" vertical="center"/>
    </xf>
    <xf numFmtId="3" fontId="10" fillId="53" borderId="0" xfId="1582" applyNumberFormat="1" applyFont="1" applyFill="1" applyAlignment="1">
      <alignment horizontal="right" vertical="center"/>
    </xf>
    <xf numFmtId="3" fontId="171" fillId="53" borderId="0" xfId="0" applyNumberFormat="1" applyFont="1" applyFill="1"/>
    <xf numFmtId="0" fontId="172" fillId="53" borderId="0" xfId="0" applyFont="1" applyFill="1"/>
    <xf numFmtId="2" fontId="172" fillId="53" borderId="0" xfId="0" applyNumberFormat="1" applyFont="1" applyFill="1"/>
    <xf numFmtId="9" fontId="13" fillId="53" borderId="0" xfId="1522" applyFont="1" applyFill="1"/>
    <xf numFmtId="170" fontId="175" fillId="53" borderId="0" xfId="0" applyNumberFormat="1" applyFont="1" applyFill="1" applyAlignment="1">
      <alignment horizontal="center" vertical="center"/>
    </xf>
    <xf numFmtId="170" fontId="175" fillId="53" borderId="0" xfId="0" applyNumberFormat="1" applyFont="1" applyFill="1" applyAlignment="1">
      <alignment horizontal="right" vertical="center"/>
    </xf>
    <xf numFmtId="170" fontId="10" fillId="53" borderId="0" xfId="0" applyNumberFormat="1" applyFont="1" applyFill="1" applyAlignment="1">
      <alignment horizontal="right" vertical="center"/>
    </xf>
    <xf numFmtId="3" fontId="10" fillId="53" borderId="0" xfId="82" applyNumberFormat="1" applyFont="1" applyFill="1" applyBorder="1" applyAlignment="1">
      <alignment horizontal="center" vertical="center"/>
    </xf>
    <xf numFmtId="169" fontId="10" fillId="53" borderId="0" xfId="82" applyNumberFormat="1" applyFont="1" applyFill="1" applyAlignment="1">
      <alignment horizontal="right" vertical="center"/>
    </xf>
    <xf numFmtId="0" fontId="178" fillId="2" borderId="0" xfId="0" applyFont="1" applyFill="1"/>
    <xf numFmtId="0" fontId="9" fillId="2" borderId="0" xfId="0" applyFont="1" applyFill="1" applyAlignment="1">
      <alignment horizontal="right"/>
    </xf>
    <xf numFmtId="170" fontId="171" fillId="53" borderId="0" xfId="1406" applyNumberFormat="1" applyFont="1" applyFill="1" applyAlignment="1">
      <alignment horizontal="right" vertical="center"/>
    </xf>
    <xf numFmtId="170" fontId="172" fillId="53" borderId="0" xfId="1406" applyNumberFormat="1" applyFont="1" applyFill="1" applyAlignment="1">
      <alignment horizontal="right" vertical="center"/>
    </xf>
    <xf numFmtId="3" fontId="10" fillId="53" borderId="0" xfId="0" applyNumberFormat="1" applyFont="1" applyFill="1"/>
    <xf numFmtId="170" fontId="13" fillId="53" borderId="0" xfId="0" applyNumberFormat="1" applyFont="1" applyFill="1"/>
    <xf numFmtId="170" fontId="172" fillId="53" borderId="0" xfId="0" applyNumberFormat="1" applyFont="1" applyFill="1"/>
    <xf numFmtId="0" fontId="172" fillId="53" borderId="0" xfId="0" applyFont="1" applyFill="1" applyAlignment="1">
      <alignment horizontal="right" vertical="center"/>
    </xf>
    <xf numFmtId="170" fontId="172" fillId="53" borderId="0" xfId="1522" applyNumberFormat="1" applyFont="1" applyFill="1"/>
    <xf numFmtId="170" fontId="171" fillId="53" borderId="0" xfId="1522" applyNumberFormat="1" applyFont="1" applyFill="1"/>
    <xf numFmtId="170" fontId="172" fillId="53" borderId="0" xfId="1522" applyNumberFormat="1" applyFont="1" applyFill="1" applyAlignment="1">
      <alignment horizontal="right" vertical="center"/>
    </xf>
    <xf numFmtId="0" fontId="176" fillId="0" borderId="0" xfId="0" applyFont="1"/>
    <xf numFmtId="3" fontId="13" fillId="0" borderId="0" xfId="0" applyNumberFormat="1" applyFont="1"/>
    <xf numFmtId="9" fontId="172" fillId="53" borderId="0" xfId="1522" applyFont="1" applyFill="1"/>
    <xf numFmtId="0" fontId="9" fillId="0" borderId="0" xfId="0" applyFont="1" applyAlignment="1">
      <alignment vertical="center"/>
    </xf>
    <xf numFmtId="170" fontId="10" fillId="53" borderId="0" xfId="0" applyNumberFormat="1" applyFont="1" applyFill="1"/>
    <xf numFmtId="219" fontId="9" fillId="2" borderId="0" xfId="0" applyNumberFormat="1" applyFont="1" applyFill="1" applyAlignment="1">
      <alignment horizontal="right"/>
    </xf>
    <xf numFmtId="0" fontId="171" fillId="53" borderId="0" xfId="0" applyFont="1" applyFill="1" applyAlignment="1">
      <alignment horizontal="right"/>
    </xf>
    <xf numFmtId="169" fontId="174" fillId="53" borderId="0" xfId="82" applyNumberFormat="1" applyFont="1" applyFill="1" applyAlignment="1">
      <alignment horizontal="right" vertical="center"/>
    </xf>
    <xf numFmtId="10" fontId="172" fillId="53" borderId="0" xfId="0" applyNumberFormat="1" applyFont="1" applyFill="1" applyAlignment="1">
      <alignment horizontal="right"/>
    </xf>
    <xf numFmtId="0" fontId="171" fillId="53" borderId="0" xfId="0" applyFont="1" applyFill="1"/>
    <xf numFmtId="3" fontId="180" fillId="53" borderId="0" xfId="0" applyNumberFormat="1" applyFont="1" applyFill="1" applyAlignment="1">
      <alignment horizontal="right"/>
    </xf>
    <xf numFmtId="170" fontId="14" fillId="53" borderId="0" xfId="1522" applyNumberFormat="1" applyFont="1" applyFill="1"/>
    <xf numFmtId="1" fontId="14" fillId="53" borderId="0" xfId="0" applyNumberFormat="1" applyFont="1" applyFill="1"/>
    <xf numFmtId="0" fontId="13" fillId="52" borderId="0" xfId="377" applyFont="1" applyFill="1" applyAlignment="1">
      <alignment vertical="center"/>
    </xf>
    <xf numFmtId="3" fontId="13" fillId="52" borderId="0" xfId="377" applyNumberFormat="1" applyFont="1" applyFill="1" applyAlignment="1">
      <alignment vertical="center"/>
    </xf>
    <xf numFmtId="0" fontId="13" fillId="52" borderId="0" xfId="0" applyFont="1" applyFill="1" applyAlignment="1">
      <alignment vertical="center"/>
    </xf>
    <xf numFmtId="0" fontId="14" fillId="52" borderId="0" xfId="0" applyFont="1" applyFill="1" applyAlignment="1">
      <alignment vertical="center"/>
    </xf>
    <xf numFmtId="10" fontId="13" fillId="53" borderId="0" xfId="1522" applyNumberFormat="1" applyFont="1" applyFill="1" applyAlignment="1">
      <alignment horizontal="right"/>
    </xf>
    <xf numFmtId="10" fontId="175" fillId="53" borderId="0" xfId="1406" applyNumberFormat="1" applyFont="1" applyFill="1" applyBorder="1" applyAlignment="1">
      <alignment horizontal="right" vertical="center"/>
    </xf>
    <xf numFmtId="10" fontId="172" fillId="53" borderId="0" xfId="1406" applyNumberFormat="1" applyFont="1" applyFill="1" applyBorder="1" applyAlignment="1">
      <alignment horizontal="right" vertical="center"/>
    </xf>
    <xf numFmtId="10" fontId="172" fillId="53" borderId="0" xfId="1" applyNumberFormat="1" applyFont="1" applyFill="1" applyAlignment="1">
      <alignment horizontal="right"/>
    </xf>
    <xf numFmtId="10" fontId="13" fillId="53" borderId="0" xfId="0" applyNumberFormat="1" applyFont="1" applyFill="1" applyAlignment="1">
      <alignment horizontal="right"/>
    </xf>
    <xf numFmtId="10" fontId="172" fillId="53" borderId="0" xfId="1406" applyNumberFormat="1" applyFont="1" applyFill="1" applyBorder="1" applyAlignment="1">
      <alignment horizontal="right"/>
    </xf>
    <xf numFmtId="170" fontId="12" fillId="53" borderId="0" xfId="0" applyNumberFormat="1" applyFont="1" applyFill="1"/>
    <xf numFmtId="2" fontId="10" fillId="53" borderId="0" xfId="0" applyNumberFormat="1" applyFont="1" applyFill="1"/>
    <xf numFmtId="0" fontId="179" fillId="2" borderId="0" xfId="0" applyFont="1" applyFill="1"/>
    <xf numFmtId="0" fontId="178" fillId="2" borderId="0" xfId="0" applyFont="1" applyFill="1" applyAlignment="1">
      <alignment horizontal="right"/>
    </xf>
    <xf numFmtId="0" fontId="182" fillId="53" borderId="0" xfId="0" applyFont="1" applyFill="1" applyAlignment="1">
      <alignment vertical="center"/>
    </xf>
    <xf numFmtId="3" fontId="182" fillId="53" borderId="0" xfId="0" applyNumberFormat="1" applyFont="1" applyFill="1" applyAlignment="1">
      <alignment horizontal="right"/>
    </xf>
    <xf numFmtId="0" fontId="14" fillId="54" borderId="24" xfId="0" applyFont="1" applyFill="1" applyBorder="1"/>
    <xf numFmtId="3" fontId="14" fillId="54" borderId="24" xfId="0" applyNumberFormat="1" applyFont="1" applyFill="1" applyBorder="1"/>
    <xf numFmtId="4" fontId="14" fillId="54" borderId="24" xfId="0" applyNumberFormat="1" applyFont="1" applyFill="1" applyBorder="1"/>
    <xf numFmtId="0" fontId="9" fillId="52" borderId="0" xfId="0" applyFont="1" applyFill="1" applyAlignment="1">
      <alignment horizontal="left"/>
    </xf>
    <xf numFmtId="0" fontId="9" fillId="52" borderId="0" xfId="0" applyFont="1" applyFill="1" applyAlignment="1">
      <alignment horizontal="center"/>
    </xf>
    <xf numFmtId="0" fontId="9" fillId="52" borderId="0" xfId="0" applyFont="1" applyFill="1" applyAlignment="1">
      <alignment horizontal="right"/>
    </xf>
    <xf numFmtId="0" fontId="13" fillId="52" borderId="0" xfId="0" applyFont="1" applyFill="1"/>
    <xf numFmtId="0" fontId="13" fillId="2" borderId="0" xfId="0" applyFont="1" applyFill="1" applyAlignment="1">
      <alignment vertical="center"/>
    </xf>
    <xf numFmtId="0" fontId="13" fillId="2" borderId="0" xfId="0" applyFont="1" applyFill="1" applyAlignment="1">
      <alignment horizontal="center"/>
    </xf>
    <xf numFmtId="3" fontId="13" fillId="52" borderId="0" xfId="0" applyNumberFormat="1" applyFont="1" applyFill="1" applyAlignment="1">
      <alignment horizontal="right"/>
    </xf>
    <xf numFmtId="3" fontId="14" fillId="52" borderId="0" xfId="0" applyNumberFormat="1" applyFont="1" applyFill="1" applyAlignment="1">
      <alignment horizontal="right"/>
    </xf>
    <xf numFmtId="3" fontId="176" fillId="52" borderId="0" xfId="0" applyNumberFormat="1" applyFont="1" applyFill="1" applyAlignment="1">
      <alignment horizontal="right" vertical="center"/>
    </xf>
    <xf numFmtId="3" fontId="10" fillId="52" borderId="0" xfId="0" applyNumberFormat="1" applyFont="1" applyFill="1" applyAlignment="1">
      <alignment horizontal="right" vertical="center"/>
    </xf>
    <xf numFmtId="3" fontId="10" fillId="52" borderId="0" xfId="82" applyNumberFormat="1" applyFont="1" applyFill="1" applyBorder="1" applyAlignment="1">
      <alignment horizontal="right" vertical="center"/>
    </xf>
    <xf numFmtId="170" fontId="176" fillId="52" borderId="0" xfId="0" applyNumberFormat="1" applyFont="1" applyFill="1"/>
    <xf numFmtId="10" fontId="13" fillId="52" borderId="0" xfId="1522" applyNumberFormat="1" applyFont="1" applyFill="1" applyAlignment="1">
      <alignment horizontal="right"/>
    </xf>
    <xf numFmtId="3" fontId="180" fillId="52" borderId="0" xfId="0" applyNumberFormat="1" applyFont="1" applyFill="1" applyAlignment="1">
      <alignment horizontal="right"/>
    </xf>
    <xf numFmtId="170" fontId="13" fillId="52" borderId="0" xfId="1522" applyNumberFormat="1" applyFont="1" applyFill="1"/>
    <xf numFmtId="0" fontId="176" fillId="52" borderId="0" xfId="0" applyFont="1" applyFill="1"/>
    <xf numFmtId="3" fontId="13" fillId="52" borderId="0" xfId="0" applyNumberFormat="1" applyFont="1" applyFill="1"/>
    <xf numFmtId="3" fontId="171" fillId="54" borderId="24" xfId="0" applyNumberFormat="1" applyFont="1" applyFill="1" applyBorder="1"/>
    <xf numFmtId="170" fontId="179" fillId="52" borderId="0" xfId="1522" applyNumberFormat="1" applyFont="1" applyFill="1"/>
    <xf numFmtId="170" fontId="179" fillId="52" borderId="0" xfId="1522" applyNumberFormat="1" applyFont="1" applyFill="1" applyBorder="1"/>
    <xf numFmtId="3" fontId="172" fillId="52" borderId="0" xfId="0" applyNumberFormat="1" applyFont="1" applyFill="1"/>
    <xf numFmtId="0" fontId="172" fillId="52" borderId="0" xfId="0" applyFont="1" applyFill="1"/>
    <xf numFmtId="3" fontId="171" fillId="52" borderId="0" xfId="0" applyNumberFormat="1" applyFont="1" applyFill="1"/>
    <xf numFmtId="3" fontId="176" fillId="52" borderId="0" xfId="0" applyNumberFormat="1" applyFont="1" applyFill="1"/>
    <xf numFmtId="3" fontId="12" fillId="52" borderId="0" xfId="0" applyNumberFormat="1" applyFont="1" applyFill="1" applyAlignment="1">
      <alignment horizontal="right" vertical="center"/>
    </xf>
    <xf numFmtId="3" fontId="14" fillId="52" borderId="0" xfId="0" applyNumberFormat="1" applyFont="1" applyFill="1"/>
    <xf numFmtId="169" fontId="176" fillId="52" borderId="0" xfId="0" applyNumberFormat="1" applyFont="1" applyFill="1" applyAlignment="1">
      <alignment horizontal="right" vertical="center"/>
    </xf>
    <xf numFmtId="1" fontId="13" fillId="52" borderId="0" xfId="0" applyNumberFormat="1" applyFont="1" applyFill="1"/>
    <xf numFmtId="1" fontId="12" fillId="52" borderId="0" xfId="0" applyNumberFormat="1" applyFont="1" applyFill="1"/>
    <xf numFmtId="170" fontId="180" fillId="52" borderId="0" xfId="1522" applyNumberFormat="1" applyFont="1" applyFill="1"/>
    <xf numFmtId="170" fontId="14" fillId="52" borderId="0" xfId="1522" applyNumberFormat="1" applyFont="1" applyFill="1"/>
    <xf numFmtId="2" fontId="10" fillId="52" borderId="0" xfId="0" applyNumberFormat="1" applyFont="1" applyFill="1"/>
    <xf numFmtId="169" fontId="175" fillId="52" borderId="0" xfId="0" applyNumberFormat="1" applyFont="1" applyFill="1" applyAlignment="1">
      <alignment horizontal="right" vertical="center"/>
    </xf>
    <xf numFmtId="3" fontId="10" fillId="52" borderId="0" xfId="0" applyNumberFormat="1" applyFont="1" applyFill="1"/>
    <xf numFmtId="3" fontId="12" fillId="52" borderId="0" xfId="0" applyNumberFormat="1" applyFont="1" applyFill="1"/>
    <xf numFmtId="1" fontId="14" fillId="52" borderId="0" xfId="0" applyNumberFormat="1" applyFont="1" applyFill="1"/>
    <xf numFmtId="170" fontId="10" fillId="52" borderId="0" xfId="0" applyNumberFormat="1" applyFont="1" applyFill="1" applyAlignment="1">
      <alignment horizontal="right" vertical="center"/>
    </xf>
    <xf numFmtId="169" fontId="10" fillId="52" borderId="0" xfId="82" applyNumberFormat="1" applyFont="1" applyFill="1" applyAlignment="1">
      <alignment horizontal="right" vertical="center"/>
    </xf>
    <xf numFmtId="3" fontId="180" fillId="52" borderId="0" xfId="0" applyNumberFormat="1" applyFont="1" applyFill="1"/>
    <xf numFmtId="170" fontId="176" fillId="52" borderId="0" xfId="1522" applyNumberFormat="1" applyFont="1" applyFill="1"/>
    <xf numFmtId="170" fontId="176" fillId="52" borderId="0" xfId="0" applyNumberFormat="1" applyFont="1" applyFill="1" applyAlignment="1">
      <alignment horizontal="right" vertical="center"/>
    </xf>
    <xf numFmtId="169" fontId="180" fillId="52" borderId="0" xfId="0" applyNumberFormat="1" applyFont="1" applyFill="1" applyAlignment="1">
      <alignment horizontal="right" vertical="center"/>
    </xf>
    <xf numFmtId="169" fontId="12" fillId="52" borderId="0" xfId="0" applyNumberFormat="1" applyFont="1" applyFill="1" applyAlignment="1">
      <alignment horizontal="right" vertical="center"/>
    </xf>
    <xf numFmtId="169" fontId="176" fillId="52" borderId="0" xfId="0" applyNumberFormat="1" applyFont="1" applyFill="1"/>
    <xf numFmtId="3" fontId="172" fillId="52" borderId="0" xfId="0" applyNumberFormat="1" applyFont="1" applyFill="1" applyAlignment="1">
      <alignment horizontal="right" vertical="center"/>
    </xf>
    <xf numFmtId="3" fontId="175" fillId="52" borderId="0" xfId="0" applyNumberFormat="1" applyFont="1" applyFill="1" applyAlignment="1">
      <alignment horizontal="right" vertical="center"/>
    </xf>
    <xf numFmtId="0" fontId="13" fillId="2" borderId="0" xfId="1317" applyFont="1" applyFill="1" applyAlignment="1">
      <alignment vertical="center"/>
    </xf>
    <xf numFmtId="0" fontId="9" fillId="2" borderId="0" xfId="0" applyFont="1" applyFill="1" applyAlignment="1">
      <alignment horizontal="center" vertical="center"/>
    </xf>
    <xf numFmtId="1" fontId="172" fillId="53" borderId="0" xfId="0" applyNumberFormat="1" applyFont="1" applyFill="1"/>
    <xf numFmtId="170" fontId="13" fillId="52" borderId="0" xfId="1522" applyNumberFormat="1" applyFont="1" applyFill="1" applyAlignment="1">
      <alignment horizontal="right" vertical="center"/>
    </xf>
    <xf numFmtId="0" fontId="13" fillId="2" borderId="0" xfId="0" applyFont="1" applyFill="1" applyAlignment="1">
      <alignment horizontal="right" vertical="center"/>
    </xf>
    <xf numFmtId="0" fontId="13" fillId="0" borderId="0" xfId="0" applyFont="1" applyAlignment="1">
      <alignment horizontal="right" vertical="center"/>
    </xf>
    <xf numFmtId="1" fontId="10" fillId="53" borderId="0" xfId="0" applyNumberFormat="1" applyFont="1" applyFill="1"/>
    <xf numFmtId="3" fontId="176" fillId="0" borderId="0" xfId="0" applyNumberFormat="1" applyFont="1"/>
    <xf numFmtId="3" fontId="12" fillId="0" borderId="0" xfId="0" applyNumberFormat="1" applyFont="1" applyAlignment="1">
      <alignment horizontal="right" vertical="center"/>
    </xf>
    <xf numFmtId="0" fontId="183" fillId="0" borderId="0" xfId="0" applyFont="1"/>
    <xf numFmtId="9" fontId="13" fillId="52" borderId="0" xfId="1522" applyFont="1" applyFill="1" applyAlignment="1">
      <alignment horizontal="right" vertical="center"/>
    </xf>
    <xf numFmtId="3" fontId="172" fillId="53" borderId="0" xfId="1585" applyNumberFormat="1" applyFont="1" applyFill="1" applyBorder="1" applyAlignment="1">
      <alignment horizontal="right"/>
    </xf>
    <xf numFmtId="3" fontId="172" fillId="53" borderId="0" xfId="1585" applyNumberFormat="1" applyFont="1" applyFill="1" applyAlignment="1">
      <alignment horizontal="right"/>
    </xf>
    <xf numFmtId="169" fontId="172" fillId="53" borderId="0" xfId="0" applyNumberFormat="1" applyFont="1" applyFill="1" applyAlignment="1">
      <alignment horizontal="right"/>
    </xf>
    <xf numFmtId="3" fontId="12" fillId="53" borderId="0" xfId="1" applyNumberFormat="1" applyFont="1" applyFill="1" applyAlignment="1">
      <alignment horizontal="right" vertical="center"/>
    </xf>
    <xf numFmtId="3" fontId="12" fillId="53" borderId="0" xfId="82" applyNumberFormat="1" applyFont="1" applyFill="1" applyAlignment="1">
      <alignment horizontal="right" vertical="center"/>
    </xf>
    <xf numFmtId="3" fontId="14" fillId="0" borderId="0" xfId="0" applyNumberFormat="1" applyFont="1" applyAlignment="1">
      <alignment horizontal="right"/>
    </xf>
    <xf numFmtId="0" fontId="10" fillId="53" borderId="0" xfId="0" applyFont="1" applyFill="1" applyAlignment="1">
      <alignment horizontal="right"/>
    </xf>
    <xf numFmtId="3" fontId="171" fillId="53" borderId="0" xfId="425" applyNumberFormat="1" applyFont="1" applyFill="1" applyBorder="1" applyAlignment="1">
      <alignment horizontal="right" vertical="center"/>
    </xf>
    <xf numFmtId="3" fontId="177" fillId="53" borderId="0" xfId="0" applyNumberFormat="1" applyFont="1" applyFill="1" applyAlignment="1">
      <alignment horizontal="right"/>
    </xf>
    <xf numFmtId="10" fontId="11" fillId="53" borderId="0" xfId="1406" applyNumberFormat="1" applyFont="1" applyFill="1" applyBorder="1" applyAlignment="1">
      <alignment horizontal="right" vertical="center"/>
    </xf>
    <xf numFmtId="169" fontId="176" fillId="53" borderId="0" xfId="0" applyNumberFormat="1" applyFont="1" applyFill="1" applyAlignment="1">
      <alignment horizontal="right"/>
    </xf>
    <xf numFmtId="170" fontId="14" fillId="53" borderId="0" xfId="1522" applyNumberFormat="1" applyFont="1" applyFill="1" applyBorder="1"/>
    <xf numFmtId="170" fontId="13" fillId="53" borderId="0" xfId="1522" applyNumberFormat="1" applyFont="1" applyFill="1" applyBorder="1"/>
    <xf numFmtId="9" fontId="13" fillId="53" borderId="0" xfId="1522" applyFont="1" applyFill="1" applyBorder="1"/>
    <xf numFmtId="169" fontId="10" fillId="53"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3" fontId="172" fillId="53" borderId="0" xfId="0" applyNumberFormat="1" applyFont="1" applyFill="1" applyAlignment="1">
      <alignment vertical="center"/>
    </xf>
    <xf numFmtId="0" fontId="179" fillId="2" borderId="0" xfId="0" applyFont="1" applyFill="1" applyAlignment="1">
      <alignment vertical="center"/>
    </xf>
    <xf numFmtId="0" fontId="179" fillId="2" borderId="0" xfId="0" applyFont="1" applyFill="1" applyAlignment="1">
      <alignment horizontal="right" vertical="center"/>
    </xf>
    <xf numFmtId="0" fontId="179" fillId="0" borderId="0" xfId="0" applyFont="1" applyAlignment="1">
      <alignment vertical="center"/>
    </xf>
    <xf numFmtId="0" fontId="14" fillId="53" borderId="0" xfId="0" applyFont="1" applyFill="1" applyAlignment="1">
      <alignment vertical="center"/>
    </xf>
    <xf numFmtId="0" fontId="13" fillId="53" borderId="0" xfId="0" applyFont="1" applyFill="1" applyAlignment="1">
      <alignment horizontal="right" vertical="center"/>
    </xf>
    <xf numFmtId="0" fontId="13" fillId="52" borderId="0" xfId="0" applyFont="1" applyFill="1" applyAlignment="1">
      <alignment horizontal="right" vertical="center"/>
    </xf>
    <xf numFmtId="0" fontId="13" fillId="53" borderId="0" xfId="0" applyFont="1" applyFill="1" applyAlignment="1">
      <alignment vertical="center"/>
    </xf>
    <xf numFmtId="3" fontId="13" fillId="53" borderId="0" xfId="0" applyNumberFormat="1" applyFont="1" applyFill="1" applyAlignment="1">
      <alignment horizontal="right" vertical="center"/>
    </xf>
    <xf numFmtId="3" fontId="13" fillId="52" borderId="0" xfId="0" applyNumberFormat="1" applyFont="1" applyFill="1" applyAlignment="1">
      <alignment horizontal="right" vertical="center"/>
    </xf>
    <xf numFmtId="3" fontId="13" fillId="52" borderId="0" xfId="0" applyNumberFormat="1" applyFont="1" applyFill="1" applyAlignment="1">
      <alignment vertical="center"/>
    </xf>
    <xf numFmtId="3" fontId="13" fillId="53" borderId="0" xfId="0" applyNumberFormat="1" applyFont="1" applyFill="1" applyAlignment="1">
      <alignment vertical="center"/>
    </xf>
    <xf numFmtId="0" fontId="14" fillId="54" borderId="24" xfId="0" applyFont="1" applyFill="1" applyBorder="1" applyAlignment="1">
      <alignment vertical="center"/>
    </xf>
    <xf numFmtId="3" fontId="14" fillId="54" borderId="24" xfId="0" applyNumberFormat="1" applyFont="1" applyFill="1" applyBorder="1" applyAlignment="1">
      <alignment horizontal="right" vertical="center"/>
    </xf>
    <xf numFmtId="3" fontId="14" fillId="54" borderId="24" xfId="0" applyNumberFormat="1" applyFont="1" applyFill="1" applyBorder="1" applyAlignment="1">
      <alignment vertical="center"/>
    </xf>
    <xf numFmtId="3" fontId="172" fillId="52" borderId="0" xfId="0" applyNumberFormat="1" applyFont="1" applyFill="1" applyAlignment="1">
      <alignment vertical="center"/>
    </xf>
    <xf numFmtId="0" fontId="13" fillId="53" borderId="0" xfId="0" applyFont="1" applyFill="1" applyAlignment="1">
      <alignment vertical="center" wrapText="1"/>
    </xf>
    <xf numFmtId="3" fontId="171" fillId="54" borderId="24" xfId="0" applyNumberFormat="1" applyFont="1" applyFill="1" applyBorder="1" applyAlignment="1">
      <alignment horizontal="right" vertical="center"/>
    </xf>
    <xf numFmtId="3" fontId="10" fillId="0" borderId="0" xfId="0" applyNumberFormat="1" applyFont="1" applyAlignment="1">
      <alignment horizontal="right" vertical="center"/>
    </xf>
    <xf numFmtId="169" fontId="13" fillId="53" borderId="0" xfId="0" applyNumberFormat="1" applyFont="1" applyFill="1" applyAlignment="1">
      <alignment horizontal="right" vertical="center"/>
    </xf>
    <xf numFmtId="169" fontId="13" fillId="52" borderId="0" xfId="0" applyNumberFormat="1" applyFont="1" applyFill="1" applyAlignment="1">
      <alignment horizontal="right" vertical="center"/>
    </xf>
    <xf numFmtId="3" fontId="172" fillId="53" borderId="0" xfId="1585" applyNumberFormat="1" applyFont="1" applyFill="1" applyBorder="1" applyAlignment="1">
      <alignment horizontal="right" vertical="center"/>
    </xf>
    <xf numFmtId="3" fontId="182" fillId="53" borderId="0" xfId="0" applyNumberFormat="1" applyFont="1" applyFill="1" applyAlignment="1">
      <alignment horizontal="right" vertical="center"/>
    </xf>
    <xf numFmtId="169" fontId="182" fillId="53" borderId="0" xfId="0" applyNumberFormat="1" applyFont="1" applyFill="1" applyAlignment="1">
      <alignment horizontal="right" vertical="center"/>
    </xf>
    <xf numFmtId="170" fontId="179" fillId="53" borderId="0" xfId="1522" applyNumberFormat="1" applyFont="1" applyFill="1" applyAlignment="1">
      <alignment horizontal="right" vertical="center"/>
    </xf>
    <xf numFmtId="170" fontId="182" fillId="52" borderId="0" xfId="1522" applyNumberFormat="1" applyFont="1" applyFill="1" applyAlignment="1">
      <alignment horizontal="right" vertical="center"/>
    </xf>
    <xf numFmtId="170" fontId="179" fillId="52" borderId="0" xfId="1522" applyNumberFormat="1" applyFont="1" applyFill="1" applyAlignment="1">
      <alignment horizontal="right" vertical="center"/>
    </xf>
    <xf numFmtId="1" fontId="13" fillId="53" borderId="0" xfId="0" applyNumberFormat="1" applyFont="1" applyFill="1" applyAlignment="1">
      <alignment horizontal="right" vertical="center"/>
    </xf>
    <xf numFmtId="3" fontId="14" fillId="53" borderId="0" xfId="0" applyNumberFormat="1" applyFont="1" applyFill="1" applyAlignment="1">
      <alignment horizontal="right" vertical="center"/>
    </xf>
    <xf numFmtId="3" fontId="14" fillId="52" borderId="0" xfId="0" applyNumberFormat="1" applyFont="1" applyFill="1" applyAlignment="1">
      <alignment horizontal="right" vertical="center"/>
    </xf>
    <xf numFmtId="0" fontId="179" fillId="53" borderId="0" xfId="0" applyFont="1" applyFill="1" applyAlignment="1">
      <alignment horizontal="right" vertical="center"/>
    </xf>
    <xf numFmtId="169" fontId="171" fillId="53" borderId="0" xfId="1586" applyNumberFormat="1" applyFont="1" applyFill="1" applyAlignment="1">
      <alignment horizontal="right"/>
    </xf>
    <xf numFmtId="169" fontId="171" fillId="53" borderId="0" xfId="0" applyNumberFormat="1" applyFont="1" applyFill="1"/>
    <xf numFmtId="0" fontId="11" fillId="53" borderId="0" xfId="0" applyFont="1" applyFill="1"/>
    <xf numFmtId="0" fontId="14" fillId="54" borderId="0" xfId="0" applyFont="1" applyFill="1" applyAlignment="1">
      <alignment vertical="center"/>
    </xf>
    <xf numFmtId="0" fontId="185" fillId="2" borderId="0" xfId="0" applyFont="1" applyFill="1" applyAlignment="1">
      <alignment vertical="center"/>
    </xf>
    <xf numFmtId="216" fontId="9" fillId="2" borderId="0" xfId="1524" applyNumberFormat="1" applyFont="1" applyFill="1" applyAlignment="1">
      <alignment vertical="center"/>
    </xf>
    <xf numFmtId="0" fontId="14" fillId="54" borderId="0" xfId="377" applyFont="1" applyFill="1" applyAlignment="1">
      <alignment vertical="center"/>
    </xf>
    <xf numFmtId="168" fontId="14" fillId="54" borderId="0" xfId="0" applyNumberFormat="1" applyFont="1" applyFill="1" applyAlignment="1">
      <alignment horizontal="center" vertical="center"/>
    </xf>
    <xf numFmtId="10" fontId="172" fillId="53" borderId="0" xfId="0" applyNumberFormat="1" applyFont="1" applyFill="1"/>
    <xf numFmtId="0" fontId="172" fillId="2" borderId="0" xfId="0" applyFont="1" applyFill="1"/>
    <xf numFmtId="170" fontId="172" fillId="53" borderId="0" xfId="126" applyNumberFormat="1" applyFont="1" applyFill="1"/>
    <xf numFmtId="3" fontId="172" fillId="53" borderId="0" xfId="126" applyNumberFormat="1" applyFont="1" applyFill="1" applyAlignment="1">
      <alignment horizontal="right"/>
    </xf>
    <xf numFmtId="0" fontId="172" fillId="53" borderId="0" xfId="126" applyFont="1" applyFill="1"/>
    <xf numFmtId="3" fontId="172" fillId="53" borderId="0" xfId="126" applyNumberFormat="1" applyFont="1" applyFill="1"/>
    <xf numFmtId="1" fontId="172" fillId="53" borderId="0" xfId="126" applyNumberFormat="1" applyFont="1" applyFill="1"/>
    <xf numFmtId="168" fontId="172" fillId="53" borderId="0" xfId="126" applyNumberFormat="1" applyFont="1" applyFill="1"/>
    <xf numFmtId="170" fontId="172" fillId="53" borderId="0" xfId="424" applyNumberFormat="1" applyFont="1" applyFill="1"/>
    <xf numFmtId="170" fontId="172" fillId="53" borderId="0" xfId="126" applyNumberFormat="1" applyFont="1" applyFill="1" applyAlignment="1">
      <alignment horizontal="right"/>
    </xf>
    <xf numFmtId="170" fontId="10" fillId="53" borderId="0" xfId="424" applyNumberFormat="1" applyFont="1" applyFill="1"/>
    <xf numFmtId="170" fontId="10" fillId="53" borderId="0" xfId="1522" applyNumberFormat="1" applyFont="1" applyFill="1"/>
    <xf numFmtId="170" fontId="176" fillId="53" borderId="0" xfId="1522" applyNumberFormat="1" applyFont="1" applyFill="1"/>
    <xf numFmtId="170" fontId="172" fillId="52" borderId="0" xfId="424" applyNumberFormat="1" applyFont="1" applyFill="1"/>
    <xf numFmtId="170" fontId="172" fillId="52" borderId="0" xfId="1522" applyNumberFormat="1" applyFont="1" applyFill="1"/>
    <xf numFmtId="170" fontId="176" fillId="52" borderId="0" xfId="1406" applyNumberFormat="1" applyFont="1" applyFill="1" applyBorder="1" applyAlignment="1">
      <alignment horizontal="right" vertical="center"/>
    </xf>
    <xf numFmtId="170" fontId="172" fillId="52" borderId="0" xfId="1406" applyNumberFormat="1" applyFont="1" applyFill="1" applyBorder="1" applyAlignment="1">
      <alignment horizontal="right" vertical="center"/>
    </xf>
    <xf numFmtId="170" fontId="172" fillId="52" borderId="0" xfId="0" applyNumberFormat="1" applyFont="1" applyFill="1"/>
    <xf numFmtId="170" fontId="13" fillId="52" borderId="0" xfId="0" applyNumberFormat="1" applyFont="1" applyFill="1"/>
    <xf numFmtId="170" fontId="10" fillId="52" borderId="0" xfId="1406" applyNumberFormat="1" applyFont="1" applyFill="1" applyBorder="1" applyAlignment="1">
      <alignment horizontal="right" vertical="center"/>
    </xf>
    <xf numFmtId="3" fontId="176" fillId="53" borderId="0" xfId="1522" applyNumberFormat="1" applyFont="1" applyFill="1"/>
    <xf numFmtId="3" fontId="10" fillId="53" borderId="0" xfId="1522" applyNumberFormat="1" applyFont="1" applyFill="1" applyBorder="1" applyAlignment="1">
      <alignment horizontal="right" vertical="center"/>
    </xf>
    <xf numFmtId="0" fontId="12" fillId="54" borderId="0" xfId="0" applyFont="1" applyFill="1" applyAlignment="1">
      <alignment horizontal="right" vertical="center"/>
    </xf>
    <xf numFmtId="170" fontId="13" fillId="0" borderId="0" xfId="1522" applyNumberFormat="1" applyFont="1" applyAlignment="1">
      <alignment vertical="center"/>
    </xf>
    <xf numFmtId="0" fontId="178" fillId="2" borderId="0" xfId="0" applyFont="1" applyFill="1" applyAlignment="1">
      <alignment vertical="center"/>
    </xf>
    <xf numFmtId="43" fontId="14" fillId="54" borderId="0" xfId="0" applyNumberFormat="1" applyFont="1" applyFill="1" applyAlignment="1">
      <alignment vertical="center"/>
    </xf>
    <xf numFmtId="9" fontId="13" fillId="0" borderId="0" xfId="1522" applyFont="1" applyAlignment="1">
      <alignment vertical="center"/>
    </xf>
    <xf numFmtId="1" fontId="176" fillId="52" borderId="0" xfId="0" applyNumberFormat="1" applyFont="1" applyFill="1"/>
    <xf numFmtId="170" fontId="12" fillId="53" borderId="0" xfId="424" applyNumberFormat="1" applyFont="1" applyFill="1"/>
    <xf numFmtId="170" fontId="12" fillId="53" borderId="0" xfId="1522" applyNumberFormat="1" applyFont="1" applyFill="1"/>
    <xf numFmtId="170" fontId="10" fillId="52" borderId="0" xfId="424" applyNumberFormat="1" applyFont="1" applyFill="1"/>
    <xf numFmtId="170" fontId="10" fillId="52" borderId="0" xfId="1522" applyNumberFormat="1" applyFont="1" applyFill="1"/>
    <xf numFmtId="170" fontId="12" fillId="52" borderId="0" xfId="424" applyNumberFormat="1" applyFont="1" applyFill="1"/>
    <xf numFmtId="0" fontId="10" fillId="52" borderId="0" xfId="0" applyFont="1" applyFill="1"/>
    <xf numFmtId="170" fontId="10" fillId="52" borderId="0" xfId="0" applyNumberFormat="1" applyFont="1" applyFill="1"/>
    <xf numFmtId="170" fontId="12" fillId="52" borderId="0" xfId="0" applyNumberFormat="1" applyFont="1" applyFill="1"/>
    <xf numFmtId="0" fontId="180" fillId="52" borderId="0" xfId="0" applyFont="1" applyFill="1"/>
    <xf numFmtId="222" fontId="180" fillId="52" borderId="0" xfId="1585" applyNumberFormat="1" applyFont="1" applyFill="1"/>
    <xf numFmtId="9" fontId="176" fillId="52" borderId="0" xfId="0" applyNumberFormat="1" applyFont="1" applyFill="1"/>
    <xf numFmtId="0" fontId="180" fillId="55" borderId="0" xfId="0" applyFont="1" applyFill="1"/>
    <xf numFmtId="169" fontId="13" fillId="52" borderId="0" xfId="0" applyNumberFormat="1" applyFont="1" applyFill="1"/>
    <xf numFmtId="0" fontId="14" fillId="52" borderId="0" xfId="0" applyFont="1" applyFill="1"/>
    <xf numFmtId="10" fontId="13" fillId="52" borderId="0" xfId="0" applyNumberFormat="1" applyFont="1" applyFill="1"/>
    <xf numFmtId="10" fontId="176" fillId="52" borderId="0" xfId="0" applyNumberFormat="1" applyFont="1" applyFill="1"/>
    <xf numFmtId="3" fontId="12" fillId="52" borderId="0" xfId="0" applyNumberFormat="1" applyFont="1" applyFill="1" applyAlignment="1">
      <alignment horizontal="right"/>
    </xf>
    <xf numFmtId="10" fontId="10" fillId="52" borderId="0" xfId="1406" applyNumberFormat="1" applyFont="1" applyFill="1" applyBorder="1" applyAlignment="1">
      <alignment horizontal="right" vertical="center"/>
    </xf>
    <xf numFmtId="3" fontId="180" fillId="52" borderId="0" xfId="0" applyNumberFormat="1" applyFont="1" applyFill="1" applyAlignment="1">
      <alignment horizontal="right" vertical="center"/>
    </xf>
    <xf numFmtId="0" fontId="0" fillId="53" borderId="0" xfId="0" applyFill="1"/>
    <xf numFmtId="0" fontId="0" fillId="53" borderId="0" xfId="0" applyFill="1" applyAlignment="1">
      <alignment horizontal="right"/>
    </xf>
    <xf numFmtId="0" fontId="0" fillId="52" borderId="0" xfId="0" applyFill="1" applyAlignment="1">
      <alignment horizontal="right"/>
    </xf>
    <xf numFmtId="0" fontId="0" fillId="52" borderId="0" xfId="0" applyFill="1"/>
    <xf numFmtId="222" fontId="176" fillId="52" borderId="0" xfId="1585" applyNumberFormat="1" applyFont="1" applyFill="1" applyAlignment="1">
      <alignment horizontal="right" vertical="center"/>
    </xf>
    <xf numFmtId="169" fontId="182" fillId="52" borderId="0" xfId="0" applyNumberFormat="1" applyFont="1" applyFill="1" applyAlignment="1">
      <alignment horizontal="right" vertical="center"/>
    </xf>
    <xf numFmtId="222" fontId="14" fillId="52" borderId="0" xfId="1585" applyNumberFormat="1" applyFont="1" applyFill="1" applyAlignment="1">
      <alignment horizontal="right" vertical="center"/>
    </xf>
    <xf numFmtId="10" fontId="13" fillId="52" borderId="0" xfId="1522" applyNumberFormat="1" applyFont="1" applyFill="1" applyAlignment="1">
      <alignment horizontal="right" vertical="center"/>
    </xf>
    <xf numFmtId="10" fontId="13" fillId="52" borderId="0" xfId="0" applyNumberFormat="1" applyFont="1" applyFill="1" applyAlignment="1">
      <alignment horizontal="right" vertical="center"/>
    </xf>
    <xf numFmtId="10" fontId="176" fillId="52" borderId="0" xfId="0" applyNumberFormat="1" applyFont="1" applyFill="1" applyAlignment="1">
      <alignment horizontal="right" vertical="center"/>
    </xf>
    <xf numFmtId="222" fontId="180" fillId="52" borderId="0" xfId="1585" applyNumberFormat="1" applyFont="1" applyFill="1" applyAlignment="1">
      <alignment horizontal="right" vertical="center"/>
    </xf>
    <xf numFmtId="168" fontId="13" fillId="52" borderId="0" xfId="0" applyNumberFormat="1" applyFont="1" applyFill="1" applyAlignment="1">
      <alignment horizontal="right" vertical="center"/>
    </xf>
    <xf numFmtId="222" fontId="14" fillId="52" borderId="0" xfId="0" applyNumberFormat="1" applyFont="1" applyFill="1" applyAlignment="1">
      <alignment horizontal="right" vertical="center"/>
    </xf>
    <xf numFmtId="170" fontId="172" fillId="52" borderId="0" xfId="0" applyNumberFormat="1" applyFont="1" applyFill="1" applyAlignment="1">
      <alignment horizontal="right" vertical="center"/>
    </xf>
    <xf numFmtId="168" fontId="172" fillId="52" borderId="0" xfId="0" applyNumberFormat="1" applyFont="1" applyFill="1" applyAlignment="1">
      <alignment horizontal="right" vertical="center"/>
    </xf>
    <xf numFmtId="170" fontId="10" fillId="52" borderId="0" xfId="1406" applyNumberFormat="1" applyFont="1" applyFill="1" applyAlignment="1">
      <alignment horizontal="right" vertical="center"/>
    </xf>
    <xf numFmtId="170" fontId="14" fillId="52" borderId="0" xfId="0" applyNumberFormat="1" applyFont="1" applyFill="1" applyAlignment="1">
      <alignment horizontal="right" vertical="center"/>
    </xf>
    <xf numFmtId="221" fontId="171" fillId="52" borderId="0" xfId="0" applyNumberFormat="1" applyFont="1" applyFill="1" applyAlignment="1">
      <alignment horizontal="right" vertical="center"/>
    </xf>
    <xf numFmtId="222" fontId="13" fillId="52" borderId="0" xfId="0" applyNumberFormat="1" applyFont="1" applyFill="1" applyAlignment="1">
      <alignment vertical="center"/>
    </xf>
    <xf numFmtId="222" fontId="14" fillId="52" borderId="0" xfId="0" applyNumberFormat="1" applyFont="1" applyFill="1" applyAlignment="1">
      <alignment vertical="center"/>
    </xf>
    <xf numFmtId="170" fontId="10" fillId="53" borderId="0" xfId="1522" applyNumberFormat="1" applyFont="1" applyFill="1" applyBorder="1" applyAlignment="1">
      <alignment horizontal="right" vertical="center"/>
    </xf>
    <xf numFmtId="170" fontId="10" fillId="53" borderId="0" xfId="1522" applyNumberFormat="1" applyFont="1" applyFill="1" applyAlignment="1">
      <alignment horizontal="right" vertical="center"/>
    </xf>
    <xf numFmtId="170" fontId="10" fillId="52" borderId="0" xfId="1522" applyNumberFormat="1" applyFont="1" applyFill="1" applyBorder="1" applyAlignment="1">
      <alignment horizontal="right" vertical="center"/>
    </xf>
    <xf numFmtId="170" fontId="13" fillId="53" borderId="0" xfId="1522" applyNumberFormat="1" applyFont="1" applyFill="1" applyBorder="1" applyAlignment="1">
      <alignment horizontal="right"/>
    </xf>
    <xf numFmtId="170" fontId="13" fillId="52" borderId="0" xfId="1522" applyNumberFormat="1" applyFont="1" applyFill="1" applyBorder="1" applyAlignment="1">
      <alignment horizontal="right"/>
    </xf>
    <xf numFmtId="170" fontId="13" fillId="52" borderId="0" xfId="1522" applyNumberFormat="1" applyFont="1" applyFill="1" applyAlignment="1">
      <alignment horizontal="right"/>
    </xf>
    <xf numFmtId="170" fontId="172" fillId="53" borderId="0" xfId="1522" applyNumberFormat="1" applyFont="1" applyFill="1" applyBorder="1" applyAlignment="1">
      <alignment horizontal="right"/>
    </xf>
    <xf numFmtId="170" fontId="172" fillId="53" borderId="0" xfId="0" applyNumberFormat="1" applyFont="1" applyFill="1" applyAlignment="1">
      <alignment horizontal="right" vertical="center"/>
    </xf>
    <xf numFmtId="170" fontId="10" fillId="56" borderId="0" xfId="0" applyNumberFormat="1" applyFont="1" applyFill="1" applyAlignment="1">
      <alignment horizontal="right" vertical="center"/>
    </xf>
    <xf numFmtId="10" fontId="172" fillId="53" borderId="0" xfId="1522" applyNumberFormat="1" applyFont="1" applyFill="1" applyAlignment="1">
      <alignment horizontal="right"/>
    </xf>
    <xf numFmtId="170" fontId="172" fillId="53" borderId="0" xfId="1522" applyNumberFormat="1" applyFont="1" applyFill="1" applyAlignment="1">
      <alignment horizontal="right"/>
    </xf>
    <xf numFmtId="170" fontId="13" fillId="53" borderId="0" xfId="0" applyNumberFormat="1" applyFont="1" applyFill="1" applyAlignment="1">
      <alignment horizontal="right"/>
    </xf>
    <xf numFmtId="10" fontId="13" fillId="52" borderId="0" xfId="0" applyNumberFormat="1" applyFont="1" applyFill="1" applyAlignment="1">
      <alignment horizontal="right"/>
    </xf>
    <xf numFmtId="170" fontId="13" fillId="0" borderId="0" xfId="1522" applyNumberFormat="1" applyFont="1" applyFill="1" applyAlignment="1">
      <alignment horizontal="right"/>
    </xf>
    <xf numFmtId="170" fontId="172" fillId="53" borderId="0" xfId="1" applyNumberFormat="1" applyFont="1" applyFill="1" applyAlignment="1">
      <alignment horizontal="right"/>
    </xf>
    <xf numFmtId="170" fontId="172" fillId="53" borderId="0" xfId="0" applyNumberFormat="1" applyFont="1" applyFill="1" applyAlignment="1">
      <alignment horizontal="right"/>
    </xf>
    <xf numFmtId="170" fontId="13" fillId="52" borderId="0" xfId="0" applyNumberFormat="1" applyFont="1" applyFill="1" applyAlignment="1">
      <alignment horizontal="right"/>
    </xf>
    <xf numFmtId="0" fontId="185" fillId="0" borderId="0" xfId="0" applyFont="1" applyAlignment="1">
      <alignment vertical="center"/>
    </xf>
    <xf numFmtId="168" fontId="13" fillId="0" borderId="0" xfId="0" applyNumberFormat="1" applyFont="1" applyAlignment="1">
      <alignment horizontal="center" vertical="center"/>
    </xf>
    <xf numFmtId="168" fontId="176" fillId="52" borderId="0" xfId="0" applyNumberFormat="1" applyFont="1" applyFill="1" applyAlignment="1">
      <alignment horizontal="center" vertical="center"/>
    </xf>
    <xf numFmtId="222" fontId="10" fillId="53" borderId="0" xfId="1585" applyNumberFormat="1" applyFont="1" applyFill="1" applyBorder="1" applyAlignment="1">
      <alignment horizontal="right" vertical="center"/>
    </xf>
    <xf numFmtId="0" fontId="186" fillId="2" borderId="0" xfId="0" applyFont="1" applyFill="1" applyAlignment="1">
      <alignment horizontal="left" vertical="center"/>
    </xf>
    <xf numFmtId="0" fontId="186" fillId="2" borderId="0" xfId="0" applyFont="1" applyFill="1" applyAlignment="1">
      <alignment horizontal="center" vertical="center"/>
    </xf>
    <xf numFmtId="0" fontId="187" fillId="52" borderId="0" xfId="0" applyFont="1" applyFill="1" applyAlignment="1">
      <alignment vertical="center"/>
    </xf>
    <xf numFmtId="0" fontId="188" fillId="54" borderId="0" xfId="0" applyFont="1" applyFill="1" applyAlignment="1">
      <alignment vertical="center"/>
    </xf>
    <xf numFmtId="0" fontId="188" fillId="54" borderId="0" xfId="0" applyFont="1" applyFill="1" applyAlignment="1">
      <alignment horizontal="center" vertical="center"/>
    </xf>
    <xf numFmtId="0" fontId="188" fillId="54" borderId="0" xfId="0" applyFont="1" applyFill="1" applyAlignment="1">
      <alignment horizontal="right" vertical="center"/>
    </xf>
    <xf numFmtId="0" fontId="16" fillId="52" borderId="0" xfId="0" applyFont="1" applyFill="1" applyAlignment="1">
      <alignment vertical="center"/>
    </xf>
    <xf numFmtId="9" fontId="19" fillId="52" borderId="0" xfId="0" applyNumberFormat="1" applyFont="1" applyFill="1" applyAlignment="1">
      <alignment horizontal="center" vertical="center"/>
    </xf>
    <xf numFmtId="3" fontId="187" fillId="52" borderId="0" xfId="0" applyNumberFormat="1" applyFont="1" applyFill="1" applyAlignment="1">
      <alignment horizontal="right" vertical="center" wrapText="1"/>
    </xf>
    <xf numFmtId="0" fontId="16" fillId="52" borderId="0" xfId="0" applyFont="1" applyFill="1" applyAlignment="1">
      <alignment horizontal="center" vertical="center"/>
    </xf>
    <xf numFmtId="0" fontId="19" fillId="52" borderId="0" xfId="0" applyFont="1" applyFill="1" applyAlignment="1">
      <alignment vertical="center"/>
    </xf>
    <xf numFmtId="0" fontId="19" fillId="52" borderId="0" xfId="0" applyFont="1" applyFill="1" applyAlignment="1">
      <alignment horizontal="center" vertical="center"/>
    </xf>
    <xf numFmtId="3" fontId="188" fillId="52" borderId="0" xfId="0" applyNumberFormat="1" applyFont="1" applyFill="1" applyAlignment="1">
      <alignment horizontal="right" vertical="center" wrapText="1"/>
    </xf>
    <xf numFmtId="0" fontId="187" fillId="52" borderId="0" xfId="0" applyFont="1" applyFill="1" applyAlignment="1">
      <alignment horizontal="center" vertical="center"/>
    </xf>
    <xf numFmtId="221" fontId="19" fillId="52" borderId="0" xfId="0" applyNumberFormat="1" applyFont="1" applyFill="1" applyAlignment="1">
      <alignment horizontal="right" vertical="center"/>
    </xf>
    <xf numFmtId="0" fontId="188" fillId="52" borderId="0" xfId="0" applyFont="1" applyFill="1" applyAlignment="1">
      <alignment vertical="center"/>
    </xf>
    <xf numFmtId="0" fontId="188" fillId="52" borderId="0" xfId="0" applyFont="1" applyFill="1" applyAlignment="1">
      <alignment horizontal="center" vertical="center"/>
    </xf>
    <xf numFmtId="3" fontId="187" fillId="52" borderId="0" xfId="0" applyNumberFormat="1" applyFont="1" applyFill="1" applyAlignment="1">
      <alignment vertical="center"/>
    </xf>
    <xf numFmtId="9" fontId="188" fillId="52" borderId="0" xfId="0" applyNumberFormat="1" applyFont="1" applyFill="1" applyAlignment="1">
      <alignment horizontal="center" vertical="center"/>
    </xf>
    <xf numFmtId="2" fontId="187" fillId="52" borderId="0" xfId="0" applyNumberFormat="1" applyFont="1" applyFill="1" applyAlignment="1">
      <alignment horizontal="right" vertical="center"/>
    </xf>
    <xf numFmtId="0" fontId="187" fillId="52" borderId="0" xfId="0" applyFont="1" applyFill="1" applyAlignment="1">
      <alignment horizontal="right" vertical="center"/>
    </xf>
    <xf numFmtId="3" fontId="188" fillId="0" borderId="0" xfId="0" applyNumberFormat="1" applyFont="1" applyAlignment="1">
      <alignment vertical="center"/>
    </xf>
    <xf numFmtId="0" fontId="188" fillId="0" borderId="0" xfId="0" applyFont="1" applyAlignment="1">
      <alignment horizontal="center" vertical="center"/>
    </xf>
    <xf numFmtId="221" fontId="19" fillId="0" borderId="0" xfId="0" applyNumberFormat="1" applyFont="1" applyAlignment="1">
      <alignment horizontal="right" vertical="center"/>
    </xf>
    <xf numFmtId="3" fontId="186" fillId="2" borderId="0" xfId="0" applyNumberFormat="1" applyFont="1" applyFill="1" applyAlignment="1">
      <alignment vertical="center"/>
    </xf>
    <xf numFmtId="0" fontId="186" fillId="2" borderId="0" xfId="0" applyFont="1" applyFill="1" applyAlignment="1">
      <alignment vertical="center"/>
    </xf>
    <xf numFmtId="221" fontId="186" fillId="2" borderId="0" xfId="0" applyNumberFormat="1" applyFont="1" applyFill="1" applyAlignment="1">
      <alignment horizontal="right" vertical="center"/>
    </xf>
    <xf numFmtId="170" fontId="187" fillId="52" borderId="0" xfId="1522" applyNumberFormat="1" applyFont="1" applyFill="1" applyAlignment="1">
      <alignment horizontal="right" vertical="center"/>
    </xf>
    <xf numFmtId="0" fontId="189" fillId="52" borderId="0" xfId="377" applyFont="1" applyFill="1" applyAlignment="1">
      <alignment vertical="center"/>
    </xf>
    <xf numFmtId="0" fontId="189" fillId="52" borderId="0" xfId="0" applyFont="1" applyFill="1" applyAlignment="1">
      <alignment vertical="center"/>
    </xf>
    <xf numFmtId="0" fontId="189" fillId="52" borderId="0" xfId="0" applyFont="1" applyFill="1" applyAlignment="1">
      <alignment horizontal="right" vertical="center"/>
    </xf>
    <xf numFmtId="0" fontId="189" fillId="0" borderId="0" xfId="0" applyFont="1" applyAlignment="1">
      <alignment vertical="center"/>
    </xf>
    <xf numFmtId="170" fontId="189" fillId="52" borderId="0" xfId="1522" applyNumberFormat="1" applyFont="1" applyFill="1" applyBorder="1" applyAlignment="1">
      <alignment horizontal="right" vertical="center"/>
    </xf>
    <xf numFmtId="0" fontId="189" fillId="0" borderId="0" xfId="0" applyFont="1" applyAlignment="1">
      <alignment horizontal="right" vertical="center"/>
    </xf>
    <xf numFmtId="225" fontId="13" fillId="0" borderId="0" xfId="1585" applyNumberFormat="1" applyFont="1"/>
    <xf numFmtId="0" fontId="190" fillId="2" borderId="0" xfId="0" applyFont="1" applyFill="1" applyAlignment="1">
      <alignment horizontal="left" vertical="center"/>
    </xf>
    <xf numFmtId="0" fontId="190" fillId="2" borderId="0" xfId="0" applyFont="1" applyFill="1" applyAlignment="1">
      <alignment horizontal="right" vertical="center"/>
    </xf>
    <xf numFmtId="0" fontId="191" fillId="52" borderId="0" xfId="377" applyFont="1" applyFill="1" applyAlignment="1">
      <alignment vertical="center"/>
    </xf>
    <xf numFmtId="0" fontId="191" fillId="52" borderId="0" xfId="377" applyFont="1" applyFill="1" applyAlignment="1">
      <alignment horizontal="right" vertical="center"/>
    </xf>
    <xf numFmtId="0" fontId="192" fillId="57" borderId="0" xfId="377" applyFont="1" applyFill="1" applyAlignment="1">
      <alignment vertical="center"/>
    </xf>
    <xf numFmtId="0" fontId="192" fillId="57" borderId="0" xfId="377" applyFont="1" applyFill="1" applyAlignment="1">
      <alignment horizontal="right" vertical="center"/>
    </xf>
    <xf numFmtId="223" fontId="193" fillId="57" borderId="0" xfId="0" applyNumberFormat="1" applyFont="1" applyFill="1" applyAlignment="1">
      <alignment horizontal="right" vertical="center"/>
    </xf>
    <xf numFmtId="0" fontId="191" fillId="57" borderId="0" xfId="377" applyFont="1" applyFill="1" applyAlignment="1">
      <alignment horizontal="right" vertical="center"/>
    </xf>
    <xf numFmtId="0" fontId="191" fillId="57" borderId="0" xfId="377" applyFont="1" applyFill="1" applyAlignment="1">
      <alignment vertical="center"/>
    </xf>
    <xf numFmtId="217" fontId="191" fillId="57" borderId="0" xfId="377" applyNumberFormat="1" applyFont="1" applyFill="1" applyAlignment="1">
      <alignment horizontal="left" vertical="center"/>
    </xf>
    <xf numFmtId="223" fontId="194" fillId="57" borderId="0" xfId="0" applyNumberFormat="1" applyFont="1" applyFill="1" applyAlignment="1">
      <alignment horizontal="right" vertical="center"/>
    </xf>
    <xf numFmtId="9" fontId="195" fillId="57" borderId="0" xfId="1522" applyFont="1" applyFill="1" applyAlignment="1">
      <alignment horizontal="right" vertical="center"/>
    </xf>
    <xf numFmtId="0" fontId="192" fillId="52" borderId="0" xfId="377" applyFont="1" applyFill="1" applyAlignment="1">
      <alignment vertical="center"/>
    </xf>
    <xf numFmtId="0" fontId="192" fillId="52" borderId="0" xfId="377" applyFont="1" applyFill="1" applyAlignment="1">
      <alignment horizontal="right" vertical="center"/>
    </xf>
    <xf numFmtId="217" fontId="191" fillId="52" borderId="0" xfId="377" applyNumberFormat="1" applyFont="1" applyFill="1" applyAlignment="1">
      <alignment horizontal="left" vertical="center"/>
    </xf>
    <xf numFmtId="215" fontId="190" fillId="2" borderId="0" xfId="377" applyNumberFormat="1" applyFont="1" applyFill="1" applyAlignment="1">
      <alignment horizontal="left" vertical="center"/>
    </xf>
    <xf numFmtId="215" fontId="190" fillId="2" borderId="0" xfId="377" applyNumberFormat="1" applyFont="1" applyFill="1" applyAlignment="1">
      <alignment horizontal="right" vertical="center"/>
    </xf>
    <xf numFmtId="0" fontId="191" fillId="0" borderId="0" xfId="377" applyFont="1" applyAlignment="1">
      <alignment vertical="center"/>
    </xf>
    <xf numFmtId="3" fontId="191" fillId="52" borderId="0" xfId="377" applyNumberFormat="1" applyFont="1" applyFill="1" applyAlignment="1">
      <alignment horizontal="right" vertical="center"/>
    </xf>
    <xf numFmtId="0" fontId="196" fillId="52" borderId="0" xfId="0" quotePrefix="1" applyFont="1" applyFill="1" applyAlignment="1">
      <alignment vertical="center"/>
    </xf>
    <xf numFmtId="0" fontId="191" fillId="52" borderId="0" xfId="377" applyFont="1" applyFill="1" applyAlignment="1">
      <alignment horizontal="left" vertical="center"/>
    </xf>
    <xf numFmtId="0" fontId="196" fillId="52" borderId="0" xfId="0" applyFont="1" applyFill="1" applyAlignment="1">
      <alignment vertical="center"/>
    </xf>
    <xf numFmtId="0" fontId="192" fillId="52" borderId="0" xfId="377" applyFont="1" applyFill="1" applyAlignment="1">
      <alignment horizontal="left" vertical="center"/>
    </xf>
    <xf numFmtId="3" fontId="192" fillId="52" borderId="0" xfId="377" applyNumberFormat="1" applyFont="1" applyFill="1" applyAlignment="1">
      <alignment horizontal="right" vertical="center"/>
    </xf>
    <xf numFmtId="0" fontId="192" fillId="52" borderId="0" xfId="0" applyFont="1" applyFill="1" applyAlignment="1">
      <alignment vertical="center"/>
    </xf>
    <xf numFmtId="0" fontId="191" fillId="52" borderId="0" xfId="0" applyFont="1" applyFill="1" applyAlignment="1">
      <alignment vertical="center"/>
    </xf>
    <xf numFmtId="173" fontId="191" fillId="52" borderId="0" xfId="1524" applyNumberFormat="1" applyFont="1" applyFill="1" applyAlignment="1">
      <alignment horizontal="left" vertical="center"/>
    </xf>
    <xf numFmtId="173" fontId="192" fillId="52" borderId="0" xfId="1524" applyNumberFormat="1" applyFont="1" applyFill="1" applyAlignment="1">
      <alignment horizontal="left" vertical="center"/>
    </xf>
    <xf numFmtId="4" fontId="192" fillId="52" borderId="0" xfId="377" applyNumberFormat="1" applyFont="1" applyFill="1" applyAlignment="1">
      <alignment horizontal="right" vertical="center"/>
    </xf>
    <xf numFmtId="216" fontId="192" fillId="52" borderId="0" xfId="1524" applyNumberFormat="1" applyFont="1" applyFill="1" applyAlignment="1">
      <alignment horizontal="left" vertical="center"/>
    </xf>
    <xf numFmtId="4" fontId="191" fillId="52" borderId="0" xfId="377" applyNumberFormat="1" applyFont="1" applyFill="1" applyAlignment="1">
      <alignment horizontal="right" vertical="center"/>
    </xf>
    <xf numFmtId="218" fontId="196" fillId="52" borderId="0" xfId="0" applyNumberFormat="1" applyFont="1" applyFill="1" applyAlignment="1">
      <alignment horizontal="left" vertical="center"/>
    </xf>
    <xf numFmtId="0" fontId="191" fillId="52" borderId="0" xfId="0" applyFont="1" applyFill="1" applyAlignment="1">
      <alignment horizontal="right" vertical="center"/>
    </xf>
    <xf numFmtId="3" fontId="191" fillId="52" borderId="0" xfId="377" applyNumberFormat="1" applyFont="1" applyFill="1" applyAlignment="1">
      <alignment vertical="center"/>
    </xf>
    <xf numFmtId="170" fontId="191" fillId="52" borderId="0" xfId="1522" applyNumberFormat="1" applyFont="1" applyFill="1" applyAlignment="1">
      <alignment horizontal="right" vertical="center"/>
    </xf>
    <xf numFmtId="216" fontId="191" fillId="52" borderId="0" xfId="1524" applyNumberFormat="1" applyFont="1" applyFill="1" applyAlignment="1">
      <alignment vertical="center"/>
    </xf>
    <xf numFmtId="0" fontId="191" fillId="0" borderId="0" xfId="0" applyFont="1" applyAlignment="1">
      <alignment vertical="center"/>
    </xf>
    <xf numFmtId="216" fontId="192" fillId="52" borderId="0" xfId="1524" applyNumberFormat="1" applyFont="1" applyFill="1" applyAlignment="1">
      <alignment vertical="center"/>
    </xf>
    <xf numFmtId="3" fontId="192" fillId="52" borderId="0" xfId="1406" applyNumberFormat="1" applyFont="1" applyFill="1" applyBorder="1" applyAlignment="1">
      <alignment horizontal="right" vertical="center"/>
    </xf>
    <xf numFmtId="170" fontId="191" fillId="52" borderId="0" xfId="1522" applyNumberFormat="1" applyFont="1" applyFill="1"/>
    <xf numFmtId="173" fontId="191" fillId="52" borderId="0" xfId="1524" applyNumberFormat="1" applyFont="1" applyFill="1" applyAlignment="1">
      <alignment vertical="center"/>
    </xf>
    <xf numFmtId="220" fontId="191" fillId="52" borderId="0" xfId="1522" applyNumberFormat="1" applyFont="1" applyFill="1" applyAlignment="1">
      <alignment horizontal="right" vertical="center"/>
    </xf>
    <xf numFmtId="170" fontId="191" fillId="52" borderId="0" xfId="1522" applyNumberFormat="1" applyFont="1" applyFill="1" applyBorder="1" applyAlignment="1">
      <alignment horizontal="right" vertical="center"/>
    </xf>
    <xf numFmtId="9" fontId="191" fillId="52" borderId="0" xfId="1522" applyFont="1" applyFill="1" applyAlignment="1">
      <alignment horizontal="right" vertical="center"/>
    </xf>
    <xf numFmtId="0" fontId="191" fillId="52" borderId="22" xfId="377" applyFont="1" applyFill="1" applyBorder="1" applyAlignment="1">
      <alignment horizontal="right" vertical="center"/>
    </xf>
    <xf numFmtId="0" fontId="191" fillId="52" borderId="22" xfId="377" applyFont="1" applyFill="1" applyBorder="1" applyAlignment="1">
      <alignment vertical="center"/>
    </xf>
    <xf numFmtId="170" fontId="192" fillId="57" borderId="0" xfId="1522" applyNumberFormat="1" applyFont="1" applyFill="1" applyAlignment="1">
      <alignment horizontal="right" vertical="center"/>
    </xf>
    <xf numFmtId="0" fontId="197" fillId="0" borderId="0" xfId="0" applyFont="1"/>
    <xf numFmtId="0" fontId="198" fillId="0" borderId="0" xfId="0" applyFont="1"/>
    <xf numFmtId="220" fontId="197" fillId="0" borderId="0" xfId="0" applyNumberFormat="1" applyFont="1"/>
    <xf numFmtId="170" fontId="197" fillId="0" borderId="0" xfId="1522" applyNumberFormat="1" applyFont="1"/>
    <xf numFmtId="0" fontId="199" fillId="52" borderId="0" xfId="377" applyFont="1" applyFill="1" applyAlignment="1">
      <alignment vertical="center"/>
    </xf>
    <xf numFmtId="10" fontId="13" fillId="0" borderId="0" xfId="1522" applyNumberFormat="1" applyFont="1" applyAlignment="1">
      <alignment vertical="center"/>
    </xf>
    <xf numFmtId="0" fontId="199" fillId="52" borderId="22" xfId="377" applyFont="1" applyFill="1" applyBorder="1" applyAlignment="1">
      <alignment vertical="center"/>
    </xf>
    <xf numFmtId="0" fontId="12" fillId="53" borderId="0" xfId="1523" quotePrefix="1" applyFont="1" applyFill="1" applyAlignment="1">
      <alignment horizontal="left" vertical="center"/>
    </xf>
  </cellXfs>
  <cellStyles count="1589">
    <cellStyle name="—" xfId="429" xr:uid="{BC22BC7B-D8C0-4918-B243-57837EFCF65A}"/>
    <cellStyle name="$" xfId="430" xr:uid="{0A52C53C-7B0B-4129-BD3B-D752DE5A152B}"/>
    <cellStyle name="$_CASH FLOW" xfId="431" xr:uid="{39E8055D-9154-4B02-906C-E020BF5E499C}"/>
    <cellStyle name="$_NPAT&amp;EPS" xfId="432" xr:uid="{43275D1C-5B4D-48FF-9751-DEA8E34084B0}"/>
    <cellStyle name="$3places" xfId="433" xr:uid="{E5C2E960-6827-403D-BE8E-4DA237611B9A}"/>
    <cellStyle name="%" xfId="434" xr:uid="{3BB6B011-76F9-46C9-A35E-06FB1624463D}"/>
    <cellStyle name="% 0" xfId="435" xr:uid="{C3F270D8-3BD9-4E08-B75D-0FB51C4891FB}"/>
    <cellStyle name="% 1" xfId="436" xr:uid="{1D829F69-5EFE-480B-8487-56863CFDD09D}"/>
    <cellStyle name="% 2" xfId="437" xr:uid="{E6B7F6A2-55C8-41D8-82CF-A81C8D45AF5E}"/>
    <cellStyle name="% Data 0" xfId="438" xr:uid="{FF89885F-6A20-4D12-97C8-3032C48EE463}"/>
    <cellStyle name="% Data 0 est" xfId="439" xr:uid="{88B621FD-3E99-4A77-87C6-7941CED3B6B0}"/>
    <cellStyle name="% Data 0_Abridged" xfId="440" xr:uid="{D01669E0-B0A8-4834-8AEB-34CA4B91AC7F}"/>
    <cellStyle name="% Data 1" xfId="441" xr:uid="{6B3388AC-3D8B-4FB3-A166-08C1DE9DAA84}"/>
    <cellStyle name="% Data 1 est" xfId="442" xr:uid="{558AB522-C1B4-4DC0-A81C-66B5002DDEA2}"/>
    <cellStyle name="% Data 1_Abridged" xfId="443" xr:uid="{2E2B7BDE-DD09-4114-A672-7C61EEAAD80B}"/>
    <cellStyle name="% Data 2" xfId="444" xr:uid="{2B7256B5-8215-4CD8-8AF8-275E345A6A5E}"/>
    <cellStyle name="% Data 2 est" xfId="445" xr:uid="{19795C3B-A036-4708-A847-638002E0D267}"/>
    <cellStyle name="% Data 2_Abridged" xfId="446" xr:uid="{7219CFDF-E443-466E-B8B0-1F3828884364}"/>
    <cellStyle name="%_CASH FLOW" xfId="447" xr:uid="{F831826F-85BA-4494-9B35-ECE31B8E3C23}"/>
    <cellStyle name="%_CMLS" xfId="448" xr:uid="{B067EC16-7A4C-4590-AE66-54EF1F334218}"/>
    <cellStyle name="%_CMLS_CASH FLOW" xfId="449" xr:uid="{99CE6B9B-9B7C-41FC-98F2-11513C33DCC7}"/>
    <cellStyle name="%_CMLS_NPAT&amp;EPS" xfId="450" xr:uid="{F9C0CC9B-4A1A-4C6A-B14B-5B5923479CEB}"/>
    <cellStyle name="%_ERTS (2)" xfId="451" xr:uid="{004B4792-BBF1-465E-B89C-5DADA4AC5E08}"/>
    <cellStyle name="%_ERTS (2)_CASH FLOW" xfId="452" xr:uid="{422FDC99-5BCA-436C-9732-ABFC647E8808}"/>
    <cellStyle name="%_ERTS (2)_NPAT&amp;EPS" xfId="453" xr:uid="{D0912C7A-F512-42E0-A31F-F31E559F12EA}"/>
    <cellStyle name="%_NPAT&amp;EPS" xfId="454" xr:uid="{82833EF8-B5FF-4840-82C0-A276A72A42E8}"/>
    <cellStyle name="(1,000)" xfId="455" xr:uid="{28F902CC-DCB8-4F36-BE9E-BA36AA89F19F}"/>
    <cellStyle name="(1,000)x" xfId="456" xr:uid="{99589342-3888-4EFA-AAF6-888859980086}"/>
    <cellStyle name="******************************************" xfId="457" xr:uid="{E91542FB-8E55-4EE4-9D04-9D356B55A367}"/>
    <cellStyle name="****************************************** 2" xfId="458" xr:uid="{9CDE4D5F-B5CF-42FE-8A1E-3B519A7576E3}"/>
    <cellStyle name="_%(SignOnly)" xfId="2" xr:uid="{777BBAFF-05EF-4911-A981-DFC0175C978F}"/>
    <cellStyle name="_%(SignOnly)_CASH FLOW" xfId="459" xr:uid="{B8EFD9EC-B8FC-4806-A5A8-B27D0B7734CF}"/>
    <cellStyle name="_%(SignOnly)_FON" xfId="460" xr:uid="{278BB0B0-5F28-4FDC-99A2-5086D7590240}"/>
    <cellStyle name="_%(SignOnly)_FRP" xfId="461" xr:uid="{9DFB3A20-2F4A-4E3E-BB31-9880ED8942E0}"/>
    <cellStyle name="_%(SignOnly)_FRP_CASH FLOW" xfId="462" xr:uid="{6D0716E3-5F47-4E0E-A182-79A25FA6FE04}"/>
    <cellStyle name="_%(SignOnly)_FRP_NPAT&amp;EPS" xfId="463" xr:uid="{64B8A494-66DD-43CF-BA82-83EC0D73C295}"/>
    <cellStyle name="_%(SignOnly)_NPAT&amp;EPS" xfId="464" xr:uid="{9F468ED5-91E0-4589-8D57-F965DA4B5550}"/>
    <cellStyle name="_%(SignSpaceOnly)" xfId="3" xr:uid="{C2BE97CB-2AFA-4B41-BB48-42ADAE0B4FB0}"/>
    <cellStyle name="_%(SignSpaceOnly)_CASH FLOW" xfId="465" xr:uid="{04C7BC26-1795-46D8-B6FC-BD2FF1013AC9}"/>
    <cellStyle name="_%(SignSpaceOnly)_FON" xfId="466" xr:uid="{00836458-632B-4070-9DA8-5710D905A998}"/>
    <cellStyle name="_%(SignSpaceOnly)_FRP" xfId="467" xr:uid="{2C954BB1-C426-4DE6-8E90-B7CB76730425}"/>
    <cellStyle name="_%(SignSpaceOnly)_FRP_CASH FLOW" xfId="468" xr:uid="{1D84F2E2-307C-4103-81ED-889021839A81}"/>
    <cellStyle name="_%(SignSpaceOnly)_FRP_NPAT&amp;EPS" xfId="469" xr:uid="{FB0B4F78-5F08-4944-A68A-176F71FA03CC}"/>
    <cellStyle name="_%(SignSpaceOnly)_NPAT&amp;EPS" xfId="470" xr:uid="{F261C078-B24F-43C6-BF43-784E15DBB1F7}"/>
    <cellStyle name="_~0034700" xfId="471" xr:uid="{AAF62425-0569-4F8D-B11F-CB49690B169D}"/>
    <cellStyle name="_Comma" xfId="4" xr:uid="{6FBF858D-3A3E-4D89-B90C-E2CB6C7A35FC}"/>
    <cellStyle name="_Comma_01 adj for merger plan" xfId="131" xr:uid="{CD199700-538B-46A2-92C7-FC6474EE79C9}"/>
    <cellStyle name="_Comma_09-08-04 Comp Sheet" xfId="472" xr:uid="{007E347F-F726-4C51-98BB-FDD213BD6C4D}"/>
    <cellStyle name="_Comma_09-08-04 Comp Sheet_AT" xfId="473" xr:uid="{7D1EE86E-D76A-423B-97C3-3AC142AE8ADB}"/>
    <cellStyle name="_Comma_09-08-04 Comp Sheet_AT_CASH FLOW" xfId="474" xr:uid="{9CC42B81-4735-40D0-812D-1FBB442D96F4}"/>
    <cellStyle name="_Comma_09-08-04 Comp Sheet_AT_NPAT&amp;EPS" xfId="475" xr:uid="{6F85EEA6-841D-4C40-ABFD-3BEA240D89EE}"/>
    <cellStyle name="_Comma_12-30-05 Telecom Serv Comp Sheet" xfId="476" xr:uid="{5140BAF1-F675-471C-8AE5-E1811679F7A2}"/>
    <cellStyle name="_Comma_12-30-05 Telecom Serv Comp Sheet_CASH FLOW" xfId="477" xr:uid="{D590EDE8-3C01-443E-BA01-BE8B32EED90E}"/>
    <cellStyle name="_Comma_12-30-05 Telecom Serv Comp Sheet_NPAT&amp;EPS" xfId="478" xr:uid="{C38DCA2C-9585-4CB6-8E31-7CB0A54B33F2}"/>
    <cellStyle name="_Comma_Ability to Pay Analysis" xfId="132" xr:uid="{957D770B-6AAE-438F-A1ED-49732C87825D}"/>
    <cellStyle name="_Comma_AFL" xfId="133" xr:uid="{AB6E432E-742D-4B49-80B6-4843222CA9DB}"/>
    <cellStyle name="_Comma_AFL 2" xfId="1318" xr:uid="{909ABE67-93BC-411E-8E31-8670A5C13F57}"/>
    <cellStyle name="_Comma_Airports Dealcomp" xfId="5" xr:uid="{A9A10A5A-9EC0-40C8-BB34-718E4256A616}"/>
    <cellStyle name="_Comma_AIZ" xfId="134" xr:uid="{297E3DA4-D2F4-40D5-A162-FA91710778ED}"/>
    <cellStyle name="_Comma_AIZ 2" xfId="1319" xr:uid="{7D76AB77-077C-4271-BFD3-52BDC3C951B2}"/>
    <cellStyle name="_Comma_AIZ04-Quantum2" xfId="135" xr:uid="{EBDCC45B-A382-4D40-AA43-9B27717FAF10}"/>
    <cellStyle name="_Comma_AIZ04-Quantum2 2" xfId="1320" xr:uid="{DC5CF490-F315-4E18-9C0C-FCA9DFBDB0E0}"/>
    <cellStyle name="_Comma_AMP" xfId="136" xr:uid="{0EB29B50-A32A-40D4-A659-8E21FCC18BC9}"/>
    <cellStyle name="_Comma_bls roic" xfId="479" xr:uid="{C9756458-7658-4B42-9DEE-3017B2737C82}"/>
    <cellStyle name="_Comma_bls roic_CASH FLOW" xfId="480" xr:uid="{26D97302-3E34-4862-AE38-927875DC6DA0}"/>
    <cellStyle name="_Comma_bls roic_FON" xfId="481" xr:uid="{682506A3-B62C-418F-9550-1FD64DD7E4C2}"/>
    <cellStyle name="_Comma_bls roic_FRP" xfId="482" xr:uid="{15FEF6ED-A174-4285-9CB7-6F273C472AF9}"/>
    <cellStyle name="_Comma_bls roic_FRP_CASH FLOW" xfId="483" xr:uid="{AF65F76A-846F-4772-9BB3-687C35F02D5E}"/>
    <cellStyle name="_Comma_bls roic_FRP_NPAT&amp;EPS" xfId="484" xr:uid="{D670EB5B-FD34-49D4-B116-208B9F31A2E9}"/>
    <cellStyle name="_Comma_bls roic_NPAT&amp;EPS" xfId="485" xr:uid="{16F182F7-7A49-4449-804E-2A195C77D8ED}"/>
    <cellStyle name="_Comma_Book1" xfId="137" xr:uid="{549EDD3F-4259-4473-932D-E21B8B22A58C}"/>
    <cellStyle name="_Comma_Book3" xfId="138" xr:uid="{9A2096D4-E620-412E-9C10-25E9450D0EC4}"/>
    <cellStyle name="_Comma_capital expenditures 6-18-02" xfId="486" xr:uid="{AD729796-AF6D-4A2A-9EFE-D411AFF6755A}"/>
    <cellStyle name="_Comma_capital expenditures 6-18-02_CASH FLOW" xfId="487" xr:uid="{F4A6626B-3674-4A77-86BB-B4043022DC3C}"/>
    <cellStyle name="_Comma_capital expenditures 6-18-02_FON" xfId="488" xr:uid="{22AF4ABD-C81A-45F9-871E-160781C27D6C}"/>
    <cellStyle name="_Comma_capital expenditures 6-18-02_FRP" xfId="489" xr:uid="{166A9BD3-1D38-48CE-BDF8-D23D24968069}"/>
    <cellStyle name="_Comma_capital expenditures 6-18-02_FRP_CASH FLOW" xfId="490" xr:uid="{A3557D25-1F37-49EA-AA41-3FA0CC2AD220}"/>
    <cellStyle name="_Comma_capital expenditures 6-18-02_FRP_NPAT&amp;EPS" xfId="491" xr:uid="{3FC09B0B-125D-470A-8A1D-578730EB9D91}"/>
    <cellStyle name="_Comma_capital expenditures 6-18-02_NPAT&amp;EPS" xfId="492" xr:uid="{CD9C1B1E-9257-4FE7-A9A9-6274BA3A13FD}"/>
    <cellStyle name="_Comma_CASH FLOW" xfId="493" xr:uid="{3B27F07C-A705-4CDC-BA14-A42CDA69F51D}"/>
    <cellStyle name="_Comma_CNO" xfId="139" xr:uid="{AA56376B-EE4B-469D-A2BD-3E50CEAA07B8}"/>
    <cellStyle name="_Comma_CNO04" xfId="140" xr:uid="{F0773339-193A-47FF-9EAD-2504F2207BF6}"/>
    <cellStyle name="_Comma_DCF Alexander Forbes" xfId="141" xr:uid="{FA17211E-388B-43B8-A9FE-3AE52F20BAB3}"/>
    <cellStyle name="_Comma_dcf_1" xfId="494" xr:uid="{3E294DE8-EF6E-4907-A8A8-C84F13E8BB9A}"/>
    <cellStyle name="_Comma_dcf_1_CASH FLOW" xfId="495" xr:uid="{F1C4F725-21C5-41B2-B9B1-4E336B647127}"/>
    <cellStyle name="_Comma_dcf_1_NPAT&amp;EPS" xfId="496" xr:uid="{8CE1B2B5-64A4-46D8-A463-457FA50EDB98}"/>
    <cellStyle name="_Comma_DUK" xfId="497" xr:uid="{856404CE-CD35-4D4D-8B1A-450659CF7C47}"/>
    <cellStyle name="_Comma_DUK_CASH FLOW" xfId="498" xr:uid="{3068ED24-7643-46CA-9754-70FA4F65284D}"/>
    <cellStyle name="_Comma_DUK_NPAT&amp;EPS" xfId="499" xr:uid="{C6E90823-43C2-4445-BE59-581B93ED7C5C}"/>
    <cellStyle name="_Comma_ED 2005.08.01" xfId="500" xr:uid="{DE21D861-236D-476C-B781-6200A56FABB6}"/>
    <cellStyle name="_Comma_ED 2005.08.01_CASH FLOW" xfId="501" xr:uid="{B05387BB-4ED7-4A68-B019-90CB8F36A2D9}"/>
    <cellStyle name="_Comma_ED 2005.08.01_NPAT&amp;EPS" xfId="502" xr:uid="{75BF5B77-314B-46A3-9118-D9BE4E9C9F16}"/>
    <cellStyle name="_Comma_FCF yield comparison_1.3.06" xfId="503" xr:uid="{7755AE49-F3E0-43B9-80E3-E81751B683D8}"/>
    <cellStyle name="_Comma_FCF yield comparison_1.3.06_CASH FLOW" xfId="504" xr:uid="{C4019905-9022-4EBC-96AC-C9B9D8460F96}"/>
    <cellStyle name="_Comma_FCF yield comparison_1.3.06_NPAT&amp;EPS" xfId="505" xr:uid="{5A995F11-277A-40D3-88AC-1C9A5C60F41C}"/>
    <cellStyle name="_Comma_fmbi counties" xfId="142" xr:uid="{9EA20836-5839-4C70-B241-52A00DA411C5}"/>
    <cellStyle name="_Comma_FMBI MBHI Graphs" xfId="143" xr:uid="{C258FEA3-BF50-464C-A11A-4A2E3E06DDB2}"/>
    <cellStyle name="_Comma_FMBI MBHI Graphs 07102001" xfId="144" xr:uid="{C8ECCCEC-FCED-4829-AE0D-C162675EA1F2}"/>
    <cellStyle name="_Comma_FMBI MBHI Graphs_7601" xfId="145" xr:uid="{4EAE62F9-DA13-42D9-A553-7A68330C0B5B}"/>
    <cellStyle name="_Comma_FON" xfId="506" xr:uid="{B2AE836B-67A1-4F42-B0AA-879F3E8EEB1A}"/>
    <cellStyle name="_Comma_FRP" xfId="507" xr:uid="{436C0679-8380-44C9-BCEE-F670B9B28F75}"/>
    <cellStyle name="_Comma_FRP_CASH FLOW" xfId="508" xr:uid="{4A706D95-6A12-43FC-9DC2-E267082188CA}"/>
    <cellStyle name="_Comma_FRP_NPAT&amp;EPS" xfId="509" xr:uid="{EFEBE532-ACB9-4DAD-83F7-637EF6D0D3E1}"/>
    <cellStyle name="_Comma_genworth model" xfId="146" xr:uid="{29DD5285-E26A-47A6-9DB1-AC516EC116E1}"/>
    <cellStyle name="_Comma_genworth model 2" xfId="1321" xr:uid="{09BF95AD-D998-4D58-A8F9-86F1168707CF}"/>
    <cellStyle name="_Comma_Insurance Brokerage CSC_1Q2002" xfId="147" xr:uid="{FC383900-E111-45BD-9C48-D384D6F39F57}"/>
    <cellStyle name="_Comma_JP_LNC_spread_monitor (2)" xfId="148" xr:uid="{84AE0E7F-5A63-44B1-A6DD-B7FF59638CD7}"/>
    <cellStyle name="_Comma_MCI" xfId="510" xr:uid="{C07AA91F-EF87-4388-887A-255644A33B4B}"/>
    <cellStyle name="_Comma_MCI_AT" xfId="511" xr:uid="{CC3CBF6D-4D58-440C-8C62-772D1FF62FB2}"/>
    <cellStyle name="_Comma_MCI_AT_CASH FLOW" xfId="512" xr:uid="{F2F75624-73D7-46AD-ACB4-60311FD65C74}"/>
    <cellStyle name="_Comma_MCI_AT_NPAT&amp;EPS" xfId="513" xr:uid="{3D7163DC-748E-445A-80F6-9824DCC2A592}"/>
    <cellStyle name="_Comma_NFP" xfId="149" xr:uid="{0175649C-C3E7-4004-AC8A-BEC43AEEC0B5}"/>
    <cellStyle name="_Comma_NFS" xfId="150" xr:uid="{5A902BCA-FF7A-4DDB-8D70-754B27162AEB}"/>
    <cellStyle name="_Comma_NFS 2" xfId="1322" xr:uid="{A4BCD601-6B3E-415D-A3AD-92313C965F73}"/>
    <cellStyle name="_Comma_NPAT&amp;EPS" xfId="514" xr:uid="{D2968FEE-D01A-4CDD-A5FC-79B2E3791392}"/>
    <cellStyle name="_Comma_NRG 2005.07.22" xfId="515" xr:uid="{64186252-0D2F-4D6E-9E52-87A376634EF8}"/>
    <cellStyle name="_Comma_NRG 2005.07.22_CASH FLOW" xfId="516" xr:uid="{A4D96310-ED12-4A92-871B-A192B55B7366}"/>
    <cellStyle name="_Comma_NRG 2005.07.22_NPAT&amp;EPS" xfId="517" xr:uid="{5F2493A5-4B0A-4483-B89F-01DBD3591CA8}"/>
    <cellStyle name="_Comma_Overview3" xfId="151" xr:uid="{471E1199-A538-4365-952B-D262C3F85262}"/>
    <cellStyle name="_Comma_phil data" xfId="152" xr:uid="{D42B2501-332A-4D44-9FAD-6B698321D4FD}"/>
    <cellStyle name="_Comma_Price Performance Charts" xfId="153" xr:uid="{54486BC0-D06B-4C2F-A86C-51DFE8CD99B1}"/>
    <cellStyle name="_Comma_Price Performance Charts 2" xfId="1323" xr:uid="{F93CB71B-B35A-4438-A84A-7F62827921B3}"/>
    <cellStyle name="_Comma_Quarterly Review by Company" xfId="154" xr:uid="{8B803EDA-74D9-4D00-8DC0-F1A66321003B}"/>
    <cellStyle name="_Comma_RBOC historicals" xfId="518" xr:uid="{AB4C8084-4353-4B3C-88B5-140177DCF817}"/>
    <cellStyle name="_Comma_RBOC historicals_CASH FLOW" xfId="519" xr:uid="{9849CD24-724A-4455-A523-7405D187E8E2}"/>
    <cellStyle name="_Comma_RBOC historicals_FON" xfId="520" xr:uid="{7B5EED37-D227-46ED-A886-8ADD233A3426}"/>
    <cellStyle name="_Comma_RBOC historicals_FRP" xfId="521" xr:uid="{56F91688-9EE5-4DBD-83F5-E32E4919C3B5}"/>
    <cellStyle name="_Comma_RBOC historicals_FRP_CASH FLOW" xfId="522" xr:uid="{7AF1212D-FE14-4AF8-BA11-56FD00D4DEB0}"/>
    <cellStyle name="_Comma_RBOC historicals_FRP_NPAT&amp;EPS" xfId="523" xr:uid="{F9D4C8E2-4384-4F21-85B9-7682391F7D01}"/>
    <cellStyle name="_Comma_RBOC historicals_NPAT&amp;EPS" xfId="524" xr:uid="{FA787F2A-3DA2-4E07-BF74-F046A8214F90}"/>
    <cellStyle name="_Comma_SFG Data File" xfId="155" xr:uid="{87F65652-A8FD-477C-A039-A40797F6FF78}"/>
    <cellStyle name="_Comma_Sheet1" xfId="156" xr:uid="{C656005D-429A-4C8E-9109-202DD0F1C391}"/>
    <cellStyle name="_Comma_SRE" xfId="525" xr:uid="{B8A996EC-ABF2-4BD6-A498-BE54086E327F}"/>
    <cellStyle name="_Comma_SRE Working" xfId="526" xr:uid="{D9AF1094-5869-417E-9962-C04EE2A4A890}"/>
    <cellStyle name="_Comma_SRE Working_CASH FLOW" xfId="527" xr:uid="{BFD00215-A0CF-466E-B643-6F07D38554F9}"/>
    <cellStyle name="_Comma_SRE Working_NPAT&amp;EPS" xfId="528" xr:uid="{D063F66B-97B6-4EB8-BD76-D02F425E0050}"/>
    <cellStyle name="_Comma_SRE_CASH FLOW" xfId="529" xr:uid="{F8BA98C8-3EED-497F-A5C6-AEE2F0A2708A}"/>
    <cellStyle name="_Comma_SRE_NPAT&amp;EPS" xfId="530" xr:uid="{9BC449BC-E0E9-4F12-A4E4-CF87872CE24D}"/>
    <cellStyle name="_Comma_Stock-QTR1 FDS" xfId="157" xr:uid="{0F01B324-1817-4CDA-B914-13C7AC279BED}"/>
    <cellStyle name="_Comma_Stock-QTR1 FDS 2" xfId="1324" xr:uid="{7EE31B8B-A33C-4378-98B0-83DBF4B1B4AC}"/>
    <cellStyle name="_Comma_T" xfId="531" xr:uid="{F426D4DD-1C63-449D-A6AE-C3868953E9D4}"/>
    <cellStyle name="_Comma_T - new" xfId="532" xr:uid="{FC52CD54-9BBF-42F8-A8F6-799336F94300}"/>
    <cellStyle name="_Comma_T - new_CASH FLOW" xfId="533" xr:uid="{38FB7A98-3C04-410F-8178-BDF2676A5B73}"/>
    <cellStyle name="_Comma_T - new_FON" xfId="534" xr:uid="{F455A2AB-8582-46DE-B68D-884BE41E767B}"/>
    <cellStyle name="_Comma_T - new_FRP" xfId="535" xr:uid="{5A63447C-2590-442F-A98F-08B5FF74215F}"/>
    <cellStyle name="_Comma_T - new_FRP_CASH FLOW" xfId="536" xr:uid="{A1166377-5919-498D-9DB3-15493F830A1F}"/>
    <cellStyle name="_Comma_T - new_FRP_NPAT&amp;EPS" xfId="537" xr:uid="{79F638E6-1115-4340-BA73-D5EA21FFE38A}"/>
    <cellStyle name="_Comma_T - new_NPAT&amp;EPS" xfId="538" xr:uid="{303145AA-E92C-468C-8D1C-865D405B3511}"/>
    <cellStyle name="_Comma_T_AT" xfId="539" xr:uid="{9820124C-6C01-4846-9600-C3881CC6ED95}"/>
    <cellStyle name="_Comma_T_AT_CASH FLOW" xfId="540" xr:uid="{B6B873F4-F7A4-4B79-BCFE-21733053EEF3}"/>
    <cellStyle name="_Comma_T_AT_NPAT&amp;EPS" xfId="541" xr:uid="{C8665FF5-D77F-4ED7-9206-9EDC1AA854D0}"/>
    <cellStyle name="_Comma_Telco Scenario analysis1" xfId="542" xr:uid="{58A06EC4-1A43-46BE-B829-6CBD77086375}"/>
    <cellStyle name="_Comma_Telco Scenario analysis1_AT" xfId="543" xr:uid="{5A654EB4-51FC-4707-91D6-BC9EEC2E52F8}"/>
    <cellStyle name="_Comma_Telco Scenario analysis1_AT_CASH FLOW" xfId="544" xr:uid="{6DF2C155-E925-44C0-B068-F242904CB541}"/>
    <cellStyle name="_Comma_Telco Scenario analysis1_AT_NPAT&amp;EPS" xfId="545" xr:uid="{29CA4A53-5813-4C40-9664-F2B371061715}"/>
    <cellStyle name="_Comma_Updated Valuation Changes" xfId="158" xr:uid="{88E3ED48-CB29-41A5-A807-13E36D7218B7}"/>
    <cellStyle name="_Comma_Valuation Graphs" xfId="159" xr:uid="{05EA742A-BADC-4913-AF0A-D629549139E2}"/>
    <cellStyle name="_Comma_xratio - historical mkt val" xfId="160" xr:uid="{09400A71-322D-46DC-B4BE-996E3E05910E}"/>
    <cellStyle name="_Currency" xfId="6" xr:uid="{7695B35E-FCED-43BA-8323-BA21DFF27EBC}"/>
    <cellStyle name="_Currency_01 adj for merger plan" xfId="161" xr:uid="{7E2643CD-F7AB-43D2-8CAC-40201A6D2500}"/>
    <cellStyle name="_Currency_01 Dairy Farmers Deal Comp" xfId="7" xr:uid="{0E3EC6F4-58AA-4ED4-9F01-43E7F27434BA}"/>
    <cellStyle name="_Currency_09-08-04 Comp Sheet" xfId="546" xr:uid="{70E3FFCB-EEDB-48C1-9924-1FCB03A2AB98}"/>
    <cellStyle name="_Currency_09-08-04 Comp Sheet_AT" xfId="547" xr:uid="{3038FB85-CE4B-4FD9-8E2D-223EC5601629}"/>
    <cellStyle name="_Currency_09-08-04 Comp Sheet_AT_CASH FLOW" xfId="548" xr:uid="{3031B3AC-B5A5-4C86-A518-DB941A78F2FE}"/>
    <cellStyle name="_Currency_09-08-04 Comp Sheet_AT_NPAT&amp;EPS" xfId="549" xr:uid="{D95BB875-74BD-4DEC-8C6D-FCA6C03778D4}"/>
    <cellStyle name="_Currency_12-30-05 Telecom Serv Comp Sheet" xfId="550" xr:uid="{F92DEE01-0866-485E-A863-7EDF7F74E2C5}"/>
    <cellStyle name="_Currency_12-30-05 Telecom Serv Comp Sheet_CASH FLOW" xfId="551" xr:uid="{1CD01C20-50DC-482F-ACE3-06CEDEA3F9F6}"/>
    <cellStyle name="_Currency_12-30-05 Telecom Serv Comp Sheet_NPAT&amp;EPS" xfId="552" xr:uid="{4B37C690-8F86-4427-9EA9-7063E7EDF90E}"/>
    <cellStyle name="_Currency_15 Furniture CSC (06-Dec-2005)" xfId="8" xr:uid="{36FC27C1-61BA-497A-B974-89CD4112ABD5}"/>
    <cellStyle name="_Currency_Ability to Pay Analysis" xfId="162" xr:uid="{2E0D46CF-033E-47E3-82FE-4A2358FD5E0E}"/>
    <cellStyle name="_Currency_AFL" xfId="163" xr:uid="{6B0C09DC-0F59-4109-B9BF-2362988E1903}"/>
    <cellStyle name="_Currency_Airports Dealcomp" xfId="9" xr:uid="{697C5E20-397E-41A3-A255-42BFB4B70456}"/>
    <cellStyle name="_Currency_AIZ" xfId="164" xr:uid="{ED86247C-4F0F-4D08-B191-47067808F411}"/>
    <cellStyle name="_Currency_AMP" xfId="165" xr:uid="{4566EC21-8C54-4BBD-916C-2B4A7C9CFBE4}"/>
    <cellStyle name="_Currency_AT" xfId="553" xr:uid="{DA81BBD1-FA18-4AFA-B0FF-0A79A6703A3A}"/>
    <cellStyle name="_Currency_AT_CASH FLOW" xfId="554" xr:uid="{1678B0D4-3AEC-4282-B8D7-8CF0CFD988D8}"/>
    <cellStyle name="_Currency_AT_FON" xfId="555" xr:uid="{42F8422B-B848-43AA-BC3C-D517B09CB04D}"/>
    <cellStyle name="_Currency_AT_FRP" xfId="556" xr:uid="{3370B891-0881-40FF-BFDE-5C40DF32D0CE}"/>
    <cellStyle name="_Currency_AT_FRP_CASH FLOW" xfId="557" xr:uid="{B5D25CB6-CB2E-45AC-8297-250A79DEA36F}"/>
    <cellStyle name="_Currency_AT_FRP_NPAT&amp;EPS" xfId="558" xr:uid="{56A58603-EF73-43F4-ABC7-8E8AB5B16266}"/>
    <cellStyle name="_Currency_AT_NPAT&amp;EPS" xfId="559" xr:uid="{FFC42EE8-AF51-4BE0-8016-00D485C3BC79}"/>
    <cellStyle name="_Currency_AWE" xfId="560" xr:uid="{94A5250C-DF24-4793-B869-13390A66CDBB}"/>
    <cellStyle name="_Currency_AWE 9-16-03" xfId="561" xr:uid="{B4554861-ECAA-4E28-99EB-A832C604D38C}"/>
    <cellStyle name="_Currency_AWE 9-16-03_CASH FLOW" xfId="562" xr:uid="{0BAE0E0C-9E3D-4207-B545-D8E6DBE18A5A}"/>
    <cellStyle name="_Currency_AWE 9-16-03_NPAT&amp;EPS" xfId="563" xr:uid="{7CEF74C6-1483-43A6-A928-5EAB586708AD}"/>
    <cellStyle name="_Currency_AWE_CASH FLOW" xfId="564" xr:uid="{213EC5A0-318F-4C3E-BA66-95FBAEC0F49C}"/>
    <cellStyle name="_Currency_AWE_FON" xfId="565" xr:uid="{F9FEE2EF-D47B-466F-9E42-5B20CC323BD7}"/>
    <cellStyle name="_Currency_AWE_FRP" xfId="566" xr:uid="{F82D1628-6732-44FE-99F4-2374967098BD}"/>
    <cellStyle name="_Currency_AWE_FRP_CASH FLOW" xfId="567" xr:uid="{1454906A-9D70-4251-BB33-13AE9D756CF8}"/>
    <cellStyle name="_Currency_AWE_FRP_NPAT&amp;EPS" xfId="568" xr:uid="{EA738EFF-791C-4D09-BADF-6B97C38C6E54}"/>
    <cellStyle name="_Currency_AWE_NPAT&amp;EPS" xfId="569" xr:uid="{F2F7C12F-122A-47FE-8C91-6493D1E844BC}"/>
    <cellStyle name="_Currency_Balance Sheet" xfId="166" xr:uid="{07C1B885-F087-467D-A845-FE9F3900D84A}"/>
    <cellStyle name="_Currency_BLS" xfId="570" xr:uid="{B7DEA8AB-3B15-4C55-8BDD-BFD188BD7DE0}"/>
    <cellStyle name="_Currency_bls roic" xfId="571" xr:uid="{8F590E64-A11D-4244-A08A-FD65875D6109}"/>
    <cellStyle name="_Currency_bls roic_CASH FLOW" xfId="572" xr:uid="{654CD19C-249C-4796-817C-092B6EA4D066}"/>
    <cellStyle name="_Currency_bls roic_FON" xfId="573" xr:uid="{11501518-90DB-496C-BD31-ED614288F520}"/>
    <cellStyle name="_Currency_bls roic_FRP" xfId="574" xr:uid="{F8814643-B5F9-4F1E-9AA1-57C8C3BF07FB}"/>
    <cellStyle name="_Currency_bls roic_FRP_CASH FLOW" xfId="575" xr:uid="{D1A76D3C-0C9C-4256-A580-84A126694A6C}"/>
    <cellStyle name="_Currency_bls roic_FRP_NPAT&amp;EPS" xfId="576" xr:uid="{3FE384DC-6604-4539-9E60-E21E96C5BA86}"/>
    <cellStyle name="_Currency_bls roic_NPAT&amp;EPS" xfId="577" xr:uid="{A0AA9902-9834-4B52-907C-7C7EB804322C}"/>
    <cellStyle name="_Currency_BLS_CASH FLOW" xfId="578" xr:uid="{ADBED547-44EE-41EC-A88B-38D79C2787C6}"/>
    <cellStyle name="_Currency_BLS_FON" xfId="579" xr:uid="{5F927C47-0395-466C-ABD0-6AF9E70B9E92}"/>
    <cellStyle name="_Currency_BLS_FRP" xfId="580" xr:uid="{B4F3A269-410D-4C12-8413-4C63E634FC51}"/>
    <cellStyle name="_Currency_BLS_FRP_CASH FLOW" xfId="581" xr:uid="{2C18594B-AEFA-4862-B8D9-CF518A1544C0}"/>
    <cellStyle name="_Currency_BLS_FRP_NPAT&amp;EPS" xfId="582" xr:uid="{1B73A793-37CE-4B81-A2B6-73793CA15D49}"/>
    <cellStyle name="_Currency_BLS_NPAT&amp;EPS" xfId="583" xr:uid="{B181EF71-930F-4EB5-B520-4AE35C13CD4D}"/>
    <cellStyle name="_Currency_Book1" xfId="167" xr:uid="{9E99DD4F-8722-40D4-A852-93528A39F8DB}"/>
    <cellStyle name="_Currency_Book2" xfId="584" xr:uid="{A39AF76D-6323-433E-A470-943FEDF4FD43}"/>
    <cellStyle name="_Currency_Book2_CASH FLOW" xfId="585" xr:uid="{DE8A3BBE-FD7C-4B70-88CB-2B2323716590}"/>
    <cellStyle name="_Currency_Book2_FON" xfId="586" xr:uid="{C3E40406-5000-4BB2-9672-09E85B31D222}"/>
    <cellStyle name="_Currency_Book2_FRP" xfId="587" xr:uid="{212C1F40-4E00-4EAF-AADE-18AD6234D34B}"/>
    <cellStyle name="_Currency_Book2_FRP_CASH FLOW" xfId="588" xr:uid="{2DD9A16B-9D78-4C4D-B2D6-91F0B6D3EE79}"/>
    <cellStyle name="_Currency_Book2_FRP_NPAT&amp;EPS" xfId="589" xr:uid="{F98720C5-EC84-48CF-A40D-D467E20652A1}"/>
    <cellStyle name="_Currency_Book2_NPAT&amp;EPS" xfId="590" xr:uid="{9C46ADD6-7975-4405-90A9-CE6F0E62E2AA}"/>
    <cellStyle name="_Currency_Book29" xfId="168" xr:uid="{6F51844B-EBA5-475F-B123-85C1710B0B95}"/>
    <cellStyle name="_Currency_Book3" xfId="169" xr:uid="{3A377406-0A19-40DE-B785-2DEE51910793}"/>
    <cellStyle name="_Currency_Book3_1" xfId="170" xr:uid="{CB1746B6-9C8A-491D-BF46-FC0787585454}"/>
    <cellStyle name="_Currency_Book32" xfId="591" xr:uid="{2BF2ACE9-E05C-4A34-B363-D7C818137802}"/>
    <cellStyle name="_Currency_Book32_CASH FLOW" xfId="592" xr:uid="{BAA8DA3C-6435-474D-B958-C32DA3253201}"/>
    <cellStyle name="_Currency_Book32_FON" xfId="593" xr:uid="{F0DC3770-D0DE-49BA-ABE0-8EFB322B2A05}"/>
    <cellStyle name="_Currency_Book32_FRP" xfId="594" xr:uid="{5ED7AE6B-5CB4-44A9-B65B-15A635EB0F5B}"/>
    <cellStyle name="_Currency_Book32_FRP_CASH FLOW" xfId="595" xr:uid="{86444182-CE75-411D-A4FA-8F6978EB77A2}"/>
    <cellStyle name="_Currency_Book32_FRP_NPAT&amp;EPS" xfId="596" xr:uid="{4D08829E-6574-402E-B9CC-FA21FE9C4FAC}"/>
    <cellStyle name="_Currency_Book32_NPAT&amp;EPS" xfId="597" xr:uid="{125ED741-0D1F-44EC-ABF6-EA82F08EB225}"/>
    <cellStyle name="_Currency_capital expenditures 6-18-02" xfId="598" xr:uid="{94DA57F0-20B8-41D4-A6C2-C21CDC048F6D}"/>
    <cellStyle name="_Currency_capital expenditures 6-18-02_CASH FLOW" xfId="599" xr:uid="{2E3F1385-F3E6-4F83-81FA-6D40810FB030}"/>
    <cellStyle name="_Currency_capital expenditures 6-18-02_FON" xfId="600" xr:uid="{82C258B8-FC06-4D74-BDA2-8DABDA3A40F7}"/>
    <cellStyle name="_Currency_capital expenditures 6-18-02_FRP" xfId="601" xr:uid="{AC0D5779-2329-4CEF-8C9B-F2AF0B4E2255}"/>
    <cellStyle name="_Currency_capital expenditures 6-18-02_FRP_CASH FLOW" xfId="602" xr:uid="{D1A67EF9-B655-4E87-B4FB-4BF4BF5AB333}"/>
    <cellStyle name="_Currency_capital expenditures 6-18-02_FRP_NPAT&amp;EPS" xfId="603" xr:uid="{78E2EE18-1562-4573-A769-64F04C5B25A3}"/>
    <cellStyle name="_Currency_capital expenditures 6-18-02_NPAT&amp;EPS" xfId="604" xr:uid="{BF2BD27F-F987-4523-AF92-B5FC4B09C929}"/>
    <cellStyle name="_Currency_CASH FLOW" xfId="605" xr:uid="{6A9D5D81-14F6-408A-8AD1-792198CEC310}"/>
    <cellStyle name="_Currency_Cingular" xfId="606" xr:uid="{13B9710B-ACD4-4C16-A554-B4FE37399590}"/>
    <cellStyle name="_Currency_Cingular_CASH FLOW" xfId="607" xr:uid="{BF627AB6-D617-40F7-9F22-5A3B473D21D0}"/>
    <cellStyle name="_Currency_Cingular_FON" xfId="608" xr:uid="{B851B0C6-D600-4B9C-A82A-91819122BF83}"/>
    <cellStyle name="_Currency_Cingular_FRP" xfId="609" xr:uid="{48FAB168-8626-4576-8B0C-CB8EBB917E0A}"/>
    <cellStyle name="_Currency_Cingular_FRP_CASH FLOW" xfId="610" xr:uid="{00D34550-D724-4112-80ED-0E2D9230A3B4}"/>
    <cellStyle name="_Currency_Cingular_FRP_NPAT&amp;EPS" xfId="611" xr:uid="{DEE7F51E-300A-4C3D-8FFF-B690D918DFC9}"/>
    <cellStyle name="_Currency_Cingular_NPAT&amp;EPS" xfId="612" xr:uid="{8E5BD029-5D9F-4028-AEF9-994B1DC2A4D7}"/>
    <cellStyle name="_Currency_CNO" xfId="171" xr:uid="{C6DD21D9-C189-4124-B0E0-B381220E67A7}"/>
    <cellStyle name="_Currency_DCF Alexander Forbes" xfId="172" xr:uid="{64F273F5-152F-4B0F-BF40-4FA27ABD11EC}"/>
    <cellStyle name="_Currency_dcf_1" xfId="613" xr:uid="{CC0D4572-93AB-45E7-92CD-21AC2F1F6F19}"/>
    <cellStyle name="_Currency_dcf_1_CASH FLOW" xfId="614" xr:uid="{FB54C1EF-097C-431F-B180-59C0E51F9E1F}"/>
    <cellStyle name="_Currency_dcf_1_NPAT&amp;EPS" xfId="615" xr:uid="{CF98C72B-50EC-4249-AF77-C0A71B424070}"/>
    <cellStyle name="_Currency_DUK" xfId="616" xr:uid="{2F8BE487-2164-4D74-9B98-AD5879D539CA}"/>
    <cellStyle name="_Currency_DUK_CASH FLOW" xfId="617" xr:uid="{996FDF41-7FBD-44C0-B642-01C83C66929C}"/>
    <cellStyle name="_Currency_DUK_NPAT&amp;EPS" xfId="618" xr:uid="{8F991357-F4AF-4E55-8BFF-2C7D28F2C40F}"/>
    <cellStyle name="_Currency_ED 2005.08.01" xfId="619" xr:uid="{D26BC8F5-C60E-40ED-B984-491B01199216}"/>
    <cellStyle name="_Currency_ED 2005.08.01_CASH FLOW" xfId="620" xr:uid="{D8C83A1D-0A98-4C6C-9420-3C2FF545EFF7}"/>
    <cellStyle name="_Currency_ED 2005.08.01_NPAT&amp;EPS" xfId="621" xr:uid="{AAD00480-EE86-4D94-96BD-D8D5C66C6D2F}"/>
    <cellStyle name="_Currency_FCF yield comparison_1.3.06" xfId="622" xr:uid="{15B2EB13-3D1B-4AC3-B12C-BD68DF6B140C}"/>
    <cellStyle name="_Currency_FCF yield comparison_1.3.06_CASH FLOW" xfId="623" xr:uid="{6F6776B9-E909-4906-95DA-08B7D5D785E5}"/>
    <cellStyle name="_Currency_FCF yield comparison_1.3.06_NPAT&amp;EPS" xfId="624" xr:uid="{412A7D26-0BD1-4DE9-9A68-B15709C6BC3D}"/>
    <cellStyle name="_Currency_fmbi counties" xfId="173" xr:uid="{43D94B7E-0245-4A1F-8A3C-3806B54D92B1}"/>
    <cellStyle name="_Currency_FMBI MBHI Graphs" xfId="174" xr:uid="{7374D47A-014B-4CBA-952C-DA532A3DD578}"/>
    <cellStyle name="_Currency_FMBI MBHI Graphs 07102001" xfId="175" xr:uid="{2073457D-7D08-4D1A-962D-2FB839A4BECE}"/>
    <cellStyle name="_Currency_FMBI MBHI Graphs_7601" xfId="176" xr:uid="{5710A619-42E6-4A8A-AD7E-A4D9DC607B4C}"/>
    <cellStyle name="_Currency_FON" xfId="625" xr:uid="{E649EF2D-1BC3-421E-A41B-88E74B7A5D1B}"/>
    <cellStyle name="_Currency_FON_1" xfId="626" xr:uid="{870BAB51-8DE4-4E29-8AD7-444E2D4CB9A2}"/>
    <cellStyle name="_Currency_FON_CASH FLOW" xfId="627" xr:uid="{D0549EAB-846E-41B4-82CB-1C08A1299B5C}"/>
    <cellStyle name="_Currency_FON_FON" xfId="628" xr:uid="{C3E45FEB-C399-4C21-BCB2-2ECC02F6056C}"/>
    <cellStyle name="_Currency_FON_FRP" xfId="629" xr:uid="{51D8F301-B52B-41C2-A724-28AF79053904}"/>
    <cellStyle name="_Currency_FON_FRP_CASH FLOW" xfId="630" xr:uid="{EEDC64D4-3B54-4E4B-AA5A-07797CE92308}"/>
    <cellStyle name="_Currency_FON_FRP_NPAT&amp;EPS" xfId="631" xr:uid="{7F1CE3B7-0424-4376-9675-30285B88180D}"/>
    <cellStyle name="_Currency_FON_NPAT&amp;EPS" xfId="632" xr:uid="{A4AC79F8-A7BE-4520-9F0C-752EF4AFA397}"/>
    <cellStyle name="_Currency_FRP" xfId="633" xr:uid="{4A7A61E6-0E8D-4D70-8106-A18E8D99FDCF}"/>
    <cellStyle name="_Currency_FRP_CASH FLOW" xfId="634" xr:uid="{10EAE597-CE9A-4E97-9031-22F421B38D60}"/>
    <cellStyle name="_Currency_FRP_NPAT&amp;EPS" xfId="635" xr:uid="{F808E778-A747-4EE0-8D70-2627D4F1C692}"/>
    <cellStyle name="_Currency_GNW" xfId="177" xr:uid="{18B817BB-7375-4614-9359-82AEAA7F7313}"/>
    <cellStyle name="_Currency_Insurance Brokerage CSC_1Q2002" xfId="178" xr:uid="{7A592183-F944-4C07-BA46-D2FB43BF409A}"/>
    <cellStyle name="_Currency_JP" xfId="179" xr:uid="{0BCB1E86-1234-46DC-B17E-1A7B75BB2B87}"/>
    <cellStyle name="_Currency_LNC" xfId="180" xr:uid="{E3E4E431-8C93-4077-9648-9B2BDA8F30F0}"/>
    <cellStyle name="_Currency_MCI" xfId="636" xr:uid="{486E3B1E-0804-4774-A7DB-459AC92EC7EE}"/>
    <cellStyle name="_Currency_MCI_AT" xfId="637" xr:uid="{52ED5FEC-8857-40DA-9339-E3E721EB611E}"/>
    <cellStyle name="_Currency_MCI_AT_CASH FLOW" xfId="638" xr:uid="{E9F7C462-0F88-4692-B868-E1250B6CB135}"/>
    <cellStyle name="_Currency_MCI_AT_NPAT&amp;EPS" xfId="639" xr:uid="{2E663827-C5DF-4DE8-BC9A-D189B93EE2FE}"/>
    <cellStyle name="_Currency_MET" xfId="181" xr:uid="{FCDF6A4B-F0D2-4833-914A-37E317F207B9}"/>
    <cellStyle name="_Currency_MET04" xfId="182" xr:uid="{C17D245A-7258-45B4-A5A8-1D3F465038D6}"/>
    <cellStyle name="_Currency_MET04 2" xfId="1325" xr:uid="{470D511B-34D0-4B74-AD0E-5B55139131B5}"/>
    <cellStyle name="_Currency_NFS" xfId="183" xr:uid="{6A0258CA-A259-40EC-84E3-68B23C481A05}"/>
    <cellStyle name="_Currency_NPAT&amp;EPS" xfId="640" xr:uid="{2D032E35-FDD3-440B-8A41-C0D4829A836F}"/>
    <cellStyle name="_Currency_NRG 2005.07.22" xfId="641" xr:uid="{F2CFA2E0-460A-46D2-B34B-3D09DD3AD527}"/>
    <cellStyle name="_Currency_NRG 2005.07.22_CASH FLOW" xfId="642" xr:uid="{1D7FC251-7F59-447C-8F56-E2471C161884}"/>
    <cellStyle name="_Currency_NRG 2005.07.22_NPAT&amp;EPS" xfId="643" xr:uid="{8AE6421A-5671-4A1D-B01A-C61FC7F0EEC7}"/>
    <cellStyle name="_Currency_NXTL" xfId="644" xr:uid="{E74170F7-E979-45EF-A1FE-15E17453072C}"/>
    <cellStyle name="_Currency_NXTL_CASH FLOW" xfId="645" xr:uid="{070F3C98-ED78-476B-8975-60C2E0CDD512}"/>
    <cellStyle name="_Currency_NXTL_FON" xfId="646" xr:uid="{27213B65-0535-41D4-B46F-37366D706146}"/>
    <cellStyle name="_Currency_NXTL_FRP" xfId="647" xr:uid="{C60F3306-B7A2-40FD-855F-2D4356EE489B}"/>
    <cellStyle name="_Currency_NXTL_FRP_CASH FLOW" xfId="648" xr:uid="{D98D71B3-FD12-4453-9830-169D89658C11}"/>
    <cellStyle name="_Currency_NXTL_FRP_NPAT&amp;EPS" xfId="649" xr:uid="{81DE6C58-9A5D-473C-96CE-38C392DF3276}"/>
    <cellStyle name="_Currency_NXTL_NPAT&amp;EPS" xfId="650" xr:uid="{0829A6FC-F70A-4D41-8528-10414743F26E}"/>
    <cellStyle name="_Currency_Overview3" xfId="184" xr:uid="{590BB29E-BDEB-4C4A-91AC-096BBC2362F4}"/>
    <cellStyle name="_Currency_PCS" xfId="651" xr:uid="{78F0F915-FB90-42D4-BC52-7FB22067A3DD}"/>
    <cellStyle name="_Currency_PCS_CASH FLOW" xfId="652" xr:uid="{217B698F-CC4F-4057-9591-BEE2CB8BDCA5}"/>
    <cellStyle name="_Currency_PCS_FON" xfId="653" xr:uid="{F0ACD34B-B5C4-4C77-88D3-E2E14EF92ACD}"/>
    <cellStyle name="_Currency_PCS_FRP" xfId="654" xr:uid="{9ECACB37-E01B-468A-9BA2-86C3F6042096}"/>
    <cellStyle name="_Currency_PCS_FRP_CASH FLOW" xfId="655" xr:uid="{DE3EBDE4-9186-4230-AD37-F9CAAA1E4854}"/>
    <cellStyle name="_Currency_PCS_FRP_NPAT&amp;EPS" xfId="656" xr:uid="{6FD9F8C6-6F5A-439A-A917-36AD135972BA}"/>
    <cellStyle name="_Currency_PCS_NPAT&amp;EPS" xfId="657" xr:uid="{8F1B219C-8C33-41F4-ACF0-B4DC7402300D}"/>
    <cellStyle name="_Currency_phil data" xfId="185" xr:uid="{3FCE4DF8-0CC9-4F28-A7B2-30380798580A}"/>
    <cellStyle name="_Currency_Price Performance Charts" xfId="186" xr:uid="{91F51320-F3E2-445E-ADA9-6E5B67941D93}"/>
    <cellStyle name="_Currency_Price Performance Charts 2" xfId="1326" xr:uid="{85FB2091-80D4-4C95-9688-336871DCB170}"/>
    <cellStyle name="_Currency_PRU" xfId="187" xr:uid="{197A74C0-D38D-4803-9CD1-7F72CE9C6348}"/>
    <cellStyle name="_Currency_PRU 2" xfId="1327" xr:uid="{02E962C3-082B-4153-A7E0-3868B70CFF9C}"/>
    <cellStyle name="_Currency_PRU04" xfId="188" xr:uid="{62C4439F-0639-46F8-9881-5BE308BD9F3B}"/>
    <cellStyle name="_Currency_PRU04 2" xfId="1328" xr:uid="{FC0D01A1-E2DA-442B-9CDC-7FAAAA3FA95F}"/>
    <cellStyle name="_Currency_RBOC historicals" xfId="658" xr:uid="{A1225092-6587-42AE-8FBC-972FB7E08772}"/>
    <cellStyle name="_Currency_RBOC historicals_CASH FLOW" xfId="659" xr:uid="{C60EF8D9-4CC7-4418-B067-1F9099EA6968}"/>
    <cellStyle name="_Currency_RBOC historicals_FON" xfId="660" xr:uid="{30FEDF17-24A6-4A1D-85CA-DCB794FAAA99}"/>
    <cellStyle name="_Currency_RBOC historicals_FRP" xfId="661" xr:uid="{C63807F1-CD0F-4BF6-AF67-E94DFFC6C56C}"/>
    <cellStyle name="_Currency_RBOC historicals_FRP_CASH FLOW" xfId="662" xr:uid="{72AF58A3-F03D-4B60-A261-6FA04BDC9E19}"/>
    <cellStyle name="_Currency_RBOC historicals_FRP_NPAT&amp;EPS" xfId="663" xr:uid="{9DA5E7B2-1E9D-4644-B8B2-691E100B9691}"/>
    <cellStyle name="_Currency_RBOC historicals_NPAT&amp;EPS" xfId="664" xr:uid="{C8AC8B53-1CF1-4F6A-A306-5633D316287B}"/>
    <cellStyle name="_Currency_RiskReward" xfId="189" xr:uid="{9EB41B3D-D969-42D9-BA56-AFE0B553162F}"/>
    <cellStyle name="_Currency_SFG" xfId="190" xr:uid="{3BB1D99C-E404-4F7A-827F-590FFD63A290}"/>
    <cellStyle name="_Currency_SFG 2" xfId="1329" xr:uid="{4B37B68F-8081-4D77-9E75-D7FC8E36D27C}"/>
    <cellStyle name="_Currency_Sheet1" xfId="191" xr:uid="{01FBAEB8-A12B-4849-92A6-CCF095D7981E}"/>
    <cellStyle name="_Currency_SRE" xfId="665" xr:uid="{0B253D46-3B77-4827-A2B3-8962369F3D6A}"/>
    <cellStyle name="_Currency_SRE Working" xfId="666" xr:uid="{AC4F53B9-9D20-404A-9B67-B368DBE72235}"/>
    <cellStyle name="_Currency_SRE Working_CASH FLOW" xfId="667" xr:uid="{4CBC741E-9BB1-4DFF-BF67-6B194519951F}"/>
    <cellStyle name="_Currency_SRE Working_NPAT&amp;EPS" xfId="668" xr:uid="{0AA44529-8549-4C0D-BB32-9376E804A27C}"/>
    <cellStyle name="_Currency_SRE_CASH FLOW" xfId="669" xr:uid="{DA570824-8988-4A5F-8D75-2976522212CF}"/>
    <cellStyle name="_Currency_SRE_NPAT&amp;EPS" xfId="670" xr:uid="{2F2AAE50-AF12-47D6-BF6E-29DC822E0E28}"/>
    <cellStyle name="_Currency_Stock-QTR1 FDS" xfId="192" xr:uid="{6514AB13-81FC-45CD-9972-8B56CE6E9240}"/>
    <cellStyle name="_Currency_Stock-QTR1 FDS 2" xfId="1330" xr:uid="{D24130CB-AAB7-4EEC-B4AF-0313495BA997}"/>
    <cellStyle name="_Currency_T" xfId="671" xr:uid="{5FA0D333-8D5A-40CD-8B79-FDB15BA1BC52}"/>
    <cellStyle name="_Currency_T - new" xfId="672" xr:uid="{BDAF7200-E20B-4EE5-BE39-F9A21B93A961}"/>
    <cellStyle name="_Currency_T - new_CASH FLOW" xfId="673" xr:uid="{D65B4D3D-F6B2-4B6A-8922-7CAA77D42DC3}"/>
    <cellStyle name="_Currency_T - new_FON" xfId="674" xr:uid="{2492F7EE-CD19-4D96-BA06-25DF3B5726D7}"/>
    <cellStyle name="_Currency_T - new_FRP" xfId="675" xr:uid="{784D724C-5EC0-429F-AE68-242ACDCCE982}"/>
    <cellStyle name="_Currency_T - new_FRP_CASH FLOW" xfId="676" xr:uid="{92B29D24-6B7A-4815-986E-8D73435E713D}"/>
    <cellStyle name="_Currency_T - new_FRP_NPAT&amp;EPS" xfId="677" xr:uid="{AF2F793D-0E73-4350-85FA-D651B42D9664}"/>
    <cellStyle name="_Currency_T - new_NPAT&amp;EPS" xfId="678" xr:uid="{A606368A-1AB9-401C-AAFF-D875996E16BB}"/>
    <cellStyle name="_Currency_T_AT" xfId="679" xr:uid="{A7AEC32E-0FDD-4CC2-B922-72FB5587A0A4}"/>
    <cellStyle name="_Currency_T_AT_CASH FLOW" xfId="680" xr:uid="{C7DA7CF3-8A3E-4217-8343-F140C862EA2E}"/>
    <cellStyle name="_Currency_T_AT_NPAT&amp;EPS" xfId="681" xr:uid="{980E6769-BC0F-4FC4-A7DC-9354834C1970}"/>
    <cellStyle name="_Currency_Telco Scenario analysis1" xfId="682" xr:uid="{4F1BC98E-DE71-4BAB-BB30-1AA2CC316326}"/>
    <cellStyle name="_Currency_Telco Scenario analysis1_AT" xfId="683" xr:uid="{361EA75A-858E-4F23-977C-607D59737D21}"/>
    <cellStyle name="_Currency_Telco Scenario analysis1_AT_CASH FLOW" xfId="684" xr:uid="{82E516F7-C2FE-4A45-8CEC-0D32C5E66F81}"/>
    <cellStyle name="_Currency_Telco Scenario analysis1_AT_NPAT&amp;EPS" xfId="685" xr:uid="{C5DDDAA3-8F66-46DA-A24F-A4B3B7E6A384}"/>
    <cellStyle name="_Currency_TMK" xfId="193" xr:uid="{5D12D783-1185-48A1-90D1-39D345C42648}"/>
    <cellStyle name="_Currency_Updated CSC Template" xfId="10" xr:uid="{E8AE93EC-A10D-4899-9B52-706AA7E21772}"/>
    <cellStyle name="_Currency_Updated Valuation Changes" xfId="194" xr:uid="{38740C67-E95E-4F13-BC8E-8F155B373B07}"/>
    <cellStyle name="_Currency_Valuation Graphs" xfId="195" xr:uid="{4FD95513-2181-4C3E-961C-05BC208D4571}"/>
    <cellStyle name="_Currency_VZ" xfId="686" xr:uid="{9F876DD5-D7FD-4A9F-929B-EBBC6B32C63A}"/>
    <cellStyle name="_Currency_VZ_CASH FLOW" xfId="687" xr:uid="{DC2EA61E-A00E-41FA-ACE5-FE8D8A9CCFD0}"/>
    <cellStyle name="_Currency_VZ_FON" xfId="688" xr:uid="{EE3E5CD2-744C-4779-BF60-2F2A707AF40F}"/>
    <cellStyle name="_Currency_VZ_FRP" xfId="689" xr:uid="{90306763-D3D9-4B12-B329-B3ECA8695A09}"/>
    <cellStyle name="_Currency_VZ_FRP_CASH FLOW" xfId="690" xr:uid="{746AE127-9BA2-452B-A728-506093C106AE}"/>
    <cellStyle name="_Currency_VZ_FRP_NPAT&amp;EPS" xfId="691" xr:uid="{CB94AB3F-F7D5-497A-B1A6-774B708C7124}"/>
    <cellStyle name="_Currency_VZ_NPAT&amp;EPS" xfId="692" xr:uid="{14187F28-C438-4D92-9B7E-040D2F01724C}"/>
    <cellStyle name="_Currency_VZW" xfId="693" xr:uid="{F03F651B-B563-4BD9-9A81-F76630188B5D}"/>
    <cellStyle name="_Currency_VZW_CASH FLOW" xfId="694" xr:uid="{3F529FBF-76AE-4879-AD45-3DD15DF0E544}"/>
    <cellStyle name="_Currency_VZW_FON" xfId="695" xr:uid="{0FFF49AB-BFE6-499C-A332-02CD47A4EE1F}"/>
    <cellStyle name="_Currency_VZW_FRP" xfId="696" xr:uid="{BFDBB760-A572-4907-AE5C-3F2646A9E5F4}"/>
    <cellStyle name="_Currency_VZW_FRP_CASH FLOW" xfId="697" xr:uid="{5CF2A2FD-3CC3-4BA7-9B93-ACA7F18676C1}"/>
    <cellStyle name="_Currency_VZW_FRP_NPAT&amp;EPS" xfId="698" xr:uid="{1E560AB8-F803-49E9-8537-367F19E19B20}"/>
    <cellStyle name="_Currency_VZW_NPAT&amp;EPS" xfId="699" xr:uid="{BFF3C912-062B-4918-9549-0A7DFAED3446}"/>
    <cellStyle name="_Currency_WWCA" xfId="700" xr:uid="{6F2CDFD0-41B4-4471-9F32-FC88682174B8}"/>
    <cellStyle name="_Currency_WWCA_CASH FLOW" xfId="701" xr:uid="{FB2DC770-A6BF-4DA8-9C34-4D3ACD55ECA2}"/>
    <cellStyle name="_Currency_WWCA_NPAT&amp;EPS" xfId="702" xr:uid="{43206649-E5FC-4279-8F88-37E5DEB65636}"/>
    <cellStyle name="_Currency_xratio - historical mkt val" xfId="196" xr:uid="{0B852629-5ED5-4361-AE4A-687FCE257838}"/>
    <cellStyle name="_CurrencySpace" xfId="11" xr:uid="{8C0B7253-776D-4852-BF82-810ADE47991A}"/>
    <cellStyle name="_CurrencySpace_01 adj for merger plan" xfId="197" xr:uid="{6BA9CAC7-ACAD-45E5-8DE4-7B4BD288A6EB}"/>
    <cellStyle name="_CurrencySpace_09-08-04 Comp Sheet" xfId="703" xr:uid="{1B140F7E-0432-4962-A777-988537711F2C}"/>
    <cellStyle name="_CurrencySpace_09-08-04 Comp Sheet_AT" xfId="704" xr:uid="{EA30DA49-A2A5-4298-B120-6944F202911C}"/>
    <cellStyle name="_CurrencySpace_09-08-04 Comp Sheet_AT_CASH FLOW" xfId="705" xr:uid="{D4691BEE-A542-461D-8ABB-C536ADA06590}"/>
    <cellStyle name="_CurrencySpace_09-08-04 Comp Sheet_AT_NPAT&amp;EPS" xfId="706" xr:uid="{43AAED79-0935-4296-B215-1EC57CF40639}"/>
    <cellStyle name="_CurrencySpace_12-30-05 Telecom Serv Comp Sheet" xfId="707" xr:uid="{F049D14F-4E29-4CCA-A4E2-C3636A81CCE6}"/>
    <cellStyle name="_CurrencySpace_12-30-05 Telecom Serv Comp Sheet_CASH FLOW" xfId="708" xr:uid="{1D88AD97-8598-403C-B400-4AA275E1BF93}"/>
    <cellStyle name="_CurrencySpace_12-30-05 Telecom Serv Comp Sheet_NPAT&amp;EPS" xfId="709" xr:uid="{0B65FABC-8788-4C89-A7BE-0FD1B24F82A5}"/>
    <cellStyle name="_CurrencySpace_Ability to Pay Analysis" xfId="198" xr:uid="{C3F00991-28AC-4C9A-A7A0-53CA60172603}"/>
    <cellStyle name="_CurrencySpace_AFL" xfId="199" xr:uid="{DDC2BFEC-4E6A-41F5-A714-018B2325A7BD}"/>
    <cellStyle name="_CurrencySpace_Airports Dealcomp" xfId="12" xr:uid="{730121E3-E5F8-4E8F-8AE5-0491AF48561A}"/>
    <cellStyle name="_CurrencySpace_AIZ" xfId="200" xr:uid="{E9ABBEF7-A67D-4583-9076-995FC798C888}"/>
    <cellStyle name="_CurrencySpace_AMP" xfId="201" xr:uid="{A27987C9-F984-4C41-8E64-0846B00E82C2}"/>
    <cellStyle name="_CurrencySpace_Balance Sheet" xfId="202" xr:uid="{15C1209B-49FC-4001-81E7-9ED9FF6B3288}"/>
    <cellStyle name="_CurrencySpace_bls roic" xfId="710" xr:uid="{5B902CF7-B679-4550-8DD4-316EE29FA80C}"/>
    <cellStyle name="_CurrencySpace_bls roic_CASH FLOW" xfId="711" xr:uid="{936D9CEB-60C1-4A6E-B74F-40C1758F1F07}"/>
    <cellStyle name="_CurrencySpace_bls roic_FON" xfId="712" xr:uid="{CF34D7B4-3D24-4763-AF66-5BA63668B2D0}"/>
    <cellStyle name="_CurrencySpace_bls roic_FRP" xfId="713" xr:uid="{42F009A8-4C30-4BCB-87F4-4F1420A504E0}"/>
    <cellStyle name="_CurrencySpace_bls roic_FRP_CASH FLOW" xfId="714" xr:uid="{4E811CEE-B236-4D82-A5DE-C39C2BC21AA2}"/>
    <cellStyle name="_CurrencySpace_bls roic_FRP_NPAT&amp;EPS" xfId="715" xr:uid="{EDE59F5C-D823-4E5F-8102-6B30D5C9E809}"/>
    <cellStyle name="_CurrencySpace_bls roic_NPAT&amp;EPS" xfId="716" xr:uid="{0E9D5CD7-3A1D-40A4-8C34-0A706794AD88}"/>
    <cellStyle name="_CurrencySpace_Book1" xfId="203" xr:uid="{1D47C4F5-95CF-4FCE-9DB2-5B68C9133A11}"/>
    <cellStyle name="_CurrencySpace_Book29" xfId="204" xr:uid="{45ECF7F4-8519-4AA8-B5F4-B65523215B6D}"/>
    <cellStyle name="_CurrencySpace_Book3" xfId="205" xr:uid="{2D55DE56-7FCA-498C-BF8B-8BD20F04A1E8}"/>
    <cellStyle name="_CurrencySpace_Book3_1" xfId="206" xr:uid="{7F80D307-4B29-496E-BB04-11355661884B}"/>
    <cellStyle name="_CurrencySpace_capital expenditures 6-18-02" xfId="717" xr:uid="{1816100F-12B4-46CA-AA02-60D93BEEECE7}"/>
    <cellStyle name="_CurrencySpace_capital expenditures 6-18-02_CASH FLOW" xfId="718" xr:uid="{E146C6CE-8773-45FE-AECF-F11E7F19E317}"/>
    <cellStyle name="_CurrencySpace_capital expenditures 6-18-02_FON" xfId="719" xr:uid="{5812B351-0D23-4DAA-B476-EB8B4E1DF444}"/>
    <cellStyle name="_CurrencySpace_capital expenditures 6-18-02_FRP" xfId="720" xr:uid="{8FA797E5-B192-48E8-AA0B-65EC7DE545AB}"/>
    <cellStyle name="_CurrencySpace_capital expenditures 6-18-02_FRP_CASH FLOW" xfId="721" xr:uid="{A6CF4B97-8A27-4818-A1B5-9DBA03A41585}"/>
    <cellStyle name="_CurrencySpace_capital expenditures 6-18-02_FRP_NPAT&amp;EPS" xfId="722" xr:uid="{A5F70B3C-95B6-41F6-A29F-FC979893C9B9}"/>
    <cellStyle name="_CurrencySpace_capital expenditures 6-18-02_NPAT&amp;EPS" xfId="723" xr:uid="{D61CBDB9-FA0A-4A85-BCDE-8F26F92CCA0A}"/>
    <cellStyle name="_CurrencySpace_CNO" xfId="207" xr:uid="{760BD539-204E-4F53-982F-4810B09BA09F}"/>
    <cellStyle name="_CurrencySpace_DCF Alexander Forbes" xfId="208" xr:uid="{3B06DCF4-6272-4D4A-B0F0-6C47CCD05041}"/>
    <cellStyle name="_CurrencySpace_dcf_1" xfId="724" xr:uid="{F8589325-FAD8-4EC2-A9C6-C92C7F16A970}"/>
    <cellStyle name="_CurrencySpace_DUK" xfId="725" xr:uid="{C91E92BB-BF3C-4F39-A471-21FBE9B6EDF0}"/>
    <cellStyle name="_CurrencySpace_ED 2005.08.01" xfId="726" xr:uid="{1F315541-0B8A-4154-80D1-D41AF211705C}"/>
    <cellStyle name="_CurrencySpace_ED 2005.08.01_CASH FLOW" xfId="727" xr:uid="{8B9B03EC-7FBF-4B03-98F1-87119F1864CC}"/>
    <cellStyle name="_CurrencySpace_ED 2005.08.01_NPAT&amp;EPS" xfId="728" xr:uid="{E7156008-C83D-4CD3-820E-250E4D7404DF}"/>
    <cellStyle name="_CurrencySpace_FCF yield comparison_1.3.06" xfId="729" xr:uid="{BDE31A14-F6B9-439A-BD5B-7522A0BCFC4E}"/>
    <cellStyle name="_CurrencySpace_FCF yield comparison_1.3.06_CASH FLOW" xfId="730" xr:uid="{1D8312B8-992E-4E9F-8869-AC6D114C9E57}"/>
    <cellStyle name="_CurrencySpace_FCF yield comparison_1.3.06_NPAT&amp;EPS" xfId="731" xr:uid="{26FF734F-0255-408D-8DFD-B43FD76CF0B9}"/>
    <cellStyle name="_CurrencySpace_fmbi counties" xfId="209" xr:uid="{6CC5267F-CEDE-4675-AD0B-8808D343B6F9}"/>
    <cellStyle name="_CurrencySpace_FMBI MBHI Graphs" xfId="210" xr:uid="{05569DCA-E150-4625-B000-DA8BC72FBD30}"/>
    <cellStyle name="_CurrencySpace_FMBI MBHI Graphs 07102001" xfId="211" xr:uid="{5110A328-C802-4E77-8FC5-03AF9903C38F}"/>
    <cellStyle name="_CurrencySpace_FMBI MBHI Graphs_7601" xfId="212" xr:uid="{B682F9BA-684F-479D-883B-D77565714A30}"/>
    <cellStyle name="_CurrencySpace_FON" xfId="732" xr:uid="{A72CEAB8-181F-4860-BCF5-4A4B0EE17245}"/>
    <cellStyle name="_CurrencySpace_FRP" xfId="733" xr:uid="{EC6F31B6-231A-42EE-8A7D-F135E3F33A60}"/>
    <cellStyle name="_CurrencySpace_FRP_CASH FLOW" xfId="734" xr:uid="{C147CCCD-0257-4C61-A0F2-7DFA766341D3}"/>
    <cellStyle name="_CurrencySpace_FRP_NPAT&amp;EPS" xfId="735" xr:uid="{83199D8A-0A82-4669-9D5F-DCD1EC8E00ED}"/>
    <cellStyle name="_CurrencySpace_GNW" xfId="213" xr:uid="{03F640F7-BBFA-4433-8F2C-10C0BA318E6F}"/>
    <cellStyle name="_CurrencySpace_Insurance Brokerage CSC_1Q2002" xfId="214" xr:uid="{0410F649-8233-48BB-ADFC-C4D1B183854E}"/>
    <cellStyle name="_CurrencySpace_JP" xfId="215" xr:uid="{E6D6626F-695E-4D13-AA6B-D23F74FFC2E9}"/>
    <cellStyle name="_CurrencySpace_LNC" xfId="216" xr:uid="{72CEE291-09D4-4BC3-82BF-17A74BB2A4B8}"/>
    <cellStyle name="_CurrencySpace_MCI" xfId="736" xr:uid="{FE25F987-FAAD-4A32-A65B-02C4828572E2}"/>
    <cellStyle name="_CurrencySpace_MCI_AT" xfId="737" xr:uid="{38EB7601-E844-4727-A513-10C82B0B75B0}"/>
    <cellStyle name="_CurrencySpace_MCI_AT_CASH FLOW" xfId="738" xr:uid="{AFD29D09-28D9-4A8C-8267-198AF2901989}"/>
    <cellStyle name="_CurrencySpace_MCI_AT_NPAT&amp;EPS" xfId="739" xr:uid="{FBA2EB41-CA61-425F-8AA9-69E46D180CF1}"/>
    <cellStyle name="_CurrencySpace_MET" xfId="217" xr:uid="{507C8770-FC3C-4351-ACE3-08FAA861B8DB}"/>
    <cellStyle name="_CurrencySpace_MET04" xfId="218" xr:uid="{8BC999FB-3625-4FFE-970E-53B81E5E2A16}"/>
    <cellStyle name="_CurrencySpace_MET04 2" xfId="1331" xr:uid="{FFA9BE86-09B0-41E1-856F-2E2C5DB8C81E}"/>
    <cellStyle name="_CurrencySpace_NFS" xfId="219" xr:uid="{DA17958A-2161-46C4-953C-EBB09C3B556A}"/>
    <cellStyle name="_CurrencySpace_NRG 2005.07.22" xfId="740" xr:uid="{99E05D96-3D7F-41C3-804D-D585524B37A6}"/>
    <cellStyle name="_CurrencySpace_NRG 2005.07.22_CASH FLOW" xfId="741" xr:uid="{B3F0160A-28FD-4055-9133-0D74D1304658}"/>
    <cellStyle name="_CurrencySpace_NRG 2005.07.22_NPAT&amp;EPS" xfId="742" xr:uid="{46B68ECD-4585-4F4C-9BDE-9F2D440C13BB}"/>
    <cellStyle name="_CurrencySpace_Overview3" xfId="220" xr:uid="{B41EF029-51F8-4304-9B86-4C6F38DA44C5}"/>
    <cellStyle name="_CurrencySpace_phil data" xfId="221" xr:uid="{42C4E571-AB0D-4BC0-8B2D-FF94878FDE4B}"/>
    <cellStyle name="_CurrencySpace_Price Performance Charts" xfId="222" xr:uid="{C11DC826-20EE-4B1D-921E-AC31AB9D20DC}"/>
    <cellStyle name="_CurrencySpace_Price Performance Charts 2" xfId="1332" xr:uid="{FCCD7CBC-46D1-4EDA-B5B3-9C80649E255D}"/>
    <cellStyle name="_CurrencySpace_PRU" xfId="223" xr:uid="{D233CAB4-24D2-4A58-BD2E-EEA466D55DE9}"/>
    <cellStyle name="_CurrencySpace_PRU 2" xfId="1333" xr:uid="{FCF337E1-1BFE-4641-A07A-38E7686FAEEE}"/>
    <cellStyle name="_CurrencySpace_PRU04" xfId="224" xr:uid="{5FF248F6-4769-4E67-9993-72D1256FDFDC}"/>
    <cellStyle name="_CurrencySpace_PRU04 2" xfId="1334" xr:uid="{26A598C4-2BB4-4CDF-9AF3-7B1362C7A35E}"/>
    <cellStyle name="_CurrencySpace_RBOC historicals" xfId="743" xr:uid="{9E6E287F-5AB7-4A4F-A4B6-D98AD712D558}"/>
    <cellStyle name="_CurrencySpace_RBOC historicals_CASH FLOW" xfId="744" xr:uid="{A523A0EC-F6F0-4CD4-A40E-110A1EA2F088}"/>
    <cellStyle name="_CurrencySpace_RBOC historicals_FON" xfId="745" xr:uid="{B9639C62-8D4F-45FB-ACB9-FE8C15B58BBC}"/>
    <cellStyle name="_CurrencySpace_RBOC historicals_FRP" xfId="746" xr:uid="{552CC869-4755-4B77-AABF-37291F96E1B4}"/>
    <cellStyle name="_CurrencySpace_RBOC historicals_FRP_CASH FLOW" xfId="747" xr:uid="{A9E805B2-9D06-4E86-9BBE-8CA3A9081853}"/>
    <cellStyle name="_CurrencySpace_RBOC historicals_FRP_NPAT&amp;EPS" xfId="748" xr:uid="{071529DA-BED8-455F-B8A7-5A4C1BB88F66}"/>
    <cellStyle name="_CurrencySpace_RBOC historicals_NPAT&amp;EPS" xfId="749" xr:uid="{E4741229-A7D2-4229-96CA-31963C2C2C91}"/>
    <cellStyle name="_CurrencySpace_RiskReward" xfId="225" xr:uid="{4DAE27FC-22B7-4E59-9E29-E3EBB1D63977}"/>
    <cellStyle name="_CurrencySpace_SFG" xfId="226" xr:uid="{DDE4AE66-475F-47E7-8C5D-A751E1FD114C}"/>
    <cellStyle name="_CurrencySpace_SFG 2" xfId="1335" xr:uid="{07FDAA6D-6967-42AF-AE46-F4731E0D23D3}"/>
    <cellStyle name="_CurrencySpace_Sheet1" xfId="227" xr:uid="{230413CD-7F9F-4E89-A24C-F9441D715960}"/>
    <cellStyle name="_CurrencySpace_SRE" xfId="750" xr:uid="{E5393CD0-EEC1-4E6F-8885-DA2EF6A60D12}"/>
    <cellStyle name="_CurrencySpace_SRE Working" xfId="751" xr:uid="{3698A18A-AA1B-42CA-8CC6-6CAA1876A855}"/>
    <cellStyle name="_CurrencySpace_Stock-QTR1 FDS" xfId="228" xr:uid="{D9B9AC4B-D886-4A12-8C74-6327D9953352}"/>
    <cellStyle name="_CurrencySpace_Stock-QTR1 FDS 2" xfId="1336" xr:uid="{63843270-2146-4D55-AC13-CA01CFB9B4B8}"/>
    <cellStyle name="_CurrencySpace_T" xfId="752" xr:uid="{619CA32B-A20B-469B-8B18-C3C8894782AA}"/>
    <cellStyle name="_CurrencySpace_T - new" xfId="753" xr:uid="{76C62EF0-5BCB-4B9A-997B-F2DAC7D0617A}"/>
    <cellStyle name="_CurrencySpace_T - new_CASH FLOW" xfId="754" xr:uid="{0BFF5BD0-B4ED-4E5E-A8B3-907CF93D2B7B}"/>
    <cellStyle name="_CurrencySpace_T - new_FON" xfId="755" xr:uid="{41B7C61A-4D56-4204-AB99-227A1743F769}"/>
    <cellStyle name="_CurrencySpace_T - new_FRP" xfId="756" xr:uid="{04E78B54-A976-49A2-9F5F-3A7DA8A4CBBC}"/>
    <cellStyle name="_CurrencySpace_T - new_FRP_CASH FLOW" xfId="757" xr:uid="{7B58F8A7-1D8C-4ED1-A70A-FD4FE39B0621}"/>
    <cellStyle name="_CurrencySpace_T - new_FRP_NPAT&amp;EPS" xfId="758" xr:uid="{F0F116BB-7288-40E8-8933-AE0EF34A7343}"/>
    <cellStyle name="_CurrencySpace_T - new_NPAT&amp;EPS" xfId="759" xr:uid="{D92F8834-227F-4C79-AD92-8706CCFF6FB8}"/>
    <cellStyle name="_CurrencySpace_T_AT" xfId="760" xr:uid="{591AAB97-EC0A-4119-A743-2EA6CD30E0E2}"/>
    <cellStyle name="_CurrencySpace_T_AT_CASH FLOW" xfId="761" xr:uid="{CF795439-A96E-45F3-AEF2-8D84FFA61A55}"/>
    <cellStyle name="_CurrencySpace_T_AT_NPAT&amp;EPS" xfId="762" xr:uid="{D8DCBBB2-E83F-4886-981B-66031C97544C}"/>
    <cellStyle name="_CurrencySpace_Telco Scenario analysis1" xfId="763" xr:uid="{4AB9FE03-7783-48DC-9946-DFB41F9B6F43}"/>
    <cellStyle name="_CurrencySpace_Telco Scenario analysis1_AT" xfId="764" xr:uid="{CED09E80-2084-460F-87C9-EFA60E79427F}"/>
    <cellStyle name="_CurrencySpace_Telco Scenario analysis1_AT_CASH FLOW" xfId="765" xr:uid="{49AAB4D8-B892-40C3-9184-AEF6362B0863}"/>
    <cellStyle name="_CurrencySpace_Telco Scenario analysis1_AT_NPAT&amp;EPS" xfId="766" xr:uid="{443B677D-A626-40D2-A2C6-E5279D1B30F6}"/>
    <cellStyle name="_CurrencySpace_TMK" xfId="229" xr:uid="{E070CCA3-5B59-4E01-B168-7F9A1CEAE047}"/>
    <cellStyle name="_CurrencySpace_Updated Valuation Changes" xfId="230" xr:uid="{C254CE24-F80B-46DA-8457-4C6ADC99B0B2}"/>
    <cellStyle name="_CurrencySpace_Valuation Graphs" xfId="231" xr:uid="{38CEBF0F-C0FC-47DB-8645-DAF5817F9B16}"/>
    <cellStyle name="_CurrencySpace_xratio - historical mkt val" xfId="232" xr:uid="{55ED8535-9D28-4F9E-A966-755F8E309692}"/>
    <cellStyle name="_DCF" xfId="767" xr:uid="{393E078C-5D40-4573-B68B-BC89420CCEEB}"/>
    <cellStyle name="_Dollar" xfId="233" xr:uid="{F43C3943-3A05-44EF-83DD-2E5B69EBD258}"/>
    <cellStyle name="—_EM-HTI" xfId="768" xr:uid="{229CBC9C-AA26-45FF-B53D-60FB1DA30817}"/>
    <cellStyle name="—_EM-HTI_AIS_EROCE" xfId="769" xr:uid="{D34990D9-A9D0-472B-9506-33183B140A76}"/>
    <cellStyle name="—_EM-HTI_CASH FLOW" xfId="770" xr:uid="{4FDB98F3-C180-4F93-8FEB-9DADC5DD2EEF}"/>
    <cellStyle name="—_EM-HTI_Copy of D_Valuation Tables" xfId="771" xr:uid="{AB35DD83-9152-4B34-860A-439606B97477}"/>
    <cellStyle name="—_EM-HTI_D_Valuation Tables" xfId="772" xr:uid="{8535427E-B679-47E6-BC36-AE724F5D380C}"/>
    <cellStyle name="—_EM-HTI_D_Valuation Tables copy" xfId="773" xr:uid="{E068129B-BF35-437B-A17C-7644755D24A3}"/>
    <cellStyle name="—_EM-HTI_NPAT&amp;EPS" xfId="774" xr:uid="{0A690D8A-CDA4-46DB-BF02-903138BA44A7}"/>
    <cellStyle name="—_EM-HTI_PCCW_EROCE" xfId="775" xr:uid="{C3CF3B2E-8B9C-495F-B2DA-8989258A0204}"/>
    <cellStyle name="—_EM-KT" xfId="776" xr:uid="{B046C168-68AD-4B50-81E5-489B3B834C4B}"/>
    <cellStyle name="—_EM-SKTelecom_old" xfId="777" xr:uid="{6B642A54-D174-4C3E-99B1-E2A6814A8B45}"/>
    <cellStyle name="—_EM-SKTelecom_old_EM-HTI" xfId="778" xr:uid="{9A0212BB-9F04-49C0-B79D-87377B53BD00}"/>
    <cellStyle name="—_EM-SKTelecom_old_EM-HTI_AIS_EROCE" xfId="779" xr:uid="{3FE51715-FC5E-48F9-B5F7-190337D5BE9C}"/>
    <cellStyle name="—_EM-SKTelecom_old_EM-HTI_CASH FLOW" xfId="780" xr:uid="{7E429997-F850-4B38-BEA2-A0A8E1DC319A}"/>
    <cellStyle name="—_EM-SKTelecom_old_EM-HTI_Copy of D_Valuation Tables" xfId="781" xr:uid="{EEF221A8-A20F-4F71-BCFD-D1E9410E30AF}"/>
    <cellStyle name="—_EM-SKTelecom_old_EM-HTI_D_Valuation Tables" xfId="782" xr:uid="{BFCF0EDF-9F0A-48D8-823A-7A6CFFDF7900}"/>
    <cellStyle name="—_EM-SKTelecom_old_EM-HTI_D_Valuation Tables copy" xfId="783" xr:uid="{D459D88E-5C0E-4FFC-BCC2-C6EB0FDDFDDE}"/>
    <cellStyle name="—_EM-SKTelecom_old_EM-HTI_NPAT&amp;EPS" xfId="784" xr:uid="{0004C0C2-C14A-49C3-969D-25DB11760492}"/>
    <cellStyle name="—_EM-SKTelecom_old_EM-HTI_PCCW_EROCE" xfId="785" xr:uid="{D7118204-11A4-4800-8C83-BAF88B5EBD31}"/>
    <cellStyle name="_Euro" xfId="13" xr:uid="{1CAAC9D4-49C3-4ED3-BC9E-4F8208325916}"/>
    <cellStyle name="_Euro_09-08-04 Comp Sheet" xfId="786" xr:uid="{910EAB1E-475C-4843-BFCE-ABE6B857FE8E}"/>
    <cellStyle name="_Euro_12-30-05 Telecom Serv Comp Sheet" xfId="787" xr:uid="{6048510D-63CE-422E-B5BD-FF64F05C7A00}"/>
    <cellStyle name="_Euro_AT" xfId="788" xr:uid="{F6A99C71-7A00-4C28-89E9-BADCBDB15A72}"/>
    <cellStyle name="_Euro_AT - 3Q04 actuals v estimates - links" xfId="789" xr:uid="{1249B264-63B7-4498-8F18-188C0CE90F9C}"/>
    <cellStyle name="_Euro_CASH FLOW" xfId="790" xr:uid="{CFAA7B57-B231-4482-B51A-6C01E65CFE20}"/>
    <cellStyle name="_Euro_CBB pre3Q05" xfId="791" xr:uid="{9CD3A3CA-48AC-4F0E-BA8C-A2A925842D33}"/>
    <cellStyle name="_Euro_CBB pre3Q05_CASH FLOW" xfId="792" xr:uid="{BD9072F9-3E00-4FFF-92A1-C380D16C6D1E}"/>
    <cellStyle name="_Euro_CBB pre3Q05_NPAT&amp;EPS" xfId="793" xr:uid="{6C184506-1CAA-4052-BD03-2D39F4032160}"/>
    <cellStyle name="_Euro_Copy of D_Valuation Tables" xfId="794" xr:uid="{209D58BA-5ADF-4679-BC91-9C7D66587118}"/>
    <cellStyle name="_Euro_D_Valuation Tables" xfId="795" xr:uid="{2103902A-376F-45D9-8793-99B8CCC7B04E}"/>
    <cellStyle name="_Euro_FON" xfId="796" xr:uid="{2BAC39FE-899A-45E2-9A07-C94F1AA8BA91}"/>
    <cellStyle name="_Euro_FON - NXTL - NXTP merger analysis May 2005" xfId="797" xr:uid="{E156E262-3FCE-4D84-A2B8-CDBD013DA8D3}"/>
    <cellStyle name="_Euro_FRP" xfId="798" xr:uid="{F52DB428-46D4-4FE3-AE8B-AF7A59BEE630}"/>
    <cellStyle name="_Euro_FRP_D_Valuation Tables" xfId="799" xr:uid="{E58ABC30-9DFA-40F7-927A-383408446B7F}"/>
    <cellStyle name="_Euro_NPAT&amp;EPS" xfId="800" xr:uid="{0AA99A10-1B59-415D-9D55-E5B9201C8FFE}"/>
    <cellStyle name="_Euro_Request Template" xfId="801" xr:uid="{F8EA1106-E782-4970-8347-A671F26FF57D}"/>
    <cellStyle name="_Euro_Telecom Valuation Tables - 5-24-04" xfId="802" xr:uid="{5D3634C6-BBA5-4255-8748-2267AF0CAF6E}"/>
    <cellStyle name="_Euro_TU - 1Q04 actuals vs. estimates_LINKS" xfId="803" xr:uid="{F9665E6E-537C-4987-AA6F-367F1B607321}"/>
    <cellStyle name="_Euro_US Wireless Comp Sheet" xfId="804" xr:uid="{B70F23BF-123E-47C3-A121-0FB87A7F8CC8}"/>
    <cellStyle name="_Euro_US Wireless Comp Sheet_AT" xfId="805" xr:uid="{71B8248D-ABE4-4FA5-8952-D213DB951D5E}"/>
    <cellStyle name="_Euro_US Wireless Comp Sheet_CASH FLOW" xfId="806" xr:uid="{D49EC2F1-F121-475F-9C2F-59590435AC7B}"/>
    <cellStyle name="_Euro_US Wireless Comp Sheet_Copy of D_Valuation Tables" xfId="807" xr:uid="{A9D8862E-C31F-4773-B5E2-B77D5E8EF301}"/>
    <cellStyle name="_Euro_US Wireless Comp Sheet_D_Valuation Tables" xfId="808" xr:uid="{AA4C99A7-E30A-47CF-9809-096DFAED89C1}"/>
    <cellStyle name="_Euro_US Wireless Comp Sheet_D_Valuation Tables copy" xfId="809" xr:uid="{CF26CC14-2E12-4981-BCD2-1E5A28E957E3}"/>
    <cellStyle name="_Euro_US Wireless Comp Sheet_NPAT&amp;EPS" xfId="810" xr:uid="{BC407784-F12B-425E-AA95-12418866C511}"/>
    <cellStyle name="_Financials1" xfId="811" xr:uid="{496B2392-8E10-465C-9DF5-C85E67CDAE6A}"/>
    <cellStyle name="_FNC - Model" xfId="812" xr:uid="{45AD4614-2FF7-4199-806E-F0FF57EF54CD}"/>
    <cellStyle name="—_GS Assumptions-F" xfId="813" xr:uid="{25F08D28-3303-4783-9997-4B8F1C0BE2DC}"/>
    <cellStyle name="—_GS_Balance" xfId="814" xr:uid="{0D0535EE-34B4-4DE9-8512-D04BBE7E85A7}"/>
    <cellStyle name="—_GS_Cash " xfId="815" xr:uid="{ECEF1676-D1BA-4A79-B113-AA12B391E238}"/>
    <cellStyle name="—_GS_Cash  (2)" xfId="816" xr:uid="{0FC40E9D-690A-447C-9898-893A02ED45F1}"/>
    <cellStyle name="—_GS_DCF" xfId="817" xr:uid="{80D53C77-3898-4DC7-9CCC-7B627C25D277}"/>
    <cellStyle name="—_GS_PNL" xfId="818" xr:uid="{71D72911-E51F-4C7D-936D-2847F184B45A}"/>
    <cellStyle name="_Heading" xfId="14" xr:uid="{EA6FE886-A210-45E2-BBFF-AD97E7D38BB6}"/>
    <cellStyle name="_Heading_09-08-04 Comp Sheet" xfId="819" xr:uid="{8DE7F92A-D57C-4A49-B956-8B6B236773D4}"/>
    <cellStyle name="_Heading_12 Food Deal Comp" xfId="15" xr:uid="{31BE5409-C0D8-4C88-82E4-743C0E07CFCD}"/>
    <cellStyle name="_Heading_12 Food Deal Comp 2" xfId="1337" xr:uid="{C147B998-A916-4F32-95F6-01F0F14A5A15}"/>
    <cellStyle name="_Heading_12-30-05 Telecom Serv Comp Sheet" xfId="820" xr:uid="{84D36C7E-2070-43B6-8FD2-46A60447077E}"/>
    <cellStyle name="_Heading_15 Furniture CSC (06-Dec-2005)" xfId="16" xr:uid="{B781016E-823E-48A3-BC7A-1B83B9F6F4EC}"/>
    <cellStyle name="_Heading_15 Furniture CSC (06-Dec-2005) 2" xfId="1338" xr:uid="{D7E018C0-668B-4F8A-8562-08CB81FF09B9}"/>
    <cellStyle name="_Heading_Airports Dealcomp" xfId="17" xr:uid="{B0A98CC6-5B88-4B72-AA32-68F344E3EE19}"/>
    <cellStyle name="_Heading_Airports Dealcomp 2" xfId="1339" xr:uid="{22D3AF68-CE6F-4046-8854-446CB8F1523C}"/>
    <cellStyle name="_Heading_BLS" xfId="821" xr:uid="{E053E115-0C29-4729-8D1C-9814D30B8889}"/>
    <cellStyle name="_Heading_bls roic" xfId="822" xr:uid="{B6DB4F34-4E39-4BCD-AF4F-F1E4D3A4EFBB}"/>
    <cellStyle name="_Heading_Book9" xfId="823" xr:uid="{9669A9B6-429C-4DCE-A901-9E417322174B}"/>
    <cellStyle name="_Heading_Broadband Comps" xfId="824" xr:uid="{2CA740AC-0558-4F98-AEB2-CB4BCC1F8AE6}"/>
    <cellStyle name="_Heading_capital expenditures 6-18-02" xfId="825" xr:uid="{3DF74095-6ABE-47A6-8F76-D7EA17965D0E}"/>
    <cellStyle name="_Heading_CTCO" xfId="826" xr:uid="{9A3E112F-4EDD-441E-BD0D-A5881BFFAA4D}"/>
    <cellStyle name="_Heading_MCI" xfId="827" xr:uid="{47DBC9EE-8BC2-49BC-96BE-7FBA9228F32C}"/>
    <cellStyle name="_Heading_prestemp" xfId="18" xr:uid="{854A5F56-3508-4571-BB6A-65D9A71F6F2F}"/>
    <cellStyle name="_Heading_Q" xfId="828" xr:uid="{BED315AB-5A73-4A89-8EAB-5C9AB48F4497}"/>
    <cellStyle name="_Heading_q - new guidance" xfId="829" xr:uid="{3B356AE2-766B-4A5F-8D83-F88BA9FF98A7}"/>
    <cellStyle name="_Heading_q - valuation" xfId="830" xr:uid="{5B0D66BE-7380-45F3-AD58-1FD352412344}"/>
    <cellStyle name="_Heading_Q model_041802" xfId="831" xr:uid="{6C9F06F3-FEA9-4A5B-A28D-06E5CEEB2C82}"/>
    <cellStyle name="_Heading_Q_update" xfId="832" xr:uid="{FD1A2E6C-8110-4ABE-8837-49967FD6C88D}"/>
    <cellStyle name="_Heading_Qwest Analysis" xfId="833" xr:uid="{B7E33EC4-B69A-4073-AB48-A0DDCA3B226E}"/>
    <cellStyle name="_Heading_RBOC historicals" xfId="834" xr:uid="{6983CE93-5E88-4AF4-86A9-DA83C04E831E}"/>
    <cellStyle name="_Heading_T" xfId="835" xr:uid="{9EB2B210-8CC5-413F-BA4C-BD8DFABD6AF5}"/>
    <cellStyle name="_Heading_T - new" xfId="836" xr:uid="{73A15BBB-BE64-4826-B790-DAAFF2169442}"/>
    <cellStyle name="_Heading_Telco Scenario analysis1" xfId="837" xr:uid="{E1ECE3D6-145A-4D32-ABAE-6532825265DD}"/>
    <cellStyle name="_Heading_Updated CSC Template" xfId="19" xr:uid="{EFA0D2FA-5050-4DE4-86D0-AB92E504883F}"/>
    <cellStyle name="_Heading_Updated CSC Template 2" xfId="1340" xr:uid="{3F34A1A6-8868-4F4B-99B3-4817E846D012}"/>
    <cellStyle name="_Heading_VZ" xfId="838" xr:uid="{BDB54137-3D8B-442B-A4CF-3143582F8D73}"/>
    <cellStyle name="_Highlight" xfId="20" xr:uid="{FCA494E9-949A-48BF-ADD6-138189C56A92}"/>
    <cellStyle name="_HSP - Model" xfId="839" xr:uid="{9C0477B2-DB1B-4A84-B408-A7F58F81C2E5}"/>
    <cellStyle name="_JFCP-MAYdba" xfId="840" xr:uid="{3E1B4B02-3158-4F63-9250-BDE71169AE98}"/>
    <cellStyle name="_MAY - Model" xfId="841" xr:uid="{4C84345C-3B32-472B-B15A-8A6AABD7450B}"/>
    <cellStyle name="_MIA - Model.xls Chart 1" xfId="842" xr:uid="{8FF0D066-59CF-4406-8353-0E8243894CF8}"/>
    <cellStyle name="_msft-dcf" xfId="843" xr:uid="{11A4289E-9F08-4430-A575-9376EF6FD8A5}"/>
    <cellStyle name="_Multiple" xfId="21" xr:uid="{16AFC1A4-5D4B-4665-B97A-07326D316F44}"/>
    <cellStyle name="_Multiple_01 adj for merger plan" xfId="234" xr:uid="{209A43DD-3DF3-4198-B072-2019D5E507B2}"/>
    <cellStyle name="_Multiple_09-08-04 Comp Sheet" xfId="844" xr:uid="{FB3AEE44-03C7-4A17-A6F2-B4869FC36961}"/>
    <cellStyle name="_Multiple_09-08-04 Comp Sheet_AT" xfId="845" xr:uid="{3441D017-29F5-4A6F-BBE1-FF3395C00B97}"/>
    <cellStyle name="_Multiple_09-08-04 Comp Sheet_AT_CASH FLOW" xfId="846" xr:uid="{7C23C5AF-AF33-45AC-95AB-E6758BCC8AE7}"/>
    <cellStyle name="_Multiple_09-08-04 Comp Sheet_AT_NPAT&amp;EPS" xfId="847" xr:uid="{7289A3D2-6E11-4DFB-BEA6-00E995732EE6}"/>
    <cellStyle name="_Multiple_12-30-05 Telecom Serv Comp Sheet" xfId="848" xr:uid="{CF900A35-DE6C-4088-9626-324FE79AA1CC}"/>
    <cellStyle name="_Multiple_12-30-05 Telecom Serv Comp Sheet_CASH FLOW" xfId="849" xr:uid="{BB66EA2D-10D4-4907-8651-0036C197EC4E}"/>
    <cellStyle name="_Multiple_12-30-05 Telecom Serv Comp Sheet_NPAT&amp;EPS" xfId="850" xr:uid="{CFE74E1D-3AE8-4A06-9088-DA6FAA9BBDFE}"/>
    <cellStyle name="_Multiple_Ability to Pay Analysis" xfId="235" xr:uid="{0AFBF203-1E8F-45C5-B210-66A9B9DF0712}"/>
    <cellStyle name="_Multiple_AFL" xfId="236" xr:uid="{AE8AED94-CF8F-4E53-823E-310940283853}"/>
    <cellStyle name="_Multiple_Airports Dealcomp" xfId="22" xr:uid="{672FFEB2-4247-40FE-9655-E3416DA7A563}"/>
    <cellStyle name="_Multiple_AIZ" xfId="237" xr:uid="{F4FAADCA-895A-4BB1-96EF-8DCD39B428F2}"/>
    <cellStyle name="_Multiple_AMP" xfId="238" xr:uid="{3885069B-4DB7-450E-9E9B-69A3B2884C50}"/>
    <cellStyle name="_Multiple_Balance Sheet" xfId="239" xr:uid="{49AA7C7A-7D34-4E4E-BC09-D6758E9C1456}"/>
    <cellStyle name="_Multiple_bls roic" xfId="851" xr:uid="{F5A18AE8-52C5-4152-9F65-963174A9EDB8}"/>
    <cellStyle name="_Multiple_bls roic_CASH FLOW" xfId="852" xr:uid="{E9F85794-9778-4421-BF83-5BF3D1DE9B04}"/>
    <cellStyle name="_Multiple_bls roic_FON" xfId="853" xr:uid="{7D10F5AD-40FB-407E-8851-C316C7B93E28}"/>
    <cellStyle name="_Multiple_bls roic_FRP" xfId="854" xr:uid="{4EB8F4D4-4BDB-4360-AAB4-AB8F5C67903C}"/>
    <cellStyle name="_Multiple_bls roic_FRP_CASH FLOW" xfId="855" xr:uid="{ECFAF6E0-514D-4EBC-B063-119DE630E62E}"/>
    <cellStyle name="_Multiple_bls roic_FRP_NPAT&amp;EPS" xfId="856" xr:uid="{32ABD57F-A825-4DEE-B6E8-8A4F30BD7834}"/>
    <cellStyle name="_Multiple_bls roic_NPAT&amp;EPS" xfId="857" xr:uid="{D87FABCF-6BAE-4424-8AE4-6CCF7E3AF102}"/>
    <cellStyle name="_Multiple_Book1" xfId="240" xr:uid="{F6C2B7EF-BE79-4D53-A0A4-0B46554E6AD8}"/>
    <cellStyle name="_Multiple_Book29" xfId="241" xr:uid="{F1243F9A-3BBC-4EA3-8A03-854476E3F7D0}"/>
    <cellStyle name="_Multiple_Book3" xfId="242" xr:uid="{B23193DA-A603-4FD9-9F02-F8008B892B38}"/>
    <cellStyle name="_Multiple_Book3_1" xfId="243" xr:uid="{FCD39FE5-7B28-4502-99E9-57D643D16C9C}"/>
    <cellStyle name="_Multiple_capital expenditures 6-18-02" xfId="858" xr:uid="{91943ED2-47B8-49E8-9FEC-DB67692CA771}"/>
    <cellStyle name="_Multiple_capital expenditures 6-18-02_CASH FLOW" xfId="859" xr:uid="{2E2E92EB-5DE6-40E0-9A05-C1934A1EEFA5}"/>
    <cellStyle name="_Multiple_capital expenditures 6-18-02_FON" xfId="860" xr:uid="{D165C952-E05D-4EB1-8A4F-DCA322DCB8F4}"/>
    <cellStyle name="_Multiple_capital expenditures 6-18-02_FRP" xfId="861" xr:uid="{79FA950B-B8C4-4678-831C-9A802A03297A}"/>
    <cellStyle name="_Multiple_capital expenditures 6-18-02_FRP_CASH FLOW" xfId="862" xr:uid="{F9489E9C-3CEC-4770-B571-BFE446553522}"/>
    <cellStyle name="_Multiple_capital expenditures 6-18-02_FRP_NPAT&amp;EPS" xfId="863" xr:uid="{BBDE0E41-6C6A-4E6C-96D0-FB765F70CBD0}"/>
    <cellStyle name="_Multiple_capital expenditures 6-18-02_NPAT&amp;EPS" xfId="864" xr:uid="{D95069C7-5D99-4CA9-8658-69F0DE20B6B2}"/>
    <cellStyle name="_Multiple_CASH FLOW" xfId="865" xr:uid="{29DCA1E4-EC1A-4DE4-98C7-255EBFCC5142}"/>
    <cellStyle name="_Multiple_CNO" xfId="244" xr:uid="{2887BAC7-E32A-4CB5-B198-3CDA0F68F07F}"/>
    <cellStyle name="_Multiple_csc" xfId="23" xr:uid="{9D099516-176A-44F3-8CA4-2E31DA5645AA}"/>
    <cellStyle name="_Multiple_DCF Alexander Forbes" xfId="245" xr:uid="{1F69F236-65ED-48B5-B964-954648E5EDDD}"/>
    <cellStyle name="_Multiple_dcf_1" xfId="866" xr:uid="{AC9C12D1-1F63-4250-9B01-28751FF66689}"/>
    <cellStyle name="_Multiple_dcf_1_CASH FLOW" xfId="867" xr:uid="{20583A8D-BB82-4F34-B563-510D23BF8C0D}"/>
    <cellStyle name="_Multiple_dcf_1_NPAT&amp;EPS" xfId="868" xr:uid="{9C36541F-8F7F-4F48-ABB9-79D5FE3D3A27}"/>
    <cellStyle name="_Multiple_DUK" xfId="869" xr:uid="{9D4137B4-0A65-49E8-AFD0-E6A955F5ABE4}"/>
    <cellStyle name="_Multiple_DUK_CASH FLOW" xfId="870" xr:uid="{F63C8066-907A-4D84-AE25-0B99423AEC07}"/>
    <cellStyle name="_Multiple_DUK_NPAT&amp;EPS" xfId="871" xr:uid="{E52EEE43-2887-4E8F-9798-413E1F9BFF29}"/>
    <cellStyle name="_Multiple_ED 2005.08.01" xfId="872" xr:uid="{A19717F2-1A7E-4AFE-9D4D-6CA55F73E6DC}"/>
    <cellStyle name="_Multiple_ED 2005.08.01_CASH FLOW" xfId="873" xr:uid="{A1035911-EE75-4CBE-BC3D-F407F588842C}"/>
    <cellStyle name="_Multiple_ED 2005.08.01_NPAT&amp;EPS" xfId="874" xr:uid="{9617DEE3-81D3-4674-B4C0-CBE2FC1BA085}"/>
    <cellStyle name="_Multiple_FCF yield comparison_1.3.06" xfId="875" xr:uid="{3F5B72F3-D4FE-4188-B555-DDB75FA988DE}"/>
    <cellStyle name="_Multiple_FCF yield comparison_1.3.06_CASH FLOW" xfId="876" xr:uid="{0122FA9D-89BE-4B1D-B84B-C958F009879B}"/>
    <cellStyle name="_Multiple_FCF yield comparison_1.3.06_NPAT&amp;EPS" xfId="877" xr:uid="{F1C85384-8C06-485F-A05E-39AD7FB3F3C5}"/>
    <cellStyle name="_Multiple_fmbi counties" xfId="246" xr:uid="{F1FDB772-0452-451E-A310-90C28711512F}"/>
    <cellStyle name="_Multiple_FMBI MBHI Graphs" xfId="247" xr:uid="{8E2BC343-97B2-46F6-B596-55E1BE89702B}"/>
    <cellStyle name="_Multiple_FMBI MBHI Graphs 07102001" xfId="248" xr:uid="{0F5697F0-9854-448F-9902-24E6492E0BA3}"/>
    <cellStyle name="_Multiple_FMBI MBHI Graphs_7601" xfId="249" xr:uid="{B0B6365B-FBF1-4371-8036-49DE08542C71}"/>
    <cellStyle name="_Multiple_FON" xfId="878" xr:uid="{5342D704-C45C-46A0-86A1-5B3AA3730E2B}"/>
    <cellStyle name="_Multiple_FRP" xfId="879" xr:uid="{7645DB63-7682-4132-A1EC-B2C1D9E7A8AD}"/>
    <cellStyle name="_Multiple_FRP_CASH FLOW" xfId="880" xr:uid="{4AAA6B99-8912-447B-8CFD-F43D9DB98FCB}"/>
    <cellStyle name="_Multiple_FRP_NPAT&amp;EPS" xfId="881" xr:uid="{4B9C5B7A-CD85-46DE-92B9-2DDEBBD40E1B}"/>
    <cellStyle name="_Multiple_GNW" xfId="250" xr:uid="{7C1A9020-A3AD-429C-AC05-6A41667CF10C}"/>
    <cellStyle name="_Multiple_Insurance Brokerage CSC_1Q2002" xfId="251" xr:uid="{A89CE727-2069-4836-8230-0CE0FA9EE9CC}"/>
    <cellStyle name="_Multiple_JP" xfId="252" xr:uid="{2E78EDA3-E629-4D78-BBED-FFEB763CAE8F}"/>
    <cellStyle name="_Multiple_LNC" xfId="253" xr:uid="{78D65C82-0445-4522-90FB-379853024265}"/>
    <cellStyle name="_Multiple_MCI" xfId="882" xr:uid="{81A7ECDC-D5D3-4608-B627-81F2DDA40919}"/>
    <cellStyle name="_Multiple_MCI_AT" xfId="883" xr:uid="{240D0A78-867F-4FB6-AB96-386216C1CCA7}"/>
    <cellStyle name="_Multiple_MCI_AT_CASH FLOW" xfId="884" xr:uid="{EABFCA05-4941-4080-A15D-9A2B518107FE}"/>
    <cellStyle name="_Multiple_MCI_AT_NPAT&amp;EPS" xfId="885" xr:uid="{9BA237E4-3F74-4C14-9656-227242E30F8B}"/>
    <cellStyle name="_Multiple_MET" xfId="254" xr:uid="{5975359F-6490-4D22-90DE-221DA7CA5FC9}"/>
    <cellStyle name="_Multiple_MET04" xfId="255" xr:uid="{87EE0CB8-ADB9-43E6-84B6-A60AD7F0FF3A}"/>
    <cellStyle name="_Multiple_MET04 2" xfId="1341" xr:uid="{E121FE07-C8A3-48EA-B250-8B979B7D730C}"/>
    <cellStyle name="_Multiple_NFS" xfId="256" xr:uid="{7DC144B4-F4E7-4503-BDCA-41D07525FBB9}"/>
    <cellStyle name="_Multiple_NPAT&amp;EPS" xfId="886" xr:uid="{21B70372-320A-49B3-9D24-5A4A5FAE74B1}"/>
    <cellStyle name="_Multiple_NRG 2005.07.22" xfId="887" xr:uid="{1AAD076F-691D-4A5F-98C1-1E5677336F93}"/>
    <cellStyle name="_Multiple_NRG 2005.07.22_CASH FLOW" xfId="888" xr:uid="{EA1E12C2-29D7-4D41-AF58-69DFEAC829A3}"/>
    <cellStyle name="_Multiple_NRG 2005.07.22_NPAT&amp;EPS" xfId="889" xr:uid="{D786FB0F-BEA8-4233-BE0B-29015F7C1561}"/>
    <cellStyle name="_Multiple_Overview3" xfId="257" xr:uid="{94639AB1-563C-4724-BBC5-13FDD7DB345F}"/>
    <cellStyle name="_Multiple_phil data" xfId="258" xr:uid="{F74FB01C-A32F-4B74-8C20-EDB44B5922C7}"/>
    <cellStyle name="_Multiple_Price Performance Charts" xfId="259" xr:uid="{328B1A05-1567-4D55-A594-2317D509D1D4}"/>
    <cellStyle name="_Multiple_Price Performance Charts 2" xfId="1342" xr:uid="{005A4A70-006A-466A-8224-86B32340E033}"/>
    <cellStyle name="_Multiple_PRU" xfId="260" xr:uid="{28C561B2-93CE-4B3D-B0AF-FC5449B1195E}"/>
    <cellStyle name="_Multiple_PRU 2" xfId="1343" xr:uid="{42B60ECA-626F-4E91-9E6E-FB66DE3AEA22}"/>
    <cellStyle name="_Multiple_PRU04" xfId="261" xr:uid="{96AEF047-AF34-4E42-9647-81AFE00459AD}"/>
    <cellStyle name="_Multiple_PRU04 2" xfId="1344" xr:uid="{B40B5CFC-2133-48C9-AD0E-856AC52C2BAE}"/>
    <cellStyle name="_Multiple_RBOC historicals" xfId="890" xr:uid="{5DB24087-7DD2-4609-A5BA-042647A1A3A7}"/>
    <cellStyle name="_Multiple_RBOC historicals_CASH FLOW" xfId="891" xr:uid="{482B26F1-BC03-4D42-B3E4-387D632565BF}"/>
    <cellStyle name="_Multiple_RBOC historicals_FON" xfId="892" xr:uid="{6338F98A-ADE7-4BD2-BC64-B4C9CBBC381D}"/>
    <cellStyle name="_Multiple_RBOC historicals_FRP" xfId="893" xr:uid="{13251691-DD2B-496E-948C-BF5FEF599C68}"/>
    <cellStyle name="_Multiple_RBOC historicals_FRP_CASH FLOW" xfId="894" xr:uid="{EC58AB59-ED61-45E4-AFB0-0251857CA8F6}"/>
    <cellStyle name="_Multiple_RBOC historicals_FRP_NPAT&amp;EPS" xfId="895" xr:uid="{F6DE24B7-243F-4EFA-AC67-651861A4566B}"/>
    <cellStyle name="_Multiple_RBOC historicals_NPAT&amp;EPS" xfId="896" xr:uid="{D185AEDC-D2FE-4C87-8B56-EE89A5242927}"/>
    <cellStyle name="_Multiple_RiskReward" xfId="262" xr:uid="{5EDA1197-A0FC-4AE2-A456-637795AEAB59}"/>
    <cellStyle name="_Multiple_SFG" xfId="263" xr:uid="{83AF5552-B8CA-4B79-84C3-0F80AE25A252}"/>
    <cellStyle name="_Multiple_SFG 2" xfId="1345" xr:uid="{059C6CCA-33C0-4530-A746-FF4F514828FA}"/>
    <cellStyle name="_Multiple_Sheet1" xfId="264" xr:uid="{5BB0E749-3FF3-4ECC-A9E2-120ECE74F58A}"/>
    <cellStyle name="_Multiple_SRE" xfId="897" xr:uid="{212CEBDB-C45D-41E7-9157-4DEE247950E8}"/>
    <cellStyle name="_Multiple_SRE Working" xfId="898" xr:uid="{B9B7042E-151A-4083-B507-FC0408A1070D}"/>
    <cellStyle name="_Multiple_SRE Working_CASH FLOW" xfId="899" xr:uid="{ACC9BD56-1963-4ECB-BE49-125B3F17C37B}"/>
    <cellStyle name="_Multiple_SRE Working_NPAT&amp;EPS" xfId="900" xr:uid="{3EE05A42-79E3-4B68-B76E-497203B2ADB2}"/>
    <cellStyle name="_Multiple_SRE_CASH FLOW" xfId="901" xr:uid="{1D34F337-020C-4C8D-8B6E-DC6A20008164}"/>
    <cellStyle name="_Multiple_SRE_NPAT&amp;EPS" xfId="902" xr:uid="{A0FB2A51-BC89-4294-A00D-ED97D036EC55}"/>
    <cellStyle name="_Multiple_Stock-QTR1 FDS" xfId="265" xr:uid="{7DB9EA55-BD46-46E0-ADB9-42BBFF6EC94F}"/>
    <cellStyle name="_Multiple_Stock-QTR1 FDS 2" xfId="1346" xr:uid="{2628A22B-B8A8-40C6-85F1-E6F0F9A41110}"/>
    <cellStyle name="_Multiple_T" xfId="903" xr:uid="{C0678C7B-A57E-49DE-8013-42B48062F7B7}"/>
    <cellStyle name="_Multiple_T - new" xfId="904" xr:uid="{B0935F7A-ABE8-48B9-9AB4-026A3FFC1A0C}"/>
    <cellStyle name="_Multiple_T - new_CASH FLOW" xfId="905" xr:uid="{F6141757-63BB-417F-B7C8-ED01B1B83692}"/>
    <cellStyle name="_Multiple_T - new_FON" xfId="906" xr:uid="{6D50D901-A766-414D-89F7-3B837C7966C3}"/>
    <cellStyle name="_Multiple_T - new_FRP" xfId="907" xr:uid="{418FB5CE-A39C-4EED-B32B-9F2A23960EEB}"/>
    <cellStyle name="_Multiple_T - new_FRP_CASH FLOW" xfId="908" xr:uid="{3516FE08-8A79-4F3C-B3D0-D0AC142496ED}"/>
    <cellStyle name="_Multiple_T - new_FRP_NPAT&amp;EPS" xfId="909" xr:uid="{0FB00E0F-E474-4273-83BB-F38D1EA0C9E2}"/>
    <cellStyle name="_Multiple_T - new_NPAT&amp;EPS" xfId="910" xr:uid="{75F4FDAD-4000-4CC3-8F0C-1DC877A56F7C}"/>
    <cellStyle name="_Multiple_T_AT" xfId="911" xr:uid="{88ED19E0-84E1-47AB-BDE3-52540CBAF3D5}"/>
    <cellStyle name="_Multiple_T_AT_CASH FLOW" xfId="912" xr:uid="{6EA2A81C-C4C1-47C9-B5AF-5F7B0099AAA5}"/>
    <cellStyle name="_Multiple_T_AT_NPAT&amp;EPS" xfId="913" xr:uid="{C613C4E1-0108-4A73-8186-C63DB6737FEB}"/>
    <cellStyle name="_Multiple_Telco Scenario analysis1" xfId="914" xr:uid="{41CE040B-4213-496E-9850-4971840282B0}"/>
    <cellStyle name="_Multiple_Telco Scenario analysis1_AT" xfId="915" xr:uid="{4E81230C-FD73-4F41-8F0F-726FE317F3DF}"/>
    <cellStyle name="_Multiple_Telco Scenario analysis1_AT_CASH FLOW" xfId="916" xr:uid="{1B3E067D-AB36-4FE7-912F-2F4741199F60}"/>
    <cellStyle name="_Multiple_Telco Scenario analysis1_AT_NPAT&amp;EPS" xfId="917" xr:uid="{4F043570-B020-48CF-9E61-E2574AABCE11}"/>
    <cellStyle name="_Multiple_TMK" xfId="266" xr:uid="{3D811263-6A36-4DEB-BADD-375A513B9930}"/>
    <cellStyle name="_Multiple_Updated Valuation Changes" xfId="267" xr:uid="{6271649E-D0F3-40FD-8434-1F8245DCBEC0}"/>
    <cellStyle name="_Multiple_Valuation Graphs" xfId="268" xr:uid="{9B1C5DBB-CEDD-4F82-A62F-7B10B04CAB01}"/>
    <cellStyle name="_Multiple_xratio - historical mkt val" xfId="269" xr:uid="{622FCA03-68A2-4294-A4AC-643A321B2963}"/>
    <cellStyle name="_MultipleSpace" xfId="24" xr:uid="{289AD2CF-8BBB-4AF1-B671-F3EB204BBC04}"/>
    <cellStyle name="_MultipleSpace_01 adj for merger plan" xfId="270" xr:uid="{C4D4B062-A285-4C52-A878-0DC2399026B9}"/>
    <cellStyle name="_MultipleSpace_09-08-04 Comp Sheet" xfId="918" xr:uid="{90457706-EBF1-4700-BDDE-9F1C67ECDF2A}"/>
    <cellStyle name="_MultipleSpace_09-08-04 Comp Sheet_AT" xfId="919" xr:uid="{7C5D2757-6D02-406C-B7D5-E091A4C79F0F}"/>
    <cellStyle name="_MultipleSpace_09-08-04 Comp Sheet_AT_CASH FLOW" xfId="920" xr:uid="{41A8FD90-8FF6-4AB0-A7D2-9D3B70A862F9}"/>
    <cellStyle name="_MultipleSpace_09-08-04 Comp Sheet_AT_NPAT&amp;EPS" xfId="921" xr:uid="{3DA6C438-A7AB-49BC-946B-2F32F8BED95F}"/>
    <cellStyle name="_MultipleSpace_12-30-05 Telecom Serv Comp Sheet" xfId="922" xr:uid="{47B849C3-F12B-4269-95F4-DFB5B39CD74D}"/>
    <cellStyle name="_MultipleSpace_12-30-05 Telecom Serv Comp Sheet_CASH FLOW" xfId="923" xr:uid="{9A7E44E2-5A96-4AD5-93CF-25CBB12F80A0}"/>
    <cellStyle name="_MultipleSpace_12-30-05 Telecom Serv Comp Sheet_NPAT&amp;EPS" xfId="924" xr:uid="{A384B507-F025-4D08-B381-B23BC48DD6C2}"/>
    <cellStyle name="_MultipleSpace_Ability to Pay Analysis" xfId="271" xr:uid="{5BE2376B-E455-4008-82BA-7202545D6140}"/>
    <cellStyle name="_MultipleSpace_AFL" xfId="272" xr:uid="{BF87F918-6951-4632-992C-7CC6BDDD5A10}"/>
    <cellStyle name="_MultipleSpace_Airports Dealcomp" xfId="25" xr:uid="{CC200B23-EC5D-42A2-9FAF-A53A912805D7}"/>
    <cellStyle name="_MultipleSpace_AIZ" xfId="273" xr:uid="{5E2207F2-BD16-4E8A-AD63-4F128D84BDF2}"/>
    <cellStyle name="_MultipleSpace_AMP" xfId="274" xr:uid="{CE4B43F0-C025-452A-821E-2DC45C1885DF}"/>
    <cellStyle name="_MultipleSpace_Balance Sheet" xfId="275" xr:uid="{CABF6872-F78A-4D89-AA2A-F82A7CE4FA42}"/>
    <cellStyle name="_MultipleSpace_bls roic" xfId="925" xr:uid="{8A506FD2-0C3E-4308-86DB-8E21EFF1448E}"/>
    <cellStyle name="_MultipleSpace_bls roic_CASH FLOW" xfId="926" xr:uid="{08437A44-C81B-4DFE-8DF5-498F0E6AB418}"/>
    <cellStyle name="_MultipleSpace_bls roic_FON" xfId="927" xr:uid="{A0B69970-D7D7-4816-B987-3E1B15FD89D4}"/>
    <cellStyle name="_MultipleSpace_bls roic_FRP" xfId="928" xr:uid="{08D2B565-28B9-4418-A16A-B98633DAFDF4}"/>
    <cellStyle name="_MultipleSpace_bls roic_FRP_CASH FLOW" xfId="929" xr:uid="{8FC55999-AF78-4D51-A335-6D160B0E69D6}"/>
    <cellStyle name="_MultipleSpace_bls roic_FRP_NPAT&amp;EPS" xfId="930" xr:uid="{E65D1D1F-D722-4335-92DD-B9FC24AC5B2A}"/>
    <cellStyle name="_MultipleSpace_bls roic_NPAT&amp;EPS" xfId="931" xr:uid="{5D31B299-A39E-4DAE-8627-8C62E5D8098B}"/>
    <cellStyle name="_MultipleSpace_Book1" xfId="276" xr:uid="{DAF1FC12-631A-4264-8314-B73DF63D2C57}"/>
    <cellStyle name="_MultipleSpace_Book29" xfId="277" xr:uid="{08B49269-B9E9-41B1-837F-5AAF62A5AC25}"/>
    <cellStyle name="_MultipleSpace_Book3" xfId="278" xr:uid="{3A5FB931-2B82-4D96-B582-8F516B06E580}"/>
    <cellStyle name="_MultipleSpace_Book3_1" xfId="279" xr:uid="{DC5059EC-F7BF-4CD2-9D42-ABA79DC0EF16}"/>
    <cellStyle name="_MultipleSpace_capital expenditures 6-18-02" xfId="932" xr:uid="{271C3EAA-F990-4C00-943E-E9A108BFAC4F}"/>
    <cellStyle name="_MultipleSpace_capital expenditures 6-18-02_CASH FLOW" xfId="933" xr:uid="{713A1FE1-FE38-4369-97EF-74A098EA53CE}"/>
    <cellStyle name="_MultipleSpace_capital expenditures 6-18-02_FON" xfId="934" xr:uid="{E5E17EE4-3154-4D38-8200-5AF2403986E5}"/>
    <cellStyle name="_MultipleSpace_capital expenditures 6-18-02_FRP" xfId="935" xr:uid="{DFAD9B30-272D-49A4-8D90-66B7EE0D584F}"/>
    <cellStyle name="_MultipleSpace_capital expenditures 6-18-02_FRP_CASH FLOW" xfId="936" xr:uid="{16E0CFF9-75D4-4EB2-B974-9CE5CB652053}"/>
    <cellStyle name="_MultipleSpace_capital expenditures 6-18-02_FRP_NPAT&amp;EPS" xfId="937" xr:uid="{05AC69BE-2865-4341-9AEC-C82C5B2FA104}"/>
    <cellStyle name="_MultipleSpace_capital expenditures 6-18-02_NPAT&amp;EPS" xfId="938" xr:uid="{075AE4A8-4B34-4A9F-AF9B-8DB62F764853}"/>
    <cellStyle name="_MultipleSpace_CASH FLOW" xfId="939" xr:uid="{4A44555B-1021-43AE-BDAC-00ECF395B7F7}"/>
    <cellStyle name="_MultipleSpace_CNO" xfId="280" xr:uid="{16BE9395-23F9-461C-9FD7-DED76612EAE2}"/>
    <cellStyle name="_MultipleSpace_csc" xfId="26" xr:uid="{E0674280-B228-464D-A2CC-772F209695B7}"/>
    <cellStyle name="_MultipleSpace_DCF Alexander Forbes" xfId="281" xr:uid="{9F756E2F-BB71-48DE-A8F3-BE60E7A58578}"/>
    <cellStyle name="_MultipleSpace_DUK" xfId="940" xr:uid="{8C9E3C34-A393-4430-8860-3553A596AFA0}"/>
    <cellStyle name="_MultipleSpace_DUK_CASH FLOW" xfId="941" xr:uid="{3760EC39-11F1-42E3-9F60-C433A984138D}"/>
    <cellStyle name="_MultipleSpace_DUK_NPAT&amp;EPS" xfId="942" xr:uid="{C0297605-B89E-4B15-A142-E872405E04F8}"/>
    <cellStyle name="_MultipleSpace_ED 2005.08.01" xfId="943" xr:uid="{1812DDE5-72B4-4EA3-BC76-4DA192F5FCC6}"/>
    <cellStyle name="_MultipleSpace_ED 2005.08.01_CASH FLOW" xfId="944" xr:uid="{577CD004-2547-4716-986F-E4D8190C8349}"/>
    <cellStyle name="_MultipleSpace_ED 2005.08.01_NPAT&amp;EPS" xfId="945" xr:uid="{42DBD7D3-E984-4E62-8926-448A9F4E0A6E}"/>
    <cellStyle name="_MultipleSpace_FCF yield comparison_1.3.06" xfId="946" xr:uid="{A0450A4E-CF36-471E-8357-DA80D687319E}"/>
    <cellStyle name="_MultipleSpace_FCF yield comparison_1.3.06_CASH FLOW" xfId="947" xr:uid="{3C9C8277-5DAE-435E-8D91-1A0DC1DB365A}"/>
    <cellStyle name="_MultipleSpace_FCF yield comparison_1.3.06_NPAT&amp;EPS" xfId="948" xr:uid="{83A11904-9655-499D-8892-9D69D53782CA}"/>
    <cellStyle name="_MultipleSpace_fmbi counties" xfId="282" xr:uid="{F76B2D11-01F0-4F19-A4EF-A3D41856DF66}"/>
    <cellStyle name="_MultipleSpace_FMBI MBHI Graphs" xfId="283" xr:uid="{0ED45A03-CED3-44D2-A385-B16C00369870}"/>
    <cellStyle name="_MultipleSpace_FMBI MBHI Graphs 07102001" xfId="284" xr:uid="{4FD41AEB-8FF3-49B5-AFA0-7E922E014969}"/>
    <cellStyle name="_MultipleSpace_FMBI MBHI Graphs_7601" xfId="285" xr:uid="{D69348CF-5F78-434A-87B3-E5CE8D37D13F}"/>
    <cellStyle name="_MultipleSpace_FON" xfId="949" xr:uid="{1C613F49-DAFC-4C7E-8537-045888F0A08A}"/>
    <cellStyle name="_MultipleSpace_FRP" xfId="950" xr:uid="{655CB9B3-3234-45BE-9162-31903EEFE2A6}"/>
    <cellStyle name="_MultipleSpace_FRP_CASH FLOW" xfId="951" xr:uid="{C5A297C8-7B66-421F-B460-5EDE1553BD4C}"/>
    <cellStyle name="_MultipleSpace_FRP_NPAT&amp;EPS" xfId="952" xr:uid="{66CB5D37-91D8-4140-9CDE-87CD39BB507B}"/>
    <cellStyle name="_MultipleSpace_GNW" xfId="286" xr:uid="{83AF2C41-78EA-4560-819A-C9C6A4BC97B8}"/>
    <cellStyle name="_MultipleSpace_Insurance Brokerage CSC_1Q2002" xfId="287" xr:uid="{9C235488-922A-4BA9-86D0-374BF46D7B00}"/>
    <cellStyle name="_MultipleSpace_JP" xfId="288" xr:uid="{3B41FB18-905E-40AA-9992-1BDF37D968B3}"/>
    <cellStyle name="_MultipleSpace_LNC" xfId="289" xr:uid="{D28C4BC3-0040-4AE6-9011-10CD17E94E91}"/>
    <cellStyle name="_MultipleSpace_MCI" xfId="953" xr:uid="{B971053C-4A5C-41B8-84E4-BE49A28EC6D8}"/>
    <cellStyle name="_MultipleSpace_MCI_AT" xfId="954" xr:uid="{71655190-F3A4-4E1D-86DD-95AAE7BC59BF}"/>
    <cellStyle name="_MultipleSpace_MCI_AT_CASH FLOW" xfId="955" xr:uid="{E89507CD-B965-47A6-9C92-26994CED5465}"/>
    <cellStyle name="_MultipleSpace_MCI_AT_NPAT&amp;EPS" xfId="956" xr:uid="{77EB5F06-B0C8-4ECB-8FD1-AD05C9B4B9E6}"/>
    <cellStyle name="_MultipleSpace_MET" xfId="290" xr:uid="{2A5EBF92-4012-427F-9C97-C20BEE458B76}"/>
    <cellStyle name="_MultipleSpace_MET04" xfId="291" xr:uid="{B3CF9BC2-7EE6-4EF5-8DB8-7EAF4EA87F53}"/>
    <cellStyle name="_MultipleSpace_MET04 2" xfId="1347" xr:uid="{A70AFB86-0791-4F0C-A201-2B5B47FE8EAB}"/>
    <cellStyle name="_MultipleSpace_NFS" xfId="292" xr:uid="{4695270E-A51D-48AE-80CE-B8C073DACEDE}"/>
    <cellStyle name="_MultipleSpace_NPAT&amp;EPS" xfId="957" xr:uid="{42859C70-E517-4C7E-846D-9E53976293AC}"/>
    <cellStyle name="_MultipleSpace_NRG 2005.07.22" xfId="958" xr:uid="{8ED5E80F-61D5-4819-B24E-A35D63625DC2}"/>
    <cellStyle name="_MultipleSpace_NRG 2005.07.22_CASH FLOW" xfId="959" xr:uid="{69EB7582-D709-46CF-A141-1F0FC9A5C0D1}"/>
    <cellStyle name="_MultipleSpace_NRG 2005.07.22_NPAT&amp;EPS" xfId="960" xr:uid="{9F379BF3-871C-4414-AD08-B8DAA0A6ED96}"/>
    <cellStyle name="_MultipleSpace_Overview3" xfId="293" xr:uid="{A129CF19-20E4-40C5-8C8C-0E2C384BD276}"/>
    <cellStyle name="_MultipleSpace_phil data" xfId="294" xr:uid="{A6B7A966-145B-461E-BA9F-9E38C6DC00DB}"/>
    <cellStyle name="_MultipleSpace_Price Performance Charts" xfId="295" xr:uid="{701AB483-94A5-465D-B6C5-7042C2DF02A5}"/>
    <cellStyle name="_MultipleSpace_Price Performance Charts 2" xfId="1348" xr:uid="{0B448DC3-415A-4CDE-A3F0-BF3D95F266BE}"/>
    <cellStyle name="_MultipleSpace_PRU" xfId="296" xr:uid="{722EA99F-CF44-447B-8408-F537D30B7958}"/>
    <cellStyle name="_MultipleSpace_PRU 2" xfId="1349" xr:uid="{9F952169-05BE-4D68-989B-8E5916AC6F3D}"/>
    <cellStyle name="_MultipleSpace_PRU04" xfId="297" xr:uid="{E9A3DFB8-E296-4A03-B200-508492F37429}"/>
    <cellStyle name="_MultipleSpace_PRU04 2" xfId="1350" xr:uid="{515A56EB-4D19-4A67-9E9B-ED77AC0F306D}"/>
    <cellStyle name="_MultipleSpace_RBOC historicals" xfId="961" xr:uid="{24585006-A6FF-4A1D-94E5-AE4C2FF2000B}"/>
    <cellStyle name="_MultipleSpace_RBOC historicals_CASH FLOW" xfId="962" xr:uid="{4A8BF33A-32EF-4DFD-95B1-1D08A871BE12}"/>
    <cellStyle name="_MultipleSpace_RBOC historicals_FON" xfId="963" xr:uid="{682D773E-CBD6-4D12-8491-939E5B29589E}"/>
    <cellStyle name="_MultipleSpace_RBOC historicals_FRP" xfId="964" xr:uid="{6C98ECEC-AF51-4DEC-9C6F-625720AEB119}"/>
    <cellStyle name="_MultipleSpace_RBOC historicals_FRP_CASH FLOW" xfId="965" xr:uid="{E4509134-E691-49F3-A564-F3D247E2EC4B}"/>
    <cellStyle name="_MultipleSpace_RBOC historicals_FRP_NPAT&amp;EPS" xfId="966" xr:uid="{F1D9EE4F-E396-4E5D-89B2-78FD2CE92B1A}"/>
    <cellStyle name="_MultipleSpace_RBOC historicals_NPAT&amp;EPS" xfId="967" xr:uid="{2035DFD1-25DF-4983-A5AC-391BF68AC7DF}"/>
    <cellStyle name="_MultipleSpace_RiskReward" xfId="298" xr:uid="{4E55A7CD-31C6-457E-9BCB-EAF5B7E52335}"/>
    <cellStyle name="_MultipleSpace_SFG" xfId="299" xr:uid="{058C5205-657A-402A-B198-7324D17475BF}"/>
    <cellStyle name="_MultipleSpace_SFG 2" xfId="1351" xr:uid="{BEFA666E-0A3B-40DE-A823-70100E44970D}"/>
    <cellStyle name="_MultipleSpace_Sheet1" xfId="300" xr:uid="{6AF03D8D-C2F4-4778-9697-87C70EA4220F}"/>
    <cellStyle name="_MultipleSpace_SRE" xfId="968" xr:uid="{40CEDBF9-4B88-42F3-90C7-26B500EF05D4}"/>
    <cellStyle name="_MultipleSpace_SRE Working" xfId="969" xr:uid="{F604115F-CDA8-42B9-9DC5-8B89B06F7489}"/>
    <cellStyle name="_MultipleSpace_SRE Working_CASH FLOW" xfId="970" xr:uid="{323A5B46-3B2B-4C6A-B657-5BEDE2E2B7BC}"/>
    <cellStyle name="_MultipleSpace_SRE Working_NPAT&amp;EPS" xfId="971" xr:uid="{471B5232-B76C-40B8-B23E-B1BA60FA6908}"/>
    <cellStyle name="_MultipleSpace_SRE_CASH FLOW" xfId="972" xr:uid="{5D8134BC-2B28-403E-9C39-F4564D22FFA1}"/>
    <cellStyle name="_MultipleSpace_SRE_NPAT&amp;EPS" xfId="973" xr:uid="{8973B030-EC6C-426F-A77D-4B5FE730DED5}"/>
    <cellStyle name="_MultipleSpace_Stock-QTR1 FDS" xfId="301" xr:uid="{4A1C4073-8529-4110-A58C-D8F784CB5F86}"/>
    <cellStyle name="_MultipleSpace_Stock-QTR1 FDS 2" xfId="1352" xr:uid="{24A11970-CB23-4365-90A9-3EB96C8B82F9}"/>
    <cellStyle name="_MultipleSpace_T" xfId="974" xr:uid="{6960F43B-87EF-44CF-8122-33445391F0EB}"/>
    <cellStyle name="_MultipleSpace_T - new" xfId="975" xr:uid="{8F80DD11-7C27-4548-8B3D-A2430876858C}"/>
    <cellStyle name="_MultipleSpace_T - new_CASH FLOW" xfId="976" xr:uid="{A9F4F54F-9EE7-474B-8764-953A14EED8CA}"/>
    <cellStyle name="_MultipleSpace_T - new_FON" xfId="977" xr:uid="{7E90EA47-C1B0-4573-BF29-8B672879E19F}"/>
    <cellStyle name="_MultipleSpace_T - new_FRP" xfId="978" xr:uid="{BBDE324B-84BD-4D62-8DAE-2269CD87E982}"/>
    <cellStyle name="_MultipleSpace_T - new_FRP_CASH FLOW" xfId="979" xr:uid="{920F4FD1-9461-459C-AC79-3BF7B8992564}"/>
    <cellStyle name="_MultipleSpace_T - new_FRP_NPAT&amp;EPS" xfId="980" xr:uid="{281CECD0-D300-4767-8FF7-A6276B38D516}"/>
    <cellStyle name="_MultipleSpace_T - new_NPAT&amp;EPS" xfId="981" xr:uid="{787C3519-3014-44E1-9933-4B5322F35F77}"/>
    <cellStyle name="_MultipleSpace_T_AT" xfId="982" xr:uid="{51D96B73-A1A4-4B6E-8D19-092EB9157BC1}"/>
    <cellStyle name="_MultipleSpace_T_AT_CASH FLOW" xfId="983" xr:uid="{E72BD029-9A74-4B78-A4C9-B33BDBB4922B}"/>
    <cellStyle name="_MultipleSpace_T_AT_NPAT&amp;EPS" xfId="984" xr:uid="{AEBC36E6-AAC4-431F-9782-D38D4BF0E8D4}"/>
    <cellStyle name="_MultipleSpace_Telco Scenario analysis1" xfId="985" xr:uid="{89D07435-7402-4C0F-AD6B-44B28FC06896}"/>
    <cellStyle name="_MultipleSpace_Telco Scenario analysis1_AT" xfId="986" xr:uid="{78C4D49A-E191-46E7-9269-02AF37BD1480}"/>
    <cellStyle name="_MultipleSpace_Telco Scenario analysis1_AT_CASH FLOW" xfId="987" xr:uid="{5B336244-4A96-4209-9DAC-027E8422D5AF}"/>
    <cellStyle name="_MultipleSpace_Telco Scenario analysis1_AT_NPAT&amp;EPS" xfId="988" xr:uid="{599CD756-DC60-4492-8AFF-13A8E3718416}"/>
    <cellStyle name="_MultipleSpace_TMK" xfId="302" xr:uid="{9B23855D-BB62-4270-AC79-91070E623590}"/>
    <cellStyle name="_MultipleSpace_Updated Valuation Changes" xfId="303" xr:uid="{C72A3640-0435-4CB0-997D-B8C0ADEED3BE}"/>
    <cellStyle name="_MultipleSpace_Valuation Graphs" xfId="304" xr:uid="{A64ACA8C-92F2-409B-A472-5891B6C2CA3F}"/>
    <cellStyle name="_MultipleSpace_xratio - historical mkt val" xfId="305" xr:uid="{5D300496-FCF5-44B7-81BF-2FA27A6C3839}"/>
    <cellStyle name="_Percent" xfId="27" xr:uid="{F2653DD8-25DF-4F61-8537-BED1BAA9B4AE}"/>
    <cellStyle name="_Percent_12-30-05 Telecom Serv Comp Sheet" xfId="989" xr:uid="{01DC0FA5-A4F9-46E2-BAD2-DDEA9CD799F3}"/>
    <cellStyle name="_Percent_12-30-05 Telecom Serv Comp Sheet_CASH FLOW" xfId="990" xr:uid="{339D1DF6-4F31-4276-A2BA-CA404E24AA39}"/>
    <cellStyle name="_Percent_12-30-05 Telecom Serv Comp Sheet_NPAT&amp;EPS" xfId="991" xr:uid="{3078ACE6-4D9C-4E29-B664-9E2E40EAAE16}"/>
    <cellStyle name="_Percent_CASH FLOW" xfId="992" xr:uid="{161BFDFD-CD70-40A5-AA3E-31796966D2C6}"/>
    <cellStyle name="_Percent_DCF Alexander Forbes" xfId="306" xr:uid="{9ADC2262-9A94-4737-AA49-71A3737BFB27}"/>
    <cellStyle name="_Percent_FMBI MBHI Graphs" xfId="307" xr:uid="{794DC228-26A5-4C3F-92A2-5BCC4D80E03D}"/>
    <cellStyle name="_Percent_FMBI MBHI Graphs 07102001" xfId="308" xr:uid="{1D1F4EEC-2A11-418E-99AD-450E8EFAF9B9}"/>
    <cellStyle name="_Percent_FMBI MBHI Graphs_7601" xfId="309" xr:uid="{A37E1347-D1C6-4477-A5F9-FB9FAF920768}"/>
    <cellStyle name="_Percent_FON" xfId="993" xr:uid="{67EA5553-24D9-4DE7-A201-5C7BAA27B3DC}"/>
    <cellStyle name="_Percent_FRP" xfId="994" xr:uid="{D011A1B2-35E8-48F9-9615-BA189D4CCBFB}"/>
    <cellStyle name="_Percent_FRP_CASH FLOW" xfId="995" xr:uid="{263EFFA2-7E04-4696-A99C-07F3B2615CC8}"/>
    <cellStyle name="_Percent_FRP_NPAT&amp;EPS" xfId="996" xr:uid="{95025790-DD2B-482E-B58B-AFDBEBE07D3A}"/>
    <cellStyle name="_Percent_NPAT&amp;EPS" xfId="997" xr:uid="{148E6F96-E710-49EA-9834-CE2961B2F7AE}"/>
    <cellStyle name="_PercentSpace" xfId="28" xr:uid="{08BE7815-326D-4BE7-AD28-73B561A49099}"/>
    <cellStyle name="_PercentSpace_01 adj for merger plan" xfId="310" xr:uid="{580B5BDF-61E0-4404-B9E8-1028AC0A0901}"/>
    <cellStyle name="_PercentSpace_12-30-05 Telecom Serv Comp Sheet" xfId="998" xr:uid="{B80ADDC3-9200-4652-A347-B2324311051C}"/>
    <cellStyle name="_PercentSpace_12-30-05 Telecom Serv Comp Sheet_CASH FLOW" xfId="999" xr:uid="{4AE885F8-1ED5-4D52-AFAF-973106C8E267}"/>
    <cellStyle name="_PercentSpace_12-30-05 Telecom Serv Comp Sheet_NPAT&amp;EPS" xfId="1000" xr:uid="{7940E48C-3DBE-48BB-8A5C-B95FDD83D3B2}"/>
    <cellStyle name="_PercentSpace_CASH FLOW" xfId="1001" xr:uid="{76CA6AAA-A9BB-4980-A5B5-2CBDD7A0A030}"/>
    <cellStyle name="_PercentSpace_DCF Alexander Forbes" xfId="311" xr:uid="{3EFF0B33-2420-43F5-88E3-770249AC02B6}"/>
    <cellStyle name="_PercentSpace_FMBI MBHI Graphs" xfId="312" xr:uid="{C344B006-CAD2-4932-BB19-408D8E60053C}"/>
    <cellStyle name="_PercentSpace_FMBI MBHI Graphs 07102001" xfId="313" xr:uid="{C34C99FD-3919-4A4F-9AB4-8489067A4D05}"/>
    <cellStyle name="_PercentSpace_FMBI MBHI Graphs_7601" xfId="314" xr:uid="{C58766B0-89E0-428A-ABBE-43A7A00F31EA}"/>
    <cellStyle name="_PercentSpace_FON" xfId="1002" xr:uid="{FCD3945E-C193-4704-9294-9B53BDDF94A5}"/>
    <cellStyle name="_PercentSpace_FRP" xfId="1003" xr:uid="{49BCB5D3-3839-462D-8029-0E24FB33C57E}"/>
    <cellStyle name="_PercentSpace_FRP_CASH FLOW" xfId="1004" xr:uid="{2B6629B9-E60F-4441-B93A-C40CC80F09B3}"/>
    <cellStyle name="_PercentSpace_FRP_NPAT&amp;EPS" xfId="1005" xr:uid="{8ADC76C8-75C1-48A3-B9EE-2DD231EB25E3}"/>
    <cellStyle name="_PercentSpace_NPAT&amp;EPS" xfId="1006" xr:uid="{E80FC5A1-D76C-4C64-8360-3DD0C4E791AD}"/>
    <cellStyle name="_SHL - Model.xls Chart 1" xfId="1007" xr:uid="{F54754B9-4E54-45B1-AF4D-21402B9C50B1}"/>
    <cellStyle name="_SHL - Model.xls Chart 2" xfId="1008" xr:uid="{891C4075-7CBA-4FCF-AD21-B2D9B97BEBBC}"/>
    <cellStyle name="_SubHeading" xfId="29" xr:uid="{95742C1F-2ECF-4830-98D9-063DA85A1B0E}"/>
    <cellStyle name="_SubHeading_09-08-04 Comp Sheet" xfId="1009" xr:uid="{26C18F67-8FE9-42EE-9F1B-70504841CD53}"/>
    <cellStyle name="_SubHeading_12 Food Deal Comp" xfId="30" xr:uid="{E683DC63-4F89-4C0A-B427-8684400BAA63}"/>
    <cellStyle name="_SubHeading_12 Food Deal Comp 2" xfId="1353" xr:uid="{E4A77DE1-6716-4FAB-8333-B9359C745914}"/>
    <cellStyle name="_SubHeading_12-30-05 Telecom Serv Comp Sheet" xfId="1010" xr:uid="{A847F8DC-6088-4195-98C8-4DB5E38B3334}"/>
    <cellStyle name="_SubHeading_15 Furniture CSC (06-Dec-2005)" xfId="31" xr:uid="{B1490F96-B6C9-417A-BEBC-A1797B16F9A3}"/>
    <cellStyle name="_SubHeading_15 Furniture CSC (06-Dec-2005) 2" xfId="1354" xr:uid="{6022121E-E107-4709-B338-290C9B5E511F}"/>
    <cellStyle name="_SubHeading_Ability to Pay Analysis" xfId="315" xr:uid="{2575F6DF-CE3C-47C3-8CD6-F15222F285BB}"/>
    <cellStyle name="_SubHeading_Airports Dealcomp" xfId="32" xr:uid="{8A5D051A-27F8-4A0C-832F-53E13335DFAE}"/>
    <cellStyle name="_SubHeading_Airports Dealcomp 2" xfId="1355" xr:uid="{C3E1FBE0-0BE8-4E01-B84C-B5D7C064B9B6}"/>
    <cellStyle name="_SubHeading_BankUnited Model" xfId="316" xr:uid="{69C49B63-929A-4331-B18A-86D9FDDFC1E8}"/>
    <cellStyle name="_SubHeading_BLS" xfId="1011" xr:uid="{21EA974A-0E21-45C6-A076-657B89224673}"/>
    <cellStyle name="_SubHeading_bls roic" xfId="1012" xr:uid="{ECE439FC-EE7F-4583-B75A-46A5D229B9FD}"/>
    <cellStyle name="_SubHeading_Book9" xfId="1013" xr:uid="{77C9D649-4B6B-443F-BB5E-097D80E832C4}"/>
    <cellStyle name="_SubHeading_Broadband Comps" xfId="1014" xr:uid="{FDE5003F-FACB-41BE-A0A8-D9F425C0B6B7}"/>
    <cellStyle name="_SubHeading_capital expenditures 6-18-02" xfId="1015" xr:uid="{903C0FB3-4245-46E2-B68D-5E06F1DA2EB2}"/>
    <cellStyle name="_SubHeading_CTCO" xfId="1016" xr:uid="{D7B9E2DC-0926-480C-9D91-4B77A45255B4}"/>
    <cellStyle name="_SubHeading_fmbi counties" xfId="317" xr:uid="{0FF086D1-B37A-4EC5-81F6-2EC861F726E8}"/>
    <cellStyle name="_SubHeading_FMBI MBHI Graphs" xfId="318" xr:uid="{D4CB49EA-3D97-4183-8461-94FBE61092B2}"/>
    <cellStyle name="_SubHeading_FMBI MBHI Graphs 07102001" xfId="319" xr:uid="{454B2684-BFFB-44F8-B0F4-AFFD22EE8FB3}"/>
    <cellStyle name="_SubHeading_FMBI MBHI Graphs_7601" xfId="320" xr:uid="{B7C9979B-23BD-43D5-9936-524AAF5BC72E}"/>
    <cellStyle name="_SubHeading_MCI" xfId="1017" xr:uid="{219E270C-286A-4291-BEC5-B53438505FCE}"/>
    <cellStyle name="_SubHeading_prestemp" xfId="33" xr:uid="{2501F61A-905A-47B5-8FBF-8ABE72F40D47}"/>
    <cellStyle name="_SubHeading_prestemp_Insurance Brokerage CSC_1Q2002" xfId="321" xr:uid="{6CD1E6DF-1C97-40FE-B32C-FE0FFB4E673F}"/>
    <cellStyle name="_SubHeading_prestemp_Overview3" xfId="322" xr:uid="{C9CFAD96-EA4F-4599-BCEC-086F78A31D70}"/>
    <cellStyle name="_SubHeading_prestemp_Updated Valuation Changes" xfId="323" xr:uid="{C8FE95A8-612F-4CC3-B142-BD5D38FCB5B1}"/>
    <cellStyle name="_SubHeading_Q" xfId="1018" xr:uid="{F72CCAD2-6E35-46B9-B7B9-59EBE3555A8D}"/>
    <cellStyle name="_SubHeading_q - new guidance" xfId="1019" xr:uid="{D3D07F66-DBB7-405A-A0F1-95D6FDB42C1B}"/>
    <cellStyle name="_SubHeading_q - valuation" xfId="1020" xr:uid="{96092471-F77A-4D50-823B-E6650016A692}"/>
    <cellStyle name="_SubHeading_Q model_041802" xfId="1021" xr:uid="{492BC07E-BB57-4BD0-AAFC-301EA27E10E3}"/>
    <cellStyle name="_SubHeading_Q_update" xfId="1022" xr:uid="{E089C7A4-01FC-40B8-A83E-E2E31ADEC592}"/>
    <cellStyle name="_SubHeading_Qwest Analysis" xfId="1023" xr:uid="{B532D85E-93CF-4784-8E15-1FB0DD3F7473}"/>
    <cellStyle name="_SubHeading_RBOC historicals" xfId="1024" xr:uid="{60EE31F2-B499-4D05-AF8A-D0182F62FB3C}"/>
    <cellStyle name="_SubHeading_T" xfId="1025" xr:uid="{A7C47819-2CBE-457A-BE2F-9CFE117792C1}"/>
    <cellStyle name="_SubHeading_T - new" xfId="1026" xr:uid="{655867CC-DEF9-4AE5-AE7E-189918F4B787}"/>
    <cellStyle name="_SubHeading_Telco Scenario analysis1" xfId="1027" xr:uid="{89AED8E3-7E99-4FBD-984E-5956ED16D3EC}"/>
    <cellStyle name="_SubHeading_Updated CSC Template" xfId="34" xr:uid="{E0DA4619-D36A-4462-BE3C-E7509157B666}"/>
    <cellStyle name="_SubHeading_Updated CSC Template 2" xfId="1356" xr:uid="{3ADC2391-A191-4B20-BA31-4B7F07BD441E}"/>
    <cellStyle name="_SubHeading_VZ" xfId="1028" xr:uid="{557DB58F-4C6A-4380-9A96-CE6EB9D0241A}"/>
    <cellStyle name="_SubHeading_xratio - historical mkt val" xfId="324" xr:uid="{2BECDF19-CCEB-4696-93C4-EA40BBA1ED2F}"/>
    <cellStyle name="_Table" xfId="35" xr:uid="{5FE124DE-51D5-4C84-AB32-9DCE00D5A255}"/>
    <cellStyle name="_Table 2" xfId="1357" xr:uid="{BAB63944-0C87-4B06-8FE7-37D9E6CDA92A}"/>
    <cellStyle name="_Table_09-08-04 Comp Sheet" xfId="1029" xr:uid="{0046BBA8-83D3-4CA9-BBAD-B0CCF498AD7D}"/>
    <cellStyle name="_Table_12 Food Deal Comp" xfId="36" xr:uid="{B8C39729-E69C-4BC3-B7D9-7C483D480407}"/>
    <cellStyle name="_Table_12-30-05 Telecom Serv Comp Sheet" xfId="1030" xr:uid="{CC2A51CD-9AC5-4E0A-8C39-6D7738ADD357}"/>
    <cellStyle name="_Table_15 Furniture CSC (06-Dec-2005)" xfId="37" xr:uid="{40A75FB7-C4E1-43D1-B480-2E9CB30FEDA7}"/>
    <cellStyle name="_Table_Ability to Pay Analysis" xfId="325" xr:uid="{8103705D-855D-41D9-981A-9D5308F77C6A}"/>
    <cellStyle name="_Table_Airports Dealcomp" xfId="38" xr:uid="{D0736B7C-4B0E-407A-8F59-68304B376191}"/>
    <cellStyle name="_Table_BankUnited Model" xfId="326" xr:uid="{CB5D0394-F4D9-4917-BFA4-9929A3DB1F1B}"/>
    <cellStyle name="_Table_BLS" xfId="1031" xr:uid="{FBC0D179-5836-427F-A564-EEAE61F4F371}"/>
    <cellStyle name="_Table_bls roic" xfId="1032" xr:uid="{6DE07C10-F1EA-441C-9738-94EE719A2393}"/>
    <cellStyle name="_Table_Book9" xfId="1033" xr:uid="{A345CB2A-D23A-430A-9F9E-039F4C36265C}"/>
    <cellStyle name="_Table_Broadband Comps" xfId="1034" xr:uid="{A7556426-F7E7-4074-9613-EF3CA11D5D76}"/>
    <cellStyle name="_Table_capital expenditures 6-18-02" xfId="1035" xr:uid="{A89F7F1A-377A-455B-AE4A-5ACFC97AC94B}"/>
    <cellStyle name="_Table_CTCO" xfId="1036" xr:uid="{40EA5E8C-AEA3-40F2-BD43-EC7A36EA2BFE}"/>
    <cellStyle name="_Table_fmbi counties" xfId="327" xr:uid="{6755F3A1-476D-43E9-8F34-B52BC3A6DCD2}"/>
    <cellStyle name="_Table_MCI" xfId="1037" xr:uid="{C4CC1257-F631-42C5-B766-F9EC38043286}"/>
    <cellStyle name="_Table_Q" xfId="1038" xr:uid="{C8BD1C6E-EC23-47FE-9F98-84CB1E9D2D32}"/>
    <cellStyle name="_Table_q - new guidance" xfId="1039" xr:uid="{502ED129-F44E-4250-890D-CF0440F3904D}"/>
    <cellStyle name="_Table_q - valuation" xfId="1040" xr:uid="{C1EE19A1-18CB-4565-9904-F1A0672D84CF}"/>
    <cellStyle name="_Table_Q model_041802" xfId="1041" xr:uid="{0A976702-79EE-43D6-9A4D-CF54D7A410BE}"/>
    <cellStyle name="_Table_Q_update" xfId="1042" xr:uid="{3D3B3EAC-ADD8-4768-A387-3CF380FDF22E}"/>
    <cellStyle name="_Table_Qwest Analysis" xfId="1043" xr:uid="{2C876D02-D81F-46CD-AD00-BEEDF530A9D4}"/>
    <cellStyle name="_Table_RBOC historicals" xfId="1044" xr:uid="{59A20DCF-731A-4D18-9712-F5DAF6BCBE59}"/>
    <cellStyle name="_Table_T" xfId="1045" xr:uid="{C80699DA-CC4B-4D20-8DDB-E1CFD584984F}"/>
    <cellStyle name="_Table_T - new" xfId="1046" xr:uid="{9075B24D-8070-4102-A74D-D8421991B6D9}"/>
    <cellStyle name="_Table_Telco Scenario analysis1" xfId="1047" xr:uid="{5AF0A304-A65E-4B90-A439-EDB8F33C4AE2}"/>
    <cellStyle name="_Table_Updated CSC Template" xfId="39" xr:uid="{42AAF0E3-877E-48E0-A214-CE781C4E7F1E}"/>
    <cellStyle name="_Table_VZ" xfId="1048" xr:uid="{907AD812-7DAD-44A0-885B-59478BA71684}"/>
    <cellStyle name="_Table_xratio - historical mkt val" xfId="328" xr:uid="{93ED6A53-94E4-44C7-AAEB-C15A51FCC7E6}"/>
    <cellStyle name="_TableHead" xfId="40" xr:uid="{9A941729-D401-476E-99C2-2C430E9CD848}"/>
    <cellStyle name="_TableHead_09-08-04 Comp Sheet" xfId="1049" xr:uid="{BBB9266A-C482-4BBC-8B7F-8C0B25C0B189}"/>
    <cellStyle name="_TableHead_12 Food Deal Comp" xfId="41" xr:uid="{1CFE4D6C-062E-41C1-B101-7CDF9A75AB3E}"/>
    <cellStyle name="_TableHead_12 Food Deal Comp 2" xfId="1358" xr:uid="{9F7BA7A8-5E9A-461C-8BDF-AA9D476B20B9}"/>
    <cellStyle name="_TableHead_12-30-05 Telecom Serv Comp Sheet" xfId="1050" xr:uid="{7C79C28F-64FE-4BAF-A997-262C08DC6975}"/>
    <cellStyle name="_TableHead_15 Furniture CSC (06-Dec-2005)" xfId="42" xr:uid="{46B2213E-9484-45AE-8782-90D8D1D51787}"/>
    <cellStyle name="_TableHead_15 Furniture CSC (06-Dec-2005) 2" xfId="1359" xr:uid="{F71DDDF2-846E-43EB-813A-2D51E256A54C}"/>
    <cellStyle name="_TableHead_Airports Dealcomp" xfId="43" xr:uid="{3426A967-889F-43FA-AF2E-153715C29754}"/>
    <cellStyle name="_TableHead_Airports Dealcomp 2" xfId="1360" xr:uid="{73529A0B-E4EA-4A69-91BF-0B03E6241F8D}"/>
    <cellStyle name="_TableHead_BLS" xfId="1051" xr:uid="{19823B86-4D1E-4C82-955D-6C8D2AD74DA0}"/>
    <cellStyle name="_TableHead_bls roic" xfId="1052" xr:uid="{52E487BE-8086-436B-9808-CF65EA110D1F}"/>
    <cellStyle name="_TableHead_Book9" xfId="1053" xr:uid="{5A291286-6757-445A-A19E-715D5DB4645D}"/>
    <cellStyle name="_TableHead_Broadband Comps" xfId="1054" xr:uid="{967760F3-F42C-4B6A-AEED-FC2C012C2A51}"/>
    <cellStyle name="_TableHead_capital expenditures 6-18-02" xfId="1055" xr:uid="{6E3988BF-B2CC-4384-818D-61D37EB198C8}"/>
    <cellStyle name="_TableHead_CTCO" xfId="1056" xr:uid="{7E7CC9AD-81A6-43D5-B961-BFD60961C6CD}"/>
    <cellStyle name="_TableHead_MCI" xfId="1057" xr:uid="{09030742-36A2-49F2-AD92-A3C364C2B4A5}"/>
    <cellStyle name="_TableHead_Q" xfId="1058" xr:uid="{AD81469F-A030-48AB-8FFE-A46241945A67}"/>
    <cellStyle name="_TableHead_q - new guidance" xfId="1059" xr:uid="{0543E4F0-B1A2-4424-9312-691215A0559C}"/>
    <cellStyle name="_TableHead_q - valuation" xfId="1060" xr:uid="{238E49FB-D503-4754-945F-CD008296322C}"/>
    <cellStyle name="_TableHead_Q model_041802" xfId="1061" xr:uid="{C497B301-1E66-4F69-A4D0-B1F64D2645BE}"/>
    <cellStyle name="_TableHead_Q_update" xfId="1062" xr:uid="{075A1FC8-9783-4828-B4CE-4A3DB0C9F8C2}"/>
    <cellStyle name="_TableHead_Qwest Analysis" xfId="1063" xr:uid="{77EC9CC6-340E-4313-9FA5-D6DB30023330}"/>
    <cellStyle name="_TableHead_RBOC historicals" xfId="1064" xr:uid="{2F7918F0-23B9-41BB-AF85-53BF46854B95}"/>
    <cellStyle name="_TableHead_T" xfId="1065" xr:uid="{78F71F60-279D-4BA5-8DBB-011A6E1709B3}"/>
    <cellStyle name="_TableHead_T - new" xfId="1066" xr:uid="{EF4A0B07-23D8-44D3-ABA3-4E4A20570170}"/>
    <cellStyle name="_TableHead_Telco Scenario analysis1" xfId="1067" xr:uid="{B73EA1E8-7FBF-4ADE-A08D-5F163C0052DD}"/>
    <cellStyle name="_TableHead_Updated CSC Template" xfId="44" xr:uid="{10F756F7-EDF5-4273-A1A8-76428DE05BDF}"/>
    <cellStyle name="_TableHead_Updated CSC Template 2" xfId="1361" xr:uid="{89A9A607-246C-4787-AB74-F666F8DC6394}"/>
    <cellStyle name="_TableHead_VZ" xfId="1068" xr:uid="{B54650DE-ADD2-48FF-AC2D-E246703B3C74}"/>
    <cellStyle name="_TableRowBorder" xfId="1069" xr:uid="{6BA0C091-F853-4D8E-AC41-7A6FF01C8219}"/>
    <cellStyle name="_TableRowHead" xfId="45" xr:uid="{4BDC08FE-E9E0-49DB-BB0E-561FF3121172}"/>
    <cellStyle name="_TableRowHead_09-08-04 Comp Sheet" xfId="1070" xr:uid="{70340D60-BC9E-4708-9F2F-F426CB55A6DB}"/>
    <cellStyle name="_TableRowHead_12 Food Deal Comp" xfId="46" xr:uid="{E3F4A09F-DCE8-4EE0-B43A-40733EA88D7E}"/>
    <cellStyle name="_TableRowHead_12 Food Deal Comp 2" xfId="1362" xr:uid="{AE21DC75-0CE0-4671-9DEE-6C9E754CDDA4}"/>
    <cellStyle name="_TableRowHead_12-30-05 Telecom Serv Comp Sheet" xfId="1071" xr:uid="{522121E4-AE0C-458F-83C4-7EC234515D5E}"/>
    <cellStyle name="_TableRowHead_15 Furniture CSC (06-Dec-2005)" xfId="47" xr:uid="{86677590-499B-4CCB-95A8-F0CEC115C60C}"/>
    <cellStyle name="_TableRowHead_15 Furniture CSC (06-Dec-2005) 2" xfId="1363" xr:uid="{312560D8-8350-4175-A653-5A56DE111D25}"/>
    <cellStyle name="_TableRowHead_Airports Dealcomp" xfId="48" xr:uid="{4C939703-7F9B-46EC-A134-25F540C3A78B}"/>
    <cellStyle name="_TableRowHead_Airports Dealcomp 2" xfId="1364" xr:uid="{CD7E029A-C373-4502-8B03-E7D842174E61}"/>
    <cellStyle name="_TableRowHead_BLS" xfId="1072" xr:uid="{11A86933-C0E9-45C6-899E-2853DC6128F1}"/>
    <cellStyle name="_TableRowHead_bls roic" xfId="1073" xr:uid="{56D35F2D-B3FA-4B58-B6B0-4995DB6B98C7}"/>
    <cellStyle name="_TableRowHead_Book9" xfId="1074" xr:uid="{57DB3F91-0F84-491C-A29B-F905ED3028B0}"/>
    <cellStyle name="_TableRowHead_Broadband Comps" xfId="1075" xr:uid="{975FF7E1-CB51-4EA4-B5CE-E2A5768401AA}"/>
    <cellStyle name="_TableRowHead_capital expenditures 6-18-02" xfId="1076" xr:uid="{8C5CCD45-BE71-491E-A35B-1A9C96543372}"/>
    <cellStyle name="_TableRowHead_CTCO" xfId="1077" xr:uid="{F81E3F59-32C1-4FE5-B4F7-4AD9AA166906}"/>
    <cellStyle name="_TableRowHead_MCI" xfId="1078" xr:uid="{84552ECA-9DA7-427E-9EF7-DBB56998A57A}"/>
    <cellStyle name="_TableRowHead_Q" xfId="1079" xr:uid="{BD82F495-AEDC-448D-BEB5-780F88D0009D}"/>
    <cellStyle name="_TableRowHead_q - new guidance" xfId="1080" xr:uid="{691658C2-407E-4DCF-89F5-EA48BC89F281}"/>
    <cellStyle name="_TableRowHead_q - valuation" xfId="1081" xr:uid="{C78FF8CC-4208-4CE0-985C-54D244D9ED80}"/>
    <cellStyle name="_TableRowHead_Q model_041802" xfId="1082" xr:uid="{3200460B-C5F6-4259-B8C4-9ADE4F0D9F8F}"/>
    <cellStyle name="_TableRowHead_Q_update" xfId="1083" xr:uid="{2DAEA46C-1DA3-419A-840D-C54EE6BC2B1E}"/>
    <cellStyle name="_TableRowHead_Qwest Analysis" xfId="1084" xr:uid="{D3047D68-7433-4658-A4E0-5D7D66F6021D}"/>
    <cellStyle name="_TableRowHead_RBOC historicals" xfId="1085" xr:uid="{C2C0CFC9-8A29-409C-BFD6-DFF913737D4D}"/>
    <cellStyle name="_TableRowHead_T" xfId="1086" xr:uid="{506D7D2C-5EF5-4612-B2D6-5DC1743CD555}"/>
    <cellStyle name="_TableRowHead_T - new" xfId="1087" xr:uid="{1ADC3F5B-6985-45A5-80DE-D135EFFF03B3}"/>
    <cellStyle name="_TableRowHead_Telco Scenario analysis1" xfId="1088" xr:uid="{2A5E1C55-BD98-4E2B-B7F7-375470D287B6}"/>
    <cellStyle name="_TableRowHead_Updated CSC Template" xfId="49" xr:uid="{B7B55E59-D08D-4CDA-A1E5-E0FE288A3292}"/>
    <cellStyle name="_TableRowHead_Updated CSC Template 2" xfId="1365" xr:uid="{939CCE61-AA06-4B32-9BC4-FAB60C350C70}"/>
    <cellStyle name="_TableRowHead_VZ" xfId="1089" xr:uid="{3B005ECF-CBED-486E-AE06-8061E80BBBF7}"/>
    <cellStyle name="_TableSuperHead" xfId="50" xr:uid="{E64F824E-B7FB-4851-B4B3-4E70F26A7945}"/>
    <cellStyle name="_TableSuperHead_09-08-04 Comp Sheet" xfId="1090" xr:uid="{3E9D448C-2A31-4847-A24E-5B5D23E45E04}"/>
    <cellStyle name="_TableSuperHead_12 Food Deal Comp" xfId="51" xr:uid="{0274B8AA-4BAF-4E75-B083-B38B6220C450}"/>
    <cellStyle name="_TableSuperHead_12 Food Deal Comp 2" xfId="1366" xr:uid="{313488D5-4D5B-4AE8-8FA5-E5CDBA8F8F81}"/>
    <cellStyle name="_TableSuperHead_12-30-05 Telecom Serv Comp Sheet" xfId="1091" xr:uid="{F0FB40C3-D62F-4EB8-AA6B-808DF3A04574}"/>
    <cellStyle name="_TableSuperHead_15 Furniture CSC (06-Dec-2005)" xfId="52" xr:uid="{04A83791-694A-4C73-868E-A5E10AB16AA4}"/>
    <cellStyle name="_TableSuperHead_15 Furniture CSC (06-Dec-2005) 2" xfId="1367" xr:uid="{45F88678-3F18-4C64-88E5-C514BE4818A7}"/>
    <cellStyle name="_TableSuperHead_Ability to Pay Analysis" xfId="329" xr:uid="{CED8897B-7947-4A1C-93A6-E5E8B5DAB027}"/>
    <cellStyle name="_TableSuperHead_Airports Dealcomp" xfId="53" xr:uid="{9620B108-4C7A-461A-94A7-DF33DC5ABEE3}"/>
    <cellStyle name="_TableSuperHead_Airports Dealcomp 2" xfId="1368" xr:uid="{B1F0786E-1222-48D8-B2BB-2CC8854111C2}"/>
    <cellStyle name="_TableSuperHead_BankUnited Model" xfId="330" xr:uid="{C1042321-D8C8-48EF-8D4C-628BD68B6D0E}"/>
    <cellStyle name="_TableSuperHead_BLS" xfId="1092" xr:uid="{A4B82397-A3C2-419A-BFA4-E6CB212DBB15}"/>
    <cellStyle name="_TableSuperHead_bls roic" xfId="1093" xr:uid="{FF3D6954-53EF-4DEB-8D2D-E96FB2088F0B}"/>
    <cellStyle name="_TableSuperHead_Book9" xfId="1094" xr:uid="{469F864E-301B-433E-9A0F-610366EA61A2}"/>
    <cellStyle name="_TableSuperHead_Broadband Comps" xfId="1095" xr:uid="{EB3A7F7A-19BD-40BF-92AC-AC860444C67D}"/>
    <cellStyle name="_TableSuperHead_capital expenditures 6-18-02" xfId="1096" xr:uid="{04154B8D-F920-40FD-8D33-1CA4487B8679}"/>
    <cellStyle name="_TableSuperHead_CTCO" xfId="1097" xr:uid="{5855B14C-A08B-4A86-9835-38F4FD83D2DE}"/>
    <cellStyle name="_TableSuperHead_fmbi counties" xfId="331" xr:uid="{759BECB1-0D70-4145-B2CC-E333942F5DE8}"/>
    <cellStyle name="_TableSuperHead_MCI" xfId="1098" xr:uid="{0CF3D5E5-4DC5-4DFC-821F-7BC01E4CB3F0}"/>
    <cellStyle name="_TableSuperHead_Q" xfId="1099" xr:uid="{0370EC36-B121-4EFB-8AB7-0F6F214A6677}"/>
    <cellStyle name="_TableSuperHead_q - new guidance" xfId="1100" xr:uid="{A36328BF-4BB4-4971-9343-E4928999DB05}"/>
    <cellStyle name="_TableSuperHead_q - valuation" xfId="1101" xr:uid="{25960299-47EF-4E71-82EF-D8677D5BD852}"/>
    <cellStyle name="_TableSuperHead_Q model_041802" xfId="1102" xr:uid="{73F73370-5B41-4D75-81A6-48DBE1D93AF3}"/>
    <cellStyle name="_TableSuperHead_Q_update" xfId="1103" xr:uid="{0F3BE62E-A8D2-4E04-BF12-A6E293250478}"/>
    <cellStyle name="_TableSuperHead_Qwest Analysis" xfId="1104" xr:uid="{6D1CB231-99EF-4B7D-AE63-91A391BFC04C}"/>
    <cellStyle name="_TableSuperHead_RBOC historicals" xfId="1105" xr:uid="{C69B32D9-2B6F-404D-A0F8-96463193D127}"/>
    <cellStyle name="_TableSuperHead_T" xfId="1106" xr:uid="{592DAE8D-BD90-4D6E-8BD6-DECD26B22E96}"/>
    <cellStyle name="_TableSuperHead_T - new" xfId="1107" xr:uid="{6A962DE2-92F7-462A-9332-509C5453B6F3}"/>
    <cellStyle name="_TableSuperHead_Telco Scenario analysis1" xfId="1108" xr:uid="{192D208E-E62D-4E9E-ADF3-371DBED1394E}"/>
    <cellStyle name="_TableSuperHead_Updated CSC Template" xfId="54" xr:uid="{95031429-D167-4335-9F47-BEE065B51CB1}"/>
    <cellStyle name="_TableSuperHead_Updated CSC Template 2" xfId="1369" xr:uid="{4564BF15-77A5-4667-A59F-09CB383F7EB7}"/>
    <cellStyle name="_TableSuperHead_VZ" xfId="1109" xr:uid="{9674EA9B-212C-4E8C-A22F-F00C86B4418A}"/>
    <cellStyle name="_TableSuperHead_xratio - historical mkt val" xfId="332" xr:uid="{39027482-3FC3-4B9A-8EC2-2C733C14517F}"/>
    <cellStyle name="£3places" xfId="1110" xr:uid="{D01CCDF6-8E68-4469-8B38-A725501BD325}"/>
    <cellStyle name="=C:\WINNT\SYSTEM32\COMMAND.COM" xfId="1111" xr:uid="{3918AB2F-C43F-4F2F-BAF6-8A7D193FFF91}"/>
    <cellStyle name="§Q\?1@" xfId="1112" xr:uid="{C0FA9337-88D2-40D6-A446-03CF95533D7A}"/>
    <cellStyle name="0%" xfId="1113" xr:uid="{3F191859-372C-444D-8CD3-F6BEC5D7CED5}"/>
    <cellStyle name="0.0" xfId="1114" xr:uid="{D5B10861-EF87-4FD6-B8DF-8E4DAB906147}"/>
    <cellStyle name="0.0%" xfId="1115" xr:uid="{01351707-BF13-4658-99CE-03287EDD5708}"/>
    <cellStyle name="0.0_CASH FLOW" xfId="1116" xr:uid="{60581873-8C12-4FA1-94F7-EAD428466014}"/>
    <cellStyle name="0.00%" xfId="1117" xr:uid="{9D85F316-D863-4631-9CBC-8F96296FD66F}"/>
    <cellStyle name="0.00;(0.00)" xfId="1118" xr:uid="{EBEE4601-2346-444A-8DFC-9BAADFDF427D}"/>
    <cellStyle name="0.00_);(0.00)" xfId="1119" xr:uid="{19D883BB-A190-403B-9F82-E16C7E1BC909}"/>
    <cellStyle name="1" xfId="1120" xr:uid="{55014315-B39C-45EA-9379-9B188BD0F8DB}"/>
    <cellStyle name="1 Decimal" xfId="1121" xr:uid="{97BC1AD9-12B3-4AAB-A5FB-8799990857BA}"/>
    <cellStyle name="1,000" xfId="1122" xr:uid="{9F19BDA2-3061-441B-A626-FB60F1DD7373}"/>
    <cellStyle name="1,000x" xfId="1123" xr:uid="{6B7B332C-5E8F-40EF-AE46-E7D5CA7F5D79}"/>
    <cellStyle name="2 Decimals" xfId="1124" xr:uid="{E4EED062-DE4D-4A8E-970D-EB26FE6EC440}"/>
    <cellStyle name="20% - Accent1 2" xfId="55" xr:uid="{40CBEAEC-5C41-4505-A14C-9A88D5049717}"/>
    <cellStyle name="20% - Accent2 2" xfId="56" xr:uid="{C4FD8AB5-3D12-4A47-893F-1011D4AF6F50}"/>
    <cellStyle name="20% - Accent3 2" xfId="57" xr:uid="{861FF324-07C1-4C5A-81DD-38DCC212FEDB}"/>
    <cellStyle name="20% - Accent4 2" xfId="58" xr:uid="{49734BEB-4E9D-4024-9014-818E94B7A1B7}"/>
    <cellStyle name="20% - Accent5 2" xfId="59" xr:uid="{8C9815CF-D1D8-43FB-B897-5C8DCC2C37B0}"/>
    <cellStyle name="20% - Accent6 2" xfId="60" xr:uid="{3820D2D2-5574-44F2-9CB1-500E664D014D}"/>
    <cellStyle name="3 Decimals" xfId="1125" xr:uid="{E021DDC0-51CA-482F-9945-9ABFD8C38278}"/>
    <cellStyle name="40% - Accent1 2" xfId="61" xr:uid="{8E0550F0-187F-4274-ADC0-5A4FE36FDDEF}"/>
    <cellStyle name="40% - Accent2 2" xfId="1370" xr:uid="{539D3FBC-1165-4BF7-B565-ECA226D2F698}"/>
    <cellStyle name="40% - Accent2 2 2" xfId="1371" xr:uid="{D440C9A5-404D-4861-B90E-10CACCAE7D00}"/>
    <cellStyle name="40% - Accent2 3" xfId="62" xr:uid="{DAA4FA52-14FF-41AF-A0A7-CEA9ADD2A1FA}"/>
    <cellStyle name="40% - Accent3 2" xfId="63" xr:uid="{7CD3E537-A364-4D66-9B68-1F17F9A5668E}"/>
    <cellStyle name="40% - Accent4 2" xfId="64" xr:uid="{64388313-7B1B-4C73-A6A4-946EE2E2D3F5}"/>
    <cellStyle name="40% - Accent5 2" xfId="65" xr:uid="{6D407044-C3D8-460C-9EC9-76655FA3165F}"/>
    <cellStyle name="40% - Accent6 2" xfId="66" xr:uid="{D692CCDE-997D-46D4-8D06-0143997940B7}"/>
    <cellStyle name="60% - Accent1 2" xfId="67" xr:uid="{0DD61176-F451-4DAC-B3E0-ED12C8B98939}"/>
    <cellStyle name="60% - Accent2 2" xfId="68" xr:uid="{53EF9001-53E3-4743-A40D-57B97A31E506}"/>
    <cellStyle name="60% - Accent3 2" xfId="69" xr:uid="{9A6CED33-1D09-496F-AD3D-AD51AE275DEB}"/>
    <cellStyle name="60% - Accent4 2" xfId="70" xr:uid="{D2DDFBCC-433D-4EA5-9066-8D38EED9F073}"/>
    <cellStyle name="60% - Accent5 2" xfId="71" xr:uid="{9603E37D-A98C-4AF3-A79C-0AC9651D6AB2}"/>
    <cellStyle name="60% - Accent6 2" xfId="72" xr:uid="{F92D429E-501A-468D-AEEA-B6A64FFE1376}"/>
    <cellStyle name="a" xfId="1126" xr:uid="{A64AA0B1-2903-4641-B8AE-516AF38BE9A2}"/>
    <cellStyle name="A Table" xfId="1127" xr:uid="{1F0885D4-2B8F-4D35-9159-407D8FC6676C}"/>
    <cellStyle name="A$2places" xfId="1128" xr:uid="{49FF142E-611C-4D6F-BB8F-E4B832001E9F}"/>
    <cellStyle name="A$3places" xfId="1129" xr:uid="{180173B4-07A7-482F-9721-935C77C298B8}"/>
    <cellStyle name="a_CASH FLOW" xfId="1130" xr:uid="{0797A3C1-4524-407F-8252-22116F54D9E4}"/>
    <cellStyle name="a_NPAT&amp;EPS" xfId="1131" xr:uid="{C5F59A8C-0781-4267-A425-4F51FBCD50DD}"/>
    <cellStyle name="Accent1 2" xfId="73" xr:uid="{BEAA90BF-1DC3-445A-B53B-B180E898EEF0}"/>
    <cellStyle name="Accent2 2" xfId="74" xr:uid="{200E063D-70AA-40BA-AB65-298BD7956B91}"/>
    <cellStyle name="Accent3 2" xfId="75" xr:uid="{D4CADAD8-647A-41E1-B3B6-58E36450EF9A}"/>
    <cellStyle name="Accent4 2" xfId="76" xr:uid="{3B40AFA6-126D-4636-90FC-BC60D9330782}"/>
    <cellStyle name="Accent5 2" xfId="77" xr:uid="{5DEA05EB-958F-4D88-9645-320823075A7B}"/>
    <cellStyle name="Accent6 2" xfId="78" xr:uid="{9BAE3400-3636-4DBC-9C33-62E9C94B163B}"/>
    <cellStyle name="Actual data" xfId="333" xr:uid="{ECE1CE14-BB4C-40D4-A145-FCA8E81BDC79}"/>
    <cellStyle name="Actual year" xfId="334" xr:uid="{A2663345-5E2A-42A3-958A-52EB90204A00}"/>
    <cellStyle name="Actuals Cells" xfId="335" xr:uid="{FD02CDBC-AF94-4118-A5BE-111A866E1A8E}"/>
    <cellStyle name="Adj L1" xfId="1132" xr:uid="{D9E4737A-F024-4506-81C1-01613201619F}"/>
    <cellStyle name="Adj L2" xfId="1133" xr:uid="{E625CA9C-2C91-43EB-A442-8D286069E6E1}"/>
    <cellStyle name="Adj L3" xfId="1134" xr:uid="{CED8B9D3-9E5C-40F0-8698-53F3548F385B}"/>
    <cellStyle name="Adj Space" xfId="1135" xr:uid="{FE4F691A-97E9-43B5-BCC4-528645A1F35E}"/>
    <cellStyle name="AFE" xfId="336" xr:uid="{3614936A-00A7-4E78-BF34-BA395646C4BA}"/>
    <cellStyle name="afl" xfId="337" xr:uid="{88EE960B-BA16-4C4D-9FAB-B3F350F5AFFB}"/>
    <cellStyle name="Analyst_Data" xfId="1136" xr:uid="{469543AE-E975-4F1B-8961-85AB8E47CD9A}"/>
    <cellStyle name="Andre's Title" xfId="338" xr:uid="{D55272BF-ECF0-4458-A03A-B719AB436A99}"/>
    <cellStyle name="Arial" xfId="1137" xr:uid="{E9790537-9DE2-4903-BECB-71D78F746753}"/>
    <cellStyle name="Arial 10" xfId="1138" xr:uid="{BBD9CF28-6809-4F3F-A435-10B07A907F28}"/>
    <cellStyle name="B Table" xfId="1139" xr:uid="{4DDD10C3-4371-44AE-8C65-4CFA5B81E117}"/>
    <cellStyle name="Bad 2" xfId="129" xr:uid="{34EEBF6C-F9EB-4E3F-9A3F-AFF0717E8B6B}"/>
    <cellStyle name="Bad 2 2" xfId="1372" xr:uid="{FE3C79D7-1019-4769-B345-83A3FB5D61FB}"/>
    <cellStyle name="Bad 2 3" xfId="1373" xr:uid="{B7541415-1E2E-4A3C-8218-C315BE8A7E4C}"/>
    <cellStyle name="Bad 3" xfId="79" xr:uid="{FDB7C0C7-995C-4173-9102-E8AED4C54B60}"/>
    <cellStyle name="BalanceSheet" xfId="1140" xr:uid="{7878E288-C46F-4393-BC63-0F28A85A3224}"/>
    <cellStyle name="Black" xfId="1141" xr:uid="{7AAF71B7-8B35-490F-BCAD-BC83EBE8CF53}"/>
    <cellStyle name="Blank" xfId="339" xr:uid="{EF291668-4967-4C84-8D7E-38A5164A1F04}"/>
    <cellStyle name="Blue" xfId="340" xr:uid="{55BE0775-A612-48B4-8D7B-13CC6EC4E188}"/>
    <cellStyle name="Blue Title" xfId="341" xr:uid="{983E2C25-A14F-4FE7-8B93-2DF3C1F1C82C}"/>
    <cellStyle name="Border_Current" xfId="1142" xr:uid="{60B2D879-CF39-46B2-A8B8-3E9A1D463EE4}"/>
    <cellStyle name="Bottom bold border_Schedule 1" xfId="1143" xr:uid="{FFC044B6-C528-4D31-B4D1-A1D087B5444F}"/>
    <cellStyle name="BRACKET" xfId="1144" xr:uid="{1E8254A1-10CD-4C40-81E1-09071AF0FEF2}"/>
    <cellStyle name="c" xfId="1145" xr:uid="{9B68EC97-5953-4B5A-AA52-E7D6839A38E9}"/>
    <cellStyle name="Calc Cells" xfId="342" xr:uid="{E1820CDA-51AD-4D07-B9F3-B08D66E598A3}"/>
    <cellStyle name="Calc Currency (0)" xfId="1146" xr:uid="{C0F6ADEE-139A-487D-8D0A-C3146F1C89FC}"/>
    <cellStyle name="Calculation 2" xfId="80" xr:uid="{60FED7BC-D74E-455C-8980-B7D394333CC8}"/>
    <cellStyle name="Case" xfId="343" xr:uid="{1EDD40EC-C2A7-4052-8B89-4C9FF7D33AC7}"/>
    <cellStyle name="CashFlow" xfId="1147" xr:uid="{D14FFAE7-286F-48BE-9FCA-BC4B293C54C7}"/>
    <cellStyle name="Check Cell 2" xfId="81" xr:uid="{8C05E86F-B89E-4D3C-93B8-12067B5571B4}"/>
    <cellStyle name="Co. Names" xfId="344" xr:uid="{7C5C2A91-1E4A-42DD-A077-037FC2C7FB4A}"/>
    <cellStyle name="Co. Names - Bold" xfId="345" xr:uid="{4852D780-F9BC-4F09-8A1B-AC1F6B6C6242}"/>
    <cellStyle name="Co. Names_Blend" xfId="346" xr:uid="{B9F641A8-3277-4E99-BAF1-5A91F64F48F8}"/>
    <cellStyle name="Code" xfId="1148" xr:uid="{5C4F2E90-17A3-4582-B98A-62F53A308706}"/>
    <cellStyle name="Code Section" xfId="1149" xr:uid="{F7C650D0-C558-4A51-8D46-5C5EB9C8B3CF}"/>
    <cellStyle name="Col Head" xfId="347" xr:uid="{4E39E258-D8EC-477C-88D5-0CD5144E2CDE}"/>
    <cellStyle name="Col head bold" xfId="1150" xr:uid="{5B3EB357-39E4-4627-BA52-062CFFB9B0FC}"/>
    <cellStyle name="Col head light" xfId="1151" xr:uid="{34B3FF73-82A7-4B92-A28F-C025F5988DFC}"/>
    <cellStyle name="ColGap" xfId="1152" xr:uid="{331C5B71-0B92-4519-8D4E-F0C5F13CB6F1}"/>
    <cellStyle name="ColHeadEntry" xfId="1153" xr:uid="{90B1FB49-E5B1-44C2-ADF8-3E355B2C00EC}"/>
    <cellStyle name="ColHeading" xfId="1154" xr:uid="{A7B9461A-603F-4A55-8A63-AE8E48024926}"/>
    <cellStyle name="ColHeadYear" xfId="1155" xr:uid="{54F1AA8C-D5AD-41E6-B0A0-2A783FF078DC}"/>
    <cellStyle name="Comma" xfId="1585" builtinId="3"/>
    <cellStyle name="Comma  - Style1" xfId="1156" xr:uid="{63592DD8-4C39-43B0-97A7-2051AF278BF7}"/>
    <cellStyle name="Comma  - Style2" xfId="1157" xr:uid="{4607E0A6-F936-49F3-AF17-54875C848E8A}"/>
    <cellStyle name="Comma  - Style3" xfId="1158" xr:uid="{1C36D6FA-6D3E-4504-904B-BAF7B1570B4A}"/>
    <cellStyle name="Comma  - Style4" xfId="1159" xr:uid="{11EA1BCD-C508-4799-B21E-60C5AA82FC66}"/>
    <cellStyle name="Comma  - Style5" xfId="1160" xr:uid="{F28D6717-1A56-4E05-93F3-2A7D0F2D3419}"/>
    <cellStyle name="Comma  - Style6" xfId="1161" xr:uid="{D54D6F33-7610-47E0-96D9-AE307FC7CF30}"/>
    <cellStyle name="Comma  - Style7" xfId="1162" xr:uid="{97F92958-772D-44E7-BA44-1233B7EFF557}"/>
    <cellStyle name="Comma  - Style8" xfId="1163" xr:uid="{16630750-650E-49A0-830A-FF2ACAB2BEDE}"/>
    <cellStyle name="comma (1)" xfId="1164" xr:uid="{0FBE5B3D-7764-42C1-B535-A84A58C172D8}"/>
    <cellStyle name="Comma [0] 2" xfId="1374" xr:uid="{29560C4D-5996-4AA0-9F8A-19DA3E770A1F}"/>
    <cellStyle name="Comma [0] 3" xfId="1428" xr:uid="{4E770B71-D2D8-4254-8FB8-2836D8C2D9AA}"/>
    <cellStyle name="Comma [1]" xfId="1165" xr:uid="{8AEBFE86-1069-4E95-9033-11CC4F1BBF01}"/>
    <cellStyle name="Comma 0" xfId="1166" xr:uid="{4FF693BA-BC6A-45B9-A74B-651125DC545C}"/>
    <cellStyle name="Comma 0*" xfId="1167" xr:uid="{DA5898E3-4101-4AF3-A03A-1CC488C32A7C}"/>
    <cellStyle name="Comma 0_ACCC" xfId="1168" xr:uid="{3055A49D-C22B-4212-B02F-ADD3786C1FB7}"/>
    <cellStyle name="Comma 10" xfId="1427" xr:uid="{B7A74DD1-A0B7-43B3-ABE4-7E98539B8D87}"/>
    <cellStyle name="Comma 11" xfId="1433" xr:uid="{F1F490A6-0291-4F12-862A-7CB9C250BF0B}"/>
    <cellStyle name="Comma 12" xfId="82" xr:uid="{3C6372D2-A80C-493F-8ADE-DB47CF007241}"/>
    <cellStyle name="Comma 13" xfId="1438" xr:uid="{9F0C9437-2CE1-47F6-8C87-AD7D2489AFF8}"/>
    <cellStyle name="Comma 14" xfId="1519" xr:uid="{FCF5D22E-F69E-416B-8711-1B4FCA12AF55}"/>
    <cellStyle name="Comma 15" xfId="1436" xr:uid="{1626FD4A-7CAB-4DAA-BE5B-D84A01AC743E}"/>
    <cellStyle name="Comma 16" xfId="1477" xr:uid="{73FE6049-9DA5-4CD8-AC95-C8C1BDED10E8}"/>
    <cellStyle name="Comma 17" xfId="1455" xr:uid="{D7A204D6-BC3D-4770-8E55-4EFE181CA494}"/>
    <cellStyle name="Comma 18" xfId="1481" xr:uid="{5EF66C55-9E56-44A4-8114-815F0830D64A}"/>
    <cellStyle name="Comma 19" xfId="1488" xr:uid="{B4A160DF-4265-4C51-BCA8-FFC90C36E0DC}"/>
    <cellStyle name="Comma 2" xfId="425" xr:uid="{828587AA-2E76-439D-BE8F-9871D511A53D}"/>
    <cellStyle name="Comma 2 2" xfId="1169" xr:uid="{81CCA388-159C-4D16-BA01-DDC0EA8401BA}"/>
    <cellStyle name="Comma 2 3" xfId="1375" xr:uid="{DC050305-1807-4511-8BF5-77B6BD10787E}"/>
    <cellStyle name="Comma 20" xfId="1485" xr:uid="{D666CB6A-1A48-4A35-8974-BD462B772695}"/>
    <cellStyle name="Comma 21" xfId="1453" xr:uid="{FDFA6832-72ED-46E3-9DEC-C0B0D1EE47A3}"/>
    <cellStyle name="Comma 22" xfId="1487" xr:uid="{F79E3534-3A0B-4E0A-8898-82FD5DA4CCDE}"/>
    <cellStyle name="Comma 23" xfId="1451" xr:uid="{40DBD3C6-C2D7-470E-9966-EFAC85BD7547}"/>
    <cellStyle name="Comma 24" xfId="1510" xr:uid="{9E2F4DB3-0E55-4D94-83C0-4EC64BC07708}"/>
    <cellStyle name="Comma 25" xfId="1446" xr:uid="{1CA04271-5E7B-48F2-84A2-CEF1DB38F350}"/>
    <cellStyle name="Comma 26" xfId="1532" xr:uid="{0095694E-6A27-4863-B711-3AEC0868E312}"/>
    <cellStyle name="Comma 27" xfId="1549" xr:uid="{9F73F1F4-4AC6-4246-8673-58826C787C2F}"/>
    <cellStyle name="Comma 28" xfId="1529" xr:uid="{89E57E7C-3809-4500-B91A-C956CD5BC08D}"/>
    <cellStyle name="Comma 29" xfId="1531" xr:uid="{9F63A434-F727-449A-BAD7-EBEDCCAA6435}"/>
    <cellStyle name="Comma 3" xfId="1376" xr:uid="{838DD8FB-8055-4E20-BFE1-41286AA5198C}"/>
    <cellStyle name="Comma 3 2" xfId="1377" xr:uid="{0A6DD0B6-F82F-49A7-8626-EC11E1C013F2}"/>
    <cellStyle name="Comma 30" xfId="1553" xr:uid="{293B65EE-F2C6-4506-ABA7-B2AD2913AD4D}"/>
    <cellStyle name="Comma 31" xfId="1544" xr:uid="{8D039F1F-BA34-455C-9087-54401BA3806A}"/>
    <cellStyle name="Comma 32" xfId="1578" xr:uid="{DB110AB8-8752-487C-9FDB-6C0237402D3A}"/>
    <cellStyle name="Comma 33" xfId="1566" xr:uid="{EE184A34-A1CF-485A-A20C-863A9D820AE9}"/>
    <cellStyle name="Comma 34" xfId="1547" xr:uid="{4EDE4169-FA89-4E1B-93B2-79548CFA220C}"/>
    <cellStyle name="Comma 35" xfId="1569" xr:uid="{532C5CE4-CA9B-45A2-BD5D-DF6AAB889EBE}"/>
    <cellStyle name="Comma 36" xfId="1588" xr:uid="{E97FBAB5-9D98-419F-A4AF-046FF535BBB4}"/>
    <cellStyle name="Comma 37" xfId="1587" xr:uid="{26B4EB1A-D7EC-4FC0-A499-D31251F46AFC}"/>
    <cellStyle name="Comma 4" xfId="1378" xr:uid="{AFFF005D-5401-41AB-B3DE-32A5C82DE9A1}"/>
    <cellStyle name="Comma 5" xfId="1379" xr:uid="{43D3CBD0-B90E-4D5A-A017-9D708972ACEF}"/>
    <cellStyle name="Comma 6" xfId="1380" xr:uid="{10F388C1-CBED-4C43-92F8-F4C1B778983E}"/>
    <cellStyle name="Comma 7" xfId="1381" xr:uid="{B6FE190D-4EB0-49B3-AC36-ACC518F62D82}"/>
    <cellStyle name="Comma 8" xfId="1382" xr:uid="{1181EC69-EBFD-45BE-B9CA-7EA9098AE510}"/>
    <cellStyle name="Comma 9" xfId="1383" xr:uid="{3BFF5CA8-34B3-4F56-9594-9C717A1E84FF}"/>
    <cellStyle name="Comma(0)" xfId="1170" xr:uid="{CF591F5C-844B-4038-9613-A5D876E8CA23}"/>
    <cellStyle name="Comma(1)" xfId="1171" xr:uid="{B6EE424B-3298-46CD-AF7F-69914BF5E00A}"/>
    <cellStyle name="comma(2)" xfId="1172" xr:uid="{BF40C405-8A32-4846-B96C-E5EB8B146F0C}"/>
    <cellStyle name="Comma(3)" xfId="1173" xr:uid="{82E1C3B3-A65F-4D5E-86CA-04431B1B2A23}"/>
    <cellStyle name="Comma0" xfId="348" xr:uid="{3AE5EB9F-56AE-4222-9B83-6F1105193E2F}"/>
    <cellStyle name="Company" xfId="1174" xr:uid="{0CB3DA7A-9C88-4E3D-881A-B6885B4234A4}"/>
    <cellStyle name="Company name" xfId="349" xr:uid="{442076D0-42B7-4D4C-A992-36926831C166}"/>
    <cellStyle name="CompanyTitle" xfId="350" xr:uid="{D35C54D7-B2D1-4D7B-87F3-897E147B0619}"/>
    <cellStyle name="Copied" xfId="1175" xr:uid="{55EC9915-79AC-429F-8DA2-CA70E8664B31}"/>
    <cellStyle name="Cover Date" xfId="1176" xr:uid="{A1F1D8A9-F197-424E-9FF5-AC92CB9346C7}"/>
    <cellStyle name="Cover Subtitle" xfId="1177" xr:uid="{FA92A140-99B3-4B68-BB82-6256EE3C9F7E}"/>
    <cellStyle name="Cover Title" xfId="1178" xr:uid="{992C59D2-1C6F-4CD9-9371-ACA900A215B5}"/>
    <cellStyle name="CurRatio" xfId="1179" xr:uid="{97EB38DD-838B-4A20-9AE6-9B36C3DC085F}"/>
    <cellStyle name="Currency [0] 2" xfId="1384" xr:uid="{D8491243-1CC4-4641-A013-857552407A15}"/>
    <cellStyle name="Currency [0] 3" xfId="1426" xr:uid="{1D3C4DE8-A6B4-4A15-9679-D5FE91883093}"/>
    <cellStyle name="Currency [2]" xfId="351" xr:uid="{5276F9E5-EA2E-404E-84FF-8A84A27464D5}"/>
    <cellStyle name="Currency 0" xfId="1180" xr:uid="{8BC980C5-F8D7-4D05-998F-940A335FD000}"/>
    <cellStyle name="Currency 0.0" xfId="1181" xr:uid="{1CC17397-992D-4E19-8CF9-EE4B095245F7}"/>
    <cellStyle name="Currency 0_CASH FLOW" xfId="1182" xr:uid="{AB096907-E084-4AEB-90AC-66EEE053AE69}"/>
    <cellStyle name="Currency 10" xfId="1425" xr:uid="{7E42D41C-CD50-4723-8D75-037B28AA58B8}"/>
    <cellStyle name="Currency 11" xfId="1432" xr:uid="{22D25CA7-8D98-4ADB-B2C5-B1BB9667290F}"/>
    <cellStyle name="Currency 12" xfId="83" xr:uid="{CBF6B7B7-33CB-47F3-AA92-9D1CC19582F2}"/>
    <cellStyle name="Currency 13" xfId="1439" xr:uid="{2EDE4555-843A-42B8-B85B-2D1C6E38A12D}"/>
    <cellStyle name="Currency 14" xfId="1518" xr:uid="{31EA2CCD-992C-4A52-9D7A-F1C5A68279DE}"/>
    <cellStyle name="Currency 15" xfId="1437" xr:uid="{B25AF0A7-464A-48C7-B97B-2AF5D1410AE5}"/>
    <cellStyle name="Currency 16" xfId="1476" xr:uid="{8E81B17D-2456-4C09-82E7-6ED894024FC8}"/>
    <cellStyle name="Currency 17" xfId="1515" xr:uid="{98DDDA58-84E2-4F17-B8F8-AF21B45A9E1E}"/>
    <cellStyle name="Currency 18" xfId="1450" xr:uid="{E6D0440D-E1E6-4B2F-B72A-FF321E69624B}"/>
    <cellStyle name="Currency 19" xfId="1489" xr:uid="{94A03400-242E-4489-BA61-B6DD6D693978}"/>
    <cellStyle name="Currency 2" xfId="426" xr:uid="{8BB45B45-B9EC-472A-B397-BD522CBC85C1}"/>
    <cellStyle name="Currency 2 2" xfId="1385" xr:uid="{5D6A3E5D-AEAA-41DA-A09E-FA99FA2A204B}"/>
    <cellStyle name="Currency 20" xfId="1484" xr:uid="{2FAA13D3-66A1-4924-91BB-52337F6A91BC}"/>
    <cellStyle name="Currency 21" xfId="1454" xr:uid="{98583289-0F44-491A-BBAB-145D5F678569}"/>
    <cellStyle name="Currency 22" xfId="1486" xr:uid="{B142BECE-2D07-443C-9890-05AB019AB88D}"/>
    <cellStyle name="Currency 23" xfId="1452" xr:uid="{A501B726-0B3D-4E63-AB66-BB51C3A22C0A}"/>
    <cellStyle name="Currency 24" xfId="1505" xr:uid="{94EEE7FE-1F16-4018-B296-D488AFC2529B}"/>
    <cellStyle name="Currency 25" xfId="1472" xr:uid="{6595161A-986A-42E1-A3F6-10199E444225}"/>
    <cellStyle name="Currency 26" xfId="1533" xr:uid="{AC24E895-154C-4462-ABF8-744D02CB3E30}"/>
    <cellStyle name="Currency 27" xfId="1537" xr:uid="{1DE6C8E0-160A-467A-AF86-050FAE6880A0}"/>
    <cellStyle name="Currency 28" xfId="1579" xr:uid="{EA257333-4DE7-4B7C-835A-B7C6EAD25D05}"/>
    <cellStyle name="Currency 29" xfId="1571" xr:uid="{35B29E68-22F4-4C53-AEF1-C924A7A8115D}"/>
    <cellStyle name="Currency 3" xfId="1386" xr:uid="{5F22C640-6921-47F9-93C7-0CC07F2D8A82}"/>
    <cellStyle name="Currency 3 2" xfId="1387" xr:uid="{C46B2F54-DEAC-43F9-B370-E3114C834945}"/>
    <cellStyle name="Currency 30" xfId="1557" xr:uid="{285C606E-1CA4-4C00-966E-F3045FC0C2FA}"/>
    <cellStyle name="Currency 31" xfId="1564" xr:uid="{572280B2-52A1-48B3-850B-08A00F387B77}"/>
    <cellStyle name="Currency 32" xfId="1576" xr:uid="{EAAA927B-5A0C-4270-9434-6EDC7EE43988}"/>
    <cellStyle name="Currency 33" xfId="1538" xr:uid="{6075CD98-6856-4FB5-950B-0260D0DA24EC}"/>
    <cellStyle name="Currency 34" xfId="1556" xr:uid="{A003E13A-E2DD-4B4F-A597-CF8B80F5C4C5}"/>
    <cellStyle name="Currency 35" xfId="1534" xr:uid="{F9AA3100-6F69-4DC4-BBBA-88BBC80CFA0B}"/>
    <cellStyle name="Currency 4" xfId="1388" xr:uid="{443F4C01-B344-45A3-9F71-FE9C113683E6}"/>
    <cellStyle name="Currency 5" xfId="1389" xr:uid="{27EF20C2-3770-45FC-B93B-0D20AD442AD1}"/>
    <cellStyle name="Currency 6" xfId="1390" xr:uid="{079A3C75-B56F-47B6-B58A-CFBE1D650B56}"/>
    <cellStyle name="Currency 7" xfId="1391" xr:uid="{9946E9C4-C55F-4DF6-B1FC-200258E15BFE}"/>
    <cellStyle name="Currency 8" xfId="1392" xr:uid="{FEA06314-1419-4061-8113-718582D7AB01}"/>
    <cellStyle name="Currency 9" xfId="1393" xr:uid="{8B49F528-15DE-4C1C-ACFE-D92E34B0FF61}"/>
    <cellStyle name="Currency data 2" xfId="1183" xr:uid="{4E176857-F891-46F6-ADF9-A8197E9F5263}"/>
    <cellStyle name="currency(0)" xfId="1184" xr:uid="{D78C7DC8-7485-4938-99CF-F79AB1CA4DCF}"/>
    <cellStyle name="Currency(1)" xfId="1185" xr:uid="{E924B200-E444-418A-BC5F-75BB9E08EE6C}"/>
    <cellStyle name="Currency(2)" xfId="1186" xr:uid="{E60912D2-86E9-409F-ACB9-1DD138EA45B6}"/>
    <cellStyle name="Currency(2) 2" xfId="1500" xr:uid="{21143EA5-067D-4427-BC2B-0F69FD933FC5}"/>
    <cellStyle name="Currency0" xfId="352" xr:uid="{90EBE0B0-FEDA-4968-9DB5-EE553350E5C9}"/>
    <cellStyle name="Currency2" xfId="1187" xr:uid="{08618C68-F4FB-4A79-9807-3EE98CCCF723}"/>
    <cellStyle name="custom" xfId="1188" xr:uid="{0A25F46E-0C6A-4EFF-A526-AF9C64CEDB18}"/>
    <cellStyle name="D Table" xfId="1189" xr:uid="{48B0B4CA-C5D4-4228-864C-4A6B7830BA5B}"/>
    <cellStyle name="Data 0" xfId="1190" xr:uid="{EEB36A07-937F-4498-91AD-747B0CAF91E8}"/>
    <cellStyle name="Data 1" xfId="1191" xr:uid="{C5A4B460-C95C-4617-800C-7F1BF8B44AAC}"/>
    <cellStyle name="Data 2" xfId="1192" xr:uid="{115B2DFF-FD84-4861-B3D0-1AE4C1AB47B2}"/>
    <cellStyle name="Data est 0" xfId="1193" xr:uid="{41177518-06E8-4C22-8221-1B0BBB13F9AC}"/>
    <cellStyle name="Data est 1" xfId="1194" xr:uid="{23FEA1A9-8AAD-4FEB-AD30-C5E7252740B5}"/>
    <cellStyle name="Data est 2" xfId="1195" xr:uid="{C77C93BB-E7BB-4C6B-93C3-2C8637697845}"/>
    <cellStyle name="Data_0dp" xfId="1196" xr:uid="{E5E54A30-187F-4022-88F3-5A8A6B581960}"/>
    <cellStyle name="date" xfId="353" xr:uid="{A24B11F5-0DC9-47A1-A915-9DCBCD2597BE}"/>
    <cellStyle name="Date [mmm-yy]" xfId="1197" xr:uid="{6F250770-25AB-4B75-85A4-7F719DCE96CC}"/>
    <cellStyle name="Date 2" xfId="1198" xr:uid="{3882B420-B7FB-475B-A547-A9DDA695EB2E}"/>
    <cellStyle name="Date Aligned" xfId="1199" xr:uid="{F4F99AF1-BA86-494B-BCA5-66D6C68EE7F1}"/>
    <cellStyle name="Date dd-mm-yy" xfId="1200" xr:uid="{694EC049-2BAF-425C-855B-0A878B325617}"/>
    <cellStyle name="Date dd-mm-yy data" xfId="1201" xr:uid="{629D8C2A-FBC4-4201-A146-6B57E3D364C9}"/>
    <cellStyle name="Date Line" xfId="1202" xr:uid="{2ECF4147-8BFB-4A66-A049-E86AAB0F9C7E}"/>
    <cellStyle name="date_GSJBW NWS Other" xfId="1203" xr:uid="{7865F4CC-77F6-4CE8-8940-565EBC1588CB}"/>
    <cellStyle name="Dates" xfId="1204" xr:uid="{D4B03F27-085D-4BE6-A744-B1780D95169D}"/>
    <cellStyle name="DateYear" xfId="1205" xr:uid="{89EFB46A-E39B-4FD7-9BFE-3FB2229A9D10}"/>
    <cellStyle name="days" xfId="1206" xr:uid="{E276BE97-7EF6-48A2-9366-F8578ABDEECF}"/>
    <cellStyle name="Dec_0" xfId="1207" xr:uid="{41AAC0C4-8482-4969-8CCD-EA8230D28B0E}"/>
    <cellStyle name="default" xfId="354" xr:uid="{BF4794E3-A9AF-46E9-AEF4-BD6C34F9C19E}"/>
    <cellStyle name="Derive" xfId="1208" xr:uid="{A1CEF697-9350-4536-BBE4-5F273D2447FB}"/>
    <cellStyle name="Dollar" xfId="355" xr:uid="{7A53DF73-7FBA-4E7C-AAA4-E429CDF438E5}"/>
    <cellStyle name="DollarWhole" xfId="1209" xr:uid="{C8A065E9-FE46-4942-A1A4-D99D02495ED5}"/>
    <cellStyle name="Dotted Line" xfId="1210" xr:uid="{24FF8F65-C7A1-4E50-8746-D8F8D116C90F}"/>
    <cellStyle name="Duizenden" xfId="1211" xr:uid="{5233CDCF-10EA-4769-9D2F-E914B0EE19DE}"/>
    <cellStyle name="E" xfId="1212" xr:uid="{EBA767C5-6EE1-4C5E-899F-10E1B4F8813A}"/>
    <cellStyle name="E 2" xfId="1502" xr:uid="{F70886E3-EC35-4385-815C-7BFBF7D01672}"/>
    <cellStyle name="E_CASH FLOW" xfId="1213" xr:uid="{89D51EF0-7224-4E5E-A6DB-458FA5BAB641}"/>
    <cellStyle name="E_CASH FLOW 2" xfId="1503" xr:uid="{8FFD20CD-3299-428F-958E-E7B5EE164B1C}"/>
    <cellStyle name="E_NPAT&amp;EPS" xfId="1214" xr:uid="{EE7FC837-0038-4CC8-AB9C-B3EC7CB3A922}"/>
    <cellStyle name="E_NPAT&amp;EPS 2" xfId="1504" xr:uid="{A94B749E-2538-4422-A1D9-55D0EFC46F2A}"/>
    <cellStyle name="emp" xfId="356" xr:uid="{9A6F0A29-903F-40ED-AEC1-E54871E018EB}"/>
    <cellStyle name="Entered" xfId="1215" xr:uid="{35FC15FA-60F5-421C-B64F-AB916B901700}"/>
    <cellStyle name="Entries" xfId="1216" xr:uid="{3DF73D5A-6E78-4780-B7A3-3BA4A76D90B8}"/>
    <cellStyle name="Entry" xfId="1217" xr:uid="{7EA71181-7B46-4C8A-A313-AE5C5BBBC4E0}"/>
    <cellStyle name="EntryDesc" xfId="1218" xr:uid="{0C731814-5218-4A06-B260-F287D6FE6345}"/>
    <cellStyle name="EntryValue" xfId="1219" xr:uid="{31D081A5-FAD0-429E-A03F-4FE5CB02DA27}"/>
    <cellStyle name="EPS" xfId="1220" xr:uid="{EB69180C-50CC-4CE8-920F-B7A3485655C0}"/>
    <cellStyle name="EPSActual" xfId="1221" xr:uid="{63283E05-D083-4997-A3C0-74C60D1CA55A}"/>
    <cellStyle name="EPSEstimate" xfId="1222" xr:uid="{E43428F4-4D2A-4FB3-A82D-FB706B525220}"/>
    <cellStyle name="Euro" xfId="1223" xr:uid="{5B093725-2994-41CD-8AF0-CD37EF1BDF8A}"/>
    <cellStyle name="ExchRate" xfId="1224" xr:uid="{A2F3847B-F4E4-4E92-9C60-6669AB74BA39}"/>
    <cellStyle name="Explanatory Text 2" xfId="84" xr:uid="{49516D3A-EAE3-4910-9ECB-65F8829C5533}"/>
    <cellStyle name="External File Cells" xfId="357" xr:uid="{321BD931-E82E-435D-B99E-3B725204B192}"/>
    <cellStyle name="FF" xfId="1225" xr:uid="{5A8FD5D9-7534-4ABF-B1B4-69DA4ED690CB}"/>
    <cellStyle name="Financial" xfId="1226" xr:uid="{BC80BC01-0332-4D72-A303-0354F05F109A}"/>
    <cellStyle name="Fit" xfId="358" xr:uid="{3864ABA4-E0C9-41CA-ABD6-005088A9ADD5}"/>
    <cellStyle name="Fixed" xfId="359" xr:uid="{965EDF8D-1246-4467-B912-E70FF8FD7524}"/>
    <cellStyle name="folio" xfId="1227" xr:uid="{AF429021-BD65-4AF4-B599-0FF45BD5A33C}"/>
    <cellStyle name="Font_Actual" xfId="1228" xr:uid="{4A262F31-ACA0-4687-AD08-3381C9EA6B10}"/>
    <cellStyle name="Footer SBILogo1" xfId="1229" xr:uid="{AF29CA08-73B8-4C25-A520-BA94FF35D1CE}"/>
    <cellStyle name="Footer SBILogo2" xfId="1230" xr:uid="{A442D63C-BB5C-45BA-84C0-95BB594B76F6}"/>
    <cellStyle name="Footnote" xfId="1231" xr:uid="{578A6524-B90D-4008-983E-46CAF8410E6A}"/>
    <cellStyle name="Footnote Reference" xfId="1232" xr:uid="{6171C11A-4721-455B-BD01-B6613CEE25AE}"/>
    <cellStyle name="Footnote_ACCC" xfId="1233" xr:uid="{76AAB785-6B4F-471E-B8F1-E71DF62956A5}"/>
    <cellStyle name="Footnotes" xfId="360" xr:uid="{D8B9BEA9-19EE-4D52-8006-C2873E02DCB8}"/>
    <cellStyle name="Forecast Cells" xfId="361" xr:uid="{5B36F224-2AE9-4686-8FAE-AF7299911D57}"/>
    <cellStyle name="Fraction" xfId="85" xr:uid="{77B81355-2FD0-401E-B1D9-24716CEF0273}"/>
    <cellStyle name="Full" xfId="1234" xr:uid="{4B661F66-3A2D-4317-8A42-4C5AA9926AD0}"/>
    <cellStyle name="Fyear" xfId="1235" xr:uid="{B091F43E-57FD-4F81-8643-23CA08E40761}"/>
    <cellStyle name="Fyear 2" xfId="1506" xr:uid="{B910349C-29D4-4994-A065-CF87710B5C27}"/>
    <cellStyle name="G1_1999 figures" xfId="362" xr:uid="{28E8F8CF-5225-45D2-A91E-5F334DDC24C2}"/>
    <cellStyle name="General" xfId="1236" xr:uid="{B6C7A9EA-2073-4D05-AECD-54AF2A1E0AD8}"/>
    <cellStyle name="GIRExhibit-Bold" xfId="1313" xr:uid="{7FA9571A-3949-42ED-9265-EE483AE3EABF}"/>
    <cellStyle name="Good 2" xfId="127" xr:uid="{44A7C03C-69EE-4BB6-A283-9D7519B652EC}"/>
    <cellStyle name="Good 2 2" xfId="1394" xr:uid="{A02EA616-0883-4A4D-B806-CD1CE31AE65F}"/>
    <cellStyle name="Good 3" xfId="86" xr:uid="{CC908BF2-CADA-4D45-B57C-E16E330F005E}"/>
    <cellStyle name="Grey" xfId="1237" xr:uid="{7126BE28-662F-479D-A8B7-205EB937BF90}"/>
    <cellStyle name="GrowthRate" xfId="1238" xr:uid="{0772A49E-E51A-4AF9-9649-12F10AC06760}"/>
    <cellStyle name="GrowthSeq" xfId="1239" xr:uid="{98E799F4-8F37-41D8-B115-305040BD4E13}"/>
    <cellStyle name="H_1998_col_head" xfId="363" xr:uid="{2DD26D1E-2FEE-4C37-A5F3-7385CE1F0188}"/>
    <cellStyle name="H_1999_col_head" xfId="364" xr:uid="{C888FD69-9731-4AEC-A174-CF0D128D457E}"/>
    <cellStyle name="H1_1998 figures" xfId="365" xr:uid="{06B7C719-3989-4E5D-AC75-85D46CACBD0C}"/>
    <cellStyle name="HALF" xfId="1240" xr:uid="{E13CC05A-E2D8-4039-9C02-A7DEA3F4DDD6}"/>
    <cellStyle name="hard no." xfId="1241" xr:uid="{001F056E-5ACD-4E4F-B3A4-3573989157B6}"/>
    <cellStyle name="Hard Percent" xfId="1242" xr:uid="{6D6390ED-A821-4A8C-8CD5-5F56B1E94C2D}"/>
    <cellStyle name="Head 1" xfId="1243" xr:uid="{718DB0B5-BFF2-4FB9-80DD-E572EFAC9513}"/>
    <cellStyle name="Head 2" xfId="1244" xr:uid="{FBCD72E3-B28A-46AF-BBBD-E1B7BC0D227F}"/>
    <cellStyle name="Head 3" xfId="1245" xr:uid="{97A6D9C7-012C-463A-B233-31BEA2ADA78C}"/>
    <cellStyle name="Header" xfId="87" xr:uid="{65F44B84-9589-4D48-BFD2-05FF811A07B6}"/>
    <cellStyle name="Header Draft Stamp" xfId="1246" xr:uid="{2EC94655-41E4-416E-9A95-9AC68F99EEDA}"/>
    <cellStyle name="Header_ACCC" xfId="1247" xr:uid="{E95EB769-F5D8-4783-8A73-8334229FF611}"/>
    <cellStyle name="Header1" xfId="1248" xr:uid="{3B9B164E-8B7C-450D-9CCB-BE7EEFE60120}"/>
    <cellStyle name="Header2" xfId="1249" xr:uid="{8FE35A6C-05E6-4202-AF92-F04DF8B86247}"/>
    <cellStyle name="Heading" xfId="366" xr:uid="{8E637B2B-5AEB-4D1A-8592-78778405ADAD}"/>
    <cellStyle name="Heading - Model" xfId="1250" xr:uid="{AFFC3841-5AB2-4F76-85F4-A9577E58EE34}"/>
    <cellStyle name="Heading 1 2" xfId="88" xr:uid="{F304E102-089E-4B37-ACDC-36319782B4FE}"/>
    <cellStyle name="Heading 2 2" xfId="89" xr:uid="{4DDEA7F7-1A58-4134-9A81-DDFF0C8AF632}"/>
    <cellStyle name="Heading 3 2" xfId="90" xr:uid="{E4202176-51AF-4C2D-B8C0-C34A84C52BD1}"/>
    <cellStyle name="Heading 4 2" xfId="91" xr:uid="{6EFA633B-ADEE-46F9-8662-3C7280CF99F4}"/>
    <cellStyle name="Heading1" xfId="367" xr:uid="{B74F652B-FF81-4B1D-B5BB-F5719CA8CEC1}"/>
    <cellStyle name="Heading2" xfId="1251" xr:uid="{683ABCA8-4B17-4106-B812-938F99A34EC3}"/>
    <cellStyle name="Hyperlink 2" xfId="1312" xr:uid="{773AD6A6-AF5C-4695-B580-2E91A32AD936}"/>
    <cellStyle name="Hyperlink 3" xfId="1311" xr:uid="{E6D19D26-2369-41FF-B66E-E7044D8B94CC}"/>
    <cellStyle name="Income" xfId="1252" xr:uid="{E3792ABB-CD57-4FE3-9436-85FBA6C883B9}"/>
    <cellStyle name="Input [yellow]" xfId="1253" xr:uid="{E4C2ED2E-5B5F-419A-9901-ED8B8E7A65C5}"/>
    <cellStyle name="Input 10" xfId="1462" xr:uid="{EDC9603C-05DE-4261-BA26-F5CD2769024E}"/>
    <cellStyle name="Input 11" xfId="1471" xr:uid="{61999FF2-44ED-45D8-A615-FFC1FE745E22}"/>
    <cellStyle name="Input 12" xfId="1458" xr:uid="{2698099D-3249-4E01-93A1-C34E51E32F03}"/>
    <cellStyle name="Input 13" xfId="1479" xr:uid="{CBD176FB-0013-4A2E-BB17-9728A5886F2C}"/>
    <cellStyle name="Input 14" xfId="1492" xr:uid="{7A9D414B-B68E-4EF9-B5DD-551F1D7277D6}"/>
    <cellStyle name="Input 15" xfId="1483" xr:uid="{C503383D-8C33-4F43-A61E-0D9BFAE0F385}"/>
    <cellStyle name="Input 16" xfId="1535" xr:uid="{7C354499-DA54-43FF-A059-8D0923F49285}"/>
    <cellStyle name="Input 17" xfId="1577" xr:uid="{26C6F38B-75D2-4D2E-8455-27C3C13AF2B7}"/>
    <cellStyle name="Input 18" xfId="1580" xr:uid="{B4AA62B8-C101-4DA6-8215-8ACFA30AD4E4}"/>
    <cellStyle name="Input 19" xfId="1572" xr:uid="{36EDECE2-A863-47DC-A922-77C25FDC2F8B}"/>
    <cellStyle name="Input 2" xfId="92" xr:uid="{4D2FC6E2-EECC-40E5-8769-80930A40DF7E}"/>
    <cellStyle name="Input 20" xfId="1563" xr:uid="{2BFDABD0-5AB7-436F-8607-DC98E55FFFA2}"/>
    <cellStyle name="Input 21" xfId="1567" xr:uid="{1E42BB11-5C6F-4829-B4DA-BDA3A9FB8B20}"/>
    <cellStyle name="Input 22" xfId="1559" xr:uid="{539235A4-61D8-42C0-AF5E-42DC592D7797}"/>
    <cellStyle name="Input 23" xfId="1528" xr:uid="{9ADAE82F-FFB3-48D7-838D-055E69BAA141}"/>
    <cellStyle name="Input 24" xfId="1584" xr:uid="{538EC8AC-D99C-40D1-889D-27AEEF1B7984}"/>
    <cellStyle name="Input 25" xfId="1575" xr:uid="{DE26FAFD-576A-46B8-BC12-B2FD21E837F9}"/>
    <cellStyle name="Input 3" xfId="1440" xr:uid="{7DC675F5-A9D0-438E-9934-A18CE6273565}"/>
    <cellStyle name="Input 4" xfId="1520" xr:uid="{9AB1122C-6317-4C45-AADE-DFD789AFBFE9}"/>
    <cellStyle name="Input 5" xfId="1466" xr:uid="{F4F174CC-E8EC-4B22-BD54-8FB8730B2BD3}"/>
    <cellStyle name="Input 6" xfId="1498" xr:uid="{FBD2CC3B-2C64-480F-B0AC-AFE4591F981A}"/>
    <cellStyle name="Input 7" xfId="1449" xr:uid="{0A33F766-03CD-43A2-9F6E-F1AF101D4515}"/>
    <cellStyle name="Input 8" xfId="1493" xr:uid="{ADA83FA0-9392-4BA0-A0AF-ED84B657C6D7}"/>
    <cellStyle name="Input 9" xfId="1482" xr:uid="{B34B3EC3-0D5B-4531-93D6-641D5922CE3C}"/>
    <cellStyle name="Input Cells" xfId="368" xr:uid="{806C0748-E812-4261-BD26-1B07BD372D18}"/>
    <cellStyle name="Inputs" xfId="93" xr:uid="{6D2C1F05-FF6C-406F-AA5F-AF6AA3E37F66}"/>
    <cellStyle name="Italics" xfId="1254" xr:uid="{2B1791E1-04E0-4531-AA5B-023542562EE5}"/>
    <cellStyle name="Item Descriptions" xfId="369" xr:uid="{868DB793-43C6-4771-8A78-502AB6ECA3FC}"/>
    <cellStyle name="ItemTypeClass" xfId="94" xr:uid="{BF686B82-1F1D-4A83-8107-07E5E163528F}"/>
    <cellStyle name="Line" xfId="370" xr:uid="{33E724AF-7809-4467-8997-320EE21B6471}"/>
    <cellStyle name="Link" xfId="1255" xr:uid="{59421151-595B-46CD-B49B-1213CC91A0D2}"/>
    <cellStyle name="Linked Cell 2" xfId="95" xr:uid="{9B7F9BC9-4B26-4FBB-8DF1-A5BBE7E6FF4A}"/>
    <cellStyle name="MAG" xfId="1256" xr:uid="{47B9D845-4FD1-47CB-A921-0F5F48E0670E}"/>
    <cellStyle name="Mainhead" xfId="371" xr:uid="{A7E5EFF5-F469-4425-8799-D1D5B5FB86E2}"/>
    <cellStyle name="Major Heading" xfId="1257" xr:uid="{F6E309E0-2849-497C-ACC7-C8A7039E41B3}"/>
    <cellStyle name="Merrill" xfId="372" xr:uid="{7ED239D7-4AA4-4CD6-8F36-4A4D9B464AAD}"/>
    <cellStyle name="Minor Heading" xfId="1258" xr:uid="{4E7AA444-0B2A-4FDD-AFDC-4E824C89488D}"/>
    <cellStyle name="Mix" xfId="373" xr:uid="{1D67972D-CB4A-4640-877F-1891AE7EEA66}"/>
    <cellStyle name="Monitor" xfId="374" xr:uid="{2220B100-CA4C-433D-9825-7DF47A312FE5}"/>
    <cellStyle name="Multiple" xfId="375" xr:uid="{97867491-7877-4A6E-B61A-5314AEBF0FED}"/>
    <cellStyle name="Name" xfId="96" xr:uid="{BB90A013-CE01-4094-AEEC-B9876962A6F5}"/>
    <cellStyle name="Neutral 2" xfId="128" xr:uid="{6D3846C0-F48C-434F-A987-59D40200AFE1}"/>
    <cellStyle name="Neutral 2 2" xfId="1395" xr:uid="{DE3D6481-D4AE-4320-A2BA-9EE92821B264}"/>
    <cellStyle name="Neutral 2 3" xfId="1396" xr:uid="{1CE905A4-3D47-4EEC-8873-AEDA817FF9B1}"/>
    <cellStyle name="Neutral 3" xfId="97" xr:uid="{D1F909DA-D971-4808-A952-24C0886CA81F}"/>
    <cellStyle name="NewAcct" xfId="98" xr:uid="{EEFF86AF-A4B2-4559-8F64-0E405889607C}"/>
    <cellStyle name="No comma" xfId="1259" xr:uid="{6335FEA8-7256-4F87-AD0A-BCD2C62E1354}"/>
    <cellStyle name="no dec" xfId="1260" xr:uid="{553ECF1A-FB2C-45AC-9B47-4CA9D367645D}"/>
    <cellStyle name="non-input" xfId="1261" xr:uid="{14F12420-9C28-4259-8C03-E70514B4E246}"/>
    <cellStyle name="Norm" xfId="1262" xr:uid="{BED5E83B-FC18-490B-9CA2-8ABA8B6CB7C7}"/>
    <cellStyle name="Normal" xfId="0" builtinId="0"/>
    <cellStyle name="Normal - Style1" xfId="376" xr:uid="{061F2B26-BCFF-4988-9292-0D3FA027262D}"/>
    <cellStyle name="Normal 0" xfId="1263" xr:uid="{85DC6A19-DF45-4B8F-A78D-5272DF18700C}"/>
    <cellStyle name="Normal 0.0" xfId="1264" xr:uid="{FE5DE265-49B8-4FE0-8BD8-AD1F42C44FA7}"/>
    <cellStyle name="Normal 10" xfId="1397" xr:uid="{8FBF2AD7-3561-4DF7-A643-42C43F924700}"/>
    <cellStyle name="Normal 11" xfId="1398" xr:uid="{A8A3E4DF-D15B-4770-AD30-5CE808927CA6}"/>
    <cellStyle name="Normal 12" xfId="1399" xr:uid="{3583B27D-DD0E-4833-A8EC-23B483CB31A5}"/>
    <cellStyle name="Normal 13" xfId="1400" xr:uid="{18ECBE4B-D4D5-47A1-86F2-E6FF3D7687BB}"/>
    <cellStyle name="Normal 14" xfId="1421" xr:uid="{0E329CFB-CA9F-45D1-A26A-9DFA11BD9326}"/>
    <cellStyle name="Normal 15" xfId="1423" xr:uid="{5527E69E-9D19-48C2-929A-A00538413DD5}"/>
    <cellStyle name="Normal 16" xfId="1430" xr:uid="{90952779-AE56-4DFD-908C-112FDC14624B}"/>
    <cellStyle name="Normal 17" xfId="1434" xr:uid="{2EEE44B4-B38F-41F7-96C5-D46A7764918D}"/>
    <cellStyle name="Normal 18" xfId="1465" xr:uid="{EA98F180-8853-4480-9C2B-DE92EDC2D11D}"/>
    <cellStyle name="Normal 19" xfId="1499" xr:uid="{4BCEE1F7-8D96-4C2F-BBF4-F02525DB35EB}"/>
    <cellStyle name="Normal 2" xfId="126" xr:uid="{7355F9FE-09AB-4D9C-AE0D-1FE4A58D6D88}"/>
    <cellStyle name="Normal 2 2" xfId="1401" xr:uid="{10A407D1-F046-4381-9857-28ACBE4D2AC1}"/>
    <cellStyle name="Normal 2 3" xfId="1429" xr:uid="{8DD77784-8E5B-4980-A625-F88996933845}"/>
    <cellStyle name="Normal 20" xfId="1467" xr:uid="{77EFABB5-7DF7-4819-8E48-C9C7C334CF2B}"/>
    <cellStyle name="Normal 21" xfId="1517" xr:uid="{3C8715F8-8FE3-4920-A079-AA0FE2EE9CAA}"/>
    <cellStyle name="Normal 22" xfId="1507" xr:uid="{A9370A04-DC6F-413C-8AB2-CFF4473333F3}"/>
    <cellStyle name="Normal 23" xfId="1521" xr:uid="{DAB3F3ED-8F14-44DB-A8CC-13D0CFA2962C}"/>
    <cellStyle name="Normal 24" xfId="1435" xr:uid="{A2C8C6BB-EEFB-470B-8DCF-CEBBBADFBC3F}"/>
    <cellStyle name="Normal 25" xfId="1448" xr:uid="{374B3389-36D0-4361-ACAC-E88A254D58F9}"/>
    <cellStyle name="Normal 26" xfId="1470" xr:uid="{0AF4D60C-E467-4895-AFE7-5F1FC2D61425}"/>
    <cellStyle name="Normal 27" xfId="1496" xr:uid="{02246BD3-882F-4670-8BE3-4DBE56B17A85}"/>
    <cellStyle name="Normal 28" xfId="1513" xr:uid="{F8521D13-8122-4FCD-A1CF-DBAFDC0B70C3}"/>
    <cellStyle name="Normal 29" xfId="1512" xr:uid="{24641599-D0A7-4A91-95A3-3A1880FE817C}"/>
    <cellStyle name="Normal 3" xfId="377" xr:uid="{887BC23B-1919-4BFA-8CFA-A85C417A220A}"/>
    <cellStyle name="Normal 3 2" xfId="1265" xr:uid="{2F3411BF-31EE-434E-94A3-9E24CEEF4873}"/>
    <cellStyle name="Normal 3 3" xfId="1402" xr:uid="{BF550010-F0CE-4927-937F-549FEEFBA6D2}"/>
    <cellStyle name="Normal 30" xfId="1525" xr:uid="{CAFC2366-52AA-4DCC-BEEC-6821F56475AA}"/>
    <cellStyle name="Normal 31" xfId="1541" xr:uid="{19AE06BE-5A13-49E7-B6C8-FDC2AFB80C38}"/>
    <cellStyle name="Normal 32" xfId="1573" xr:uid="{E71FAA58-8415-440F-8B08-52B017BD3739}"/>
    <cellStyle name="Normal 33" xfId="1582" xr:uid="{BCAC970D-A653-4A64-A8AB-29DC758F2A5E}"/>
    <cellStyle name="Normal 34" xfId="1561" xr:uid="{EC023763-7752-4DDB-A602-81CD426F0FFF}"/>
    <cellStyle name="Normal 35" xfId="1558" xr:uid="{5D7ECB3D-4FC1-4DB0-95D4-15DE0B1C84F5}"/>
    <cellStyle name="Normal 36" xfId="1562" xr:uid="{BB37CF5A-EEF1-47D1-BDB2-8066E98EBB15}"/>
    <cellStyle name="Normal 37" xfId="1552" xr:uid="{8E4B12D8-9CF8-4532-BF34-0C2FDEC035F7}"/>
    <cellStyle name="Normal 38" xfId="1545" xr:uid="{3B7AB816-ABFE-4881-B440-CD8942C1EAC3}"/>
    <cellStyle name="Normal 39" xfId="1565" xr:uid="{8CF3C2E2-94CC-4B57-868E-7FCBA463D550}"/>
    <cellStyle name="Normal 4" xfId="423" xr:uid="{AD1E4974-FF58-4F35-9876-9BF92B1199CA}"/>
    <cellStyle name="Normal 5" xfId="1" xr:uid="{C74E02D1-A4D9-4068-972B-DAE3BF876E4E}"/>
    <cellStyle name="Normal 5 2" xfId="1403" xr:uid="{F7CF81E4-0452-482D-88EC-42A79F382885}"/>
    <cellStyle name="Normal 5 2 2 11" xfId="1310" xr:uid="{505ACEAB-CF2E-4747-B048-7709F5403B49}"/>
    <cellStyle name="Normal 6" xfId="427" xr:uid="{6C5A993A-1A86-4C72-96FA-8FE2707C40B9}"/>
    <cellStyle name="Normal 7" xfId="1314" xr:uid="{B7885978-D83F-4627-83EE-A9D24E6ABEB6}"/>
    <cellStyle name="Normal 8" xfId="1404" xr:uid="{FF039A69-F3DF-4F78-984C-06EA07646845}"/>
    <cellStyle name="Normal 8 2" xfId="1405" xr:uid="{FF681AD0-A2F7-4A43-94F9-89F70F00DE1D}"/>
    <cellStyle name="Normal 8 3" xfId="1317" xr:uid="{FA3F6714-78CB-4400-B161-A8079BD2BFD3}"/>
    <cellStyle name="Normal 9" xfId="1315" xr:uid="{A7BA7BC9-4EE0-4FC6-B1B2-64EB87D6E90F}"/>
    <cellStyle name="Normal Cells" xfId="378" xr:uid="{EA23ACE9-AF08-4875-AAB2-AD40485D9A57}"/>
    <cellStyle name="Normal Temp" xfId="1266" xr:uid="{E144F28D-5FFE-49C0-8628-A5E49B828963}"/>
    <cellStyle name="Normal_Inserts" xfId="1586" xr:uid="{A1D2947A-1334-4550-8415-390F84F82400}"/>
    <cellStyle name="Normal_PBLMODEL" xfId="1524" xr:uid="{0930C8BA-8AF8-494D-B8C3-1C6EED2557F1}"/>
    <cellStyle name="Normal_Sector_Summary_Pack_Eur" xfId="1523" xr:uid="{E35F4F7C-C6B4-4298-B841-ED753E0B2805}"/>
    <cellStyle name="Note 2" xfId="99" xr:uid="{76C20F08-AD76-4310-864A-C5780E98B4A0}"/>
    <cellStyle name="Notes" xfId="100" xr:uid="{15888F62-5EFC-4657-AC7A-ACDAF64F56D5}"/>
    <cellStyle name="Num_Date" xfId="1267" xr:uid="{4570F4CF-AFA7-46E0-8902-C17AFD158B1B}"/>
    <cellStyle name="Number" xfId="379" xr:uid="{28009FA8-0D38-4393-B28A-54E8AD2CE5FB}"/>
    <cellStyle name="number2" xfId="1268" xr:uid="{D20AB165-6DBE-4C2E-9D82-9379B67379D9}"/>
    <cellStyle name="Numbers" xfId="380" xr:uid="{0730ED26-4578-44CC-B288-5919C86CD977}"/>
    <cellStyle name="Numbers - Bold" xfId="381" xr:uid="{F0DFCC04-EE1A-499B-B175-351E30535B8E}"/>
    <cellStyle name="Numbers - Bold - Italic" xfId="382" xr:uid="{0502CD1F-7A9C-4735-AE26-8A3512EF9D22}"/>
    <cellStyle name="Numbers - Bold_Blend" xfId="383" xr:uid="{4C57D021-C641-4A67-9130-0B80FA4D0D5E}"/>
    <cellStyle name="Numbers - Large" xfId="384" xr:uid="{F8EF3329-5455-47E2-80C2-C53113F0B8ED}"/>
    <cellStyle name="Numbers Bold" xfId="1269" xr:uid="{4AF4E4B8-6DA1-4349-9E44-1044033F5039}"/>
    <cellStyle name="Numbers Bold (0)" xfId="1270" xr:uid="{42A17653-7674-4483-826E-553C5AB0EDDE}"/>
    <cellStyle name="Numbers Bold (no point)" xfId="1271" xr:uid="{59864F02-8CF7-490C-A866-6EA861A2A7E8}"/>
    <cellStyle name="Numbers Bold_CASH FLOW" xfId="1272" xr:uid="{8A69B3F7-F47B-4892-AAF7-869321DF5228}"/>
    <cellStyle name="Numbers Light" xfId="1273" xr:uid="{4887808A-F1B7-4A24-82A1-3632D7206D9B}"/>
    <cellStyle name="Numbers_Comps" xfId="385" xr:uid="{F66BA7A2-8EE1-4BEC-8DAF-6DA28CF745B3}"/>
    <cellStyle name="OSW_ColumnLabels" xfId="386" xr:uid="{0CC8E5AF-0AEC-444C-A2A6-D2751E4E9634}"/>
    <cellStyle name="Output 2" xfId="130" xr:uid="{AF309D74-BECD-410E-9256-7A49866FFFB6}"/>
    <cellStyle name="Output 3" xfId="101" xr:uid="{458CED7A-153C-42AB-8019-E90B40C788B3}"/>
    <cellStyle name="Page" xfId="387" xr:uid="{CB73A34A-B5D5-4AF6-B30E-5EAA4FFE5A7A}"/>
    <cellStyle name="Page Head" xfId="1274" xr:uid="{7FB5ABA4-2FEA-4BF8-B2B5-0B795D13D7D1}"/>
    <cellStyle name="Page header" xfId="388" xr:uid="{F7CF6BAE-4F63-4A59-9758-F01AF49506D6}"/>
    <cellStyle name="Page Number" xfId="1275" xr:uid="{29ABD29B-2CFC-4432-81CE-D88522D4106A}"/>
    <cellStyle name="Pattern_Forecast" xfId="1276" xr:uid="{BCEE9B71-033C-474D-B506-71C484812BA8}"/>
    <cellStyle name="patterns" xfId="1277" xr:uid="{7458FB6F-D72E-4248-BC0E-C2FF9B9201FD}"/>
    <cellStyle name="Per" xfId="102" xr:uid="{4D9AFCFA-AE83-4DA3-9F7C-E3E616DF244E}"/>
    <cellStyle name="Percent" xfId="1522" builtinId="5"/>
    <cellStyle name="Percent [1]" xfId="1278" xr:uid="{6855BFA6-E7C7-492A-9544-17D00E4E3555}"/>
    <cellStyle name="Percent [2]" xfId="1279" xr:uid="{AEEF7E26-8806-4405-902A-11CA27BC6281}"/>
    <cellStyle name="Percent 0.0" xfId="1280" xr:uid="{5CBC7392-E793-4346-A3C7-DD88BA25849C}"/>
    <cellStyle name="Percent 10" xfId="1406" xr:uid="{DD36CFC7-6AD8-4FB9-AC99-2816F13BB7E1}"/>
    <cellStyle name="Percent 11" xfId="1422" xr:uid="{31216FC1-015A-4D30-967E-857B94942A71}"/>
    <cellStyle name="Percent 12" xfId="1424" xr:uid="{D2B0E6E2-AFF6-4A4E-B690-231B82166B10}"/>
    <cellStyle name="Percent 13" xfId="1431" xr:uid="{288B9EC8-57F1-430B-8DEB-474F529B3B2E}"/>
    <cellStyle name="Percent 14" xfId="103" xr:uid="{8DB59314-511D-45F4-991A-47CB03405F5A}"/>
    <cellStyle name="Percent 15" xfId="1443" xr:uid="{A3F2C3B4-8613-4DA7-B739-15819C8FDC2E}"/>
    <cellStyle name="Percent 16" xfId="1442" xr:uid="{C0296797-A958-418F-8DB6-81AEF80C067C}"/>
    <cellStyle name="Percent 17" xfId="1460" xr:uid="{70B4FAD4-7795-465C-B2D8-3DC9DDCB383C}"/>
    <cellStyle name="Percent 18" xfId="1474" xr:uid="{5C1CFE61-261E-42FF-9163-4EF583E23F54}"/>
    <cellStyle name="Percent 19" xfId="1494" xr:uid="{D79327B8-A099-4CC5-AE80-C235948413B8}"/>
    <cellStyle name="Percent 2" xfId="424" xr:uid="{76797849-14C9-409E-A1A6-A3479B200114}"/>
    <cellStyle name="Percent 2 2" xfId="428" xr:uid="{3E9BC9BA-1138-4E62-94C6-982C5470FC16}"/>
    <cellStyle name="Percent 20" xfId="1480" xr:uid="{ADBE800E-0F94-4539-883D-9FEB85758057}"/>
    <cellStyle name="Percent 21" xfId="1491" xr:uid="{E6EC2170-9A52-4EAA-B17B-2B992371A865}"/>
    <cellStyle name="Percent 22" xfId="1501" xr:uid="{DA71DF17-20BD-4217-94E2-FF9A3B784AA8}"/>
    <cellStyle name="Percent 23" xfId="1473" xr:uid="{96A0F0E7-8F11-4702-8112-FF6125B454D1}"/>
    <cellStyle name="Percent 24" xfId="1457" xr:uid="{CE862F7D-7EC1-47BE-B5A4-137F5E93C276}"/>
    <cellStyle name="Percent 25" xfId="1469" xr:uid="{0AFFD37F-6A2E-4A1F-91A7-4FBD15144329}"/>
    <cellStyle name="Percent 26" xfId="1516" xr:uid="{A41228A3-486D-4124-B304-7A72F35F45CE}"/>
    <cellStyle name="Percent 27" xfId="1478" xr:uid="{40516F47-416D-4F0A-8DB6-19816081BCAC}"/>
    <cellStyle name="Percent 28" xfId="1536" xr:uid="{D839ACB2-FD11-435F-B338-76C9F4F636AB}"/>
    <cellStyle name="Percent 29" xfId="1548" xr:uid="{8F5A9037-7ECD-4936-A1A1-B5B41819C6AD}"/>
    <cellStyle name="Percent 3" xfId="1281" xr:uid="{1024C672-01C3-484C-9338-0878968DEEB0}"/>
    <cellStyle name="Percent 30" xfId="1530" xr:uid="{1BC98F9A-D4F4-44F5-B18C-7FD6A45BB8F6}"/>
    <cellStyle name="Percent 31" xfId="1543" xr:uid="{4BB403F6-48FA-429C-8F27-505D7D103788}"/>
    <cellStyle name="Percent 32" xfId="1568" xr:uid="{12C5B714-6EBB-4C81-8114-5506384544BF}"/>
    <cellStyle name="Percent 33" xfId="1581" xr:uid="{27814766-9D05-4B36-A190-F11B8848690F}"/>
    <cellStyle name="Percent 34" xfId="1550" xr:uid="{1441423B-2C54-435F-B239-FB804DFBB2DA}"/>
    <cellStyle name="Percent 35" xfId="1570" xr:uid="{0035E413-ED40-4423-93DE-E06B93841116}"/>
    <cellStyle name="Percent 36" xfId="1574" xr:uid="{674C8DDB-BFE3-4585-8B6D-587F5DD72AE3}"/>
    <cellStyle name="Percent 37" xfId="1527" xr:uid="{30B5CF5A-9544-4994-9964-75C2A55CCD50}"/>
    <cellStyle name="Percent 4" xfId="1316" xr:uid="{F1B19CB4-918E-425F-958D-0D292CB02A02}"/>
    <cellStyle name="Percent 5" xfId="1407" xr:uid="{A919FE2D-2E7A-4878-BB1A-3A5EC39602B0}"/>
    <cellStyle name="Percent 6" xfId="1408" xr:uid="{196D9CE4-62C4-4DB4-A980-8B644306526F}"/>
    <cellStyle name="Percent 6 2" xfId="1409" xr:uid="{405FB121-0990-4DBB-8A0A-7266A9B8CFC4}"/>
    <cellStyle name="Percent 7" xfId="1410" xr:uid="{6C231486-70C7-45E8-9789-C3E3AF771031}"/>
    <cellStyle name="Percent 8" xfId="1411" xr:uid="{C5E244AD-C658-4352-8592-8A9AD02EBD47}"/>
    <cellStyle name="Percent 9" xfId="1412" xr:uid="{4F36B3C1-45C4-4E7A-9F7C-B139C8B999E2}"/>
    <cellStyle name="Percent(1)" xfId="1282" xr:uid="{D3B9A20B-3C35-4C4E-903C-89ACAC5A1612}"/>
    <cellStyle name="Percentage" xfId="389" xr:uid="{8DFBD62E-3975-4428-A72F-C885079F9593}"/>
    <cellStyle name="PlainDollar" xfId="104" xr:uid="{D8436F55-C234-4F69-BEFD-67C7D40FDD4B}"/>
    <cellStyle name="PlainDollar 2" xfId="1413" xr:uid="{40338120-1B12-4534-BF5B-50B7FDA4725C}"/>
    <cellStyle name="Preffered" xfId="1283" xr:uid="{EE99B6D9-3E43-426C-A9C6-46C2B0B13B48}"/>
    <cellStyle name="Price" xfId="390" xr:uid="{2B80AA1C-67E1-47FB-86AB-C1105F9D01CE}"/>
    <cellStyle name="prot" xfId="391" xr:uid="{E3ECD96B-FC81-4BE4-B75E-B6AF5C939F5F}"/>
    <cellStyle name="Publication_style" xfId="1284" xr:uid="{3DD4014B-DD13-4E97-AD41-8B9BF7CF3FDE}"/>
    <cellStyle name="Punto" xfId="392" xr:uid="{F207CCED-42CA-4F11-93D8-5113CEF0D1D7}"/>
    <cellStyle name="r" xfId="393" xr:uid="{B96A6F9E-38B6-4C15-AED2-B5C5B99BEB56}"/>
    <cellStyle name="RED" xfId="1285" xr:uid="{82C4AD50-33A2-4D8A-AA17-8E95CD4754DB}"/>
    <cellStyle name="Reuters Cells" xfId="394" xr:uid="{857502EE-AE62-4C77-A504-FB700D6BE50F}"/>
    <cellStyle name="RevList" xfId="1286" xr:uid="{C5E66302-3DE2-4E65-B035-5827E88E4852}"/>
    <cellStyle name="s" xfId="395" xr:uid="{6EE6C57A-3CFD-48FC-B16A-B0D77236C211}"/>
    <cellStyle name="Shade" xfId="1287" xr:uid="{71BEAB45-ADEF-4D6C-B913-FED0388134B8}"/>
    <cellStyle name="shade bold" xfId="1288" xr:uid="{2D740037-7259-40C7-94F7-DE8E95F994CE}"/>
    <cellStyle name="Shade_AMC_fin1b" xfId="1289" xr:uid="{97BB7B41-783D-4664-A017-45EC8CB77A11}"/>
    <cellStyle name="ShadedCells_Database" xfId="396" xr:uid="{303900BE-6B49-4506-B97B-8E9975C53250}"/>
    <cellStyle name="shading" xfId="1290" xr:uid="{B9598924-A0FD-417B-90BF-88A0063C9A8C}"/>
    <cellStyle name="Sheet Title" xfId="397" xr:uid="{A5B1B39C-6E21-4ADA-A2A5-4EBF020864BE}"/>
    <cellStyle name="ShOut" xfId="398" xr:uid="{D8433020-09B3-49B3-954A-075656F4A747}"/>
    <cellStyle name="Special 1" xfId="1291" xr:uid="{73B8E70D-3DED-4E47-82C0-3DD2A6DD9966}"/>
    <cellStyle name="Special 3" xfId="1292" xr:uid="{5FB103CB-271A-4517-AC60-D4C4FB154B1D}"/>
    <cellStyle name="SSComma0" xfId="105" xr:uid="{9B7428AF-4E90-4A89-98D6-40AE7269B3C0}"/>
    <cellStyle name="SSComma0 2" xfId="1414" xr:uid="{2CA11DC4-A28F-402E-83C3-E8FB95456DCB}"/>
    <cellStyle name="SSComma2" xfId="106" xr:uid="{D6EB423A-57D2-4AD7-8DAC-9459B00267F7}"/>
    <cellStyle name="SSComma2 2" xfId="1415" xr:uid="{66047B3F-4544-4AF2-A2D1-E50DED9E20FF}"/>
    <cellStyle name="SSDecs3" xfId="107" xr:uid="{E645B8F3-4A59-49A7-9949-A55533052674}"/>
    <cellStyle name="SSDecs3 2" xfId="1416" xr:uid="{BAE18E3B-1864-4595-A0C3-1E4A2A9A9C67}"/>
    <cellStyle name="SSDflt" xfId="108" xr:uid="{70A6EA62-FEA6-4494-9ABB-EED17BBA6300}"/>
    <cellStyle name="SSDflt 2" xfId="1417" xr:uid="{A92F5E00-A97E-402A-AE45-A520F891D99A}"/>
    <cellStyle name="SSDfltPct" xfId="109" xr:uid="{99CD9910-C57B-4997-82D6-D0D6838B7C26}"/>
    <cellStyle name="SSDfltPct 2" xfId="1418" xr:uid="{89053C1C-9BEE-4016-A0A7-3CE37E6414A2}"/>
    <cellStyle name="SSDfltPct0" xfId="110" xr:uid="{4C8C31C0-C70F-4D48-A5C3-77EC4A425883}"/>
    <cellStyle name="SSDfltPct0 2" xfId="1419" xr:uid="{B4E07840-91DE-49E0-81D8-92AA8A1E7EEE}"/>
    <cellStyle name="SSFixed2" xfId="111" xr:uid="{1A7AC446-6491-4370-A84E-7780FB56BF78}"/>
    <cellStyle name="SSFixed2 2" xfId="1420" xr:uid="{AC346034-40AC-4FB1-B5E6-7D3CE31AA1F4}"/>
    <cellStyle name="Style 1" xfId="112" xr:uid="{66417348-6B7D-4F81-AD87-F9A9549878B6}"/>
    <cellStyle name="Style 2" xfId="113" xr:uid="{E43F2EEA-603B-45E8-BD5C-8049E69E7D4E}"/>
    <cellStyle name="Style 3" xfId="114" xr:uid="{AF3E4825-AA3A-4ACF-8CFD-89C20D7E5561}"/>
    <cellStyle name="Style 4" xfId="115" xr:uid="{CA0C1A2E-3583-48BC-97A9-10324593D2BF}"/>
    <cellStyle name="Style 5" xfId="116" xr:uid="{0CD961A9-6E9C-4585-B7C1-1D728BE1916A}"/>
    <cellStyle name="Style 6" xfId="117" xr:uid="{68715474-C987-4974-8CDA-14CD2E4C8EC0}"/>
    <cellStyle name="Style 7" xfId="118" xr:uid="{B97424BC-2760-4DB0-A96B-DF3F50F70779}"/>
    <cellStyle name="Style 8" xfId="119" xr:uid="{A3C3D1A9-3E97-4567-B336-7720FC61162F}"/>
    <cellStyle name="Style 9" xfId="120" xr:uid="{ABFAC8E2-FC41-4990-9E79-8E907460CCDA}"/>
    <cellStyle name="Style D green" xfId="399" xr:uid="{5ED38ED5-E9BB-4B3A-B855-C7A1D5EFE66D}"/>
    <cellStyle name="Style E" xfId="400" xr:uid="{8DE2B648-92E7-41AF-A348-26FE41854586}"/>
    <cellStyle name="Style H" xfId="401" xr:uid="{C80AC285-F146-4E47-AB94-9C9D52F2B2F9}"/>
    <cellStyle name="Sub total" xfId="402" xr:uid="{EB56C087-8854-4222-A1CB-D8D5F6A59B02}"/>
    <cellStyle name="Subtotal" xfId="1293" xr:uid="{54F40092-2491-49BC-8BBF-8237C6938336}"/>
    <cellStyle name="Sum" xfId="403" xr:uid="{1557929E-4E43-432A-A327-6C69F7B5D176}"/>
    <cellStyle name="Swiss" xfId="404" xr:uid="{ADED9ACA-A3D3-4FF2-80B5-378A03DB706B}"/>
    <cellStyle name="t" xfId="405" xr:uid="{6335D198-6302-4EB7-BC83-4F8ACED5B1D5}"/>
    <cellStyle name="Table end" xfId="406" xr:uid="{71FAED72-D992-41A9-BE04-D2DFC4E29116}"/>
    <cellStyle name="Table head" xfId="407" xr:uid="{7909DF3A-F44F-4498-A7ED-6E1C853F9D2A}"/>
    <cellStyle name="Table head 2" xfId="1464" xr:uid="{CC8ED01F-F81E-4DD2-8280-5A7250242DEF}"/>
    <cellStyle name="Table Head Aligned" xfId="1294" xr:uid="{FC275C1E-158E-4B2D-8CE8-1F0F8CDAE1AB}"/>
    <cellStyle name="Table Head Aligned 2" xfId="1508" xr:uid="{B45414CD-2649-47A6-85F3-1AADB1526AE9}"/>
    <cellStyle name="Table Head Blue" xfId="1295" xr:uid="{841256A5-B5F4-4A86-BFAB-7F744490FF20}"/>
    <cellStyle name="Table Head Green" xfId="1296" xr:uid="{60297894-0F1A-4100-9051-6393A8595F9C}"/>
    <cellStyle name="Table Head Green 2" xfId="1509" xr:uid="{9A2FF8F7-9AD9-44D3-9182-F96866162692}"/>
    <cellStyle name="Table head_AMZN" xfId="1297" xr:uid="{8E5628A4-3C31-4E96-9C9F-E655B92FDBE2}"/>
    <cellStyle name="table text bold" xfId="408" xr:uid="{574C76EE-43EB-47C7-AFD1-874D05A3F3DB}"/>
    <cellStyle name="table text bold green" xfId="409" xr:uid="{A23F3A54-D365-4121-9215-E807B513BF8A}"/>
    <cellStyle name="table text light" xfId="410" xr:uid="{1F6F6DD7-351C-420D-87B5-493A122C5B41}"/>
    <cellStyle name="Table Title" xfId="411" xr:uid="{9EDF6980-B0C1-42F9-985D-ACA3E096EC3A}"/>
    <cellStyle name="Table Units" xfId="412" xr:uid="{968EC46B-4CD3-4879-BF94-DBC3269F27EF}"/>
    <cellStyle name="TableTitle" xfId="1298" xr:uid="{8EEED11D-62AF-4F95-BF34-E66D1C87813F}"/>
    <cellStyle name="Text Bold" xfId="1299" xr:uid="{414BA51F-C60F-4B3A-96DB-663E544D00D7}"/>
    <cellStyle name="Text Light" xfId="1300" xr:uid="{0F4E8B1D-9972-42AA-B7F9-9E1F02B745CB}"/>
    <cellStyle name="TextB" xfId="1301" xr:uid="{CDDFE2FE-7AF0-4A20-B3B1-679CE39D2024}"/>
    <cellStyle name="Thick Rule" xfId="1302" xr:uid="{0C58DECD-F696-47D4-996C-86C205AD4C35}"/>
    <cellStyle name="Thick Rule 2" xfId="1511" xr:uid="{EF02DAF6-A7B4-4E9F-96DB-F2BC6C9BDB6A}"/>
    <cellStyle name="Thin Rule" xfId="1303" xr:uid="{1C10B674-6168-44F2-BCD5-53B7F8AC108A}"/>
    <cellStyle name="Thou" xfId="1304" xr:uid="{745CE264-0394-478A-9576-0BB77E539EB6}"/>
    <cellStyle name="Time" xfId="413" xr:uid="{F0D5B8B1-92DD-48E9-8471-819D61585F9D}"/>
    <cellStyle name="Title - PROJECT" xfId="414" xr:uid="{D1C87418-8176-48E8-9094-F88CAFB5B097}"/>
    <cellStyle name="Title - Underline" xfId="415" xr:uid="{E9CD387C-240E-411E-88D7-8342797445F6}"/>
    <cellStyle name="Title 10" xfId="1490" xr:uid="{DE10064B-798F-458D-8096-96F21E91B1A5}"/>
    <cellStyle name="Title 11" xfId="1461" xr:uid="{D56568D6-7294-4B4C-924B-19EDEE746BD5}"/>
    <cellStyle name="Title 12" xfId="1447" xr:uid="{C4E5B382-6F38-451C-B304-E5F078289298}"/>
    <cellStyle name="Title 13" xfId="1495" xr:uid="{530A5775-16FA-4DFE-A4C5-EAE894CD56A0}"/>
    <cellStyle name="Title 14" xfId="1468" xr:uid="{21301DEC-C197-44F7-BA65-81A73522DB9A}"/>
    <cellStyle name="Title 15" xfId="1497" xr:uid="{ACF8592D-1B9A-49F5-91B1-311757DE84D4}"/>
    <cellStyle name="Title 16" xfId="1539" xr:uid="{114F0F18-FE28-4533-9592-A115E97A66D2}"/>
    <cellStyle name="Title 17" xfId="1551" xr:uid="{E5CF65E9-D5FE-4B2F-86AA-09E29B95F39E}"/>
    <cellStyle name="Title 18" xfId="1542" xr:uid="{4CF25DFF-2E48-422E-9764-5A39015B29FE}"/>
    <cellStyle name="Title 19" xfId="1555" xr:uid="{C2487B3A-2460-40FB-B5AF-947030E7A9AE}"/>
    <cellStyle name="Title 2" xfId="121" xr:uid="{D53EB022-1D37-4A48-B3CB-6E3ECB14E067}"/>
    <cellStyle name="Title 20" xfId="1583" xr:uid="{E499F654-E9CF-4FA0-8DC2-F96FA6E05B6C}"/>
    <cellStyle name="Title 21" xfId="1546" xr:uid="{6FC8B7FA-90CD-4FFF-8F29-3CBE3998FBB5}"/>
    <cellStyle name="Title 22" xfId="1526" xr:uid="{F013687F-267F-4A9B-9092-BF506FBBC1E3}"/>
    <cellStyle name="Title 23" xfId="1540" xr:uid="{7485985E-C802-48E7-8FDF-6AB326E0E838}"/>
    <cellStyle name="Title 24" xfId="1560" xr:uid="{D88BE557-4E66-4D8E-B8EF-F12E2A720A02}"/>
    <cellStyle name="Title 25" xfId="1554" xr:uid="{C2F9FA87-A2D8-4956-83BC-741DBE66FEE1}"/>
    <cellStyle name="Title 3" xfId="1444" xr:uid="{F9E44AD5-9FF4-4F47-80CB-F0FB3310BB91}"/>
    <cellStyle name="Title 4" xfId="1441" xr:uid="{9C32EFDF-E9C9-44C9-BB08-B9F8A81A9B26}"/>
    <cellStyle name="Title 5" xfId="1463" xr:uid="{7BDB02FD-7409-4967-9DC6-9F4B34713B5D}"/>
    <cellStyle name="Title 6" xfId="1459" xr:uid="{B1A2DBB9-9B7D-42D7-AF8F-F25EE730F1D7}"/>
    <cellStyle name="Title 7" xfId="1475" xr:uid="{1E4F3DBE-2205-4DEA-B5A9-310766211630}"/>
    <cellStyle name="Title 8" xfId="1456" xr:uid="{31BF2E74-713F-4E5B-ADC9-8F131D051446}"/>
    <cellStyle name="Title 9" xfId="1514" xr:uid="{ECA03E84-E023-4110-B561-FDB4019B7E80}"/>
    <cellStyle name="Title1" xfId="416" xr:uid="{13D8BDCA-1DD7-444A-A29D-DCE4D05A49EB}"/>
    <cellStyle name="Title2" xfId="417" xr:uid="{07D0B200-EB85-4CD7-BCB2-286A8DBDFD80}"/>
    <cellStyle name="Titles" xfId="122" xr:uid="{B4294E58-1E93-424D-935D-E0AAF0A1CFFC}"/>
    <cellStyle name="Titles - Col. Headings" xfId="418" xr:uid="{B56F5660-2020-4D24-AE10-81EBC9E5F641}"/>
    <cellStyle name="Titles - Other" xfId="419" xr:uid="{C11F9418-A55A-40DD-9F97-D555DEE840DD}"/>
    <cellStyle name="Total 2" xfId="123" xr:uid="{D0882FA0-A589-446D-9D51-5DB6EC7F8F10}"/>
    <cellStyle name="TR 8" xfId="1305" xr:uid="{4FFC748F-E65F-4BD7-B963-C5AF9EC86B6A}"/>
    <cellStyle name="TR 8B" xfId="1306" xr:uid="{FADFA606-4664-49BE-BCD9-412E09CDFFFF}"/>
    <cellStyle name="UnderLine" xfId="124" xr:uid="{67DC82FE-0B22-4F7E-AD24-A75A7B779B8B}"/>
    <cellStyle name="UnderLine 2" xfId="1445" xr:uid="{E0005233-2AE8-432A-ABD4-3BCAB7C4233A}"/>
    <cellStyle name="unm" xfId="420" xr:uid="{08DEAEA4-A9A9-4463-BFAA-8763E4626A09}"/>
    <cellStyle name="Valuation" xfId="1307" xr:uid="{B4F983C8-1FEA-408C-B508-7322EA0EC2A2}"/>
    <cellStyle name="Vpershare" xfId="1308" xr:uid="{E8C21024-7576-4BD8-A08E-2A102EDA5C00}"/>
    <cellStyle name="Vstandard" xfId="1309" xr:uid="{36AC5B07-FA44-4B8D-9496-617CC2BFB278}"/>
    <cellStyle name="Warning Text 2" xfId="125" xr:uid="{466D1D08-6796-4938-98CB-1F1A3AB205C9}"/>
    <cellStyle name="Year" xfId="421" xr:uid="{5D6B18C4-CF4F-4337-B295-D4FA7F1D1FD9}"/>
    <cellStyle name="Years" xfId="422" xr:uid="{14B9D699-3A1B-4D64-84FD-933A0D164EE7}"/>
  </cellStyles>
  <dxfs count="3">
    <dxf>
      <fill>
        <patternFill patternType="gray125">
          <fgColor rgb="FF92D050"/>
        </patternFill>
      </fill>
      <border>
        <left style="thin">
          <color rgb="FF00B050"/>
        </left>
        <right style="thin">
          <color rgb="FF00B050"/>
        </right>
        <vertical/>
        <horizontal/>
      </border>
    </dxf>
    <dxf>
      <fill>
        <patternFill patternType="gray125">
          <fgColor rgb="FF92D050"/>
        </patternFill>
      </fill>
      <border>
        <left style="thin">
          <color rgb="FF00B050"/>
        </left>
        <right style="thin">
          <color rgb="FF00B050"/>
        </right>
        <vertical/>
        <horizontal/>
      </border>
    </dxf>
    <dxf>
      <fill>
        <patternFill patternType="gray125">
          <fgColor rgb="FF92D050"/>
        </patternFill>
      </fill>
      <border>
        <left style="thin">
          <color rgb="FF00B050"/>
        </left>
        <right style="thin">
          <color rgb="FF00B050"/>
        </right>
        <vertical/>
        <horizontal/>
      </border>
    </dxf>
  </dxfs>
  <tableStyles count="1" defaultTableStyle="TableStyleMedium2" defaultPivotStyle="PivotStyleLight16">
    <tableStyle name="Invisible" pivot="0" table="0" count="0" xr9:uid="{653F6E9E-4FE2-46BE-9008-A22DCBC093FE}"/>
  </tableStyles>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126067</xdr:colOff>
      <xdr:row>0</xdr:row>
      <xdr:rowOff>161925</xdr:rowOff>
    </xdr:from>
    <xdr:to>
      <xdr:col>3</xdr:col>
      <xdr:colOff>139512</xdr:colOff>
      <xdr:row>1</xdr:row>
      <xdr:rowOff>368144</xdr:rowOff>
    </xdr:to>
    <xdr:grpSp>
      <xdr:nvGrpSpPr>
        <xdr:cNvPr id="9" name="Group 8">
          <a:extLst>
            <a:ext uri="{FF2B5EF4-FFF2-40B4-BE49-F238E27FC236}">
              <a16:creationId xmlns:a16="http://schemas.microsoft.com/office/drawing/2014/main" id="{985871A1-342B-4BF9-A711-19E9B1994103}"/>
            </a:ext>
          </a:extLst>
        </xdr:cNvPr>
        <xdr:cNvGrpSpPr/>
      </xdr:nvGrpSpPr>
      <xdr:grpSpPr>
        <a:xfrm>
          <a:off x="428626" y="161925"/>
          <a:ext cx="6949886" cy="979425"/>
          <a:chOff x="428626" y="161925"/>
          <a:chExt cx="5739651" cy="979425"/>
        </a:xfrm>
      </xdr:grpSpPr>
      <xdr:sp macro="" textlink="">
        <xdr:nvSpPr>
          <xdr:cNvPr id="4" name="TextBox 3">
            <a:extLst>
              <a:ext uri="{FF2B5EF4-FFF2-40B4-BE49-F238E27FC236}">
                <a16:creationId xmlns:a16="http://schemas.microsoft.com/office/drawing/2014/main" id="{6B08A803-8A27-87DF-0E00-F5E4612FA804}"/>
              </a:ext>
            </a:extLst>
          </xdr:cNvPr>
          <xdr:cNvSpPr txBox="1"/>
        </xdr:nvSpPr>
        <xdr:spPr>
          <a:xfrm>
            <a:off x="1592296" y="412346"/>
            <a:ext cx="4575981" cy="66341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rial" panose="020B0604020202020204" pitchFamily="34" charset="0"/>
                <a:cs typeface="Arial" panose="020B0604020202020204" pitchFamily="34" charset="0"/>
              </a:rPr>
              <a:t>Global Investment Research</a:t>
            </a:r>
          </a:p>
          <a:p>
            <a:r>
              <a:rPr lang="en-US" sz="1400" b="1">
                <a:solidFill>
                  <a:schemeClr val="bg1"/>
                </a:solidFill>
                <a:latin typeface="Arial" panose="020B0604020202020204" pitchFamily="34" charset="0"/>
                <a:cs typeface="Arial" panose="020B0604020202020204" pitchFamily="34" charset="0"/>
              </a:rPr>
              <a:t>ANZ Retail &amp; Consumer</a:t>
            </a:r>
          </a:p>
        </xdr:txBody>
      </xdr:sp>
      <xdr:pic>
        <xdr:nvPicPr>
          <xdr:cNvPr id="8" name="Picture 190" descr="Logo_solid_6in">
            <a:extLst>
              <a:ext uri="{FF2B5EF4-FFF2-40B4-BE49-F238E27FC236}">
                <a16:creationId xmlns:a16="http://schemas.microsoft.com/office/drawing/2014/main" id="{831EEFE9-0F1A-45C5-8E81-01EED6140BF1}"/>
              </a:ext>
            </a:extLst>
          </xdr:cNvPr>
          <xdr:cNvPicPr>
            <a:picLocks noChangeAspect="1" noChangeArrowheads="1"/>
          </xdr:cNvPicPr>
        </xdr:nvPicPr>
        <xdr:blipFill>
          <a:blip xmlns:r="http://schemas.openxmlformats.org/officeDocument/2006/relationships" r:embed="rId1" cstate="print">
            <a:duotone>
              <a:schemeClr val="accent1">
                <a:shade val="45000"/>
                <a:satMod val="135000"/>
              </a:schemeClr>
              <a:prstClr val="white"/>
            </a:duotone>
          </a:blip>
          <a:srcRect/>
          <a:stretch>
            <a:fillRect/>
          </a:stretch>
        </xdr:blipFill>
        <xdr:spPr bwMode="auto">
          <a:xfrm>
            <a:off x="428626" y="161925"/>
            <a:ext cx="1028700" cy="979425"/>
          </a:xfrm>
          <a:prstGeom prst="rect">
            <a:avLst/>
          </a:prstGeom>
          <a:noFill/>
        </xdr:spPr>
      </xdr:pic>
    </xdr:grpSp>
    <xdr:clientData/>
  </xdr:twoCellAnchor>
</xdr:wsDr>
</file>

<file path=xl/persons/person.xml><?xml version="1.0" encoding="utf-8"?>
<personList xmlns="http://schemas.microsoft.com/office/spreadsheetml/2018/threadedcomments" xmlns:x="http://schemas.openxmlformats.org/spreadsheetml/2006/main">
  <person displayName="Haidar, Rayanne [GIR]" id="{B2034682-33FE-4AFF-ACED-473B588CC71B}" userId="S::haidar@firmwide.corp.gs.com::ad8b7b2a-2cf6-4320-b000-f0a2aae2eb35" providerId="AD"/>
  <person displayName="Marks, Peter J [GIR]" id="{9241BE57-B436-4A2B-B55C-6FFEA0C02713}" userId="S::marksp@firmwide.corp.gs.com::a3fd3642-93c9-46e7-a52b-63ac80f178b7" providerId="AD"/>
</personList>
</file>

<file path=xl/theme/theme1.xml><?xml version="1.0" encoding="utf-8"?>
<a:theme xmlns:a="http://schemas.openxmlformats.org/drawingml/2006/main" name="Office Theme">
  <a:themeElements>
    <a:clrScheme name="GIR Exhibits">
      <a:dk1>
        <a:srgbClr val="000000"/>
      </a:dk1>
      <a:lt1>
        <a:sysClr val="window" lastClr="FFFFFF"/>
      </a:lt1>
      <a:dk2>
        <a:srgbClr val="BE3232"/>
      </a:dk2>
      <a:lt2>
        <a:srgbClr val="F67F26"/>
      </a:lt2>
      <a:accent1>
        <a:srgbClr val="00355F"/>
      </a:accent1>
      <a:accent2>
        <a:srgbClr val="ACD4F1"/>
      </a:accent2>
      <a:accent3>
        <a:srgbClr val="A5A5A5"/>
      </a:accent3>
      <a:accent4>
        <a:srgbClr val="7399C6"/>
      </a:accent4>
      <a:accent5>
        <a:srgbClr val="078549"/>
      </a:accent5>
      <a:accent6>
        <a:srgbClr val="8BC346"/>
      </a:accent6>
      <a:hlink>
        <a:srgbClr val="7399C6"/>
      </a:hlink>
      <a:folHlink>
        <a:srgbClr val="A5A5A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19" dT="2025-11-06T22:02:44.41" personId="{9241BE57-B436-4A2B-B55C-6FFEA0C02713}" id="{AB27C86C-6947-4709-A0FD-8EA0488BAF6D}">
    <text xml:space="preserve">FY25: Look, in terms of corporate costs as part of the other division, I think you should think about that is pretty much flat year-to-year from 2025 into 2026. </text>
  </threadedComment>
  <threadedComment ref="L44" dT="2025-12-18T00:11:23.33" personId="{9241BE57-B436-4A2B-B55C-6FFEA0C02713}" id="{9E0B5414-3621-424E-9414-4953C89F36C5}">
    <text>~120m step up i.e. ~half of last years step up</text>
  </threadedComment>
  <threadedComment ref="L65" dT="2025-11-06T07:52:25.40" personId="{9241BE57-B436-4A2B-B55C-6FFEA0C02713}" id="{621DB4C9-78F2-4B17-9CF4-B0BC738FFA30}">
    <text xml:space="preserve">No 24 strategy day: A clear plank of our strategy is to actually target space growth in excess of 1.5% per annum, which is underpinned by population growth </text>
  </threadedComment>
  <threadedComment ref="L65" dT="2025-11-06T23:24:21.56" personId="{9241BE57-B436-4A2B-B55C-6FFEA0C02713}" id="{8D252EBA-FA91-4D96-9A6C-283991D2934A}" parentId="{621DB4C9-78F2-4B17-9CF4-B0BC738FFA30}">
    <text>FY25 result: In Supermarkets, this year we expect to open approximately 12 new stores and close two, and renew approximately
70 stores.</text>
  </threadedComment>
  <threadedComment ref="AK65" dT="2025-11-06T21:56:28.84" personId="{9241BE57-B436-4A2B-B55C-6FFEA0C02713}" id="{A8B5F964-9FE5-44DA-97C0-95293A69D662}">
    <text xml:space="preserve">1Q26: Two new supermarkets were opened and three were renewed during the quar </text>
  </threadedComment>
  <threadedComment ref="L104" dT="2025-11-06T23:46:45.43" personId="{9241BE57-B436-4A2B-B55C-6FFEA0C02713}" id="{0E2D977C-DCFB-4503-83F6-C94181BA9F96}">
    <text>Simply Liquorland' is expected to be
completed by the third quarter of FY26 and incur one-off costs of approximately $20 million</text>
  </threadedComment>
  <threadedComment ref="L104" dT="2025-11-06T23:56:38.68" personId="{9241BE57-B436-4A2B-B55C-6FFEA0C02713}" id="{F3C72949-90D8-459C-8CD7-80F0174A5461}" parentId="{0E2D977C-DCFB-4503-83F6-C94181BA9F96}">
    <text>Vs. $8m one offs in FY25 so $12m incremental in FY26 and $11m in FY24</text>
  </threadedComment>
  <threadedComment ref="J119" dT="2025-11-06T23:55:41.11" personId="{9241BE57-B436-4A2B-B55C-6FFEA0C02713}" id="{A1CC8673-7939-4E39-AC97-8623C2C92D91}">
    <text>$11 million that were incurred in FY24 in relation to a prior year tax adjustment and IT write-off</text>
  </threadedComment>
  <threadedComment ref="K119" dT="2025-11-06T23:55:28.04" personId="{9241BE57-B436-4A2B-B55C-6FFEA0C02713}" id="{DE251D1F-BC62-4D14-A314-8044FBA7DF4E}">
    <text>During the year, non-recurring costs of $8 million were incurred in relation to 'Simply Liquorland'.</text>
  </threadedComment>
  <threadedComment ref="L119" dT="2025-11-06T23:46:01.23" personId="{9241BE57-B436-4A2B-B55C-6FFEA0C02713}" id="{A49FEB7A-77EF-4A8F-B24A-378939BEACB5}">
    <text>Simply Liquorland' is expected to be
completed by the third quarter of FY26 and incur one-off costs of approximately $20 million</text>
  </threadedComment>
  <threadedComment ref="AL119" dT="2025-11-06T23:45:56.07" personId="{9241BE57-B436-4A2B-B55C-6FFEA0C02713}" id="{6F8657A5-F764-4D84-BE49-3CF616B4A2E5}">
    <text>Simply Liquorland' is expected to be
completed by the third quarter of FY26 and incur one-off costs of approximately $20 million</text>
  </threadedComment>
  <threadedComment ref="J126" dT="2025-11-06T23:55:41.11" personId="{9241BE57-B436-4A2B-B55C-6FFEA0C02713}" id="{A6ACC149-9AF4-498B-8835-6F12441F67A0}">
    <text>$11 million that were incurred in FY24 in relation to a prior year tax adjustment and IT write-off</text>
  </threadedComment>
  <threadedComment ref="K126" dT="2025-11-06T23:55:28.04" personId="{9241BE57-B436-4A2B-B55C-6FFEA0C02713}" id="{8DFB3653-7690-43B9-A07C-D15737601B1F}">
    <text>During the year, non-recurring costs of $8 million were incurred in relation to 'Simply Liquorland'.</text>
  </threadedComment>
  <threadedComment ref="L126" dT="2025-11-06T23:46:01.23" personId="{9241BE57-B436-4A2B-B55C-6FFEA0C02713}" id="{373E59F2-E142-45B7-88A7-6B1E45137DAF}">
    <text>Simply Liquorland' is expected to be
completed by the third quarter of FY26 and incur one-off costs of approximately $20 million</text>
  </threadedComment>
  <threadedComment ref="L133" dT="2025-11-06T23:24:53.47" personId="{9241BE57-B436-4A2B-B55C-6FFEA0C02713}" id="{71127293-9D19-4E8A-8C82-3653CC7420A9}">
    <text>In Liquor, as we optimise our network to ensure we are positioned in the right locations for long-term growth,
we expect to open approximately 19 new stores and close approximately 25, including approximately 15 closures
identified as part of 'Simply Liquorland'. In addition, approximately 130 renewals are expected to be completed,
inclusive of the remaining 'Simply Liquorland' conversions.</text>
  </threadedComment>
  <threadedComment ref="AK133" dT="2025-11-06T23:25:39.04" personId="{9241BE57-B436-4A2B-B55C-6FFEA0C02713}" id="{E08C8950-E7FC-4A35-8B27-E55E11A657E6}">
    <text xml:space="preserve">1Q26: Four new stores were opened, seven stores were closed and 61 store renewals were completed, inclusive of the ‘Simply Liquorland’ conver </text>
  </threadedComment>
  <threadedComment ref="B153" dT="2025-11-03T08:24:05.05" personId="{B2034682-33FE-4AFF-ACED-473B588CC71B}" id="{8EEFBDB9-11AF-4533-BE35-33808FFB978D}">
    <text xml:space="preserve">Other includes corporate costs, Coles’ 50% share of Flybuys’ net result, the net gain or loss generated by Coles’ property portfolio and the PSA with Viva Energy. </text>
  </threadedComment>
  <threadedComment ref="L153" dT="2025-11-06T22:22:41.45" personId="{9241BE57-B436-4A2B-B55C-6FFEA0C02713}" id="{098A39CF-ACDC-4D82-B123-B0A85BEB8EAF}">
    <text>Viva contract expected to conclude in April 2026</text>
  </threadedComment>
  <threadedComment ref="L166" dT="2025-11-06T22:03:01.11" personId="{9241BE57-B436-4A2B-B55C-6FFEA0C02713}" id="{F741F300-9183-4150-BA33-DF51719D218A}">
    <text xml:space="preserve">Look, in terms of corporate costs as part of the other division, I think you should think about that is pretty much flat year-to-year from 2025 into 2026. </text>
  </threadedComment>
  <threadedComment ref="K169" dT="2025-11-06T23:51:37.27" personId="{9241BE57-B436-4A2B-B55C-6FFEA0C02713}" id="{4A64E8B7-97A0-4988-A73C-8EAD0977CDBC}">
    <text>The EBIT result includes corporate costs of $107 million, which are higher than the prior year largely due an increase in
insurance related costs,</text>
  </threadedComment>
  <threadedComment ref="L183" dT="2025-11-06T23:49:28.82" personId="{9241BE57-B436-4A2B-B55C-6FFEA0C02713}" id="{BE66E01E-7E7B-4547-8041-BA223459346F}">
    <text>Capital expenditure is expected to be approximately $1.2 billion as we continue to invest in store renewals, digital and
technology and growth initiatives and enter the second year of our Victorian ADC development.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L29" dT="2025-11-26T22:36:50.95" personId="{9241BE57-B436-4A2B-B55C-6FFEA0C02713}" id="{C633BA9F-0CB8-4335-970C-996D5E8EFC95}">
    <text>120m step up</text>
  </threadedComment>
  <threadedComment ref="L40" dT="2025-11-26T22:39:52.55" personId="{9241BE57-B436-4A2B-B55C-6FFEA0C02713}" id="{AB4E0210-7690-4323-B5F1-4040B3625155}">
    <text>Slight step up</text>
  </threadedComment>
</ThreadedComments>
</file>

<file path=xl/threadedComments/threadedComment3.xml><?xml version="1.0" encoding="utf-8"?>
<ThreadedComments xmlns="http://schemas.microsoft.com/office/spreadsheetml/2018/threadedcomments" xmlns:x="http://schemas.openxmlformats.org/spreadsheetml/2006/main">
  <threadedComment ref="AP8" dT="2025-11-06T23:18:31.57" personId="{9241BE57-B436-4A2B-B55C-6FFEA0C02713}" id="{B564F845-FF21-4E95-B612-4A0528CE79C8}">
    <text>Viva supply agreement expected to conclude April 2026</text>
  </threadedComment>
  <threadedComment ref="AJ16" dT="2025-12-16T05:15:14.16" personId="{9241BE57-B436-4A2B-B55C-6FFEA0C02713}" id="{A1EE736E-EAF4-4EE6-936E-0D91D0F863B1}">
    <text>$120m benefit incremental sales from WOW industrial action</text>
  </threadedComment>
  <threadedComment ref="AN16" dT="2025-11-06T21:57:09.75" personId="{9241BE57-B436-4A2B-B55C-6FFEA0C02713}" id="{CC6DE1CF-AAC9-487A-BCAB-FCEBC150E76F}">
    <text xml:space="preserve">In the early part of the second quarter, Supermarkets sales revenue growth has remained at similar levels to the first quar </text>
  </threadedComment>
  <threadedComment ref="AN16" dT="2025-11-06T21:58:43.55" personId="{9241BE57-B436-4A2B-B55C-6FFEA0C02713}" id="{EA9E1722-475F-4816-8EAF-C6298394C748}" parentId="{CC6DE1CF-AAC9-487A-BCAB-FCEBC150E76F}">
    <text>WOW industrial action was $120m benefit in 2Q25, assume COL gives the majority back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E0340CF-D495-45DA-A720-BB916643C174}">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customProperty" Target="../customProperty2.bin"/><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8.bin"/><Relationship Id="rId1" Type="http://schemas.openxmlformats.org/officeDocument/2006/relationships/customProperty" Target="../customProperty7.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10.bin"/><Relationship Id="rId1" Type="http://schemas.openxmlformats.org/officeDocument/2006/relationships/customProperty" Target="../customProperty9.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customProperty" Target="../customProperty11.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customProperty" Target="../customProperty13.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16.bin"/><Relationship Id="rId1" Type="http://schemas.openxmlformats.org/officeDocument/2006/relationships/customProperty" Target="../customProperty15.bin"/><Relationship Id="rId5" Type="http://schemas.microsoft.com/office/2017/10/relationships/threadedComment" Target="../threadedComments/threadedComment3.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8.bin"/><Relationship Id="rId2" Type="http://schemas.openxmlformats.org/officeDocument/2006/relationships/customProperty" Target="../customProperty17.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7F1F7-7D55-4DD6-AF76-BB19CEC26118}">
  <dimension ref="A1:B1"/>
  <sheetViews>
    <sheetView workbookViewId="0"/>
  </sheetViews>
  <sheetFormatPr defaultRowHeight="15"/>
  <sheetData>
    <row r="1" spans="1:2">
      <c r="B1" t="s">
        <v>463</v>
      </c>
    </row>
  </sheetData>
  <pageMargins left="0.7" right="0.7" top="0.75" bottom="0.75" header="0.3" footer="0.3"/>
  <customProperties>
    <customPr name="Qube.Worksheet.Visibility" r:id="rId1"/>
  </customPropertie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99D55-7915-4D16-B2FF-9E5F01E5268D}">
  <sheetPr>
    <tabColor theme="4"/>
  </sheetPr>
  <dimension ref="A1:J23"/>
  <sheetViews>
    <sheetView showGridLines="0" zoomScale="85" zoomScaleNormal="85" workbookViewId="0">
      <selection activeCell="E7" sqref="E7"/>
    </sheetView>
  </sheetViews>
  <sheetFormatPr defaultColWidth="0" defaultRowHeight="12.75" zeroHeight="1"/>
  <cols>
    <col min="1" max="1" width="4.5703125" style="5" customWidth="1"/>
    <col min="2" max="2" width="72" style="5" customWidth="1"/>
    <col min="3" max="3" width="32.140625" style="5" customWidth="1"/>
    <col min="4" max="9" width="9.140625" style="5" customWidth="1"/>
    <col min="10" max="10" width="3.5703125" style="5" customWidth="1"/>
    <col min="11" max="16384" width="9.140625" style="5" hidden="1"/>
  </cols>
  <sheetData>
    <row r="1" spans="1:9" s="14" customFormat="1" ht="60.75" customHeight="1">
      <c r="A1" s="206"/>
      <c r="B1" s="206"/>
      <c r="C1" s="15"/>
      <c r="D1" s="206"/>
      <c r="E1" s="206"/>
      <c r="F1" s="206"/>
      <c r="G1" s="206"/>
      <c r="H1" s="206"/>
      <c r="I1" s="206"/>
    </row>
    <row r="2" spans="1:9" s="14" customFormat="1" ht="43.5" customHeight="1">
      <c r="A2" s="206"/>
      <c r="B2" s="206"/>
      <c r="C2" s="206"/>
      <c r="D2" s="206"/>
      <c r="E2" s="206"/>
      <c r="F2" s="206"/>
      <c r="G2" s="206"/>
      <c r="H2" s="206"/>
      <c r="I2" s="206"/>
    </row>
    <row r="3" spans="1:9" s="14" customFormat="1" ht="18" customHeight="1">
      <c r="A3" s="206"/>
      <c r="B3" s="15"/>
      <c r="C3" s="16"/>
      <c r="D3" s="16"/>
      <c r="E3" s="16"/>
      <c r="F3" s="16"/>
      <c r="G3" s="16"/>
      <c r="H3" s="16"/>
      <c r="I3" s="16"/>
    </row>
    <row r="4" spans="1:9" s="14" customFormat="1" ht="7.5" customHeight="1"/>
    <row r="5" spans="1:9" s="14" customFormat="1" ht="18" customHeight="1">
      <c r="B5" s="450" t="s">
        <v>306</v>
      </c>
      <c r="C5" s="450"/>
      <c r="D5" s="450"/>
      <c r="E5" s="450"/>
      <c r="F5" s="450"/>
      <c r="G5" s="450"/>
      <c r="H5" s="450"/>
      <c r="I5" s="450"/>
    </row>
    <row r="6" spans="1:9" s="14" customFormat="1" ht="18.75" customHeight="1">
      <c r="B6" s="17" t="s">
        <v>137</v>
      </c>
      <c r="C6" s="18" t="s">
        <v>464</v>
      </c>
    </row>
    <row r="7" spans="1:9" s="14" customFormat="1" ht="18.75" customHeight="1">
      <c r="B7" s="17" t="s">
        <v>138</v>
      </c>
      <c r="C7" s="19" t="s">
        <v>465</v>
      </c>
    </row>
    <row r="8" spans="1:9" s="14" customFormat="1" ht="18.75" customHeight="1">
      <c r="B8" s="17" t="s">
        <v>139</v>
      </c>
      <c r="C8" s="20">
        <v>3</v>
      </c>
    </row>
    <row r="9" spans="1:9" s="14" customFormat="1" ht="18.75" customHeight="1">
      <c r="B9" s="17" t="s">
        <v>147</v>
      </c>
      <c r="C9" s="21"/>
      <c r="E9" s="22"/>
    </row>
    <row r="10" spans="1:9" s="14" customFormat="1" ht="18.75" customHeight="1">
      <c r="B10" s="17" t="s">
        <v>140</v>
      </c>
      <c r="C10" s="21"/>
    </row>
    <row r="11" spans="1:9" s="14" customFormat="1" ht="18.75" customHeight="1">
      <c r="B11" s="17" t="s">
        <v>141</v>
      </c>
      <c r="C11" s="18" t="s">
        <v>142</v>
      </c>
    </row>
    <row r="12" spans="1:9" s="14" customFormat="1" ht="18.75" customHeight="1">
      <c r="B12" s="17" t="s">
        <v>143</v>
      </c>
      <c r="C12" s="18">
        <v>46066</v>
      </c>
    </row>
    <row r="13" spans="1:9" s="14" customFormat="1" ht="18.75" customHeight="1">
      <c r="B13" s="17" t="s">
        <v>144</v>
      </c>
      <c r="C13" s="18"/>
    </row>
    <row r="14" spans="1:9" s="14" customFormat="1" ht="5.0999999999999996" customHeight="1"/>
    <row r="15" spans="1:9" s="14" customFormat="1" ht="18" customHeight="1">
      <c r="B15" s="450" t="s">
        <v>145</v>
      </c>
      <c r="C15" s="450"/>
      <c r="D15" s="450"/>
      <c r="E15" s="450"/>
      <c r="F15" s="450"/>
      <c r="G15" s="450"/>
      <c r="H15" s="450"/>
      <c r="I15" s="450"/>
    </row>
    <row r="16" spans="1:9" s="14" customFormat="1" ht="18.75" customHeight="1">
      <c r="B16" s="23" t="s">
        <v>148</v>
      </c>
    </row>
    <row r="17" spans="2:2" s="14" customFormat="1" ht="18.75" customHeight="1">
      <c r="B17" s="24" t="s">
        <v>212</v>
      </c>
    </row>
    <row r="18" spans="2:2" s="14" customFormat="1" ht="18.75" customHeight="1">
      <c r="B18" s="23" t="s">
        <v>213</v>
      </c>
    </row>
    <row r="19" spans="2:2" s="14" customFormat="1" ht="18.75" customHeight="1">
      <c r="B19" s="24" t="s">
        <v>214</v>
      </c>
    </row>
    <row r="20" spans="2:2" s="14" customFormat="1" ht="18.75" customHeight="1">
      <c r="B20" s="23" t="s">
        <v>213</v>
      </c>
    </row>
    <row r="21" spans="2:2" s="14" customFormat="1" ht="18.75" customHeight="1">
      <c r="B21" s="24" t="s">
        <v>146</v>
      </c>
    </row>
    <row r="22" spans="2:2" s="14" customFormat="1" ht="18" customHeight="1">
      <c r="B22" s="24"/>
    </row>
    <row r="23" spans="2:2" s="14" customFormat="1" ht="18" hidden="1" customHeight="1"/>
  </sheetData>
  <mergeCells count="2">
    <mergeCell ref="B5:I5"/>
    <mergeCell ref="B15:I15"/>
  </mergeCells>
  <pageMargins left="0.7" right="0.7" top="0.75" bottom="0.75" header="0.3" footer="0.3"/>
  <customProperties>
    <customPr name="Qube.Worksheet.ID" r:id="rId1"/>
    <customPr name="Qube.Worksheet.Visibility" r:id="rId2"/>
    <customPr name="QXL_SHEET_ID" r:id="rId3"/>
  </customPropertie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5F28-F453-41B5-BD49-6E699BB476F3}">
  <sheetPr>
    <tabColor theme="7" tint="0.59999389629810485"/>
    <pageSetUpPr fitToPage="1"/>
  </sheetPr>
  <dimension ref="A1:Z59"/>
  <sheetViews>
    <sheetView showGridLines="0" topLeftCell="C1" zoomScale="55" zoomScaleNormal="55" workbookViewId="0">
      <selection activeCell="X22" sqref="X22"/>
    </sheetView>
  </sheetViews>
  <sheetFormatPr defaultColWidth="9.140625" defaultRowHeight="12.75" outlineLevelCol="1"/>
  <cols>
    <col min="1" max="1" width="17.140625" style="5" hidden="1" customWidth="1" outlineLevel="1"/>
    <col min="2" max="2" width="12.28515625" style="5" hidden="1" customWidth="1" outlineLevel="1"/>
    <col min="3" max="3" width="7.7109375" style="5" customWidth="1" collapsed="1"/>
    <col min="4" max="4" width="43.42578125" style="26" customWidth="1"/>
    <col min="5" max="10" width="15.5703125" style="211" customWidth="1"/>
    <col min="11" max="11" width="6.28515625" style="26" customWidth="1"/>
    <col min="12" max="12" width="42.5703125" style="26" customWidth="1"/>
    <col min="13" max="18" width="15.5703125" style="211" customWidth="1"/>
    <col min="19" max="23" width="9.140625" style="5"/>
    <col min="24" max="24" width="27.42578125" style="5" customWidth="1"/>
    <col min="25" max="25" width="9.7109375" style="5" bestFit="1" customWidth="1"/>
    <col min="26" max="16384" width="9.140625" style="5"/>
  </cols>
  <sheetData>
    <row r="1" spans="1:26" s="7" customFormat="1">
      <c r="D1" s="4" t="s">
        <v>306</v>
      </c>
      <c r="E1" s="210"/>
      <c r="F1" s="210"/>
      <c r="G1" s="210"/>
      <c r="H1" s="210"/>
      <c r="I1" s="210"/>
      <c r="J1" s="210"/>
      <c r="K1" s="164"/>
      <c r="L1" s="164"/>
      <c r="M1" s="210"/>
      <c r="N1" s="210"/>
      <c r="O1" s="210"/>
      <c r="P1" s="210"/>
      <c r="Q1" s="210"/>
      <c r="R1" s="210"/>
    </row>
    <row r="2" spans="1:26" s="7" customFormat="1">
      <c r="D2" s="164"/>
      <c r="E2" s="210"/>
      <c r="F2" s="210"/>
      <c r="G2" s="210"/>
      <c r="H2" s="210"/>
      <c r="I2" s="210"/>
      <c r="J2" s="210"/>
      <c r="K2" s="164"/>
      <c r="L2" s="164"/>
      <c r="M2" s="210"/>
      <c r="N2" s="210"/>
      <c r="O2" s="210"/>
      <c r="P2" s="210"/>
      <c r="Q2" s="210"/>
      <c r="R2" s="210"/>
    </row>
    <row r="3" spans="1:26" s="7" customFormat="1">
      <c r="D3" s="164"/>
      <c r="E3" s="210"/>
      <c r="F3" s="210"/>
      <c r="G3" s="210"/>
      <c r="H3" s="210"/>
      <c r="I3" s="210"/>
      <c r="J3" s="210"/>
      <c r="K3" s="164"/>
      <c r="L3" s="164"/>
      <c r="M3" s="210"/>
      <c r="N3" s="210"/>
      <c r="O3" s="210"/>
      <c r="P3" s="210"/>
      <c r="Q3" s="210"/>
      <c r="R3" s="210"/>
    </row>
    <row r="4" spans="1:26" s="7" customFormat="1">
      <c r="D4" s="164"/>
      <c r="E4" s="210"/>
      <c r="F4" s="210"/>
      <c r="G4" s="210"/>
      <c r="H4" s="210"/>
      <c r="I4" s="210"/>
      <c r="J4" s="210"/>
      <c r="K4" s="164"/>
      <c r="L4" s="164"/>
      <c r="M4" s="210"/>
      <c r="N4" s="210"/>
      <c r="O4" s="210"/>
      <c r="P4" s="210"/>
      <c r="Q4" s="210"/>
      <c r="R4" s="210"/>
    </row>
    <row r="6" spans="1:26" ht="30" customHeight="1">
      <c r="D6" s="396" t="s">
        <v>307</v>
      </c>
      <c r="E6" s="397"/>
      <c r="F6" s="397"/>
      <c r="G6" s="397"/>
      <c r="H6" s="397"/>
      <c r="I6" s="397"/>
      <c r="J6" s="397"/>
      <c r="K6" s="396"/>
      <c r="L6" s="396"/>
      <c r="M6" s="397"/>
      <c r="N6" s="397"/>
      <c r="O6" s="397"/>
      <c r="P6" s="397"/>
      <c r="Q6" s="397"/>
      <c r="R6" s="397"/>
    </row>
    <row r="7" spans="1:26" ht="8.25" customHeight="1">
      <c r="D7" s="398"/>
      <c r="E7" s="399"/>
      <c r="F7" s="399"/>
      <c r="G7" s="399"/>
      <c r="H7" s="399"/>
      <c r="I7" s="399"/>
      <c r="J7" s="399"/>
      <c r="K7" s="398"/>
      <c r="L7" s="398"/>
      <c r="M7" s="399"/>
      <c r="N7" s="399"/>
      <c r="O7" s="399"/>
      <c r="P7" s="399"/>
      <c r="Q7" s="399"/>
      <c r="R7" s="399"/>
      <c r="X7" s="443"/>
      <c r="Y7" s="443"/>
      <c r="Z7" s="443"/>
    </row>
    <row r="8" spans="1:26" ht="30" customHeight="1">
      <c r="D8" s="400" t="s">
        <v>248</v>
      </c>
      <c r="E8" s="401"/>
      <c r="F8" s="402">
        <f>Valuation!$E$26</f>
        <v>23</v>
      </c>
      <c r="G8" s="401"/>
      <c r="H8" s="403"/>
      <c r="I8" s="403"/>
      <c r="J8" s="401"/>
      <c r="K8" s="404"/>
      <c r="L8" s="405"/>
      <c r="M8" s="403"/>
      <c r="N8" s="403"/>
      <c r="O8" s="403"/>
      <c r="P8" s="403"/>
      <c r="Q8" s="403"/>
      <c r="R8" s="403"/>
      <c r="X8" s="443"/>
      <c r="Y8" s="444"/>
      <c r="Z8" s="443"/>
    </row>
    <row r="9" spans="1:26" ht="30" customHeight="1">
      <c r="D9" s="400" t="s">
        <v>249</v>
      </c>
      <c r="E9" s="401"/>
      <c r="F9" s="406">
        <v>21.76</v>
      </c>
      <c r="G9" s="401"/>
      <c r="H9" s="403"/>
      <c r="I9" s="403"/>
      <c r="J9" s="401"/>
      <c r="K9" s="404"/>
      <c r="L9" s="405"/>
      <c r="M9" s="403"/>
      <c r="N9" s="403"/>
      <c r="O9" s="403"/>
      <c r="P9" s="403"/>
      <c r="Q9" s="403"/>
      <c r="R9" s="403"/>
      <c r="X9" s="443"/>
      <c r="Y9" s="445"/>
      <c r="Z9" s="443"/>
    </row>
    <row r="10" spans="1:26" ht="30" customHeight="1">
      <c r="D10" s="400" t="s">
        <v>250</v>
      </c>
      <c r="E10" s="401"/>
      <c r="F10" s="442">
        <f>F8/F9-1</f>
        <v>5.6985294117646967E-2</v>
      </c>
      <c r="G10" s="401"/>
      <c r="H10" s="403"/>
      <c r="I10" s="403"/>
      <c r="J10" s="401"/>
      <c r="K10" s="404"/>
      <c r="L10" s="405"/>
      <c r="M10" s="403"/>
      <c r="N10" s="403"/>
      <c r="O10" s="403"/>
      <c r="P10" s="403"/>
      <c r="Q10" s="403"/>
      <c r="R10" s="403"/>
      <c r="X10" s="443"/>
      <c r="Y10" s="446"/>
      <c r="Z10" s="443"/>
    </row>
    <row r="11" spans="1:26" ht="30" customHeight="1">
      <c r="D11" s="400" t="s">
        <v>457</v>
      </c>
      <c r="E11" s="401"/>
      <c r="F11" s="407" t="s">
        <v>458</v>
      </c>
      <c r="G11" s="401"/>
      <c r="H11" s="403"/>
      <c r="I11" s="403"/>
      <c r="J11" s="401"/>
      <c r="K11" s="404"/>
      <c r="L11" s="405"/>
      <c r="M11" s="403"/>
      <c r="N11" s="403"/>
      <c r="O11" s="403"/>
      <c r="P11" s="403"/>
      <c r="Q11" s="403"/>
      <c r="R11" s="403"/>
      <c r="X11" s="443"/>
      <c r="Y11" s="443"/>
      <c r="Z11" s="443"/>
    </row>
    <row r="12" spans="1:26" ht="9" customHeight="1">
      <c r="D12" s="408"/>
      <c r="E12" s="409"/>
      <c r="F12" s="409"/>
      <c r="G12" s="409"/>
      <c r="H12" s="399"/>
      <c r="I12" s="399"/>
      <c r="J12" s="409"/>
      <c r="K12" s="398"/>
      <c r="L12" s="410"/>
      <c r="M12" s="399"/>
      <c r="N12" s="399"/>
      <c r="O12" s="399"/>
      <c r="P12" s="399"/>
      <c r="Q12" s="399"/>
      <c r="R12" s="399"/>
      <c r="X12" s="443"/>
      <c r="Y12" s="443"/>
      <c r="Z12" s="443"/>
    </row>
    <row r="13" spans="1:26" ht="23.25">
      <c r="A13" s="6" t="s">
        <v>267</v>
      </c>
      <c r="B13" s="6" t="s">
        <v>268</v>
      </c>
      <c r="C13" s="6"/>
      <c r="D13" s="411" t="s">
        <v>48</v>
      </c>
      <c r="E13" s="412" t="s">
        <v>8</v>
      </c>
      <c r="F13" s="412" t="s">
        <v>9</v>
      </c>
      <c r="G13" s="412" t="s">
        <v>10</v>
      </c>
      <c r="H13" s="412" t="s">
        <v>29</v>
      </c>
      <c r="I13" s="412" t="s">
        <v>30</v>
      </c>
      <c r="J13" s="412" t="s">
        <v>215</v>
      </c>
      <c r="K13" s="413"/>
      <c r="L13" s="411" t="s">
        <v>216</v>
      </c>
      <c r="M13" s="412" t="str">
        <f>E$13</f>
        <v>FY23</v>
      </c>
      <c r="N13" s="412" t="str">
        <f t="shared" ref="N13:R13" si="0">F$13</f>
        <v>FY24</v>
      </c>
      <c r="O13" s="412" t="str">
        <f t="shared" si="0"/>
        <v>FY25</v>
      </c>
      <c r="P13" s="412" t="str">
        <f t="shared" si="0"/>
        <v>FY26E</v>
      </c>
      <c r="Q13" s="412" t="str">
        <f t="shared" si="0"/>
        <v>FY27E</v>
      </c>
      <c r="R13" s="412" t="str">
        <f t="shared" si="0"/>
        <v>FY28E</v>
      </c>
    </row>
    <row r="14" spans="1:26" ht="36.75" customHeight="1">
      <c r="A14" s="36" t="s">
        <v>275</v>
      </c>
      <c r="B14" s="36" t="s">
        <v>129</v>
      </c>
      <c r="C14" s="36"/>
      <c r="D14" s="408" t="s">
        <v>0</v>
      </c>
      <c r="E14" s="409"/>
      <c r="F14" s="409"/>
      <c r="G14" s="409"/>
      <c r="H14" s="399"/>
      <c r="I14" s="399"/>
      <c r="J14" s="409"/>
      <c r="K14" s="398"/>
      <c r="L14" s="410" t="s">
        <v>217</v>
      </c>
      <c r="M14" s="414">
        <f>VLOOKUP($B14,BS!$1:$1048576,MATCH(Summary!M$13,CF!$3:$3,0),FALSE)</f>
        <v>597</v>
      </c>
      <c r="N14" s="414">
        <f>VLOOKUP($B14,BS!$1:$1048576,MATCH(Summary!N$13,CF!$3:$3,0),FALSE)</f>
        <v>675.00000000000011</v>
      </c>
      <c r="O14" s="414">
        <f>VLOOKUP($B14,BS!$1:$1048576,MATCH(Summary!O$13,CF!$3:$3,0),FALSE)</f>
        <v>705.00000000000011</v>
      </c>
      <c r="P14" s="414">
        <f>VLOOKUP($B14,BS!$1:$1048576,MATCH(Summary!P$13,CF!$3:$3,0),FALSE)</f>
        <v>737.00076684336148</v>
      </c>
      <c r="Q14" s="414">
        <f>VLOOKUP($B14,BS!$1:$1048576,MATCH(Summary!Q$13,CF!$3:$3,0),FALSE)</f>
        <v>781.50581440956341</v>
      </c>
      <c r="R14" s="414">
        <f>VLOOKUP($B14,BS!$1:$1048576,MATCH(Summary!R$13,CF!$3:$3,0),FALSE)</f>
        <v>852.91404561965976</v>
      </c>
    </row>
    <row r="15" spans="1:26" ht="36.75" customHeight="1">
      <c r="A15" s="36" t="s">
        <v>309</v>
      </c>
      <c r="B15" s="36" t="s">
        <v>257</v>
      </c>
      <c r="C15" s="36"/>
      <c r="D15" s="415" t="s">
        <v>308</v>
      </c>
      <c r="E15" s="414">
        <f>VLOOKUP($A15,Model!$1:$1048576,MATCH(Summary!E$13,Model!$3:$3,0),FALSE)</f>
        <v>36746</v>
      </c>
      <c r="F15" s="414">
        <f>VLOOKUP($A15,Model!$1:$1048576,MATCH(Summary!F$13,Model!$3:$3,0),FALSE)</f>
        <v>39042</v>
      </c>
      <c r="G15" s="414">
        <f>VLOOKUP($A15,Model!$1:$1048576,MATCH(Summary!G$13,Model!$3:$3,0),FALSE)</f>
        <v>39987</v>
      </c>
      <c r="H15" s="414">
        <f>VLOOKUP($A15,Model!$1:$1048576,MATCH(Summary!H$13,Model!$3:$3,0),FALSE)</f>
        <v>41681.565366279072</v>
      </c>
      <c r="I15" s="414">
        <f>VLOOKUP($A15,Model!$1:$1048576,MATCH(Summary!I$13,Model!$3:$3,0),FALSE)</f>
        <v>43506.930470250605</v>
      </c>
      <c r="J15" s="414">
        <f>VLOOKUP($A15,Model!$1:$1048576,MATCH(Summary!J$13,Model!$3:$3,0),FALSE)</f>
        <v>45404.069411164259</v>
      </c>
      <c r="K15" s="398"/>
      <c r="L15" s="416" t="s">
        <v>218</v>
      </c>
      <c r="M15" s="414">
        <f>VLOOKUP($B15,BS!$1:$1048576,MATCH(Summary!M$13,CF!$3:$3,0),FALSE)</f>
        <v>605</v>
      </c>
      <c r="N15" s="414">
        <f>VLOOKUP($B15,BS!$1:$1048576,MATCH(Summary!N$13,CF!$3:$3,0),FALSE)</f>
        <v>496</v>
      </c>
      <c r="O15" s="414">
        <f>VLOOKUP($B15,BS!$1:$1048576,MATCH(Summary!O$13,CF!$3:$3,0),FALSE)</f>
        <v>487</v>
      </c>
      <c r="P15" s="414">
        <f>VLOOKUP($B15,BS!$1:$1048576,MATCH(Summary!P$13,CF!$3:$3,0),FALSE)</f>
        <v>503.09134134276064</v>
      </c>
      <c r="Q15" s="414">
        <f>VLOOKUP($B15,BS!$1:$1048576,MATCH(Summary!Q$13,CF!$3:$3,0),FALSE)</f>
        <v>518.65138974149215</v>
      </c>
      <c r="R15" s="414">
        <f>VLOOKUP($B15,BS!$1:$1048576,MATCH(Summary!R$13,CF!$3:$3,0),FALSE)</f>
        <v>540.50588213631124</v>
      </c>
    </row>
    <row r="16" spans="1:26" ht="36.75" customHeight="1">
      <c r="A16" s="36" t="s">
        <v>313</v>
      </c>
      <c r="B16" s="36" t="s">
        <v>67</v>
      </c>
      <c r="C16" s="36"/>
      <c r="D16" s="415" t="s">
        <v>310</v>
      </c>
      <c r="E16" s="414">
        <f>VLOOKUP($A16,Model!$1:$1048576,MATCH(Summary!E$13,Model!$3:$3,0),FALSE)</f>
        <v>3610</v>
      </c>
      <c r="F16" s="414">
        <f>VLOOKUP($A16,Model!$1:$1048576,MATCH(Summary!F$13,Model!$3:$3,0),FALSE)</f>
        <v>3692</v>
      </c>
      <c r="G16" s="414">
        <f>VLOOKUP($A16,Model!$1:$1048576,MATCH(Summary!G$13,Model!$3:$3,0),FALSE)</f>
        <v>3667</v>
      </c>
      <c r="H16" s="414">
        <f>VLOOKUP($A16,Model!$1:$1048576,MATCH(Summary!H$13,Model!$3:$3,0),FALSE)</f>
        <v>3636.7031578156311</v>
      </c>
      <c r="I16" s="414">
        <f>VLOOKUP($A16,Model!$1:$1048576,MATCH(Summary!I$13,Model!$3:$3,0),FALSE)</f>
        <v>3727.6207367610214</v>
      </c>
      <c r="J16" s="414">
        <f>VLOOKUP($A16,Model!$1:$1048576,MATCH(Summary!J$13,Model!$3:$3,0),FALSE)</f>
        <v>3820.8112551800464</v>
      </c>
      <c r="K16" s="398"/>
      <c r="L16" s="416" t="s">
        <v>219</v>
      </c>
      <c r="M16" s="414">
        <f>VLOOKUP($B16,BS!$1:$1048576,MATCH(Summary!M$13,CF!$3:$3,0),FALSE)</f>
        <v>2323</v>
      </c>
      <c r="N16" s="414">
        <f>VLOOKUP($B16,BS!$1:$1048576,MATCH(Summary!N$13,CF!$3:$3,0),FALSE)</f>
        <v>2703</v>
      </c>
      <c r="O16" s="414">
        <f>VLOOKUP($B16,BS!$1:$1048576,MATCH(Summary!O$13,CF!$3:$3,0),FALSE)</f>
        <v>2733</v>
      </c>
      <c r="P16" s="414">
        <f>VLOOKUP($B16,BS!$1:$1048576,MATCH(Summary!P$13,CF!$3:$3,0),FALSE)</f>
        <v>2823.303153777751</v>
      </c>
      <c r="Q16" s="414">
        <f>VLOOKUP($B16,BS!$1:$1048576,MATCH(Summary!Q$13,CF!$3:$3,0),FALSE)</f>
        <v>2910.6247395554374</v>
      </c>
      <c r="R16" s="414">
        <f>VLOOKUP($B16,BS!$1:$1048576,MATCH(Summary!R$13,CF!$3:$3,0),FALSE)</f>
        <v>3033.2701763419682</v>
      </c>
    </row>
    <row r="17" spans="1:18" ht="36.75" customHeight="1">
      <c r="A17" s="36" t="s">
        <v>314</v>
      </c>
      <c r="B17" s="36"/>
      <c r="C17" s="36"/>
      <c r="D17" s="417" t="s">
        <v>311</v>
      </c>
      <c r="E17" s="414">
        <f>VLOOKUP($A17,Model!$1:$1048576,MATCH(Summary!E$13,Model!$3:$3,0),FALSE)</f>
        <v>127</v>
      </c>
      <c r="F17" s="414">
        <f>VLOOKUP($A17,Model!$1:$1048576,MATCH(Summary!F$13,Model!$3:$3,0),FALSE)</f>
        <v>837</v>
      </c>
      <c r="G17" s="414">
        <f>VLOOKUP($A17,Model!$1:$1048576,MATCH(Summary!G$13,Model!$3:$3,0),FALSE)</f>
        <v>698</v>
      </c>
      <c r="H17" s="414">
        <f>VLOOKUP($A17,Model!$1:$1048576,MATCH(Summary!H$13,Model!$3:$3,0),FALSE)</f>
        <v>499.20000000000005</v>
      </c>
      <c r="I17" s="414">
        <f>VLOOKUP($A17,Model!$1:$1048576,MATCH(Summary!I$13,Model!$3:$3,0),FALSE)</f>
        <v>0</v>
      </c>
      <c r="J17" s="414">
        <f>VLOOKUP($A17,Model!$1:$1048576,MATCH(Summary!J$13,Model!$3:$3,0),FALSE)</f>
        <v>0</v>
      </c>
      <c r="K17" s="398"/>
      <c r="L17" s="416" t="s">
        <v>220</v>
      </c>
      <c r="M17" s="414">
        <f>M18-SUM(M14:M16)</f>
        <v>227</v>
      </c>
      <c r="N17" s="414">
        <f t="shared" ref="N17:R17" si="1">N18-SUM(N14:N16)</f>
        <v>112</v>
      </c>
      <c r="O17" s="414">
        <f t="shared" si="1"/>
        <v>253</v>
      </c>
      <c r="P17" s="414">
        <f t="shared" si="1"/>
        <v>253</v>
      </c>
      <c r="Q17" s="414">
        <f t="shared" si="1"/>
        <v>253</v>
      </c>
      <c r="R17" s="414">
        <f t="shared" si="1"/>
        <v>253</v>
      </c>
    </row>
    <row r="18" spans="1:18" ht="36.75" customHeight="1">
      <c r="A18" s="36" t="s">
        <v>152</v>
      </c>
      <c r="B18" s="36" t="s">
        <v>274</v>
      </c>
      <c r="C18" s="36"/>
      <c r="D18" s="418" t="s">
        <v>235</v>
      </c>
      <c r="E18" s="419">
        <f>VLOOKUP($A18,Model!$1:$1048576,MATCH(Summary!E$13,Model!$3:$3,0),FALSE)</f>
        <v>40483</v>
      </c>
      <c r="F18" s="419">
        <f>VLOOKUP($A18,Model!$1:$1048576,MATCH(Summary!F$13,Model!$3:$3,0),FALSE)</f>
        <v>43571</v>
      </c>
      <c r="G18" s="419">
        <f>VLOOKUP($A18,Model!$1:$1048576,MATCH(Summary!G$13,Model!$3:$3,0),FALSE)</f>
        <v>44352</v>
      </c>
      <c r="H18" s="419">
        <f>VLOOKUP($A18,Model!$1:$1048576,MATCH(Summary!H$13,Model!$3:$3,0),FALSE)</f>
        <v>45817.4685240947</v>
      </c>
      <c r="I18" s="419">
        <f>VLOOKUP($A18,Model!$1:$1048576,MATCH(Summary!I$13,Model!$3:$3,0),FALSE)</f>
        <v>47234.551207011624</v>
      </c>
      <c r="J18" s="419">
        <f>VLOOKUP($A18,Model!$1:$1048576,MATCH(Summary!J$13,Model!$3:$3,0),FALSE)</f>
        <v>49224.880666344303</v>
      </c>
      <c r="K18" s="398"/>
      <c r="L18" s="418" t="s">
        <v>221</v>
      </c>
      <c r="M18" s="419">
        <f>VLOOKUP($B18,BS!$1:$1048576,MATCH(Summary!M$13,CF!$3:$3,0),FALSE)</f>
        <v>3752</v>
      </c>
      <c r="N18" s="419">
        <f>VLOOKUP($B18,BS!$1:$1048576,MATCH(Summary!N$13,CF!$3:$3,0),FALSE)</f>
        <v>3986</v>
      </c>
      <c r="O18" s="419">
        <f>VLOOKUP($B18,BS!$1:$1048576,MATCH(Summary!O$13,CF!$3:$3,0),FALSE)</f>
        <v>4178</v>
      </c>
      <c r="P18" s="419">
        <f>VLOOKUP($B18,BS!$1:$1048576,MATCH(Summary!P$13,CF!$3:$3,0),FALSE)</f>
        <v>4316.3952619638731</v>
      </c>
      <c r="Q18" s="419">
        <f>VLOOKUP($B18,BS!$1:$1048576,MATCH(Summary!Q$13,CF!$3:$3,0),FALSE)</f>
        <v>4463.7819437064927</v>
      </c>
      <c r="R18" s="419">
        <f>VLOOKUP($B18,BS!$1:$1048576,MATCH(Summary!R$13,CF!$3:$3,0),FALSE)</f>
        <v>4679.6901040979392</v>
      </c>
    </row>
    <row r="19" spans="1:18" ht="36.75" customHeight="1">
      <c r="A19" s="5" t="s">
        <v>35</v>
      </c>
      <c r="B19" s="36" t="s">
        <v>69</v>
      </c>
      <c r="C19" s="36"/>
      <c r="D19" s="420" t="s">
        <v>35</v>
      </c>
      <c r="E19" s="419">
        <f>VLOOKUP($A19,PL!$1:$1048576,MATCH(Summary!E$13,PL!$3:$3,0),FALSE)</f>
        <v>3382</v>
      </c>
      <c r="F19" s="419">
        <f>VLOOKUP($A19,PL!$1:$1048576,MATCH(Summary!F$13,PL!$3:$3,0),FALSE)</f>
        <v>3659</v>
      </c>
      <c r="G19" s="419">
        <f>VLOOKUP($A19,PL!$1:$1048576,MATCH(Summary!G$13,PL!$3:$3,0),FALSE)</f>
        <v>3941</v>
      </c>
      <c r="H19" s="419">
        <f>VLOOKUP($A19,PL!$1:$1048576,MATCH(Summary!H$13,PL!$3:$3,0),FALSE)</f>
        <v>4356.1190230570219</v>
      </c>
      <c r="I19" s="419">
        <f>VLOOKUP($A19,PL!$1:$1048576,MATCH(Summary!I$13,PL!$3:$3,0),FALSE)</f>
        <v>4637.2420919343176</v>
      </c>
      <c r="J19" s="419">
        <f>VLOOKUP($A19,PL!$1:$1048576,MATCH(Summary!J$13,PL!$3:$3,0),FALSE)</f>
        <v>4872.8580020924701</v>
      </c>
      <c r="K19" s="398"/>
      <c r="L19" s="410" t="s">
        <v>222</v>
      </c>
      <c r="M19" s="414">
        <f>VLOOKUP($B19,BS!$1:$1048576,MATCH(Summary!M$13,CF!$3:$3,0),FALSE)</f>
        <v>4985</v>
      </c>
      <c r="N19" s="414">
        <f>VLOOKUP($B19,BS!$1:$1048576,MATCH(Summary!N$13,CF!$3:$3,0),FALSE)</f>
        <v>5619</v>
      </c>
      <c r="O19" s="414">
        <f>VLOOKUP($B19,BS!$1:$1048576,MATCH(Summary!O$13,CF!$3:$3,0),FALSE)</f>
        <v>5866</v>
      </c>
      <c r="P19" s="414">
        <f>VLOOKUP($B19,BS!$1:$1048576,MATCH(Summary!P$13,CF!$3:$3,0),FALSE)</f>
        <v>6072.9250000000002</v>
      </c>
      <c r="Q19" s="414">
        <f>VLOOKUP($B19,BS!$1:$1048576,MATCH(Summary!Q$13,CF!$3:$3,0),FALSE)</f>
        <v>6271.3529500000004</v>
      </c>
      <c r="R19" s="414">
        <f>VLOOKUP($B19,BS!$1:$1048576,MATCH(Summary!R$13,CF!$3:$3,0),FALSE)</f>
        <v>6460.4168762500003</v>
      </c>
    </row>
    <row r="20" spans="1:18" ht="36.75" customHeight="1">
      <c r="A20" s="5" t="s">
        <v>36</v>
      </c>
      <c r="B20" s="36" t="s">
        <v>276</v>
      </c>
      <c r="C20" s="36"/>
      <c r="D20" s="421" t="s">
        <v>36</v>
      </c>
      <c r="E20" s="414">
        <f>VLOOKUP($A20,PL!$1:$1048576,MATCH(Summary!E$13,PL!$3:$3,0),FALSE)</f>
        <v>-1523</v>
      </c>
      <c r="F20" s="414">
        <f>VLOOKUP($A20,PL!$1:$1048576,MATCH(Summary!F$13,PL!$3:$3,0),FALSE)</f>
        <v>-1602</v>
      </c>
      <c r="G20" s="414">
        <f>VLOOKUP($A20,PL!$1:$1048576,MATCH(Summary!G$13,PL!$3:$3,0),FALSE)</f>
        <v>-1829</v>
      </c>
      <c r="H20" s="414">
        <f>VLOOKUP($A20,PL!$1:$1048576,MATCH(Summary!H$13,PL!$3:$3,0),FALSE)</f>
        <v>-1947.885</v>
      </c>
      <c r="I20" s="414">
        <f>VLOOKUP($A20,PL!$1:$1048576,MATCH(Summary!I$13,PL!$3:$3,0),FALSE)</f>
        <v>-2025.8004000000001</v>
      </c>
      <c r="J20" s="414">
        <f>VLOOKUP($A20,PL!$1:$1048576,MATCH(Summary!J$13,PL!$3:$3,0),FALSE)</f>
        <v>-2106.8324160000002</v>
      </c>
      <c r="K20" s="398"/>
      <c r="L20" s="416" t="s">
        <v>336</v>
      </c>
      <c r="M20" s="414">
        <f>VLOOKUP($B20,BS!$1:$1048576,MATCH(Summary!M$13,CF!$3:$3,0),FALSE)</f>
        <v>6507</v>
      </c>
      <c r="N20" s="414">
        <f>VLOOKUP($B20,BS!$1:$1048576,MATCH(Summary!N$13,CF!$3:$3,0),FALSE)</f>
        <v>7048</v>
      </c>
      <c r="O20" s="414">
        <f>VLOOKUP($B20,BS!$1:$1048576,MATCH(Summary!O$13,CF!$3:$3,0),FALSE)</f>
        <v>6942</v>
      </c>
      <c r="P20" s="414">
        <f>VLOOKUP($B20,BS!$1:$1048576,MATCH(Summary!P$13,CF!$3:$3,0),FALSE)</f>
        <v>6987.19</v>
      </c>
      <c r="Q20" s="414">
        <f>VLOOKUP($B20,BS!$1:$1048576,MATCH(Summary!Q$13,CF!$3:$3,0),FALSE)</f>
        <v>7048.9616499999993</v>
      </c>
      <c r="R20" s="414">
        <f>VLOOKUP($B20,BS!$1:$1048576,MATCH(Summary!R$13,CF!$3:$3,0),FALSE)</f>
        <v>7128.6453077499991</v>
      </c>
    </row>
    <row r="21" spans="1:18" ht="36.75" customHeight="1">
      <c r="B21" s="36" t="s">
        <v>223</v>
      </c>
      <c r="C21" s="36"/>
      <c r="D21" s="408" t="s">
        <v>33</v>
      </c>
      <c r="E21" s="414"/>
      <c r="F21" s="414"/>
      <c r="G21" s="414"/>
      <c r="H21" s="414"/>
      <c r="I21" s="414"/>
      <c r="J21" s="414"/>
      <c r="K21" s="398"/>
      <c r="L21" s="416" t="s">
        <v>223</v>
      </c>
      <c r="M21" s="414">
        <f>VLOOKUP($B21,BS!$1:$1048576,MATCH(Summary!M$13,CF!$3:$3,0),FALSE)</f>
        <v>2035</v>
      </c>
      <c r="N21" s="414">
        <f>VLOOKUP($B21,BS!$1:$1048576,MATCH(Summary!N$13,CF!$3:$3,0),FALSE)</f>
        <v>2203</v>
      </c>
      <c r="O21" s="414">
        <f>VLOOKUP($B21,BS!$1:$1048576,MATCH(Summary!O$13,CF!$3:$3,0),FALSE)</f>
        <v>2246</v>
      </c>
      <c r="P21" s="414">
        <f>VLOOKUP($B21,BS!$1:$1048576,MATCH(Summary!P$13,CF!$3:$3,0),FALSE)</f>
        <v>2246</v>
      </c>
      <c r="Q21" s="414">
        <f>VLOOKUP($B21,BS!$1:$1048576,MATCH(Summary!Q$13,CF!$3:$3,0),FALSE)</f>
        <v>2246</v>
      </c>
      <c r="R21" s="414">
        <f>VLOOKUP($B21,BS!$1:$1048576,MATCH(Summary!R$13,CF!$3:$3,0),FALSE)</f>
        <v>2246</v>
      </c>
    </row>
    <row r="22" spans="1:18" ht="36.75" customHeight="1">
      <c r="A22" s="36" t="s">
        <v>316</v>
      </c>
      <c r="B22" s="36"/>
      <c r="C22" s="36"/>
      <c r="D22" s="415" t="s">
        <v>308</v>
      </c>
      <c r="E22" s="414">
        <f>VLOOKUP($A22,Model!$1:$1048576,MATCH(Summary!E$13,Model!$3:$3,0),FALSE)</f>
        <v>1765</v>
      </c>
      <c r="F22" s="414">
        <f>VLOOKUP($A22,Model!$1:$1048576,MATCH(Summary!F$13,Model!$3:$3,0),FALSE)</f>
        <v>2018</v>
      </c>
      <c r="G22" s="414">
        <f>VLOOKUP($A22,Model!$1:$1048576,MATCH(Summary!G$13,Model!$3:$3,0),FALSE)</f>
        <v>2108</v>
      </c>
      <c r="H22" s="414">
        <f>VLOOKUP($A22,Model!$1:$1048576,MATCH(Summary!H$13,Model!$3:$3,0),FALSE)</f>
        <v>2430.6327015947682</v>
      </c>
      <c r="I22" s="414">
        <f>VLOOKUP($A22,Model!$1:$1048576,MATCH(Summary!I$13,Model!$3:$3,0),FALSE)</f>
        <v>2618.7812565851946</v>
      </c>
      <c r="J22" s="414">
        <f>VLOOKUP($A22,Model!$1:$1048576,MATCH(Summary!J$13,Model!$3:$3,0),FALSE)</f>
        <v>2771.5222333596189</v>
      </c>
      <c r="K22" s="398"/>
      <c r="L22" s="416" t="s">
        <v>224</v>
      </c>
      <c r="M22" s="414">
        <f>M23-SUM(M19:M21)</f>
        <v>1013</v>
      </c>
      <c r="N22" s="414">
        <f t="shared" ref="N22" si="2">N23-SUM(N19:N21)</f>
        <v>1014</v>
      </c>
      <c r="O22" s="414">
        <f t="shared" ref="O22" si="3">O23-SUM(O19:O21)</f>
        <v>1062</v>
      </c>
      <c r="P22" s="414">
        <f t="shared" ref="P22" si="4">P23-SUM(P19:P21)</f>
        <v>1062</v>
      </c>
      <c r="Q22" s="414">
        <f t="shared" ref="Q22" si="5">Q23-SUM(Q19:Q21)</f>
        <v>1061.9999999999982</v>
      </c>
      <c r="R22" s="414">
        <f t="shared" ref="R22" si="6">R23-SUM(R19:R21)</f>
        <v>1062</v>
      </c>
    </row>
    <row r="23" spans="1:18" ht="36.75" customHeight="1">
      <c r="A23" s="36" t="s">
        <v>318</v>
      </c>
      <c r="B23" s="36" t="s">
        <v>259</v>
      </c>
      <c r="C23" s="36"/>
      <c r="D23" s="415" t="s">
        <v>310</v>
      </c>
      <c r="E23" s="414">
        <f>VLOOKUP($A23,Model!$1:$1048576,MATCH(Summary!E$13,Model!$3:$3,0),FALSE)</f>
        <v>157</v>
      </c>
      <c r="F23" s="414">
        <f>VLOOKUP($A23,Model!$1:$1048576,MATCH(Summary!F$13,Model!$3:$3,0),FALSE)</f>
        <v>133</v>
      </c>
      <c r="G23" s="414">
        <f>VLOOKUP($A23,Model!$1:$1048576,MATCH(Summary!G$13,Model!$3:$3,0),FALSE)</f>
        <v>113</v>
      </c>
      <c r="H23" s="414">
        <f>VLOOKUP($A23,Model!$1:$1048576,MATCH(Summary!H$13,Model!$3:$3,0),FALSE)</f>
        <v>86.374645244488988</v>
      </c>
      <c r="I23" s="414">
        <f>VLOOKUP($A23,Model!$1:$1048576,MATCH(Summary!I$13,Model!$3:$3,0),FALSE)</f>
        <v>111.17673534912316</v>
      </c>
      <c r="J23" s="414">
        <f>VLOOKUP($A23,Model!$1:$1048576,MATCH(Summary!J$13,Model!$3:$3,0),FALSE)</f>
        <v>116.42514173285116</v>
      </c>
      <c r="K23" s="398"/>
      <c r="L23" s="408" t="s">
        <v>225</v>
      </c>
      <c r="M23" s="419">
        <f>VLOOKUP($B23,BS!$1:$1048576,MATCH(Summary!M$13,CF!$3:$3,0),FALSE)</f>
        <v>14540</v>
      </c>
      <c r="N23" s="419">
        <f>VLOOKUP($B23,BS!$1:$1048576,MATCH(Summary!N$13,CF!$3:$3,0),FALSE)</f>
        <v>15884</v>
      </c>
      <c r="O23" s="419">
        <f>VLOOKUP($B23,BS!$1:$1048576,MATCH(Summary!O$13,CF!$3:$3,0),FALSE)</f>
        <v>16116</v>
      </c>
      <c r="P23" s="419">
        <f>VLOOKUP($B23,BS!$1:$1048576,MATCH(Summary!P$13,CF!$3:$3,0),FALSE)</f>
        <v>16368.115</v>
      </c>
      <c r="Q23" s="419">
        <f>VLOOKUP($B23,BS!$1:$1048576,MATCH(Summary!Q$13,CF!$3:$3,0),FALSE)</f>
        <v>16628.314599999998</v>
      </c>
      <c r="R23" s="419">
        <f>VLOOKUP($B23,BS!$1:$1048576,MATCH(Summary!R$13,CF!$3:$3,0),FALSE)</f>
        <v>16897.062183999999</v>
      </c>
    </row>
    <row r="24" spans="1:18" ht="36.75" customHeight="1">
      <c r="A24" s="36" t="s">
        <v>315</v>
      </c>
      <c r="B24" s="36" t="s">
        <v>260</v>
      </c>
      <c r="C24" s="36"/>
      <c r="D24" s="417" t="s">
        <v>311</v>
      </c>
      <c r="E24" s="414">
        <f>VLOOKUP($A24,Model!$1:$1048576,MATCH(Summary!E$13,Model!$3:$3,0),FALSE)</f>
        <v>-63</v>
      </c>
      <c r="F24" s="414">
        <f>VLOOKUP($A24,Model!$1:$1048576,MATCH(Summary!F$13,Model!$3:$3,0),FALSE)</f>
        <v>-94</v>
      </c>
      <c r="G24" s="414">
        <f>VLOOKUP($A24,Model!$1:$1048576,MATCH(Summary!G$13,Model!$3:$3,0),FALSE)</f>
        <v>-109</v>
      </c>
      <c r="H24" s="414">
        <f>VLOOKUP($A24,Model!$1:$1048576,MATCH(Summary!H$13,Model!$3:$3,0),FALSE)</f>
        <v>-108.77332378223497</v>
      </c>
      <c r="I24" s="414">
        <f>VLOOKUP($A24,Model!$1:$1048576,MATCH(Summary!I$13,Model!$3:$3,0),FALSE)</f>
        <v>-118.51630000000002</v>
      </c>
      <c r="J24" s="414">
        <f>VLOOKUP($A24,Model!$1:$1048576,MATCH(Summary!J$13,Model!$3:$3,0),FALSE)</f>
        <v>-121.92178900000002</v>
      </c>
      <c r="K24" s="398"/>
      <c r="L24" s="416" t="s">
        <v>226</v>
      </c>
      <c r="M24" s="414">
        <f>VLOOKUP($B24,BS!$1:$1048576,MATCH(Summary!M$13,CF!$3:$3,0),FALSE)</f>
        <v>4434</v>
      </c>
      <c r="N24" s="414">
        <f>VLOOKUP($B24,BS!$1:$1048576,MATCH(Summary!N$13,CF!$3:$3,0),FALSE)</f>
        <v>4584</v>
      </c>
      <c r="O24" s="414">
        <f>VLOOKUP($B24,BS!$1:$1048576,MATCH(Summary!O$13,CF!$3:$3,0),FALSE)</f>
        <v>4637</v>
      </c>
      <c r="P24" s="414">
        <f>VLOOKUP($B24,BS!$1:$1048576,MATCH(Summary!P$13,CF!$3:$3,0),FALSE)</f>
        <v>4790.2146813272711</v>
      </c>
      <c r="Q24" s="414">
        <f>VLOOKUP($B24,BS!$1:$1048576,MATCH(Summary!Q$13,CF!$3:$3,0),FALSE)</f>
        <v>4938.3706247049258</v>
      </c>
      <c r="R24" s="414">
        <f>VLOOKUP($B24,BS!$1:$1048576,MATCH(Summary!R$13,CF!$3:$3,0),FALSE)</f>
        <v>5146.459497876951</v>
      </c>
    </row>
    <row r="25" spans="1:18" ht="36.75" customHeight="1">
      <c r="A25" s="36" t="s">
        <v>50</v>
      </c>
      <c r="B25" s="36" t="s">
        <v>279</v>
      </c>
      <c r="C25" s="36"/>
      <c r="D25" s="418" t="s">
        <v>50</v>
      </c>
      <c r="E25" s="419">
        <f>VLOOKUP($A25,Model!$1:$1048576,MATCH(Summary!E$13,Model!$3:$3,0),FALSE)</f>
        <v>1859</v>
      </c>
      <c r="F25" s="419">
        <f>VLOOKUP($A25,Model!$1:$1048576,MATCH(Summary!F$13,Model!$3:$3,0),FALSE)</f>
        <v>2057</v>
      </c>
      <c r="G25" s="419">
        <f>VLOOKUP($A25,Model!$1:$1048576,MATCH(Summary!G$13,Model!$3:$3,0),FALSE)</f>
        <v>2112</v>
      </c>
      <c r="H25" s="419">
        <f>VLOOKUP($A25,Model!$1:$1048576,MATCH(Summary!H$13,Model!$3:$3,0),FALSE)</f>
        <v>2408.2340230570221</v>
      </c>
      <c r="I25" s="419">
        <f>VLOOKUP($A25,Model!$1:$1048576,MATCH(Summary!I$13,Model!$3:$3,0),FALSE)</f>
        <v>2611.4416919343175</v>
      </c>
      <c r="J25" s="419">
        <f>VLOOKUP($A25,Model!$1:$1048576,MATCH(Summary!J$13,Model!$3:$3,0),FALSE)</f>
        <v>2766.0255860924699</v>
      </c>
      <c r="K25" s="398"/>
      <c r="L25" s="422" t="s">
        <v>130</v>
      </c>
      <c r="M25" s="414">
        <f>VLOOKUP($B25,BS!$1:$1048576,MATCH(Summary!M$13,CF!$3:$3,0),FALSE)</f>
        <v>0</v>
      </c>
      <c r="N25" s="414">
        <f>VLOOKUP($B25,BS!$1:$1048576,MATCH(Summary!N$13,CF!$3:$3,0),FALSE)</f>
        <v>0</v>
      </c>
      <c r="O25" s="414">
        <f>VLOOKUP($B25,BS!$1:$1048576,MATCH(Summary!O$13,CF!$3:$3,0),FALSE)</f>
        <v>150</v>
      </c>
      <c r="P25" s="414">
        <f>VLOOKUP($B25,BS!$1:$1048576,MATCH(Summary!P$13,CF!$3:$3,0),FALSE)</f>
        <v>150</v>
      </c>
      <c r="Q25" s="414">
        <f>VLOOKUP($B25,BS!$1:$1048576,MATCH(Summary!Q$13,CF!$3:$3,0),FALSE)</f>
        <v>150</v>
      </c>
      <c r="R25" s="414">
        <f>VLOOKUP($B25,BS!$1:$1048576,MATCH(Summary!R$13,CF!$3:$3,0),FALSE)</f>
        <v>150</v>
      </c>
    </row>
    <row r="26" spans="1:18" ht="36.75" customHeight="1">
      <c r="A26" s="36" t="s">
        <v>255</v>
      </c>
      <c r="B26" s="36"/>
      <c r="C26" s="36"/>
      <c r="D26" s="416" t="s">
        <v>51</v>
      </c>
      <c r="E26" s="414">
        <f>VLOOKUP($A26,PL!$1:$1048576,MATCH(Summary!E$13,PL!$3:$3,0),FALSE)</f>
        <v>-394</v>
      </c>
      <c r="F26" s="414">
        <f>VLOOKUP($A26,PL!$1:$1048576,MATCH(Summary!F$13,PL!$3:$3,0),FALSE)</f>
        <v>-442</v>
      </c>
      <c r="G26" s="414">
        <f>VLOOKUP($A26,PL!$1:$1048576,MATCH(Summary!G$13,PL!$3:$3,0),FALSE)</f>
        <v>-541</v>
      </c>
      <c r="H26" s="414">
        <f>VLOOKUP($A26,PL!$1:$1048576,MATCH(Summary!H$13,PL!$3:$3,0),FALSE)</f>
        <v>-552.75</v>
      </c>
      <c r="I26" s="414">
        <f>VLOOKUP($A26,PL!$1:$1048576,MATCH(Summary!I$13,PL!$3:$3,0),FALSE)</f>
        <v>-565.88249999999994</v>
      </c>
      <c r="J26" s="414">
        <f>VLOOKUP($A26,PL!$1:$1048576,MATCH(Summary!J$13,PL!$3:$3,0),FALSE)</f>
        <v>-579.40897500000005</v>
      </c>
      <c r="K26" s="398"/>
      <c r="L26" s="422" t="s">
        <v>227</v>
      </c>
      <c r="M26" s="414">
        <f>M27-SUM(M24:M25)</f>
        <v>1974</v>
      </c>
      <c r="N26" s="414">
        <f t="shared" ref="N26:R26" si="7">N27-SUM(N24:N25)</f>
        <v>2187</v>
      </c>
      <c r="O26" s="414">
        <f t="shared" si="7"/>
        <v>2069</v>
      </c>
      <c r="P26" s="414">
        <f t="shared" si="7"/>
        <v>2069</v>
      </c>
      <c r="Q26" s="414">
        <f t="shared" si="7"/>
        <v>2069</v>
      </c>
      <c r="R26" s="414">
        <f t="shared" si="7"/>
        <v>2069</v>
      </c>
    </row>
    <row r="27" spans="1:18" ht="36.75" customHeight="1">
      <c r="A27" s="36" t="s">
        <v>52</v>
      </c>
      <c r="B27" s="36" t="s">
        <v>261</v>
      </c>
      <c r="C27" s="36"/>
      <c r="D27" s="418" t="s">
        <v>52</v>
      </c>
      <c r="E27" s="419">
        <f>VLOOKUP($A27,PL!$1:$1048576,MATCH(Summary!E$13,PL!$3:$3,0),FALSE)</f>
        <v>1465</v>
      </c>
      <c r="F27" s="419">
        <f>VLOOKUP($A27,PL!$1:$1048576,MATCH(Summary!F$13,PL!$3:$3,0),FALSE)</f>
        <v>1615</v>
      </c>
      <c r="G27" s="419">
        <f>VLOOKUP($A27,PL!$1:$1048576,MATCH(Summary!G$13,PL!$3:$3,0),FALSE)</f>
        <v>1571</v>
      </c>
      <c r="H27" s="419">
        <f>VLOOKUP($A27,PL!$1:$1048576,MATCH(Summary!H$13,PL!$3:$3,0),FALSE)</f>
        <v>1855.4840230570221</v>
      </c>
      <c r="I27" s="419">
        <f>VLOOKUP($A27,PL!$1:$1048576,MATCH(Summary!I$13,PL!$3:$3,0),FALSE)</f>
        <v>2045.5591919343176</v>
      </c>
      <c r="J27" s="419">
        <f>VLOOKUP($A27,PL!$1:$1048576,MATCH(Summary!J$13,PL!$3:$3,0),FALSE)</f>
        <v>2186.6166110924696</v>
      </c>
      <c r="K27" s="398"/>
      <c r="L27" s="423" t="s">
        <v>228</v>
      </c>
      <c r="M27" s="414">
        <f>VLOOKUP($B27,BS!$1:$1048576,MATCH(Summary!M$13,CF!$3:$3,0),FALSE)</f>
        <v>6408</v>
      </c>
      <c r="N27" s="414">
        <f>VLOOKUP($B27,BS!$1:$1048576,MATCH(Summary!N$13,CF!$3:$3,0),FALSE)</f>
        <v>6771</v>
      </c>
      <c r="O27" s="414">
        <f>VLOOKUP($B27,BS!$1:$1048576,MATCH(Summary!O$13,CF!$3:$3,0),FALSE)</f>
        <v>6856</v>
      </c>
      <c r="P27" s="414">
        <f>VLOOKUP($B27,BS!$1:$1048576,MATCH(Summary!P$13,CF!$3:$3,0),FALSE)</f>
        <v>7009.2146813272711</v>
      </c>
      <c r="Q27" s="414">
        <f>VLOOKUP($B27,BS!$1:$1048576,MATCH(Summary!Q$13,CF!$3:$3,0),FALSE)</f>
        <v>7157.3706247049258</v>
      </c>
      <c r="R27" s="414">
        <f>VLOOKUP($B27,BS!$1:$1048576,MATCH(Summary!R$13,CF!$3:$3,0),FALSE)</f>
        <v>7365.459497876951</v>
      </c>
    </row>
    <row r="28" spans="1:18" ht="36.75" customHeight="1">
      <c r="A28" s="36" t="s">
        <v>240</v>
      </c>
      <c r="B28" s="36" t="s">
        <v>277</v>
      </c>
      <c r="C28" s="36"/>
      <c r="D28" s="416" t="s">
        <v>236</v>
      </c>
      <c r="E28" s="414">
        <f>VLOOKUP($A28,PL!$1:$1048576,MATCH(Summary!E$13,PL!$3:$3,0),FALSE)</f>
        <v>-423</v>
      </c>
      <c r="F28" s="414">
        <f>VLOOKUP($A28,PL!$1:$1048576,MATCH(Summary!F$13,PL!$3:$3,0),FALSE)</f>
        <v>-487</v>
      </c>
      <c r="G28" s="414">
        <f>VLOOKUP($A28,PL!$1:$1048576,MATCH(Summary!G$13,PL!$3:$3,0),FALSE)</f>
        <v>-467</v>
      </c>
      <c r="H28" s="414">
        <f>VLOOKUP($A28,PL!$1:$1048576,MATCH(Summary!H$13,PL!$3:$3,0),FALSE)</f>
        <v>-556.64520691710663</v>
      </c>
      <c r="I28" s="414">
        <f>VLOOKUP($A28,PL!$1:$1048576,MATCH(Summary!I$13,PL!$3:$3,0),FALSE)</f>
        <v>-613.6677575802953</v>
      </c>
      <c r="J28" s="414">
        <f>VLOOKUP($A28,PL!$1:$1048576,MATCH(Summary!J$13,PL!$3:$3,0),FALSE)</f>
        <v>-655.98498332774091</v>
      </c>
      <c r="K28" s="398"/>
      <c r="L28" s="422" t="s">
        <v>229</v>
      </c>
      <c r="M28" s="414">
        <f>VLOOKUP($B28,BS!$1:$1048576,MATCH(Summary!M$13,CF!$3:$3,0),FALSE)</f>
        <v>7029</v>
      </c>
      <c r="N28" s="414">
        <f>VLOOKUP($B28,BS!$1:$1048576,MATCH(Summary!N$13,CF!$3:$3,0),FALSE)</f>
        <v>7506</v>
      </c>
      <c r="O28" s="414">
        <f>VLOOKUP($B28,BS!$1:$1048576,MATCH(Summary!O$13,CF!$3:$3,0),FALSE)</f>
        <v>7415</v>
      </c>
      <c r="P28" s="414">
        <f>VLOOKUP($B28,BS!$1:$1048576,MATCH(Summary!P$13,CF!$3:$3,0),FALSE)</f>
        <v>7458.45</v>
      </c>
      <c r="Q28" s="414">
        <f>VLOOKUP($B28,BS!$1:$1048576,MATCH(Summary!Q$13,CF!$3:$3,0),FALSE)</f>
        <v>7504.0724999999993</v>
      </c>
      <c r="R28" s="414">
        <f>VLOOKUP($B28,BS!$1:$1048576,MATCH(Summary!R$13,CF!$3:$3,0),FALSE)</f>
        <v>7551.9761249999992</v>
      </c>
    </row>
    <row r="29" spans="1:18" ht="36.75" customHeight="1">
      <c r="A29" s="36" t="s">
        <v>131</v>
      </c>
      <c r="B29" s="36" t="s">
        <v>278</v>
      </c>
      <c r="C29" s="36"/>
      <c r="D29" s="418" t="s">
        <v>237</v>
      </c>
      <c r="E29" s="419">
        <f>VLOOKUP($A29,PL!$1:$1048576,MATCH(Summary!E$13,PL!$3:$3,0),FALSE)</f>
        <v>1042</v>
      </c>
      <c r="F29" s="419">
        <f>VLOOKUP($A29,PL!$1:$1048576,MATCH(Summary!F$13,PL!$3:$3,0),FALSE)</f>
        <v>1128</v>
      </c>
      <c r="G29" s="419">
        <f>VLOOKUP($A29,PL!$1:$1048576,MATCH(Summary!G$13,PL!$3:$3,0),FALSE)</f>
        <v>1104</v>
      </c>
      <c r="H29" s="419">
        <f>VLOOKUP($A29,PL!$1:$1048576,MATCH(Summary!H$13,PL!$3:$3,0),FALSE)</f>
        <v>1298.8388161399155</v>
      </c>
      <c r="I29" s="419">
        <f>VLOOKUP($A29,PL!$1:$1048576,MATCH(Summary!I$13,PL!$3:$3,0),FALSE)</f>
        <v>1431.8914343540223</v>
      </c>
      <c r="J29" s="419">
        <f>VLOOKUP($A29,PL!$1:$1048576,MATCH(Summary!J$13,PL!$3:$3,0),FALSE)</f>
        <v>1530.6316277647288</v>
      </c>
      <c r="K29" s="398"/>
      <c r="L29" s="422" t="s">
        <v>130</v>
      </c>
      <c r="M29" s="414">
        <f>VLOOKUP($B29,BS!$1:$1048576,MATCH(Summary!M$13,CF!$3:$3,0),FALSE)</f>
        <v>1118</v>
      </c>
      <c r="N29" s="414">
        <f>VLOOKUP($B29,BS!$1:$1048576,MATCH(Summary!N$13,CF!$3:$3,0),FALSE)</f>
        <v>1652</v>
      </c>
      <c r="O29" s="414">
        <f>VLOOKUP($B29,BS!$1:$1048576,MATCH(Summary!O$13,CF!$3:$3,0),FALSE)</f>
        <v>1834</v>
      </c>
      <c r="P29" s="414">
        <f>VLOOKUP($B29,BS!$1:$1048576,MATCH(Summary!P$13,CF!$3:$3,0),FALSE)</f>
        <v>1834</v>
      </c>
      <c r="Q29" s="414">
        <f>VLOOKUP($B29,BS!$1:$1048576,MATCH(Summary!Q$13,CF!$3:$3,0),FALSE)</f>
        <v>1834</v>
      </c>
      <c r="R29" s="414">
        <f>VLOOKUP($B29,BS!$1:$1048576,MATCH(Summary!R$13,CF!$3:$3,0),FALSE)</f>
        <v>1834</v>
      </c>
    </row>
    <row r="30" spans="1:18" ht="36.75" customHeight="1">
      <c r="A30" s="36" t="s">
        <v>404</v>
      </c>
      <c r="B30" s="36"/>
      <c r="C30" s="36"/>
      <c r="D30" s="416" t="s">
        <v>238</v>
      </c>
      <c r="E30" s="414">
        <f>VLOOKUP($A30,PL!$1:$1048576,MATCH(Summary!E$13,PL!$3:$3,0),FALSE)</f>
        <v>1338</v>
      </c>
      <c r="F30" s="414">
        <f>VLOOKUP($A30,PL!$1:$1048576,MATCH(Summary!F$13,PL!$3:$3,0),FALSE)</f>
        <v>1338</v>
      </c>
      <c r="G30" s="414">
        <f>VLOOKUP($A30,PL!$1:$1048576,MATCH(Summary!G$13,PL!$3:$3,0),FALSE)</f>
        <v>1340</v>
      </c>
      <c r="H30" s="414">
        <f>VLOOKUP($A30,PL!$1:$1048576,MATCH(Summary!H$13,PL!$3:$3,0),FALSE)</f>
        <v>1342</v>
      </c>
      <c r="I30" s="414">
        <f>VLOOKUP($A30,PL!$1:$1048576,MATCH(Summary!I$13,PL!$3:$3,0),FALSE)</f>
        <v>1344</v>
      </c>
      <c r="J30" s="414">
        <f>VLOOKUP($A30,PL!$1:$1048576,MATCH(Summary!J$13,PL!$3:$3,0),FALSE)</f>
        <v>1346</v>
      </c>
      <c r="K30" s="398"/>
      <c r="L30" s="422" t="s">
        <v>230</v>
      </c>
      <c r="M30" s="414">
        <f>M31-SUM(M28:M29)</f>
        <v>381</v>
      </c>
      <c r="N30" s="414">
        <f t="shared" ref="N30" si="8">N31-SUM(N28:N29)</f>
        <v>324</v>
      </c>
      <c r="O30" s="414">
        <f t="shared" ref="O30" si="9">O31-SUM(O28:O29)</f>
        <v>383</v>
      </c>
      <c r="P30" s="414">
        <f t="shared" ref="P30" si="10">P31-SUM(P28:P29)</f>
        <v>383</v>
      </c>
      <c r="Q30" s="414">
        <f t="shared" ref="Q30" si="11">Q31-SUM(Q28:Q29)</f>
        <v>383</v>
      </c>
      <c r="R30" s="414">
        <f t="shared" ref="R30" si="12">R31-SUM(R28:R29)</f>
        <v>383</v>
      </c>
    </row>
    <row r="31" spans="1:18" ht="36.75" customHeight="1">
      <c r="A31" s="36" t="s">
        <v>132</v>
      </c>
      <c r="B31" s="36" t="s">
        <v>280</v>
      </c>
      <c r="C31" s="36"/>
      <c r="D31" s="418" t="s">
        <v>132</v>
      </c>
      <c r="E31" s="424">
        <f>VLOOKUP($A31,PL!$1:$1048576,MATCH(Summary!E$13,PL!$3:$3,0),FALSE)</f>
        <v>0.77877428998505227</v>
      </c>
      <c r="F31" s="424">
        <f>VLOOKUP($A31,PL!$1:$1048576,MATCH(Summary!F$13,PL!$3:$3,0),FALSE)</f>
        <v>0.84304932735426008</v>
      </c>
      <c r="G31" s="424">
        <f>VLOOKUP($A31,PL!$1:$1048576,MATCH(Summary!G$13,PL!$3:$3,0),FALSE)</f>
        <v>0.82388059701492533</v>
      </c>
      <c r="H31" s="424">
        <f>VLOOKUP($A31,PL!$1:$1048576,MATCH(Summary!H$13,PL!$3:$3,0),FALSE)</f>
        <v>0.96783816403868517</v>
      </c>
      <c r="I31" s="424">
        <f>VLOOKUP($A31,PL!$1:$1048576,MATCH(Summary!I$13,PL!$3:$3,0),FALSE)</f>
        <v>1.0653954124657905</v>
      </c>
      <c r="J31" s="424">
        <f>VLOOKUP($A31,PL!$1:$1048576,MATCH(Summary!J$13,PL!$3:$3,0),FALSE)</f>
        <v>1.137170600122384</v>
      </c>
      <c r="K31" s="398"/>
      <c r="L31" s="425" t="s">
        <v>231</v>
      </c>
      <c r="M31" s="419">
        <f>VLOOKUP($B31,BS!$1:$1048576,MATCH(Summary!M$13,CF!$3:$3,0),FALSE)</f>
        <v>8528</v>
      </c>
      <c r="N31" s="419">
        <f>VLOOKUP($B31,BS!$1:$1048576,MATCH(Summary!N$13,CF!$3:$3,0),FALSE)</f>
        <v>9482</v>
      </c>
      <c r="O31" s="419">
        <f>VLOOKUP($B31,BS!$1:$1048576,MATCH(Summary!O$13,CF!$3:$3,0),FALSE)</f>
        <v>9632</v>
      </c>
      <c r="P31" s="419">
        <f>VLOOKUP($B31,BS!$1:$1048576,MATCH(Summary!P$13,CF!$3:$3,0),FALSE)</f>
        <v>9675.4500000000007</v>
      </c>
      <c r="Q31" s="419">
        <f>VLOOKUP($B31,BS!$1:$1048576,MATCH(Summary!Q$13,CF!$3:$3,0),FALSE)</f>
        <v>9721.0724999999984</v>
      </c>
      <c r="R31" s="419">
        <f>VLOOKUP($B31,BS!$1:$1048576,MATCH(Summary!R$13,CF!$3:$3,0),FALSE)</f>
        <v>9768.9761249999992</v>
      </c>
    </row>
    <row r="32" spans="1:18" ht="36.75" customHeight="1">
      <c r="A32" s="36" t="s">
        <v>133</v>
      </c>
      <c r="B32" s="36" t="s">
        <v>281</v>
      </c>
      <c r="C32" s="36"/>
      <c r="D32" s="416" t="s">
        <v>133</v>
      </c>
      <c r="E32" s="426">
        <f>VLOOKUP($A32,PL!$1:$1048576,MATCH(Summary!E$13,PL!$3:$3,0),FALSE)</f>
        <v>0.66</v>
      </c>
      <c r="F32" s="426">
        <f>VLOOKUP($A32,PL!$1:$1048576,MATCH(Summary!F$13,PL!$3:$3,0),FALSE)</f>
        <v>0.68</v>
      </c>
      <c r="G32" s="426">
        <f>VLOOKUP($A32,PL!$1:$1048576,MATCH(Summary!G$13,PL!$3:$3,0),FALSE)</f>
        <v>0.69</v>
      </c>
      <c r="H32" s="426">
        <f>VLOOKUP($A32,PL!$1:$1048576,MATCH(Summary!H$13,PL!$3:$3,0),FALSE)</f>
        <v>0.82266243943288242</v>
      </c>
      <c r="I32" s="426">
        <f>VLOOKUP($A32,PL!$1:$1048576,MATCH(Summary!I$13,PL!$3:$3,0),FALSE)</f>
        <v>0.90558610059592193</v>
      </c>
      <c r="J32" s="426">
        <f>VLOOKUP($A32,PL!$1:$1048576,MATCH(Summary!J$13,PL!$3:$3,0),FALSE)</f>
        <v>0.96659501010402638</v>
      </c>
      <c r="K32" s="398"/>
      <c r="L32" s="427" t="s">
        <v>82</v>
      </c>
      <c r="M32" s="414">
        <f>VLOOKUP($B32,BS!$1:$1048576,MATCH(Summary!M$13,CF!$3:$3,0),FALSE)</f>
        <v>1644</v>
      </c>
      <c r="N32" s="414">
        <f>VLOOKUP($B32,BS!$1:$1048576,MATCH(Summary!N$13,CF!$3:$3,0),FALSE)</f>
        <v>1672</v>
      </c>
      <c r="O32" s="414">
        <f>VLOOKUP($B32,BS!$1:$1048576,MATCH(Summary!O$13,CF!$3:$3,0),FALSE)</f>
        <v>1704</v>
      </c>
      <c r="P32" s="414">
        <f>VLOOKUP($B32,BS!$1:$1048576,MATCH(Summary!P$13,CF!$3:$3,0),FALSE)</f>
        <v>1704</v>
      </c>
      <c r="Q32" s="414">
        <f>VLOOKUP($B32,BS!$1:$1048576,MATCH(Summary!Q$13,CF!$3:$3,0),FALSE)</f>
        <v>1704</v>
      </c>
      <c r="R32" s="414">
        <f>VLOOKUP($B32,BS!$1:$1048576,MATCH(Summary!R$13,CF!$3:$3,0),FALSE)</f>
        <v>1704</v>
      </c>
    </row>
    <row r="33" spans="1:18" ht="36.75" customHeight="1">
      <c r="B33" s="36" t="s">
        <v>78</v>
      </c>
      <c r="C33" s="36"/>
      <c r="D33" s="421"/>
      <c r="E33" s="428"/>
      <c r="F33" s="428"/>
      <c r="G33" s="428"/>
      <c r="H33" s="428"/>
      <c r="I33" s="428"/>
      <c r="J33" s="428"/>
      <c r="K33" s="398"/>
      <c r="L33" s="427" t="s">
        <v>78</v>
      </c>
      <c r="M33" s="414">
        <f>VLOOKUP($B33,BS!$1:$1048576,MATCH(Summary!M$13,CF!$3:$3,0),FALSE)</f>
        <v>104</v>
      </c>
      <c r="N33" s="414">
        <f>VLOOKUP($B33,BS!$1:$1048576,MATCH(Summary!N$13,CF!$3:$3,0),FALSE)</f>
        <v>103</v>
      </c>
      <c r="O33" s="414">
        <f>VLOOKUP($B33,BS!$1:$1048576,MATCH(Summary!O$13,CF!$3:$3,0),FALSE)</f>
        <v>106</v>
      </c>
      <c r="P33" s="414">
        <f>VLOOKUP($B33,BS!$1:$1048576,MATCH(Summary!P$13,CF!$3:$3,0),FALSE)</f>
        <v>106</v>
      </c>
      <c r="Q33" s="414">
        <f>VLOOKUP($B33,BS!$1:$1048576,MATCH(Summary!Q$13,CF!$3:$3,0),FALSE)</f>
        <v>106</v>
      </c>
      <c r="R33" s="414">
        <f>VLOOKUP($B33,BS!$1:$1048576,MATCH(Summary!R$13,CF!$3:$3,0),FALSE)</f>
        <v>106</v>
      </c>
    </row>
    <row r="34" spans="1:18" ht="28.5" customHeight="1">
      <c r="B34" s="36" t="s">
        <v>79</v>
      </c>
      <c r="C34" s="36"/>
      <c r="D34" s="411" t="s">
        <v>232</v>
      </c>
      <c r="E34" s="412" t="s">
        <v>8</v>
      </c>
      <c r="F34" s="412" t="s">
        <v>9</v>
      </c>
      <c r="G34" s="412" t="s">
        <v>10</v>
      </c>
      <c r="H34" s="412" t="s">
        <v>29</v>
      </c>
      <c r="I34" s="412" t="s">
        <v>30</v>
      </c>
      <c r="J34" s="412" t="s">
        <v>215</v>
      </c>
      <c r="K34" s="398"/>
      <c r="L34" s="427" t="s">
        <v>79</v>
      </c>
      <c r="M34" s="414">
        <f>VLOOKUP($B34,BS!$1:$1048576,MATCH(Summary!M$13,CF!$3:$3,0),FALSE)</f>
        <v>1608</v>
      </c>
      <c r="N34" s="414">
        <f>VLOOKUP($B34,BS!$1:$1048576,MATCH(Summary!N$13,CF!$3:$3,0),FALSE)</f>
        <v>1842</v>
      </c>
      <c r="O34" s="414">
        <f>VLOOKUP($B34,BS!$1:$1048576,MATCH(Summary!O$13,CF!$3:$3,0),FALSE)</f>
        <v>1996</v>
      </c>
      <c r="P34" s="414">
        <f>VLOOKUP($B34,BS!$1:$1048576,MATCH(Summary!P$13,CF!$3:$3,0),FALSE)</f>
        <v>2189.8455806366055</v>
      </c>
      <c r="Q34" s="414">
        <f>VLOOKUP($B34,BS!$1:$1048576,MATCH(Summary!Q$13,CF!$3:$3,0),FALSE)</f>
        <v>2403.65341900157</v>
      </c>
      <c r="R34" s="414">
        <f>VLOOKUP($B34,BS!$1:$1048576,MATCH(Summary!R$13,CF!$3:$3,0),FALSE)</f>
        <v>2632.3166652209916</v>
      </c>
    </row>
    <row r="35" spans="1:18" ht="36.75" customHeight="1">
      <c r="A35" s="36" t="s">
        <v>33</v>
      </c>
      <c r="B35" s="36" t="s">
        <v>80</v>
      </c>
      <c r="C35" s="36"/>
      <c r="D35" s="398" t="s">
        <v>33</v>
      </c>
      <c r="E35" s="414">
        <f>VLOOKUP($A35,CF!$1:$1048576,MATCH(Summary!E$13,CF!$3:$3,0),FALSE)</f>
        <v>1859</v>
      </c>
      <c r="F35" s="414">
        <f>VLOOKUP($A35,CF!$1:$1048576,MATCH(Summary!F$13,CF!$3:$3,0),FALSE)</f>
        <v>2057</v>
      </c>
      <c r="G35" s="414">
        <f>VLOOKUP($A35,CF!$1:$1048576,MATCH(Summary!G$13,CF!$3:$3,0),FALSE)</f>
        <v>2112</v>
      </c>
      <c r="H35" s="414">
        <f>VLOOKUP($A35,CF!$1:$1048576,MATCH(Summary!H$13,CF!$3:$3,0),FALSE)</f>
        <v>2408.2340230570221</v>
      </c>
      <c r="I35" s="414">
        <f>VLOOKUP($A35,CF!$1:$1048576,MATCH(Summary!I$13,CF!$3:$3,0),FALSE)</f>
        <v>2611.4416919343175</v>
      </c>
      <c r="J35" s="414">
        <f>VLOOKUP($A35,CF!$1:$1048576,MATCH(Summary!J$13,CF!$3:$3,0),FALSE)</f>
        <v>2766.0255860924699</v>
      </c>
      <c r="K35" s="398"/>
      <c r="L35" s="423" t="s">
        <v>80</v>
      </c>
      <c r="M35" s="419">
        <f>VLOOKUP($B35,BS!$1:$1048576,MATCH(Summary!M$13,CF!$3:$3,0),FALSE)</f>
        <v>3356</v>
      </c>
      <c r="N35" s="419">
        <f>VLOOKUP($B35,BS!$1:$1048576,MATCH(Summary!N$13,CF!$3:$3,0),FALSE)</f>
        <v>3617</v>
      </c>
      <c r="O35" s="419">
        <f>VLOOKUP($B35,BS!$1:$1048576,MATCH(Summary!O$13,CF!$3:$3,0),FALSE)</f>
        <v>3806</v>
      </c>
      <c r="P35" s="419">
        <f>VLOOKUP($B35,BS!$1:$1048576,MATCH(Summary!P$13,CF!$3:$3,0),FALSE)</f>
        <v>3999.8455806366055</v>
      </c>
      <c r="Q35" s="419">
        <f>VLOOKUP($B35,BS!$1:$1048576,MATCH(Summary!Q$13,CF!$3:$3,0),FALSE)</f>
        <v>4213.65341900157</v>
      </c>
      <c r="R35" s="419">
        <f>VLOOKUP($B35,BS!$1:$1048576,MATCH(Summary!R$13,CF!$3:$3,0),FALSE)</f>
        <v>4442.3166652209911</v>
      </c>
    </row>
    <row r="36" spans="1:18" ht="36.75" customHeight="1">
      <c r="A36" s="36" t="s">
        <v>36</v>
      </c>
      <c r="B36" s="36" t="s">
        <v>135</v>
      </c>
      <c r="C36" s="36"/>
      <c r="D36" s="398" t="s">
        <v>36</v>
      </c>
      <c r="E36" s="414">
        <f>VLOOKUP($A36,CF!$1:$1048576,MATCH(Summary!E$13,CF!$3:$3,0),FALSE)</f>
        <v>1523</v>
      </c>
      <c r="F36" s="414">
        <f>VLOOKUP($A36,CF!$1:$1048576,MATCH(Summary!F$13,CF!$3:$3,0),FALSE)</f>
        <v>1602</v>
      </c>
      <c r="G36" s="414">
        <f>VLOOKUP($A36,CF!$1:$1048576,MATCH(Summary!G$13,CF!$3:$3,0),FALSE)</f>
        <v>1829</v>
      </c>
      <c r="H36" s="414">
        <f>VLOOKUP($A36,CF!$1:$1048576,MATCH(Summary!H$13,CF!$3:$3,0),FALSE)</f>
        <v>1947.885</v>
      </c>
      <c r="I36" s="414">
        <f>VLOOKUP($A36,CF!$1:$1048576,MATCH(Summary!I$13,CF!$3:$3,0),FALSE)</f>
        <v>2025.8004000000001</v>
      </c>
      <c r="J36" s="414">
        <f>VLOOKUP($A36,CF!$1:$1048576,MATCH(Summary!J$13,CF!$3:$3,0),FALSE)</f>
        <v>2106.8324160000002</v>
      </c>
      <c r="K36" s="398"/>
      <c r="L36" s="423" t="s">
        <v>239</v>
      </c>
      <c r="M36" s="419">
        <f>VLOOKUP($B36,BS!$1:$1048576,MATCH(Summary!M$13,CF!$3:$3,0),FALSE)</f>
        <v>521</v>
      </c>
      <c r="N36" s="419">
        <f>VLOOKUP($B36,BS!$1:$1048576,MATCH(Summary!N$13,CF!$3:$3,0),FALSE)</f>
        <v>976.99999999999989</v>
      </c>
      <c r="O36" s="419">
        <f>VLOOKUP($B36,BS!$1:$1048576,MATCH(Summary!O$13,CF!$3:$3,0),FALSE)</f>
        <v>1279</v>
      </c>
      <c r="P36" s="419">
        <f>VLOOKUP($B36,BS!$1:$1048576,MATCH(Summary!P$13,CF!$3:$3,0),FALSE)</f>
        <v>1246.9992331566386</v>
      </c>
      <c r="Q36" s="419">
        <f>VLOOKUP($B36,BS!$1:$1048576,MATCH(Summary!Q$13,CF!$3:$3,0),FALSE)</f>
        <v>1202.4941855904367</v>
      </c>
      <c r="R36" s="419">
        <f>VLOOKUP($B36,BS!$1:$1048576,MATCH(Summary!R$13,CF!$3:$3,0),FALSE)</f>
        <v>1131.0859543803404</v>
      </c>
    </row>
    <row r="37" spans="1:18" ht="28.5" customHeight="1">
      <c r="A37" s="36" t="s">
        <v>51</v>
      </c>
      <c r="B37" s="36"/>
      <c r="C37" s="36"/>
      <c r="D37" s="429" t="s">
        <v>51</v>
      </c>
      <c r="E37" s="414">
        <f>VLOOKUP($A37,CF!$1:$1048576,MATCH(Summary!E$13,CF!$3:$3,0),FALSE)</f>
        <v>-394</v>
      </c>
      <c r="F37" s="414">
        <f>VLOOKUP($A37,CF!$1:$1048576,MATCH(Summary!F$13,CF!$3:$3,0),FALSE)</f>
        <v>-442</v>
      </c>
      <c r="G37" s="414">
        <f>VLOOKUP($A37,CF!$1:$1048576,MATCH(Summary!G$13,CF!$3:$3,0),FALSE)</f>
        <v>-541</v>
      </c>
      <c r="H37" s="414">
        <f>VLOOKUP($A37,CF!$1:$1048576,MATCH(Summary!H$13,CF!$3:$3,0),FALSE)</f>
        <v>-552.75</v>
      </c>
      <c r="I37" s="414">
        <f>VLOOKUP($A37,CF!$1:$1048576,MATCH(Summary!I$13,CF!$3:$3,0),FALSE)</f>
        <v>-565.88249999999994</v>
      </c>
      <c r="J37" s="414">
        <f>VLOOKUP($A37,CF!$1:$1048576,MATCH(Summary!J$13,CF!$3:$3,0),FALSE)</f>
        <v>-579.40897500000005</v>
      </c>
      <c r="K37" s="398"/>
      <c r="L37" s="411" t="s">
        <v>233</v>
      </c>
      <c r="M37" s="412" t="str">
        <f>E$13</f>
        <v>FY23</v>
      </c>
      <c r="N37" s="412" t="str">
        <f t="shared" ref="N37" si="13">F$13</f>
        <v>FY24</v>
      </c>
      <c r="O37" s="412" t="str">
        <f t="shared" ref="O37" si="14">G$13</f>
        <v>FY25</v>
      </c>
      <c r="P37" s="412" t="str">
        <f t="shared" ref="P37" si="15">H$13</f>
        <v>FY26E</v>
      </c>
      <c r="Q37" s="412" t="str">
        <f t="shared" ref="Q37" si="16">I$13</f>
        <v>FY27E</v>
      </c>
      <c r="R37" s="412" t="str">
        <f t="shared" ref="R37" si="17">J$13</f>
        <v>FY28E</v>
      </c>
    </row>
    <row r="38" spans="1:18" ht="36.75" customHeight="1">
      <c r="A38" s="36" t="s">
        <v>240</v>
      </c>
      <c r="B38" s="36" t="s">
        <v>320</v>
      </c>
      <c r="C38" s="36"/>
      <c r="D38" s="421" t="s">
        <v>240</v>
      </c>
      <c r="E38" s="414">
        <f>VLOOKUP($A38,CF!$1:$1048576,MATCH(Summary!E$13,CF!$3:$3,0),FALSE)</f>
        <v>-423</v>
      </c>
      <c r="F38" s="414">
        <f>VLOOKUP($A38,CF!$1:$1048576,MATCH(Summary!F$13,CF!$3:$3,0),FALSE)</f>
        <v>-487</v>
      </c>
      <c r="G38" s="414">
        <f>VLOOKUP($A38,CF!$1:$1048576,MATCH(Summary!G$13,CF!$3:$3,0),FALSE)</f>
        <v>-467</v>
      </c>
      <c r="H38" s="414">
        <f>VLOOKUP($A38,CF!$1:$1048576,MATCH(Summary!H$13,CF!$3:$3,0),FALSE)</f>
        <v>-556.64520691710663</v>
      </c>
      <c r="I38" s="414">
        <f>VLOOKUP($A38,CF!$1:$1048576,MATCH(Summary!I$13,CF!$3:$3,0),FALSE)</f>
        <v>-613.6677575802953</v>
      </c>
      <c r="J38" s="414">
        <f>VLOOKUP($A38,CF!$1:$1048576,MATCH(Summary!J$13,CF!$3:$3,0),FALSE)</f>
        <v>-655.98498332774091</v>
      </c>
      <c r="K38" s="398"/>
      <c r="L38" s="417" t="s">
        <v>406</v>
      </c>
      <c r="M38" s="430">
        <f>VLOOKUP($B38,Model!$1:$1048576,MATCH(Summary!M$13,CF!$3:$3,0),FALSE)</f>
        <v>5.8000000000000003E-2</v>
      </c>
      <c r="N38" s="430">
        <f>VLOOKUP($B38,Model!$1:$1048576,MATCH(Summary!N$13,CF!$3:$3,0),FALSE)</f>
        <v>3.4000000000000002E-2</v>
      </c>
      <c r="O38" s="430">
        <f>VLOOKUP($B38,Model!$1:$1048576,MATCH(Summary!O$13,CF!$3:$3,0),FALSE)</f>
        <v>3.6999999999999998E-2</v>
      </c>
      <c r="P38" s="430">
        <f>VLOOKUP($B38,Model!$1:$1048576,MATCH(Summary!P$13,CF!$3:$3,0),FALSE)</f>
        <v>3.875E-2</v>
      </c>
      <c r="Q38" s="430">
        <f>VLOOKUP($B38,Model!$1:$1048576,MATCH(Summary!Q$13,CF!$3:$3,0),FALSE)</f>
        <v>3.5000000000000003E-2</v>
      </c>
      <c r="R38" s="430">
        <f>VLOOKUP($B38,Model!$1:$1048576,MATCH(Summary!R$13,CF!$3:$3,0),FALSE)</f>
        <v>3.5000000000000003E-2</v>
      </c>
    </row>
    <row r="39" spans="1:18" ht="36.75" customHeight="1">
      <c r="A39" s="36" t="s">
        <v>256</v>
      </c>
      <c r="B39" s="36" t="s">
        <v>317</v>
      </c>
      <c r="C39" s="36"/>
      <c r="D39" s="431" t="s">
        <v>241</v>
      </c>
      <c r="E39" s="414">
        <f>VLOOKUP($A39,CF!$1:$1048576,MATCH(Summary!E$13,CF!$3:$3,0),FALSE)</f>
        <v>89</v>
      </c>
      <c r="F39" s="414">
        <f>VLOOKUP($A39,CF!$1:$1048576,MATCH(Summary!F$13,CF!$3:$3,0),FALSE)</f>
        <v>-121</v>
      </c>
      <c r="G39" s="414">
        <f>VLOOKUP($A39,CF!$1:$1048576,MATCH(Summary!G$13,CF!$3:$3,0),FALSE)</f>
        <v>32</v>
      </c>
      <c r="H39" s="414">
        <f>VLOOKUP($A39,CF!$1:$1048576,MATCH(Summary!H$13,CF!$3:$3,0),FALSE)</f>
        <v>46.820186206759445</v>
      </c>
      <c r="I39" s="414">
        <f>VLOOKUP($A39,CF!$1:$1048576,MATCH(Summary!I$13,CF!$3:$3,0),FALSE)</f>
        <v>45.274309201236974</v>
      </c>
      <c r="J39" s="414">
        <f>VLOOKUP($A39,CF!$1:$1048576,MATCH(Summary!J$13,CF!$3:$3,0),FALSE)</f>
        <v>63.588943990675034</v>
      </c>
      <c r="K39" s="398"/>
      <c r="L39" s="417" t="s">
        <v>317</v>
      </c>
      <c r="M39" s="430">
        <f>VLOOKUP($B39,Model!$1:$1048576,MATCH(Summary!M$13,CF!$3:$3,0),FALSE)</f>
        <v>4.803243890491482E-2</v>
      </c>
      <c r="N39" s="430">
        <f>VLOOKUP($B39,Model!$1:$1048576,MATCH(Summary!N$13,CF!$3:$3,0),FALSE)</f>
        <v>5.1687925823472161E-2</v>
      </c>
      <c r="O39" s="430">
        <f>VLOOKUP($B39,Model!$1:$1048576,MATCH(Summary!O$13,CF!$3:$3,0),FALSE)</f>
        <v>5.2717133068247178E-2</v>
      </c>
      <c r="P39" s="430">
        <f>VLOOKUP($B39,Model!$1:$1048576,MATCH(Summary!P$13,CF!$3:$3,0),FALSE)</f>
        <v>5.8314333452581454E-2</v>
      </c>
      <c r="Q39" s="430">
        <f>VLOOKUP($B39,Model!$1:$1048576,MATCH(Summary!Q$13,CF!$3:$3,0),FALSE)</f>
        <v>6.019227806420125E-2</v>
      </c>
      <c r="R39" s="430">
        <f>VLOOKUP($B39,Model!$1:$1048576,MATCH(Summary!R$13,CF!$3:$3,0),FALSE)</f>
        <v>6.1041273817587338E-2</v>
      </c>
    </row>
    <row r="40" spans="1:18" ht="36.75" customHeight="1">
      <c r="A40" s="36" t="s">
        <v>44</v>
      </c>
      <c r="B40" s="36" t="s">
        <v>396</v>
      </c>
      <c r="C40" s="36"/>
      <c r="D40" s="432" t="s">
        <v>44</v>
      </c>
      <c r="E40" s="414">
        <f>VLOOKUP($A40,CF!$1:$1048576,MATCH(Summary!E$13,CF!$3:$3,0),FALSE)</f>
        <v>153</v>
      </c>
      <c r="F40" s="414">
        <f>VLOOKUP($A40,CF!$1:$1048576,MATCH(Summary!F$13,CF!$3:$3,0),FALSE)</f>
        <v>184</v>
      </c>
      <c r="G40" s="414">
        <f>VLOOKUP($A40,CF!$1:$1048576,MATCH(Summary!G$13,CF!$3:$3,0),FALSE)</f>
        <v>-29</v>
      </c>
      <c r="H40" s="414">
        <f>VLOOKUP($A40,CF!$1:$1048576,MATCH(Summary!H$13,CF!$3:$3,0),FALSE)</f>
        <v>0</v>
      </c>
      <c r="I40" s="414">
        <f>VLOOKUP($A40,CF!$1:$1048576,MATCH(Summary!I$13,CF!$3:$3,0),FALSE)</f>
        <v>0</v>
      </c>
      <c r="J40" s="414">
        <f>VLOOKUP($A40,CF!$1:$1048576,MATCH(Summary!J$13,CF!$3:$3,0),FALSE)</f>
        <v>0</v>
      </c>
      <c r="K40" s="398"/>
      <c r="L40" s="417" t="s">
        <v>405</v>
      </c>
      <c r="M40" s="430">
        <f>VLOOKUP($B40,Model!$1:$1048576,MATCH(Summary!M$13,CF!$3:$3,0),FALSE)</f>
        <v>7.0000000000000001E-3</v>
      </c>
      <c r="N40" s="430">
        <f>VLOOKUP($B40,Model!$1:$1048576,MATCH(Summary!N$13,CF!$3:$3,0),FALSE)</f>
        <v>-0.01</v>
      </c>
      <c r="O40" s="430">
        <f>VLOOKUP($B40,Model!$1:$1048576,MATCH(Summary!O$13,CF!$3:$3,0),FALSE)</f>
        <v>-1.2999999999999999E-2</v>
      </c>
      <c r="P40" s="430">
        <f>VLOOKUP($B40,Model!$1:$1048576,MATCH(Summary!P$13,CF!$3:$3,0),FALSE)</f>
        <v>-1.1250000000000001E-2</v>
      </c>
      <c r="Q40" s="430">
        <f>VLOOKUP($B40,Model!$1:$1048576,MATCH(Summary!Q$13,CF!$3:$3,0),FALSE)</f>
        <v>2.5000000000000001E-2</v>
      </c>
      <c r="R40" s="430">
        <f>VLOOKUP($B40,Model!$1:$1048576,MATCH(Summary!R$13,CF!$3:$3,0),FALSE)</f>
        <v>2.5000000000000001E-2</v>
      </c>
    </row>
    <row r="41" spans="1:18" ht="36.75" customHeight="1">
      <c r="A41" s="36" t="s">
        <v>134</v>
      </c>
      <c r="B41" s="36" t="s">
        <v>325</v>
      </c>
      <c r="C41" s="36"/>
      <c r="D41" s="433" t="s">
        <v>242</v>
      </c>
      <c r="E41" s="419">
        <f>VLOOKUP($A41,CF!$1:$1048576,MATCH(Summary!E$13,CF!$3:$3,0),FALSE)</f>
        <v>2807</v>
      </c>
      <c r="F41" s="419">
        <f>VLOOKUP($A41,CF!$1:$1048576,MATCH(Summary!F$13,CF!$3:$3,0),FALSE)</f>
        <v>2793</v>
      </c>
      <c r="G41" s="419">
        <f>VLOOKUP($A41,CF!$1:$1048576,MATCH(Summary!G$13,CF!$3:$3,0),FALSE)</f>
        <v>2936</v>
      </c>
      <c r="H41" s="419">
        <f>VLOOKUP($A41,CF!$1:$1048576,MATCH(Summary!H$13,CF!$3:$3,0),FALSE)</f>
        <v>3293.5440023466745</v>
      </c>
      <c r="I41" s="419">
        <f>VLOOKUP($A41,CF!$1:$1048576,MATCH(Summary!I$13,CF!$3:$3,0),FALSE)</f>
        <v>3502.9661435552598</v>
      </c>
      <c r="J41" s="419">
        <f>VLOOKUP($A41,CF!$1:$1048576,MATCH(Summary!J$13,CF!$3:$3,0),FALSE)</f>
        <v>3701.0529877554036</v>
      </c>
      <c r="K41" s="398"/>
      <c r="L41" s="417" t="s">
        <v>325</v>
      </c>
      <c r="M41" s="430">
        <f>VLOOKUP($B41,Model!$1:$1048576,MATCH(Summary!M$13,CF!$3:$3,0),FALSE)</f>
        <v>4.3490304709141274E-2</v>
      </c>
      <c r="N41" s="430">
        <f>VLOOKUP($B41,Model!$1:$1048576,MATCH(Summary!N$13,CF!$3:$3,0),FALSE)</f>
        <v>3.6023835319609968E-2</v>
      </c>
      <c r="O41" s="430">
        <f>VLOOKUP($B41,Model!$1:$1048576,MATCH(Summary!O$13,CF!$3:$3,0),FALSE)</f>
        <v>3.0815380419961822E-2</v>
      </c>
      <c r="P41" s="430">
        <f>VLOOKUP($B41,Model!$1:$1048576,MATCH(Summary!P$13,CF!$3:$3,0),FALSE)</f>
        <v>2.3750809867135132E-2</v>
      </c>
      <c r="Q41" s="430">
        <f>VLOOKUP($B41,Model!$1:$1048576,MATCH(Summary!Q$13,CF!$3:$3,0),FALSE)</f>
        <v>2.9825119882160033E-2</v>
      </c>
      <c r="R41" s="430">
        <f>VLOOKUP($B41,Model!$1:$1048576,MATCH(Summary!R$13,CF!$3:$3,0),FALSE)</f>
        <v>3.0471314586662281E-2</v>
      </c>
    </row>
    <row r="42" spans="1:18" ht="25.5" customHeight="1">
      <c r="A42" s="36" t="s">
        <v>243</v>
      </c>
      <c r="B42" s="36"/>
      <c r="C42" s="36"/>
      <c r="D42" s="429" t="s">
        <v>243</v>
      </c>
      <c r="E42" s="414">
        <f>VLOOKUP($A42,CF!$1:$1048576,MATCH(Summary!E$13,CF!$3:$3,0),FALSE)</f>
        <v>-1514</v>
      </c>
      <c r="F42" s="414">
        <f>VLOOKUP($A42,CF!$1:$1048576,MATCH(Summary!F$13,CF!$3:$3,0),FALSE)</f>
        <v>-1671</v>
      </c>
      <c r="G42" s="414">
        <f>VLOOKUP($A42,CF!$1:$1048576,MATCH(Summary!G$13,CF!$3:$3,0),FALSE)</f>
        <v>-1487</v>
      </c>
      <c r="H42" s="414">
        <f>VLOOKUP($A42,CF!$1:$1048576,MATCH(Summary!H$13,CF!$3:$3,0),FALSE)</f>
        <v>-1200</v>
      </c>
      <c r="I42" s="414">
        <f>VLOOKUP($A42,CF!$1:$1048576,MATCH(Summary!I$13,CF!$3:$3,0),FALSE)</f>
        <v>-1236</v>
      </c>
      <c r="J42" s="414">
        <f>VLOOKUP($A42,CF!$1:$1048576,MATCH(Summary!J$13,CF!$3:$3,0),FALSE)</f>
        <v>-1273.08</v>
      </c>
      <c r="K42" s="398"/>
      <c r="L42" s="411" t="s">
        <v>234</v>
      </c>
      <c r="M42" s="412" t="str">
        <f>E$13</f>
        <v>FY23</v>
      </c>
      <c r="N42" s="412" t="str">
        <f t="shared" ref="N42" si="18">F$13</f>
        <v>FY24</v>
      </c>
      <c r="O42" s="412" t="str">
        <f t="shared" ref="O42" si="19">G$13</f>
        <v>FY25</v>
      </c>
      <c r="P42" s="412" t="str">
        <f t="shared" ref="P42" si="20">H$13</f>
        <v>FY26E</v>
      </c>
      <c r="Q42" s="412" t="str">
        <f t="shared" ref="Q42" si="21">I$13</f>
        <v>FY27E</v>
      </c>
      <c r="R42" s="412" t="str">
        <f t="shared" ref="R42" si="22">J$13</f>
        <v>FY28E</v>
      </c>
    </row>
    <row r="43" spans="1:18" ht="36.75" customHeight="1">
      <c r="A43" s="36" t="s">
        <v>63</v>
      </c>
      <c r="B43" s="36" t="s">
        <v>269</v>
      </c>
      <c r="C43" s="36"/>
      <c r="D43" s="398" t="s">
        <v>63</v>
      </c>
      <c r="E43" s="414">
        <f>VLOOKUP($A43,CF!$1:$1048576,MATCH(Summary!E$13,CF!$3:$3,0),FALSE)</f>
        <v>-14</v>
      </c>
      <c r="F43" s="414">
        <f>VLOOKUP($A43,CF!$1:$1048576,MATCH(Summary!F$13,CF!$3:$3,0),FALSE)</f>
        <v>-23</v>
      </c>
      <c r="G43" s="414">
        <f>VLOOKUP($A43,CF!$1:$1048576,MATCH(Summary!G$13,CF!$3:$3,0),FALSE)</f>
        <v>-20</v>
      </c>
      <c r="H43" s="414">
        <f>VLOOKUP($A43,CF!$1:$1048576,MATCH(Summary!H$13,CF!$3:$3,0),FALSE)</f>
        <v>0</v>
      </c>
      <c r="I43" s="414">
        <f>VLOOKUP($A43,CF!$1:$1048576,MATCH(Summary!I$13,CF!$3:$3,0),FALSE)</f>
        <v>0</v>
      </c>
      <c r="J43" s="414">
        <f>VLOOKUP($A43,CF!$1:$1048576,MATCH(Summary!J$13,CF!$3:$3,0),FALSE)</f>
        <v>0</v>
      </c>
      <c r="K43" s="398"/>
      <c r="L43" s="398" t="s">
        <v>287</v>
      </c>
      <c r="M43" s="430">
        <f>VLOOKUP($B43,PL!$1:$1048576,MATCH(Summary!M$13,CF!$3:$3,0),FALSE)</f>
        <v>5.873891780212892E-2</v>
      </c>
      <c r="N43" s="430">
        <f>VLOOKUP($B43,PL!$1:$1048576,MATCH(Summary!N$13,CF!$3:$3,0),FALSE)</f>
        <v>7.6278931897339586E-2</v>
      </c>
      <c r="O43" s="430">
        <f>VLOOKUP($B43,PL!$1:$1048576,MATCH(Summary!O$13,CF!$3:$3,0),FALSE)</f>
        <v>1.7924766473112808E-2</v>
      </c>
      <c r="P43" s="430">
        <f>VLOOKUP($B43,PL!$1:$1048576,MATCH(Summary!P$13,CF!$3:$3,0),FALSE)</f>
        <v>3.3041768670966309E-2</v>
      </c>
      <c r="Q43" s="430">
        <f>VLOOKUP($B43,PL!$1:$1048576,MATCH(Summary!Q$13,CF!$3:$3,0),FALSE)</f>
        <v>3.092887338748751E-2</v>
      </c>
      <c r="R43" s="430">
        <f>VLOOKUP($B43,PL!$1:$1048576,MATCH(Summary!R$13,CF!$3:$3,0),FALSE)</f>
        <v>4.213715190411782E-2</v>
      </c>
    </row>
    <row r="44" spans="1:18" ht="36.75" customHeight="1">
      <c r="A44" s="36" t="s">
        <v>282</v>
      </c>
      <c r="B44" s="36" t="s">
        <v>270</v>
      </c>
      <c r="C44" s="36"/>
      <c r="D44" s="398" t="s">
        <v>244</v>
      </c>
      <c r="E44" s="414">
        <f>VLOOKUP($A44,CF!$1:$1048576,MATCH(Summary!E$13,CF!$3:$3,0),FALSE)</f>
        <v>248</v>
      </c>
      <c r="F44" s="414">
        <f>VLOOKUP($A44,CF!$1:$1048576,MATCH(Summary!F$13,CF!$3:$3,0),FALSE)</f>
        <v>255</v>
      </c>
      <c r="G44" s="414">
        <f>VLOOKUP($A44,CF!$1:$1048576,MATCH(Summary!G$13,CF!$3:$3,0),FALSE)</f>
        <v>205</v>
      </c>
      <c r="H44" s="414">
        <f>VLOOKUP($A44,CF!$1:$1048576,MATCH(Summary!H$13,CF!$3:$3,0),FALSE)</f>
        <v>0</v>
      </c>
      <c r="I44" s="414">
        <f>VLOOKUP($A44,CF!$1:$1048576,MATCH(Summary!I$13,CF!$3:$3,0),FALSE)</f>
        <v>0</v>
      </c>
      <c r="J44" s="414">
        <f>VLOOKUP($A44,CF!$1:$1048576,MATCH(Summary!J$13,CF!$3:$3,0),FALSE)</f>
        <v>0</v>
      </c>
      <c r="K44" s="432"/>
      <c r="L44" s="398" t="s">
        <v>288</v>
      </c>
      <c r="M44" s="430">
        <f>VLOOKUP($B44,PL!$1:$1048576,MATCH(Summary!M$13,CF!$3:$3,0),FALSE)</f>
        <v>1.7515051997810671E-2</v>
      </c>
      <c r="N44" s="430">
        <f>VLOOKUP($B44,PL!$1:$1048576,MATCH(Summary!N$13,CF!$3:$3,0),FALSE)</f>
        <v>0.10650887573964507</v>
      </c>
      <c r="O44" s="430">
        <f>VLOOKUP($B44,PL!$1:$1048576,MATCH(Summary!O$13,CF!$3:$3,0),FALSE)</f>
        <v>2.673796791443861E-2</v>
      </c>
      <c r="P44" s="430">
        <f>VLOOKUP($B44,PL!$1:$1048576,MATCH(Summary!P$13,CF!$3:$3,0),FALSE)</f>
        <v>0.14026232152321128</v>
      </c>
      <c r="Q44" s="430">
        <f>VLOOKUP($B44,PL!$1:$1048576,MATCH(Summary!Q$13,CF!$3:$3,0),FALSE)</f>
        <v>8.4380366248352656E-2</v>
      </c>
      <c r="R44" s="430">
        <f>VLOOKUP($B44,PL!$1:$1048576,MATCH(Summary!R$13,CF!$3:$3,0),FALSE)</f>
        <v>5.9194848054850091E-2</v>
      </c>
    </row>
    <row r="45" spans="1:18" ht="36.75" customHeight="1">
      <c r="A45" s="36" t="s">
        <v>283</v>
      </c>
      <c r="B45" s="36" t="s">
        <v>272</v>
      </c>
      <c r="C45" s="36"/>
      <c r="D45" s="416" t="s">
        <v>245</v>
      </c>
      <c r="E45" s="414">
        <f>VLOOKUP($A45,CF!$1:$1048576,MATCH(Summary!E$13,CF!$3:$3,0),FALSE)</f>
        <v>-907</v>
      </c>
      <c r="F45" s="414">
        <f>VLOOKUP($A45,CF!$1:$1048576,MATCH(Summary!F$13,CF!$3:$3,0),FALSE)</f>
        <v>-834</v>
      </c>
      <c r="G45" s="414">
        <f>VLOOKUP($A45,CF!$1:$1048576,MATCH(Summary!G$13,CF!$3:$3,0),FALSE)</f>
        <v>-911</v>
      </c>
      <c r="H45" s="414">
        <f>VLOOKUP($A45,CF!$1:$1048576,MATCH(Summary!H$13,CF!$3:$3,0),FALSE)</f>
        <v>-956.55000000000007</v>
      </c>
      <c r="I45" s="414">
        <f>VLOOKUP($A45,CF!$1:$1048576,MATCH(Summary!I$13,CF!$3:$3,0),FALSE)</f>
        <v>-1004.3775000000002</v>
      </c>
      <c r="J45" s="414">
        <f>VLOOKUP($A45,CF!$1:$1048576,MATCH(Summary!J$13,CF!$3:$3,0),FALSE)</f>
        <v>-1054.5963750000003</v>
      </c>
      <c r="K45" s="398"/>
      <c r="L45" s="398" t="s">
        <v>272</v>
      </c>
      <c r="M45" s="430">
        <f>VLOOKUP($B45,PL!$1:$1048576,MATCH(Summary!M$13,CF!$3:$3,0),FALSE)</f>
        <v>-2.870813397129135E-3</v>
      </c>
      <c r="N45" s="430">
        <f>VLOOKUP($B45,PL!$1:$1048576,MATCH(Summary!N$13,CF!$3:$3,0),FALSE)</f>
        <v>8.253358925143961E-2</v>
      </c>
      <c r="O45" s="430">
        <f>VLOOKUP($B45,PL!$1:$1048576,MATCH(Summary!O$13,CF!$3:$3,0),FALSE)</f>
        <v>-2.1276595744680882E-2</v>
      </c>
      <c r="P45" s="430">
        <f>VLOOKUP($B45,PL!$1:$1048576,MATCH(Summary!P$13,CF!$3:$3,0),FALSE)</f>
        <v>0.17648443490934373</v>
      </c>
      <c r="Q45" s="430">
        <f>VLOOKUP($B45,PL!$1:$1048576,MATCH(Summary!Q$13,CF!$3:$3,0),FALSE)</f>
        <v>0.10243966884939004</v>
      </c>
      <c r="R45" s="430">
        <f>VLOOKUP($B45,PL!$1:$1048576,MATCH(Summary!R$13,CF!$3:$3,0),FALSE)</f>
        <v>6.8957877002212564E-2</v>
      </c>
    </row>
    <row r="46" spans="1:18" ht="36.75" customHeight="1">
      <c r="A46" s="36" t="s">
        <v>460</v>
      </c>
      <c r="D46" s="416" t="s">
        <v>460</v>
      </c>
      <c r="E46" s="414">
        <f>VLOOKUP($A46,CF!$1:$1048576,MATCH(Summary!E$13,CF!$3:$3,0),FALSE)</f>
        <v>266</v>
      </c>
      <c r="F46" s="414">
        <f>VLOOKUP($A46,CF!$1:$1048576,MATCH(Summary!F$13,CF!$3:$3,0),FALSE)</f>
        <v>-97</v>
      </c>
      <c r="G46" s="414">
        <f>VLOOKUP($A46,CF!$1:$1048576,MATCH(Summary!G$13,CF!$3:$3,0),FALSE)</f>
        <v>-82</v>
      </c>
      <c r="H46" s="414">
        <f>VLOOKUP($A46,CF!$1:$1048576,MATCH(Summary!H$13,CF!$3:$3,0),FALSE)</f>
        <v>0</v>
      </c>
      <c r="I46" s="414">
        <f>VLOOKUP($A46,CF!$1:$1048576,MATCH(Summary!I$13,CF!$3:$3,0),FALSE)</f>
        <v>0</v>
      </c>
      <c r="J46" s="414">
        <f>VLOOKUP($A46,CF!$1:$1048576,MATCH(Summary!J$13,CF!$3:$3,0),FALSE)</f>
        <v>0</v>
      </c>
      <c r="K46" s="398"/>
      <c r="L46" s="398" t="s">
        <v>273</v>
      </c>
      <c r="M46" s="430">
        <f>VLOOKUP($B47,PL!$1:$1048576,MATCH(Summary!M$13,CF!$3:$3,0),FALSE)</f>
        <v>-8.0874832821966613E-3</v>
      </c>
      <c r="N46" s="430">
        <f>VLOOKUP($B47,PL!$1:$1048576,MATCH(Summary!N$13,CF!$3:$3,0),FALSE)</f>
        <v>8.253358925143961E-2</v>
      </c>
      <c r="O46" s="430">
        <f>VLOOKUP($B47,PL!$1:$1048576,MATCH(Summary!O$13,CF!$3:$3,0),FALSE)</f>
        <v>-2.2737376945061949E-2</v>
      </c>
      <c r="P46" s="430">
        <f>VLOOKUP($B47,PL!$1:$1048576,MATCH(Summary!P$13,CF!$3:$3,0),FALSE)</f>
        <v>0.17473110490202726</v>
      </c>
      <c r="Q46" s="430">
        <f>VLOOKUP($B47,PL!$1:$1048576,MATCH(Summary!Q$13,CF!$3:$3,0),FALSE)</f>
        <v>0.10079913362788817</v>
      </c>
      <c r="R46" s="430">
        <f>VLOOKUP($B47,PL!$1:$1048576,MATCH(Summary!R$13,CF!$3:$3,0),FALSE)</f>
        <v>6.7369529488093383E-2</v>
      </c>
    </row>
    <row r="47" spans="1:18" ht="36.75" customHeight="1">
      <c r="A47" s="36"/>
      <c r="B47" s="36" t="s">
        <v>273</v>
      </c>
      <c r="C47" s="36"/>
      <c r="D47" s="420" t="s">
        <v>246</v>
      </c>
      <c r="E47" s="434">
        <f>SUM(E41:E46)</f>
        <v>886</v>
      </c>
      <c r="F47" s="434">
        <f t="shared" ref="F47:G47" si="23">SUM(F41:F46)</f>
        <v>423</v>
      </c>
      <c r="G47" s="434">
        <f t="shared" si="23"/>
        <v>641</v>
      </c>
      <c r="H47" s="434">
        <f t="shared" ref="H47" si="24">SUM(H41:H46)</f>
        <v>1136.9940023466743</v>
      </c>
      <c r="I47" s="434">
        <f t="shared" ref="I47" si="25">SUM(I41:I46)</f>
        <v>1262.5886435552598</v>
      </c>
      <c r="J47" s="434">
        <f t="shared" ref="J47" si="26">SUM(J41:J46)</f>
        <v>1373.3766127554034</v>
      </c>
      <c r="K47" s="398"/>
      <c r="L47" s="398" t="s">
        <v>292</v>
      </c>
      <c r="M47" s="435">
        <f t="shared" ref="M47:R47" si="27">E29/M35</f>
        <v>0.3104886769964243</v>
      </c>
      <c r="N47" s="435">
        <f t="shared" si="27"/>
        <v>0.31186065800387058</v>
      </c>
      <c r="O47" s="435">
        <f t="shared" si="27"/>
        <v>0.2900683131897005</v>
      </c>
      <c r="P47" s="435">
        <f t="shared" si="27"/>
        <v>0.32472223988536963</v>
      </c>
      <c r="Q47" s="435">
        <f t="shared" si="27"/>
        <v>0.33982183439598374</v>
      </c>
      <c r="R47" s="435">
        <f t="shared" si="27"/>
        <v>0.34455707305786692</v>
      </c>
    </row>
    <row r="48" spans="1:18" ht="25.5" customHeight="1">
      <c r="A48" s="36" t="s">
        <v>151</v>
      </c>
      <c r="B48" s="36"/>
      <c r="C48" s="36"/>
      <c r="D48" s="421" t="s">
        <v>151</v>
      </c>
      <c r="E48" s="414">
        <f>VLOOKUP($A48,CF!$1:$1048576,MATCH(Summary!E$13,CF!$3:$3,0),FALSE)</f>
        <v>-844</v>
      </c>
      <c r="F48" s="414">
        <f>VLOOKUP($A48,CF!$1:$1048576,MATCH(Summary!F$13,CF!$3:$3,0),FALSE)</f>
        <v>-853</v>
      </c>
      <c r="G48" s="414">
        <f>VLOOKUP($A48,CF!$1:$1048576,MATCH(Summary!G$13,CF!$3:$3,0),FALSE)</f>
        <v>-889</v>
      </c>
      <c r="H48" s="414">
        <f>VLOOKUP($A48,CF!$1:$1048576,MATCH(Summary!H$13,CF!$3:$3,0),FALSE)</f>
        <v>-1104.9932355033097</v>
      </c>
      <c r="I48" s="414">
        <f>VLOOKUP($A48,CF!$1:$1048576,MATCH(Summary!I$13,CF!$3:$3,0),FALSE)</f>
        <v>-1218.0835959890576</v>
      </c>
      <c r="J48" s="414">
        <f>VLOOKUP($A48,CF!$1:$1048576,MATCH(Summary!J$13,CF!$3:$3,0),FALSE)</f>
        <v>-1301.9683815453072</v>
      </c>
      <c r="K48" s="398"/>
      <c r="L48" s="411" t="s">
        <v>126</v>
      </c>
      <c r="M48" s="412" t="s">
        <v>8</v>
      </c>
      <c r="N48" s="412" t="s">
        <v>9</v>
      </c>
      <c r="O48" s="412" t="s">
        <v>10</v>
      </c>
      <c r="P48" s="412" t="s">
        <v>29</v>
      </c>
      <c r="Q48" s="412" t="s">
        <v>30</v>
      </c>
      <c r="R48" s="412" t="s">
        <v>215</v>
      </c>
    </row>
    <row r="49" spans="1:18" ht="36.75" customHeight="1">
      <c r="A49" s="36" t="s">
        <v>459</v>
      </c>
      <c r="D49" s="421" t="s">
        <v>459</v>
      </c>
      <c r="E49" s="414">
        <f>VLOOKUP($A49,CF!$1:$1048576,MATCH(Summary!E$13,CF!$3:$3,0),FALSE)</f>
        <v>-71</v>
      </c>
      <c r="F49" s="414">
        <f>VLOOKUP($A49,CF!$1:$1048576,MATCH(Summary!F$13,CF!$3:$3,0),FALSE)</f>
        <v>-40</v>
      </c>
      <c r="G49" s="414">
        <f>VLOOKUP($A49,CF!$1:$1048576,MATCH(Summary!G$13,CF!$3:$3,0),FALSE)</f>
        <v>-42</v>
      </c>
      <c r="H49" s="414">
        <f>VLOOKUP($A49,CF!$1:$1048576,MATCH(Summary!H$13,CF!$3:$3,0),FALSE)</f>
        <v>0</v>
      </c>
      <c r="I49" s="414">
        <f>VLOOKUP($A49,CF!$1:$1048576,MATCH(Summary!I$13,CF!$3:$3,0),FALSE)</f>
        <v>0</v>
      </c>
      <c r="J49" s="414">
        <f>VLOOKUP($A49,CF!$1:$1048576,MATCH(Summary!J$13,CF!$3:$3,0),FALSE)</f>
        <v>0</v>
      </c>
      <c r="K49" s="398"/>
      <c r="L49" s="436" t="s">
        <v>125</v>
      </c>
      <c r="M49" s="437">
        <f t="shared" ref="M49:R49" si="28">$F$9/E31</f>
        <v>27.941343570057587</v>
      </c>
      <c r="N49" s="437">
        <f t="shared" si="28"/>
        <v>25.811063829787237</v>
      </c>
      <c r="O49" s="437">
        <f t="shared" si="28"/>
        <v>26.411594202898552</v>
      </c>
      <c r="P49" s="437">
        <f t="shared" si="28"/>
        <v>22.483097700133925</v>
      </c>
      <c r="Q49" s="437">
        <f t="shared" si="28"/>
        <v>20.424341747105757</v>
      </c>
      <c r="R49" s="437">
        <f t="shared" si="28"/>
        <v>19.135211548432714</v>
      </c>
    </row>
    <row r="50" spans="1:18" ht="36.75" customHeight="1">
      <c r="A50" s="36" t="s">
        <v>284</v>
      </c>
      <c r="B50" s="36"/>
      <c r="C50" s="36"/>
      <c r="D50" s="420" t="s">
        <v>461</v>
      </c>
      <c r="E50" s="419">
        <f>E47+E48+E49</f>
        <v>-29</v>
      </c>
      <c r="F50" s="419">
        <f t="shared" ref="F50:J50" si="29">F47+F48+F49</f>
        <v>-470</v>
      </c>
      <c r="G50" s="419">
        <f t="shared" si="29"/>
        <v>-290</v>
      </c>
      <c r="H50" s="419">
        <f t="shared" si="29"/>
        <v>32.000766843364545</v>
      </c>
      <c r="I50" s="419">
        <f t="shared" si="29"/>
        <v>44.505047566202165</v>
      </c>
      <c r="J50" s="419">
        <f t="shared" si="29"/>
        <v>71.408231210096119</v>
      </c>
      <c r="K50" s="421"/>
      <c r="L50" s="431" t="s">
        <v>305</v>
      </c>
      <c r="M50" s="438">
        <f t="shared" ref="M50:R50" si="30">E32/$F$9</f>
        <v>3.0330882352941176E-2</v>
      </c>
      <c r="N50" s="438">
        <f t="shared" si="30"/>
        <v>3.125E-2</v>
      </c>
      <c r="O50" s="438">
        <f t="shared" si="30"/>
        <v>3.170955882352941E-2</v>
      </c>
      <c r="P50" s="438">
        <f t="shared" si="30"/>
        <v>3.7806178282761137E-2</v>
      </c>
      <c r="Q50" s="438">
        <f t="shared" si="30"/>
        <v>4.1617008299444938E-2</v>
      </c>
      <c r="R50" s="438">
        <f t="shared" si="30"/>
        <v>4.4420726567280619E-2</v>
      </c>
    </row>
    <row r="51" spans="1:18" ht="36.75" customHeight="1">
      <c r="A51" s="215" t="s">
        <v>291</v>
      </c>
      <c r="B51" s="36"/>
      <c r="C51" s="36"/>
      <c r="D51" s="420" t="s">
        <v>247</v>
      </c>
      <c r="E51" s="419">
        <f>VLOOKUP($A52,BS!$1:$1048576,MATCH(Summary!E$13,CF!$3:$3,0),FALSE)</f>
        <v>15</v>
      </c>
      <c r="F51" s="419">
        <f>VLOOKUP($A52,BS!$1:$1048576,MATCH(Summary!F$13,CF!$3:$3,0),FALSE)</f>
        <v>455.99999999999989</v>
      </c>
      <c r="G51" s="419">
        <f>VLOOKUP($A52,BS!$1:$1048576,MATCH(Summary!G$13,CF!$3:$3,0),FALSE)</f>
        <v>302.00000000000011</v>
      </c>
      <c r="H51" s="419">
        <f>VLOOKUP($A52,BS!$1:$1048576,MATCH(Summary!H$13,CF!$3:$3,0),FALSE)</f>
        <v>-32.000766843361362</v>
      </c>
      <c r="I51" s="419">
        <f>VLOOKUP($A52,BS!$1:$1048576,MATCH(Summary!I$13,CF!$3:$3,0),FALSE)</f>
        <v>-44.505047566201938</v>
      </c>
      <c r="J51" s="419">
        <f>VLOOKUP($A52,BS!$1:$1048576,MATCH(Summary!J$13,CF!$3:$3,0),FALSE)</f>
        <v>-71.408231210096346</v>
      </c>
      <c r="K51" s="421"/>
      <c r="L51" s="421" t="s">
        <v>401</v>
      </c>
      <c r="M51" s="439">
        <f t="shared" ref="M51:R51" si="31">E29/M35</f>
        <v>0.3104886769964243</v>
      </c>
      <c r="N51" s="439">
        <f t="shared" si="31"/>
        <v>0.31186065800387058</v>
      </c>
      <c r="O51" s="439">
        <f t="shared" si="31"/>
        <v>0.2900683131897005</v>
      </c>
      <c r="P51" s="439">
        <f t="shared" si="31"/>
        <v>0.32472223988536963</v>
      </c>
      <c r="Q51" s="439">
        <f t="shared" si="31"/>
        <v>0.33982183439598374</v>
      </c>
      <c r="R51" s="439">
        <f t="shared" si="31"/>
        <v>0.34455707305786692</v>
      </c>
    </row>
    <row r="52" spans="1:18" ht="36.75" customHeight="1">
      <c r="A52" s="36" t="s">
        <v>290</v>
      </c>
      <c r="B52" s="36"/>
      <c r="C52" s="36"/>
      <c r="D52" s="421"/>
      <c r="E52" s="428"/>
      <c r="F52" s="428"/>
      <c r="G52" s="428"/>
      <c r="H52" s="428"/>
      <c r="I52" s="428"/>
      <c r="J52" s="428"/>
      <c r="K52" s="421"/>
      <c r="L52" s="421" t="s">
        <v>303</v>
      </c>
      <c r="M52" s="439">
        <f>VLOOKUP($B53,PL!$1:$1048576,MATCH(Summary!M$13,PL!$3:$3,0),FALSE)</f>
        <v>0.84495201535508646</v>
      </c>
      <c r="N52" s="439">
        <f>VLOOKUP($B53,PL!$1:$1048576,MATCH(Summary!N$13,PL!$3:$3,0),FALSE)</f>
        <v>0.80745141496453909</v>
      </c>
      <c r="O52" s="439">
        <f>VLOOKUP($B53,PL!$1:$1048576,MATCH(Summary!O$13,PL!$3:$3,0),FALSE)</f>
        <v>0.83831592312499992</v>
      </c>
      <c r="P52" s="439">
        <f>VLOOKUP($B53,PL!$1:$1048576,MATCH(Summary!P$13,PL!$3:$3,0),FALSE)</f>
        <v>0.85</v>
      </c>
      <c r="Q52" s="439">
        <f>VLOOKUP($B53,PL!$1:$1048576,MATCH(Summary!Q$13,PL!$3:$3,0),FALSE)</f>
        <v>0.85</v>
      </c>
      <c r="R52" s="439">
        <f>VLOOKUP($B53,PL!$1:$1048576,MATCH(Summary!R$13,PL!$3:$3,0),FALSE)</f>
        <v>0.85</v>
      </c>
    </row>
    <row r="53" spans="1:18" ht="36.75" customHeight="1">
      <c r="B53" s="36" t="s">
        <v>303</v>
      </c>
      <c r="C53" s="36"/>
      <c r="D53" s="421"/>
      <c r="E53" s="428"/>
      <c r="F53" s="428"/>
      <c r="G53" s="428"/>
      <c r="H53" s="428"/>
      <c r="I53" s="428"/>
      <c r="J53" s="428"/>
      <c r="K53" s="421"/>
      <c r="L53" s="398" t="s">
        <v>304</v>
      </c>
      <c r="M53" s="438">
        <f t="shared" ref="M53:R53" si="32">(E47/E30)/$F$9</f>
        <v>3.0431174712037278E-2</v>
      </c>
      <c r="N53" s="438">
        <f t="shared" si="32"/>
        <v>1.4528653389606964E-2</v>
      </c>
      <c r="O53" s="438">
        <f t="shared" si="32"/>
        <v>2.1983373573309921E-2</v>
      </c>
      <c r="P53" s="438">
        <f t="shared" si="32"/>
        <v>3.8935590616872934E-2</v>
      </c>
      <c r="Q53" s="438">
        <f t="shared" si="32"/>
        <v>4.3172154139423435E-2</v>
      </c>
      <c r="R53" s="438">
        <f t="shared" si="32"/>
        <v>4.6890589927242321E-2</v>
      </c>
    </row>
    <row r="54" spans="1:18" ht="36.75" customHeight="1">
      <c r="C54" s="36"/>
      <c r="D54" s="449" t="s">
        <v>462</v>
      </c>
      <c r="E54" s="440"/>
      <c r="F54" s="440"/>
      <c r="G54" s="440"/>
      <c r="H54" s="440"/>
      <c r="I54" s="440"/>
      <c r="J54" s="440"/>
      <c r="K54" s="441"/>
      <c r="L54" s="441"/>
      <c r="M54" s="440"/>
      <c r="N54" s="440"/>
      <c r="O54" s="440"/>
      <c r="P54" s="440"/>
      <c r="Q54" s="440"/>
      <c r="R54" s="440"/>
    </row>
    <row r="55" spans="1:18" ht="33.75" customHeight="1">
      <c r="A55" s="36"/>
      <c r="C55" s="36"/>
      <c r="D55" s="447"/>
      <c r="E55" s="391"/>
      <c r="F55" s="391"/>
      <c r="G55" s="391"/>
      <c r="H55" s="391"/>
      <c r="I55" s="391"/>
      <c r="J55" s="391"/>
      <c r="K55" s="390"/>
    </row>
    <row r="56" spans="1:18" ht="33.75" customHeight="1">
      <c r="A56" s="36"/>
      <c r="C56" s="36"/>
      <c r="D56" s="390"/>
      <c r="E56" s="391"/>
      <c r="F56" s="391"/>
      <c r="G56" s="391"/>
      <c r="H56" s="391"/>
      <c r="I56" s="391"/>
      <c r="J56" s="391"/>
      <c r="K56" s="390"/>
      <c r="L56" s="389"/>
      <c r="M56" s="393"/>
      <c r="N56" s="393"/>
      <c r="O56" s="393"/>
      <c r="P56" s="393"/>
      <c r="Q56" s="393"/>
      <c r="R56" s="393"/>
    </row>
    <row r="57" spans="1:18" ht="33.75" customHeight="1">
      <c r="A57" s="36"/>
      <c r="B57" s="36"/>
      <c r="C57" s="36"/>
    </row>
    <row r="58" spans="1:18" ht="20.25">
      <c r="A58" s="36"/>
      <c r="B58" s="36"/>
      <c r="C58" s="36"/>
      <c r="D58" s="392"/>
      <c r="E58" s="394"/>
      <c r="F58" s="394"/>
      <c r="G58" s="394"/>
      <c r="H58" s="394"/>
      <c r="I58" s="394"/>
      <c r="J58" s="394"/>
      <c r="K58" s="392"/>
      <c r="L58" s="392"/>
      <c r="M58" s="394"/>
      <c r="N58" s="394"/>
      <c r="O58" s="394"/>
      <c r="P58" s="394"/>
      <c r="Q58" s="394"/>
      <c r="R58" s="394"/>
    </row>
    <row r="59" spans="1:18">
      <c r="A59" s="36"/>
      <c r="B59" s="36"/>
      <c r="C59" s="36"/>
    </row>
  </sheetData>
  <conditionalFormatting sqref="L25:L32 L34:L36 D39 D41">
    <cfRule type="expression" dxfId="2" priority="2">
      <formula>D$7=1</formula>
    </cfRule>
  </conditionalFormatting>
  <conditionalFormatting sqref="L49:L50 L53 L56">
    <cfRule type="expression" dxfId="1" priority="4">
      <formula>D$7=1</formula>
    </cfRule>
  </conditionalFormatting>
  <printOptions horizontalCentered="1" verticalCentered="1"/>
  <pageMargins left="0.7" right="0.7" top="0.75" bottom="0.75" header="0.3" footer="0.3"/>
  <pageSetup paperSize="9" scale="69" orientation="portrait" r:id="rId1"/>
  <customProperties>
    <customPr name="Qube.Worksheet.Visibility" r:id="rId2"/>
    <customPr name="QXL_SHEET_ID" r:id="rId3"/>
  </customPropertie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FE41-A6A4-4260-AE45-F9E3E492ACB7}">
  <sheetPr>
    <tabColor theme="7" tint="0.59999389629810485"/>
  </sheetPr>
  <dimension ref="A1:AV194"/>
  <sheetViews>
    <sheetView showGridLines="0" tabSelected="1" zoomScale="85" zoomScaleNormal="85" workbookViewId="0">
      <pane xSplit="2" ySplit="4" topLeftCell="F5" activePane="bottomRight" state="frozen"/>
      <selection activeCell="R64" sqref="R64"/>
      <selection pane="topRight" activeCell="R64" sqref="R64"/>
      <selection pane="bottomLeft" activeCell="R64" sqref="R64"/>
      <selection pane="bottomRight" activeCell="AM36" sqref="AM36"/>
    </sheetView>
  </sheetViews>
  <sheetFormatPr defaultColWidth="9.140625" defaultRowHeight="12.75" outlineLevelRow="1" outlineLevelCol="1"/>
  <cols>
    <col min="1" max="1" width="19" style="5" hidden="1" customWidth="1" outlineLevel="1"/>
    <col min="2" max="2" width="42.28515625" style="5" customWidth="1" collapsed="1"/>
    <col min="3" max="3" width="10.5703125" style="12" customWidth="1" collapsed="1"/>
    <col min="4" max="11" width="9.7109375" style="12" customWidth="1" collapsed="1"/>
    <col min="12" max="17" width="9.140625" style="5" customWidth="1"/>
    <col min="18" max="18" width="10.5703125" style="12" customWidth="1"/>
    <col min="19" max="32" width="9.140625" style="12" hidden="1" customWidth="1" outlineLevel="1"/>
    <col min="33" max="33" width="9.140625" style="12" customWidth="1" collapsed="1"/>
    <col min="34" max="36" width="9.140625" style="12" customWidth="1"/>
    <col min="37" max="38" width="9.140625" style="5" customWidth="1"/>
    <col min="39" max="39" width="9.140625" style="5" collapsed="1"/>
    <col min="40" max="16384" width="9.140625" style="5"/>
  </cols>
  <sheetData>
    <row r="1" spans="1:48" s="117" customFormat="1">
      <c r="B1" s="4" t="s">
        <v>306</v>
      </c>
      <c r="C1" s="154"/>
      <c r="D1" s="154"/>
      <c r="E1" s="154"/>
      <c r="F1" s="154"/>
      <c r="G1" s="154"/>
      <c r="H1" s="154"/>
      <c r="I1" s="154"/>
      <c r="J1" s="154"/>
      <c r="K1" s="154"/>
      <c r="R1" s="154"/>
      <c r="S1" s="154"/>
      <c r="T1" s="154"/>
      <c r="U1" s="154"/>
      <c r="V1" s="154"/>
      <c r="W1" s="154"/>
      <c r="X1" s="154"/>
      <c r="Y1" s="154"/>
      <c r="Z1" s="154"/>
      <c r="AA1" s="154"/>
      <c r="AB1" s="154"/>
      <c r="AC1" s="154"/>
      <c r="AD1" s="154"/>
      <c r="AE1" s="154"/>
      <c r="AF1" s="154"/>
      <c r="AG1" s="154"/>
      <c r="AH1" s="154"/>
      <c r="AI1" s="154"/>
      <c r="AJ1" s="154"/>
    </row>
    <row r="2" spans="1:48" s="117" customFormat="1">
      <c r="B2" s="4" t="s">
        <v>47</v>
      </c>
      <c r="C2" s="154"/>
      <c r="D2" s="154"/>
      <c r="E2" s="154"/>
      <c r="F2" s="154"/>
      <c r="G2" s="154"/>
      <c r="H2" s="154"/>
      <c r="I2" s="154"/>
      <c r="J2" s="154"/>
      <c r="K2" s="154"/>
      <c r="R2" s="154"/>
      <c r="S2" s="154"/>
      <c r="T2" s="154"/>
      <c r="U2" s="154"/>
      <c r="V2" s="154"/>
      <c r="W2" s="154"/>
      <c r="X2" s="154"/>
      <c r="Y2" s="154"/>
      <c r="Z2" s="154"/>
      <c r="AA2" s="154"/>
      <c r="AB2" s="154"/>
      <c r="AC2" s="154"/>
      <c r="AD2" s="154"/>
      <c r="AE2" s="154"/>
      <c r="AF2" s="154"/>
      <c r="AG2" s="154"/>
      <c r="AH2" s="154"/>
      <c r="AI2" s="154"/>
      <c r="AJ2" s="154"/>
    </row>
    <row r="3" spans="1:48" s="11" customFormat="1">
      <c r="B3" s="118"/>
      <c r="C3" s="118" t="s">
        <v>2</v>
      </c>
      <c r="D3" s="118" t="s">
        <v>3</v>
      </c>
      <c r="E3" s="118" t="s">
        <v>4</v>
      </c>
      <c r="F3" s="118" t="s">
        <v>5</v>
      </c>
      <c r="G3" s="118" t="s">
        <v>6</v>
      </c>
      <c r="H3" s="118" t="s">
        <v>7</v>
      </c>
      <c r="I3" s="118" t="s">
        <v>8</v>
      </c>
      <c r="J3" s="118" t="s">
        <v>9</v>
      </c>
      <c r="K3" s="118" t="s">
        <v>10</v>
      </c>
      <c r="L3" s="118" t="s">
        <v>29</v>
      </c>
      <c r="M3" s="118" t="s">
        <v>30</v>
      </c>
      <c r="N3" s="118" t="s">
        <v>215</v>
      </c>
      <c r="O3" s="118" t="s">
        <v>262</v>
      </c>
      <c r="P3" s="118" t="s">
        <v>263</v>
      </c>
      <c r="Q3" s="118"/>
      <c r="R3" s="118"/>
      <c r="S3" s="118" t="s">
        <v>11</v>
      </c>
      <c r="T3" s="118" t="s">
        <v>12</v>
      </c>
      <c r="U3" s="118" t="s">
        <v>13</v>
      </c>
      <c r="V3" s="118" t="s">
        <v>14</v>
      </c>
      <c r="W3" s="118" t="s">
        <v>15</v>
      </c>
      <c r="X3" s="118" t="s">
        <v>16</v>
      </c>
      <c r="Y3" s="118" t="s">
        <v>17</v>
      </c>
      <c r="Z3" s="118" t="s">
        <v>18</v>
      </c>
      <c r="AA3" s="118" t="s">
        <v>19</v>
      </c>
      <c r="AB3" s="118" t="s">
        <v>20</v>
      </c>
      <c r="AC3" s="118" t="s">
        <v>21</v>
      </c>
      <c r="AD3" s="118" t="s">
        <v>22</v>
      </c>
      <c r="AE3" s="118" t="s">
        <v>23</v>
      </c>
      <c r="AF3" s="118" t="s">
        <v>24</v>
      </c>
      <c r="AG3" s="118" t="s">
        <v>25</v>
      </c>
      <c r="AH3" s="118" t="s">
        <v>26</v>
      </c>
      <c r="AI3" s="118" t="s">
        <v>27</v>
      </c>
      <c r="AJ3" s="118" t="s">
        <v>28</v>
      </c>
      <c r="AK3" s="118" t="s">
        <v>31</v>
      </c>
      <c r="AL3" s="118" t="s">
        <v>32</v>
      </c>
    </row>
    <row r="4" spans="1:48" s="7" customFormat="1">
      <c r="B4" s="9" t="s">
        <v>251</v>
      </c>
      <c r="C4" s="118"/>
      <c r="D4" s="118"/>
      <c r="E4" s="118"/>
      <c r="F4" s="118"/>
      <c r="G4" s="118"/>
      <c r="H4" s="118"/>
      <c r="I4" s="118"/>
      <c r="J4" s="118"/>
      <c r="K4" s="118"/>
      <c r="L4" s="8"/>
      <c r="M4" s="8"/>
      <c r="N4" s="8"/>
      <c r="O4" s="8"/>
      <c r="P4" s="8"/>
      <c r="Q4" s="8"/>
      <c r="R4" s="118"/>
      <c r="S4" s="118"/>
      <c r="T4" s="118"/>
      <c r="U4" s="118"/>
      <c r="V4" s="118"/>
      <c r="W4" s="118"/>
      <c r="X4" s="118"/>
      <c r="Y4" s="118"/>
      <c r="Z4" s="118"/>
      <c r="AA4" s="118"/>
      <c r="AB4" s="118"/>
      <c r="AC4" s="118"/>
      <c r="AD4" s="118"/>
      <c r="AE4" s="118"/>
      <c r="AF4" s="118"/>
      <c r="AG4" s="118"/>
      <c r="AH4" s="118"/>
      <c r="AI4" s="118"/>
      <c r="AJ4" s="118"/>
      <c r="AK4" s="8"/>
      <c r="AL4" s="8"/>
    </row>
    <row r="5" spans="1:48" s="163" customFormat="1" ht="3" customHeight="1">
      <c r="B5" s="160"/>
      <c r="C5" s="162"/>
      <c r="D5" s="162"/>
      <c r="E5" s="162"/>
      <c r="F5" s="162"/>
      <c r="G5" s="162"/>
      <c r="H5" s="162"/>
      <c r="I5" s="162"/>
      <c r="J5" s="162"/>
      <c r="K5" s="162"/>
      <c r="L5" s="161"/>
      <c r="M5" s="161"/>
      <c r="N5" s="161"/>
      <c r="O5" s="161"/>
      <c r="P5" s="161"/>
      <c r="Q5" s="161"/>
      <c r="R5" s="162"/>
      <c r="S5" s="162"/>
      <c r="T5" s="162"/>
      <c r="U5" s="162"/>
      <c r="V5" s="162"/>
      <c r="W5" s="162"/>
      <c r="X5" s="162"/>
      <c r="Y5" s="162"/>
      <c r="Z5" s="162"/>
      <c r="AA5" s="162"/>
      <c r="AB5" s="162"/>
      <c r="AC5" s="162"/>
      <c r="AD5" s="162"/>
      <c r="AE5" s="162"/>
      <c r="AF5" s="162"/>
      <c r="AG5" s="162"/>
      <c r="AH5" s="162"/>
      <c r="AI5" s="162"/>
      <c r="AJ5" s="162"/>
      <c r="AK5" s="161"/>
      <c r="AL5" s="161"/>
    </row>
    <row r="6" spans="1:48">
      <c r="B6" s="1" t="s">
        <v>0</v>
      </c>
      <c r="C6" s="11"/>
      <c r="D6" s="11"/>
      <c r="E6" s="11"/>
      <c r="F6" s="11"/>
      <c r="G6" s="11"/>
      <c r="H6" s="11"/>
      <c r="I6" s="11"/>
      <c r="J6" s="11"/>
      <c r="K6" s="11"/>
      <c r="L6" s="7"/>
      <c r="M6" s="7"/>
      <c r="N6" s="7"/>
      <c r="O6" s="7"/>
      <c r="P6" s="7"/>
      <c r="Q6" s="7"/>
      <c r="R6" s="11"/>
      <c r="S6" s="11"/>
      <c r="T6" s="11"/>
      <c r="U6" s="11"/>
      <c r="V6" s="11"/>
      <c r="W6" s="11"/>
      <c r="X6" s="11"/>
      <c r="Y6" s="11"/>
      <c r="Z6" s="11"/>
      <c r="AA6" s="11"/>
      <c r="AB6" s="11"/>
      <c r="AC6" s="11"/>
      <c r="AD6" s="11"/>
      <c r="AE6" s="11"/>
      <c r="AF6" s="11"/>
      <c r="AG6" s="11"/>
      <c r="AH6" s="11"/>
      <c r="AI6" s="11"/>
      <c r="AJ6" s="11"/>
      <c r="AK6" s="7"/>
      <c r="AL6" s="7"/>
    </row>
    <row r="7" spans="1:48">
      <c r="A7" s="5" t="s">
        <v>309</v>
      </c>
      <c r="B7" s="27" t="s">
        <v>308</v>
      </c>
      <c r="C7" s="28">
        <f t="shared" ref="C7:K7" si="0">C23</f>
        <v>29754</v>
      </c>
      <c r="D7" s="28">
        <f t="shared" si="0"/>
        <v>29919</v>
      </c>
      <c r="E7" s="28">
        <f t="shared" si="0"/>
        <v>30890</v>
      </c>
      <c r="F7" s="28">
        <f t="shared" si="0"/>
        <v>32993</v>
      </c>
      <c r="G7" s="28">
        <f t="shared" si="0"/>
        <v>33868</v>
      </c>
      <c r="H7" s="28">
        <f t="shared" si="0"/>
        <v>34624</v>
      </c>
      <c r="I7" s="28">
        <f t="shared" si="0"/>
        <v>36746</v>
      </c>
      <c r="J7" s="28">
        <f t="shared" si="0"/>
        <v>39042</v>
      </c>
      <c r="K7" s="28">
        <f t="shared" si="0"/>
        <v>39987</v>
      </c>
      <c r="L7" s="166">
        <f t="shared" ref="L7:P7" si="1">L23</f>
        <v>41681.565366279072</v>
      </c>
      <c r="M7" s="166">
        <f t="shared" si="1"/>
        <v>43506.930470250605</v>
      </c>
      <c r="N7" s="166">
        <f t="shared" si="1"/>
        <v>45404.069411164259</v>
      </c>
      <c r="O7" s="166">
        <f t="shared" si="1"/>
        <v>47375.642089622197</v>
      </c>
      <c r="P7" s="166">
        <f t="shared" si="1"/>
        <v>49424.403300517784</v>
      </c>
      <c r="Q7" s="163"/>
      <c r="R7" s="28"/>
      <c r="S7" s="28"/>
      <c r="T7" s="28"/>
      <c r="U7" s="28">
        <f t="shared" ref="U7:AJ7" si="2">U23</f>
        <v>15525</v>
      </c>
      <c r="V7" s="28">
        <f t="shared" si="2"/>
        <v>14394</v>
      </c>
      <c r="W7" s="28">
        <f t="shared" si="2"/>
        <v>16069</v>
      </c>
      <c r="X7" s="28">
        <f t="shared" si="2"/>
        <v>14821</v>
      </c>
      <c r="Y7" s="28">
        <f t="shared" si="2"/>
        <v>16593</v>
      </c>
      <c r="Z7" s="28">
        <f t="shared" si="2"/>
        <v>16400</v>
      </c>
      <c r="AA7" s="28">
        <f t="shared" si="2"/>
        <v>17812</v>
      </c>
      <c r="AB7" s="28">
        <f t="shared" si="2"/>
        <v>16056</v>
      </c>
      <c r="AC7" s="28">
        <f t="shared" si="2"/>
        <v>18016</v>
      </c>
      <c r="AD7" s="28">
        <f t="shared" si="2"/>
        <v>16608</v>
      </c>
      <c r="AE7" s="28">
        <f t="shared" si="2"/>
        <v>18857</v>
      </c>
      <c r="AF7" s="28">
        <f t="shared" si="2"/>
        <v>17889</v>
      </c>
      <c r="AG7" s="28">
        <f t="shared" si="2"/>
        <v>19778</v>
      </c>
      <c r="AH7" s="28">
        <f t="shared" si="2"/>
        <v>19264</v>
      </c>
      <c r="AI7" s="28">
        <f t="shared" si="2"/>
        <v>20629</v>
      </c>
      <c r="AJ7" s="28">
        <f t="shared" si="2"/>
        <v>19358</v>
      </c>
      <c r="AK7" s="166">
        <f t="shared" ref="AK7:AL7" si="3">AK23</f>
        <v>21505.588241258745</v>
      </c>
      <c r="AL7" s="166">
        <f t="shared" si="3"/>
        <v>20175.977125020327</v>
      </c>
    </row>
    <row r="8" spans="1:48">
      <c r="A8" s="5" t="s">
        <v>313</v>
      </c>
      <c r="B8" s="27" t="s">
        <v>310</v>
      </c>
      <c r="C8" s="28">
        <f t="shared" ref="C8:J8" si="4">C93</f>
        <v>3223</v>
      </c>
      <c r="D8" s="28">
        <f t="shared" si="4"/>
        <v>3314</v>
      </c>
      <c r="E8" s="28">
        <f t="shared" si="4"/>
        <v>3063</v>
      </c>
      <c r="F8" s="28">
        <f t="shared" si="4"/>
        <v>3308</v>
      </c>
      <c r="G8" s="28">
        <f t="shared" si="4"/>
        <v>3525</v>
      </c>
      <c r="H8" s="28">
        <f t="shared" si="4"/>
        <v>3613</v>
      </c>
      <c r="I8" s="28">
        <f t="shared" si="4"/>
        <v>3610</v>
      </c>
      <c r="J8" s="28">
        <f t="shared" si="4"/>
        <v>3692</v>
      </c>
      <c r="K8" s="28">
        <f>K93</f>
        <v>3667</v>
      </c>
      <c r="L8" s="166">
        <f t="shared" ref="L8:P8" si="5">L93</f>
        <v>3636.7031578156311</v>
      </c>
      <c r="M8" s="166">
        <f t="shared" si="5"/>
        <v>3727.6207367610214</v>
      </c>
      <c r="N8" s="166">
        <f t="shared" si="5"/>
        <v>3820.8112551800464</v>
      </c>
      <c r="O8" s="166">
        <f t="shared" si="5"/>
        <v>3916.3315365595472</v>
      </c>
      <c r="P8" s="166">
        <f t="shared" si="5"/>
        <v>4014.2398249735356</v>
      </c>
      <c r="Q8" s="163"/>
      <c r="R8" s="28"/>
      <c r="S8" s="28"/>
      <c r="T8" s="28"/>
      <c r="U8" s="28">
        <f t="shared" ref="U8:AL8" si="6">U93</f>
        <v>1721</v>
      </c>
      <c r="V8" s="28">
        <f t="shared" si="6"/>
        <v>1593</v>
      </c>
      <c r="W8" s="28">
        <f t="shared" si="6"/>
        <v>1637</v>
      </c>
      <c r="X8" s="28">
        <f t="shared" si="6"/>
        <v>1426</v>
      </c>
      <c r="Y8" s="28">
        <f t="shared" si="6"/>
        <v>1691</v>
      </c>
      <c r="Z8" s="28">
        <f t="shared" si="6"/>
        <v>1617</v>
      </c>
      <c r="AA8" s="28">
        <f t="shared" si="6"/>
        <v>1946</v>
      </c>
      <c r="AB8" s="28">
        <f t="shared" si="6"/>
        <v>1579</v>
      </c>
      <c r="AC8" s="28">
        <f t="shared" si="6"/>
        <v>1999</v>
      </c>
      <c r="AD8" s="28">
        <f t="shared" si="6"/>
        <v>1614</v>
      </c>
      <c r="AE8" s="28">
        <f t="shared" si="6"/>
        <v>1952</v>
      </c>
      <c r="AF8" s="28">
        <f t="shared" si="6"/>
        <v>1658</v>
      </c>
      <c r="AG8" s="28">
        <f t="shared" si="6"/>
        <v>1988</v>
      </c>
      <c r="AH8" s="28">
        <f t="shared" si="6"/>
        <v>1704</v>
      </c>
      <c r="AI8" s="28">
        <f t="shared" si="6"/>
        <v>2004</v>
      </c>
      <c r="AJ8" s="28">
        <f t="shared" si="6"/>
        <v>1663</v>
      </c>
      <c r="AK8" s="166">
        <f t="shared" si="6"/>
        <v>1984.962</v>
      </c>
      <c r="AL8" s="166">
        <f t="shared" si="6"/>
        <v>1651.7411578156311</v>
      </c>
    </row>
    <row r="9" spans="1:48" hidden="1" outlineLevel="1">
      <c r="B9" s="29" t="s">
        <v>363</v>
      </c>
      <c r="C9" s="72">
        <v>6133</v>
      </c>
      <c r="D9" s="72">
        <v>5761</v>
      </c>
      <c r="E9" s="72">
        <v>1048</v>
      </c>
      <c r="F9" s="72">
        <v>1107</v>
      </c>
      <c r="G9" s="72">
        <v>1192</v>
      </c>
      <c r="H9" s="72"/>
      <c r="I9" s="28"/>
      <c r="J9" s="28"/>
      <c r="K9" s="28"/>
      <c r="L9" s="166"/>
      <c r="M9" s="166"/>
      <c r="N9" s="166"/>
      <c r="O9" s="166"/>
      <c r="P9" s="166"/>
      <c r="Q9" s="163"/>
      <c r="R9" s="28"/>
      <c r="S9" s="28"/>
      <c r="T9" s="28"/>
      <c r="U9" s="72">
        <v>2992</v>
      </c>
      <c r="V9" s="28">
        <f>D9-U9</f>
        <v>2769</v>
      </c>
      <c r="W9" s="72">
        <v>547</v>
      </c>
      <c r="X9" s="28">
        <f>E9-W9</f>
        <v>501</v>
      </c>
      <c r="Y9" s="72">
        <v>572</v>
      </c>
      <c r="Z9" s="28">
        <f>F9-Y9</f>
        <v>535</v>
      </c>
      <c r="AA9" s="72">
        <v>632</v>
      </c>
      <c r="AB9" s="28">
        <f>G9-AA9</f>
        <v>560</v>
      </c>
      <c r="AC9" s="72"/>
      <c r="AD9" s="28"/>
      <c r="AE9" s="28"/>
      <c r="AF9" s="28"/>
      <c r="AG9" s="28"/>
      <c r="AH9" s="28"/>
      <c r="AI9" s="28"/>
      <c r="AJ9" s="28"/>
      <c r="AK9" s="166"/>
      <c r="AL9" s="166"/>
    </row>
    <row r="10" spans="1:48" collapsed="1">
      <c r="A10" s="5" t="s">
        <v>314</v>
      </c>
      <c r="B10" s="29" t="s">
        <v>311</v>
      </c>
      <c r="C10" s="28">
        <f t="shared" ref="C10:H10" si="7">C153</f>
        <v>16</v>
      </c>
      <c r="D10" s="28">
        <f t="shared" si="7"/>
        <v>13</v>
      </c>
      <c r="E10" s="28">
        <f t="shared" si="7"/>
        <v>0</v>
      </c>
      <c r="F10" s="28">
        <f t="shared" si="7"/>
        <v>0</v>
      </c>
      <c r="G10" s="28">
        <f t="shared" si="7"/>
        <v>0</v>
      </c>
      <c r="H10" s="28">
        <f t="shared" si="7"/>
        <v>0</v>
      </c>
      <c r="I10" s="28">
        <f>I153</f>
        <v>127</v>
      </c>
      <c r="J10" s="28">
        <f>J153</f>
        <v>837</v>
      </c>
      <c r="K10" s="28">
        <f>K153</f>
        <v>698</v>
      </c>
      <c r="L10" s="166">
        <f t="shared" ref="L10:P10" si="8">L153</f>
        <v>499.20000000000005</v>
      </c>
      <c r="M10" s="166">
        <f t="shared" si="8"/>
        <v>0</v>
      </c>
      <c r="N10" s="166">
        <f t="shared" si="8"/>
        <v>0</v>
      </c>
      <c r="O10" s="166">
        <f t="shared" si="8"/>
        <v>0</v>
      </c>
      <c r="P10" s="166">
        <f t="shared" si="8"/>
        <v>0</v>
      </c>
      <c r="Q10" s="313"/>
      <c r="R10" s="28"/>
      <c r="S10" s="28"/>
      <c r="T10" s="28"/>
      <c r="U10" s="28">
        <f t="shared" ref="U10:AL10" si="9">U153</f>
        <v>8</v>
      </c>
      <c r="V10" s="28">
        <f t="shared" si="9"/>
        <v>5</v>
      </c>
      <c r="W10" s="28">
        <f t="shared" si="9"/>
        <v>13</v>
      </c>
      <c r="X10" s="28">
        <f t="shared" si="9"/>
        <v>-13</v>
      </c>
      <c r="Y10" s="28">
        <f t="shared" si="9"/>
        <v>0</v>
      </c>
      <c r="Z10" s="28">
        <f t="shared" si="9"/>
        <v>0</v>
      </c>
      <c r="AA10" s="28">
        <f t="shared" si="9"/>
        <v>0</v>
      </c>
      <c r="AB10" s="28">
        <f t="shared" si="9"/>
        <v>0</v>
      </c>
      <c r="AC10" s="28">
        <f t="shared" si="9"/>
        <v>0</v>
      </c>
      <c r="AD10" s="28">
        <f t="shared" si="9"/>
        <v>0</v>
      </c>
      <c r="AE10" s="28">
        <f t="shared" si="9"/>
        <v>0</v>
      </c>
      <c r="AF10" s="28">
        <f t="shared" si="9"/>
        <v>127</v>
      </c>
      <c r="AG10" s="28">
        <f t="shared" si="9"/>
        <v>450</v>
      </c>
      <c r="AH10" s="28">
        <f t="shared" si="9"/>
        <v>387</v>
      </c>
      <c r="AI10" s="28">
        <f t="shared" si="9"/>
        <v>402</v>
      </c>
      <c r="AJ10" s="28">
        <f t="shared" si="9"/>
        <v>296</v>
      </c>
      <c r="AK10" s="166">
        <f t="shared" si="9"/>
        <v>321.60000000000002</v>
      </c>
      <c r="AL10" s="166">
        <f t="shared" si="9"/>
        <v>177.60000000000002</v>
      </c>
    </row>
    <row r="11" spans="1:48">
      <c r="A11" s="5" t="s">
        <v>152</v>
      </c>
      <c r="B11" s="35" t="s">
        <v>326</v>
      </c>
      <c r="C11" s="40">
        <v>39125</v>
      </c>
      <c r="D11" s="51">
        <f t="shared" ref="D11:P11" si="10">SUM(D7:D10)</f>
        <v>39007</v>
      </c>
      <c r="E11" s="51">
        <f t="shared" si="10"/>
        <v>35001</v>
      </c>
      <c r="F11" s="51">
        <f t="shared" si="10"/>
        <v>37408</v>
      </c>
      <c r="G11" s="51">
        <f t="shared" si="10"/>
        <v>38585</v>
      </c>
      <c r="H11" s="51">
        <f t="shared" si="10"/>
        <v>38237</v>
      </c>
      <c r="I11" s="51">
        <f t="shared" si="10"/>
        <v>40483</v>
      </c>
      <c r="J11" s="51">
        <f t="shared" si="10"/>
        <v>43571</v>
      </c>
      <c r="K11" s="51">
        <f t="shared" si="10"/>
        <v>44352</v>
      </c>
      <c r="L11" s="167">
        <f t="shared" si="10"/>
        <v>45817.4685240947</v>
      </c>
      <c r="M11" s="167">
        <f t="shared" si="10"/>
        <v>47234.551207011624</v>
      </c>
      <c r="N11" s="167">
        <f t="shared" si="10"/>
        <v>49224.880666344303</v>
      </c>
      <c r="O11" s="167">
        <f t="shared" si="10"/>
        <v>51291.973626181745</v>
      </c>
      <c r="P11" s="167">
        <f t="shared" si="10"/>
        <v>53438.643125491319</v>
      </c>
      <c r="Q11" s="163"/>
      <c r="R11" s="51"/>
      <c r="S11" s="51"/>
      <c r="T11" s="51"/>
      <c r="U11" s="51">
        <f t="shared" ref="U11:AL11" si="11">SUM(U7:U10)</f>
        <v>20246</v>
      </c>
      <c r="V11" s="51">
        <f t="shared" si="11"/>
        <v>18761</v>
      </c>
      <c r="W11" s="51">
        <f t="shared" si="11"/>
        <v>18266</v>
      </c>
      <c r="X11" s="51">
        <f t="shared" si="11"/>
        <v>16735</v>
      </c>
      <c r="Y11" s="51">
        <f t="shared" si="11"/>
        <v>18856</v>
      </c>
      <c r="Z11" s="51">
        <f t="shared" si="11"/>
        <v>18552</v>
      </c>
      <c r="AA11" s="51">
        <f t="shared" si="11"/>
        <v>20390</v>
      </c>
      <c r="AB11" s="51">
        <f t="shared" si="11"/>
        <v>18195</v>
      </c>
      <c r="AC11" s="51">
        <f t="shared" si="11"/>
        <v>20015</v>
      </c>
      <c r="AD11" s="51">
        <f t="shared" si="11"/>
        <v>18222</v>
      </c>
      <c r="AE11" s="51">
        <f t="shared" si="11"/>
        <v>20809</v>
      </c>
      <c r="AF11" s="51">
        <f t="shared" si="11"/>
        <v>19674</v>
      </c>
      <c r="AG11" s="51">
        <f t="shared" si="11"/>
        <v>22216</v>
      </c>
      <c r="AH11" s="51">
        <f t="shared" si="11"/>
        <v>21355</v>
      </c>
      <c r="AI11" s="51">
        <f t="shared" si="11"/>
        <v>23035</v>
      </c>
      <c r="AJ11" s="51">
        <f t="shared" si="11"/>
        <v>21317</v>
      </c>
      <c r="AK11" s="167">
        <f t="shared" si="11"/>
        <v>23812.150241258743</v>
      </c>
      <c r="AL11" s="167">
        <f t="shared" si="11"/>
        <v>22005.318282835957</v>
      </c>
    </row>
    <row r="12" spans="1:48" s="6" customFormat="1">
      <c r="A12" s="5"/>
      <c r="B12" s="46" t="s">
        <v>312</v>
      </c>
      <c r="C12" s="72">
        <v>0</v>
      </c>
      <c r="D12" s="72">
        <v>0</v>
      </c>
      <c r="E12" s="72">
        <v>0</v>
      </c>
      <c r="F12" s="72">
        <v>0</v>
      </c>
      <c r="G12" s="72">
        <v>0</v>
      </c>
      <c r="H12" s="72">
        <v>1132</v>
      </c>
      <c r="I12" s="72">
        <v>988</v>
      </c>
      <c r="J12" s="72">
        <v>0</v>
      </c>
      <c r="K12" s="72">
        <v>0</v>
      </c>
      <c r="L12" s="342"/>
      <c r="M12" s="342"/>
      <c r="N12" s="342"/>
      <c r="O12" s="342"/>
      <c r="P12" s="342"/>
      <c r="Q12" s="314"/>
      <c r="R12" s="39"/>
      <c r="S12" s="39"/>
      <c r="T12" s="51"/>
      <c r="U12" s="72">
        <v>0</v>
      </c>
      <c r="V12" s="28">
        <f>D12-U12</f>
        <v>0</v>
      </c>
      <c r="W12" s="72">
        <v>0</v>
      </c>
      <c r="X12" s="33">
        <f>E12-W12</f>
        <v>0</v>
      </c>
      <c r="Y12" s="72">
        <v>0</v>
      </c>
      <c r="Z12" s="28">
        <f>F12-Y12</f>
        <v>0</v>
      </c>
      <c r="AA12" s="72">
        <v>0</v>
      </c>
      <c r="AB12" s="31">
        <f>G12-AA12</f>
        <v>0</v>
      </c>
      <c r="AC12" s="72">
        <v>578</v>
      </c>
      <c r="AD12" s="31">
        <f>H12-AC12</f>
        <v>554</v>
      </c>
      <c r="AE12" s="72">
        <v>578</v>
      </c>
      <c r="AF12" s="31">
        <f>I12-AE12</f>
        <v>410</v>
      </c>
      <c r="AG12" s="72">
        <v>0</v>
      </c>
      <c r="AH12" s="31">
        <f>J12-AG12</f>
        <v>0</v>
      </c>
      <c r="AI12" s="72">
        <v>0</v>
      </c>
      <c r="AJ12" s="31">
        <f>K12-AI12</f>
        <v>0</v>
      </c>
      <c r="AK12" s="342"/>
      <c r="AL12" s="342"/>
      <c r="AM12" s="5"/>
      <c r="AV12" s="129"/>
    </row>
    <row r="13" spans="1:48" s="6" customFormat="1">
      <c r="A13" s="5"/>
      <c r="B13" s="37" t="s">
        <v>376</v>
      </c>
      <c r="C13" s="39">
        <f t="shared" ref="C13:G13" si="12">C11+C12</f>
        <v>39125</v>
      </c>
      <c r="D13" s="39">
        <f t="shared" si="12"/>
        <v>39007</v>
      </c>
      <c r="E13" s="39">
        <f t="shared" si="12"/>
        <v>35001</v>
      </c>
      <c r="F13" s="39">
        <f t="shared" si="12"/>
        <v>37408</v>
      </c>
      <c r="G13" s="39">
        <f t="shared" si="12"/>
        <v>38585</v>
      </c>
      <c r="H13" s="39">
        <f>H11+H12</f>
        <v>39369</v>
      </c>
      <c r="I13" s="39">
        <f t="shared" ref="I13" si="13">I11+I12</f>
        <v>41471</v>
      </c>
      <c r="J13" s="39">
        <f t="shared" ref="J13" si="14">J11+J12</f>
        <v>43571</v>
      </c>
      <c r="K13" s="39">
        <f t="shared" ref="K13" si="15">K11+K12</f>
        <v>44352</v>
      </c>
      <c r="L13" s="342"/>
      <c r="M13" s="342"/>
      <c r="N13" s="342"/>
      <c r="O13" s="342"/>
      <c r="P13" s="342"/>
      <c r="Q13" s="314"/>
      <c r="R13" s="39"/>
      <c r="S13" s="39"/>
      <c r="T13" s="51"/>
      <c r="U13" s="294">
        <f>SUM(U11:U12)</f>
        <v>20246</v>
      </c>
      <c r="V13" s="294">
        <f t="shared" ref="V13:AJ13" si="16">SUM(V11:V12)</f>
        <v>18761</v>
      </c>
      <c r="W13" s="294">
        <f t="shared" si="16"/>
        <v>18266</v>
      </c>
      <c r="X13" s="294">
        <f t="shared" si="16"/>
        <v>16735</v>
      </c>
      <c r="Y13" s="294">
        <f t="shared" si="16"/>
        <v>18856</v>
      </c>
      <c r="Z13" s="294">
        <f t="shared" si="16"/>
        <v>18552</v>
      </c>
      <c r="AA13" s="294">
        <f t="shared" si="16"/>
        <v>20390</v>
      </c>
      <c r="AB13" s="294">
        <f t="shared" si="16"/>
        <v>18195</v>
      </c>
      <c r="AC13" s="294">
        <f t="shared" si="16"/>
        <v>20593</v>
      </c>
      <c r="AD13" s="294">
        <f t="shared" si="16"/>
        <v>18776</v>
      </c>
      <c r="AE13" s="294">
        <f t="shared" si="16"/>
        <v>21387</v>
      </c>
      <c r="AF13" s="294">
        <f t="shared" si="16"/>
        <v>20084</v>
      </c>
      <c r="AG13" s="294">
        <f t="shared" si="16"/>
        <v>22216</v>
      </c>
      <c r="AH13" s="294">
        <f t="shared" si="16"/>
        <v>21355</v>
      </c>
      <c r="AI13" s="294">
        <f t="shared" si="16"/>
        <v>23035</v>
      </c>
      <c r="AJ13" s="294">
        <f t="shared" si="16"/>
        <v>21317</v>
      </c>
      <c r="AK13" s="342"/>
      <c r="AL13" s="342"/>
      <c r="AM13" s="5"/>
      <c r="AV13" s="129"/>
    </row>
    <row r="14" spans="1:48" s="6" customFormat="1">
      <c r="A14" s="5"/>
      <c r="B14" s="46"/>
      <c r="C14" s="39"/>
      <c r="D14" s="340"/>
      <c r="E14" s="340"/>
      <c r="F14" s="340"/>
      <c r="G14" s="340"/>
      <c r="H14" s="340"/>
      <c r="I14" s="340"/>
      <c r="J14" s="340"/>
      <c r="K14" s="340"/>
      <c r="L14" s="342"/>
      <c r="M14" s="342"/>
      <c r="N14" s="342"/>
      <c r="O14" s="342"/>
      <c r="P14" s="342"/>
      <c r="Q14" s="314"/>
      <c r="R14" s="39"/>
      <c r="S14" s="39"/>
      <c r="T14" s="51"/>
      <c r="U14" s="340"/>
      <c r="V14" s="340"/>
      <c r="W14" s="340"/>
      <c r="X14" s="340"/>
      <c r="Y14" s="340"/>
      <c r="Z14" s="340"/>
      <c r="AA14" s="340"/>
      <c r="AB14" s="340"/>
      <c r="AC14" s="340"/>
      <c r="AD14" s="340"/>
      <c r="AE14" s="340"/>
      <c r="AF14" s="340"/>
      <c r="AG14" s="340"/>
      <c r="AH14" s="340"/>
      <c r="AI14" s="340"/>
      <c r="AJ14" s="340"/>
      <c r="AK14" s="342"/>
      <c r="AL14" s="342"/>
      <c r="AM14" s="5"/>
      <c r="AV14" s="129"/>
    </row>
    <row r="15" spans="1:48">
      <c r="B15" s="2" t="s">
        <v>33</v>
      </c>
      <c r="C15" s="11"/>
      <c r="D15" s="11"/>
      <c r="E15" s="11"/>
      <c r="F15" s="11"/>
      <c r="G15" s="11"/>
      <c r="H15" s="11"/>
      <c r="I15" s="11"/>
      <c r="J15" s="11"/>
      <c r="K15" s="11"/>
      <c r="L15" s="7"/>
      <c r="M15" s="7"/>
      <c r="N15" s="7"/>
      <c r="O15" s="7"/>
      <c r="P15" s="7"/>
      <c r="Q15" s="7"/>
      <c r="R15" s="11"/>
      <c r="S15" s="11"/>
      <c r="T15" s="11"/>
      <c r="U15" s="11"/>
      <c r="V15" s="11"/>
      <c r="W15" s="11"/>
      <c r="X15" s="11"/>
      <c r="Y15" s="11"/>
      <c r="Z15" s="11"/>
      <c r="AA15" s="11"/>
      <c r="AB15" s="11"/>
      <c r="AC15" s="11"/>
      <c r="AD15" s="11"/>
      <c r="AE15" s="11"/>
      <c r="AF15" s="11"/>
      <c r="AG15" s="11"/>
      <c r="AH15" s="11"/>
      <c r="AI15" s="11"/>
      <c r="AJ15" s="11"/>
      <c r="AK15" s="7"/>
      <c r="AL15" s="7"/>
      <c r="AV15" s="129"/>
    </row>
    <row r="16" spans="1:48">
      <c r="A16" s="5" t="s">
        <v>316</v>
      </c>
      <c r="B16" s="27" t="s">
        <v>308</v>
      </c>
      <c r="C16" s="28">
        <f t="shared" ref="C16:K16" si="17">C50</f>
        <v>1186</v>
      </c>
      <c r="D16" s="28">
        <f t="shared" si="17"/>
        <v>1157</v>
      </c>
      <c r="E16" s="28">
        <f t="shared" si="17"/>
        <v>1183</v>
      </c>
      <c r="F16" s="28">
        <f t="shared" si="17"/>
        <v>1618</v>
      </c>
      <c r="G16" s="28">
        <f t="shared" si="17"/>
        <v>1702</v>
      </c>
      <c r="H16" s="28">
        <f t="shared" si="17"/>
        <v>1715</v>
      </c>
      <c r="I16" s="28">
        <f t="shared" si="17"/>
        <v>1765</v>
      </c>
      <c r="J16" s="28">
        <f t="shared" si="17"/>
        <v>2018</v>
      </c>
      <c r="K16" s="28">
        <f t="shared" si="17"/>
        <v>2108</v>
      </c>
      <c r="L16" s="166">
        <f>L50</f>
        <v>2430.6327015947682</v>
      </c>
      <c r="M16" s="166">
        <f t="shared" ref="M16:P16" si="18">M50</f>
        <v>2618.7812565851946</v>
      </c>
      <c r="N16" s="166">
        <f t="shared" si="18"/>
        <v>2771.5222333596189</v>
      </c>
      <c r="O16" s="166">
        <f t="shared" si="18"/>
        <v>2882.1851526557102</v>
      </c>
      <c r="P16" s="166">
        <f t="shared" si="18"/>
        <v>2994.7650096243292</v>
      </c>
      <c r="Q16" s="163"/>
      <c r="R16" s="28"/>
      <c r="S16" s="28"/>
      <c r="T16" s="28"/>
      <c r="U16" s="28">
        <f t="shared" ref="U16:AJ16" si="19">U50</f>
        <v>600</v>
      </c>
      <c r="V16" s="28">
        <f t="shared" si="19"/>
        <v>557</v>
      </c>
      <c r="W16" s="28">
        <f t="shared" si="19"/>
        <v>602</v>
      </c>
      <c r="X16" s="28">
        <f t="shared" si="19"/>
        <v>581</v>
      </c>
      <c r="Y16" s="28">
        <f t="shared" si="19"/>
        <v>789</v>
      </c>
      <c r="Z16" s="28">
        <f t="shared" si="19"/>
        <v>829</v>
      </c>
      <c r="AA16" s="28">
        <f t="shared" si="19"/>
        <v>903</v>
      </c>
      <c r="AB16" s="28">
        <f t="shared" si="19"/>
        <v>799</v>
      </c>
      <c r="AC16" s="28">
        <f t="shared" si="19"/>
        <v>896</v>
      </c>
      <c r="AD16" s="28">
        <f t="shared" si="19"/>
        <v>819</v>
      </c>
      <c r="AE16" s="28">
        <f t="shared" si="19"/>
        <v>991</v>
      </c>
      <c r="AF16" s="28">
        <f t="shared" si="19"/>
        <v>774</v>
      </c>
      <c r="AG16" s="28">
        <f t="shared" si="19"/>
        <v>1007</v>
      </c>
      <c r="AH16" s="28">
        <f t="shared" si="19"/>
        <v>1011</v>
      </c>
      <c r="AI16" s="28">
        <f t="shared" si="19"/>
        <v>1077</v>
      </c>
      <c r="AJ16" s="28">
        <f t="shared" si="19"/>
        <v>1031</v>
      </c>
      <c r="AK16" s="166">
        <f t="shared" ref="AK16:AL16" si="20">AK50</f>
        <v>1244.4304352007007</v>
      </c>
      <c r="AL16" s="166">
        <f t="shared" si="20"/>
        <v>1186.2022663940675</v>
      </c>
      <c r="AV16" s="129"/>
    </row>
    <row r="17" spans="1:48">
      <c r="A17" s="5" t="s">
        <v>318</v>
      </c>
      <c r="B17" s="27" t="s">
        <v>310</v>
      </c>
      <c r="C17" s="28">
        <f>C119</f>
        <v>138</v>
      </c>
      <c r="D17" s="28">
        <f t="shared" ref="D17:P17" si="21">D119</f>
        <v>130</v>
      </c>
      <c r="E17" s="28">
        <f t="shared" si="21"/>
        <v>120</v>
      </c>
      <c r="F17" s="28">
        <f t="shared" si="21"/>
        <v>138</v>
      </c>
      <c r="G17" s="28">
        <f t="shared" si="21"/>
        <v>165</v>
      </c>
      <c r="H17" s="28">
        <f t="shared" si="21"/>
        <v>163</v>
      </c>
      <c r="I17" s="28">
        <f t="shared" si="21"/>
        <v>157</v>
      </c>
      <c r="J17" s="28">
        <f t="shared" si="21"/>
        <v>133</v>
      </c>
      <c r="K17" s="28">
        <f t="shared" si="21"/>
        <v>113</v>
      </c>
      <c r="L17" s="166">
        <f t="shared" si="21"/>
        <v>86.374645244488988</v>
      </c>
      <c r="M17" s="166">
        <f t="shared" si="21"/>
        <v>111.17673534912316</v>
      </c>
      <c r="N17" s="166">
        <f t="shared" si="21"/>
        <v>116.42514173285116</v>
      </c>
      <c r="O17" s="166">
        <f t="shared" si="21"/>
        <v>129.67974612429134</v>
      </c>
      <c r="P17" s="166">
        <f t="shared" si="21"/>
        <v>143.50449182329558</v>
      </c>
      <c r="Q17" s="163"/>
      <c r="R17" s="28"/>
      <c r="S17" s="28"/>
      <c r="T17" s="28"/>
      <c r="U17" s="28">
        <f>U119</f>
        <v>80</v>
      </c>
      <c r="V17" s="28">
        <f t="shared" ref="V17:AL17" si="22">V119</f>
        <v>50</v>
      </c>
      <c r="W17" s="28">
        <f t="shared" si="22"/>
        <v>74</v>
      </c>
      <c r="X17" s="28">
        <f t="shared" si="22"/>
        <v>46</v>
      </c>
      <c r="Y17" s="28">
        <f t="shared" si="22"/>
        <v>76</v>
      </c>
      <c r="Z17" s="28">
        <f t="shared" si="22"/>
        <v>62</v>
      </c>
      <c r="AA17" s="28">
        <f t="shared" si="22"/>
        <v>104</v>
      </c>
      <c r="AB17" s="28">
        <f t="shared" si="22"/>
        <v>61</v>
      </c>
      <c r="AC17" s="28">
        <f t="shared" si="22"/>
        <v>99</v>
      </c>
      <c r="AD17" s="28">
        <f t="shared" si="22"/>
        <v>64</v>
      </c>
      <c r="AE17" s="28">
        <f t="shared" si="22"/>
        <v>80</v>
      </c>
      <c r="AF17" s="28">
        <f t="shared" si="22"/>
        <v>77</v>
      </c>
      <c r="AG17" s="28">
        <f t="shared" si="22"/>
        <v>84</v>
      </c>
      <c r="AH17" s="28">
        <f t="shared" si="22"/>
        <v>49</v>
      </c>
      <c r="AI17" s="28">
        <f t="shared" si="22"/>
        <v>67</v>
      </c>
      <c r="AJ17" s="28">
        <f t="shared" si="22"/>
        <v>46</v>
      </c>
      <c r="AK17" s="166">
        <f t="shared" si="22"/>
        <v>47.445261999999971</v>
      </c>
      <c r="AL17" s="166">
        <f t="shared" si="22"/>
        <v>38.929383244489017</v>
      </c>
      <c r="AV17" s="129"/>
    </row>
    <row r="18" spans="1:48" outlineLevel="1">
      <c r="B18" s="29" t="s">
        <v>363</v>
      </c>
      <c r="C18" s="72">
        <v>190</v>
      </c>
      <c r="D18" s="72">
        <v>133</v>
      </c>
      <c r="E18" s="72">
        <v>50</v>
      </c>
      <c r="F18" s="72">
        <v>33</v>
      </c>
      <c r="G18" s="72">
        <v>67</v>
      </c>
      <c r="H18" s="72"/>
      <c r="I18" s="28"/>
      <c r="J18" s="28"/>
      <c r="K18" s="28"/>
      <c r="L18" s="166"/>
      <c r="M18" s="166"/>
      <c r="N18" s="166"/>
      <c r="O18" s="166"/>
      <c r="P18" s="166"/>
      <c r="Q18" s="163"/>
      <c r="R18" s="28"/>
      <c r="S18" s="28"/>
      <c r="T18" s="28"/>
      <c r="U18" s="72">
        <v>84</v>
      </c>
      <c r="V18" s="28">
        <f>D18-U18</f>
        <v>49</v>
      </c>
      <c r="W18" s="72">
        <v>51</v>
      </c>
      <c r="X18" s="28">
        <f>E18-W18</f>
        <v>-1</v>
      </c>
      <c r="Y18" s="72">
        <v>28</v>
      </c>
      <c r="Z18" s="28">
        <f>F18-Y18</f>
        <v>5</v>
      </c>
      <c r="AA18" s="72">
        <v>32</v>
      </c>
      <c r="AB18" s="28">
        <f>G18-AA18</f>
        <v>35</v>
      </c>
      <c r="AC18" s="28"/>
      <c r="AD18" s="28"/>
      <c r="AE18" s="28"/>
      <c r="AF18" s="28"/>
      <c r="AG18" s="28"/>
      <c r="AH18" s="28"/>
      <c r="AI18" s="28"/>
      <c r="AJ18" s="28"/>
      <c r="AK18" s="166"/>
      <c r="AL18" s="166"/>
      <c r="AV18" s="129"/>
    </row>
    <row r="19" spans="1:48">
      <c r="A19" s="5" t="s">
        <v>315</v>
      </c>
      <c r="B19" s="29" t="s">
        <v>311</v>
      </c>
      <c r="C19" s="28">
        <f>C166</f>
        <v>0</v>
      </c>
      <c r="D19" s="28">
        <f t="shared" ref="D19:K19" si="23">D166</f>
        <v>-25</v>
      </c>
      <c r="E19" s="28">
        <f t="shared" si="23"/>
        <v>-28</v>
      </c>
      <c r="F19" s="28">
        <f t="shared" si="23"/>
        <v>-27</v>
      </c>
      <c r="G19" s="28">
        <f t="shared" si="23"/>
        <v>-61</v>
      </c>
      <c r="H19" s="28">
        <f t="shared" si="23"/>
        <v>-51</v>
      </c>
      <c r="I19" s="28">
        <f t="shared" si="23"/>
        <v>-63</v>
      </c>
      <c r="J19" s="28">
        <f t="shared" si="23"/>
        <v>-94</v>
      </c>
      <c r="K19" s="28">
        <f t="shared" si="23"/>
        <v>-109</v>
      </c>
      <c r="L19" s="166">
        <f t="shared" ref="L19:P19" si="24">L166</f>
        <v>-108.77332378223497</v>
      </c>
      <c r="M19" s="166">
        <f t="shared" si="24"/>
        <v>-118.51630000000002</v>
      </c>
      <c r="N19" s="166">
        <f t="shared" si="24"/>
        <v>-121.92178900000002</v>
      </c>
      <c r="O19" s="166">
        <f t="shared" si="24"/>
        <v>-125.42944267000003</v>
      </c>
      <c r="P19" s="166">
        <f t="shared" si="24"/>
        <v>-129.04232595010004</v>
      </c>
      <c r="Q19" s="163"/>
      <c r="R19" s="28"/>
      <c r="S19" s="28"/>
      <c r="T19" s="28"/>
      <c r="U19" s="28">
        <f>U166</f>
        <v>15</v>
      </c>
      <c r="V19" s="28">
        <f t="shared" ref="V19:AL19" si="25">V166</f>
        <v>-40</v>
      </c>
      <c r="W19" s="28">
        <f t="shared" si="25"/>
        <v>-5</v>
      </c>
      <c r="X19" s="28">
        <f t="shared" si="25"/>
        <v>-23</v>
      </c>
      <c r="Y19" s="28">
        <f t="shared" si="25"/>
        <v>17</v>
      </c>
      <c r="Z19" s="28">
        <f t="shared" si="25"/>
        <v>-44</v>
      </c>
      <c r="AA19" s="28">
        <f t="shared" si="25"/>
        <v>-19</v>
      </c>
      <c r="AB19" s="28">
        <f t="shared" si="25"/>
        <v>-42</v>
      </c>
      <c r="AC19" s="28">
        <f t="shared" si="25"/>
        <v>-32</v>
      </c>
      <c r="AD19" s="28">
        <f t="shared" si="25"/>
        <v>-19</v>
      </c>
      <c r="AE19" s="28">
        <f t="shared" si="25"/>
        <v>-13</v>
      </c>
      <c r="AF19" s="28">
        <f t="shared" si="25"/>
        <v>-50</v>
      </c>
      <c r="AG19" s="28">
        <f t="shared" si="25"/>
        <v>-27</v>
      </c>
      <c r="AH19" s="28">
        <f t="shared" si="25"/>
        <v>-67</v>
      </c>
      <c r="AI19" s="28">
        <f t="shared" si="25"/>
        <v>-27</v>
      </c>
      <c r="AJ19" s="28">
        <f t="shared" si="25"/>
        <v>-82</v>
      </c>
      <c r="AK19" s="166">
        <f t="shared" si="25"/>
        <v>-40.230000000000004</v>
      </c>
      <c r="AL19" s="166">
        <f t="shared" si="25"/>
        <v>-68.543323782234964</v>
      </c>
      <c r="AV19" s="129"/>
    </row>
    <row r="20" spans="1:48">
      <c r="A20" s="5" t="s">
        <v>50</v>
      </c>
      <c r="B20" s="35" t="s">
        <v>155</v>
      </c>
      <c r="C20" s="51">
        <f t="shared" ref="C20:J20" si="26">SUM(C16:C19)</f>
        <v>1514</v>
      </c>
      <c r="D20" s="51">
        <f t="shared" si="26"/>
        <v>1395</v>
      </c>
      <c r="E20" s="51">
        <f t="shared" si="26"/>
        <v>1325</v>
      </c>
      <c r="F20" s="51">
        <f t="shared" si="26"/>
        <v>1762</v>
      </c>
      <c r="G20" s="51">
        <f t="shared" si="26"/>
        <v>1873</v>
      </c>
      <c r="H20" s="51">
        <f t="shared" si="26"/>
        <v>1827</v>
      </c>
      <c r="I20" s="51">
        <f t="shared" si="26"/>
        <v>1859</v>
      </c>
      <c r="J20" s="51">
        <f t="shared" si="26"/>
        <v>2057</v>
      </c>
      <c r="K20" s="51">
        <f>SUM(K16:K19)</f>
        <v>2112</v>
      </c>
      <c r="L20" s="167">
        <f t="shared" ref="L20" si="27">SUM(L16:L19)</f>
        <v>2408.2340230570221</v>
      </c>
      <c r="M20" s="167">
        <f t="shared" ref="M20" si="28">SUM(M16:M19)</f>
        <v>2611.4416919343175</v>
      </c>
      <c r="N20" s="167">
        <f t="shared" ref="N20" si="29">SUM(N16:N19)</f>
        <v>2766.0255860924699</v>
      </c>
      <c r="O20" s="167">
        <f t="shared" ref="O20" si="30">SUM(O16:O19)</f>
        <v>2886.4354561100017</v>
      </c>
      <c r="P20" s="167">
        <f t="shared" ref="P20" si="31">SUM(P16:P19)</f>
        <v>3009.227175497525</v>
      </c>
      <c r="Q20" s="166"/>
      <c r="R20" s="51"/>
      <c r="S20" s="51"/>
      <c r="T20" s="51"/>
      <c r="U20" s="51">
        <f t="shared" ref="U20:AL20" si="32">SUM(U16:U19)</f>
        <v>779</v>
      </c>
      <c r="V20" s="51">
        <f t="shared" si="32"/>
        <v>616</v>
      </c>
      <c r="W20" s="51">
        <f t="shared" si="32"/>
        <v>722</v>
      </c>
      <c r="X20" s="51">
        <f t="shared" si="32"/>
        <v>603</v>
      </c>
      <c r="Y20" s="51">
        <f t="shared" si="32"/>
        <v>910</v>
      </c>
      <c r="Z20" s="51">
        <f t="shared" si="32"/>
        <v>852</v>
      </c>
      <c r="AA20" s="51">
        <f t="shared" si="32"/>
        <v>1020</v>
      </c>
      <c r="AB20" s="51">
        <f t="shared" si="32"/>
        <v>853</v>
      </c>
      <c r="AC20" s="51">
        <f t="shared" si="32"/>
        <v>963</v>
      </c>
      <c r="AD20" s="51">
        <f t="shared" si="32"/>
        <v>864</v>
      </c>
      <c r="AE20" s="51">
        <f t="shared" si="32"/>
        <v>1058</v>
      </c>
      <c r="AF20" s="51">
        <f t="shared" si="32"/>
        <v>801</v>
      </c>
      <c r="AG20" s="51">
        <f t="shared" si="32"/>
        <v>1064</v>
      </c>
      <c r="AH20" s="51">
        <f t="shared" si="32"/>
        <v>993</v>
      </c>
      <c r="AI20" s="51">
        <f t="shared" si="32"/>
        <v>1117</v>
      </c>
      <c r="AJ20" s="51">
        <f t="shared" si="32"/>
        <v>995</v>
      </c>
      <c r="AK20" s="167">
        <f t="shared" si="32"/>
        <v>1251.6456972007006</v>
      </c>
      <c r="AL20" s="167">
        <f t="shared" si="32"/>
        <v>1156.5883258563215</v>
      </c>
      <c r="AV20" s="129"/>
    </row>
    <row r="21" spans="1:48" s="6" customFormat="1">
      <c r="A21" s="5"/>
      <c r="B21" s="46"/>
      <c r="C21" s="39"/>
      <c r="D21" s="340"/>
      <c r="E21" s="340"/>
      <c r="F21" s="340"/>
      <c r="G21" s="340"/>
      <c r="H21" s="340"/>
      <c r="I21" s="340"/>
      <c r="J21" s="340"/>
      <c r="K21" s="360"/>
      <c r="L21" s="342"/>
      <c r="M21" s="342"/>
      <c r="N21" s="342"/>
      <c r="O21" s="342"/>
      <c r="P21" s="342"/>
      <c r="Q21" s="314"/>
      <c r="R21" s="39"/>
      <c r="S21" s="39"/>
      <c r="T21" s="51"/>
      <c r="U21" s="340"/>
      <c r="V21" s="340"/>
      <c r="W21" s="340"/>
      <c r="X21" s="340"/>
      <c r="Y21" s="340"/>
      <c r="Z21" s="340"/>
      <c r="AA21" s="340"/>
      <c r="AB21" s="340"/>
      <c r="AC21" s="340"/>
      <c r="AD21" s="340"/>
      <c r="AE21" s="340"/>
      <c r="AF21" s="340"/>
      <c r="AG21" s="340"/>
      <c r="AH21" s="340"/>
      <c r="AI21" s="340"/>
      <c r="AJ21" s="340"/>
      <c r="AK21" s="342"/>
      <c r="AL21" s="342"/>
      <c r="AM21" s="5"/>
      <c r="AV21" s="129"/>
    </row>
    <row r="22" spans="1:48">
      <c r="B22" s="3" t="s">
        <v>308</v>
      </c>
      <c r="C22" s="11"/>
      <c r="D22" s="11"/>
      <c r="E22" s="11"/>
      <c r="F22" s="11"/>
      <c r="G22" s="11"/>
      <c r="H22" s="11"/>
      <c r="I22" s="11"/>
      <c r="J22" s="11"/>
      <c r="K22" s="11"/>
      <c r="L22" s="7"/>
      <c r="M22" s="7"/>
      <c r="N22" s="7"/>
      <c r="O22" s="7"/>
      <c r="P22" s="7"/>
      <c r="Q22" s="7"/>
      <c r="R22" s="11"/>
      <c r="S22" s="11"/>
      <c r="T22" s="11"/>
      <c r="U22" s="11"/>
      <c r="V22" s="11"/>
      <c r="W22" s="11"/>
      <c r="X22" s="11"/>
      <c r="Y22" s="11"/>
      <c r="Z22" s="11"/>
      <c r="AA22" s="11"/>
      <c r="AB22" s="11"/>
      <c r="AC22" s="11"/>
      <c r="AD22" s="11"/>
      <c r="AE22" s="11"/>
      <c r="AF22" s="11"/>
      <c r="AG22" s="11"/>
      <c r="AH22" s="11"/>
      <c r="AI22" s="11"/>
      <c r="AJ22" s="11"/>
      <c r="AK22" s="7"/>
      <c r="AL22" s="7"/>
      <c r="AV22" s="129"/>
    </row>
    <row r="23" spans="1:48">
      <c r="B23" s="37" t="s">
        <v>0</v>
      </c>
      <c r="C23" s="38">
        <v>29754</v>
      </c>
      <c r="D23" s="40">
        <v>29919</v>
      </c>
      <c r="E23" s="40">
        <v>30890</v>
      </c>
      <c r="F23" s="40">
        <v>32993</v>
      </c>
      <c r="G23" s="40">
        <v>33868</v>
      </c>
      <c r="H23" s="40">
        <v>34624</v>
      </c>
      <c r="I23" s="40">
        <v>36746</v>
      </c>
      <c r="J23" s="40">
        <v>39042</v>
      </c>
      <c r="K23" s="40">
        <v>39987</v>
      </c>
      <c r="L23" s="167">
        <f>K23*(1+L24)</f>
        <v>41681.565366279072</v>
      </c>
      <c r="M23" s="167">
        <f t="shared" ref="M23:P23" si="33">L23*(1+M24)</f>
        <v>43506.930470250605</v>
      </c>
      <c r="N23" s="167">
        <f t="shared" si="33"/>
        <v>45404.069411164259</v>
      </c>
      <c r="O23" s="167">
        <f t="shared" si="33"/>
        <v>47375.642089622197</v>
      </c>
      <c r="P23" s="167">
        <f t="shared" si="33"/>
        <v>49424.403300517784</v>
      </c>
      <c r="Q23" s="163"/>
      <c r="R23" s="38"/>
      <c r="S23" s="38"/>
      <c r="T23" s="39"/>
      <c r="U23" s="38">
        <v>15525</v>
      </c>
      <c r="V23" s="39">
        <f>D23-U23</f>
        <v>14394</v>
      </c>
      <c r="W23" s="40">
        <v>16069</v>
      </c>
      <c r="X23" s="39">
        <f>E23-W23</f>
        <v>14821</v>
      </c>
      <c r="Y23" s="40">
        <v>16593</v>
      </c>
      <c r="Z23" s="39">
        <f>F23-Y23</f>
        <v>16400</v>
      </c>
      <c r="AA23" s="40">
        <v>17812</v>
      </c>
      <c r="AB23" s="39">
        <f>G23-AA23</f>
        <v>16056</v>
      </c>
      <c r="AC23" s="40">
        <v>18016</v>
      </c>
      <c r="AD23" s="39">
        <f>H23-AC23</f>
        <v>16608</v>
      </c>
      <c r="AE23" s="40">
        <v>18857</v>
      </c>
      <c r="AF23" s="39">
        <f>I23-AE23</f>
        <v>17889</v>
      </c>
      <c r="AG23" s="40">
        <v>19778</v>
      </c>
      <c r="AH23" s="39">
        <f>J23-AG23</f>
        <v>19264</v>
      </c>
      <c r="AI23" s="40">
        <v>20629</v>
      </c>
      <c r="AJ23" s="39">
        <f>K23-AI23</f>
        <v>19358</v>
      </c>
      <c r="AK23" s="167">
        <f>AI23*(1+AK24)</f>
        <v>21505.588241258745</v>
      </c>
      <c r="AL23" s="167">
        <f>L23-AK23</f>
        <v>20175.977125020327</v>
      </c>
    </row>
    <row r="24" spans="1:48">
      <c r="A24" s="5" t="s">
        <v>319</v>
      </c>
      <c r="B24" s="46" t="s">
        <v>159</v>
      </c>
      <c r="C24" s="52"/>
      <c r="D24" s="54">
        <f t="shared" ref="D24:K24" si="34">D23/C23-1</f>
        <v>5.5454728775963247E-3</v>
      </c>
      <c r="E24" s="54">
        <f t="shared" si="34"/>
        <v>3.2454293258464606E-2</v>
      </c>
      <c r="F24" s="54">
        <f t="shared" si="34"/>
        <v>6.8080284881838704E-2</v>
      </c>
      <c r="G24" s="54">
        <f t="shared" si="34"/>
        <v>2.6520777134543705E-2</v>
      </c>
      <c r="H24" s="54">
        <f t="shared" si="34"/>
        <v>2.2321955828510598E-2</v>
      </c>
      <c r="I24" s="54">
        <f t="shared" si="34"/>
        <v>6.1286968576709899E-2</v>
      </c>
      <c r="J24" s="54">
        <f t="shared" si="34"/>
        <v>6.2482991345996775E-2</v>
      </c>
      <c r="K24" s="343">
        <f t="shared" si="34"/>
        <v>2.4204702627939056E-2</v>
      </c>
      <c r="L24" s="344">
        <f>SUM(L26:L28)</f>
        <v>4.2377906976744206E-2</v>
      </c>
      <c r="M24" s="344">
        <f t="shared" ref="M24:P24" si="35">SUM(M26:M28)</f>
        <v>4.3793103448275895E-2</v>
      </c>
      <c r="N24" s="344">
        <f t="shared" si="35"/>
        <v>4.3605442176870769E-2</v>
      </c>
      <c r="O24" s="344">
        <f t="shared" si="35"/>
        <v>4.3422818791946295E-2</v>
      </c>
      <c r="P24" s="344">
        <f t="shared" si="35"/>
        <v>4.3245033112582855E-2</v>
      </c>
      <c r="Q24" s="163"/>
      <c r="R24" s="52"/>
      <c r="S24" s="52"/>
      <c r="T24" s="52"/>
      <c r="U24" s="54"/>
      <c r="V24" s="54"/>
      <c r="W24" s="54">
        <f t="shared" ref="W24:AJ24" si="36">W23/U23-1</f>
        <v>3.5040257648953244E-2</v>
      </c>
      <c r="X24" s="54">
        <f t="shared" si="36"/>
        <v>2.9665138252049417E-2</v>
      </c>
      <c r="Y24" s="54">
        <f t="shared" si="36"/>
        <v>3.2609372082892607E-2</v>
      </c>
      <c r="Z24" s="54">
        <f t="shared" si="36"/>
        <v>0.10653802037649274</v>
      </c>
      <c r="AA24" s="54">
        <f t="shared" si="36"/>
        <v>7.346471403603938E-2</v>
      </c>
      <c r="AB24" s="54">
        <f t="shared" si="36"/>
        <v>-2.097560975609758E-2</v>
      </c>
      <c r="AC24" s="54">
        <f t="shared" si="36"/>
        <v>1.1452953065349103E-2</v>
      </c>
      <c r="AD24" s="54">
        <f t="shared" si="36"/>
        <v>3.4379671150971625E-2</v>
      </c>
      <c r="AE24" s="54">
        <f t="shared" si="36"/>
        <v>4.6680728241563108E-2</v>
      </c>
      <c r="AF24" s="54">
        <f t="shared" si="36"/>
        <v>7.7131502890173342E-2</v>
      </c>
      <c r="AG24" s="54">
        <f t="shared" si="36"/>
        <v>4.8841279100599211E-2</v>
      </c>
      <c r="AH24" s="54">
        <f t="shared" si="36"/>
        <v>7.6862876628095433E-2</v>
      </c>
      <c r="AI24" s="54">
        <f t="shared" si="36"/>
        <v>4.3027606431388365E-2</v>
      </c>
      <c r="AJ24" s="54">
        <f t="shared" si="36"/>
        <v>4.8795681063122931E-3</v>
      </c>
      <c r="AK24" s="344">
        <f>SUM(AK26:AK28)</f>
        <v>4.2493006993007093E-2</v>
      </c>
      <c r="AL24" s="345">
        <f>AL23/AJ23-1</f>
        <v>4.2255249768587966E-2</v>
      </c>
    </row>
    <row r="25" spans="1:48">
      <c r="A25" s="5" t="s">
        <v>453</v>
      </c>
      <c r="B25" s="46" t="s">
        <v>452</v>
      </c>
      <c r="C25" s="52"/>
      <c r="D25" s="54"/>
      <c r="E25" s="54"/>
      <c r="F25" s="54"/>
      <c r="G25" s="54"/>
      <c r="H25" s="54"/>
      <c r="I25" s="346">
        <v>7.3999999999999996E-2</v>
      </c>
      <c r="J25" s="346">
        <v>5.7000000000000002E-2</v>
      </c>
      <c r="K25" s="346">
        <v>5.7000000000000002E-2</v>
      </c>
      <c r="L25" s="344"/>
      <c r="M25" s="344"/>
      <c r="N25" s="344"/>
      <c r="O25" s="344"/>
      <c r="P25" s="344"/>
      <c r="Q25" s="163"/>
      <c r="R25" s="52"/>
      <c r="S25" s="52"/>
      <c r="T25" s="52"/>
      <c r="U25" s="54"/>
      <c r="V25" s="54"/>
      <c r="W25" s="54"/>
      <c r="X25" s="54"/>
      <c r="Y25" s="54"/>
      <c r="Z25" s="54"/>
      <c r="AA25" s="54"/>
      <c r="AB25" s="54"/>
      <c r="AC25" s="54"/>
      <c r="AD25" s="54"/>
      <c r="AE25" s="54"/>
      <c r="AF25" s="54"/>
      <c r="AG25" s="54"/>
      <c r="AH25" s="54"/>
      <c r="AI25" s="54"/>
      <c r="AJ25" s="54"/>
      <c r="AK25" s="344"/>
      <c r="AL25" s="345"/>
    </row>
    <row r="26" spans="1:48">
      <c r="A26" s="5" t="s">
        <v>320</v>
      </c>
      <c r="B26" s="46" t="s">
        <v>160</v>
      </c>
      <c r="C26" s="47"/>
      <c r="D26" s="347">
        <v>1.0999999999999999E-2</v>
      </c>
      <c r="E26" s="347">
        <v>2.7E-2</v>
      </c>
      <c r="F26" s="347">
        <v>5.8999999999999997E-2</v>
      </c>
      <c r="G26" s="347">
        <v>2.5000000000000001E-2</v>
      </c>
      <c r="H26" s="347">
        <v>2.5999999999999999E-2</v>
      </c>
      <c r="I26" s="347">
        <v>5.8000000000000003E-2</v>
      </c>
      <c r="J26" s="347">
        <v>3.4000000000000002E-2</v>
      </c>
      <c r="K26" s="347">
        <v>3.6999999999999998E-2</v>
      </c>
      <c r="L26" s="196">
        <f>VLOOKUP($A26,Quarterly!$1:$1048576,MATCH(Model!L$3,Quarterly!$3:$3,0),FALSE)</f>
        <v>3.875E-2</v>
      </c>
      <c r="M26" s="171">
        <v>3.5000000000000003E-2</v>
      </c>
      <c r="N26" s="171">
        <v>3.5000000000000003E-2</v>
      </c>
      <c r="O26" s="171">
        <v>3.5000000000000003E-2</v>
      </c>
      <c r="P26" s="171">
        <v>3.5000000000000003E-2</v>
      </c>
      <c r="Q26" s="163"/>
      <c r="R26" s="47"/>
      <c r="S26" s="47"/>
      <c r="T26" s="48"/>
      <c r="U26" s="47">
        <v>8.9999999999999993E-3</v>
      </c>
      <c r="V26" s="114">
        <f>D26</f>
        <v>1.0999999999999999E-2</v>
      </c>
      <c r="W26" s="347">
        <v>3.2000000000000001E-2</v>
      </c>
      <c r="X26" s="347">
        <v>2.1999999999999999E-2</v>
      </c>
      <c r="Y26" s="347">
        <v>0.02</v>
      </c>
      <c r="Z26" s="347">
        <v>0.1</v>
      </c>
      <c r="AA26" s="347">
        <v>7.1999999999999995E-2</v>
      </c>
      <c r="AB26" s="347">
        <v>-2.1999999999999999E-2</v>
      </c>
      <c r="AC26" s="347">
        <v>1.4999999999999999E-2</v>
      </c>
      <c r="AD26" s="347">
        <v>3.7999999999999999E-2</v>
      </c>
      <c r="AE26" s="347">
        <v>4.9000000000000002E-2</v>
      </c>
      <c r="AF26" s="347">
        <v>6.7000000000000004E-2</v>
      </c>
      <c r="AG26" s="347">
        <v>0.04</v>
      </c>
      <c r="AH26" s="347">
        <v>2.5999999999999999E-2</v>
      </c>
      <c r="AI26" s="347">
        <v>3.4000000000000002E-2</v>
      </c>
      <c r="AJ26" s="347">
        <v>4.1000000000000002E-2</v>
      </c>
      <c r="AK26" s="348">
        <f>VLOOKUP($A26,Quarterly!$1:$1048576,MATCH(Model!AK$3,Quarterly!$3:$3,0),FALSE)</f>
        <v>4.0500000000000001E-2</v>
      </c>
      <c r="AL26" s="348">
        <f>VLOOKUP($A26,Quarterly!$1:$1048576,MATCH(Model!AL$3,Quarterly!$3:$3,0),FALSE)</f>
        <v>3.7000000000000005E-2</v>
      </c>
    </row>
    <row r="27" spans="1:48">
      <c r="B27" s="46" t="s">
        <v>161</v>
      </c>
      <c r="C27" s="52"/>
      <c r="D27" s="54"/>
      <c r="E27" s="54">
        <f t="shared" ref="E27:K27" si="37">E66/D66-1</f>
        <v>1.4833127317676054E-2</v>
      </c>
      <c r="F27" s="54">
        <f t="shared" si="37"/>
        <v>3.6540803897686658E-3</v>
      </c>
      <c r="G27" s="54">
        <f t="shared" si="37"/>
        <v>1.2135922330097193E-2</v>
      </c>
      <c r="H27" s="54">
        <f t="shared" si="37"/>
        <v>1.1990407673860837E-3</v>
      </c>
      <c r="I27" s="54">
        <f t="shared" si="37"/>
        <v>1.3173652694610682E-2</v>
      </c>
      <c r="J27" s="54">
        <f t="shared" si="37"/>
        <v>1.1820330969267046E-2</v>
      </c>
      <c r="K27" s="54">
        <f t="shared" si="37"/>
        <v>4.6728971962617383E-3</v>
      </c>
      <c r="L27" s="345">
        <f t="shared" ref="L27:P27" si="38">L66/K66-1</f>
        <v>1.1627906976744207E-2</v>
      </c>
      <c r="M27" s="345">
        <f t="shared" si="38"/>
        <v>1.379310344827589E-2</v>
      </c>
      <c r="N27" s="345">
        <f t="shared" si="38"/>
        <v>1.3605442176870763E-2</v>
      </c>
      <c r="O27" s="345">
        <f t="shared" si="38"/>
        <v>1.3422818791946289E-2</v>
      </c>
      <c r="P27" s="345">
        <f t="shared" si="38"/>
        <v>1.3245033112582849E-2</v>
      </c>
      <c r="Q27" s="163"/>
      <c r="R27" s="52"/>
      <c r="S27" s="52"/>
      <c r="T27" s="52"/>
      <c r="U27" s="54"/>
      <c r="V27" s="54"/>
      <c r="W27" s="54"/>
      <c r="X27" s="54"/>
      <c r="Y27" s="54">
        <f t="shared" ref="Y27:AJ27" si="39">Y66/W66-1</f>
        <v>8.5784313725489891E-3</v>
      </c>
      <c r="Z27" s="54">
        <f t="shared" si="39"/>
        <v>3.6540803897686658E-3</v>
      </c>
      <c r="AA27" s="54">
        <f t="shared" si="39"/>
        <v>1.2150668286755817E-2</v>
      </c>
      <c r="AB27" s="54">
        <f t="shared" si="39"/>
        <v>1.2135922330097193E-2</v>
      </c>
      <c r="AC27" s="54">
        <f t="shared" si="39"/>
        <v>2.4009603841537164E-3</v>
      </c>
      <c r="AD27" s="54">
        <f t="shared" si="39"/>
        <v>1.1990407673860837E-3</v>
      </c>
      <c r="AE27" s="54">
        <f t="shared" si="39"/>
        <v>8.3832335329341312E-3</v>
      </c>
      <c r="AF27" s="54">
        <f t="shared" si="39"/>
        <v>1.3173652694610682E-2</v>
      </c>
      <c r="AG27" s="54">
        <f t="shared" si="39"/>
        <v>9.5011876484560887E-3</v>
      </c>
      <c r="AH27" s="54">
        <f t="shared" si="39"/>
        <v>1.1820330969267046E-2</v>
      </c>
      <c r="AI27" s="54">
        <f t="shared" si="39"/>
        <v>9.4117647058824527E-3</v>
      </c>
      <c r="AJ27" s="54">
        <f t="shared" si="39"/>
        <v>4.6728971962617383E-3</v>
      </c>
      <c r="AK27" s="345">
        <f t="shared" ref="AK27:AL27" si="40">AK66/AI66-1</f>
        <v>6.9930069930070893E-3</v>
      </c>
      <c r="AL27" s="345">
        <f t="shared" si="40"/>
        <v>1.1627906976744207E-2</v>
      </c>
    </row>
    <row r="28" spans="1:48">
      <c r="B28" s="46" t="s">
        <v>44</v>
      </c>
      <c r="C28" s="52"/>
      <c r="D28" s="54"/>
      <c r="E28" s="54">
        <f t="shared" ref="E28:K28" si="41">E24-SUM(E26:E27)</f>
        <v>-9.3788340592114439E-3</v>
      </c>
      <c r="F28" s="54">
        <f t="shared" si="41"/>
        <v>5.4262044920700414E-3</v>
      </c>
      <c r="G28" s="54">
        <f t="shared" si="41"/>
        <v>-1.061514519555349E-2</v>
      </c>
      <c r="H28" s="54">
        <f t="shared" si="41"/>
        <v>-4.8770849388754846E-3</v>
      </c>
      <c r="I28" s="54">
        <f t="shared" si="41"/>
        <v>-9.8866841179007792E-3</v>
      </c>
      <c r="J28" s="54">
        <f t="shared" si="41"/>
        <v>1.6662660376729727E-2</v>
      </c>
      <c r="K28" s="54">
        <f t="shared" si="41"/>
        <v>-1.746819456832268E-2</v>
      </c>
      <c r="L28" s="171">
        <v>-8.0000000000000002E-3</v>
      </c>
      <c r="M28" s="171">
        <v>-5.0000000000000001E-3</v>
      </c>
      <c r="N28" s="171">
        <v>-5.0000000000000001E-3</v>
      </c>
      <c r="O28" s="171">
        <v>-5.0000000000000001E-3</v>
      </c>
      <c r="P28" s="171">
        <v>-5.0000000000000001E-3</v>
      </c>
      <c r="Q28" s="163"/>
      <c r="R28" s="52"/>
      <c r="S28" s="52"/>
      <c r="T28" s="52"/>
      <c r="U28" s="54"/>
      <c r="V28" s="54"/>
      <c r="W28" s="54"/>
      <c r="X28" s="54"/>
      <c r="Y28" s="54">
        <f t="shared" ref="Y28" si="42">Y24-SUM(Y26:Y27)</f>
        <v>4.0309407103436175E-3</v>
      </c>
      <c r="Z28" s="54">
        <f t="shared" ref="Z28" si="43">Z24-SUM(Z26:Z27)</f>
        <v>2.8839399867240656E-3</v>
      </c>
      <c r="AA28" s="54">
        <f t="shared" ref="AA28" si="44">AA24-SUM(AA26:AA27)</f>
        <v>-1.0685954250716431E-2</v>
      </c>
      <c r="AB28" s="54">
        <f t="shared" ref="AB28" si="45">AB24-SUM(AB26:AB27)</f>
        <v>-1.1111532086194774E-2</v>
      </c>
      <c r="AC28" s="54">
        <f t="shared" ref="AC28" si="46">AC24-SUM(AC26:AC27)</f>
        <v>-5.9480073188046129E-3</v>
      </c>
      <c r="AD28" s="54">
        <f t="shared" ref="AD28" si="47">AD24-SUM(AD26:AD27)</f>
        <v>-4.8193696164144581E-3</v>
      </c>
      <c r="AE28" s="54">
        <f t="shared" ref="AE28" si="48">AE24-SUM(AE26:AE27)</f>
        <v>-1.0702505291371026E-2</v>
      </c>
      <c r="AF28" s="54">
        <f t="shared" ref="AF28" si="49">AF24-SUM(AF26:AF27)</f>
        <v>-3.0421498044373441E-3</v>
      </c>
      <c r="AG28" s="54">
        <f t="shared" ref="AG28" si="50">AG24-SUM(AG26:AG27)</f>
        <v>-6.5990854785687864E-4</v>
      </c>
      <c r="AH28" s="54">
        <f t="shared" ref="AH28" si="51">AH24-SUM(AH26:AH27)</f>
        <v>3.9042545658828393E-2</v>
      </c>
      <c r="AI28" s="54">
        <f t="shared" ref="AI28" si="52">AI24-SUM(AI26:AI27)</f>
        <v>-3.8415827449408968E-4</v>
      </c>
      <c r="AJ28" s="54">
        <f t="shared" ref="AJ28:AL28" si="53">AJ24-SUM(AJ26:AJ27)</f>
        <v>-4.0793329089949447E-2</v>
      </c>
      <c r="AK28" s="171">
        <v>-5.0000000000000001E-3</v>
      </c>
      <c r="AL28" s="345">
        <f t="shared" si="53"/>
        <v>-6.372657208156246E-3</v>
      </c>
    </row>
    <row r="29" spans="1:48">
      <c r="B29" s="46"/>
      <c r="C29" s="52"/>
      <c r="D29" s="52"/>
      <c r="E29" s="52"/>
      <c r="F29" s="52"/>
      <c r="G29" s="52"/>
      <c r="H29" s="52"/>
      <c r="I29" s="52"/>
      <c r="J29" s="52"/>
      <c r="K29" s="52"/>
      <c r="L29" s="163"/>
      <c r="M29" s="163"/>
      <c r="N29" s="163"/>
      <c r="O29" s="163"/>
      <c r="P29" s="163"/>
      <c r="Q29" s="163"/>
      <c r="R29" s="52"/>
      <c r="S29" s="52"/>
      <c r="T29" s="52"/>
      <c r="U29" s="52"/>
      <c r="V29" s="52"/>
      <c r="W29" s="52"/>
      <c r="X29" s="52"/>
      <c r="Y29" s="52"/>
      <c r="Z29" s="52"/>
      <c r="AA29" s="52"/>
      <c r="AB29" s="52"/>
      <c r="AC29" s="52"/>
      <c r="AD29" s="52"/>
      <c r="AE29" s="52"/>
      <c r="AF29" s="52"/>
      <c r="AG29" s="52"/>
      <c r="AH29" s="52"/>
      <c r="AI29" s="52"/>
      <c r="AJ29" s="52"/>
      <c r="AK29" s="163"/>
      <c r="AL29" s="163"/>
    </row>
    <row r="30" spans="1:48">
      <c r="A30" s="5" t="s">
        <v>321</v>
      </c>
      <c r="B30" s="37" t="s">
        <v>45</v>
      </c>
      <c r="C30" s="39"/>
      <c r="D30" s="39">
        <f t="shared" ref="D30:L30" si="54">D32*D23</f>
        <v>7360.0739999999996</v>
      </c>
      <c r="E30" s="39">
        <f t="shared" si="54"/>
        <v>7660.72</v>
      </c>
      <c r="F30" s="39">
        <f t="shared" si="54"/>
        <v>8413.2150000000001</v>
      </c>
      <c r="G30" s="39">
        <f t="shared" si="54"/>
        <v>8771.8119999999999</v>
      </c>
      <c r="H30" s="39">
        <f t="shared" si="54"/>
        <v>9106.112000000001</v>
      </c>
      <c r="I30" s="39">
        <f t="shared" si="54"/>
        <v>9700.9440000000013</v>
      </c>
      <c r="J30" s="39">
        <f t="shared" si="54"/>
        <v>10424.214</v>
      </c>
      <c r="K30" s="39">
        <f t="shared" si="54"/>
        <v>10996.425000000001</v>
      </c>
      <c r="L30" s="167">
        <f t="shared" si="54"/>
        <v>11675.00645909477</v>
      </c>
      <c r="M30" s="167">
        <f t="shared" ref="M30:P30" si="55">M32*M23</f>
        <v>12273.305085657696</v>
      </c>
      <c r="N30" s="167">
        <f t="shared" si="55"/>
        <v>12831.190015595021</v>
      </c>
      <c r="O30" s="167">
        <f t="shared" si="55"/>
        <v>13388.356454527233</v>
      </c>
      <c r="P30" s="167">
        <f t="shared" si="55"/>
        <v>13967.336372726326</v>
      </c>
      <c r="Q30" s="314"/>
      <c r="R30" s="39"/>
      <c r="S30" s="39"/>
      <c r="T30" s="51"/>
      <c r="U30" s="39">
        <f>U32*U23</f>
        <v>3726</v>
      </c>
      <c r="V30" s="51">
        <f>D30-U30</f>
        <v>3634.0739999999996</v>
      </c>
      <c r="W30" s="39">
        <f>W32*W23</f>
        <v>3920.8359999999998</v>
      </c>
      <c r="X30" s="51">
        <f>E30-W30</f>
        <v>3739.8840000000005</v>
      </c>
      <c r="Y30" s="39">
        <f>Y32*Y23</f>
        <v>4164.8429999999998</v>
      </c>
      <c r="Z30" s="51">
        <f>F30-Y30</f>
        <v>4248.3720000000003</v>
      </c>
      <c r="AA30" s="39">
        <f>AA32*AA23</f>
        <v>4613.308</v>
      </c>
      <c r="AB30" s="51">
        <f>G30-AA30</f>
        <v>4158.5039999999999</v>
      </c>
      <c r="AC30" s="39">
        <f>AC32*AC23</f>
        <v>4702.1760000000004</v>
      </c>
      <c r="AD30" s="51">
        <f>H30-AC30</f>
        <v>4403.9360000000006</v>
      </c>
      <c r="AE30" s="39">
        <f>AE32*AE23</f>
        <v>4997.1050000000005</v>
      </c>
      <c r="AF30" s="51">
        <f>I30-AE30</f>
        <v>4703.8390000000009</v>
      </c>
      <c r="AG30" s="39">
        <f>AG32*AG23</f>
        <v>5260.9480000000003</v>
      </c>
      <c r="AH30" s="51">
        <f>J30-AG30</f>
        <v>5163.2659999999996</v>
      </c>
      <c r="AI30" s="39">
        <f>AI32*AI23</f>
        <v>5672.9750000000004</v>
      </c>
      <c r="AJ30" s="51">
        <f>K30-AI30</f>
        <v>5323.4500000000007</v>
      </c>
      <c r="AK30" s="167">
        <f>AK32*AK23</f>
        <v>6025.8658252007008</v>
      </c>
      <c r="AL30" s="167">
        <f>L30-AK30</f>
        <v>5649.1406338940687</v>
      </c>
    </row>
    <row r="31" spans="1:48">
      <c r="B31" s="46" t="s">
        <v>159</v>
      </c>
      <c r="C31" s="39"/>
      <c r="D31" s="340"/>
      <c r="E31" s="340">
        <f t="shared" ref="E31:K31" si="56">E30/D30-1</f>
        <v>4.0848230602029467E-2</v>
      </c>
      <c r="F31" s="340">
        <f t="shared" si="56"/>
        <v>9.822771227769711E-2</v>
      </c>
      <c r="G31" s="340">
        <f t="shared" si="56"/>
        <v>4.2623063834693387E-2</v>
      </c>
      <c r="H31" s="340">
        <f t="shared" si="56"/>
        <v>3.811071190308235E-2</v>
      </c>
      <c r="I31" s="340">
        <f t="shared" si="56"/>
        <v>6.5322280244301867E-2</v>
      </c>
      <c r="J31" s="340">
        <f t="shared" si="56"/>
        <v>7.4556661702201099E-2</v>
      </c>
      <c r="K31" s="340">
        <f t="shared" si="56"/>
        <v>5.4892483980087281E-2</v>
      </c>
      <c r="L31" s="342">
        <f t="shared" ref="L31:P31" si="57">L30/K30-1</f>
        <v>6.1709279069767531E-2</v>
      </c>
      <c r="M31" s="342">
        <f t="shared" si="57"/>
        <v>5.1246106686035686E-2</v>
      </c>
      <c r="N31" s="342">
        <f t="shared" si="57"/>
        <v>4.5455150511108489E-2</v>
      </c>
      <c r="O31" s="342">
        <f t="shared" si="57"/>
        <v>4.3422818791946316E-2</v>
      </c>
      <c r="P31" s="342">
        <f t="shared" si="57"/>
        <v>4.3245033112582876E-2</v>
      </c>
      <c r="Q31" s="314"/>
      <c r="R31" s="39"/>
      <c r="S31" s="39"/>
      <c r="T31" s="51"/>
      <c r="U31" s="340"/>
      <c r="V31" s="340"/>
      <c r="W31" s="340">
        <f t="shared" ref="W31:AJ31" si="58">W30/U30-1</f>
        <v>5.2290928609769027E-2</v>
      </c>
      <c r="X31" s="340">
        <f t="shared" si="58"/>
        <v>2.9116082941624377E-2</v>
      </c>
      <c r="Y31" s="340">
        <f t="shared" si="58"/>
        <v>6.2233411445926423E-2</v>
      </c>
      <c r="Z31" s="340">
        <f t="shared" si="58"/>
        <v>0.13596357534083947</v>
      </c>
      <c r="AA31" s="340">
        <f t="shared" si="58"/>
        <v>0.10767872882603258</v>
      </c>
      <c r="AB31" s="340">
        <f t="shared" si="58"/>
        <v>-2.1153514805200779E-2</v>
      </c>
      <c r="AC31" s="340">
        <f t="shared" si="58"/>
        <v>1.9263400579367485E-2</v>
      </c>
      <c r="AD31" s="340">
        <f t="shared" si="58"/>
        <v>5.901930117176768E-2</v>
      </c>
      <c r="AE31" s="340">
        <f t="shared" si="58"/>
        <v>6.2721812199288074E-2</v>
      </c>
      <c r="AF31" s="340">
        <f t="shared" si="58"/>
        <v>6.8098855205888542E-2</v>
      </c>
      <c r="AG31" s="340">
        <f t="shared" si="58"/>
        <v>5.2799170719846744E-2</v>
      </c>
      <c r="AH31" s="340">
        <f t="shared" si="58"/>
        <v>9.7670647315947434E-2</v>
      </c>
      <c r="AI31" s="340">
        <f t="shared" si="58"/>
        <v>7.831801416778883E-2</v>
      </c>
      <c r="AJ31" s="340">
        <f t="shared" si="58"/>
        <v>3.1023774486923728E-2</v>
      </c>
      <c r="AK31" s="342">
        <f t="shared" ref="AK31" si="59">AK30/AJ30-1</f>
        <v>0.1319474824034601</v>
      </c>
      <c r="AL31" s="345">
        <f>AL30/AJ30-1</f>
        <v>6.118036872593291E-2</v>
      </c>
    </row>
    <row r="32" spans="1:48">
      <c r="A32" s="5" t="s">
        <v>322</v>
      </c>
      <c r="B32" s="46" t="s">
        <v>46</v>
      </c>
      <c r="C32" s="39"/>
      <c r="D32" s="147">
        <v>0.246</v>
      </c>
      <c r="E32" s="147">
        <v>0.248</v>
      </c>
      <c r="F32" s="146">
        <v>0.255</v>
      </c>
      <c r="G32" s="146">
        <v>0.25900000000000001</v>
      </c>
      <c r="H32" s="147">
        <v>0.26300000000000001</v>
      </c>
      <c r="I32" s="147">
        <v>0.26400000000000001</v>
      </c>
      <c r="J32" s="147">
        <v>0.26700000000000002</v>
      </c>
      <c r="K32" s="147">
        <v>0.27500000000000002</v>
      </c>
      <c r="L32" s="315">
        <f>K32+L33</f>
        <v>0.28010000000000002</v>
      </c>
      <c r="M32" s="315">
        <f t="shared" ref="M32:P32" si="60">L32+M33</f>
        <v>0.28210000000000002</v>
      </c>
      <c r="N32" s="315">
        <f t="shared" si="60"/>
        <v>0.28260000000000002</v>
      </c>
      <c r="O32" s="315">
        <f t="shared" si="60"/>
        <v>0.28260000000000002</v>
      </c>
      <c r="P32" s="315">
        <f t="shared" si="60"/>
        <v>0.28260000000000002</v>
      </c>
      <c r="Q32" s="163"/>
      <c r="R32" s="146"/>
      <c r="S32" s="47"/>
      <c r="T32" s="50"/>
      <c r="U32" s="146">
        <v>0.24</v>
      </c>
      <c r="V32" s="50">
        <f>V30/V23</f>
        <v>0.25247144643601499</v>
      </c>
      <c r="W32" s="147">
        <v>0.24399999999999999</v>
      </c>
      <c r="X32" s="50">
        <f>X30/X23</f>
        <v>0.25233681937790975</v>
      </c>
      <c r="Y32" s="147">
        <v>0.251</v>
      </c>
      <c r="Z32" s="50">
        <f>Z30/Z23</f>
        <v>0.25904707317073172</v>
      </c>
      <c r="AA32" s="147">
        <v>0.25900000000000001</v>
      </c>
      <c r="AB32" s="50">
        <f>AB30/AB23</f>
        <v>0.25900000000000001</v>
      </c>
      <c r="AC32" s="147">
        <v>0.26100000000000001</v>
      </c>
      <c r="AD32" s="50">
        <f>AD30/AD23</f>
        <v>0.26516955684007709</v>
      </c>
      <c r="AE32" s="147">
        <v>0.26500000000000001</v>
      </c>
      <c r="AF32" s="50">
        <f>AF30/AF23</f>
        <v>0.26294588853485384</v>
      </c>
      <c r="AG32" s="147">
        <v>0.26600000000000001</v>
      </c>
      <c r="AH32" s="50">
        <f>AH30/AH23</f>
        <v>0.26802668189368767</v>
      </c>
      <c r="AI32" s="147">
        <v>0.27500000000000002</v>
      </c>
      <c r="AJ32" s="50">
        <f>AJ30/AJ23</f>
        <v>0.27500000000000002</v>
      </c>
      <c r="AK32" s="315">
        <f>AI32+AK33</f>
        <v>0.2802</v>
      </c>
      <c r="AL32" s="318">
        <f>AL30/AL23</f>
        <v>0.27999340992950184</v>
      </c>
    </row>
    <row r="33" spans="1:48">
      <c r="B33" s="46" t="s">
        <v>162</v>
      </c>
      <c r="C33" s="39"/>
      <c r="D33" s="45"/>
      <c r="E33" s="349">
        <v>2E-3</v>
      </c>
      <c r="F33" s="349">
        <v>3.0000000000000001E-3</v>
      </c>
      <c r="G33" s="349">
        <v>3.5000000000000001E-3</v>
      </c>
      <c r="H33" s="349">
        <v>4.1999999999999997E-3</v>
      </c>
      <c r="I33" s="349">
        <v>5.0000000000000001E-4</v>
      </c>
      <c r="J33" s="349">
        <v>5.0000000000000001E-3</v>
      </c>
      <c r="K33" s="349">
        <v>7.9000000000000008E-3</v>
      </c>
      <c r="L33" s="316">
        <v>5.1000000000000004E-3</v>
      </c>
      <c r="M33" s="316">
        <v>2E-3</v>
      </c>
      <c r="N33" s="316">
        <v>5.0000000000000001E-4</v>
      </c>
      <c r="O33" s="316">
        <v>0</v>
      </c>
      <c r="P33" s="316">
        <v>0</v>
      </c>
      <c r="Q33" s="291"/>
      <c r="R33" s="350"/>
      <c r="S33" s="350"/>
      <c r="T33" s="351"/>
      <c r="U33" s="350"/>
      <c r="V33" s="351">
        <f t="shared" ref="V33:AF33" si="61">V32-T32</f>
        <v>0.25247144643601499</v>
      </c>
      <c r="W33" s="351">
        <f t="shared" si="61"/>
        <v>4.0000000000000036E-3</v>
      </c>
      <c r="X33" s="351">
        <f t="shared" si="61"/>
        <v>-1.3462705810524112E-4</v>
      </c>
      <c r="Y33" s="351">
        <f t="shared" si="61"/>
        <v>7.0000000000000062E-3</v>
      </c>
      <c r="Z33" s="351">
        <f t="shared" si="61"/>
        <v>6.7102537928219741E-3</v>
      </c>
      <c r="AA33" s="351">
        <f t="shared" si="61"/>
        <v>8.0000000000000071E-3</v>
      </c>
      <c r="AB33" s="351">
        <f t="shared" si="61"/>
        <v>-4.707317073171513E-5</v>
      </c>
      <c r="AC33" s="351">
        <f t="shared" si="61"/>
        <v>2.0000000000000018E-3</v>
      </c>
      <c r="AD33" s="351">
        <f t="shared" si="61"/>
        <v>6.1695568400770839E-3</v>
      </c>
      <c r="AE33" s="351">
        <f t="shared" si="61"/>
        <v>4.0000000000000036E-3</v>
      </c>
      <c r="AF33" s="351">
        <f t="shared" si="61"/>
        <v>-2.2236683052232475E-3</v>
      </c>
      <c r="AG33" s="349">
        <v>6.9999999999999999E-4</v>
      </c>
      <c r="AH33" s="149">
        <f>AH32-AF32</f>
        <v>5.0807933588338239E-3</v>
      </c>
      <c r="AI33" s="349">
        <v>8.8000000000000005E-3</v>
      </c>
      <c r="AJ33" s="149">
        <f>AJ32-AH32</f>
        <v>6.9733181063123539E-3</v>
      </c>
      <c r="AK33" s="316">
        <v>5.1999999999999998E-3</v>
      </c>
      <c r="AL33" s="352">
        <f>AL32-AJ32</f>
        <v>4.9934099295018131E-3</v>
      </c>
    </row>
    <row r="34" spans="1:48">
      <c r="B34" s="46"/>
      <c r="C34" s="39"/>
      <c r="D34" s="45"/>
      <c r="E34" s="52"/>
      <c r="F34" s="52"/>
      <c r="G34" s="52"/>
      <c r="H34" s="52"/>
      <c r="I34" s="52"/>
      <c r="J34" s="52"/>
      <c r="K34" s="52"/>
      <c r="L34" s="163"/>
      <c r="M34" s="163"/>
      <c r="N34" s="163"/>
      <c r="O34" s="163"/>
      <c r="P34" s="163"/>
      <c r="Q34" s="163"/>
      <c r="R34" s="52"/>
      <c r="S34" s="52"/>
      <c r="T34" s="52"/>
      <c r="U34" s="52"/>
      <c r="V34" s="52"/>
      <c r="W34" s="52"/>
      <c r="X34" s="52"/>
      <c r="Y34" s="52"/>
      <c r="Z34" s="52"/>
      <c r="AA34" s="52"/>
      <c r="AB34" s="52"/>
      <c r="AC34" s="52"/>
      <c r="AD34" s="52"/>
      <c r="AE34" s="52"/>
      <c r="AF34" s="52"/>
      <c r="AG34" s="52"/>
      <c r="AH34" s="52"/>
      <c r="AI34" s="52"/>
      <c r="AJ34" s="52"/>
      <c r="AK34" s="163"/>
      <c r="AL34" s="163"/>
    </row>
    <row r="35" spans="1:48">
      <c r="B35" s="37" t="s">
        <v>34</v>
      </c>
      <c r="C35" s="39"/>
      <c r="D35" s="45"/>
      <c r="E35" s="45"/>
      <c r="F35" s="45"/>
      <c r="G35" s="51">
        <f>G40-G30</f>
        <v>-5770.8119999999999</v>
      </c>
      <c r="H35" s="51">
        <f>H40-H30</f>
        <v>-6084.112000000001</v>
      </c>
      <c r="I35" s="51">
        <f>I40-I30</f>
        <v>-6543.9440000000013</v>
      </c>
      <c r="J35" s="51">
        <f>J40-J30</f>
        <v>-6937.2139999999999</v>
      </c>
      <c r="K35" s="51">
        <f>K40-K30</f>
        <v>-7208.4250000000011</v>
      </c>
      <c r="L35" s="167">
        <f>K35*(1+L36)</f>
        <v>-7438.3737575000014</v>
      </c>
      <c r="M35" s="167">
        <f t="shared" ref="M35" si="62">L35*(1+M36)</f>
        <v>-7758.2238290725008</v>
      </c>
      <c r="N35" s="167">
        <f t="shared" ref="N35" si="63">M35*(1+N36)</f>
        <v>-8068.5527822354015</v>
      </c>
      <c r="O35" s="167">
        <f t="shared" ref="O35" si="64">N35*(1+O36)</f>
        <v>-8415.5005518715225</v>
      </c>
      <c r="P35" s="167">
        <f t="shared" ref="P35" si="65">O35*(1+P36)</f>
        <v>-8777.3670756019965</v>
      </c>
      <c r="Q35" s="163"/>
      <c r="R35" s="45"/>
      <c r="S35" s="51"/>
      <c r="T35" s="51"/>
      <c r="U35" s="51">
        <f t="shared" ref="U35:Z35" si="66">U40-U30</f>
        <v>-2835</v>
      </c>
      <c r="V35" s="51">
        <f t="shared" si="66"/>
        <v>-2811.0739999999996</v>
      </c>
      <c r="W35" s="51">
        <f t="shared" si="66"/>
        <v>-3033.8359999999998</v>
      </c>
      <c r="X35" s="51">
        <f t="shared" si="66"/>
        <v>-2891.8840000000005</v>
      </c>
      <c r="Y35" s="51">
        <f t="shared" si="66"/>
        <v>-2743.8429999999998</v>
      </c>
      <c r="Z35" s="51">
        <f t="shared" si="66"/>
        <v>-2802.3720000000003</v>
      </c>
      <c r="AA35" s="51">
        <f t="shared" ref="AA35:AI35" si="67">AA40-AA30</f>
        <v>-3058.308</v>
      </c>
      <c r="AB35" s="51">
        <f t="shared" si="67"/>
        <v>-2712.5039999999999</v>
      </c>
      <c r="AC35" s="51">
        <f t="shared" si="67"/>
        <v>-3150.1760000000004</v>
      </c>
      <c r="AD35" s="51">
        <f t="shared" si="67"/>
        <v>-2933.9360000000006</v>
      </c>
      <c r="AE35" s="51">
        <f t="shared" si="67"/>
        <v>-3321.1050000000005</v>
      </c>
      <c r="AF35" s="51">
        <f t="shared" si="67"/>
        <v>-3222.8390000000009</v>
      </c>
      <c r="AG35" s="51">
        <f t="shared" si="67"/>
        <v>-3530.9480000000003</v>
      </c>
      <c r="AH35" s="51">
        <f t="shared" si="67"/>
        <v>-3406.2659999999996</v>
      </c>
      <c r="AI35" s="51">
        <f t="shared" si="67"/>
        <v>-3737.9750000000004</v>
      </c>
      <c r="AJ35" s="51">
        <f>AJ40-AJ30</f>
        <v>-3470.4500000000007</v>
      </c>
      <c r="AK35" s="167">
        <f>AI35*(1+AK36)</f>
        <v>-3859.0853900000002</v>
      </c>
      <c r="AL35" s="167">
        <f>L35-AK35</f>
        <v>-3579.2883675000012</v>
      </c>
    </row>
    <row r="36" spans="1:48">
      <c r="B36" s="46" t="s">
        <v>159</v>
      </c>
      <c r="C36" s="52"/>
      <c r="D36" s="54"/>
      <c r="E36" s="54"/>
      <c r="F36" s="54"/>
      <c r="G36" s="54"/>
      <c r="H36" s="54">
        <f>H35/G35-1</f>
        <v>5.4290453405864136E-2</v>
      </c>
      <c r="I36" s="54">
        <f>I35/H35-1</f>
        <v>7.5579147786891454E-2</v>
      </c>
      <c r="J36" s="54">
        <f>J35/I35-1</f>
        <v>6.0096785669314867E-2</v>
      </c>
      <c r="K36" s="343">
        <f>K35/J35-1</f>
        <v>3.9095089181334419E-2</v>
      </c>
      <c r="L36" s="171">
        <v>3.1899999999999998E-2</v>
      </c>
      <c r="M36" s="171">
        <v>4.2999999999999997E-2</v>
      </c>
      <c r="N36" s="171">
        <v>0.04</v>
      </c>
      <c r="O36" s="171">
        <v>4.2999999999999997E-2</v>
      </c>
      <c r="P36" s="171">
        <v>4.2999999999999997E-2</v>
      </c>
      <c r="Q36" s="163"/>
      <c r="R36" s="52"/>
      <c r="S36" s="54"/>
      <c r="T36" s="54"/>
      <c r="U36" s="54"/>
      <c r="V36" s="54"/>
      <c r="W36" s="54">
        <f t="shared" ref="W36:AB36" si="68">W35/U35-1</f>
        <v>7.0136155202821904E-2</v>
      </c>
      <c r="X36" s="54">
        <f t="shared" si="68"/>
        <v>2.8747019822317421E-2</v>
      </c>
      <c r="Y36" s="54">
        <f t="shared" si="68"/>
        <v>-9.5586247905292132E-2</v>
      </c>
      <c r="Z36" s="54">
        <f t="shared" si="68"/>
        <v>-3.0952832132962516E-2</v>
      </c>
      <c r="AA36" s="54">
        <f t="shared" si="68"/>
        <v>0.11460750487546112</v>
      </c>
      <c r="AB36" s="54">
        <f t="shared" si="68"/>
        <v>-3.206854764463829E-2</v>
      </c>
      <c r="AC36" s="54">
        <f t="shared" ref="AC36:AJ36" si="69">AC35/AA35-1</f>
        <v>3.0038831929289245E-2</v>
      </c>
      <c r="AD36" s="54">
        <f t="shared" si="69"/>
        <v>8.1633796669055902E-2</v>
      </c>
      <c r="AE36" s="54">
        <f t="shared" si="69"/>
        <v>5.4260142925347754E-2</v>
      </c>
      <c r="AF36" s="54">
        <f t="shared" si="69"/>
        <v>9.8469428099317913E-2</v>
      </c>
      <c r="AG36" s="54">
        <f t="shared" si="69"/>
        <v>6.318469304644081E-2</v>
      </c>
      <c r="AH36" s="54">
        <f t="shared" si="69"/>
        <v>5.6914726425986162E-2</v>
      </c>
      <c r="AI36" s="54">
        <f t="shared" si="69"/>
        <v>5.8632129388481502E-2</v>
      </c>
      <c r="AJ36" s="54">
        <f t="shared" si="69"/>
        <v>1.8842920664446483E-2</v>
      </c>
      <c r="AK36" s="171">
        <v>3.2399999999999998E-2</v>
      </c>
      <c r="AL36" s="345">
        <f>AL35/AJ35-1</f>
        <v>3.1361456727513781E-2</v>
      </c>
    </row>
    <row r="37" spans="1:48">
      <c r="B37" s="46" t="s">
        <v>163</v>
      </c>
      <c r="C37" s="52"/>
      <c r="D37" s="52"/>
      <c r="E37" s="52"/>
      <c r="F37" s="52"/>
      <c r="G37" s="54">
        <f>G35/G23</f>
        <v>-0.17039128380772411</v>
      </c>
      <c r="H37" s="54">
        <f>H35/H23</f>
        <v>-0.17571950092421446</v>
      </c>
      <c r="I37" s="54">
        <f>I35/I23</f>
        <v>-0.17808588689925436</v>
      </c>
      <c r="J37" s="54">
        <f>J35/J23</f>
        <v>-0.17768592797500127</v>
      </c>
      <c r="K37" s="54">
        <f>K35/K23</f>
        <v>-0.18026921249406061</v>
      </c>
      <c r="L37" s="345">
        <f t="shared" ref="L37:P37" si="70">L35/L23</f>
        <v>-0.17845715946929724</v>
      </c>
      <c r="M37" s="345">
        <f t="shared" si="70"/>
        <v>-0.1783215626847649</v>
      </c>
      <c r="N37" s="345">
        <f t="shared" si="70"/>
        <v>-0.17770549835895219</v>
      </c>
      <c r="O37" s="345">
        <f t="shared" si="70"/>
        <v>-0.17763348802643389</v>
      </c>
      <c r="P37" s="345">
        <f t="shared" si="70"/>
        <v>-0.17759176620165776</v>
      </c>
      <c r="Q37" s="163"/>
      <c r="R37" s="52"/>
      <c r="S37" s="54"/>
      <c r="T37" s="54"/>
      <c r="U37" s="54">
        <f t="shared" ref="U37:Z37" si="71">U35/U23</f>
        <v>-0.18260869565217391</v>
      </c>
      <c r="V37" s="54">
        <f t="shared" si="71"/>
        <v>-0.1952948450743365</v>
      </c>
      <c r="W37" s="54">
        <f t="shared" si="71"/>
        <v>-0.18880054763830978</v>
      </c>
      <c r="X37" s="54">
        <f t="shared" si="71"/>
        <v>-0.1951207071047838</v>
      </c>
      <c r="Y37" s="54">
        <f t="shared" si="71"/>
        <v>-0.16536147773157356</v>
      </c>
      <c r="Z37" s="54">
        <f t="shared" si="71"/>
        <v>-0.17087634146341465</v>
      </c>
      <c r="AA37" s="54">
        <f t="shared" ref="AA37:AL37" si="72">AA35/AA23</f>
        <v>-0.17169930384010779</v>
      </c>
      <c r="AB37" s="54">
        <f t="shared" si="72"/>
        <v>-0.16894020926756353</v>
      </c>
      <c r="AC37" s="54">
        <f t="shared" si="72"/>
        <v>-0.174854351687389</v>
      </c>
      <c r="AD37" s="54">
        <f t="shared" si="72"/>
        <v>-0.17665799614643549</v>
      </c>
      <c r="AE37" s="54">
        <f t="shared" si="72"/>
        <v>-0.17612053879196057</v>
      </c>
      <c r="AF37" s="54">
        <f t="shared" si="72"/>
        <v>-0.18015758287215611</v>
      </c>
      <c r="AG37" s="54">
        <f t="shared" si="72"/>
        <v>-0.17852907270704826</v>
      </c>
      <c r="AH37" s="54">
        <f t="shared" si="72"/>
        <v>-0.17682028654485049</v>
      </c>
      <c r="AI37" s="54">
        <f t="shared" si="72"/>
        <v>-0.18120000969508945</v>
      </c>
      <c r="AJ37" s="54">
        <f t="shared" si="72"/>
        <v>-0.17927730137410894</v>
      </c>
      <c r="AK37" s="345">
        <f t="shared" si="72"/>
        <v>-0.17944570251727854</v>
      </c>
      <c r="AL37" s="345">
        <f t="shared" si="72"/>
        <v>-0.17740347073754897</v>
      </c>
    </row>
    <row r="38" spans="1:48">
      <c r="B38" s="46" t="s">
        <v>162</v>
      </c>
      <c r="C38" s="52"/>
      <c r="D38" s="52"/>
      <c r="E38" s="52"/>
      <c r="F38" s="52"/>
      <c r="G38" s="54"/>
      <c r="H38" s="54">
        <f t="shared" ref="H38" si="73">H37-G37</f>
        <v>-5.3282171164903414E-3</v>
      </c>
      <c r="I38" s="54">
        <f t="shared" ref="I38" si="74">I37-H37</f>
        <v>-2.3663859750399086E-3</v>
      </c>
      <c r="J38" s="54">
        <f t="shared" ref="J38" si="75">J37-I37</f>
        <v>3.9995892425309654E-4</v>
      </c>
      <c r="K38" s="54">
        <f t="shared" ref="K38" si="76">K37-J37</f>
        <v>-2.5832845190593423E-3</v>
      </c>
      <c r="L38" s="344">
        <f t="shared" ref="L38:P38" si="77">L37/K37-1</f>
        <v>-1.0051927335196331E-2</v>
      </c>
      <c r="M38" s="344">
        <f t="shared" si="77"/>
        <v>-7.5982821275188961E-4</v>
      </c>
      <c r="N38" s="344">
        <f t="shared" si="77"/>
        <v>-3.4547943419594995E-3</v>
      </c>
      <c r="O38" s="344">
        <f t="shared" si="77"/>
        <v>-4.0522287258015766E-4</v>
      </c>
      <c r="P38" s="344">
        <f t="shared" si="77"/>
        <v>-2.3487589665482922E-4</v>
      </c>
      <c r="Q38" s="163"/>
      <c r="R38" s="52"/>
      <c r="S38" s="52"/>
      <c r="T38" s="52"/>
      <c r="U38" s="54">
        <f t="shared" ref="U38" si="78">U37-T37</f>
        <v>-0.18260869565217391</v>
      </c>
      <c r="V38" s="54">
        <f t="shared" ref="V38" si="79">V37-U37</f>
        <v>-1.268614942216259E-2</v>
      </c>
      <c r="W38" s="54">
        <f t="shared" ref="W38" si="80">W37-V37</f>
        <v>6.4942974360267247E-3</v>
      </c>
      <c r="X38" s="54">
        <f t="shared" ref="X38" si="81">X37-W37</f>
        <v>-6.3201594664740179E-3</v>
      </c>
      <c r="Y38" s="54">
        <f t="shared" ref="Y38" si="82">Y37-X37</f>
        <v>2.9759229373210239E-2</v>
      </c>
      <c r="Z38" s="54">
        <f t="shared" ref="Z38" si="83">Z37-Y37</f>
        <v>-5.5148637318410965E-3</v>
      </c>
      <c r="AA38" s="54">
        <f t="shared" ref="AA38" si="84">AA37-Z37</f>
        <v>-8.2296237669313155E-4</v>
      </c>
      <c r="AB38" s="54">
        <f t="shared" ref="AB38" si="85">AB37-AA37</f>
        <v>2.7590945725442517E-3</v>
      </c>
      <c r="AC38" s="54">
        <f t="shared" ref="AC38" si="86">AC37-AB37</f>
        <v>-5.9141424198254633E-3</v>
      </c>
      <c r="AD38" s="54">
        <f t="shared" ref="AD38" si="87">AD37-AC37</f>
        <v>-1.8036444590464884E-3</v>
      </c>
      <c r="AE38" s="54">
        <f t="shared" ref="AE38" si="88">AE37-AD37</f>
        <v>5.3745735447491283E-4</v>
      </c>
      <c r="AF38" s="54">
        <f t="shared" ref="AF38" si="89">AF37-AE37</f>
        <v>-4.0370440801955343E-3</v>
      </c>
      <c r="AG38" s="54">
        <f t="shared" ref="AG38" si="90">AG37-AF37</f>
        <v>1.6285101651078437E-3</v>
      </c>
      <c r="AH38" s="54">
        <f t="shared" ref="AH38" si="91">AH37-AG37</f>
        <v>1.7087861621977729E-3</v>
      </c>
      <c r="AI38" s="54">
        <f t="shared" ref="AI38" si="92">AI37-AH37</f>
        <v>-4.3797231502389622E-3</v>
      </c>
      <c r="AJ38" s="54">
        <f t="shared" ref="AJ38" si="93">AJ37-AI37</f>
        <v>1.9227083209805151E-3</v>
      </c>
      <c r="AK38" s="344">
        <f t="shared" ref="AK38:AL38" si="94">AK37/AJ37-1</f>
        <v>9.393333226173084E-4</v>
      </c>
      <c r="AL38" s="344">
        <f t="shared" si="94"/>
        <v>-1.1380778425345239E-2</v>
      </c>
      <c r="AM38" s="128"/>
      <c r="AV38" s="129"/>
    </row>
    <row r="39" spans="1:48">
      <c r="B39" s="46"/>
      <c r="C39" s="52"/>
      <c r="D39" s="52"/>
      <c r="E39" s="52"/>
      <c r="F39" s="52"/>
      <c r="G39" s="52"/>
      <c r="H39" s="52"/>
      <c r="I39" s="52"/>
      <c r="J39" s="52"/>
      <c r="K39" s="52"/>
      <c r="L39" s="163"/>
      <c r="M39" s="163"/>
      <c r="N39" s="163"/>
      <c r="O39" s="163"/>
      <c r="P39" s="163"/>
      <c r="Q39" s="163"/>
      <c r="R39" s="52"/>
      <c r="S39" s="52"/>
      <c r="T39" s="52"/>
      <c r="U39" s="52"/>
      <c r="V39" s="52"/>
      <c r="W39" s="52"/>
      <c r="X39" s="52"/>
      <c r="Y39" s="52"/>
      <c r="Z39" s="52"/>
      <c r="AA39" s="52"/>
      <c r="AB39" s="52"/>
      <c r="AC39" s="52"/>
      <c r="AD39" s="52"/>
      <c r="AE39" s="52"/>
      <c r="AF39" s="52"/>
      <c r="AG39" s="52"/>
      <c r="AH39" s="52"/>
      <c r="AI39" s="52"/>
      <c r="AJ39" s="52"/>
      <c r="AK39" s="163"/>
      <c r="AL39" s="163"/>
    </row>
    <row r="40" spans="1:48" s="6" customFormat="1">
      <c r="A40" s="5"/>
      <c r="B40" s="37" t="s">
        <v>35</v>
      </c>
      <c r="C40" s="55"/>
      <c r="D40" s="55">
        <v>1714</v>
      </c>
      <c r="E40" s="55">
        <v>1735</v>
      </c>
      <c r="F40" s="55">
        <v>2867</v>
      </c>
      <c r="G40" s="55">
        <v>3001</v>
      </c>
      <c r="H40" s="40">
        <v>3022</v>
      </c>
      <c r="I40" s="40">
        <v>3157</v>
      </c>
      <c r="J40" s="40">
        <v>3487</v>
      </c>
      <c r="K40" s="40">
        <v>3788</v>
      </c>
      <c r="L40" s="167">
        <f>L30+L35</f>
        <v>4236.6327015947682</v>
      </c>
      <c r="M40" s="167">
        <f t="shared" ref="M40:P40" si="95">M30+M35</f>
        <v>4515.0812565851948</v>
      </c>
      <c r="N40" s="167">
        <f t="shared" si="95"/>
        <v>4762.6372333596191</v>
      </c>
      <c r="O40" s="167">
        <f t="shared" si="95"/>
        <v>4972.8559026557105</v>
      </c>
      <c r="P40" s="167">
        <f t="shared" si="95"/>
        <v>5189.9692971243294</v>
      </c>
      <c r="Q40" s="314"/>
      <c r="R40" s="55"/>
      <c r="S40" s="70"/>
      <c r="T40" s="51"/>
      <c r="U40" s="55">
        <v>891</v>
      </c>
      <c r="V40" s="51">
        <f>D40-U40</f>
        <v>823</v>
      </c>
      <c r="W40" s="55">
        <v>887</v>
      </c>
      <c r="X40" s="56">
        <f>E40-W40</f>
        <v>848</v>
      </c>
      <c r="Y40" s="55">
        <v>1421</v>
      </c>
      <c r="Z40" s="51">
        <f>F40-Y40</f>
        <v>1446</v>
      </c>
      <c r="AA40" s="55">
        <v>1555</v>
      </c>
      <c r="AB40" s="39">
        <f>G40-AA40</f>
        <v>1446</v>
      </c>
      <c r="AC40" s="40">
        <v>1552</v>
      </c>
      <c r="AD40" s="39">
        <f>H40-AC40</f>
        <v>1470</v>
      </c>
      <c r="AE40" s="40">
        <v>1676</v>
      </c>
      <c r="AF40" s="39">
        <f>I40-AE40</f>
        <v>1481</v>
      </c>
      <c r="AG40" s="40">
        <v>1730</v>
      </c>
      <c r="AH40" s="39">
        <f>J40-AG40</f>
        <v>1757</v>
      </c>
      <c r="AI40" s="40">
        <v>1935</v>
      </c>
      <c r="AJ40" s="39">
        <f>K40-AI40</f>
        <v>1853</v>
      </c>
      <c r="AK40" s="167">
        <f>AK30+AK35</f>
        <v>2166.7804352007006</v>
      </c>
      <c r="AL40" s="167">
        <f>L40-AK40</f>
        <v>2069.8522663940676</v>
      </c>
    </row>
    <row r="41" spans="1:48">
      <c r="B41" s="46" t="s">
        <v>164</v>
      </c>
      <c r="C41" s="52"/>
      <c r="D41" s="54"/>
      <c r="E41" s="54">
        <f t="shared" ref="E41:K41" si="96">E40/D40-1</f>
        <v>1.225204200700114E-2</v>
      </c>
      <c r="F41" s="54">
        <f t="shared" si="96"/>
        <v>0.65244956772334284</v>
      </c>
      <c r="G41" s="54">
        <f t="shared" si="96"/>
        <v>4.6738751307987547E-2</v>
      </c>
      <c r="H41" s="54">
        <f t="shared" si="96"/>
        <v>6.9976674441851738E-3</v>
      </c>
      <c r="I41" s="54">
        <f t="shared" si="96"/>
        <v>4.4672402382528231E-2</v>
      </c>
      <c r="J41" s="54">
        <f t="shared" si="96"/>
        <v>0.10452961672473871</v>
      </c>
      <c r="K41" s="343">
        <f t="shared" si="96"/>
        <v>8.6320619443647884E-2</v>
      </c>
      <c r="L41" s="344">
        <f t="shared" ref="L41:P41" si="97">L40/K40-1</f>
        <v>0.11843524329323341</v>
      </c>
      <c r="M41" s="344">
        <f t="shared" si="97"/>
        <v>6.5724025329269686E-2</v>
      </c>
      <c r="N41" s="344">
        <f t="shared" si="97"/>
        <v>5.4828686950731287E-2</v>
      </c>
      <c r="O41" s="344">
        <f t="shared" si="97"/>
        <v>4.4139131114926622E-2</v>
      </c>
      <c r="P41" s="344">
        <f t="shared" si="97"/>
        <v>4.3659699520484985E-2</v>
      </c>
      <c r="Q41" s="163"/>
      <c r="R41" s="52"/>
      <c r="S41" s="52"/>
      <c r="T41" s="52"/>
      <c r="U41" s="54"/>
      <c r="V41" s="54"/>
      <c r="W41" s="54">
        <f t="shared" ref="W41:AJ41" si="98">W40/U40-1</f>
        <v>-4.4893378226711356E-3</v>
      </c>
      <c r="X41" s="54">
        <f t="shared" si="98"/>
        <v>3.037667071688932E-2</v>
      </c>
      <c r="Y41" s="54">
        <f t="shared" si="98"/>
        <v>0.60202931228861334</v>
      </c>
      <c r="Z41" s="54">
        <f t="shared" si="98"/>
        <v>0.70518867924528306</v>
      </c>
      <c r="AA41" s="54">
        <f t="shared" si="98"/>
        <v>9.4299788881069713E-2</v>
      </c>
      <c r="AB41" s="54">
        <f t="shared" si="98"/>
        <v>0</v>
      </c>
      <c r="AC41" s="54">
        <f t="shared" si="98"/>
        <v>-1.9292604501607302E-3</v>
      </c>
      <c r="AD41" s="54">
        <f t="shared" si="98"/>
        <v>1.6597510373443924E-2</v>
      </c>
      <c r="AE41" s="54">
        <f t="shared" si="98"/>
        <v>7.9896907216494784E-2</v>
      </c>
      <c r="AF41" s="54">
        <f t="shared" si="98"/>
        <v>7.4829931972788533E-3</v>
      </c>
      <c r="AG41" s="54">
        <f t="shared" si="98"/>
        <v>3.2219570405727982E-2</v>
      </c>
      <c r="AH41" s="54">
        <f t="shared" si="98"/>
        <v>0.18636056718433491</v>
      </c>
      <c r="AI41" s="54">
        <f t="shared" si="98"/>
        <v>0.11849710982658967</v>
      </c>
      <c r="AJ41" s="54">
        <f t="shared" si="98"/>
        <v>5.4638588503130414E-2</v>
      </c>
      <c r="AK41" s="345">
        <f t="shared" ref="AK41:AL41" si="99">AK40/AI40-1</f>
        <v>0.1197831706463568</v>
      </c>
      <c r="AL41" s="345">
        <f t="shared" si="99"/>
        <v>0.11702766669944276</v>
      </c>
    </row>
    <row r="42" spans="1:48">
      <c r="B42" s="46" t="s">
        <v>165</v>
      </c>
      <c r="C42" s="145"/>
      <c r="D42" s="145">
        <f t="shared" ref="D42:K42" si="100">D40/D23</f>
        <v>5.7288010962933254E-2</v>
      </c>
      <c r="E42" s="145">
        <f t="shared" si="100"/>
        <v>5.6167044350922631E-2</v>
      </c>
      <c r="F42" s="145">
        <f t="shared" si="100"/>
        <v>8.6897220622556295E-2</v>
      </c>
      <c r="G42" s="145">
        <f t="shared" si="100"/>
        <v>8.8608716192275894E-2</v>
      </c>
      <c r="H42" s="145">
        <f t="shared" si="100"/>
        <v>8.7280499075785584E-2</v>
      </c>
      <c r="I42" s="145">
        <f t="shared" si="100"/>
        <v>8.5914113100745662E-2</v>
      </c>
      <c r="J42" s="145">
        <f t="shared" si="100"/>
        <v>8.931407202499872E-2</v>
      </c>
      <c r="K42" s="145">
        <f t="shared" si="100"/>
        <v>9.4730787505939426E-2</v>
      </c>
      <c r="L42" s="172">
        <f t="shared" ref="L42:P42" si="101">L40/L23</f>
        <v>0.10164284053070279</v>
      </c>
      <c r="M42" s="172">
        <f t="shared" si="101"/>
        <v>0.1037784373152351</v>
      </c>
      <c r="N42" s="172">
        <f t="shared" si="101"/>
        <v>0.10489450164104784</v>
      </c>
      <c r="O42" s="172">
        <f t="shared" si="101"/>
        <v>0.1049665119735661</v>
      </c>
      <c r="P42" s="172">
        <f t="shared" si="101"/>
        <v>0.10500823379834225</v>
      </c>
      <c r="Q42" s="163"/>
      <c r="R42" s="145"/>
      <c r="S42" s="145"/>
      <c r="T42" s="145"/>
      <c r="U42" s="145">
        <f t="shared" ref="U42:Z42" si="102">U40/U23</f>
        <v>5.7391304347826085E-2</v>
      </c>
      <c r="V42" s="145">
        <f t="shared" si="102"/>
        <v>5.7176601361678479E-2</v>
      </c>
      <c r="W42" s="145">
        <f t="shared" si="102"/>
        <v>5.5199452361690209E-2</v>
      </c>
      <c r="X42" s="145">
        <f t="shared" si="102"/>
        <v>5.7216112273125973E-2</v>
      </c>
      <c r="Y42" s="145">
        <f t="shared" si="102"/>
        <v>8.5638522268426442E-2</v>
      </c>
      <c r="Z42" s="145">
        <f t="shared" si="102"/>
        <v>8.8170731707317068E-2</v>
      </c>
      <c r="AA42" s="145">
        <f t="shared" ref="AA42:AJ42" si="103">AA40/AA23</f>
        <v>8.7300696159892208E-2</v>
      </c>
      <c r="AB42" s="145">
        <f t="shared" si="103"/>
        <v>9.0059790732436473E-2</v>
      </c>
      <c r="AC42" s="145">
        <f t="shared" si="103"/>
        <v>8.6145648312611012E-2</v>
      </c>
      <c r="AD42" s="145">
        <f t="shared" si="103"/>
        <v>8.8511560693641619E-2</v>
      </c>
      <c r="AE42" s="145">
        <f t="shared" si="103"/>
        <v>8.8879461208039454E-2</v>
      </c>
      <c r="AF42" s="145">
        <f t="shared" si="103"/>
        <v>8.278830566269775E-2</v>
      </c>
      <c r="AG42" s="145">
        <f t="shared" si="103"/>
        <v>8.7470927292951764E-2</v>
      </c>
      <c r="AH42" s="145">
        <f t="shared" si="103"/>
        <v>9.1206395348837205E-2</v>
      </c>
      <c r="AI42" s="145">
        <f t="shared" si="103"/>
        <v>9.3799990304910569E-2</v>
      </c>
      <c r="AJ42" s="145">
        <f t="shared" si="103"/>
        <v>9.5722698625891098E-2</v>
      </c>
      <c r="AK42" s="172">
        <f t="shared" ref="AK42:AL42" si="104">AK40/AK23</f>
        <v>0.10075429748272148</v>
      </c>
      <c r="AL42" s="172">
        <f t="shared" si="104"/>
        <v>0.10258993919195288</v>
      </c>
    </row>
    <row r="43" spans="1:48">
      <c r="B43" s="46" t="s">
        <v>162</v>
      </c>
      <c r="C43" s="52"/>
      <c r="D43" s="54">
        <f t="shared" ref="D43:K43" si="105">D42-C42</f>
        <v>5.7288010962933254E-2</v>
      </c>
      <c r="E43" s="54">
        <f t="shared" si="105"/>
        <v>-1.1209666120106238E-3</v>
      </c>
      <c r="F43" s="54">
        <f t="shared" si="105"/>
        <v>3.0730176271633665E-2</v>
      </c>
      <c r="G43" s="54">
        <f t="shared" si="105"/>
        <v>1.7114955697195983E-3</v>
      </c>
      <c r="H43" s="54">
        <f t="shared" si="105"/>
        <v>-1.32821711649031E-3</v>
      </c>
      <c r="I43" s="54">
        <f t="shared" si="105"/>
        <v>-1.3663859750399215E-3</v>
      </c>
      <c r="J43" s="54">
        <f t="shared" si="105"/>
        <v>3.3999589242530576E-3</v>
      </c>
      <c r="K43" s="54">
        <f t="shared" si="105"/>
        <v>5.4167154809407064E-3</v>
      </c>
      <c r="L43" s="345">
        <f t="shared" ref="L43:P43" si="106">L42-K42</f>
        <v>6.9120530247633594E-3</v>
      </c>
      <c r="M43" s="345">
        <f t="shared" si="106"/>
        <v>2.1355967845323176E-3</v>
      </c>
      <c r="N43" s="345">
        <f t="shared" si="106"/>
        <v>1.1160643258127378E-3</v>
      </c>
      <c r="O43" s="345">
        <f t="shared" si="106"/>
        <v>7.2010332518260278E-5</v>
      </c>
      <c r="P43" s="345">
        <f t="shared" si="106"/>
        <v>4.1721824776144723E-5</v>
      </c>
      <c r="Q43" s="163"/>
      <c r="R43" s="52"/>
      <c r="S43" s="52"/>
      <c r="T43" s="52"/>
      <c r="U43" s="54">
        <f t="shared" ref="U43:AJ43" si="107">U42-S42</f>
        <v>5.7391304347826085E-2</v>
      </c>
      <c r="V43" s="54">
        <f t="shared" si="107"/>
        <v>5.7176601361678479E-2</v>
      </c>
      <c r="W43" s="54">
        <f t="shared" si="107"/>
        <v>-2.191851986135876E-3</v>
      </c>
      <c r="X43" s="54">
        <f t="shared" si="107"/>
        <v>3.9510911447493413E-5</v>
      </c>
      <c r="Y43" s="54">
        <f t="shared" si="107"/>
        <v>3.0439069906736234E-2</v>
      </c>
      <c r="Z43" s="54">
        <f t="shared" si="107"/>
        <v>3.0954619434191095E-2</v>
      </c>
      <c r="AA43" s="54">
        <f t="shared" si="107"/>
        <v>1.6621738914657652E-3</v>
      </c>
      <c r="AB43" s="54">
        <f t="shared" si="107"/>
        <v>1.889059025119405E-3</v>
      </c>
      <c r="AC43" s="54">
        <f t="shared" si="107"/>
        <v>-1.1550478472811959E-3</v>
      </c>
      <c r="AD43" s="54">
        <f t="shared" si="107"/>
        <v>-1.5482300387948539E-3</v>
      </c>
      <c r="AE43" s="54">
        <f t="shared" si="107"/>
        <v>2.7338128954284419E-3</v>
      </c>
      <c r="AF43" s="54">
        <f t="shared" si="107"/>
        <v>-5.723255030943869E-3</v>
      </c>
      <c r="AG43" s="54">
        <f t="shared" si="107"/>
        <v>-1.4085339150876897E-3</v>
      </c>
      <c r="AH43" s="54">
        <f t="shared" si="107"/>
        <v>8.4180896861394544E-3</v>
      </c>
      <c r="AI43" s="54">
        <f t="shared" si="107"/>
        <v>6.3290630119588048E-3</v>
      </c>
      <c r="AJ43" s="54">
        <f t="shared" si="107"/>
        <v>4.516303277053893E-3</v>
      </c>
      <c r="AK43" s="345">
        <f t="shared" ref="AK43:AL43" si="108">AK42-AI42</f>
        <v>6.9543071778109117E-3</v>
      </c>
      <c r="AL43" s="345">
        <f t="shared" si="108"/>
        <v>6.8672405660617775E-3</v>
      </c>
      <c r="AM43" s="128"/>
    </row>
    <row r="44" spans="1:48">
      <c r="B44" s="46"/>
      <c r="C44" s="52"/>
      <c r="D44" s="52"/>
      <c r="E44" s="52"/>
      <c r="F44" s="52"/>
      <c r="G44" s="59"/>
      <c r="H44" s="59"/>
      <c r="I44" s="59"/>
      <c r="J44" s="59"/>
      <c r="K44" s="59"/>
      <c r="L44" s="176">
        <f>L45-K45</f>
        <v>-126</v>
      </c>
      <c r="M44" s="163"/>
      <c r="N44" s="163"/>
      <c r="O44" s="163"/>
      <c r="P44" s="163"/>
      <c r="Q44" s="163"/>
      <c r="R44" s="52"/>
      <c r="S44" s="52"/>
      <c r="T44" s="52"/>
      <c r="U44" s="52"/>
      <c r="V44" s="52"/>
      <c r="W44" s="52"/>
      <c r="X44" s="52"/>
      <c r="Y44" s="52"/>
      <c r="Z44" s="52"/>
      <c r="AA44" s="59"/>
      <c r="AB44" s="59"/>
      <c r="AC44" s="59"/>
      <c r="AD44" s="59"/>
      <c r="AE44" s="59"/>
      <c r="AF44" s="59"/>
      <c r="AG44" s="59"/>
      <c r="AH44" s="59"/>
      <c r="AI44" s="59"/>
      <c r="AJ44" s="59"/>
      <c r="AK44" s="163"/>
      <c r="AL44" s="163"/>
    </row>
    <row r="45" spans="1:48">
      <c r="B45" s="37" t="s">
        <v>36</v>
      </c>
      <c r="C45" s="39"/>
      <c r="D45" s="40">
        <v>-557</v>
      </c>
      <c r="E45" s="40">
        <v>-552</v>
      </c>
      <c r="F45" s="40">
        <v>-1249</v>
      </c>
      <c r="G45" s="40">
        <v>-1299</v>
      </c>
      <c r="H45" s="40">
        <v>-1307</v>
      </c>
      <c r="I45" s="40">
        <v>-1392</v>
      </c>
      <c r="J45" s="40">
        <v>-1460</v>
      </c>
      <c r="K45" s="40">
        <v>-1680</v>
      </c>
      <c r="L45" s="167">
        <f>K45*(1+L46)</f>
        <v>-1806</v>
      </c>
      <c r="M45" s="167">
        <f t="shared" ref="M45:P45" si="109">L45*(1+M46)</f>
        <v>-1896.3000000000002</v>
      </c>
      <c r="N45" s="167">
        <f t="shared" si="109"/>
        <v>-1991.1150000000002</v>
      </c>
      <c r="O45" s="167">
        <f t="shared" si="109"/>
        <v>-2090.6707500000002</v>
      </c>
      <c r="P45" s="167">
        <f t="shared" si="109"/>
        <v>-2195.2042875000002</v>
      </c>
      <c r="Q45" s="163"/>
      <c r="R45" s="39"/>
      <c r="S45" s="39"/>
      <c r="T45" s="39"/>
      <c r="U45" s="40">
        <v>-291</v>
      </c>
      <c r="V45" s="39">
        <f t="shared" ref="V45" si="110">V50-V40</f>
        <v>-266</v>
      </c>
      <c r="W45" s="40">
        <v>-285</v>
      </c>
      <c r="X45" s="40">
        <v>-285</v>
      </c>
      <c r="Y45" s="40">
        <v>-632</v>
      </c>
      <c r="Z45" s="40">
        <v>-632</v>
      </c>
      <c r="AA45" s="40">
        <v>-652</v>
      </c>
      <c r="AB45" s="39">
        <f>G45-AA45</f>
        <v>-647</v>
      </c>
      <c r="AC45" s="40">
        <v>-656</v>
      </c>
      <c r="AD45" s="39">
        <f>H45-AC45</f>
        <v>-651</v>
      </c>
      <c r="AE45" s="40">
        <v>-685</v>
      </c>
      <c r="AF45" s="39">
        <f>I45-AE45</f>
        <v>-707</v>
      </c>
      <c r="AG45" s="40">
        <v>-723</v>
      </c>
      <c r="AH45" s="39">
        <f>J45-AG45</f>
        <v>-737</v>
      </c>
      <c r="AI45" s="40">
        <v>-858</v>
      </c>
      <c r="AJ45" s="39">
        <f>K45-AI45</f>
        <v>-822</v>
      </c>
      <c r="AK45" s="167">
        <f>AI45*(1+AK46)</f>
        <v>-922.34999999999991</v>
      </c>
      <c r="AL45" s="167">
        <f>L45-AK45</f>
        <v>-883.65000000000009</v>
      </c>
    </row>
    <row r="46" spans="1:48">
      <c r="B46" s="46" t="s">
        <v>159</v>
      </c>
      <c r="C46" s="52"/>
      <c r="D46" s="54"/>
      <c r="E46" s="54">
        <f t="shared" ref="E46:K46" si="111">E45/D45-1</f>
        <v>-8.9766606822262451E-3</v>
      </c>
      <c r="F46" s="54">
        <f t="shared" si="111"/>
        <v>1.26268115942029</v>
      </c>
      <c r="G46" s="54">
        <f t="shared" si="111"/>
        <v>4.0032025620496459E-2</v>
      </c>
      <c r="H46" s="54">
        <f t="shared" si="111"/>
        <v>6.1585835257891297E-3</v>
      </c>
      <c r="I46" s="54">
        <f t="shared" si="111"/>
        <v>6.5034429992348874E-2</v>
      </c>
      <c r="J46" s="54">
        <f t="shared" si="111"/>
        <v>4.8850574712643757E-2</v>
      </c>
      <c r="K46" s="343">
        <f t="shared" si="111"/>
        <v>0.15068493150684925</v>
      </c>
      <c r="L46" s="171">
        <v>7.4999999999999997E-2</v>
      </c>
      <c r="M46" s="171">
        <v>0.05</v>
      </c>
      <c r="N46" s="171">
        <v>0.05</v>
      </c>
      <c r="O46" s="171">
        <v>0.05</v>
      </c>
      <c r="P46" s="171">
        <v>0.05</v>
      </c>
      <c r="Q46" s="163"/>
      <c r="R46" s="52"/>
      <c r="S46" s="52"/>
      <c r="T46" s="52"/>
      <c r="U46" s="54"/>
      <c r="V46" s="54"/>
      <c r="W46" s="54">
        <f t="shared" ref="W46:AJ46" si="112">W45/U45-1</f>
        <v>-2.0618556701030966E-2</v>
      </c>
      <c r="X46" s="54">
        <f t="shared" si="112"/>
        <v>7.1428571428571397E-2</v>
      </c>
      <c r="Y46" s="54">
        <f t="shared" si="112"/>
        <v>1.2175438596491226</v>
      </c>
      <c r="Z46" s="54">
        <f t="shared" si="112"/>
        <v>1.2175438596491226</v>
      </c>
      <c r="AA46" s="54">
        <f t="shared" si="112"/>
        <v>3.1645569620253111E-2</v>
      </c>
      <c r="AB46" s="54">
        <f t="shared" si="112"/>
        <v>2.3734177215189778E-2</v>
      </c>
      <c r="AC46" s="54">
        <f t="shared" si="112"/>
        <v>6.1349693251533388E-3</v>
      </c>
      <c r="AD46" s="54">
        <f t="shared" si="112"/>
        <v>6.1823802163833985E-3</v>
      </c>
      <c r="AE46" s="54">
        <f t="shared" si="112"/>
        <v>4.4207317073170715E-2</v>
      </c>
      <c r="AF46" s="54">
        <f t="shared" si="112"/>
        <v>8.602150537634401E-2</v>
      </c>
      <c r="AG46" s="54">
        <f t="shared" si="112"/>
        <v>5.5474452554744591E-2</v>
      </c>
      <c r="AH46" s="54">
        <f t="shared" si="112"/>
        <v>4.2432814710042344E-2</v>
      </c>
      <c r="AI46" s="54">
        <f t="shared" si="112"/>
        <v>0.18672199170124482</v>
      </c>
      <c r="AJ46" s="54">
        <f t="shared" si="112"/>
        <v>0.11533242876526462</v>
      </c>
      <c r="AK46" s="171">
        <v>7.4999999999999997E-2</v>
      </c>
      <c r="AL46" s="345">
        <f>AL45/AJ45-1</f>
        <v>7.5000000000000178E-2</v>
      </c>
    </row>
    <row r="47" spans="1:48">
      <c r="B47" s="46" t="s">
        <v>163</v>
      </c>
      <c r="C47" s="54"/>
      <c r="D47" s="54">
        <f t="shared" ref="D47:K47" si="113">D45/D23</f>
        <v>-1.8616932384103748E-2</v>
      </c>
      <c r="E47" s="54">
        <f t="shared" si="113"/>
        <v>-1.7869860796374232E-2</v>
      </c>
      <c r="F47" s="54">
        <f t="shared" si="113"/>
        <v>-3.7856515018337221E-2</v>
      </c>
      <c r="G47" s="54">
        <f t="shared" si="113"/>
        <v>-3.8354789181528286E-2</v>
      </c>
      <c r="H47" s="54">
        <f t="shared" si="113"/>
        <v>-3.7748382624768949E-2</v>
      </c>
      <c r="I47" s="54">
        <f t="shared" si="113"/>
        <v>-3.7881674195830842E-2</v>
      </c>
      <c r="J47" s="54">
        <f t="shared" si="113"/>
        <v>-3.7395625224117615E-2</v>
      </c>
      <c r="K47" s="54">
        <f t="shared" si="113"/>
        <v>-4.2013654437692248E-2</v>
      </c>
      <c r="L47" s="345">
        <f t="shared" ref="L47:P47" si="114">L45/L23</f>
        <v>-4.3328507078121338E-2</v>
      </c>
      <c r="M47" s="345">
        <f t="shared" si="114"/>
        <v>-4.358615925103386E-2</v>
      </c>
      <c r="N47" s="345">
        <f t="shared" si="114"/>
        <v>-4.3853227823460496E-2</v>
      </c>
      <c r="O47" s="345">
        <f t="shared" si="114"/>
        <v>-4.4129655193801985E-2</v>
      </c>
      <c r="P47" s="345">
        <f t="shared" si="114"/>
        <v>-4.4415392820271085E-2</v>
      </c>
      <c r="Q47" s="163"/>
      <c r="R47" s="54"/>
      <c r="S47" s="54"/>
      <c r="T47" s="54"/>
      <c r="U47" s="54">
        <f t="shared" ref="U47:Z47" si="115">U45/U23</f>
        <v>-1.8743961352657004E-2</v>
      </c>
      <c r="V47" s="54">
        <f t="shared" si="115"/>
        <v>-1.8479922189801306E-2</v>
      </c>
      <c r="W47" s="54">
        <f t="shared" si="115"/>
        <v>-1.773601344203124E-2</v>
      </c>
      <c r="X47" s="54">
        <f t="shared" si="115"/>
        <v>-1.9229471695567102E-2</v>
      </c>
      <c r="Y47" s="54">
        <f t="shared" si="115"/>
        <v>-3.8088350509250891E-2</v>
      </c>
      <c r="Z47" s="54">
        <f t="shared" si="115"/>
        <v>-3.8536585365853658E-2</v>
      </c>
      <c r="AA47" s="54">
        <f t="shared" ref="AA47:AJ47" si="116">AA45/AA23</f>
        <v>-3.6604536267684708E-2</v>
      </c>
      <c r="AB47" s="54">
        <f t="shared" si="116"/>
        <v>-4.0296462381664178E-2</v>
      </c>
      <c r="AC47" s="54">
        <f t="shared" si="116"/>
        <v>-3.6412078152753109E-2</v>
      </c>
      <c r="AD47" s="54">
        <f t="shared" si="116"/>
        <v>-3.919797687861272E-2</v>
      </c>
      <c r="AE47" s="54">
        <f t="shared" si="116"/>
        <v>-3.6326032772975553E-2</v>
      </c>
      <c r="AF47" s="54">
        <f t="shared" si="116"/>
        <v>-3.9521493655318908E-2</v>
      </c>
      <c r="AG47" s="54">
        <f t="shared" si="116"/>
        <v>-3.6555769036302962E-2</v>
      </c>
      <c r="AH47" s="54">
        <f t="shared" si="116"/>
        <v>-3.8257890365448508E-2</v>
      </c>
      <c r="AI47" s="54">
        <f t="shared" si="116"/>
        <v>-4.159193368558825E-2</v>
      </c>
      <c r="AJ47" s="54">
        <f t="shared" si="116"/>
        <v>-4.2463064366153526E-2</v>
      </c>
      <c r="AK47" s="345">
        <f t="shared" ref="AK47:AL47" si="117">AK45/AK23</f>
        <v>-4.2888852406764662E-2</v>
      </c>
      <c r="AL47" s="345">
        <f t="shared" si="117"/>
        <v>-4.3797135302269023E-2</v>
      </c>
    </row>
    <row r="48" spans="1:48">
      <c r="B48" s="46" t="s">
        <v>162</v>
      </c>
      <c r="C48" s="52"/>
      <c r="D48" s="54">
        <f t="shared" ref="D48:K48" si="118">D47-C47</f>
        <v>-1.8616932384103748E-2</v>
      </c>
      <c r="E48" s="54">
        <f t="shared" si="118"/>
        <v>7.4707158772951629E-4</v>
      </c>
      <c r="F48" s="54">
        <f t="shared" si="118"/>
        <v>-1.9986654221962989E-2</v>
      </c>
      <c r="G48" s="54">
        <f t="shared" si="118"/>
        <v>-4.9827416319106477E-4</v>
      </c>
      <c r="H48" s="54">
        <f t="shared" si="118"/>
        <v>6.0640655675933686E-4</v>
      </c>
      <c r="I48" s="54">
        <f t="shared" si="118"/>
        <v>-1.3329157106189288E-4</v>
      </c>
      <c r="J48" s="54">
        <f t="shared" si="118"/>
        <v>4.8604897171322659E-4</v>
      </c>
      <c r="K48" s="54">
        <f t="shared" si="118"/>
        <v>-4.6180292135746329E-3</v>
      </c>
      <c r="L48" s="345">
        <f t="shared" ref="L48:P48" si="119">L47-K47</f>
        <v>-1.31485264042909E-3</v>
      </c>
      <c r="M48" s="345">
        <f t="shared" si="119"/>
        <v>-2.5765217291252168E-4</v>
      </c>
      <c r="N48" s="345">
        <f t="shared" si="119"/>
        <v>-2.6706857242663612E-4</v>
      </c>
      <c r="O48" s="345">
        <f t="shared" si="119"/>
        <v>-2.7642737034148934E-4</v>
      </c>
      <c r="P48" s="345">
        <f t="shared" si="119"/>
        <v>-2.857376264691E-4</v>
      </c>
      <c r="Q48" s="163"/>
      <c r="R48" s="52"/>
      <c r="S48" s="52"/>
      <c r="T48" s="52"/>
      <c r="U48" s="54">
        <f t="shared" ref="U48:AJ48" si="120">U47-S47</f>
        <v>-1.8743961352657004E-2</v>
      </c>
      <c r="V48" s="54">
        <f t="shared" si="120"/>
        <v>-1.8479922189801306E-2</v>
      </c>
      <c r="W48" s="54">
        <f t="shared" si="120"/>
        <v>1.0079479106257644E-3</v>
      </c>
      <c r="X48" s="54">
        <f t="shared" si="120"/>
        <v>-7.4954950576579596E-4</v>
      </c>
      <c r="Y48" s="54">
        <f t="shared" si="120"/>
        <v>-2.0352337067219652E-2</v>
      </c>
      <c r="Z48" s="54">
        <f t="shared" si="120"/>
        <v>-1.9307113670286556E-2</v>
      </c>
      <c r="AA48" s="54">
        <f t="shared" si="120"/>
        <v>1.4838142415661837E-3</v>
      </c>
      <c r="AB48" s="54">
        <f t="shared" si="120"/>
        <v>-1.7598770158105195E-3</v>
      </c>
      <c r="AC48" s="54">
        <f t="shared" si="120"/>
        <v>1.9245811493159848E-4</v>
      </c>
      <c r="AD48" s="54">
        <f t="shared" si="120"/>
        <v>1.0984855030514579E-3</v>
      </c>
      <c r="AE48" s="54">
        <f t="shared" si="120"/>
        <v>8.6045379777556497E-5</v>
      </c>
      <c r="AF48" s="54">
        <f t="shared" si="120"/>
        <v>-3.2351677670618834E-4</v>
      </c>
      <c r="AG48" s="54">
        <f t="shared" si="120"/>
        <v>-2.2973626332740971E-4</v>
      </c>
      <c r="AH48" s="54">
        <f t="shared" si="120"/>
        <v>1.2636032898704005E-3</v>
      </c>
      <c r="AI48" s="54">
        <f t="shared" si="120"/>
        <v>-5.036164649285288E-3</v>
      </c>
      <c r="AJ48" s="54">
        <f t="shared" si="120"/>
        <v>-4.2051740007050184E-3</v>
      </c>
      <c r="AK48" s="345">
        <f t="shared" ref="AK48:AL48" si="121">AK47-AI47</f>
        <v>-1.2969187211764113E-3</v>
      </c>
      <c r="AL48" s="345">
        <f t="shared" si="121"/>
        <v>-1.3340709361154973E-3</v>
      </c>
      <c r="AM48" s="128"/>
    </row>
    <row r="49" spans="1:39">
      <c r="B49" s="46"/>
      <c r="C49" s="52"/>
      <c r="D49" s="52"/>
      <c r="E49" s="52"/>
      <c r="F49" s="52"/>
      <c r="G49" s="52"/>
      <c r="H49" s="52"/>
      <c r="I49" s="52"/>
      <c r="J49" s="52"/>
      <c r="K49" s="52"/>
      <c r="L49" s="163"/>
      <c r="M49" s="163"/>
      <c r="N49" s="163"/>
      <c r="O49" s="163"/>
      <c r="P49" s="163"/>
      <c r="Q49" s="163"/>
      <c r="R49" s="52"/>
      <c r="S49" s="52"/>
      <c r="T49" s="52"/>
      <c r="U49" s="52"/>
      <c r="V49" s="52"/>
      <c r="W49" s="52"/>
      <c r="X49" s="52"/>
      <c r="Y49" s="52"/>
      <c r="Z49" s="52"/>
      <c r="AA49" s="52"/>
      <c r="AB49" s="52"/>
      <c r="AC49" s="52"/>
      <c r="AD49" s="52"/>
      <c r="AE49" s="52"/>
      <c r="AF49" s="52"/>
      <c r="AG49" s="52"/>
      <c r="AH49" s="52"/>
      <c r="AI49" s="52"/>
      <c r="AJ49" s="52"/>
      <c r="AK49" s="163"/>
      <c r="AL49" s="163"/>
    </row>
    <row r="50" spans="1:39">
      <c r="B50" s="37" t="s">
        <v>33</v>
      </c>
      <c r="C50" s="38">
        <v>1186</v>
      </c>
      <c r="D50" s="57">
        <v>1157</v>
      </c>
      <c r="E50" s="57">
        <v>1183</v>
      </c>
      <c r="F50" s="57">
        <v>1618</v>
      </c>
      <c r="G50" s="57">
        <v>1702</v>
      </c>
      <c r="H50" s="57">
        <v>1715</v>
      </c>
      <c r="I50" s="57">
        <v>1765</v>
      </c>
      <c r="J50" s="57">
        <v>2018</v>
      </c>
      <c r="K50" s="57">
        <v>2108</v>
      </c>
      <c r="L50" s="167">
        <f>L40+L45</f>
        <v>2430.6327015947682</v>
      </c>
      <c r="M50" s="167">
        <f t="shared" ref="M50:P50" si="122">M40+M45</f>
        <v>2618.7812565851946</v>
      </c>
      <c r="N50" s="167">
        <f t="shared" si="122"/>
        <v>2771.5222333596189</v>
      </c>
      <c r="O50" s="167">
        <f t="shared" si="122"/>
        <v>2882.1851526557102</v>
      </c>
      <c r="P50" s="167">
        <f t="shared" si="122"/>
        <v>2994.7650096243292</v>
      </c>
      <c r="Q50" s="163"/>
      <c r="R50" s="38"/>
      <c r="S50" s="38"/>
      <c r="T50" s="56"/>
      <c r="U50" s="38">
        <v>600</v>
      </c>
      <c r="V50" s="56">
        <f>D50-U50</f>
        <v>557</v>
      </c>
      <c r="W50" s="57">
        <v>602</v>
      </c>
      <c r="X50" s="56">
        <f>E50-W50</f>
        <v>581</v>
      </c>
      <c r="Y50" s="57">
        <v>789</v>
      </c>
      <c r="Z50" s="56">
        <f>F50-Y50</f>
        <v>829</v>
      </c>
      <c r="AA50" s="57">
        <v>903</v>
      </c>
      <c r="AB50" s="56">
        <f>G50-AA50</f>
        <v>799</v>
      </c>
      <c r="AC50" s="57">
        <v>896</v>
      </c>
      <c r="AD50" s="56">
        <f>H50-AC50</f>
        <v>819</v>
      </c>
      <c r="AE50" s="57">
        <v>991</v>
      </c>
      <c r="AF50" s="56">
        <f>I50-AE50</f>
        <v>774</v>
      </c>
      <c r="AG50" s="57">
        <v>1007</v>
      </c>
      <c r="AH50" s="56">
        <f>J50-AG50</f>
        <v>1011</v>
      </c>
      <c r="AI50" s="57">
        <v>1077</v>
      </c>
      <c r="AJ50" s="56">
        <f>K50-AI50</f>
        <v>1031</v>
      </c>
      <c r="AK50" s="167">
        <f>AK40+AK45</f>
        <v>1244.4304352007007</v>
      </c>
      <c r="AL50" s="167">
        <f>L50-AK50</f>
        <v>1186.2022663940675</v>
      </c>
    </row>
    <row r="51" spans="1:39">
      <c r="B51" s="46" t="s">
        <v>164</v>
      </c>
      <c r="C51" s="52"/>
      <c r="D51" s="54">
        <f t="shared" ref="D51:K51" si="123">D50/C50-1</f>
        <v>-2.4451939291736946E-2</v>
      </c>
      <c r="E51" s="54">
        <f t="shared" si="123"/>
        <v>2.2471910112359605E-2</v>
      </c>
      <c r="F51" s="54">
        <f t="shared" si="123"/>
        <v>0.36770921386305999</v>
      </c>
      <c r="G51" s="54">
        <f t="shared" si="123"/>
        <v>5.1915945611866521E-2</v>
      </c>
      <c r="H51" s="54">
        <f t="shared" si="123"/>
        <v>7.6380728554641397E-3</v>
      </c>
      <c r="I51" s="54">
        <f t="shared" si="123"/>
        <v>2.9154518950437414E-2</v>
      </c>
      <c r="J51" s="54">
        <f t="shared" si="123"/>
        <v>0.14334277620396607</v>
      </c>
      <c r="K51" s="343">
        <f t="shared" si="123"/>
        <v>4.4598612487611433E-2</v>
      </c>
      <c r="L51" s="344">
        <f t="shared" ref="L51:P51" si="124">L50/K50-1</f>
        <v>0.15305156622142713</v>
      </c>
      <c r="M51" s="344">
        <f t="shared" si="124"/>
        <v>7.7407234283888293E-2</v>
      </c>
      <c r="N51" s="344">
        <f t="shared" si="124"/>
        <v>5.8325213833855472E-2</v>
      </c>
      <c r="O51" s="344">
        <f t="shared" si="124"/>
        <v>3.9928569925974156E-2</v>
      </c>
      <c r="P51" s="344">
        <f t="shared" si="124"/>
        <v>3.9060591532395161E-2</v>
      </c>
      <c r="Q51" s="163"/>
      <c r="R51" s="52"/>
      <c r="S51" s="52"/>
      <c r="T51" s="52"/>
      <c r="U51" s="54"/>
      <c r="V51" s="54"/>
      <c r="W51" s="54">
        <f t="shared" ref="W51:AJ51" si="125">W50/U50-1</f>
        <v>3.3333333333334103E-3</v>
      </c>
      <c r="X51" s="54">
        <f t="shared" si="125"/>
        <v>4.3087971274685888E-2</v>
      </c>
      <c r="Y51" s="54">
        <f t="shared" si="125"/>
        <v>0.31063122923588038</v>
      </c>
      <c r="Z51" s="54">
        <f t="shared" si="125"/>
        <v>0.42685025817555933</v>
      </c>
      <c r="AA51" s="54">
        <f t="shared" si="125"/>
        <v>0.14448669201520903</v>
      </c>
      <c r="AB51" s="54">
        <f t="shared" si="125"/>
        <v>-3.6188178528347437E-2</v>
      </c>
      <c r="AC51" s="54">
        <f t="shared" si="125"/>
        <v>-7.7519379844961378E-3</v>
      </c>
      <c r="AD51" s="54">
        <f t="shared" si="125"/>
        <v>2.5031289111389299E-2</v>
      </c>
      <c r="AE51" s="54">
        <f t="shared" si="125"/>
        <v>0.10602678571428581</v>
      </c>
      <c r="AF51" s="54">
        <f t="shared" si="125"/>
        <v>-5.4945054945054972E-2</v>
      </c>
      <c r="AG51" s="54">
        <f t="shared" si="125"/>
        <v>1.6145307769929396E-2</v>
      </c>
      <c r="AH51" s="54">
        <f t="shared" si="125"/>
        <v>0.306201550387597</v>
      </c>
      <c r="AI51" s="54">
        <f t="shared" si="125"/>
        <v>6.9513406156901603E-2</v>
      </c>
      <c r="AJ51" s="54">
        <f t="shared" si="125"/>
        <v>1.9782393669633969E-2</v>
      </c>
      <c r="AK51" s="345">
        <f t="shared" ref="AK51:AL51" si="126">AK50/AI50-1</f>
        <v>0.15546001411392818</v>
      </c>
      <c r="AL51" s="345">
        <f t="shared" si="126"/>
        <v>0.15053566090598203</v>
      </c>
    </row>
    <row r="52" spans="1:39">
      <c r="A52" s="5" t="s">
        <v>317</v>
      </c>
      <c r="B52" s="46" t="s">
        <v>154</v>
      </c>
      <c r="C52" s="145">
        <f t="shared" ref="C52:K52" si="127">C50/C23</f>
        <v>3.986018686563151E-2</v>
      </c>
      <c r="D52" s="145">
        <f t="shared" si="127"/>
        <v>3.867107857882951E-2</v>
      </c>
      <c r="E52" s="145">
        <f t="shared" si="127"/>
        <v>3.8297183554548399E-2</v>
      </c>
      <c r="F52" s="145">
        <f t="shared" si="127"/>
        <v>4.9040705604219074E-2</v>
      </c>
      <c r="G52" s="145">
        <f t="shared" si="127"/>
        <v>5.0253927010747608E-2</v>
      </c>
      <c r="H52" s="145">
        <f t="shared" si="127"/>
        <v>4.9532116451016635E-2</v>
      </c>
      <c r="I52" s="145">
        <f t="shared" si="127"/>
        <v>4.803243890491482E-2</v>
      </c>
      <c r="J52" s="145">
        <f t="shared" si="127"/>
        <v>5.1687925823472161E-2</v>
      </c>
      <c r="K52" s="145">
        <f t="shared" si="127"/>
        <v>5.2717133068247178E-2</v>
      </c>
      <c r="L52" s="172">
        <f t="shared" ref="L52:P52" si="128">L50/L23</f>
        <v>5.8314333452581454E-2</v>
      </c>
      <c r="M52" s="172">
        <f t="shared" si="128"/>
        <v>6.019227806420125E-2</v>
      </c>
      <c r="N52" s="172">
        <f t="shared" si="128"/>
        <v>6.1041273817587338E-2</v>
      </c>
      <c r="O52" s="172">
        <f t="shared" si="128"/>
        <v>6.0836856779764116E-2</v>
      </c>
      <c r="P52" s="172">
        <f t="shared" si="128"/>
        <v>6.0592840978071154E-2</v>
      </c>
      <c r="Q52" s="163"/>
      <c r="R52" s="145"/>
      <c r="S52" s="145"/>
      <c r="T52" s="145"/>
      <c r="U52" s="145">
        <f t="shared" ref="U52:AJ52" si="129">U50/U23</f>
        <v>3.864734299516908E-2</v>
      </c>
      <c r="V52" s="145">
        <f t="shared" si="129"/>
        <v>3.869667917187717E-2</v>
      </c>
      <c r="W52" s="145">
        <f t="shared" si="129"/>
        <v>3.7463438919658969E-2</v>
      </c>
      <c r="X52" s="145">
        <f t="shared" si="129"/>
        <v>3.9201133526752578E-2</v>
      </c>
      <c r="Y52" s="145">
        <f t="shared" si="129"/>
        <v>4.7550171759175558E-2</v>
      </c>
      <c r="Z52" s="145">
        <f t="shared" si="129"/>
        <v>5.0548780487804881E-2</v>
      </c>
      <c r="AA52" s="145">
        <f t="shared" si="129"/>
        <v>5.06961598922075E-2</v>
      </c>
      <c r="AB52" s="145">
        <f t="shared" si="129"/>
        <v>4.9763328350772296E-2</v>
      </c>
      <c r="AC52" s="145">
        <f t="shared" si="129"/>
        <v>4.9733570159857902E-2</v>
      </c>
      <c r="AD52" s="145">
        <f t="shared" si="129"/>
        <v>4.93135838150289E-2</v>
      </c>
      <c r="AE52" s="145">
        <f t="shared" si="129"/>
        <v>5.2553428435063901E-2</v>
      </c>
      <c r="AF52" s="145">
        <f t="shared" si="129"/>
        <v>4.3266812007378835E-2</v>
      </c>
      <c r="AG52" s="145">
        <f t="shared" si="129"/>
        <v>5.0915158256648801E-2</v>
      </c>
      <c r="AH52" s="145">
        <f t="shared" si="129"/>
        <v>5.2481312292358806E-2</v>
      </c>
      <c r="AI52" s="145">
        <f t="shared" si="129"/>
        <v>5.2208056619322311E-2</v>
      </c>
      <c r="AJ52" s="145">
        <f t="shared" si="129"/>
        <v>5.3259634259737579E-2</v>
      </c>
      <c r="AK52" s="172">
        <f t="shared" ref="AK52:AL52" si="130">AK50/AK23</f>
        <v>5.7865445075956819E-2</v>
      </c>
      <c r="AL52" s="172">
        <f t="shared" si="130"/>
        <v>5.8792803889683852E-2</v>
      </c>
    </row>
    <row r="53" spans="1:39">
      <c r="B53" s="46" t="s">
        <v>162</v>
      </c>
      <c r="C53" s="52"/>
      <c r="D53" s="145">
        <f t="shared" ref="D53:K53" si="131">D52-C52</f>
        <v>-1.189108286802E-3</v>
      </c>
      <c r="E53" s="145">
        <f t="shared" si="131"/>
        <v>-3.7389502428111093E-4</v>
      </c>
      <c r="F53" s="145">
        <f t="shared" si="131"/>
        <v>1.0743522049670676E-2</v>
      </c>
      <c r="G53" s="145">
        <f t="shared" si="131"/>
        <v>1.2132214065285335E-3</v>
      </c>
      <c r="H53" s="145">
        <f t="shared" si="131"/>
        <v>-7.2181055973097319E-4</v>
      </c>
      <c r="I53" s="145">
        <f t="shared" si="131"/>
        <v>-1.4996775461018144E-3</v>
      </c>
      <c r="J53" s="145">
        <f t="shared" si="131"/>
        <v>3.6554869185573408E-3</v>
      </c>
      <c r="K53" s="145">
        <f t="shared" si="131"/>
        <v>1.029207244775017E-3</v>
      </c>
      <c r="L53" s="172">
        <f t="shared" ref="L53:P53" si="132">L52-K52</f>
        <v>5.5972003843342763E-3</v>
      </c>
      <c r="M53" s="172">
        <f t="shared" si="132"/>
        <v>1.8779446116197959E-3</v>
      </c>
      <c r="N53" s="172">
        <f t="shared" si="132"/>
        <v>8.4899575338608785E-4</v>
      </c>
      <c r="O53" s="172">
        <f t="shared" si="132"/>
        <v>-2.0441703782322213E-4</v>
      </c>
      <c r="P53" s="172">
        <f t="shared" si="132"/>
        <v>-2.4401580169296222E-4</v>
      </c>
      <c r="Q53" s="163"/>
      <c r="R53" s="52"/>
      <c r="S53" s="52"/>
      <c r="T53" s="52"/>
      <c r="U53" s="54">
        <f t="shared" ref="U53:AJ53" si="133">U52-S52</f>
        <v>3.864734299516908E-2</v>
      </c>
      <c r="V53" s="54">
        <f t="shared" si="133"/>
        <v>3.869667917187717E-2</v>
      </c>
      <c r="W53" s="54">
        <f t="shared" si="133"/>
        <v>-1.1839040755101116E-3</v>
      </c>
      <c r="X53" s="54">
        <f t="shared" si="133"/>
        <v>5.0445435487540824E-4</v>
      </c>
      <c r="Y53" s="54">
        <f t="shared" si="133"/>
        <v>1.0086732839516589E-2</v>
      </c>
      <c r="Z53" s="54">
        <f t="shared" si="133"/>
        <v>1.1347646961052303E-2</v>
      </c>
      <c r="AA53" s="54">
        <f t="shared" si="133"/>
        <v>3.145988133031942E-3</v>
      </c>
      <c r="AB53" s="54">
        <f t="shared" si="133"/>
        <v>-7.8545213703258565E-4</v>
      </c>
      <c r="AC53" s="54">
        <f t="shared" si="133"/>
        <v>-9.6258973234959744E-4</v>
      </c>
      <c r="AD53" s="54">
        <f t="shared" si="133"/>
        <v>-4.4974453574339601E-4</v>
      </c>
      <c r="AE53" s="54">
        <f t="shared" si="133"/>
        <v>2.8198582752059984E-3</v>
      </c>
      <c r="AF53" s="54">
        <f t="shared" si="133"/>
        <v>-6.0467718076500643E-3</v>
      </c>
      <c r="AG53" s="54">
        <f t="shared" si="133"/>
        <v>-1.6382701784150994E-3</v>
      </c>
      <c r="AH53" s="54">
        <f t="shared" si="133"/>
        <v>9.2145002849799706E-3</v>
      </c>
      <c r="AI53" s="54">
        <f t="shared" si="133"/>
        <v>1.2928983626735099E-3</v>
      </c>
      <c r="AJ53" s="54">
        <f t="shared" si="133"/>
        <v>7.7832196737877279E-4</v>
      </c>
      <c r="AK53" s="345">
        <f t="shared" ref="AK53:AL53" si="134">AK52-AI52</f>
        <v>5.6573884566345073E-3</v>
      </c>
      <c r="AL53" s="345">
        <f t="shared" si="134"/>
        <v>5.5331696299462732E-3</v>
      </c>
      <c r="AM53" s="128"/>
    </row>
    <row r="54" spans="1:39">
      <c r="B54" s="46"/>
      <c r="C54" s="52"/>
      <c r="D54" s="52"/>
      <c r="E54" s="52"/>
      <c r="F54" s="52"/>
      <c r="G54" s="52"/>
      <c r="H54" s="52"/>
      <c r="I54" s="52"/>
      <c r="J54" s="52"/>
      <c r="K54" s="52"/>
      <c r="L54" s="163"/>
      <c r="M54" s="163"/>
      <c r="N54" s="163"/>
      <c r="O54" s="163"/>
      <c r="P54" s="163"/>
      <c r="Q54" s="163"/>
      <c r="R54" s="52"/>
      <c r="S54" s="52"/>
      <c r="T54" s="52"/>
      <c r="U54" s="52"/>
      <c r="V54" s="52"/>
      <c r="W54" s="52"/>
      <c r="X54" s="52"/>
      <c r="Y54" s="52"/>
      <c r="Z54" s="52"/>
      <c r="AA54" s="52"/>
      <c r="AB54" s="52"/>
      <c r="AC54" s="52"/>
      <c r="AD54" s="52"/>
      <c r="AE54" s="52"/>
      <c r="AF54" s="52"/>
      <c r="AG54" s="52"/>
      <c r="AH54" s="52"/>
      <c r="AI54" s="52"/>
      <c r="AJ54" s="52"/>
      <c r="AK54" s="163"/>
      <c r="AL54" s="163"/>
    </row>
    <row r="55" spans="1:39">
      <c r="A55" s="5" t="s">
        <v>420</v>
      </c>
      <c r="B55" s="37" t="s">
        <v>37</v>
      </c>
      <c r="C55" s="51">
        <f>C58-C50</f>
        <v>0</v>
      </c>
      <c r="D55" s="51">
        <f>D58-D50</f>
        <v>0</v>
      </c>
      <c r="E55" s="51">
        <f>E58-E50</f>
        <v>0</v>
      </c>
      <c r="F55" s="51">
        <f>F58-F50</f>
        <v>-308</v>
      </c>
      <c r="G55" s="138">
        <f>F55*(1+G27+3%)</f>
        <v>-320.97786407766995</v>
      </c>
      <c r="H55" s="138">
        <f t="shared" ref="H55:P55" si="135">G55*(1+H27+3%)</f>
        <v>-330.99206554445772</v>
      </c>
      <c r="I55" s="138">
        <f t="shared" si="135"/>
        <v>-345.28220202694598</v>
      </c>
      <c r="J55" s="138">
        <f t="shared" si="135"/>
        <v>-359.72201799351018</v>
      </c>
      <c r="K55" s="138">
        <f t="shared" si="135"/>
        <v>-372.19462254263101</v>
      </c>
      <c r="L55" s="173">
        <f t="shared" si="135"/>
        <v>-387.6883056670801</v>
      </c>
      <c r="M55" s="173">
        <f t="shared" si="135"/>
        <v>-404.66637974284538</v>
      </c>
      <c r="N55" s="173">
        <f t="shared" si="135"/>
        <v>-422.31203616564568</v>
      </c>
      <c r="O55" s="173">
        <f t="shared" si="135"/>
        <v>-440.65001518572438</v>
      </c>
      <c r="P55" s="173">
        <f t="shared" si="135"/>
        <v>-459.70593968349118</v>
      </c>
      <c r="Q55" s="163"/>
      <c r="R55" s="51"/>
      <c r="S55" s="51"/>
      <c r="T55" s="51"/>
      <c r="U55" s="51"/>
      <c r="V55" s="51"/>
      <c r="W55" s="51"/>
      <c r="X55" s="51"/>
      <c r="Y55" s="51">
        <f t="shared" ref="Y55:Z55" si="136">Y58-Y50</f>
        <v>-152</v>
      </c>
      <c r="Z55" s="51">
        <f t="shared" si="136"/>
        <v>-156</v>
      </c>
      <c r="AA55" s="138">
        <f>Y55*(1+AA27+3%)</f>
        <v>-158.4069015795869</v>
      </c>
      <c r="AB55" s="76">
        <f>G55-AA55</f>
        <v>-162.57096249808305</v>
      </c>
      <c r="AC55" s="138">
        <f>AA55*(1+AC27+3%)</f>
        <v>-163.53943732224363</v>
      </c>
      <c r="AD55" s="76">
        <f>H55-AC55</f>
        <v>-167.45262822221409</v>
      </c>
      <c r="AE55" s="138">
        <f>AC55*(1+AE27+3%)</f>
        <v>-169.81660973682796</v>
      </c>
      <c r="AF55" s="76">
        <f>I55-AE55</f>
        <v>-175.46559229011802</v>
      </c>
      <c r="AG55" s="138">
        <f>AE55*(1+AG27+3%)</f>
        <v>-176.52456750386705</v>
      </c>
      <c r="AH55" s="76">
        <f>J55-AG55</f>
        <v>-183.19745048964313</v>
      </c>
      <c r="AI55" s="138">
        <f>AG55*(1+AI27+3%)</f>
        <v>-183.48171222313712</v>
      </c>
      <c r="AJ55" s="76">
        <f>K55-AI55</f>
        <v>-188.71291031949389</v>
      </c>
      <c r="AK55" s="173">
        <f>AI55*(1+AK27+3%)</f>
        <v>-190.26925248649655</v>
      </c>
      <c r="AL55" s="167">
        <f>L55-AK55</f>
        <v>-197.41905318058355</v>
      </c>
    </row>
    <row r="56" spans="1:39">
      <c r="B56" s="46" t="s">
        <v>446</v>
      </c>
      <c r="C56" s="51"/>
      <c r="D56" s="51"/>
      <c r="E56" s="51"/>
      <c r="F56" s="145">
        <f>-F55/F23</f>
        <v>9.3353135513593796E-3</v>
      </c>
      <c r="G56" s="145">
        <f t="shared" ref="G56:P56" si="137">-G55/G23</f>
        <v>9.4773197141156829E-3</v>
      </c>
      <c r="H56" s="145">
        <f t="shared" si="137"/>
        <v>9.5596137229799483E-3</v>
      </c>
      <c r="I56" s="145">
        <f t="shared" si="137"/>
        <v>9.3964568123590594E-3</v>
      </c>
      <c r="J56" s="145">
        <f t="shared" si="137"/>
        <v>9.2137190203757536E-3</v>
      </c>
      <c r="K56" s="145">
        <f t="shared" si="137"/>
        <v>9.3078906280198818E-3</v>
      </c>
      <c r="L56" s="172">
        <f t="shared" si="137"/>
        <v>9.3011935194911126E-3</v>
      </c>
      <c r="M56" s="172">
        <f t="shared" si="137"/>
        <v>9.3011935194911126E-3</v>
      </c>
      <c r="N56" s="172">
        <f t="shared" si="137"/>
        <v>9.3011935194911126E-3</v>
      </c>
      <c r="O56" s="172">
        <f t="shared" si="137"/>
        <v>9.3011935194911126E-3</v>
      </c>
      <c r="P56" s="172">
        <f t="shared" si="137"/>
        <v>9.3011935194911126E-3</v>
      </c>
      <c r="Q56" s="163"/>
      <c r="R56" s="51"/>
      <c r="S56" s="51"/>
      <c r="T56" s="51"/>
      <c r="U56" s="51"/>
      <c r="V56" s="51"/>
      <c r="W56" s="51"/>
      <c r="X56" s="51"/>
      <c r="Y56" s="145">
        <f t="shared" ref="Y56" si="138">-Y55/Y23</f>
        <v>9.1604893629843916E-3</v>
      </c>
      <c r="Z56" s="145">
        <f t="shared" ref="Z56" si="139">-Z55/Z23</f>
        <v>9.5121951219512193E-3</v>
      </c>
      <c r="AA56" s="145">
        <f t="shared" ref="AA56" si="140">-AA55/AA23</f>
        <v>8.8932686716588199E-3</v>
      </c>
      <c r="AB56" s="145">
        <f t="shared" ref="AB56" si="141">-AB55/AB23</f>
        <v>1.0125246792356941E-2</v>
      </c>
      <c r="AC56" s="145">
        <f t="shared" ref="AC56" si="142">-AC55/AC23</f>
        <v>9.0774554463945167E-3</v>
      </c>
      <c r="AD56" s="145">
        <f t="shared" ref="AD56" si="143">-AD55/AD23</f>
        <v>1.0082648616462794E-2</v>
      </c>
      <c r="AE56" s="145">
        <f t="shared" ref="AE56" si="144">-AE55/AE23</f>
        <v>9.0054944973658561E-3</v>
      </c>
      <c r="AF56" s="145">
        <f t="shared" ref="AF56" si="145">-AF55/AF23</f>
        <v>9.8085746710334862E-3</v>
      </c>
      <c r="AG56" s="145">
        <f t="shared" ref="AG56" si="146">-AG55/AG23</f>
        <v>8.925299196271972E-3</v>
      </c>
      <c r="AH56" s="145">
        <f t="shared" ref="AH56" si="147">-AH55/AH23</f>
        <v>9.5098344315637014E-3</v>
      </c>
      <c r="AI56" s="145">
        <f t="shared" ref="AI56" si="148">-AI55/AI23</f>
        <v>8.8943580504695884E-3</v>
      </c>
      <c r="AJ56" s="145">
        <f t="shared" ref="AJ56" si="149">-AJ55/AJ23</f>
        <v>9.7485747659620762E-3</v>
      </c>
      <c r="AK56" s="172">
        <f t="shared" ref="AK56" si="150">-AK55/AK23</f>
        <v>8.8474330649306564E-3</v>
      </c>
      <c r="AL56" s="172">
        <f t="shared" ref="AL56" si="151">-AL55/AL23</f>
        <v>9.7848571079000302E-3</v>
      </c>
    </row>
    <row r="57" spans="1:39">
      <c r="B57" s="46"/>
      <c r="C57" s="52"/>
      <c r="D57" s="52"/>
      <c r="E57" s="52"/>
      <c r="F57" s="52"/>
      <c r="G57" s="52"/>
      <c r="H57" s="52"/>
      <c r="I57" s="52"/>
      <c r="J57" s="52"/>
      <c r="K57" s="52"/>
      <c r="L57" s="163"/>
      <c r="M57" s="163"/>
      <c r="N57" s="163"/>
      <c r="O57" s="163"/>
      <c r="P57" s="163"/>
      <c r="Q57" s="163"/>
      <c r="R57" s="52"/>
      <c r="S57" s="52"/>
      <c r="T57" s="52"/>
      <c r="U57" s="52"/>
      <c r="V57" s="52"/>
      <c r="W57" s="52"/>
      <c r="X57" s="52"/>
      <c r="Y57" s="52"/>
      <c r="Z57" s="52"/>
      <c r="AA57" s="52"/>
      <c r="AB57" s="52"/>
      <c r="AC57" s="52"/>
      <c r="AD57" s="52"/>
      <c r="AE57" s="52"/>
      <c r="AF57" s="52"/>
      <c r="AG57" s="52"/>
      <c r="AH57" s="52"/>
      <c r="AI57" s="52"/>
      <c r="AJ57" s="52"/>
      <c r="AK57" s="163"/>
      <c r="AL57" s="163"/>
    </row>
    <row r="58" spans="1:39">
      <c r="B58" s="37" t="s">
        <v>38</v>
      </c>
      <c r="C58" s="51">
        <f>C50</f>
        <v>1186</v>
      </c>
      <c r="D58" s="51">
        <f>D50</f>
        <v>1157</v>
      </c>
      <c r="E58" s="51">
        <f>E50</f>
        <v>1183</v>
      </c>
      <c r="F58" s="70">
        <v>1310</v>
      </c>
      <c r="G58" s="51">
        <f>G55+G50</f>
        <v>1381.0221359223301</v>
      </c>
      <c r="H58" s="51">
        <f>H55+H50</f>
        <v>1384.0079344555422</v>
      </c>
      <c r="I58" s="51">
        <f>I55+I50</f>
        <v>1419.7177979730541</v>
      </c>
      <c r="J58" s="51">
        <f>J55+J50</f>
        <v>1658.2779820064898</v>
      </c>
      <c r="K58" s="51">
        <f>K55+K50</f>
        <v>1735.8053774573691</v>
      </c>
      <c r="L58" s="167">
        <f t="shared" ref="L58:P58" si="152">L55+L50</f>
        <v>2042.944395927688</v>
      </c>
      <c r="M58" s="167">
        <f t="shared" si="152"/>
        <v>2214.1148768423491</v>
      </c>
      <c r="N58" s="167">
        <f t="shared" si="152"/>
        <v>2349.2101971939733</v>
      </c>
      <c r="O58" s="167">
        <f t="shared" si="152"/>
        <v>2441.5351374699858</v>
      </c>
      <c r="P58" s="167">
        <f t="shared" si="152"/>
        <v>2535.0590699408381</v>
      </c>
      <c r="Q58" s="163"/>
      <c r="R58" s="45"/>
      <c r="S58" s="51"/>
      <c r="T58" s="45"/>
      <c r="U58" s="45">
        <f t="shared" ref="U58" si="153">U50</f>
        <v>600</v>
      </c>
      <c r="V58" s="45">
        <f t="shared" ref="V58:X58" si="154">V50</f>
        <v>557</v>
      </c>
      <c r="W58" s="45">
        <f t="shared" si="154"/>
        <v>602</v>
      </c>
      <c r="X58" s="45">
        <f t="shared" si="154"/>
        <v>581</v>
      </c>
      <c r="Y58" s="134">
        <v>637</v>
      </c>
      <c r="Z58" s="84">
        <f>F58-Y58</f>
        <v>673</v>
      </c>
      <c r="AA58" s="51">
        <f>AA55+AA50</f>
        <v>744.59309842041307</v>
      </c>
      <c r="AB58" s="51">
        <f t="shared" ref="AB58:AJ58" si="155">AB55+AB50</f>
        <v>636.42903750191692</v>
      </c>
      <c r="AC58" s="51">
        <f t="shared" si="155"/>
        <v>732.46056267775634</v>
      </c>
      <c r="AD58" s="51">
        <f t="shared" si="155"/>
        <v>651.54737177778588</v>
      </c>
      <c r="AE58" s="51">
        <f t="shared" si="155"/>
        <v>821.18339026317199</v>
      </c>
      <c r="AF58" s="51">
        <f t="shared" si="155"/>
        <v>598.53440770988198</v>
      </c>
      <c r="AG58" s="51">
        <f t="shared" si="155"/>
        <v>830.47543249613295</v>
      </c>
      <c r="AH58" s="51">
        <f t="shared" si="155"/>
        <v>827.80254951035681</v>
      </c>
      <c r="AI58" s="51">
        <f t="shared" si="155"/>
        <v>893.51828777686285</v>
      </c>
      <c r="AJ58" s="51">
        <f t="shared" si="155"/>
        <v>842.28708968050614</v>
      </c>
      <c r="AK58" s="167">
        <f t="shared" ref="AK58:AL58" si="156">AK55+AK50</f>
        <v>1054.1611827142042</v>
      </c>
      <c r="AL58" s="167">
        <f t="shared" si="156"/>
        <v>988.78321321348392</v>
      </c>
    </row>
    <row r="59" spans="1:39">
      <c r="B59" s="46" t="s">
        <v>159</v>
      </c>
      <c r="C59" s="52"/>
      <c r="D59" s="54">
        <f t="shared" ref="D59:K59" si="157">D58/C58-1</f>
        <v>-2.4451939291736946E-2</v>
      </c>
      <c r="E59" s="54">
        <f t="shared" si="157"/>
        <v>2.2471910112359605E-2</v>
      </c>
      <c r="F59" s="54">
        <f t="shared" si="157"/>
        <v>0.10735418427726118</v>
      </c>
      <c r="G59" s="54">
        <f t="shared" si="157"/>
        <v>5.4215370933076379E-2</v>
      </c>
      <c r="H59" s="54">
        <f t="shared" si="157"/>
        <v>2.1620207638584077E-3</v>
      </c>
      <c r="I59" s="54">
        <f t="shared" si="157"/>
        <v>2.580177658559446E-2</v>
      </c>
      <c r="J59" s="54">
        <f t="shared" si="157"/>
        <v>0.16803352354533452</v>
      </c>
      <c r="K59" s="54">
        <f t="shared" si="157"/>
        <v>4.6751748676703953E-2</v>
      </c>
      <c r="L59" s="345">
        <f t="shared" ref="L59:P59" si="158">L58/K58-1</f>
        <v>0.17694323479987162</v>
      </c>
      <c r="M59" s="345">
        <f t="shared" si="158"/>
        <v>8.3786167286718394E-2</v>
      </c>
      <c r="N59" s="345">
        <f t="shared" si="158"/>
        <v>6.1015497327893797E-2</v>
      </c>
      <c r="O59" s="345">
        <f t="shared" si="158"/>
        <v>3.9300416959832107E-2</v>
      </c>
      <c r="P59" s="345">
        <f t="shared" si="158"/>
        <v>3.8305380510626375E-2</v>
      </c>
      <c r="Q59" s="163"/>
      <c r="R59" s="52"/>
      <c r="S59" s="52"/>
      <c r="T59" s="52"/>
      <c r="U59" s="54"/>
      <c r="V59" s="54"/>
      <c r="W59" s="54">
        <f t="shared" ref="W59:AJ59" si="159">W58/U58-1</f>
        <v>3.3333333333334103E-3</v>
      </c>
      <c r="X59" s="54">
        <f t="shared" si="159"/>
        <v>4.3087971274685888E-2</v>
      </c>
      <c r="Y59" s="54">
        <f t="shared" si="159"/>
        <v>5.8139534883721034E-2</v>
      </c>
      <c r="Z59" s="54">
        <f t="shared" si="159"/>
        <v>0.15834767641996561</v>
      </c>
      <c r="AA59" s="54">
        <f t="shared" si="159"/>
        <v>0.16890596298338001</v>
      </c>
      <c r="AB59" s="54">
        <f t="shared" si="159"/>
        <v>-5.4340211735636079E-2</v>
      </c>
      <c r="AC59" s="54">
        <f t="shared" si="159"/>
        <v>-1.629418237745528E-2</v>
      </c>
      <c r="AD59" s="54">
        <f t="shared" si="159"/>
        <v>2.375494106178877E-2</v>
      </c>
      <c r="AE59" s="54">
        <f t="shared" si="159"/>
        <v>0.12112983566113034</v>
      </c>
      <c r="AF59" s="54">
        <f t="shared" si="159"/>
        <v>-8.1364711706617521E-2</v>
      </c>
      <c r="AG59" s="54">
        <f t="shared" si="159"/>
        <v>1.1315428859299148E-2</v>
      </c>
      <c r="AH59" s="54">
        <f t="shared" si="159"/>
        <v>0.38304922632218052</v>
      </c>
      <c r="AI59" s="54">
        <f t="shared" si="159"/>
        <v>7.5911764290538919E-2</v>
      </c>
      <c r="AJ59" s="54">
        <f t="shared" si="159"/>
        <v>1.7497578593732133E-2</v>
      </c>
      <c r="AK59" s="345">
        <f t="shared" ref="AK59:AL59" si="160">AK58/AI58-1</f>
        <v>0.17978691330093799</v>
      </c>
      <c r="AL59" s="345">
        <f t="shared" si="160"/>
        <v>0.17392659264021981</v>
      </c>
    </row>
    <row r="60" spans="1:39">
      <c r="B60" s="46" t="s">
        <v>201</v>
      </c>
      <c r="C60" s="145">
        <f t="shared" ref="C60:K60" si="161">C58/C23</f>
        <v>3.986018686563151E-2</v>
      </c>
      <c r="D60" s="145">
        <f t="shared" si="161"/>
        <v>3.867107857882951E-2</v>
      </c>
      <c r="E60" s="145">
        <f t="shared" si="161"/>
        <v>3.8297183554548399E-2</v>
      </c>
      <c r="F60" s="145">
        <f t="shared" si="161"/>
        <v>3.9705392052859695E-2</v>
      </c>
      <c r="G60" s="145">
        <f t="shared" si="161"/>
        <v>4.0776607296631927E-2</v>
      </c>
      <c r="H60" s="145">
        <f t="shared" si="161"/>
        <v>3.9972502728036687E-2</v>
      </c>
      <c r="I60" s="145">
        <f t="shared" si="161"/>
        <v>3.8635982092555761E-2</v>
      </c>
      <c r="J60" s="145">
        <f t="shared" si="161"/>
        <v>4.2474206803096402E-2</v>
      </c>
      <c r="K60" s="145">
        <f t="shared" si="161"/>
        <v>4.34092424402273E-2</v>
      </c>
      <c r="L60" s="172">
        <f t="shared" ref="L60:P60" si="162">L58/L23</f>
        <v>4.9013139933090338E-2</v>
      </c>
      <c r="M60" s="172">
        <f t="shared" si="162"/>
        <v>5.0891084544710134E-2</v>
      </c>
      <c r="N60" s="172">
        <f t="shared" si="162"/>
        <v>5.1740080298096222E-2</v>
      </c>
      <c r="O60" s="172">
        <f t="shared" si="162"/>
        <v>5.1535663260273E-2</v>
      </c>
      <c r="P60" s="172">
        <f t="shared" si="162"/>
        <v>5.1291647458580045E-2</v>
      </c>
      <c r="Q60" s="163"/>
      <c r="R60" s="145"/>
      <c r="S60" s="145"/>
      <c r="T60" s="145"/>
      <c r="U60" s="145">
        <f t="shared" ref="U60:AJ60" si="163">U58/U23</f>
        <v>3.864734299516908E-2</v>
      </c>
      <c r="V60" s="145">
        <f t="shared" si="163"/>
        <v>3.869667917187717E-2</v>
      </c>
      <c r="W60" s="145">
        <f t="shared" si="163"/>
        <v>3.7463438919658969E-2</v>
      </c>
      <c r="X60" s="145">
        <f t="shared" si="163"/>
        <v>3.9201133526752578E-2</v>
      </c>
      <c r="Y60" s="145">
        <f t="shared" si="163"/>
        <v>3.8389682396191165E-2</v>
      </c>
      <c r="Z60" s="145">
        <f t="shared" si="163"/>
        <v>4.103658536585366E-2</v>
      </c>
      <c r="AA60" s="145">
        <f t="shared" si="163"/>
        <v>4.1802891220548678E-2</v>
      </c>
      <c r="AB60" s="145">
        <f t="shared" si="163"/>
        <v>3.9638081558415354E-2</v>
      </c>
      <c r="AC60" s="145">
        <f t="shared" si="163"/>
        <v>4.0656114713463386E-2</v>
      </c>
      <c r="AD60" s="145">
        <f t="shared" si="163"/>
        <v>3.9230935198566103E-2</v>
      </c>
      <c r="AE60" s="145">
        <f t="shared" si="163"/>
        <v>4.3547933937698041E-2</v>
      </c>
      <c r="AF60" s="145">
        <f t="shared" si="163"/>
        <v>3.3458237336345349E-2</v>
      </c>
      <c r="AG60" s="145">
        <f t="shared" si="163"/>
        <v>4.1989859060376833E-2</v>
      </c>
      <c r="AH60" s="145">
        <f t="shared" si="163"/>
        <v>4.2971477860795103E-2</v>
      </c>
      <c r="AI60" s="145">
        <f t="shared" si="163"/>
        <v>4.3313698568852727E-2</v>
      </c>
      <c r="AJ60" s="145">
        <f t="shared" si="163"/>
        <v>4.3511059493775497E-2</v>
      </c>
      <c r="AK60" s="172">
        <f t="shared" ref="AK60:AL60" si="164">AK58/AK23</f>
        <v>4.9018012011026166E-2</v>
      </c>
      <c r="AL60" s="172">
        <f t="shared" si="164"/>
        <v>4.9007946781783822E-2</v>
      </c>
    </row>
    <row r="61" spans="1:39" s="128" customFormat="1">
      <c r="A61" s="5"/>
      <c r="B61" s="46" t="s">
        <v>162</v>
      </c>
      <c r="C61" s="52"/>
      <c r="D61" s="54">
        <f t="shared" ref="D61:K61" si="165">D60-C60</f>
        <v>-1.189108286802E-3</v>
      </c>
      <c r="E61" s="54">
        <f t="shared" si="165"/>
        <v>-3.7389502428111093E-4</v>
      </c>
      <c r="F61" s="54">
        <f t="shared" si="165"/>
        <v>1.4082084983112961E-3</v>
      </c>
      <c r="G61" s="54">
        <f t="shared" si="165"/>
        <v>1.0712152437722319E-3</v>
      </c>
      <c r="H61" s="54">
        <f t="shared" si="165"/>
        <v>-8.0410456859524027E-4</v>
      </c>
      <c r="I61" s="54">
        <f t="shared" si="165"/>
        <v>-1.3365206354809256E-3</v>
      </c>
      <c r="J61" s="54">
        <f t="shared" si="165"/>
        <v>3.8382247105406414E-3</v>
      </c>
      <c r="K61" s="54">
        <f t="shared" si="165"/>
        <v>9.3503563713089738E-4</v>
      </c>
      <c r="L61" s="345">
        <f t="shared" ref="L61:P61" si="166">L60-K60</f>
        <v>5.6038974928630386E-3</v>
      </c>
      <c r="M61" s="345">
        <f t="shared" si="166"/>
        <v>1.8779446116197959E-3</v>
      </c>
      <c r="N61" s="345">
        <f t="shared" si="166"/>
        <v>8.4899575338608785E-4</v>
      </c>
      <c r="O61" s="345">
        <f t="shared" si="166"/>
        <v>-2.0441703782322213E-4</v>
      </c>
      <c r="P61" s="345">
        <f t="shared" si="166"/>
        <v>-2.4401580169295528E-4</v>
      </c>
      <c r="Q61" s="163"/>
      <c r="R61" s="52"/>
      <c r="S61" s="52"/>
      <c r="T61" s="52"/>
      <c r="U61" s="145">
        <f t="shared" ref="U61:AJ61" si="167">U60-S60</f>
        <v>3.864734299516908E-2</v>
      </c>
      <c r="V61" s="145">
        <f t="shared" si="167"/>
        <v>3.869667917187717E-2</v>
      </c>
      <c r="W61" s="145">
        <f t="shared" si="167"/>
        <v>-1.1839040755101116E-3</v>
      </c>
      <c r="X61" s="145">
        <f t="shared" si="167"/>
        <v>5.0445435487540824E-4</v>
      </c>
      <c r="Y61" s="145">
        <f t="shared" si="167"/>
        <v>9.2624347653219585E-4</v>
      </c>
      <c r="Z61" s="145">
        <f t="shared" si="167"/>
        <v>1.8354518391010821E-3</v>
      </c>
      <c r="AA61" s="145">
        <f t="shared" si="167"/>
        <v>3.4132088243575137E-3</v>
      </c>
      <c r="AB61" s="145">
        <f t="shared" si="167"/>
        <v>-1.398503807438306E-3</v>
      </c>
      <c r="AC61" s="145">
        <f t="shared" si="167"/>
        <v>-1.1467765070852926E-3</v>
      </c>
      <c r="AD61" s="145">
        <f t="shared" si="167"/>
        <v>-4.0714635984925168E-4</v>
      </c>
      <c r="AE61" s="145">
        <f t="shared" si="167"/>
        <v>2.8918192242346555E-3</v>
      </c>
      <c r="AF61" s="145">
        <f t="shared" si="167"/>
        <v>-5.7726978622207534E-3</v>
      </c>
      <c r="AG61" s="145">
        <f t="shared" si="167"/>
        <v>-1.5580748773212083E-3</v>
      </c>
      <c r="AH61" s="145">
        <f t="shared" si="167"/>
        <v>9.5132405244497537E-3</v>
      </c>
      <c r="AI61" s="145">
        <f t="shared" si="167"/>
        <v>1.3238395084758936E-3</v>
      </c>
      <c r="AJ61" s="145">
        <f t="shared" si="167"/>
        <v>5.3958163298039458E-4</v>
      </c>
      <c r="AK61" s="172">
        <f t="shared" ref="AK61:AL61" si="168">AK60-AI60</f>
        <v>5.7043134421734393E-3</v>
      </c>
      <c r="AL61" s="172">
        <f t="shared" si="168"/>
        <v>5.4968872880083244E-3</v>
      </c>
    </row>
    <row r="62" spans="1:39" s="128" customFormat="1">
      <c r="A62" s="5"/>
      <c r="B62" s="46"/>
      <c r="C62" s="52"/>
      <c r="D62" s="52"/>
      <c r="E62" s="52"/>
      <c r="F62" s="52"/>
      <c r="G62" s="52"/>
      <c r="H62" s="52"/>
      <c r="I62" s="52"/>
      <c r="J62" s="52"/>
      <c r="K62" s="52"/>
      <c r="L62" s="163"/>
      <c r="M62" s="163"/>
      <c r="N62" s="163"/>
      <c r="O62" s="163"/>
      <c r="P62" s="163"/>
      <c r="Q62" s="163"/>
      <c r="R62" s="52"/>
      <c r="S62" s="52"/>
      <c r="T62" s="52"/>
      <c r="U62" s="52"/>
      <c r="V62" s="52"/>
      <c r="W62" s="52"/>
      <c r="X62" s="52"/>
      <c r="Y62" s="52"/>
      <c r="Z62" s="52"/>
      <c r="AA62" s="52"/>
      <c r="AB62" s="52"/>
      <c r="AC62" s="52"/>
      <c r="AD62" s="52"/>
      <c r="AE62" s="52"/>
      <c r="AF62" s="52"/>
      <c r="AG62" s="52"/>
      <c r="AH62" s="52"/>
      <c r="AI62" s="52"/>
      <c r="AJ62" s="52"/>
      <c r="AK62" s="163"/>
      <c r="AL62" s="163"/>
    </row>
    <row r="63" spans="1:39" s="128" customFormat="1">
      <c r="A63" s="5"/>
      <c r="B63" s="64" t="s">
        <v>39</v>
      </c>
      <c r="C63" s="52"/>
      <c r="D63" s="52"/>
      <c r="E63" s="52"/>
      <c r="F63" s="52"/>
      <c r="G63" s="52"/>
      <c r="H63" s="52"/>
      <c r="I63" s="52"/>
      <c r="J63" s="52"/>
      <c r="K63" s="52"/>
      <c r="L63" s="163"/>
      <c r="M63" s="163"/>
      <c r="N63" s="163"/>
      <c r="O63" s="163"/>
      <c r="P63" s="163"/>
      <c r="Q63" s="163"/>
      <c r="R63" s="52"/>
      <c r="S63" s="52"/>
      <c r="T63" s="52"/>
      <c r="U63" s="52"/>
      <c r="V63" s="52"/>
      <c r="W63" s="52"/>
      <c r="X63" s="52"/>
      <c r="Y63" s="52"/>
      <c r="Z63" s="52"/>
      <c r="AA63" s="52"/>
      <c r="AB63" s="52"/>
      <c r="AC63" s="52"/>
      <c r="AD63" s="52"/>
      <c r="AE63" s="52"/>
      <c r="AF63" s="52"/>
      <c r="AG63" s="52"/>
      <c r="AH63" s="52"/>
      <c r="AI63" s="52"/>
      <c r="AJ63" s="52"/>
      <c r="AK63" s="163"/>
      <c r="AL63" s="163"/>
    </row>
    <row r="64" spans="1:39" s="128" customFormat="1">
      <c r="A64" s="5"/>
      <c r="B64" s="101" t="s">
        <v>156</v>
      </c>
      <c r="C64" s="71"/>
      <c r="D64" s="52"/>
      <c r="E64" s="52"/>
      <c r="F64" s="52"/>
      <c r="G64" s="52"/>
      <c r="H64" s="52"/>
      <c r="I64" s="52"/>
      <c r="J64" s="52"/>
      <c r="K64" s="52"/>
      <c r="L64" s="163"/>
      <c r="M64" s="163"/>
      <c r="N64" s="163"/>
      <c r="O64" s="163"/>
      <c r="P64" s="163"/>
      <c r="Q64" s="163"/>
      <c r="R64" s="71"/>
      <c r="S64" s="71"/>
      <c r="T64" s="52"/>
      <c r="U64" s="71"/>
      <c r="V64" s="52"/>
      <c r="W64" s="71"/>
      <c r="X64" s="52"/>
      <c r="Y64" s="52"/>
      <c r="Z64" s="52"/>
      <c r="AA64" s="52"/>
      <c r="AB64" s="52"/>
      <c r="AC64" s="52"/>
      <c r="AD64" s="52"/>
      <c r="AE64" s="52"/>
      <c r="AF64" s="52"/>
      <c r="AG64" s="52"/>
      <c r="AH64" s="52"/>
      <c r="AI64" s="52"/>
      <c r="AJ64" s="52"/>
      <c r="AK64" s="163"/>
      <c r="AL64" s="163"/>
    </row>
    <row r="65" spans="1:38" s="128" customFormat="1">
      <c r="A65" s="5"/>
      <c r="B65" s="100" t="s">
        <v>158</v>
      </c>
      <c r="C65" s="104"/>
      <c r="D65" s="104">
        <v>8</v>
      </c>
      <c r="E65" s="104">
        <v>12</v>
      </c>
      <c r="F65" s="104">
        <v>3</v>
      </c>
      <c r="G65" s="104">
        <v>10</v>
      </c>
      <c r="H65" s="104">
        <v>1</v>
      </c>
      <c r="I65" s="104">
        <v>11</v>
      </c>
      <c r="J65" s="104">
        <v>10</v>
      </c>
      <c r="K65" s="104">
        <v>4</v>
      </c>
      <c r="L65" s="175">
        <v>10</v>
      </c>
      <c r="M65" s="175">
        <v>12</v>
      </c>
      <c r="N65" s="175">
        <v>12</v>
      </c>
      <c r="O65" s="175">
        <v>12</v>
      </c>
      <c r="P65" s="175">
        <v>12</v>
      </c>
      <c r="Q65" s="163"/>
      <c r="R65" s="104"/>
      <c r="S65" s="104"/>
      <c r="T65" s="105"/>
      <c r="U65" s="104"/>
      <c r="V65" s="105"/>
      <c r="W65" s="104">
        <v>7</v>
      </c>
      <c r="X65" s="105">
        <f>E65-W65</f>
        <v>5</v>
      </c>
      <c r="Y65" s="104">
        <v>2</v>
      </c>
      <c r="Z65" s="105">
        <f>F65-Y65</f>
        <v>1</v>
      </c>
      <c r="AA65" s="104">
        <v>9</v>
      </c>
      <c r="AB65" s="105">
        <f>G65-AA65</f>
        <v>1</v>
      </c>
      <c r="AC65" s="104">
        <v>1</v>
      </c>
      <c r="AD65" s="105">
        <f>H65-AC65</f>
        <v>0</v>
      </c>
      <c r="AE65" s="104">
        <v>7</v>
      </c>
      <c r="AF65" s="105">
        <f>I65-AE65</f>
        <v>4</v>
      </c>
      <c r="AG65" s="104">
        <v>4</v>
      </c>
      <c r="AH65" s="105">
        <f>J65-AG65</f>
        <v>6</v>
      </c>
      <c r="AI65" s="104">
        <v>2</v>
      </c>
      <c r="AJ65" s="105">
        <f>K65-AI65</f>
        <v>2</v>
      </c>
      <c r="AK65" s="175">
        <v>4</v>
      </c>
      <c r="AL65" s="163">
        <f>L65-AK65</f>
        <v>6</v>
      </c>
    </row>
    <row r="66" spans="1:38" s="128" customFormat="1">
      <c r="A66" s="5"/>
      <c r="B66" s="100" t="s">
        <v>157</v>
      </c>
      <c r="C66" s="106"/>
      <c r="D66" s="106">
        <v>809</v>
      </c>
      <c r="E66" s="106">
        <v>821</v>
      </c>
      <c r="F66" s="106">
        <v>824</v>
      </c>
      <c r="G66" s="106">
        <v>834</v>
      </c>
      <c r="H66" s="106">
        <v>835</v>
      </c>
      <c r="I66" s="106">
        <v>846</v>
      </c>
      <c r="J66" s="106">
        <v>856</v>
      </c>
      <c r="K66" s="106">
        <v>860</v>
      </c>
      <c r="L66" s="176">
        <f>L65+K66</f>
        <v>870</v>
      </c>
      <c r="M66" s="176">
        <f t="shared" ref="M66:P66" si="169">M65+L66</f>
        <v>882</v>
      </c>
      <c r="N66" s="176">
        <f t="shared" si="169"/>
        <v>894</v>
      </c>
      <c r="O66" s="176">
        <f t="shared" si="169"/>
        <v>906</v>
      </c>
      <c r="P66" s="176">
        <f t="shared" si="169"/>
        <v>918</v>
      </c>
      <c r="Q66" s="163"/>
      <c r="R66" s="106"/>
      <c r="S66" s="106"/>
      <c r="T66" s="107"/>
      <c r="U66" s="106"/>
      <c r="V66" s="107"/>
      <c r="W66" s="106">
        <v>816</v>
      </c>
      <c r="X66" s="107">
        <f>W66+X65</f>
        <v>821</v>
      </c>
      <c r="Y66" s="106">
        <v>823</v>
      </c>
      <c r="Z66" s="107">
        <f>Y66+Z65</f>
        <v>824</v>
      </c>
      <c r="AA66" s="106">
        <v>833</v>
      </c>
      <c r="AB66" s="107">
        <f>AA66+AB65</f>
        <v>834</v>
      </c>
      <c r="AC66" s="106">
        <v>835</v>
      </c>
      <c r="AD66" s="107">
        <f>AC66+AD65</f>
        <v>835</v>
      </c>
      <c r="AE66" s="106">
        <v>842</v>
      </c>
      <c r="AF66" s="107">
        <f>AE66+AF65</f>
        <v>846</v>
      </c>
      <c r="AG66" s="106">
        <v>850</v>
      </c>
      <c r="AH66" s="107">
        <f>AG66+AH65</f>
        <v>856</v>
      </c>
      <c r="AI66" s="106">
        <v>858</v>
      </c>
      <c r="AJ66" s="107">
        <f>AI66+AJ65</f>
        <v>860</v>
      </c>
      <c r="AK66" s="176">
        <f>AJ66+AK65</f>
        <v>864</v>
      </c>
      <c r="AL66" s="176">
        <f>AK66+AL65</f>
        <v>870</v>
      </c>
    </row>
    <row r="67" spans="1:38" s="128" customFormat="1">
      <c r="A67" s="5"/>
      <c r="B67" s="100"/>
      <c r="C67" s="71"/>
      <c r="D67" s="52"/>
      <c r="E67" s="52"/>
      <c r="F67" s="52"/>
      <c r="G67" s="52"/>
      <c r="H67" s="52"/>
      <c r="I67" s="52"/>
      <c r="J67" s="52"/>
      <c r="K67" s="52"/>
      <c r="L67" s="163"/>
      <c r="M67" s="163"/>
      <c r="N67" s="163"/>
      <c r="O67" s="163"/>
      <c r="P67" s="163"/>
      <c r="Q67" s="163"/>
      <c r="R67" s="71"/>
      <c r="S67" s="52"/>
      <c r="T67" s="52"/>
      <c r="U67" s="71"/>
      <c r="V67" s="52"/>
      <c r="W67" s="52"/>
      <c r="X67" s="52"/>
      <c r="Y67" s="52"/>
      <c r="Z67" s="52"/>
      <c r="AA67" s="52"/>
      <c r="AB67" s="52"/>
      <c r="AC67" s="52"/>
      <c r="AD67" s="52"/>
      <c r="AE67" s="52"/>
      <c r="AF67" s="52"/>
      <c r="AG67" s="52"/>
      <c r="AH67" s="52"/>
      <c r="AI67" s="52"/>
      <c r="AJ67" s="52"/>
      <c r="AK67" s="163"/>
      <c r="AL67" s="163"/>
    </row>
    <row r="68" spans="1:38" s="128" customFormat="1">
      <c r="A68" s="5"/>
      <c r="B68" s="35" t="s">
        <v>361</v>
      </c>
      <c r="C68" s="60"/>
      <c r="D68" s="224"/>
      <c r="E68" s="61">
        <f>E23/E71*1000</f>
        <v>1849.257662835249</v>
      </c>
      <c r="F68" s="224">
        <v>1915.798</v>
      </c>
      <c r="G68" s="224">
        <v>1939.9069999999999</v>
      </c>
      <c r="H68" s="61">
        <f>H23/H71*1000</f>
        <v>1901.4772914492833</v>
      </c>
      <c r="I68" s="61">
        <f>I23/I71*1000</f>
        <v>1913.7544919535442</v>
      </c>
      <c r="J68" s="61">
        <f>J23/J71*1000</f>
        <v>2035.6640075082121</v>
      </c>
      <c r="K68" s="61">
        <f>K23/K71*1000</f>
        <v>2022.2008698290686</v>
      </c>
      <c r="L68" s="314"/>
      <c r="M68" s="314"/>
      <c r="N68" s="314"/>
      <c r="O68" s="314"/>
      <c r="P68" s="314"/>
      <c r="Q68" s="314"/>
      <c r="R68" s="60"/>
      <c r="S68" s="60"/>
      <c r="T68" s="61"/>
      <c r="U68" s="61">
        <f>U23/U71*1000</f>
        <v>942.68018701803396</v>
      </c>
      <c r="V68" s="61">
        <f>AVERAGE(U68,D68)</f>
        <v>942.68018701803396</v>
      </c>
      <c r="W68" s="61">
        <f>W23/W71*1000</f>
        <v>971.93491804270252</v>
      </c>
      <c r="X68" s="61">
        <f>AVERAGE(W68,E68)</f>
        <v>1410.5962904389758</v>
      </c>
      <c r="Y68" s="224">
        <v>1907.692</v>
      </c>
      <c r="Z68" s="61">
        <f>AVERAGE(Y68,F68)</f>
        <v>1911.7449999999999</v>
      </c>
      <c r="AA68" s="224">
        <v>1926.42</v>
      </c>
      <c r="AB68" s="61">
        <f>AVERAGE(AA68,G68)</f>
        <v>1933.1635000000001</v>
      </c>
      <c r="AC68" s="224">
        <v>1952</v>
      </c>
      <c r="AD68" s="61">
        <f>AVERAGE(AC68,H68)</f>
        <v>1926.7386457246416</v>
      </c>
      <c r="AE68" s="61">
        <f>AE23/AE71*1000</f>
        <v>1011.0449841831537</v>
      </c>
      <c r="AF68" s="61">
        <f>AVERAGE(AE68,I68)</f>
        <v>1462.3997380683491</v>
      </c>
      <c r="AG68" s="61">
        <f>AG23/AG71*1000</f>
        <v>1008.1557753083903</v>
      </c>
      <c r="AH68" s="61">
        <f>AVERAGE(AG68,J68)</f>
        <v>1521.9098914083011</v>
      </c>
      <c r="AI68" s="61">
        <f>AI23/AI71*1000</f>
        <v>1061.4901718637439</v>
      </c>
      <c r="AJ68" s="61">
        <f>AVERAGE(AI68,K68)</f>
        <v>1541.8455208464061</v>
      </c>
      <c r="AK68" s="314"/>
      <c r="AL68" s="314"/>
    </row>
    <row r="69" spans="1:38" s="128" customFormat="1">
      <c r="A69" s="5"/>
      <c r="B69" s="46" t="s">
        <v>159</v>
      </c>
      <c r="C69" s="52"/>
      <c r="D69" s="54"/>
      <c r="E69" s="54"/>
      <c r="F69" s="54">
        <f t="shared" ref="F69:K69" si="170">F68/E68-1</f>
        <v>3.5982188151505445E-2</v>
      </c>
      <c r="G69" s="54">
        <f t="shared" si="170"/>
        <v>1.2584312124764629E-2</v>
      </c>
      <c r="H69" s="54">
        <f t="shared" si="170"/>
        <v>-1.9810077777293822E-2</v>
      </c>
      <c r="I69" s="54">
        <f t="shared" si="170"/>
        <v>6.4566642785954809E-3</v>
      </c>
      <c r="J69" s="54">
        <f t="shared" si="170"/>
        <v>6.3701752793914324E-2</v>
      </c>
      <c r="K69" s="343">
        <f t="shared" si="170"/>
        <v>-6.6136344846138284E-3</v>
      </c>
      <c r="L69" s="314"/>
      <c r="M69" s="314"/>
      <c r="N69" s="314"/>
      <c r="O69" s="314"/>
      <c r="P69" s="314"/>
      <c r="Q69" s="314"/>
      <c r="R69" s="52"/>
      <c r="S69" s="52"/>
      <c r="T69" s="52"/>
      <c r="U69" s="54"/>
      <c r="V69" s="54"/>
      <c r="W69" s="54">
        <f t="shared" ref="W69:AJ69" si="171">W68/U68-1</f>
        <v>3.103356941998503E-2</v>
      </c>
      <c r="X69" s="54">
        <f t="shared" si="171"/>
        <v>0.4963678136708205</v>
      </c>
      <c r="Y69" s="54">
        <f t="shared" si="171"/>
        <v>0.9627775117306614</v>
      </c>
      <c r="Z69" s="54">
        <f t="shared" si="171"/>
        <v>0.3552743708159527</v>
      </c>
      <c r="AA69" s="54">
        <f t="shared" si="171"/>
        <v>9.8170983575964765E-3</v>
      </c>
      <c r="AB69" s="54">
        <f t="shared" si="171"/>
        <v>1.1203638560582263E-2</v>
      </c>
      <c r="AC69" s="54">
        <f t="shared" si="171"/>
        <v>1.3278516626696213E-2</v>
      </c>
      <c r="AD69" s="54">
        <f t="shared" si="171"/>
        <v>-3.3234924388746423E-3</v>
      </c>
      <c r="AE69" s="54">
        <f t="shared" si="171"/>
        <v>-0.48204662695535161</v>
      </c>
      <c r="AF69" s="54">
        <f t="shared" si="171"/>
        <v>-0.24099734994501854</v>
      </c>
      <c r="AG69" s="54">
        <f t="shared" si="171"/>
        <v>-2.857646217490184E-3</v>
      </c>
      <c r="AH69" s="54">
        <f t="shared" si="171"/>
        <v>4.0693492887627025E-2</v>
      </c>
      <c r="AI69" s="54">
        <f t="shared" si="171"/>
        <v>5.2902932127764535E-2</v>
      </c>
      <c r="AJ69" s="54">
        <f t="shared" si="171"/>
        <v>1.3099086582358366E-2</v>
      </c>
      <c r="AK69" s="163"/>
      <c r="AL69" s="163"/>
    </row>
    <row r="70" spans="1:38" s="128" customFormat="1">
      <c r="A70" s="5"/>
      <c r="B70" s="29"/>
      <c r="C70" s="52"/>
      <c r="D70" s="52"/>
      <c r="E70" s="52"/>
      <c r="F70" s="52"/>
      <c r="G70" s="52"/>
      <c r="H70" s="52"/>
      <c r="I70" s="52"/>
      <c r="J70" s="52"/>
      <c r="K70" s="52"/>
      <c r="L70" s="314"/>
      <c r="M70" s="314"/>
      <c r="N70" s="314"/>
      <c r="O70" s="314"/>
      <c r="P70" s="314"/>
      <c r="Q70" s="314"/>
      <c r="R70" s="52"/>
      <c r="S70" s="52"/>
      <c r="T70" s="52"/>
      <c r="U70" s="52"/>
      <c r="V70" s="52"/>
      <c r="W70" s="52"/>
      <c r="X70" s="52"/>
      <c r="Y70" s="52"/>
      <c r="Z70" s="52"/>
      <c r="AA70" s="52"/>
      <c r="AB70" s="52"/>
      <c r="AC70" s="52"/>
      <c r="AD70" s="52"/>
      <c r="AE70" s="52"/>
      <c r="AF70" s="52"/>
      <c r="AG70" s="52"/>
      <c r="AH70" s="52"/>
      <c r="AI70" s="52"/>
      <c r="AJ70" s="52"/>
      <c r="AK70" s="163"/>
      <c r="AL70" s="163"/>
    </row>
    <row r="71" spans="1:38" s="128" customFormat="1">
      <c r="A71" s="5" t="s">
        <v>397</v>
      </c>
      <c r="B71" s="62" t="s">
        <v>362</v>
      </c>
      <c r="C71" s="63"/>
      <c r="D71" s="63"/>
      <c r="E71" s="38">
        <v>16704</v>
      </c>
      <c r="F71" s="38">
        <v>17547</v>
      </c>
      <c r="G71" s="38">
        <v>17847</v>
      </c>
      <c r="H71" s="38">
        <v>18209</v>
      </c>
      <c r="I71" s="38">
        <v>19201</v>
      </c>
      <c r="J71" s="38">
        <v>19179</v>
      </c>
      <c r="K71" s="38">
        <v>19774</v>
      </c>
      <c r="L71" s="314"/>
      <c r="M71" s="314"/>
      <c r="N71" s="314"/>
      <c r="O71" s="314"/>
      <c r="P71" s="314"/>
      <c r="Q71" s="314"/>
      <c r="R71" s="63"/>
      <c r="S71" s="63"/>
      <c r="T71" s="63"/>
      <c r="U71" s="224">
        <v>16469</v>
      </c>
      <c r="V71" s="61">
        <f>AVERAGE(U71,E71)</f>
        <v>16586.5</v>
      </c>
      <c r="W71" s="224">
        <v>16533</v>
      </c>
      <c r="X71" s="108">
        <v>16704</v>
      </c>
      <c r="Y71" s="224">
        <v>16800</v>
      </c>
      <c r="Z71" s="108">
        <v>17547</v>
      </c>
      <c r="AA71" s="224">
        <v>18101</v>
      </c>
      <c r="AB71" s="108">
        <v>17847</v>
      </c>
      <c r="AC71" s="224">
        <v>17919</v>
      </c>
      <c r="AD71" s="108">
        <v>18209</v>
      </c>
      <c r="AE71" s="224">
        <v>18651</v>
      </c>
      <c r="AF71" s="108">
        <v>19201</v>
      </c>
      <c r="AG71" s="224">
        <v>19618</v>
      </c>
      <c r="AH71" s="108">
        <v>19816</v>
      </c>
      <c r="AI71" s="108">
        <v>19434</v>
      </c>
      <c r="AJ71" s="108">
        <v>19774</v>
      </c>
      <c r="AK71" s="314"/>
      <c r="AL71" s="314"/>
    </row>
    <row r="72" spans="1:38" s="128" customFormat="1">
      <c r="A72" s="5"/>
      <c r="B72" s="46" t="s">
        <v>159</v>
      </c>
      <c r="C72" s="52"/>
      <c r="D72" s="54"/>
      <c r="E72" s="54"/>
      <c r="F72" s="54">
        <f t="shared" ref="F72:K72" si="172">F71/E71-1</f>
        <v>5.0466954022988508E-2</v>
      </c>
      <c r="G72" s="54">
        <f t="shared" si="172"/>
        <v>1.7096939647803122E-2</v>
      </c>
      <c r="H72" s="54">
        <f t="shared" si="172"/>
        <v>2.0283521039950791E-2</v>
      </c>
      <c r="I72" s="54">
        <f t="shared" si="172"/>
        <v>5.4478554560931425E-2</v>
      </c>
      <c r="J72" s="54">
        <f t="shared" si="172"/>
        <v>-1.145773657622029E-3</v>
      </c>
      <c r="K72" s="343">
        <f t="shared" si="172"/>
        <v>3.1023515303196136E-2</v>
      </c>
      <c r="L72" s="163"/>
      <c r="M72" s="163"/>
      <c r="N72" s="163"/>
      <c r="O72" s="163"/>
      <c r="P72" s="163"/>
      <c r="Q72" s="163"/>
      <c r="R72" s="52"/>
      <c r="S72" s="52"/>
      <c r="T72" s="52"/>
      <c r="U72" s="54"/>
      <c r="V72" s="54"/>
      <c r="W72" s="54">
        <f t="shared" ref="W72:AJ72" si="173">W71/U71-1</f>
        <v>3.8860890157266237E-3</v>
      </c>
      <c r="X72" s="54">
        <f t="shared" si="173"/>
        <v>7.0840743978537457E-3</v>
      </c>
      <c r="Y72" s="54">
        <f t="shared" si="173"/>
        <v>1.6149519143531021E-2</v>
      </c>
      <c r="Z72" s="54">
        <f t="shared" si="173"/>
        <v>5.0466954022988508E-2</v>
      </c>
      <c r="AA72" s="54">
        <f t="shared" si="173"/>
        <v>7.7440476190476115E-2</v>
      </c>
      <c r="AB72" s="54">
        <f t="shared" si="173"/>
        <v>1.7096939647803122E-2</v>
      </c>
      <c r="AC72" s="54">
        <f t="shared" si="173"/>
        <v>-1.005469311087781E-2</v>
      </c>
      <c r="AD72" s="54">
        <f t="shared" si="173"/>
        <v>2.0283521039950791E-2</v>
      </c>
      <c r="AE72" s="54">
        <f t="shared" si="173"/>
        <v>4.0850493889167838E-2</v>
      </c>
      <c r="AF72" s="54">
        <f t="shared" si="173"/>
        <v>5.4478554560931425E-2</v>
      </c>
      <c r="AG72" s="54">
        <f t="shared" si="173"/>
        <v>5.1847085947134275E-2</v>
      </c>
      <c r="AH72" s="54">
        <f t="shared" si="173"/>
        <v>3.2029581792615058E-2</v>
      </c>
      <c r="AI72" s="54">
        <f t="shared" si="173"/>
        <v>-9.3791416046488107E-3</v>
      </c>
      <c r="AJ72" s="54">
        <f t="shared" si="173"/>
        <v>-2.1194993944287921E-3</v>
      </c>
      <c r="AK72" s="163"/>
      <c r="AL72" s="163"/>
    </row>
    <row r="73" spans="1:38" s="128" customFormat="1">
      <c r="A73" s="5"/>
      <c r="B73" s="29"/>
      <c r="C73" s="52"/>
      <c r="D73" s="52"/>
      <c r="E73" s="52"/>
      <c r="F73" s="52"/>
      <c r="G73" s="52"/>
      <c r="H73" s="52"/>
      <c r="I73" s="52"/>
      <c r="J73" s="52"/>
      <c r="K73" s="52"/>
      <c r="L73" s="163"/>
      <c r="M73" s="163"/>
      <c r="N73" s="163"/>
      <c r="O73" s="163"/>
      <c r="P73" s="163"/>
      <c r="Q73" s="163"/>
      <c r="R73" s="52"/>
      <c r="S73" s="52"/>
      <c r="T73" s="52"/>
      <c r="U73" s="52"/>
      <c r="V73" s="52"/>
      <c r="W73" s="52"/>
      <c r="X73" s="52"/>
      <c r="Y73" s="52"/>
      <c r="Z73" s="52"/>
      <c r="AA73" s="52"/>
      <c r="AB73" s="52"/>
      <c r="AC73" s="52"/>
      <c r="AD73" s="52"/>
      <c r="AE73" s="52"/>
      <c r="AF73" s="52"/>
      <c r="AG73" s="52"/>
      <c r="AH73" s="52"/>
      <c r="AI73" s="52"/>
      <c r="AJ73" s="52"/>
      <c r="AK73" s="163"/>
      <c r="AL73" s="163"/>
    </row>
    <row r="74" spans="1:38" s="128" customFormat="1">
      <c r="A74" s="5"/>
      <c r="B74" s="35" t="s">
        <v>43</v>
      </c>
      <c r="C74" s="51"/>
      <c r="D74" s="51"/>
      <c r="E74" s="51">
        <f t="shared" ref="E74:K74" si="174">(E68*1000)/E66</f>
        <v>2252.4453871318501</v>
      </c>
      <c r="F74" s="51">
        <f t="shared" si="174"/>
        <v>2324.9975728155341</v>
      </c>
      <c r="G74" s="51">
        <f t="shared" si="174"/>
        <v>2326.0275779376498</v>
      </c>
      <c r="H74" s="51">
        <f t="shared" si="174"/>
        <v>2277.2183131129141</v>
      </c>
      <c r="I74" s="51">
        <f t="shared" si="174"/>
        <v>2262.1211488812578</v>
      </c>
      <c r="J74" s="51">
        <f t="shared" si="174"/>
        <v>2378.1121583039858</v>
      </c>
      <c r="K74" s="51">
        <f t="shared" si="174"/>
        <v>2351.3963602663589</v>
      </c>
      <c r="L74" s="163"/>
      <c r="M74" s="163"/>
      <c r="N74" s="163"/>
      <c r="O74" s="163"/>
      <c r="P74" s="163"/>
      <c r="Q74" s="163"/>
      <c r="R74" s="51"/>
      <c r="S74" s="51"/>
      <c r="T74" s="51"/>
      <c r="U74" s="51"/>
      <c r="V74" s="51"/>
      <c r="W74" s="51">
        <f t="shared" ref="W74:AJ74" si="175">(W68*1000)/W66</f>
        <v>1191.0967132876256</v>
      </c>
      <c r="X74" s="51">
        <f t="shared" si="175"/>
        <v>1718.1440809244527</v>
      </c>
      <c r="Y74" s="51">
        <f t="shared" si="175"/>
        <v>2317.973268529769</v>
      </c>
      <c r="Z74" s="51">
        <f t="shared" si="175"/>
        <v>2320.0788834951454</v>
      </c>
      <c r="AA74" s="51">
        <f t="shared" si="175"/>
        <v>2312.6290516206482</v>
      </c>
      <c r="AB74" s="51">
        <f t="shared" si="175"/>
        <v>2317.9418465227818</v>
      </c>
      <c r="AC74" s="51">
        <f t="shared" si="175"/>
        <v>2337.7245508982037</v>
      </c>
      <c r="AD74" s="51">
        <f t="shared" si="175"/>
        <v>2307.4714320055587</v>
      </c>
      <c r="AE74" s="51">
        <f t="shared" si="175"/>
        <v>1200.7660144693036</v>
      </c>
      <c r="AF74" s="51">
        <f t="shared" si="175"/>
        <v>1728.6048913337459</v>
      </c>
      <c r="AG74" s="51">
        <f t="shared" si="175"/>
        <v>1186.0656180098708</v>
      </c>
      <c r="AH74" s="51">
        <f t="shared" si="175"/>
        <v>1777.9321161311927</v>
      </c>
      <c r="AI74" s="51">
        <f t="shared" si="175"/>
        <v>1237.1680324752258</v>
      </c>
      <c r="AJ74" s="51">
        <f t="shared" si="175"/>
        <v>1792.8436288911698</v>
      </c>
      <c r="AK74" s="163"/>
      <c r="AL74" s="163"/>
    </row>
    <row r="75" spans="1:38" s="128" customFormat="1">
      <c r="A75" s="5"/>
      <c r="B75" s="46" t="s">
        <v>159</v>
      </c>
      <c r="C75" s="52"/>
      <c r="D75" s="54"/>
      <c r="E75" s="54"/>
      <c r="F75" s="54">
        <f t="shared" ref="F75:K75" si="176">F74/E74-1</f>
        <v>3.2210408340274332E-2</v>
      </c>
      <c r="G75" s="54">
        <f t="shared" si="176"/>
        <v>4.4301341823271834E-4</v>
      </c>
      <c r="H75" s="54">
        <f t="shared" si="176"/>
        <v>-2.0983957923668251E-2</v>
      </c>
      <c r="I75" s="54">
        <f t="shared" si="176"/>
        <v>-6.6296516872019762E-3</v>
      </c>
      <c r="J75" s="54">
        <f t="shared" si="176"/>
        <v>5.1275330448190992E-2</v>
      </c>
      <c r="K75" s="343">
        <f t="shared" si="176"/>
        <v>-1.1234036184685214E-2</v>
      </c>
      <c r="L75" s="163"/>
      <c r="M75" s="163"/>
      <c r="N75" s="163"/>
      <c r="O75" s="163"/>
      <c r="P75" s="163"/>
      <c r="Q75" s="163"/>
      <c r="R75" s="52"/>
      <c r="S75" s="52"/>
      <c r="T75" s="52"/>
      <c r="U75" s="54"/>
      <c r="V75" s="54"/>
      <c r="W75" s="54"/>
      <c r="X75" s="54"/>
      <c r="Y75" s="54">
        <f t="shared" ref="Y75:AJ75" si="177">Y74/W74-1</f>
        <v>0.94608317080464133</v>
      </c>
      <c r="Z75" s="54">
        <f t="shared" si="177"/>
        <v>0.35034011946589483</v>
      </c>
      <c r="AA75" s="54">
        <f t="shared" si="177"/>
        <v>-2.3055558843914081E-3</v>
      </c>
      <c r="AB75" s="54">
        <f t="shared" si="177"/>
        <v>-9.2110530705069582E-4</v>
      </c>
      <c r="AC75" s="54">
        <f t="shared" si="177"/>
        <v>1.0851502215614373E-2</v>
      </c>
      <c r="AD75" s="54">
        <f t="shared" si="177"/>
        <v>-4.5171169988281745E-3</v>
      </c>
      <c r="AE75" s="54">
        <f t="shared" si="177"/>
        <v>-0.48635265262199356</v>
      </c>
      <c r="AF75" s="54">
        <f t="shared" si="177"/>
        <v>-0.25086617872823935</v>
      </c>
      <c r="AG75" s="54">
        <f t="shared" si="177"/>
        <v>-1.2242515429560896E-2</v>
      </c>
      <c r="AH75" s="54">
        <f t="shared" si="177"/>
        <v>2.853585862492114E-2</v>
      </c>
      <c r="AI75" s="54">
        <f t="shared" si="177"/>
        <v>4.3085655371328357E-2</v>
      </c>
      <c r="AJ75" s="54">
        <f t="shared" si="177"/>
        <v>8.3869978075568064E-3</v>
      </c>
      <c r="AK75" s="163"/>
      <c r="AL75" s="163"/>
    </row>
    <row r="76" spans="1:38">
      <c r="B76" s="46"/>
      <c r="C76" s="52"/>
      <c r="D76" s="52"/>
      <c r="E76" s="52"/>
      <c r="F76" s="52"/>
      <c r="G76" s="52"/>
      <c r="H76" s="52"/>
      <c r="I76" s="52"/>
      <c r="J76" s="52"/>
      <c r="K76" s="52"/>
      <c r="L76" s="163"/>
      <c r="M76" s="163"/>
      <c r="N76" s="163"/>
      <c r="O76" s="163"/>
      <c r="P76" s="163"/>
      <c r="Q76" s="163"/>
      <c r="R76" s="52"/>
      <c r="S76" s="52"/>
      <c r="T76" s="52"/>
      <c r="U76" s="52"/>
      <c r="V76" s="52"/>
      <c r="W76" s="52"/>
      <c r="X76" s="52"/>
      <c r="Y76" s="52"/>
      <c r="Z76" s="52"/>
      <c r="AA76" s="52"/>
      <c r="AB76" s="52"/>
      <c r="AC76" s="52"/>
      <c r="AD76" s="52"/>
      <c r="AE76" s="52"/>
      <c r="AF76" s="52"/>
      <c r="AG76" s="52"/>
      <c r="AH76" s="52"/>
      <c r="AI76" s="52"/>
      <c r="AJ76" s="52"/>
      <c r="AK76" s="163"/>
      <c r="AL76" s="163"/>
    </row>
    <row r="77" spans="1:38">
      <c r="B77" s="37" t="s">
        <v>353</v>
      </c>
      <c r="C77" s="52"/>
      <c r="D77" s="52"/>
      <c r="E77" s="52"/>
      <c r="F77" s="52"/>
      <c r="G77" s="52"/>
      <c r="H77" s="52"/>
      <c r="I77" s="52"/>
      <c r="J77" s="52"/>
      <c r="K77" s="52"/>
      <c r="L77" s="163"/>
      <c r="M77" s="163"/>
      <c r="N77" s="163"/>
      <c r="O77" s="163"/>
      <c r="P77" s="163"/>
      <c r="Q77" s="163"/>
      <c r="R77" s="52"/>
      <c r="S77" s="52"/>
      <c r="T77" s="52"/>
      <c r="U77" s="52"/>
      <c r="V77" s="52"/>
      <c r="W77" s="52"/>
      <c r="X77" s="52"/>
      <c r="Y77" s="52"/>
      <c r="Z77" s="52"/>
      <c r="AA77" s="52"/>
      <c r="AB77" s="52"/>
      <c r="AC77" s="52"/>
      <c r="AD77" s="52"/>
      <c r="AE77" s="52"/>
      <c r="AF77" s="52"/>
      <c r="AG77" s="52"/>
      <c r="AH77" s="52"/>
      <c r="AI77" s="52"/>
      <c r="AJ77" s="52"/>
      <c r="AK77" s="163"/>
      <c r="AL77" s="163"/>
    </row>
    <row r="78" spans="1:38">
      <c r="B78" s="46" t="s">
        <v>354</v>
      </c>
      <c r="C78" s="52"/>
      <c r="D78" s="52"/>
      <c r="E78" s="52"/>
      <c r="F78" s="71">
        <v>256</v>
      </c>
      <c r="G78" s="71">
        <v>255</v>
      </c>
      <c r="H78" s="71">
        <v>261</v>
      </c>
      <c r="I78" s="71">
        <v>260</v>
      </c>
      <c r="J78" s="71">
        <v>263</v>
      </c>
      <c r="K78" s="71">
        <v>266</v>
      </c>
      <c r="L78" s="163"/>
      <c r="M78" s="163"/>
      <c r="N78" s="163"/>
      <c r="O78" s="163"/>
      <c r="P78" s="163"/>
      <c r="Q78" s="163"/>
      <c r="R78" s="52"/>
      <c r="S78" s="52"/>
      <c r="T78" s="52"/>
      <c r="U78" s="52"/>
      <c r="V78" s="52"/>
      <c r="W78" s="52"/>
      <c r="X78" s="52"/>
      <c r="Y78" s="52"/>
      <c r="Z78" s="52"/>
      <c r="AA78" s="52"/>
      <c r="AB78" s="52"/>
      <c r="AC78" s="52"/>
      <c r="AD78" s="52"/>
      <c r="AE78" s="52"/>
      <c r="AF78" s="52"/>
      <c r="AG78" s="52"/>
      <c r="AH78" s="52"/>
      <c r="AI78" s="52"/>
      <c r="AJ78" s="52"/>
      <c r="AK78" s="163"/>
      <c r="AL78" s="163"/>
    </row>
    <row r="79" spans="1:38">
      <c r="B79" s="46" t="s">
        <v>355</v>
      </c>
      <c r="C79" s="52"/>
      <c r="D79" s="52"/>
      <c r="E79" s="52"/>
      <c r="F79" s="71">
        <v>176</v>
      </c>
      <c r="G79" s="71">
        <v>180</v>
      </c>
      <c r="H79" s="71">
        <v>182</v>
      </c>
      <c r="I79" s="71">
        <v>182</v>
      </c>
      <c r="J79" s="71">
        <v>183</v>
      </c>
      <c r="K79" s="71">
        <v>185</v>
      </c>
      <c r="L79" s="163"/>
      <c r="M79" s="163"/>
      <c r="N79" s="163"/>
      <c r="O79" s="163"/>
      <c r="P79" s="163"/>
      <c r="Q79" s="163"/>
      <c r="R79" s="52"/>
      <c r="S79" s="52"/>
      <c r="T79" s="52"/>
      <c r="U79" s="52"/>
      <c r="V79" s="52"/>
      <c r="W79" s="52"/>
      <c r="X79" s="52"/>
      <c r="Y79" s="52"/>
      <c r="Z79" s="52"/>
      <c r="AA79" s="52"/>
      <c r="AB79" s="52"/>
      <c r="AC79" s="52"/>
      <c r="AD79" s="52"/>
      <c r="AE79" s="52"/>
      <c r="AF79" s="52"/>
      <c r="AG79" s="52"/>
      <c r="AH79" s="52"/>
      <c r="AI79" s="52"/>
      <c r="AJ79" s="52"/>
      <c r="AK79" s="163"/>
      <c r="AL79" s="163"/>
    </row>
    <row r="80" spans="1:38">
      <c r="B80" s="46" t="s">
        <v>356</v>
      </c>
      <c r="C80" s="52"/>
      <c r="D80" s="52"/>
      <c r="E80" s="52"/>
      <c r="F80" s="71">
        <v>229</v>
      </c>
      <c r="G80" s="71">
        <v>231</v>
      </c>
      <c r="H80" s="71">
        <v>234</v>
      </c>
      <c r="I80" s="71">
        <v>236</v>
      </c>
      <c r="J80" s="71">
        <v>239</v>
      </c>
      <c r="K80" s="71">
        <v>243</v>
      </c>
      <c r="L80" s="163"/>
      <c r="M80" s="163"/>
      <c r="N80" s="163"/>
      <c r="O80" s="163"/>
      <c r="P80" s="163"/>
      <c r="Q80" s="163"/>
      <c r="R80" s="52"/>
      <c r="S80" s="52"/>
      <c r="T80" s="52"/>
      <c r="U80" s="52"/>
      <c r="V80" s="52"/>
      <c r="W80" s="52"/>
      <c r="X80" s="52"/>
      <c r="Y80" s="52"/>
      <c r="Z80" s="52"/>
      <c r="AA80" s="52"/>
      <c r="AB80" s="52"/>
      <c r="AC80" s="52"/>
      <c r="AD80" s="52"/>
      <c r="AE80" s="52"/>
      <c r="AF80" s="52"/>
      <c r="AG80" s="52"/>
      <c r="AH80" s="52"/>
      <c r="AI80" s="52"/>
      <c r="AJ80" s="52"/>
      <c r="AK80" s="163"/>
      <c r="AL80" s="163"/>
    </row>
    <row r="81" spans="1:38">
      <c r="B81" s="46" t="s">
        <v>357</v>
      </c>
      <c r="C81" s="52"/>
      <c r="D81" s="52"/>
      <c r="E81" s="52"/>
      <c r="F81" s="71">
        <v>63</v>
      </c>
      <c r="G81" s="71">
        <v>62</v>
      </c>
      <c r="H81" s="71">
        <v>61</v>
      </c>
      <c r="I81" s="71">
        <v>60</v>
      </c>
      <c r="J81" s="71">
        <v>61</v>
      </c>
      <c r="K81" s="71">
        <v>61</v>
      </c>
      <c r="L81" s="163"/>
      <c r="M81" s="163"/>
      <c r="N81" s="163"/>
      <c r="O81" s="163"/>
      <c r="P81" s="163"/>
      <c r="Q81" s="163"/>
      <c r="R81" s="52"/>
      <c r="S81" s="52"/>
      <c r="T81" s="52"/>
      <c r="U81" s="52"/>
      <c r="V81" s="52"/>
      <c r="W81" s="52"/>
      <c r="X81" s="52"/>
      <c r="Y81" s="52"/>
      <c r="Z81" s="52"/>
      <c r="AA81" s="52"/>
      <c r="AB81" s="52"/>
      <c r="AC81" s="52"/>
      <c r="AD81" s="52"/>
      <c r="AE81" s="52"/>
      <c r="AF81" s="52"/>
      <c r="AG81" s="52"/>
      <c r="AH81" s="52"/>
      <c r="AI81" s="52"/>
      <c r="AJ81" s="52"/>
      <c r="AK81" s="163"/>
      <c r="AL81" s="163"/>
    </row>
    <row r="82" spans="1:38">
      <c r="B82" s="46" t="s">
        <v>358</v>
      </c>
      <c r="C82" s="52"/>
      <c r="D82" s="52"/>
      <c r="E82" s="52"/>
      <c r="F82" s="71">
        <v>97</v>
      </c>
      <c r="G82" s="71">
        <v>96</v>
      </c>
      <c r="H82" s="71">
        <v>96</v>
      </c>
      <c r="I82" s="71">
        <v>97</v>
      </c>
      <c r="J82" s="71">
        <v>100</v>
      </c>
      <c r="K82" s="71">
        <v>101</v>
      </c>
      <c r="L82" s="163"/>
      <c r="M82" s="163"/>
      <c r="N82" s="163"/>
      <c r="O82" s="163"/>
      <c r="P82" s="163"/>
      <c r="Q82" s="163"/>
      <c r="R82" s="52"/>
      <c r="S82" s="52"/>
      <c r="T82" s="52"/>
      <c r="U82" s="52"/>
      <c r="V82" s="52"/>
      <c r="W82" s="52"/>
      <c r="X82" s="52"/>
      <c r="Y82" s="52"/>
      <c r="Z82" s="52"/>
      <c r="AA82" s="52"/>
      <c r="AB82" s="52"/>
      <c r="AC82" s="52"/>
      <c r="AD82" s="52"/>
      <c r="AE82" s="52"/>
      <c r="AF82" s="52"/>
      <c r="AG82" s="52"/>
      <c r="AH82" s="52"/>
      <c r="AI82" s="52"/>
      <c r="AJ82" s="52"/>
      <c r="AK82" s="163"/>
      <c r="AL82" s="163"/>
    </row>
    <row r="83" spans="1:38">
      <c r="B83" s="37" t="s">
        <v>120</v>
      </c>
      <c r="C83" s="52"/>
      <c r="D83" s="52"/>
      <c r="E83" s="52"/>
      <c r="F83" s="45">
        <f>SUM(F78:F82)</f>
        <v>821</v>
      </c>
      <c r="G83" s="45">
        <f t="shared" ref="G83:K83" si="178">SUM(G78:G82)</f>
        <v>824</v>
      </c>
      <c r="H83" s="45">
        <f t="shared" si="178"/>
        <v>834</v>
      </c>
      <c r="I83" s="45">
        <f t="shared" si="178"/>
        <v>835</v>
      </c>
      <c r="J83" s="45">
        <f t="shared" si="178"/>
        <v>846</v>
      </c>
      <c r="K83" s="45">
        <f t="shared" si="178"/>
        <v>856</v>
      </c>
      <c r="L83" s="163"/>
      <c r="M83" s="163"/>
      <c r="N83" s="163"/>
      <c r="O83" s="163"/>
      <c r="P83" s="163"/>
      <c r="Q83" s="163"/>
      <c r="R83" s="52"/>
      <c r="S83" s="52"/>
      <c r="T83" s="52"/>
      <c r="U83" s="52"/>
      <c r="V83" s="52"/>
      <c r="W83" s="52"/>
      <c r="X83" s="52"/>
      <c r="Y83" s="52"/>
      <c r="Z83" s="52"/>
      <c r="AA83" s="52"/>
      <c r="AB83" s="52"/>
      <c r="AC83" s="52"/>
      <c r="AD83" s="52"/>
      <c r="AE83" s="52"/>
      <c r="AF83" s="52"/>
      <c r="AG83" s="52"/>
      <c r="AH83" s="52"/>
      <c r="AI83" s="52"/>
      <c r="AJ83" s="52"/>
      <c r="AK83" s="163"/>
      <c r="AL83" s="163"/>
    </row>
    <row r="84" spans="1:38">
      <c r="B84" s="46"/>
      <c r="C84" s="52"/>
      <c r="D84" s="52"/>
      <c r="E84" s="52"/>
      <c r="F84" s="52"/>
      <c r="G84" s="52"/>
      <c r="H84" s="52"/>
      <c r="I84" s="52"/>
      <c r="J84" s="52"/>
      <c r="K84" s="52"/>
      <c r="L84" s="163"/>
      <c r="M84" s="163"/>
      <c r="N84" s="163"/>
      <c r="O84" s="163"/>
      <c r="P84" s="163"/>
      <c r="Q84" s="163"/>
      <c r="R84" s="52"/>
      <c r="S84" s="52"/>
      <c r="T84" s="52"/>
      <c r="U84" s="52"/>
      <c r="V84" s="52"/>
      <c r="W84" s="52"/>
      <c r="X84" s="52"/>
      <c r="Y84" s="52"/>
      <c r="Z84" s="52"/>
      <c r="AA84" s="52"/>
      <c r="AB84" s="52"/>
      <c r="AC84" s="52"/>
      <c r="AD84" s="52"/>
      <c r="AE84" s="52"/>
      <c r="AF84" s="52"/>
      <c r="AG84" s="52"/>
      <c r="AH84" s="52"/>
      <c r="AI84" s="52"/>
      <c r="AJ84" s="52"/>
      <c r="AK84" s="163"/>
      <c r="AL84" s="163"/>
    </row>
    <row r="85" spans="1:38">
      <c r="B85" s="64" t="s">
        <v>323</v>
      </c>
      <c r="C85" s="52"/>
      <c r="D85" s="52"/>
      <c r="E85" s="52"/>
      <c r="F85" s="52"/>
      <c r="G85" s="52"/>
      <c r="H85" s="52"/>
      <c r="I85" s="52"/>
      <c r="J85" s="52"/>
      <c r="K85" s="52"/>
      <c r="L85" s="163"/>
      <c r="M85" s="163"/>
      <c r="N85" s="163"/>
      <c r="O85" s="163"/>
      <c r="P85" s="163"/>
      <c r="Q85" s="163"/>
      <c r="R85" s="52"/>
      <c r="S85" s="52"/>
      <c r="T85" s="52"/>
      <c r="U85" s="52"/>
      <c r="V85" s="52"/>
      <c r="W85" s="52"/>
      <c r="X85" s="52"/>
      <c r="Y85" s="52"/>
      <c r="Z85" s="52"/>
      <c r="AA85" s="52"/>
      <c r="AB85" s="52"/>
      <c r="AC85" s="52"/>
      <c r="AD85" s="52"/>
      <c r="AE85" s="52"/>
      <c r="AF85" s="52"/>
      <c r="AG85" s="52"/>
      <c r="AH85" s="52"/>
      <c r="AI85" s="52"/>
      <c r="AJ85" s="52"/>
      <c r="AK85" s="163"/>
      <c r="AL85" s="163"/>
    </row>
    <row r="86" spans="1:38">
      <c r="A86" s="5" t="s">
        <v>400</v>
      </c>
      <c r="B86" s="64" t="s">
        <v>123</v>
      </c>
      <c r="C86" s="38"/>
      <c r="D86" s="77">
        <v>855</v>
      </c>
      <c r="E86" s="40">
        <f>E88*E23</f>
        <v>1112.04</v>
      </c>
      <c r="F86" s="65">
        <v>1301</v>
      </c>
      <c r="G86" s="40">
        <v>2000</v>
      </c>
      <c r="H86" s="40">
        <v>2800</v>
      </c>
      <c r="I86" s="40">
        <v>2800</v>
      </c>
      <c r="J86" s="40">
        <v>3700</v>
      </c>
      <c r="K86" s="40">
        <v>4500</v>
      </c>
      <c r="L86" s="167">
        <f>K86*(1+L87)</f>
        <v>5625</v>
      </c>
      <c r="M86" s="167">
        <f t="shared" ref="M86" si="179">L86*(1+M87)</f>
        <v>6187.5000000000009</v>
      </c>
      <c r="N86" s="167">
        <f t="shared" ref="N86" si="180">M86*(1+N87)</f>
        <v>6806.2500000000018</v>
      </c>
      <c r="O86" s="167">
        <f t="shared" ref="O86" si="181">N86*(1+O87)</f>
        <v>7486.8750000000027</v>
      </c>
      <c r="P86" s="167">
        <f t="shared" ref="P86" si="182">O86*(1+P87)</f>
        <v>8235.5625000000036</v>
      </c>
      <c r="Q86" s="163"/>
      <c r="R86" s="38"/>
      <c r="S86" s="66"/>
      <c r="T86" s="66"/>
      <c r="U86" s="220"/>
      <c r="V86" s="65"/>
      <c r="W86" s="65"/>
      <c r="X86" s="221"/>
      <c r="Y86" s="65"/>
      <c r="Z86" s="221">
        <f>F86-Y86</f>
        <v>1301</v>
      </c>
      <c r="AA86" s="65">
        <v>1000</v>
      </c>
      <c r="AB86" s="221">
        <f>G86-AA86</f>
        <v>1000</v>
      </c>
      <c r="AC86" s="65">
        <v>1500</v>
      </c>
      <c r="AD86" s="56">
        <f>H86-AC86</f>
        <v>1300</v>
      </c>
      <c r="AE86" s="40">
        <v>1400</v>
      </c>
      <c r="AF86" s="56">
        <f>I86-AE86</f>
        <v>1400</v>
      </c>
      <c r="AG86" s="40">
        <v>1800</v>
      </c>
      <c r="AH86" s="56">
        <f>J86-AG86</f>
        <v>1900</v>
      </c>
      <c r="AI86" s="40">
        <v>2200</v>
      </c>
      <c r="AJ86" s="56">
        <f>K86-AI86</f>
        <v>2300</v>
      </c>
      <c r="AK86" s="167">
        <f>AI86*(1+AK87)</f>
        <v>2816</v>
      </c>
      <c r="AL86" s="167">
        <f>L86-AK86</f>
        <v>2809</v>
      </c>
    </row>
    <row r="87" spans="1:38">
      <c r="B87" s="46" t="s">
        <v>159</v>
      </c>
      <c r="C87" s="52"/>
      <c r="D87" s="52"/>
      <c r="E87" s="350">
        <v>0.3</v>
      </c>
      <c r="F87" s="54">
        <f t="shared" ref="F87" si="183">F86/E86-1</f>
        <v>0.16992194525376791</v>
      </c>
      <c r="G87" s="54">
        <f t="shared" ref="G87" si="184">G86/F86-1</f>
        <v>0.53727901614142959</v>
      </c>
      <c r="H87" s="54">
        <f t="shared" ref="H87:K87" si="185">H86/G86-1</f>
        <v>0.39999999999999991</v>
      </c>
      <c r="I87" s="54">
        <f t="shared" si="185"/>
        <v>0</v>
      </c>
      <c r="J87" s="54">
        <f t="shared" si="185"/>
        <v>0.3214285714285714</v>
      </c>
      <c r="K87" s="343">
        <f t="shared" si="185"/>
        <v>0.21621621621621623</v>
      </c>
      <c r="L87" s="171">
        <v>0.25</v>
      </c>
      <c r="M87" s="171">
        <v>0.1</v>
      </c>
      <c r="N87" s="171">
        <v>0.1</v>
      </c>
      <c r="O87" s="171">
        <v>0.1</v>
      </c>
      <c r="P87" s="171">
        <v>0.1</v>
      </c>
      <c r="Q87" s="163"/>
      <c r="R87" s="52"/>
      <c r="S87" s="52"/>
      <c r="T87" s="52"/>
      <c r="U87" s="54"/>
      <c r="V87" s="54"/>
      <c r="W87" s="54" t="e">
        <f t="shared" ref="W87:AJ87" si="186">W86/U86-1</f>
        <v>#DIV/0!</v>
      </c>
      <c r="X87" s="54" t="e">
        <f t="shared" si="186"/>
        <v>#DIV/0!</v>
      </c>
      <c r="Y87" s="54" t="e">
        <f t="shared" si="186"/>
        <v>#DIV/0!</v>
      </c>
      <c r="Z87" s="54" t="e">
        <f t="shared" si="186"/>
        <v>#DIV/0!</v>
      </c>
      <c r="AA87" s="54" t="e">
        <f t="shared" si="186"/>
        <v>#DIV/0!</v>
      </c>
      <c r="AB87" s="54">
        <f t="shared" si="186"/>
        <v>-0.23136049192928521</v>
      </c>
      <c r="AC87" s="54">
        <f t="shared" si="186"/>
        <v>0.5</v>
      </c>
      <c r="AD87" s="54">
        <f t="shared" si="186"/>
        <v>0.30000000000000004</v>
      </c>
      <c r="AE87" s="54">
        <f t="shared" si="186"/>
        <v>-6.6666666666666652E-2</v>
      </c>
      <c r="AF87" s="54">
        <f t="shared" si="186"/>
        <v>7.6923076923076872E-2</v>
      </c>
      <c r="AG87" s="54">
        <f t="shared" si="186"/>
        <v>0.28571428571428581</v>
      </c>
      <c r="AH87" s="54">
        <f t="shared" si="186"/>
        <v>0.35714285714285721</v>
      </c>
      <c r="AI87" s="54">
        <f t="shared" si="186"/>
        <v>0.22222222222222232</v>
      </c>
      <c r="AJ87" s="54">
        <f t="shared" si="186"/>
        <v>0.21052631578947367</v>
      </c>
      <c r="AK87" s="171">
        <v>0.28000000000000003</v>
      </c>
      <c r="AL87" s="345">
        <f>AL86/AJ86-1</f>
        <v>0.22130434782608699</v>
      </c>
    </row>
    <row r="88" spans="1:38">
      <c r="B88" s="46" t="s">
        <v>200</v>
      </c>
      <c r="C88" s="52"/>
      <c r="D88" s="52"/>
      <c r="E88" s="350">
        <v>3.5999999999999997E-2</v>
      </c>
      <c r="F88" s="54">
        <f t="shared" ref="F88:P88" si="187">F86/F23</f>
        <v>3.9432606916618679E-2</v>
      </c>
      <c r="G88" s="54">
        <f t="shared" si="187"/>
        <v>5.9052793197118224E-2</v>
      </c>
      <c r="H88" s="54">
        <f t="shared" si="187"/>
        <v>8.0868761552680218E-2</v>
      </c>
      <c r="I88" s="54">
        <f t="shared" si="187"/>
        <v>7.6198769934142485E-2</v>
      </c>
      <c r="J88" s="54">
        <f t="shared" si="187"/>
        <v>9.4769735157010399E-2</v>
      </c>
      <c r="K88" s="54">
        <f t="shared" si="187"/>
        <v>0.11253657438667566</v>
      </c>
      <c r="L88" s="345">
        <f t="shared" si="187"/>
        <v>0.13495174546757061</v>
      </c>
      <c r="M88" s="345">
        <f t="shared" si="187"/>
        <v>0.14221872085944839</v>
      </c>
      <c r="N88" s="345">
        <f t="shared" si="187"/>
        <v>0.14990396429810837</v>
      </c>
      <c r="O88" s="345">
        <f t="shared" si="187"/>
        <v>0.15803215892750991</v>
      </c>
      <c r="P88" s="345">
        <f t="shared" si="187"/>
        <v>0.16662947754624133</v>
      </c>
      <c r="Q88" s="163"/>
      <c r="R88" s="52"/>
      <c r="S88" s="52"/>
      <c r="T88" s="52"/>
      <c r="U88" s="54">
        <f t="shared" ref="U88:AL88" si="188">U86/U23</f>
        <v>0</v>
      </c>
      <c r="V88" s="54">
        <f t="shared" si="188"/>
        <v>0</v>
      </c>
      <c r="W88" s="54">
        <f t="shared" si="188"/>
        <v>0</v>
      </c>
      <c r="X88" s="54">
        <f t="shared" si="188"/>
        <v>0</v>
      </c>
      <c r="Y88" s="54">
        <f t="shared" si="188"/>
        <v>0</v>
      </c>
      <c r="Z88" s="54">
        <f t="shared" si="188"/>
        <v>7.9329268292682928E-2</v>
      </c>
      <c r="AA88" s="54">
        <f t="shared" si="188"/>
        <v>5.6141926790927464E-2</v>
      </c>
      <c r="AB88" s="54">
        <f t="shared" si="188"/>
        <v>6.2282012954658697E-2</v>
      </c>
      <c r="AC88" s="54">
        <f t="shared" si="188"/>
        <v>8.3259325044404975E-2</v>
      </c>
      <c r="AD88" s="54">
        <f t="shared" si="188"/>
        <v>7.8275529865125246E-2</v>
      </c>
      <c r="AE88" s="54">
        <f t="shared" si="188"/>
        <v>7.4242986689293106E-2</v>
      </c>
      <c r="AF88" s="54">
        <f t="shared" si="188"/>
        <v>7.8260383475879033E-2</v>
      </c>
      <c r="AG88" s="54">
        <f t="shared" si="188"/>
        <v>9.1010213368389117E-2</v>
      </c>
      <c r="AH88" s="54">
        <f t="shared" si="188"/>
        <v>9.8629568106312293E-2</v>
      </c>
      <c r="AI88" s="54">
        <f t="shared" si="188"/>
        <v>0.10664598380920064</v>
      </c>
      <c r="AJ88" s="54">
        <f t="shared" si="188"/>
        <v>0.11881392705858043</v>
      </c>
      <c r="AK88" s="345">
        <f t="shared" si="188"/>
        <v>0.13094270979286529</v>
      </c>
      <c r="AL88" s="345">
        <f t="shared" si="188"/>
        <v>0.13922497941953679</v>
      </c>
    </row>
    <row r="89" spans="1:38">
      <c r="B89" s="46" t="s">
        <v>162</v>
      </c>
      <c r="C89" s="52"/>
      <c r="D89" s="52"/>
      <c r="E89" s="54"/>
      <c r="F89" s="54"/>
      <c r="G89" s="54">
        <f t="shared" ref="G89:K89" si="189">G88-F88</f>
        <v>1.9620186280499545E-2</v>
      </c>
      <c r="H89" s="54">
        <f t="shared" si="189"/>
        <v>2.1815968355561995E-2</v>
      </c>
      <c r="I89" s="54">
        <f t="shared" si="189"/>
        <v>-4.6699916185377333E-3</v>
      </c>
      <c r="J89" s="54">
        <f t="shared" si="189"/>
        <v>1.8570965222867913E-2</v>
      </c>
      <c r="K89" s="54">
        <f t="shared" si="189"/>
        <v>1.7766839229665266E-2</v>
      </c>
      <c r="L89" s="345">
        <f t="shared" ref="L89:P89" si="190">L88-K88</f>
        <v>2.2415171080894941E-2</v>
      </c>
      <c r="M89" s="345">
        <f t="shared" si="190"/>
        <v>7.2669753918777891E-3</v>
      </c>
      <c r="N89" s="345">
        <f t="shared" si="190"/>
        <v>7.6852434386599777E-3</v>
      </c>
      <c r="O89" s="345">
        <f t="shared" si="190"/>
        <v>8.1281946294015361E-3</v>
      </c>
      <c r="P89" s="345">
        <f t="shared" si="190"/>
        <v>8.5973186187314199E-3</v>
      </c>
      <c r="Q89" s="163"/>
      <c r="R89" s="52"/>
      <c r="S89" s="52"/>
      <c r="T89" s="52"/>
      <c r="U89" s="52"/>
      <c r="V89" s="52"/>
      <c r="W89" s="54">
        <f t="shared" ref="W89:AJ89" si="191">W88-U88</f>
        <v>0</v>
      </c>
      <c r="X89" s="54">
        <f t="shared" si="191"/>
        <v>0</v>
      </c>
      <c r="Y89" s="54">
        <f t="shared" si="191"/>
        <v>0</v>
      </c>
      <c r="Z89" s="54">
        <f t="shared" si="191"/>
        <v>7.9329268292682928E-2</v>
      </c>
      <c r="AA89" s="54">
        <f t="shared" si="191"/>
        <v>5.6141926790927464E-2</v>
      </c>
      <c r="AB89" s="54">
        <f t="shared" si="191"/>
        <v>-1.7047255338024231E-2</v>
      </c>
      <c r="AC89" s="54">
        <f t="shared" si="191"/>
        <v>2.7117398253477511E-2</v>
      </c>
      <c r="AD89" s="54">
        <f t="shared" si="191"/>
        <v>1.5993516910466549E-2</v>
      </c>
      <c r="AE89" s="54">
        <f t="shared" si="191"/>
        <v>-9.0163383551118692E-3</v>
      </c>
      <c r="AF89" s="54">
        <f t="shared" si="191"/>
        <v>-1.5146389246212255E-5</v>
      </c>
      <c r="AG89" s="54">
        <f t="shared" si="191"/>
        <v>1.6767226679096012E-2</v>
      </c>
      <c r="AH89" s="54">
        <f t="shared" si="191"/>
        <v>2.036918463043326E-2</v>
      </c>
      <c r="AI89" s="54">
        <f t="shared" si="191"/>
        <v>1.5635770440811519E-2</v>
      </c>
      <c r="AJ89" s="54">
        <f t="shared" si="191"/>
        <v>2.0184358952268139E-2</v>
      </c>
      <c r="AK89" s="345">
        <f t="shared" ref="AK89:AL89" si="192">AK88-AI88</f>
        <v>2.4296725983664655E-2</v>
      </c>
      <c r="AL89" s="345">
        <f t="shared" si="192"/>
        <v>2.0411052360956361E-2</v>
      </c>
    </row>
    <row r="90" spans="1:38">
      <c r="B90" s="46" t="s">
        <v>454</v>
      </c>
      <c r="C90" s="52"/>
      <c r="D90" s="52"/>
      <c r="E90" s="54">
        <f>(E86-D86)/D23</f>
        <v>8.5911962298205139E-3</v>
      </c>
      <c r="F90" s="54">
        <f t="shared" ref="F90:P90" si="193">(F86-E86)/E23</f>
        <v>6.1171900291356442E-3</v>
      </c>
      <c r="G90" s="54">
        <f t="shared" si="193"/>
        <v>2.1186312248052619E-2</v>
      </c>
      <c r="H90" s="54">
        <f t="shared" si="193"/>
        <v>2.362111727884729E-2</v>
      </c>
      <c r="I90" s="54">
        <f t="shared" si="193"/>
        <v>0</v>
      </c>
      <c r="J90" s="54">
        <f t="shared" si="193"/>
        <v>2.4492461764545802E-2</v>
      </c>
      <c r="K90" s="54">
        <f t="shared" si="193"/>
        <v>2.0490753547461708E-2</v>
      </c>
      <c r="L90" s="353">
        <f t="shared" si="193"/>
        <v>2.8134143596668916E-2</v>
      </c>
      <c r="M90" s="353">
        <f t="shared" si="193"/>
        <v>1.3495174546757083E-2</v>
      </c>
      <c r="N90" s="353">
        <f t="shared" si="193"/>
        <v>1.4221872085944859E-2</v>
      </c>
      <c r="O90" s="353">
        <f t="shared" si="193"/>
        <v>1.4990396429810853E-2</v>
      </c>
      <c r="P90" s="353">
        <f t="shared" si="193"/>
        <v>1.5803215892751004E-2</v>
      </c>
      <c r="Q90" s="163"/>
      <c r="R90" s="52"/>
      <c r="S90" s="52"/>
      <c r="T90" s="52"/>
      <c r="U90" s="52"/>
      <c r="V90" s="52"/>
      <c r="W90" s="54"/>
      <c r="X90" s="54"/>
      <c r="Y90" s="54"/>
      <c r="Z90" s="54"/>
      <c r="AA90" s="54"/>
      <c r="AB90" s="54"/>
      <c r="AC90" s="54"/>
      <c r="AD90" s="54"/>
      <c r="AE90" s="54"/>
      <c r="AF90" s="54"/>
      <c r="AG90" s="54"/>
      <c r="AH90" s="54"/>
      <c r="AI90" s="54"/>
      <c r="AJ90" s="54"/>
      <c r="AK90" s="345"/>
      <c r="AL90" s="345"/>
    </row>
    <row r="91" spans="1:38">
      <c r="B91" s="46"/>
      <c r="C91" s="52"/>
      <c r="D91" s="52"/>
      <c r="E91" s="52"/>
      <c r="F91" s="52"/>
      <c r="G91" s="52"/>
      <c r="H91" s="52"/>
      <c r="I91" s="52"/>
      <c r="J91" s="52"/>
      <c r="K91" s="52"/>
      <c r="L91" s="163"/>
      <c r="M91" s="163"/>
      <c r="N91" s="163"/>
      <c r="O91" s="163"/>
      <c r="P91" s="163"/>
      <c r="Q91" s="163"/>
      <c r="R91" s="52"/>
      <c r="S91" s="52"/>
      <c r="T91" s="52"/>
      <c r="U91" s="52"/>
      <c r="V91" s="52"/>
      <c r="W91" s="52"/>
      <c r="X91" s="52"/>
      <c r="Y91" s="52"/>
      <c r="Z91" s="52"/>
      <c r="AA91" s="52"/>
      <c r="AB91" s="52"/>
      <c r="AC91" s="52"/>
      <c r="AD91" s="52"/>
      <c r="AE91" s="52"/>
      <c r="AF91" s="52"/>
      <c r="AG91" s="52"/>
      <c r="AH91" s="52"/>
      <c r="AI91" s="52"/>
      <c r="AJ91" s="52"/>
      <c r="AK91" s="163"/>
      <c r="AL91" s="163"/>
    </row>
    <row r="92" spans="1:38">
      <c r="B92" s="3" t="s">
        <v>310</v>
      </c>
      <c r="C92" s="11"/>
      <c r="D92" s="11"/>
      <c r="E92" s="11"/>
      <c r="F92" s="11"/>
      <c r="G92" s="11"/>
      <c r="H92" s="11"/>
      <c r="I92" s="11"/>
      <c r="J92" s="11"/>
      <c r="K92" s="11"/>
      <c r="L92" s="7"/>
      <c r="M92" s="7"/>
      <c r="N92" s="7"/>
      <c r="O92" s="7"/>
      <c r="P92" s="7"/>
      <c r="Q92" s="7"/>
      <c r="R92" s="11"/>
      <c r="S92" s="11"/>
      <c r="T92" s="11"/>
      <c r="U92" s="11"/>
      <c r="V92" s="11"/>
      <c r="W92" s="11"/>
      <c r="X92" s="11"/>
      <c r="Y92" s="11"/>
      <c r="Z92" s="11"/>
      <c r="AA92" s="11"/>
      <c r="AB92" s="11"/>
      <c r="AC92" s="11"/>
      <c r="AD92" s="11"/>
      <c r="AE92" s="11"/>
      <c r="AF92" s="11"/>
      <c r="AG92" s="11"/>
      <c r="AH92" s="11"/>
      <c r="AI92" s="11"/>
      <c r="AJ92" s="11"/>
      <c r="AK92" s="7"/>
      <c r="AL92" s="7"/>
    </row>
    <row r="93" spans="1:38">
      <c r="B93" s="37" t="s">
        <v>0</v>
      </c>
      <c r="C93" s="69">
        <v>3223</v>
      </c>
      <c r="D93" s="70">
        <v>3314</v>
      </c>
      <c r="E93" s="70">
        <v>3063</v>
      </c>
      <c r="F93" s="70">
        <v>3308</v>
      </c>
      <c r="G93" s="70">
        <v>3525</v>
      </c>
      <c r="H93" s="70">
        <v>3613</v>
      </c>
      <c r="I93" s="70">
        <v>3610</v>
      </c>
      <c r="J93" s="70">
        <v>3692</v>
      </c>
      <c r="K93" s="70">
        <v>3667</v>
      </c>
      <c r="L93" s="167">
        <f>K93*(1+L94)</f>
        <v>3636.7031578156311</v>
      </c>
      <c r="M93" s="167">
        <f t="shared" ref="M93" si="194">L93*(1+M94)</f>
        <v>3727.6207367610214</v>
      </c>
      <c r="N93" s="167">
        <f t="shared" ref="N93" si="195">M93*(1+N94)</f>
        <v>3820.8112551800464</v>
      </c>
      <c r="O93" s="167">
        <f t="shared" ref="O93" si="196">N93*(1+O94)</f>
        <v>3916.3315365595472</v>
      </c>
      <c r="P93" s="167">
        <f t="shared" ref="P93" si="197">O93*(1+P94)</f>
        <v>4014.2398249735356</v>
      </c>
      <c r="Q93" s="163"/>
      <c r="R93" s="69"/>
      <c r="S93" s="67"/>
      <c r="T93" s="68"/>
      <c r="U93" s="67">
        <v>1721</v>
      </c>
      <c r="V93" s="68">
        <f>D93-U93</f>
        <v>1593</v>
      </c>
      <c r="W93" s="70">
        <v>1637</v>
      </c>
      <c r="X93" s="68">
        <f>E93-W93</f>
        <v>1426</v>
      </c>
      <c r="Y93" s="70">
        <v>1691</v>
      </c>
      <c r="Z93" s="68">
        <f>F93-Y93</f>
        <v>1617</v>
      </c>
      <c r="AA93" s="70">
        <v>1946</v>
      </c>
      <c r="AB93" s="68">
        <f>G93-AA93</f>
        <v>1579</v>
      </c>
      <c r="AC93" s="70">
        <v>1999</v>
      </c>
      <c r="AD93" s="68">
        <f>H93-AC93</f>
        <v>1614</v>
      </c>
      <c r="AE93" s="70">
        <v>1952</v>
      </c>
      <c r="AF93" s="68">
        <f>I93-AE93</f>
        <v>1658</v>
      </c>
      <c r="AG93" s="70">
        <v>1988</v>
      </c>
      <c r="AH93" s="68">
        <f>J93-AG93</f>
        <v>1704</v>
      </c>
      <c r="AI93" s="70">
        <v>2004</v>
      </c>
      <c r="AJ93" s="68">
        <f>K93-AI93</f>
        <v>1663</v>
      </c>
      <c r="AK93" s="167">
        <f>AI93*(1+AK94)</f>
        <v>1984.962</v>
      </c>
      <c r="AL93" s="167">
        <f>L93-AK93</f>
        <v>1651.7411578156311</v>
      </c>
    </row>
    <row r="94" spans="1:38">
      <c r="A94" s="5" t="s">
        <v>324</v>
      </c>
      <c r="B94" s="46" t="s">
        <v>159</v>
      </c>
      <c r="C94" s="52"/>
      <c r="D94" s="54">
        <f t="shared" ref="D94:K94" si="198">D93/C93-1</f>
        <v>2.8234564070741541E-2</v>
      </c>
      <c r="E94" s="54">
        <f t="shared" si="198"/>
        <v>-7.5739287869643901E-2</v>
      </c>
      <c r="F94" s="54">
        <f t="shared" si="198"/>
        <v>7.9986940907606829E-2</v>
      </c>
      <c r="G94" s="54">
        <f t="shared" si="198"/>
        <v>6.5598548972188642E-2</v>
      </c>
      <c r="H94" s="54">
        <f t="shared" si="198"/>
        <v>2.4964539007092279E-2</v>
      </c>
      <c r="I94" s="54">
        <f t="shared" si="198"/>
        <v>-8.3033490174366786E-4</v>
      </c>
      <c r="J94" s="54">
        <f t="shared" si="198"/>
        <v>2.2714681440443307E-2</v>
      </c>
      <c r="K94" s="343">
        <f t="shared" si="198"/>
        <v>-6.7713976164680556E-3</v>
      </c>
      <c r="L94" s="291">
        <f>SUM(L95:L97)</f>
        <v>-8.2620240480962021E-3</v>
      </c>
      <c r="M94" s="291">
        <f t="shared" ref="M94:P94" si="199">SUM(M95:M97)</f>
        <v>2.5000000000000001E-2</v>
      </c>
      <c r="N94" s="291">
        <f t="shared" si="199"/>
        <v>2.5000000000000001E-2</v>
      </c>
      <c r="O94" s="291">
        <f t="shared" si="199"/>
        <v>2.5000000000000001E-2</v>
      </c>
      <c r="P94" s="291">
        <f t="shared" si="199"/>
        <v>2.5000000000000001E-2</v>
      </c>
      <c r="Q94" s="163"/>
      <c r="R94" s="52"/>
      <c r="S94" s="52"/>
      <c r="T94" s="52"/>
      <c r="U94" s="54"/>
      <c r="V94" s="54"/>
      <c r="W94" s="54">
        <f t="shared" ref="W94:AJ94" si="200">W93/U93-1</f>
        <v>-4.8808832074375363E-2</v>
      </c>
      <c r="X94" s="54">
        <f t="shared" si="200"/>
        <v>-0.10483364720652855</v>
      </c>
      <c r="Y94" s="54">
        <f t="shared" si="200"/>
        <v>3.2987171655467273E-2</v>
      </c>
      <c r="Z94" s="54">
        <f t="shared" si="200"/>
        <v>0.13394109396914455</v>
      </c>
      <c r="AA94" s="54">
        <f t="shared" si="200"/>
        <v>0.15079834417504445</v>
      </c>
      <c r="AB94" s="54">
        <f t="shared" si="200"/>
        <v>-2.3500309214594894E-2</v>
      </c>
      <c r="AC94" s="54">
        <f t="shared" si="200"/>
        <v>2.7235354573484027E-2</v>
      </c>
      <c r="AD94" s="54">
        <f t="shared" si="200"/>
        <v>2.2165927802406671E-2</v>
      </c>
      <c r="AE94" s="54">
        <f t="shared" si="200"/>
        <v>-2.3511755877938967E-2</v>
      </c>
      <c r="AF94" s="54">
        <f t="shared" si="200"/>
        <v>2.7261462205700138E-2</v>
      </c>
      <c r="AG94" s="54">
        <f t="shared" si="200"/>
        <v>1.8442622950819665E-2</v>
      </c>
      <c r="AH94" s="54">
        <f t="shared" si="200"/>
        <v>2.7744270205066313E-2</v>
      </c>
      <c r="AI94" s="54">
        <f t="shared" si="200"/>
        <v>8.0482897384306362E-3</v>
      </c>
      <c r="AJ94" s="54">
        <f t="shared" si="200"/>
        <v>-2.4061032863849752E-2</v>
      </c>
      <c r="AK94" s="291">
        <f>SUM(AK95:AK97)</f>
        <v>-9.5000000000000015E-3</v>
      </c>
      <c r="AL94" s="345">
        <f>AL93/AJ93-1</f>
        <v>-6.7701997500714262E-3</v>
      </c>
    </row>
    <row r="95" spans="1:38">
      <c r="A95" s="5" t="s">
        <v>396</v>
      </c>
      <c r="B95" s="46" t="s">
        <v>160</v>
      </c>
      <c r="C95" s="354">
        <v>1.2E-2</v>
      </c>
      <c r="D95" s="354">
        <v>1.7999999999999999E-2</v>
      </c>
      <c r="E95" s="354">
        <v>2.7E-2</v>
      </c>
      <c r="F95" s="354">
        <v>7.2999999999999995E-2</v>
      </c>
      <c r="G95" s="354">
        <v>6.3E-2</v>
      </c>
      <c r="H95" s="354">
        <v>2.1000000000000001E-2</v>
      </c>
      <c r="I95" s="354">
        <v>7.0000000000000001E-3</v>
      </c>
      <c r="J95" s="354">
        <v>-0.01</v>
      </c>
      <c r="K95" s="354">
        <v>-1.2999999999999999E-2</v>
      </c>
      <c r="L95" s="196">
        <f>VLOOKUP($A95,Quarterly!$1:$1048576,MATCH(Model!L$3,Quarterly!$3:$3,0),FALSE)</f>
        <v>-1.1250000000000001E-2</v>
      </c>
      <c r="M95" s="171">
        <v>2.5000000000000001E-2</v>
      </c>
      <c r="N95" s="171">
        <v>2.5000000000000001E-2</v>
      </c>
      <c r="O95" s="171">
        <v>2.5000000000000001E-2</v>
      </c>
      <c r="P95" s="171">
        <v>2.5000000000000001E-2</v>
      </c>
      <c r="Q95" s="163"/>
      <c r="R95" s="354"/>
      <c r="S95" s="354"/>
      <c r="T95" s="354"/>
      <c r="U95" s="355">
        <v>1.6E-2</v>
      </c>
      <c r="V95" s="114">
        <f>D95</f>
        <v>1.7999999999999999E-2</v>
      </c>
      <c r="W95" s="355">
        <v>1.0999999999999999E-2</v>
      </c>
      <c r="X95" s="355">
        <v>1.2E-2</v>
      </c>
      <c r="Y95" s="355">
        <v>1.4999999999999999E-2</v>
      </c>
      <c r="Z95" s="355">
        <v>0.13900000000000001</v>
      </c>
      <c r="AA95" s="355">
        <v>0.151</v>
      </c>
      <c r="AB95" s="347">
        <v>-2.9000000000000001E-2</v>
      </c>
      <c r="AC95" s="355">
        <v>1.7999999999999999E-2</v>
      </c>
      <c r="AD95" s="347">
        <v>2.4E-2</v>
      </c>
      <c r="AE95" s="355">
        <v>-2.3E-2</v>
      </c>
      <c r="AF95" s="347">
        <v>1.2999999999999999E-2</v>
      </c>
      <c r="AG95" s="355">
        <v>2E-3</v>
      </c>
      <c r="AH95" s="347">
        <v>-2.4E-2</v>
      </c>
      <c r="AI95" s="355">
        <v>-1.2999999999999999E-2</v>
      </c>
      <c r="AJ95" s="347">
        <v>-1.2E-2</v>
      </c>
      <c r="AK95" s="348">
        <f>VLOOKUP($A95,Quarterly!$1:$1048576,MATCH(Model!AK$3,Quarterly!$3:$3,0),FALSE)</f>
        <v>-1.2500000000000001E-2</v>
      </c>
      <c r="AL95" s="348">
        <f>VLOOKUP($A95,Quarterly!$1:$1048576,MATCH(Model!AL$3,Quarterly!$3:$3,0),FALSE)</f>
        <v>-0.01</v>
      </c>
    </row>
    <row r="96" spans="1:38">
      <c r="B96" s="46" t="s">
        <v>161</v>
      </c>
      <c r="C96" s="52"/>
      <c r="D96" s="54"/>
      <c r="E96" s="54">
        <f t="shared" ref="E96:K96" si="201">E134/D134-1</f>
        <v>1.2235817575083408E-2</v>
      </c>
      <c r="F96" s="54">
        <f t="shared" si="201"/>
        <v>0</v>
      </c>
      <c r="G96" s="54">
        <f t="shared" si="201"/>
        <v>2.0879120879120805E-2</v>
      </c>
      <c r="H96" s="54">
        <f t="shared" si="201"/>
        <v>4.3057050592034685E-3</v>
      </c>
      <c r="I96" s="54">
        <f t="shared" si="201"/>
        <v>2.5723472668810254E-2</v>
      </c>
      <c r="J96" s="54">
        <f t="shared" si="201"/>
        <v>3.6572622779519337E-2</v>
      </c>
      <c r="K96" s="54">
        <f t="shared" si="201"/>
        <v>6.0483870967742437E-3</v>
      </c>
      <c r="L96" s="345">
        <f>L134/K134-1</f>
        <v>-6.0120240480961984E-3</v>
      </c>
      <c r="M96" s="345">
        <f t="shared" ref="M96:P96" si="202">M134/L134-1</f>
        <v>0</v>
      </c>
      <c r="N96" s="345">
        <f t="shared" si="202"/>
        <v>0</v>
      </c>
      <c r="O96" s="345">
        <f t="shared" si="202"/>
        <v>0</v>
      </c>
      <c r="P96" s="345">
        <f t="shared" si="202"/>
        <v>0</v>
      </c>
      <c r="Q96" s="163"/>
      <c r="R96" s="52"/>
      <c r="S96" s="52"/>
      <c r="T96" s="52"/>
      <c r="U96" s="54"/>
      <c r="V96" s="54"/>
      <c r="W96" s="54"/>
      <c r="X96" s="54"/>
      <c r="Y96" s="54">
        <f t="shared" ref="Y96:AH96" si="203">Y134/W134-1</f>
        <v>9.9118942731277748E-3</v>
      </c>
      <c r="Z96" s="54">
        <f t="shared" si="203"/>
        <v>-1.3015184381778733E-2</v>
      </c>
      <c r="AA96" s="54">
        <f t="shared" si="203"/>
        <v>8.724100327153872E-3</v>
      </c>
      <c r="AB96" s="54">
        <f t="shared" si="203"/>
        <v>2.0879120879120805E-2</v>
      </c>
      <c r="AC96" s="54">
        <f t="shared" si="203"/>
        <v>6.4864864864864202E-3</v>
      </c>
      <c r="AD96" s="54">
        <f t="shared" si="203"/>
        <v>4.3057050592034685E-3</v>
      </c>
      <c r="AE96" s="54">
        <f t="shared" si="203"/>
        <v>9.6670247046186653E-3</v>
      </c>
      <c r="AF96" s="54">
        <f t="shared" si="203"/>
        <v>2.5723472668810254E-2</v>
      </c>
      <c r="AG96" s="54">
        <f t="shared" si="203"/>
        <v>2.5531914893617058E-2</v>
      </c>
      <c r="AH96" s="54">
        <f t="shared" si="203"/>
        <v>3.6572622779519337E-2</v>
      </c>
      <c r="AI96" s="54">
        <f>AI134/AG134-1</f>
        <v>3.2157676348547826E-2</v>
      </c>
      <c r="AJ96" s="54">
        <f>AJ134/AH134-1</f>
        <v>6.0483870967742437E-3</v>
      </c>
      <c r="AK96" s="345">
        <f>AK134/AI134-1</f>
        <v>0</v>
      </c>
      <c r="AL96" s="345">
        <f>AL134/AJ134-1</f>
        <v>-6.0120240480961984E-3</v>
      </c>
    </row>
    <row r="97" spans="2:38">
      <c r="B97" s="46" t="s">
        <v>44</v>
      </c>
      <c r="C97" s="52"/>
      <c r="D97" s="54"/>
      <c r="E97" s="54">
        <f t="shared" ref="E97" si="204">E94-SUM(E95:E96)</f>
        <v>-0.1149751054447273</v>
      </c>
      <c r="F97" s="54">
        <f t="shared" ref="F97" si="205">F94-SUM(F95:F96)</f>
        <v>6.986940907606834E-3</v>
      </c>
      <c r="G97" s="54">
        <f t="shared" ref="G97" si="206">G94-SUM(G95:G96)</f>
        <v>-1.8280571906932164E-2</v>
      </c>
      <c r="H97" s="54">
        <f t="shared" ref="H97" si="207">H94-SUM(H95:H96)</f>
        <v>-3.4116605211119075E-4</v>
      </c>
      <c r="I97" s="54">
        <f t="shared" ref="I97" si="208">I94-SUM(I95:I96)</f>
        <v>-3.3553807570553922E-2</v>
      </c>
      <c r="J97" s="54">
        <f t="shared" ref="J97" si="209">J94-SUM(J95:J96)</f>
        <v>-3.8579413390760278E-3</v>
      </c>
      <c r="K97" s="54">
        <f t="shared" ref="K97" si="210">K94-SUM(K95:K96)</f>
        <v>1.8021528675770011E-4</v>
      </c>
      <c r="L97" s="171">
        <v>8.9999999999999993E-3</v>
      </c>
      <c r="M97" s="171">
        <v>0</v>
      </c>
      <c r="N97" s="171">
        <v>0</v>
      </c>
      <c r="O97" s="171">
        <v>0</v>
      </c>
      <c r="P97" s="171">
        <v>0</v>
      </c>
      <c r="Q97" s="163"/>
      <c r="R97" s="52"/>
      <c r="S97" s="52"/>
      <c r="T97" s="52"/>
      <c r="U97" s="54"/>
      <c r="V97" s="54"/>
      <c r="W97" s="54"/>
      <c r="X97" s="54"/>
      <c r="Y97" s="54">
        <f t="shared" ref="Y97" si="211">Y94-SUM(Y95:Y96)</f>
        <v>8.0752773823394991E-3</v>
      </c>
      <c r="Z97" s="54">
        <f t="shared" ref="Z97" si="212">Z94-SUM(Z95:Z96)</f>
        <v>7.9562783509232737E-3</v>
      </c>
      <c r="AA97" s="54">
        <f t="shared" ref="AA97" si="213">AA94-SUM(AA95:AA96)</f>
        <v>-8.9257561521094153E-3</v>
      </c>
      <c r="AB97" s="54">
        <f t="shared" ref="AB97" si="214">AB94-SUM(AB95:AB96)</f>
        <v>-1.5379430093715698E-2</v>
      </c>
      <c r="AC97" s="54">
        <f t="shared" ref="AC97" si="215">AC94-SUM(AC95:AC96)</f>
        <v>2.7488680869976086E-3</v>
      </c>
      <c r="AD97" s="54">
        <f t="shared" ref="AD97" si="216">AD94-SUM(AD95:AD96)</f>
        <v>-6.1397772567967981E-3</v>
      </c>
      <c r="AE97" s="54">
        <f t="shared" ref="AE97" si="217">AE94-SUM(AE95:AE96)</f>
        <v>-1.0178780582557632E-2</v>
      </c>
      <c r="AF97" s="54">
        <f t="shared" ref="AF97" si="218">AF94-SUM(AF95:AF96)</f>
        <v>-1.1462010463110114E-2</v>
      </c>
      <c r="AG97" s="54">
        <f t="shared" ref="AG97" si="219">AG94-SUM(AG95:AG96)</f>
        <v>-9.0892919427973951E-3</v>
      </c>
      <c r="AH97" s="54">
        <f t="shared" ref="AH97" si="220">AH94-SUM(AH95:AH96)</f>
        <v>1.5171647425546976E-2</v>
      </c>
      <c r="AI97" s="54">
        <f t="shared" ref="AI97" si="221">AI94-SUM(AI95:AI96)</f>
        <v>-1.1109386610117192E-2</v>
      </c>
      <c r="AJ97" s="54">
        <f t="shared" ref="AJ97" si="222">AJ94-SUM(AJ95:AJ96)</f>
        <v>-1.8109419960623995E-2</v>
      </c>
      <c r="AK97" s="171">
        <v>3.0000000000000001E-3</v>
      </c>
      <c r="AL97" s="345">
        <f t="shared" ref="AL97" si="223">AL94-SUM(AL95:AL96)</f>
        <v>9.2418242980247742E-3</v>
      </c>
    </row>
    <row r="98" spans="2:38">
      <c r="B98" s="46"/>
      <c r="C98" s="52"/>
      <c r="D98" s="52"/>
      <c r="E98" s="52"/>
      <c r="F98" s="52"/>
      <c r="G98" s="52"/>
      <c r="H98" s="52"/>
      <c r="I98" s="52"/>
      <c r="J98" s="52"/>
      <c r="K98" s="52"/>
      <c r="L98" s="163"/>
      <c r="M98" s="163"/>
      <c r="N98" s="163"/>
      <c r="O98" s="163"/>
      <c r="P98" s="163"/>
      <c r="Q98" s="163"/>
      <c r="R98" s="52"/>
      <c r="S98" s="52"/>
      <c r="T98" s="52"/>
      <c r="U98" s="52"/>
      <c r="V98" s="52"/>
      <c r="W98" s="52"/>
      <c r="X98" s="52"/>
      <c r="Y98" s="52"/>
      <c r="Z98" s="52"/>
      <c r="AA98" s="52"/>
      <c r="AB98" s="52"/>
      <c r="AC98" s="52"/>
      <c r="AD98" s="52"/>
      <c r="AE98" s="52"/>
      <c r="AF98" s="52"/>
      <c r="AG98" s="52"/>
      <c r="AH98" s="52"/>
      <c r="AI98" s="52"/>
      <c r="AJ98" s="52"/>
      <c r="AK98" s="163"/>
      <c r="AL98" s="163"/>
    </row>
    <row r="99" spans="2:38">
      <c r="B99" s="37" t="s">
        <v>45</v>
      </c>
      <c r="C99" s="51"/>
      <c r="D99" s="51">
        <f t="shared" ref="D99:L99" si="224">D101*D93</f>
        <v>725.76599999999996</v>
      </c>
      <c r="E99" s="51">
        <f t="shared" si="224"/>
        <v>683.04899999999998</v>
      </c>
      <c r="F99" s="51">
        <f t="shared" si="224"/>
        <v>714.52800000000002</v>
      </c>
      <c r="G99" s="51">
        <f t="shared" si="224"/>
        <v>768.45</v>
      </c>
      <c r="H99" s="51">
        <f t="shared" si="224"/>
        <v>812.92500000000007</v>
      </c>
      <c r="I99" s="51">
        <f t="shared" si="224"/>
        <v>844.74</v>
      </c>
      <c r="J99" s="51">
        <f t="shared" si="224"/>
        <v>867.62</v>
      </c>
      <c r="K99" s="51">
        <f t="shared" si="224"/>
        <v>865.41199999999992</v>
      </c>
      <c r="L99" s="167">
        <f t="shared" si="224"/>
        <v>858.26194524448886</v>
      </c>
      <c r="M99" s="167">
        <f t="shared" ref="M99:P99" si="225">M101*M93</f>
        <v>887.17373534912304</v>
      </c>
      <c r="N99" s="167">
        <f t="shared" si="225"/>
        <v>909.35307873285103</v>
      </c>
      <c r="O99" s="167">
        <f t="shared" si="225"/>
        <v>939.91956877429129</v>
      </c>
      <c r="P99" s="167">
        <f t="shared" si="225"/>
        <v>971.44603764359556</v>
      </c>
      <c r="Q99" s="163"/>
      <c r="R99" s="51"/>
      <c r="S99" s="51"/>
      <c r="T99" s="51"/>
      <c r="U99" s="51">
        <f>U101*U93</f>
        <v>485.32199999999995</v>
      </c>
      <c r="V99" s="51">
        <f>D99-U99</f>
        <v>240.44400000000002</v>
      </c>
      <c r="W99" s="51">
        <f>W101*W93</f>
        <v>365.05099999999999</v>
      </c>
      <c r="X99" s="51">
        <f>E99-W99</f>
        <v>317.99799999999999</v>
      </c>
      <c r="Y99" s="51">
        <f>Y101*Y93</f>
        <v>370.32900000000001</v>
      </c>
      <c r="Z99" s="51">
        <f>F99-Y99</f>
        <v>344.19900000000001</v>
      </c>
      <c r="AA99" s="51">
        <f>AA101*AA93</f>
        <v>418.39</v>
      </c>
      <c r="AB99" s="51">
        <f>G99-AA99</f>
        <v>350.06000000000006</v>
      </c>
      <c r="AC99" s="51">
        <f>AC101*AC93</f>
        <v>435.78199999999998</v>
      </c>
      <c r="AD99" s="51">
        <f>H99-AC99</f>
        <v>377.14300000000009</v>
      </c>
      <c r="AE99" s="51">
        <f>AE101*AE93</f>
        <v>441.15199999999999</v>
      </c>
      <c r="AF99" s="51">
        <f>I99-AE99</f>
        <v>403.58800000000002</v>
      </c>
      <c r="AG99" s="51">
        <f>AG101*AG93</f>
        <v>455.25200000000001</v>
      </c>
      <c r="AH99" s="51">
        <f>J99-AG99</f>
        <v>412.36799999999999</v>
      </c>
      <c r="AI99" s="51">
        <f>AI101*AI93</f>
        <v>462.92400000000004</v>
      </c>
      <c r="AJ99" s="51">
        <f>K99-AI99</f>
        <v>402.48799999999989</v>
      </c>
      <c r="AK99" s="167">
        <f>AK101*AK93</f>
        <v>458.52622200000002</v>
      </c>
      <c r="AL99" s="167">
        <f>L99-AK99</f>
        <v>399.73572324448884</v>
      </c>
    </row>
    <row r="100" spans="2:38">
      <c r="B100" s="46" t="s">
        <v>159</v>
      </c>
      <c r="C100" s="51"/>
      <c r="D100" s="54"/>
      <c r="E100" s="54">
        <f t="shared" ref="E100:K100" si="226">E99/D99-1</f>
        <v>-5.8857813675482151E-2</v>
      </c>
      <c r="F100" s="54">
        <f t="shared" si="226"/>
        <v>4.6086005542794295E-2</v>
      </c>
      <c r="G100" s="54">
        <f t="shared" si="226"/>
        <v>7.5465202203412574E-2</v>
      </c>
      <c r="H100" s="54">
        <f t="shared" si="226"/>
        <v>5.7876244388053832E-2</v>
      </c>
      <c r="I100" s="54">
        <f t="shared" si="226"/>
        <v>3.9136451702186381E-2</v>
      </c>
      <c r="J100" s="54">
        <f t="shared" si="226"/>
        <v>2.7085257002154473E-2</v>
      </c>
      <c r="K100" s="54">
        <f t="shared" si="226"/>
        <v>-2.5448929254743291E-3</v>
      </c>
      <c r="L100" s="342">
        <f t="shared" ref="L100" si="227">L99/K99-1</f>
        <v>-8.2620240480962837E-3</v>
      </c>
      <c r="M100" s="342">
        <f t="shared" ref="M100" si="228">M99/L99-1</f>
        <v>3.3686440677966001E-2</v>
      </c>
      <c r="N100" s="342">
        <f t="shared" ref="N100" si="229">N99/M99-1</f>
        <v>2.4999999999999911E-2</v>
      </c>
      <c r="O100" s="342">
        <f t="shared" ref="O100" si="230">O99/N99-1</f>
        <v>3.3613445378151141E-2</v>
      </c>
      <c r="P100" s="342">
        <f t="shared" ref="P100" si="231">P99/O99-1</f>
        <v>3.3541666666666581E-2</v>
      </c>
      <c r="Q100" s="163"/>
      <c r="R100" s="51"/>
      <c r="S100" s="51"/>
      <c r="T100" s="51"/>
      <c r="U100" s="54"/>
      <c r="V100" s="54"/>
      <c r="W100" s="54">
        <f t="shared" ref="W100:AJ100" si="232">W99/U99-1</f>
        <v>-0.24781691330704148</v>
      </c>
      <c r="X100" s="54">
        <f t="shared" si="232"/>
        <v>0.32254495849345366</v>
      </c>
      <c r="Y100" s="54">
        <f t="shared" si="232"/>
        <v>1.4458253778239172E-2</v>
      </c>
      <c r="Z100" s="54">
        <f t="shared" si="232"/>
        <v>8.2393599959748265E-2</v>
      </c>
      <c r="AA100" s="54">
        <f t="shared" si="232"/>
        <v>0.1297791963362307</v>
      </c>
      <c r="AB100" s="54">
        <f t="shared" si="232"/>
        <v>1.7027940232249517E-2</v>
      </c>
      <c r="AC100" s="54">
        <f t="shared" si="232"/>
        <v>4.1568871148927933E-2</v>
      </c>
      <c r="AD100" s="54">
        <f t="shared" si="232"/>
        <v>7.7366737130777574E-2</v>
      </c>
      <c r="AE100" s="54">
        <f t="shared" si="232"/>
        <v>1.23226750990173E-2</v>
      </c>
      <c r="AF100" s="54">
        <f t="shared" si="232"/>
        <v>7.011929162148034E-2</v>
      </c>
      <c r="AG100" s="54">
        <f t="shared" si="232"/>
        <v>3.1961772812998834E-2</v>
      </c>
      <c r="AH100" s="54">
        <f t="shared" si="232"/>
        <v>2.1754858915527642E-2</v>
      </c>
      <c r="AI100" s="54">
        <f t="shared" si="232"/>
        <v>1.6852204932652715E-2</v>
      </c>
      <c r="AJ100" s="54">
        <f t="shared" si="232"/>
        <v>-2.3959182089784092E-2</v>
      </c>
      <c r="AK100" s="342">
        <f t="shared" ref="AK100" si="233">AK99/AJ99-1</f>
        <v>0.13922954721631497</v>
      </c>
      <c r="AL100" s="345">
        <f>AL99/AJ99-1</f>
        <v>-6.8381585426423586E-3</v>
      </c>
    </row>
    <row r="101" spans="2:38">
      <c r="B101" s="46" t="s">
        <v>46</v>
      </c>
      <c r="C101" s="148"/>
      <c r="D101" s="136">
        <v>0.219</v>
      </c>
      <c r="E101" s="136">
        <v>0.223</v>
      </c>
      <c r="F101" s="136">
        <v>0.216</v>
      </c>
      <c r="G101" s="136">
        <v>0.218</v>
      </c>
      <c r="H101" s="150">
        <v>0.22500000000000001</v>
      </c>
      <c r="I101" s="150">
        <v>0.23400000000000001</v>
      </c>
      <c r="J101" s="150">
        <v>0.23499999999999999</v>
      </c>
      <c r="K101" s="150">
        <v>0.23599999999999999</v>
      </c>
      <c r="L101" s="315">
        <f>K101+L102</f>
        <v>0.23599999999999999</v>
      </c>
      <c r="M101" s="315">
        <f t="shared" ref="M101" si="234">L101+M102</f>
        <v>0.23799999999999999</v>
      </c>
      <c r="N101" s="315">
        <f t="shared" ref="N101" si="235">M101+N102</f>
        <v>0.23799999999999999</v>
      </c>
      <c r="O101" s="315">
        <f t="shared" ref="O101" si="236">N101+O102</f>
        <v>0.24</v>
      </c>
      <c r="P101" s="315">
        <f t="shared" ref="P101" si="237">O101+P102</f>
        <v>0.24199999999999999</v>
      </c>
      <c r="Q101" s="163"/>
      <c r="R101" s="148"/>
      <c r="S101" s="148"/>
      <c r="T101" s="149"/>
      <c r="U101" s="148">
        <v>0.28199999999999997</v>
      </c>
      <c r="V101" s="149">
        <f>V99/V93</f>
        <v>0.15093785310734464</v>
      </c>
      <c r="W101" s="148">
        <v>0.223</v>
      </c>
      <c r="X101" s="149">
        <f>X99/X93</f>
        <v>0.223</v>
      </c>
      <c r="Y101" s="148">
        <v>0.219</v>
      </c>
      <c r="Z101" s="149">
        <f>Z99/Z93</f>
        <v>0.21286270871985158</v>
      </c>
      <c r="AA101" s="148">
        <v>0.215</v>
      </c>
      <c r="AB101" s="149">
        <f>AB99/AB93</f>
        <v>0.22169727675744147</v>
      </c>
      <c r="AC101" s="136">
        <v>0.218</v>
      </c>
      <c r="AD101" s="149">
        <f>AD99/AD93</f>
        <v>0.23366976456009919</v>
      </c>
      <c r="AE101" s="150">
        <v>0.22600000000000001</v>
      </c>
      <c r="AF101" s="149">
        <f>AF99/AF93</f>
        <v>0.24341857659831123</v>
      </c>
      <c r="AG101" s="150">
        <v>0.22900000000000001</v>
      </c>
      <c r="AH101" s="149">
        <f>AH99/AH93</f>
        <v>0.24199999999999999</v>
      </c>
      <c r="AI101" s="150">
        <v>0.23100000000000001</v>
      </c>
      <c r="AJ101" s="149">
        <f>AJ99/AJ93</f>
        <v>0.24202525556223686</v>
      </c>
      <c r="AK101" s="315">
        <f>AI101+AK102</f>
        <v>0.23100000000000001</v>
      </c>
      <c r="AL101" s="318">
        <f>AL99/AL93</f>
        <v>0.24200869570455283</v>
      </c>
    </row>
    <row r="102" spans="2:38">
      <c r="B102" s="46" t="s">
        <v>162</v>
      </c>
      <c r="C102" s="350"/>
      <c r="D102" s="350"/>
      <c r="E102" s="349">
        <v>4.1000000000000003E-3</v>
      </c>
      <c r="F102" s="349">
        <v>3.0000000000000001E-3</v>
      </c>
      <c r="G102" s="349">
        <v>2.3E-3</v>
      </c>
      <c r="H102" s="349">
        <v>6.4000000000000003E-3</v>
      </c>
      <c r="I102" s="349">
        <v>9.1000000000000004E-3</v>
      </c>
      <c r="J102" s="349">
        <v>8.9999999999999998E-4</v>
      </c>
      <c r="K102" s="349">
        <v>1.5E-3</v>
      </c>
      <c r="L102" s="171">
        <v>0</v>
      </c>
      <c r="M102" s="171">
        <v>2E-3</v>
      </c>
      <c r="N102" s="171">
        <v>0</v>
      </c>
      <c r="O102" s="171">
        <v>2E-3</v>
      </c>
      <c r="P102" s="171">
        <v>2E-3</v>
      </c>
      <c r="Q102" s="163"/>
      <c r="R102" s="350"/>
      <c r="S102" s="350"/>
      <c r="T102" s="149"/>
      <c r="U102" s="52"/>
      <c r="V102" s="351">
        <f>V101-T101</f>
        <v>0.15093785310734464</v>
      </c>
      <c r="W102" s="350">
        <v>-8.9999999999999998E-4</v>
      </c>
      <c r="X102" s="351">
        <f>X101-V101</f>
        <v>7.206214689265536E-2</v>
      </c>
      <c r="Y102" s="350">
        <v>-4.1000000000000003E-3</v>
      </c>
      <c r="Z102" s="351">
        <f>Z101-X101</f>
        <v>-1.0137291280148425E-2</v>
      </c>
      <c r="AA102" s="350">
        <v>-3.3999999999999998E-3</v>
      </c>
      <c r="AB102" s="351">
        <f>AB101-Z101</f>
        <v>8.8345680375898905E-3</v>
      </c>
      <c r="AC102" s="350">
        <v>2.3E-3</v>
      </c>
      <c r="AD102" s="351">
        <f>AD101-AB101</f>
        <v>1.1972487802657722E-2</v>
      </c>
      <c r="AE102" s="350">
        <v>8.3000000000000001E-3</v>
      </c>
      <c r="AF102" s="351">
        <f>AF101-AD101</f>
        <v>9.7488120382120402E-3</v>
      </c>
      <c r="AG102" s="349">
        <v>2.7000000000000001E-3</v>
      </c>
      <c r="AH102" s="149">
        <f>AH101-AF101</f>
        <v>-1.4185765983112386E-3</v>
      </c>
      <c r="AI102" s="349">
        <v>2.2000000000000001E-3</v>
      </c>
      <c r="AJ102" s="149">
        <f>AJ101-AH101</f>
        <v>2.5255562236869977E-5</v>
      </c>
      <c r="AK102" s="171">
        <v>0</v>
      </c>
      <c r="AL102" s="356">
        <f>AL101-AJ101</f>
        <v>-1.6559857684034229E-5</v>
      </c>
    </row>
    <row r="103" spans="2:38">
      <c r="B103" s="46"/>
      <c r="C103" s="52"/>
      <c r="D103" s="52"/>
      <c r="E103" s="52"/>
      <c r="F103" s="52"/>
      <c r="G103" s="52"/>
      <c r="H103" s="52"/>
      <c r="I103" s="52"/>
      <c r="J103" s="52"/>
      <c r="K103" s="52"/>
      <c r="L103" s="163"/>
      <c r="M103" s="163"/>
      <c r="N103" s="163"/>
      <c r="O103" s="163"/>
      <c r="P103" s="163"/>
      <c r="Q103" s="163"/>
      <c r="R103" s="52"/>
      <c r="S103" s="52"/>
      <c r="T103" s="52"/>
      <c r="U103" s="52"/>
      <c r="V103" s="52"/>
      <c r="W103" s="52"/>
      <c r="X103" s="52"/>
      <c r="Y103" s="52"/>
      <c r="Z103" s="52"/>
      <c r="AA103" s="52"/>
      <c r="AB103" s="52"/>
      <c r="AC103" s="52"/>
      <c r="AD103" s="52"/>
      <c r="AE103" s="52"/>
      <c r="AF103" s="52"/>
      <c r="AG103" s="52"/>
      <c r="AH103" s="52"/>
      <c r="AI103" s="52"/>
      <c r="AJ103" s="52"/>
      <c r="AK103" s="163"/>
      <c r="AL103" s="163"/>
    </row>
    <row r="104" spans="2:38">
      <c r="B104" s="37" t="s">
        <v>34</v>
      </c>
      <c r="C104" s="52"/>
      <c r="D104" s="52"/>
      <c r="E104" s="52"/>
      <c r="F104" s="52"/>
      <c r="G104" s="51">
        <f>G109-G99</f>
        <v>-492.45000000000005</v>
      </c>
      <c r="H104" s="51">
        <f>H109-H99</f>
        <v>-534.92500000000007</v>
      </c>
      <c r="I104" s="51">
        <f>I109-I99</f>
        <v>-565.74</v>
      </c>
      <c r="J104" s="51">
        <f>J109-J99</f>
        <v>-606.62</v>
      </c>
      <c r="K104" s="51">
        <f>K109-K99</f>
        <v>-619.41199999999992</v>
      </c>
      <c r="L104" s="167">
        <f>K104*(1+L105)</f>
        <v>-634.89729999999986</v>
      </c>
      <c r="M104" s="167">
        <f t="shared" ref="M104" si="238">L104*(1+M105)</f>
        <v>-634.89729999999986</v>
      </c>
      <c r="N104" s="167">
        <f t="shared" ref="N104" si="239">M104*(1+N105)</f>
        <v>-647.59524599999986</v>
      </c>
      <c r="O104" s="167">
        <f t="shared" ref="O104" si="240">N104*(1+O105)</f>
        <v>-660.54715091999992</v>
      </c>
      <c r="P104" s="167">
        <f t="shared" ref="P104" si="241">O104*(1+P105)</f>
        <v>-673.75809393839995</v>
      </c>
      <c r="Q104" s="163"/>
      <c r="R104" s="52"/>
      <c r="S104" s="52"/>
      <c r="T104" s="52"/>
      <c r="U104" s="52"/>
      <c r="V104" s="52"/>
      <c r="W104" s="52"/>
      <c r="X104" s="52"/>
      <c r="Y104" s="52"/>
      <c r="Z104" s="52"/>
      <c r="AA104" s="52"/>
      <c r="AB104" s="52"/>
      <c r="AC104" s="51">
        <f t="shared" ref="AC104:AJ104" si="242">AC109-AC99</f>
        <v>-279.78199999999998</v>
      </c>
      <c r="AD104" s="51">
        <f t="shared" si="242"/>
        <v>-255.14300000000009</v>
      </c>
      <c r="AE104" s="51">
        <f t="shared" si="242"/>
        <v>-300.15199999999999</v>
      </c>
      <c r="AF104" s="51">
        <f t="shared" si="242"/>
        <v>-265.58800000000002</v>
      </c>
      <c r="AG104" s="51">
        <f t="shared" si="242"/>
        <v>-307.25200000000001</v>
      </c>
      <c r="AH104" s="51">
        <f t="shared" si="242"/>
        <v>-299.36799999999999</v>
      </c>
      <c r="AI104" s="51">
        <f t="shared" si="242"/>
        <v>-327.92400000000004</v>
      </c>
      <c r="AJ104" s="51">
        <f t="shared" si="242"/>
        <v>-291.48799999999989</v>
      </c>
      <c r="AK104" s="167">
        <f>AI104*(1+AK105)</f>
        <v>-341.04096000000004</v>
      </c>
      <c r="AL104" s="167">
        <f>L104-AK104</f>
        <v>-293.85633999999982</v>
      </c>
    </row>
    <row r="105" spans="2:38">
      <c r="B105" s="46" t="s">
        <v>159</v>
      </c>
      <c r="C105" s="52"/>
      <c r="D105" s="52"/>
      <c r="E105" s="52"/>
      <c r="F105" s="52"/>
      <c r="G105" s="54"/>
      <c r="H105" s="54">
        <f>H104/G104-1</f>
        <v>8.6252411412326202E-2</v>
      </c>
      <c r="I105" s="54">
        <f>I104/H104-1</f>
        <v>5.7606206477543553E-2</v>
      </c>
      <c r="J105" s="54">
        <f>J104/I104-1</f>
        <v>7.2259341747092254E-2</v>
      </c>
      <c r="K105" s="343">
        <f>K104/J104-1</f>
        <v>2.1087336388513345E-2</v>
      </c>
      <c r="L105" s="171">
        <v>2.5000000000000001E-2</v>
      </c>
      <c r="M105" s="171">
        <v>0</v>
      </c>
      <c r="N105" s="171">
        <v>0.02</v>
      </c>
      <c r="O105" s="171">
        <v>0.02</v>
      </c>
      <c r="P105" s="171">
        <v>0.02</v>
      </c>
      <c r="Q105" s="163"/>
      <c r="R105" s="52"/>
      <c r="S105" s="52"/>
      <c r="T105" s="52"/>
      <c r="U105" s="52"/>
      <c r="V105" s="52"/>
      <c r="W105" s="52"/>
      <c r="X105" s="52"/>
      <c r="Y105" s="52"/>
      <c r="Z105" s="52"/>
      <c r="AA105" s="52"/>
      <c r="AB105" s="52"/>
      <c r="AC105" s="54"/>
      <c r="AD105" s="54"/>
      <c r="AE105" s="54">
        <f t="shared" ref="AE105:AJ105" si="243">AE104/AC104-1</f>
        <v>7.2806685204909627E-2</v>
      </c>
      <c r="AF105" s="54">
        <f t="shared" si="243"/>
        <v>4.0937827022492934E-2</v>
      </c>
      <c r="AG105" s="54">
        <f t="shared" si="243"/>
        <v>2.3654681627975238E-2</v>
      </c>
      <c r="AH105" s="54">
        <f t="shared" si="243"/>
        <v>0.12718948145247522</v>
      </c>
      <c r="AI105" s="54">
        <f t="shared" si="243"/>
        <v>6.7280278077929578E-2</v>
      </c>
      <c r="AJ105" s="54">
        <f t="shared" si="243"/>
        <v>-2.6322118596510347E-2</v>
      </c>
      <c r="AK105" s="171">
        <v>0.04</v>
      </c>
      <c r="AL105" s="345">
        <f>AL104/AJ104-1</f>
        <v>8.1249999999997158E-3</v>
      </c>
    </row>
    <row r="106" spans="2:38">
      <c r="B106" s="46" t="s">
        <v>163</v>
      </c>
      <c r="C106" s="52"/>
      <c r="D106" s="52"/>
      <c r="E106" s="52"/>
      <c r="F106" s="52"/>
      <c r="G106" s="54">
        <f>G104/G93</f>
        <v>-0.13970212765957449</v>
      </c>
      <c r="H106" s="54">
        <f>H104/H93</f>
        <v>-0.14805563243841685</v>
      </c>
      <c r="I106" s="54">
        <f>I104/I93</f>
        <v>-0.1567146814404432</v>
      </c>
      <c r="J106" s="54">
        <f>J104/J93</f>
        <v>-0.16430660888407367</v>
      </c>
      <c r="K106" s="54">
        <f>K104/K93</f>
        <v>-0.16891518952822468</v>
      </c>
      <c r="L106" s="345">
        <f t="shared" ref="L106:P106" si="244">L104/L93</f>
        <v>-0.1745804572021622</v>
      </c>
      <c r="M106" s="345">
        <f t="shared" si="244"/>
        <v>-0.17032239727040216</v>
      </c>
      <c r="N106" s="345">
        <f t="shared" si="244"/>
        <v>-0.16949155630810753</v>
      </c>
      <c r="O106" s="345">
        <f t="shared" si="244"/>
        <v>-0.16866476822855583</v>
      </c>
      <c r="P106" s="345">
        <f t="shared" si="244"/>
        <v>-0.16784201326158726</v>
      </c>
      <c r="Q106" s="163"/>
      <c r="R106" s="52"/>
      <c r="S106" s="52"/>
      <c r="T106" s="52"/>
      <c r="U106" s="52"/>
      <c r="V106" s="52"/>
      <c r="W106" s="52"/>
      <c r="X106" s="52"/>
      <c r="Y106" s="52"/>
      <c r="Z106" s="52"/>
      <c r="AA106" s="52"/>
      <c r="AB106" s="52"/>
      <c r="AC106" s="54">
        <f t="shared" ref="AC106:AL106" si="245">AC104/AC93</f>
        <v>-0.13996098049024511</v>
      </c>
      <c r="AD106" s="54">
        <f t="shared" si="245"/>
        <v>-0.15808116480793066</v>
      </c>
      <c r="AE106" s="54">
        <f t="shared" si="245"/>
        <v>-0.15376639344262294</v>
      </c>
      <c r="AF106" s="54">
        <f t="shared" si="245"/>
        <v>-0.16018576598311221</v>
      </c>
      <c r="AG106" s="54">
        <f t="shared" si="245"/>
        <v>-0.1545533199195171</v>
      </c>
      <c r="AH106" s="54">
        <f t="shared" si="245"/>
        <v>-0.17568544600938968</v>
      </c>
      <c r="AI106" s="54">
        <f t="shared" si="245"/>
        <v>-0.16363473053892216</v>
      </c>
      <c r="AJ106" s="54">
        <f t="shared" si="245"/>
        <v>-0.17527841250751647</v>
      </c>
      <c r="AK106" s="345">
        <f t="shared" si="245"/>
        <v>-0.17181233696161441</v>
      </c>
      <c r="AL106" s="345">
        <f t="shared" si="245"/>
        <v>-0.17790701564197525</v>
      </c>
    </row>
    <row r="107" spans="2:38">
      <c r="B107" s="46" t="s">
        <v>162</v>
      </c>
      <c r="C107" s="52"/>
      <c r="D107" s="52"/>
      <c r="E107" s="52"/>
      <c r="F107" s="52"/>
      <c r="G107" s="52"/>
      <c r="H107" s="54">
        <f>H106-G106</f>
        <v>-8.3535047788423633E-3</v>
      </c>
      <c r="I107" s="54">
        <f>I106-H106</f>
        <v>-8.6590490020263533E-3</v>
      </c>
      <c r="J107" s="54">
        <f>J106-I106</f>
        <v>-7.591927443630464E-3</v>
      </c>
      <c r="K107" s="54">
        <f>K106-J106</f>
        <v>-4.6085806441510113E-3</v>
      </c>
      <c r="L107" s="344">
        <f t="shared" ref="L107" si="246">L106/K106-1</f>
        <v>3.3539125106276435E-2</v>
      </c>
      <c r="M107" s="344">
        <f t="shared" ref="M107" si="247">M106/L106-1</f>
        <v>-2.4390243902438935E-2</v>
      </c>
      <c r="N107" s="344">
        <f t="shared" ref="N107" si="248">N106/M106-1</f>
        <v>-4.8780487804876982E-3</v>
      </c>
      <c r="O107" s="344">
        <f t="shared" ref="O107" si="249">O106/N106-1</f>
        <v>-4.8780487804874761E-3</v>
      </c>
      <c r="P107" s="344">
        <f t="shared" ref="P107" si="250">P106/O106-1</f>
        <v>-4.8780487804878092E-3</v>
      </c>
      <c r="Q107" s="163"/>
      <c r="R107" s="52"/>
      <c r="S107" s="52"/>
      <c r="T107" s="52"/>
      <c r="U107" s="52"/>
      <c r="V107" s="52"/>
      <c r="W107" s="52"/>
      <c r="X107" s="52"/>
      <c r="Y107" s="52"/>
      <c r="Z107" s="52"/>
      <c r="AA107" s="52"/>
      <c r="AB107" s="52"/>
      <c r="AC107" s="52"/>
      <c r="AD107" s="52"/>
      <c r="AE107" s="54">
        <f t="shared" ref="AE107:AJ107" si="251">AE106-AC106</f>
        <v>-1.3805412952377832E-2</v>
      </c>
      <c r="AF107" s="54">
        <f t="shared" si="251"/>
        <v>-2.1046011751815474E-3</v>
      </c>
      <c r="AG107" s="54">
        <f t="shared" si="251"/>
        <v>-7.869264768941564E-4</v>
      </c>
      <c r="AH107" s="54">
        <f t="shared" si="251"/>
        <v>-1.5499680026277468E-2</v>
      </c>
      <c r="AI107" s="54">
        <f t="shared" si="251"/>
        <v>-9.081410619405067E-3</v>
      </c>
      <c r="AJ107" s="54">
        <f t="shared" si="251"/>
        <v>4.0703350187321075E-4</v>
      </c>
      <c r="AK107" s="344">
        <f t="shared" ref="AK107" si="252">AK106/AJ106-1</f>
        <v>-1.977468586300335E-2</v>
      </c>
      <c r="AL107" s="344">
        <f t="shared" ref="AL107" si="253">AL106/AK106-1</f>
        <v>3.5472881564508896E-2</v>
      </c>
    </row>
    <row r="108" spans="2:38">
      <c r="B108" s="46"/>
      <c r="C108" s="71"/>
      <c r="D108" s="52"/>
      <c r="E108" s="52"/>
      <c r="F108" s="52"/>
      <c r="G108" s="52"/>
      <c r="H108" s="52"/>
      <c r="I108" s="52"/>
      <c r="J108" s="52"/>
      <c r="K108" s="52"/>
      <c r="L108" s="163"/>
      <c r="M108" s="163"/>
      <c r="N108" s="163"/>
      <c r="O108" s="163"/>
      <c r="P108" s="163"/>
      <c r="Q108" s="163"/>
      <c r="R108" s="71"/>
      <c r="S108" s="52"/>
      <c r="T108" s="52"/>
      <c r="U108" s="52"/>
      <c r="V108" s="52"/>
      <c r="W108" s="52"/>
      <c r="X108" s="52"/>
      <c r="Y108" s="52"/>
      <c r="Z108" s="52"/>
      <c r="AA108" s="52"/>
      <c r="AB108" s="52"/>
      <c r="AC108" s="52"/>
      <c r="AD108" s="52"/>
      <c r="AE108" s="52"/>
      <c r="AF108" s="52"/>
      <c r="AG108" s="52"/>
      <c r="AH108" s="52"/>
      <c r="AI108" s="52"/>
      <c r="AJ108" s="52"/>
      <c r="AK108" s="163"/>
      <c r="AL108" s="163"/>
    </row>
    <row r="109" spans="2:38">
      <c r="B109" s="37" t="s">
        <v>35</v>
      </c>
      <c r="C109" s="134"/>
      <c r="D109" s="134">
        <v>146</v>
      </c>
      <c r="E109" s="134">
        <v>153</v>
      </c>
      <c r="F109" s="134">
        <v>242</v>
      </c>
      <c r="G109" s="69">
        <v>276</v>
      </c>
      <c r="H109" s="69">
        <v>278</v>
      </c>
      <c r="I109" s="69">
        <v>279</v>
      </c>
      <c r="J109" s="69">
        <v>261</v>
      </c>
      <c r="K109" s="69">
        <v>246</v>
      </c>
      <c r="L109" s="167">
        <f>L99+L104</f>
        <v>223.364645244489</v>
      </c>
      <c r="M109" s="167">
        <f t="shared" ref="M109:P109" si="254">M99+M104</f>
        <v>252.27643534912318</v>
      </c>
      <c r="N109" s="167">
        <f t="shared" si="254"/>
        <v>261.75783273285117</v>
      </c>
      <c r="O109" s="167">
        <f t="shared" si="254"/>
        <v>279.37241785429137</v>
      </c>
      <c r="P109" s="167">
        <f t="shared" si="254"/>
        <v>297.68794370519561</v>
      </c>
      <c r="Q109" s="163"/>
      <c r="R109" s="134"/>
      <c r="S109" s="45"/>
      <c r="T109" s="45"/>
      <c r="U109" s="134">
        <v>106</v>
      </c>
      <c r="V109" s="68">
        <f>D109-U109</f>
        <v>40</v>
      </c>
      <c r="W109" s="134">
        <v>91</v>
      </c>
      <c r="X109" s="68">
        <f>E109-W109</f>
        <v>62</v>
      </c>
      <c r="Y109" s="134">
        <v>127</v>
      </c>
      <c r="Z109" s="68">
        <f>F109-Y109</f>
        <v>115</v>
      </c>
      <c r="AA109" s="134">
        <v>159</v>
      </c>
      <c r="AB109" s="68">
        <f>G109-AA109</f>
        <v>117</v>
      </c>
      <c r="AC109" s="69">
        <v>156</v>
      </c>
      <c r="AD109" s="68">
        <f>H109-AC109</f>
        <v>122</v>
      </c>
      <c r="AE109" s="69">
        <v>141</v>
      </c>
      <c r="AF109" s="68">
        <f>I109-AE109</f>
        <v>138</v>
      </c>
      <c r="AG109" s="69">
        <v>148</v>
      </c>
      <c r="AH109" s="68">
        <f>J109-AG109</f>
        <v>113</v>
      </c>
      <c r="AI109" s="69">
        <v>135</v>
      </c>
      <c r="AJ109" s="68">
        <f>K109-AI109</f>
        <v>111</v>
      </c>
      <c r="AK109" s="167">
        <f>AK99+AK104</f>
        <v>117.48526199999998</v>
      </c>
      <c r="AL109" s="167">
        <f>L109-AK109</f>
        <v>105.87938324448902</v>
      </c>
    </row>
    <row r="110" spans="2:38">
      <c r="B110" s="46" t="s">
        <v>164</v>
      </c>
      <c r="C110" s="71"/>
      <c r="D110" s="52"/>
      <c r="E110" s="52"/>
      <c r="F110" s="52"/>
      <c r="G110" s="54"/>
      <c r="H110" s="54">
        <f>H109/G109-1</f>
        <v>7.2463768115942351E-3</v>
      </c>
      <c r="I110" s="54">
        <f>I109/H109-1</f>
        <v>3.597122302158251E-3</v>
      </c>
      <c r="J110" s="54">
        <f>J109/I109-1</f>
        <v>-6.4516129032258118E-2</v>
      </c>
      <c r="K110" s="343">
        <f>K109/J109-1</f>
        <v>-5.7471264367816133E-2</v>
      </c>
      <c r="L110" s="344">
        <f t="shared" ref="L110" si="255">L109/K109-1</f>
        <v>-9.2013637217524424E-2</v>
      </c>
      <c r="M110" s="344">
        <f t="shared" ref="M110" si="256">M109/L109-1</f>
        <v>0.12943762909742551</v>
      </c>
      <c r="N110" s="344">
        <f t="shared" ref="N110" si="257">N109/M109-1</f>
        <v>3.7583365131217183E-2</v>
      </c>
      <c r="O110" s="344">
        <f t="shared" ref="O110" si="258">O109/N109-1</f>
        <v>6.7293440419861517E-2</v>
      </c>
      <c r="P110" s="344">
        <f t="shared" ref="P110" si="259">P109/O109-1</f>
        <v>6.5559535159468885E-2</v>
      </c>
      <c r="Q110" s="163"/>
      <c r="R110" s="71"/>
      <c r="S110" s="52"/>
      <c r="T110" s="52"/>
      <c r="U110" s="52"/>
      <c r="V110" s="52"/>
      <c r="W110" s="52"/>
      <c r="X110" s="52"/>
      <c r="Y110" s="52"/>
      <c r="Z110" s="52"/>
      <c r="AA110" s="52"/>
      <c r="AB110" s="52"/>
      <c r="AC110" s="54"/>
      <c r="AD110" s="54"/>
      <c r="AE110" s="54">
        <f t="shared" ref="AE110:AJ110" si="260">AE109/AC109-1</f>
        <v>-9.6153846153846145E-2</v>
      </c>
      <c r="AF110" s="54">
        <f t="shared" si="260"/>
        <v>0.13114754098360648</v>
      </c>
      <c r="AG110" s="54">
        <f t="shared" si="260"/>
        <v>4.9645390070921946E-2</v>
      </c>
      <c r="AH110" s="54">
        <f t="shared" si="260"/>
        <v>-0.1811594202898551</v>
      </c>
      <c r="AI110" s="54">
        <f t="shared" si="260"/>
        <v>-8.7837837837837829E-2</v>
      </c>
      <c r="AJ110" s="54">
        <f t="shared" si="260"/>
        <v>-1.7699115044247815E-2</v>
      </c>
      <c r="AK110" s="345">
        <f t="shared" ref="AK110" si="261">AK109/AI109-1</f>
        <v>-0.12973880000000015</v>
      </c>
      <c r="AL110" s="345">
        <f t="shared" ref="AL110" si="262">AL109/AJ109-1</f>
        <v>-4.6131682482080882E-2</v>
      </c>
    </row>
    <row r="111" spans="2:38">
      <c r="B111" s="46" t="s">
        <v>165</v>
      </c>
      <c r="C111" s="71"/>
      <c r="D111" s="52"/>
      <c r="E111" s="52"/>
      <c r="F111" s="52"/>
      <c r="G111" s="145">
        <f>G109/G93</f>
        <v>7.8297872340425526E-2</v>
      </c>
      <c r="H111" s="145">
        <f>H109/H93</f>
        <v>7.6944367561583168E-2</v>
      </c>
      <c r="I111" s="145">
        <f>I109/I93</f>
        <v>7.7285318559556782E-2</v>
      </c>
      <c r="J111" s="145">
        <f>J109/J93</f>
        <v>7.0693391115926332E-2</v>
      </c>
      <c r="K111" s="145">
        <f>K109/K93</f>
        <v>6.7084810471775294E-2</v>
      </c>
      <c r="L111" s="172">
        <f t="shared" ref="L111:P111" si="263">L109/L93</f>
        <v>6.1419542797837789E-2</v>
      </c>
      <c r="M111" s="172">
        <f t="shared" si="263"/>
        <v>6.767760272959783E-2</v>
      </c>
      <c r="N111" s="172">
        <f t="shared" si="263"/>
        <v>6.8508443691892462E-2</v>
      </c>
      <c r="O111" s="172">
        <f t="shared" si="263"/>
        <v>7.1335231771444171E-2</v>
      </c>
      <c r="P111" s="172">
        <f t="shared" si="263"/>
        <v>7.4157986738412715E-2</v>
      </c>
      <c r="Q111" s="163"/>
      <c r="R111" s="71"/>
      <c r="S111" s="52"/>
      <c r="T111" s="52"/>
      <c r="U111" s="52"/>
      <c r="V111" s="52"/>
      <c r="W111" s="52"/>
      <c r="X111" s="52"/>
      <c r="Y111" s="52"/>
      <c r="Z111" s="52"/>
      <c r="AA111" s="52"/>
      <c r="AB111" s="52"/>
      <c r="AC111" s="145">
        <f t="shared" ref="AC111:AL111" si="264">AC109/AC93</f>
        <v>7.8039019509754878E-2</v>
      </c>
      <c r="AD111" s="145">
        <f t="shared" si="264"/>
        <v>7.5588599752168528E-2</v>
      </c>
      <c r="AE111" s="145">
        <f t="shared" si="264"/>
        <v>7.2233606557377053E-2</v>
      </c>
      <c r="AF111" s="145">
        <f t="shared" si="264"/>
        <v>8.3232810615199035E-2</v>
      </c>
      <c r="AG111" s="145">
        <f t="shared" si="264"/>
        <v>7.4446680080482899E-2</v>
      </c>
      <c r="AH111" s="145">
        <f t="shared" si="264"/>
        <v>6.6314553990610328E-2</v>
      </c>
      <c r="AI111" s="145">
        <f t="shared" si="264"/>
        <v>6.7365269461077848E-2</v>
      </c>
      <c r="AJ111" s="145">
        <f t="shared" si="264"/>
        <v>6.6746843054720381E-2</v>
      </c>
      <c r="AK111" s="172">
        <f t="shared" si="264"/>
        <v>5.9187663038385609E-2</v>
      </c>
      <c r="AL111" s="172">
        <f t="shared" si="264"/>
        <v>6.4101680062577562E-2</v>
      </c>
    </row>
    <row r="112" spans="2:38">
      <c r="B112" s="46" t="s">
        <v>162</v>
      </c>
      <c r="C112" s="71"/>
      <c r="D112" s="52"/>
      <c r="E112" s="52"/>
      <c r="F112" s="52"/>
      <c r="G112" s="54"/>
      <c r="H112" s="54">
        <f>H111-G111</f>
        <v>-1.3535047788423571E-3</v>
      </c>
      <c r="I112" s="54">
        <f>I111-H111</f>
        <v>3.4095099797361306E-4</v>
      </c>
      <c r="J112" s="54">
        <f>J111-I111</f>
        <v>-6.5919274436304492E-3</v>
      </c>
      <c r="K112" s="54">
        <f>K111-J111</f>
        <v>-3.6085806441510382E-3</v>
      </c>
      <c r="L112" s="345">
        <f t="shared" ref="L112" si="265">L111-K111</f>
        <v>-5.6652676739375046E-3</v>
      </c>
      <c r="M112" s="345">
        <f t="shared" ref="M112" si="266">M111-L111</f>
        <v>6.2580599317600405E-3</v>
      </c>
      <c r="N112" s="345">
        <f t="shared" ref="N112" si="267">N111-M111</f>
        <v>8.3084096229463222E-4</v>
      </c>
      <c r="O112" s="345">
        <f t="shared" ref="O112" si="268">O111-N111</f>
        <v>2.8267880795517092E-3</v>
      </c>
      <c r="P112" s="345">
        <f t="shared" ref="P112" si="269">P111-O111</f>
        <v>2.8227549669685437E-3</v>
      </c>
      <c r="Q112" s="163"/>
      <c r="R112" s="71"/>
      <c r="S112" s="52"/>
      <c r="T112" s="52"/>
      <c r="U112" s="52"/>
      <c r="V112" s="52"/>
      <c r="W112" s="52"/>
      <c r="X112" s="52"/>
      <c r="Y112" s="52"/>
      <c r="Z112" s="52"/>
      <c r="AA112" s="52"/>
      <c r="AB112" s="52"/>
      <c r="AC112" s="54"/>
      <c r="AD112" s="54"/>
      <c r="AE112" s="54">
        <f t="shared" ref="AE112:AJ112" si="270">AE111-AC111</f>
        <v>-5.8054129523778253E-3</v>
      </c>
      <c r="AF112" s="54">
        <f t="shared" si="270"/>
        <v>7.6442108630305067E-3</v>
      </c>
      <c r="AG112" s="54">
        <f t="shared" si="270"/>
        <v>2.2130735231058463E-3</v>
      </c>
      <c r="AH112" s="54">
        <f t="shared" si="270"/>
        <v>-1.6918256624588707E-2</v>
      </c>
      <c r="AI112" s="54">
        <f t="shared" si="270"/>
        <v>-7.0814106194050513E-3</v>
      </c>
      <c r="AJ112" s="54">
        <f t="shared" si="270"/>
        <v>4.3228906411005297E-4</v>
      </c>
      <c r="AK112" s="345">
        <f t="shared" ref="AK112" si="271">AK111-AI111</f>
        <v>-8.1776064226922393E-3</v>
      </c>
      <c r="AL112" s="345">
        <f t="shared" ref="AL112" si="272">AL111-AJ111</f>
        <v>-2.6451629921428188E-3</v>
      </c>
    </row>
    <row r="113" spans="1:38">
      <c r="B113" s="46"/>
      <c r="C113" s="71"/>
      <c r="D113" s="52"/>
      <c r="E113" s="52"/>
      <c r="F113" s="52"/>
      <c r="G113" s="52"/>
      <c r="H113" s="52"/>
      <c r="I113" s="52"/>
      <c r="J113" s="52"/>
      <c r="K113" s="52"/>
      <c r="L113" s="163"/>
      <c r="M113" s="163"/>
      <c r="N113" s="163"/>
      <c r="O113" s="163"/>
      <c r="P113" s="163"/>
      <c r="Q113" s="163"/>
      <c r="R113" s="71"/>
      <c r="S113" s="52"/>
      <c r="T113" s="52"/>
      <c r="U113" s="52"/>
      <c r="V113" s="52"/>
      <c r="W113" s="52"/>
      <c r="X113" s="52"/>
      <c r="Y113" s="52"/>
      <c r="Z113" s="52"/>
      <c r="AA113" s="52"/>
      <c r="AB113" s="52"/>
      <c r="AC113" s="52"/>
      <c r="AD113" s="52"/>
      <c r="AE113" s="52"/>
      <c r="AF113" s="52"/>
      <c r="AG113" s="52"/>
      <c r="AH113" s="52"/>
      <c r="AI113" s="52"/>
      <c r="AJ113" s="52"/>
      <c r="AK113" s="163"/>
      <c r="AL113" s="163"/>
    </row>
    <row r="114" spans="1:38">
      <c r="B114" s="37" t="s">
        <v>36</v>
      </c>
      <c r="C114" s="134"/>
      <c r="D114" s="134">
        <v>-35</v>
      </c>
      <c r="E114" s="134">
        <v>-33</v>
      </c>
      <c r="F114" s="134">
        <v>-104</v>
      </c>
      <c r="G114" s="69">
        <v>-111</v>
      </c>
      <c r="H114" s="69">
        <v>-115</v>
      </c>
      <c r="I114" s="69">
        <v>-122</v>
      </c>
      <c r="J114" s="69">
        <v>-128</v>
      </c>
      <c r="K114" s="69">
        <v>-133</v>
      </c>
      <c r="L114" s="167">
        <f>K114*(1+L115)</f>
        <v>-136.99</v>
      </c>
      <c r="M114" s="167">
        <f t="shared" ref="M114" si="273">L114*(1+M115)</f>
        <v>-141.09970000000001</v>
      </c>
      <c r="N114" s="167">
        <f t="shared" ref="N114" si="274">M114*(1+N115)</f>
        <v>-145.33269100000001</v>
      </c>
      <c r="O114" s="167">
        <f t="shared" ref="O114" si="275">N114*(1+O115)</f>
        <v>-149.69267173000003</v>
      </c>
      <c r="P114" s="167">
        <f t="shared" ref="P114" si="276">O114*(1+P115)</f>
        <v>-154.18345188190003</v>
      </c>
      <c r="Q114" s="163"/>
      <c r="R114" s="134"/>
      <c r="S114" s="45"/>
      <c r="T114" s="45"/>
      <c r="U114" s="134">
        <v>-26</v>
      </c>
      <c r="V114" s="68">
        <f>D114-U114</f>
        <v>-9</v>
      </c>
      <c r="W114" s="134">
        <v>-17</v>
      </c>
      <c r="X114" s="68">
        <f>E114-W114</f>
        <v>-16</v>
      </c>
      <c r="Y114" s="134">
        <v>-51</v>
      </c>
      <c r="Z114" s="68">
        <f>F114-Y114</f>
        <v>-53</v>
      </c>
      <c r="AA114" s="134">
        <v>-55</v>
      </c>
      <c r="AB114" s="68">
        <f>G114-AA114</f>
        <v>-56</v>
      </c>
      <c r="AC114" s="69">
        <v>-57</v>
      </c>
      <c r="AD114" s="68">
        <f>H114-AC114</f>
        <v>-58</v>
      </c>
      <c r="AE114" s="69">
        <v>-61</v>
      </c>
      <c r="AF114" s="68">
        <f>I114-AE114</f>
        <v>-61</v>
      </c>
      <c r="AG114" s="69">
        <v>-64</v>
      </c>
      <c r="AH114" s="68">
        <f>J114-AG114</f>
        <v>-64</v>
      </c>
      <c r="AI114" s="69">
        <v>-68</v>
      </c>
      <c r="AJ114" s="68">
        <f>K114-AI114</f>
        <v>-65</v>
      </c>
      <c r="AK114" s="167">
        <f>AI114*(1+AK115)</f>
        <v>-70.040000000000006</v>
      </c>
      <c r="AL114" s="167">
        <f>L114-AK114</f>
        <v>-66.95</v>
      </c>
    </row>
    <row r="115" spans="1:38">
      <c r="B115" s="46" t="s">
        <v>159</v>
      </c>
      <c r="C115" s="71"/>
      <c r="D115" s="52"/>
      <c r="E115" s="52"/>
      <c r="F115" s="52"/>
      <c r="G115" s="54"/>
      <c r="H115" s="54">
        <f>H114/G114-1</f>
        <v>3.6036036036036112E-2</v>
      </c>
      <c r="I115" s="54">
        <f>I114/H114-1</f>
        <v>6.0869565217391397E-2</v>
      </c>
      <c r="J115" s="54">
        <f>J114/I114-1</f>
        <v>4.9180327868852514E-2</v>
      </c>
      <c r="K115" s="343">
        <f>K114/J114-1</f>
        <v>3.90625E-2</v>
      </c>
      <c r="L115" s="171">
        <v>0.03</v>
      </c>
      <c r="M115" s="171">
        <v>0.03</v>
      </c>
      <c r="N115" s="171">
        <v>0.03</v>
      </c>
      <c r="O115" s="171">
        <v>0.03</v>
      </c>
      <c r="P115" s="171">
        <v>0.03</v>
      </c>
      <c r="Q115" s="163"/>
      <c r="R115" s="71"/>
      <c r="S115" s="52"/>
      <c r="T115" s="52"/>
      <c r="U115" s="52"/>
      <c r="V115" s="52"/>
      <c r="W115" s="52"/>
      <c r="X115" s="52"/>
      <c r="Y115" s="52"/>
      <c r="Z115" s="52"/>
      <c r="AA115" s="52"/>
      <c r="AB115" s="52"/>
      <c r="AC115" s="54"/>
      <c r="AD115" s="54"/>
      <c r="AE115" s="54">
        <f t="shared" ref="AE115:AJ115" si="277">AE114/AC114-1</f>
        <v>7.0175438596491224E-2</v>
      </c>
      <c r="AF115" s="54">
        <f t="shared" si="277"/>
        <v>5.1724137931034475E-2</v>
      </c>
      <c r="AG115" s="54">
        <f t="shared" si="277"/>
        <v>4.9180327868852514E-2</v>
      </c>
      <c r="AH115" s="54">
        <f t="shared" si="277"/>
        <v>4.9180327868852514E-2</v>
      </c>
      <c r="AI115" s="54">
        <f t="shared" si="277"/>
        <v>6.25E-2</v>
      </c>
      <c r="AJ115" s="54">
        <f t="shared" si="277"/>
        <v>1.5625E-2</v>
      </c>
      <c r="AK115" s="171">
        <v>0.03</v>
      </c>
      <c r="AL115" s="345">
        <f>AL114/AJ114-1</f>
        <v>3.0000000000000027E-2</v>
      </c>
    </row>
    <row r="116" spans="1:38">
      <c r="B116" s="46" t="s">
        <v>163</v>
      </c>
      <c r="C116" s="52"/>
      <c r="D116" s="52"/>
      <c r="E116" s="52"/>
      <c r="F116" s="52"/>
      <c r="G116" s="54">
        <f>G114/G93</f>
        <v>-3.1489361702127662E-2</v>
      </c>
      <c r="H116" s="54">
        <f>H114/H93</f>
        <v>-3.1829504566841957E-2</v>
      </c>
      <c r="I116" s="54">
        <f>I114/I93</f>
        <v>-3.3795013850415515E-2</v>
      </c>
      <c r="J116" s="54">
        <f>J114/J93</f>
        <v>-3.4669555796316358E-2</v>
      </c>
      <c r="K116" s="54">
        <f>K114/K93</f>
        <v>-3.6269430051813469E-2</v>
      </c>
      <c r="L116" s="345">
        <f t="shared" ref="L116:P116" si="278">L114/L93</f>
        <v>-3.7668732930702657E-2</v>
      </c>
      <c r="M116" s="345">
        <f t="shared" si="278"/>
        <v>-3.78524828474378E-2</v>
      </c>
      <c r="N116" s="345">
        <f t="shared" si="278"/>
        <v>-3.8037129105230182E-2</v>
      </c>
      <c r="O116" s="345">
        <f t="shared" si="278"/>
        <v>-3.8222676076475219E-2</v>
      </c>
      <c r="P116" s="345">
        <f t="shared" si="278"/>
        <v>-3.8409128154897047E-2</v>
      </c>
      <c r="Q116" s="163"/>
      <c r="R116" s="52"/>
      <c r="S116" s="52"/>
      <c r="T116" s="52"/>
      <c r="U116" s="52"/>
      <c r="V116" s="52"/>
      <c r="W116" s="52"/>
      <c r="X116" s="52"/>
      <c r="Y116" s="52"/>
      <c r="Z116" s="52"/>
      <c r="AA116" s="52"/>
      <c r="AB116" s="52"/>
      <c r="AC116" s="54">
        <f t="shared" ref="AC116:AL116" si="279">AC114/AC93</f>
        <v>-2.8514257128564282E-2</v>
      </c>
      <c r="AD116" s="54">
        <f t="shared" si="279"/>
        <v>-3.5935563816604711E-2</v>
      </c>
      <c r="AE116" s="54">
        <f t="shared" si="279"/>
        <v>-3.125E-2</v>
      </c>
      <c r="AF116" s="54">
        <f t="shared" si="279"/>
        <v>-3.67913148371532E-2</v>
      </c>
      <c r="AG116" s="54">
        <f t="shared" si="279"/>
        <v>-3.2193158953722337E-2</v>
      </c>
      <c r="AH116" s="54">
        <f t="shared" si="279"/>
        <v>-3.7558685446009391E-2</v>
      </c>
      <c r="AI116" s="54">
        <f t="shared" si="279"/>
        <v>-3.3932135728542916E-2</v>
      </c>
      <c r="AJ116" s="54">
        <f t="shared" si="279"/>
        <v>-3.9085989176187615E-2</v>
      </c>
      <c r="AK116" s="345">
        <f t="shared" si="279"/>
        <v>-3.528531024775286E-2</v>
      </c>
      <c r="AL116" s="345">
        <f t="shared" si="279"/>
        <v>-4.053298525813754E-2</v>
      </c>
    </row>
    <row r="117" spans="1:38">
      <c r="B117" s="46" t="s">
        <v>162</v>
      </c>
      <c r="C117" s="52"/>
      <c r="D117" s="52"/>
      <c r="E117" s="52"/>
      <c r="F117" s="52"/>
      <c r="G117" s="54"/>
      <c r="H117" s="54">
        <f>H116-G116</f>
        <v>-3.4014286471429483E-4</v>
      </c>
      <c r="I117" s="54">
        <f>I116-H116</f>
        <v>-1.9655092835735577E-3</v>
      </c>
      <c r="J117" s="54">
        <f>J116-I116</f>
        <v>-8.7454194590084328E-4</v>
      </c>
      <c r="K117" s="54">
        <f>K116-J116</f>
        <v>-1.5998742554971107E-3</v>
      </c>
      <c r="L117" s="345">
        <f t="shared" ref="L117" si="280">L116-K116</f>
        <v>-1.3993028788891887E-3</v>
      </c>
      <c r="M117" s="345">
        <f t="shared" ref="M117" si="281">M116-L116</f>
        <v>-1.8374991673514307E-4</v>
      </c>
      <c r="N117" s="345">
        <f t="shared" ref="N117" si="282">N116-M116</f>
        <v>-1.8464625779238131E-4</v>
      </c>
      <c r="O117" s="345">
        <f t="shared" ref="O117" si="283">O116-N116</f>
        <v>-1.855469712450375E-4</v>
      </c>
      <c r="P117" s="345">
        <f t="shared" ref="P117" si="284">P116-O116</f>
        <v>-1.864520784218282E-4</v>
      </c>
      <c r="Q117" s="163"/>
      <c r="R117" s="52"/>
      <c r="S117" s="52"/>
      <c r="T117" s="52"/>
      <c r="U117" s="52"/>
      <c r="V117" s="52"/>
      <c r="W117" s="52"/>
      <c r="X117" s="52"/>
      <c r="Y117" s="52"/>
      <c r="Z117" s="52"/>
      <c r="AA117" s="52"/>
      <c r="AB117" s="52"/>
      <c r="AC117" s="54"/>
      <c r="AD117" s="54"/>
      <c r="AE117" s="54">
        <f t="shared" ref="AE117:AJ117" si="285">AE116-AC116</f>
        <v>-2.7357428714357181E-3</v>
      </c>
      <c r="AF117" s="54">
        <f t="shared" si="285"/>
        <v>-8.5575102054848834E-4</v>
      </c>
      <c r="AG117" s="54">
        <f t="shared" si="285"/>
        <v>-9.4315895372233671E-4</v>
      </c>
      <c r="AH117" s="54">
        <f t="shared" si="285"/>
        <v>-7.6737060885619102E-4</v>
      </c>
      <c r="AI117" s="54">
        <f t="shared" si="285"/>
        <v>-1.7389767748205789E-3</v>
      </c>
      <c r="AJ117" s="54">
        <f t="shared" si="285"/>
        <v>-1.5273037301782241E-3</v>
      </c>
      <c r="AK117" s="345">
        <f t="shared" ref="AK117" si="286">AK116-AI116</f>
        <v>-1.3531745192099445E-3</v>
      </c>
      <c r="AL117" s="345">
        <f t="shared" ref="AL117" si="287">AL116-AJ116</f>
        <v>-1.446996081949925E-3</v>
      </c>
    </row>
    <row r="118" spans="1:38">
      <c r="B118" s="46"/>
      <c r="C118" s="52"/>
      <c r="D118" s="52"/>
      <c r="E118" s="52"/>
      <c r="F118" s="52"/>
      <c r="G118" s="52"/>
      <c r="H118" s="52"/>
      <c r="I118" s="52"/>
      <c r="J118" s="70"/>
      <c r="K118" s="70"/>
      <c r="L118" s="167"/>
      <c r="M118" s="163"/>
      <c r="N118" s="163"/>
      <c r="O118" s="163"/>
      <c r="P118" s="163"/>
      <c r="Q118" s="163"/>
      <c r="R118" s="52"/>
      <c r="S118" s="52"/>
      <c r="T118" s="52"/>
      <c r="U118" s="52"/>
      <c r="V118" s="52"/>
      <c r="W118" s="52"/>
      <c r="X118" s="52"/>
      <c r="Y118" s="52"/>
      <c r="Z118" s="52"/>
      <c r="AA118" s="52"/>
      <c r="AB118" s="52"/>
      <c r="AC118" s="52"/>
      <c r="AD118" s="52"/>
      <c r="AE118" s="52"/>
      <c r="AF118" s="52"/>
      <c r="AG118" s="52"/>
      <c r="AH118" s="52"/>
      <c r="AI118" s="52"/>
      <c r="AJ118" s="52"/>
      <c r="AK118" s="163"/>
      <c r="AL118" s="163"/>
    </row>
    <row r="119" spans="1:38">
      <c r="B119" s="37" t="s">
        <v>33</v>
      </c>
      <c r="C119" s="69">
        <v>138</v>
      </c>
      <c r="D119" s="70">
        <v>130</v>
      </c>
      <c r="E119" s="70">
        <v>120</v>
      </c>
      <c r="F119" s="70">
        <v>138</v>
      </c>
      <c r="G119" s="70">
        <v>165</v>
      </c>
      <c r="H119" s="70">
        <v>163</v>
      </c>
      <c r="I119" s="70">
        <v>157</v>
      </c>
      <c r="J119" s="70">
        <v>133</v>
      </c>
      <c r="K119" s="70">
        <v>113</v>
      </c>
      <c r="L119" s="167">
        <f t="shared" ref="L119:P119" si="288">L109+L114</f>
        <v>86.374645244488988</v>
      </c>
      <c r="M119" s="167">
        <f t="shared" si="288"/>
        <v>111.17673534912316</v>
      </c>
      <c r="N119" s="167">
        <f t="shared" si="288"/>
        <v>116.42514173285116</v>
      </c>
      <c r="O119" s="167">
        <f t="shared" si="288"/>
        <v>129.67974612429134</v>
      </c>
      <c r="P119" s="167">
        <f t="shared" si="288"/>
        <v>143.50449182329558</v>
      </c>
      <c r="Q119" s="163"/>
      <c r="R119" s="69"/>
      <c r="S119" s="69"/>
      <c r="T119" s="68"/>
      <c r="U119" s="69">
        <v>80</v>
      </c>
      <c r="V119" s="68">
        <f>D119-U119</f>
        <v>50</v>
      </c>
      <c r="W119" s="70">
        <v>74</v>
      </c>
      <c r="X119" s="68">
        <f>E119-W119</f>
        <v>46</v>
      </c>
      <c r="Y119" s="70">
        <v>76</v>
      </c>
      <c r="Z119" s="68">
        <f>F119-Y119</f>
        <v>62</v>
      </c>
      <c r="AA119" s="70">
        <v>104</v>
      </c>
      <c r="AB119" s="68">
        <f>G119-AA119</f>
        <v>61</v>
      </c>
      <c r="AC119" s="70">
        <v>99</v>
      </c>
      <c r="AD119" s="68">
        <f>H119-AC119</f>
        <v>64</v>
      </c>
      <c r="AE119" s="70">
        <v>80</v>
      </c>
      <c r="AF119" s="68">
        <f>I119-AE119</f>
        <v>77</v>
      </c>
      <c r="AG119" s="70">
        <v>84</v>
      </c>
      <c r="AH119" s="68">
        <f>J119-AG119</f>
        <v>49</v>
      </c>
      <c r="AI119" s="70">
        <v>67</v>
      </c>
      <c r="AJ119" s="68">
        <f>K119-AI119</f>
        <v>46</v>
      </c>
      <c r="AK119" s="167">
        <f>AK109+AK114</f>
        <v>47.445261999999971</v>
      </c>
      <c r="AL119" s="167">
        <f>AL109+AL114</f>
        <v>38.929383244489017</v>
      </c>
    </row>
    <row r="120" spans="1:38">
      <c r="B120" s="46" t="s">
        <v>164</v>
      </c>
      <c r="C120" s="52"/>
      <c r="D120" s="54">
        <f t="shared" ref="D120:K120" si="289">D119/C119-1</f>
        <v>-5.7971014492753659E-2</v>
      </c>
      <c r="E120" s="54">
        <f t="shared" si="289"/>
        <v>-7.6923076923076872E-2</v>
      </c>
      <c r="F120" s="54">
        <f t="shared" si="289"/>
        <v>0.14999999999999991</v>
      </c>
      <c r="G120" s="54">
        <f t="shared" si="289"/>
        <v>0.19565217391304346</v>
      </c>
      <c r="H120" s="54">
        <f t="shared" si="289"/>
        <v>-1.2121212121212088E-2</v>
      </c>
      <c r="I120" s="54">
        <f t="shared" si="289"/>
        <v>-3.6809815950920255E-2</v>
      </c>
      <c r="J120" s="54">
        <f t="shared" si="289"/>
        <v>-0.15286624203821653</v>
      </c>
      <c r="K120" s="343">
        <f t="shared" si="289"/>
        <v>-0.15037593984962405</v>
      </c>
      <c r="L120" s="344">
        <f t="shared" ref="L120" si="290">L119/K119-1</f>
        <v>-0.2356226084558497</v>
      </c>
      <c r="M120" s="344">
        <f t="shared" ref="M120" si="291">M119/L119-1</f>
        <v>0.28714549315288385</v>
      </c>
      <c r="N120" s="344">
        <f t="shared" ref="N120" si="292">N119/M119-1</f>
        <v>4.7207775684783959E-2</v>
      </c>
      <c r="O120" s="344">
        <f t="shared" ref="O120" si="293">O119/N119-1</f>
        <v>0.11384658153866933</v>
      </c>
      <c r="P120" s="344">
        <f t="shared" ref="P120" si="294">P119/O119-1</f>
        <v>0.10660682267031851</v>
      </c>
      <c r="Q120" s="163"/>
      <c r="R120" s="52"/>
      <c r="S120" s="52"/>
      <c r="T120" s="52"/>
      <c r="U120" s="54"/>
      <c r="V120" s="54"/>
      <c r="W120" s="54">
        <f t="shared" ref="W120:AJ120" si="295">W119/U119-1</f>
        <v>-7.4999999999999956E-2</v>
      </c>
      <c r="X120" s="54">
        <f t="shared" si="295"/>
        <v>-7.999999999999996E-2</v>
      </c>
      <c r="Y120" s="54">
        <f t="shared" si="295"/>
        <v>2.7027027027026973E-2</v>
      </c>
      <c r="Z120" s="54">
        <f t="shared" si="295"/>
        <v>0.34782608695652173</v>
      </c>
      <c r="AA120" s="54">
        <f t="shared" si="295"/>
        <v>0.36842105263157898</v>
      </c>
      <c r="AB120" s="54">
        <f t="shared" si="295"/>
        <v>-1.6129032258064502E-2</v>
      </c>
      <c r="AC120" s="54">
        <f t="shared" si="295"/>
        <v>-4.8076923076923128E-2</v>
      </c>
      <c r="AD120" s="54">
        <f t="shared" si="295"/>
        <v>4.9180327868852514E-2</v>
      </c>
      <c r="AE120" s="54">
        <f t="shared" si="295"/>
        <v>-0.19191919191919193</v>
      </c>
      <c r="AF120" s="54">
        <f t="shared" si="295"/>
        <v>0.203125</v>
      </c>
      <c r="AG120" s="54">
        <f t="shared" si="295"/>
        <v>5.0000000000000044E-2</v>
      </c>
      <c r="AH120" s="54">
        <f t="shared" si="295"/>
        <v>-0.36363636363636365</v>
      </c>
      <c r="AI120" s="54">
        <f t="shared" si="295"/>
        <v>-0.20238095238095233</v>
      </c>
      <c r="AJ120" s="54">
        <f t="shared" si="295"/>
        <v>-6.1224489795918324E-2</v>
      </c>
      <c r="AK120" s="345">
        <f t="shared" ref="AK120" si="296">AK119/AI119-1</f>
        <v>-0.29186176119403029</v>
      </c>
      <c r="AL120" s="345">
        <f t="shared" ref="AL120" si="297">AL119/AJ119-1</f>
        <v>-0.15370905990241268</v>
      </c>
    </row>
    <row r="121" spans="1:38">
      <c r="A121" s="5" t="s">
        <v>325</v>
      </c>
      <c r="B121" s="46" t="s">
        <v>154</v>
      </c>
      <c r="C121" s="145">
        <f t="shared" ref="C121:L121" si="298">C119/C93</f>
        <v>4.2817251008377286E-2</v>
      </c>
      <c r="D121" s="145">
        <f t="shared" si="298"/>
        <v>3.9227519613759809E-2</v>
      </c>
      <c r="E121" s="145">
        <f t="shared" si="298"/>
        <v>3.9177277179236046E-2</v>
      </c>
      <c r="F121" s="145">
        <f t="shared" si="298"/>
        <v>4.1717049576783558E-2</v>
      </c>
      <c r="G121" s="145">
        <f t="shared" si="298"/>
        <v>4.6808510638297871E-2</v>
      </c>
      <c r="H121" s="145">
        <f t="shared" si="298"/>
        <v>4.5114862994741212E-2</v>
      </c>
      <c r="I121" s="145">
        <f t="shared" si="298"/>
        <v>4.3490304709141274E-2</v>
      </c>
      <c r="J121" s="145">
        <f t="shared" si="298"/>
        <v>3.6023835319609968E-2</v>
      </c>
      <c r="K121" s="145">
        <f t="shared" si="298"/>
        <v>3.0815380419961822E-2</v>
      </c>
      <c r="L121" s="172">
        <f t="shared" si="298"/>
        <v>2.3750809867135132E-2</v>
      </c>
      <c r="M121" s="172">
        <f t="shared" ref="M121:P121" si="299">M119/M93</f>
        <v>2.9825119882160033E-2</v>
      </c>
      <c r="N121" s="172">
        <f t="shared" si="299"/>
        <v>3.0471314586662281E-2</v>
      </c>
      <c r="O121" s="172">
        <f t="shared" si="299"/>
        <v>3.3112555694968952E-2</v>
      </c>
      <c r="P121" s="172">
        <f t="shared" si="299"/>
        <v>3.5748858583515661E-2</v>
      </c>
      <c r="Q121" s="163"/>
      <c r="R121" s="145"/>
      <c r="S121" s="145"/>
      <c r="T121" s="145"/>
      <c r="U121" s="145">
        <f t="shared" ref="U121:AL121" si="300">U119/U93</f>
        <v>4.6484601975595584E-2</v>
      </c>
      <c r="V121" s="145">
        <f t="shared" si="300"/>
        <v>3.1387319522912745E-2</v>
      </c>
      <c r="W121" s="145">
        <f t="shared" si="300"/>
        <v>4.5204642638973731E-2</v>
      </c>
      <c r="X121" s="145">
        <f t="shared" si="300"/>
        <v>3.2258064516129031E-2</v>
      </c>
      <c r="Y121" s="145">
        <f t="shared" si="300"/>
        <v>4.49438202247191E-2</v>
      </c>
      <c r="Z121" s="145">
        <f t="shared" si="300"/>
        <v>3.8342609771181202E-2</v>
      </c>
      <c r="AA121" s="145">
        <f t="shared" si="300"/>
        <v>5.3442959917780058E-2</v>
      </c>
      <c r="AB121" s="145">
        <f t="shared" si="300"/>
        <v>3.8632045598480054E-2</v>
      </c>
      <c r="AC121" s="145">
        <f t="shared" si="300"/>
        <v>4.9524762381190593E-2</v>
      </c>
      <c r="AD121" s="145">
        <f t="shared" si="300"/>
        <v>3.9653035935563817E-2</v>
      </c>
      <c r="AE121" s="145">
        <f t="shared" si="300"/>
        <v>4.0983606557377046E-2</v>
      </c>
      <c r="AF121" s="145">
        <f t="shared" si="300"/>
        <v>4.6441495778045835E-2</v>
      </c>
      <c r="AG121" s="145">
        <f t="shared" si="300"/>
        <v>4.2253521126760563E-2</v>
      </c>
      <c r="AH121" s="145">
        <f t="shared" si="300"/>
        <v>2.8755868544600938E-2</v>
      </c>
      <c r="AI121" s="145">
        <f t="shared" si="300"/>
        <v>3.3433133732534932E-2</v>
      </c>
      <c r="AJ121" s="145">
        <f t="shared" si="300"/>
        <v>2.7660853878532773E-2</v>
      </c>
      <c r="AK121" s="172">
        <f t="shared" si="300"/>
        <v>2.3902352790632752E-2</v>
      </c>
      <c r="AL121" s="172">
        <f t="shared" si="300"/>
        <v>2.3568694804440026E-2</v>
      </c>
    </row>
    <row r="122" spans="1:38">
      <c r="B122" s="46" t="s">
        <v>162</v>
      </c>
      <c r="C122" s="52"/>
      <c r="D122" s="54">
        <f t="shared" ref="D122:K122" si="301">D121-C121</f>
        <v>-3.5897313946174764E-3</v>
      </c>
      <c r="E122" s="54">
        <f t="shared" si="301"/>
        <v>-5.0242434523763146E-5</v>
      </c>
      <c r="F122" s="54">
        <f t="shared" si="301"/>
        <v>2.5397723975475114E-3</v>
      </c>
      <c r="G122" s="54">
        <f t="shared" si="301"/>
        <v>5.091461061514313E-3</v>
      </c>
      <c r="H122" s="54">
        <f t="shared" si="301"/>
        <v>-1.6936476435566589E-3</v>
      </c>
      <c r="I122" s="54">
        <f t="shared" si="301"/>
        <v>-1.6245582855999377E-3</v>
      </c>
      <c r="J122" s="54">
        <f t="shared" si="301"/>
        <v>-7.4664693895313064E-3</v>
      </c>
      <c r="K122" s="54">
        <f t="shared" si="301"/>
        <v>-5.2084548996481454E-3</v>
      </c>
      <c r="L122" s="345">
        <f t="shared" ref="L122" si="302">L121-K121</f>
        <v>-7.0645705528266899E-3</v>
      </c>
      <c r="M122" s="345">
        <f t="shared" ref="M122" si="303">M121-L121</f>
        <v>6.0743100150249009E-3</v>
      </c>
      <c r="N122" s="345">
        <f t="shared" ref="N122" si="304">N121-M121</f>
        <v>6.4619470450224745E-4</v>
      </c>
      <c r="O122" s="345">
        <f t="shared" ref="O122" si="305">O121-N121</f>
        <v>2.6412411083066717E-3</v>
      </c>
      <c r="P122" s="345">
        <f t="shared" ref="P122" si="306">P121-O121</f>
        <v>2.6363028885467085E-3</v>
      </c>
      <c r="Q122" s="163"/>
      <c r="R122" s="52"/>
      <c r="S122" s="52"/>
      <c r="T122" s="52"/>
      <c r="U122" s="54">
        <f t="shared" ref="U122:AJ122" si="307">U121-S121</f>
        <v>4.6484601975595584E-2</v>
      </c>
      <c r="V122" s="54">
        <f t="shared" si="307"/>
        <v>3.1387319522912745E-2</v>
      </c>
      <c r="W122" s="54">
        <f t="shared" si="307"/>
        <v>-1.2799593366218526E-3</v>
      </c>
      <c r="X122" s="54">
        <f t="shared" si="307"/>
        <v>8.7074499321628668E-4</v>
      </c>
      <c r="Y122" s="54">
        <f t="shared" si="307"/>
        <v>-2.6082241425463143E-4</v>
      </c>
      <c r="Z122" s="54">
        <f t="shared" si="307"/>
        <v>6.0845452550521706E-3</v>
      </c>
      <c r="AA122" s="54">
        <f t="shared" si="307"/>
        <v>8.4991396930609586E-3</v>
      </c>
      <c r="AB122" s="54">
        <f t="shared" si="307"/>
        <v>2.8943582729885203E-4</v>
      </c>
      <c r="AC122" s="54">
        <f t="shared" si="307"/>
        <v>-3.9181975365894656E-3</v>
      </c>
      <c r="AD122" s="54">
        <f t="shared" si="307"/>
        <v>1.0209903370837631E-3</v>
      </c>
      <c r="AE122" s="54">
        <f t="shared" si="307"/>
        <v>-8.5411558238135468E-3</v>
      </c>
      <c r="AF122" s="54">
        <f t="shared" si="307"/>
        <v>6.7884598424820183E-3</v>
      </c>
      <c r="AG122" s="54">
        <f t="shared" si="307"/>
        <v>1.2699145693835165E-3</v>
      </c>
      <c r="AH122" s="54">
        <f t="shared" si="307"/>
        <v>-1.7685627233444898E-2</v>
      </c>
      <c r="AI122" s="54">
        <f t="shared" si="307"/>
        <v>-8.8203873942256303E-3</v>
      </c>
      <c r="AJ122" s="54">
        <f t="shared" si="307"/>
        <v>-1.0950146660681642E-3</v>
      </c>
      <c r="AK122" s="345">
        <f t="shared" ref="AK122" si="308">AK121-AI121</f>
        <v>-9.5307809419021804E-3</v>
      </c>
      <c r="AL122" s="345">
        <f t="shared" ref="AL122" si="309">AL121-AJ121</f>
        <v>-4.0921590740927473E-3</v>
      </c>
    </row>
    <row r="123" spans="1:38">
      <c r="B123" s="46"/>
      <c r="C123" s="52"/>
      <c r="D123" s="52"/>
      <c r="E123" s="52"/>
      <c r="F123" s="52"/>
      <c r="G123" s="52"/>
      <c r="H123" s="52"/>
      <c r="I123" s="52"/>
      <c r="J123" s="52"/>
      <c r="K123" s="52"/>
      <c r="L123" s="163"/>
      <c r="M123" s="163"/>
      <c r="N123" s="163"/>
      <c r="O123" s="163"/>
      <c r="P123" s="163"/>
      <c r="Q123" s="163"/>
      <c r="R123" s="52"/>
      <c r="S123" s="52"/>
      <c r="T123" s="52"/>
      <c r="U123" s="52"/>
      <c r="V123" s="52"/>
      <c r="W123" s="52"/>
      <c r="X123" s="52"/>
      <c r="Y123" s="52"/>
      <c r="Z123" s="52"/>
      <c r="AA123" s="52"/>
      <c r="AB123" s="52"/>
      <c r="AC123" s="52"/>
      <c r="AD123" s="52"/>
      <c r="AE123" s="52"/>
      <c r="AF123" s="52"/>
      <c r="AG123" s="52"/>
      <c r="AH123" s="52"/>
      <c r="AI123" s="52"/>
      <c r="AJ123" s="52"/>
      <c r="AK123" s="163"/>
      <c r="AL123" s="163"/>
    </row>
    <row r="124" spans="1:38">
      <c r="B124" s="37" t="s">
        <v>37</v>
      </c>
      <c r="C124" s="51"/>
      <c r="D124" s="51"/>
      <c r="E124" s="51"/>
      <c r="F124" s="51">
        <f>F126-F119</f>
        <v>-18</v>
      </c>
      <c r="G124" s="138">
        <f t="shared" ref="G124:P124" si="310">F124*(1+G137)</f>
        <v>-18.215969171196665</v>
      </c>
      <c r="H124" s="138">
        <f t="shared" si="310"/>
        <v>-18.507715579023067</v>
      </c>
      <c r="I124" s="138">
        <f t="shared" si="310"/>
        <v>-18.739859884311358</v>
      </c>
      <c r="J124" s="138">
        <f t="shared" si="310"/>
        <v>-19.547072010740312</v>
      </c>
      <c r="K124" s="138">
        <f t="shared" si="310"/>
        <v>-19.635600663037536</v>
      </c>
      <c r="L124" s="173">
        <f t="shared" si="310"/>
        <v>-19.635600663037536</v>
      </c>
      <c r="M124" s="173">
        <f t="shared" si="310"/>
        <v>-19.635600663037536</v>
      </c>
      <c r="N124" s="173">
        <f t="shared" si="310"/>
        <v>-19.635600663037536</v>
      </c>
      <c r="O124" s="173">
        <f t="shared" si="310"/>
        <v>-19.635600663037536</v>
      </c>
      <c r="P124" s="173">
        <f t="shared" si="310"/>
        <v>-19.635600663037536</v>
      </c>
      <c r="Q124" s="163"/>
      <c r="R124" s="51"/>
      <c r="S124" s="51"/>
      <c r="T124" s="51"/>
      <c r="U124" s="51"/>
      <c r="V124" s="51"/>
      <c r="W124" s="51"/>
      <c r="X124" s="51"/>
      <c r="Y124" s="51">
        <f t="shared" ref="Y124:Z124" si="311">Y126-Y119</f>
        <v>-9</v>
      </c>
      <c r="Z124" s="51">
        <f t="shared" si="311"/>
        <v>-9</v>
      </c>
      <c r="AA124" s="138">
        <f>Y124*(1+AA137)</f>
        <v>-9.0381750552349693</v>
      </c>
      <c r="AB124" s="76">
        <f>G124-AA124</f>
        <v>-9.1777941159616958</v>
      </c>
      <c r="AC124" s="138">
        <f>AA124*(1+AC137)</f>
        <v>-9.2291342326301162</v>
      </c>
      <c r="AD124" s="76">
        <f>H124-AC124</f>
        <v>-9.2785813463929507</v>
      </c>
      <c r="AE124" s="138">
        <f>AC124*(1+AE137)</f>
        <v>-9.3328264887955914</v>
      </c>
      <c r="AF124" s="76">
        <f>I124-AE124</f>
        <v>-9.4070333955157661</v>
      </c>
      <c r="AG124" s="138">
        <f>AE124*(1+AG137)</f>
        <v>-9.4800994546157202</v>
      </c>
      <c r="AH124" s="76">
        <f>J124-AG124</f>
        <v>-10.066972556124592</v>
      </c>
      <c r="AI124" s="138">
        <f>AG124*(1+AI137)</f>
        <v>-9.9147722882252403</v>
      </c>
      <c r="AJ124" s="76">
        <f>K124-AI124</f>
        <v>-9.7208283748122959</v>
      </c>
      <c r="AK124" s="173">
        <f>AI124*(1+AK137)</f>
        <v>-9.9147722882252403</v>
      </c>
      <c r="AL124" s="167">
        <f>L124-AK124</f>
        <v>-9.7208283748122959</v>
      </c>
    </row>
    <row r="125" spans="1:38">
      <c r="B125" s="46"/>
      <c r="C125" s="52"/>
      <c r="D125" s="52"/>
      <c r="E125" s="52"/>
      <c r="F125" s="52"/>
      <c r="G125" s="52"/>
      <c r="H125" s="52"/>
      <c r="I125" s="52"/>
      <c r="J125" s="52"/>
      <c r="K125" s="52"/>
      <c r="L125" s="163"/>
      <c r="M125" s="163"/>
      <c r="N125" s="163"/>
      <c r="O125" s="163"/>
      <c r="P125" s="163"/>
      <c r="Q125" s="163"/>
      <c r="R125" s="52"/>
      <c r="S125" s="52"/>
      <c r="T125" s="52"/>
      <c r="U125" s="52"/>
      <c r="V125" s="52"/>
      <c r="W125" s="52"/>
      <c r="X125" s="52"/>
      <c r="Y125" s="52"/>
      <c r="Z125" s="52"/>
      <c r="AA125" s="52"/>
      <c r="AB125" s="52"/>
      <c r="AC125" s="52"/>
      <c r="AD125" s="52"/>
      <c r="AE125" s="52"/>
      <c r="AF125" s="52"/>
      <c r="AG125" s="52"/>
      <c r="AH125" s="52"/>
      <c r="AI125" s="52"/>
      <c r="AJ125" s="52"/>
      <c r="AK125" s="163"/>
      <c r="AL125" s="163"/>
    </row>
    <row r="126" spans="1:38">
      <c r="B126" s="37" t="s">
        <v>38</v>
      </c>
      <c r="C126" s="45">
        <f>C119</f>
        <v>138</v>
      </c>
      <c r="D126" s="45">
        <f>D119</f>
        <v>130</v>
      </c>
      <c r="E126" s="45">
        <f>E119</f>
        <v>120</v>
      </c>
      <c r="F126" s="134">
        <v>120</v>
      </c>
      <c r="G126" s="51">
        <f>G124+G119</f>
        <v>146.78403082880334</v>
      </c>
      <c r="H126" s="51">
        <f>H124+H119</f>
        <v>144.49228442097694</v>
      </c>
      <c r="I126" s="51">
        <f>I124+I119</f>
        <v>138.26014011568864</v>
      </c>
      <c r="J126" s="51">
        <f>J124+J119</f>
        <v>113.45292798925969</v>
      </c>
      <c r="K126" s="51">
        <f>K124+K119</f>
        <v>93.364399336962464</v>
      </c>
      <c r="L126" s="167">
        <f t="shared" ref="L126:P126" si="312">L124+L119</f>
        <v>66.739044581451452</v>
      </c>
      <c r="M126" s="167">
        <f t="shared" si="312"/>
        <v>91.541134686085627</v>
      </c>
      <c r="N126" s="167">
        <f t="shared" si="312"/>
        <v>96.789541069813623</v>
      </c>
      <c r="O126" s="167">
        <f t="shared" si="312"/>
        <v>110.04414546125381</v>
      </c>
      <c r="P126" s="167">
        <f t="shared" si="312"/>
        <v>123.86889116025804</v>
      </c>
      <c r="Q126" s="163"/>
      <c r="R126" s="45"/>
      <c r="S126" s="51"/>
      <c r="T126" s="45"/>
      <c r="U126" s="45">
        <f t="shared" ref="U126:X126" si="313">U119</f>
        <v>80</v>
      </c>
      <c r="V126" s="45">
        <f t="shared" si="313"/>
        <v>50</v>
      </c>
      <c r="W126" s="45">
        <f t="shared" si="313"/>
        <v>74</v>
      </c>
      <c r="X126" s="45">
        <f t="shared" si="313"/>
        <v>46</v>
      </c>
      <c r="Y126" s="134">
        <v>67</v>
      </c>
      <c r="Z126" s="45">
        <f>F126-Y126</f>
        <v>53</v>
      </c>
      <c r="AA126" s="51">
        <f>AA124+AA119</f>
        <v>94.961824944765027</v>
      </c>
      <c r="AB126" s="51">
        <f t="shared" ref="AB126:AL126" si="314">AB124+AB119</f>
        <v>51.822205884038304</v>
      </c>
      <c r="AC126" s="51">
        <f t="shared" si="314"/>
        <v>89.770865767369884</v>
      </c>
      <c r="AD126" s="51">
        <f t="shared" si="314"/>
        <v>54.721418653607046</v>
      </c>
      <c r="AE126" s="51">
        <f t="shared" si="314"/>
        <v>70.66717351120441</v>
      </c>
      <c r="AF126" s="51">
        <f t="shared" si="314"/>
        <v>67.592966604484232</v>
      </c>
      <c r="AG126" s="51">
        <f t="shared" si="314"/>
        <v>74.519900545384274</v>
      </c>
      <c r="AH126" s="51">
        <f t="shared" si="314"/>
        <v>38.93302744387541</v>
      </c>
      <c r="AI126" s="51">
        <f t="shared" si="314"/>
        <v>57.085227711774763</v>
      </c>
      <c r="AJ126" s="51">
        <f t="shared" si="314"/>
        <v>36.279171625187701</v>
      </c>
      <c r="AK126" s="167">
        <f t="shared" si="314"/>
        <v>37.530489711774734</v>
      </c>
      <c r="AL126" s="167">
        <f t="shared" si="314"/>
        <v>29.208554869676721</v>
      </c>
    </row>
    <row r="127" spans="1:38">
      <c r="B127" s="46" t="s">
        <v>159</v>
      </c>
      <c r="C127" s="52"/>
      <c r="D127" s="54">
        <f t="shared" ref="D127:K127" si="315">D126/C126-1</f>
        <v>-5.7971014492753659E-2</v>
      </c>
      <c r="E127" s="54">
        <f t="shared" si="315"/>
        <v>-7.6923076923076872E-2</v>
      </c>
      <c r="F127" s="54">
        <f t="shared" si="315"/>
        <v>0</v>
      </c>
      <c r="G127" s="54">
        <f t="shared" si="315"/>
        <v>0.22320025690669443</v>
      </c>
      <c r="H127" s="54">
        <f t="shared" si="315"/>
        <v>-1.5613049967944326E-2</v>
      </c>
      <c r="I127" s="54">
        <f t="shared" si="315"/>
        <v>-4.31313293319594E-2</v>
      </c>
      <c r="J127" s="54">
        <f t="shared" si="315"/>
        <v>-0.17942417898370133</v>
      </c>
      <c r="K127" s="54">
        <f t="shared" si="315"/>
        <v>-0.17706487622954037</v>
      </c>
      <c r="L127" s="345">
        <f t="shared" ref="L127" si="316">L126/K126-1</f>
        <v>-0.2851767370067595</v>
      </c>
      <c r="M127" s="345">
        <f t="shared" ref="M127" si="317">M126/L126-1</f>
        <v>0.37162788679667935</v>
      </c>
      <c r="N127" s="345">
        <f t="shared" ref="N127" si="318">N126/M126-1</f>
        <v>5.7333857633794061E-2</v>
      </c>
      <c r="O127" s="345">
        <f t="shared" ref="O127" si="319">O126/N126-1</f>
        <v>0.13694252751833713</v>
      </c>
      <c r="P127" s="345">
        <f t="shared" ref="P127" si="320">P126/O126-1</f>
        <v>0.12562908859037747</v>
      </c>
      <c r="Q127" s="163"/>
      <c r="R127" s="52"/>
      <c r="S127" s="52"/>
      <c r="T127" s="52"/>
      <c r="U127" s="54"/>
      <c r="V127" s="54"/>
      <c r="W127" s="54">
        <f t="shared" ref="W127:AJ127" si="321">W126/U126-1</f>
        <v>-7.4999999999999956E-2</v>
      </c>
      <c r="X127" s="54">
        <f t="shared" si="321"/>
        <v>-7.999999999999996E-2</v>
      </c>
      <c r="Y127" s="54">
        <f t="shared" si="321"/>
        <v>-9.4594594594594628E-2</v>
      </c>
      <c r="Z127" s="54">
        <f t="shared" si="321"/>
        <v>0.15217391304347827</v>
      </c>
      <c r="AA127" s="54">
        <f t="shared" si="321"/>
        <v>0.41734067081738857</v>
      </c>
      <c r="AB127" s="54">
        <f t="shared" si="321"/>
        <v>-2.2222530489843351E-2</v>
      </c>
      <c r="AC127" s="54">
        <f t="shared" si="321"/>
        <v>-5.4663641736186985E-2</v>
      </c>
      <c r="AD127" s="54">
        <f t="shared" si="321"/>
        <v>5.5945375541447628E-2</v>
      </c>
      <c r="AE127" s="54">
        <f t="shared" si="321"/>
        <v>-0.21280503527358563</v>
      </c>
      <c r="AF127" s="54">
        <f t="shared" si="321"/>
        <v>0.23521955876830569</v>
      </c>
      <c r="AG127" s="54">
        <f t="shared" si="321"/>
        <v>5.4519331151245298E-2</v>
      </c>
      <c r="AH127" s="54">
        <f t="shared" si="321"/>
        <v>-0.42400771264132486</v>
      </c>
      <c r="AI127" s="54">
        <f t="shared" si="321"/>
        <v>-0.23395995842736539</v>
      </c>
      <c r="AJ127" s="54">
        <f t="shared" si="321"/>
        <v>-6.816464048457116E-2</v>
      </c>
      <c r="AK127" s="345">
        <f t="shared" ref="AK127" si="322">AK126/AI126-1</f>
        <v>-0.34255338524237056</v>
      </c>
      <c r="AL127" s="345">
        <f t="shared" ref="AL127" si="323">AL126/AJ126-1</f>
        <v>-0.19489465825074215</v>
      </c>
    </row>
    <row r="128" spans="1:38">
      <c r="B128" s="46" t="s">
        <v>201</v>
      </c>
      <c r="C128" s="145">
        <f t="shared" ref="C128:L128" si="324">C126/C93</f>
        <v>4.2817251008377286E-2</v>
      </c>
      <c r="D128" s="145">
        <f t="shared" si="324"/>
        <v>3.9227519613759809E-2</v>
      </c>
      <c r="E128" s="145">
        <f t="shared" si="324"/>
        <v>3.9177277179236046E-2</v>
      </c>
      <c r="F128" s="145">
        <f t="shared" si="324"/>
        <v>3.6275695284159616E-2</v>
      </c>
      <c r="G128" s="145">
        <f t="shared" si="324"/>
        <v>4.1640859809589599E-2</v>
      </c>
      <c r="H128" s="145">
        <f t="shared" si="324"/>
        <v>3.9992328929138371E-2</v>
      </c>
      <c r="I128" s="145">
        <f t="shared" si="324"/>
        <v>3.8299207788279402E-2</v>
      </c>
      <c r="J128" s="145">
        <f t="shared" si="324"/>
        <v>3.0729395446711726E-2</v>
      </c>
      <c r="K128" s="145">
        <f t="shared" si="324"/>
        <v>2.5460703391590529E-2</v>
      </c>
      <c r="L128" s="172">
        <f t="shared" si="324"/>
        <v>1.8351523807496554E-2</v>
      </c>
      <c r="M128" s="172">
        <f t="shared" ref="M128:P128" si="325">M126/M93</f>
        <v>2.4557523726415075E-2</v>
      </c>
      <c r="N128" s="172">
        <f t="shared" si="325"/>
        <v>2.5332196385935493E-2</v>
      </c>
      <c r="O128" s="172">
        <f t="shared" si="325"/>
        <v>2.8098781840601356E-2</v>
      </c>
      <c r="P128" s="172">
        <f t="shared" si="325"/>
        <v>3.085737189632776E-2</v>
      </c>
      <c r="Q128" s="163"/>
      <c r="R128" s="145"/>
      <c r="S128" s="145"/>
      <c r="T128" s="145"/>
      <c r="U128" s="145">
        <f t="shared" ref="U128:AL128" si="326">U126/U93</f>
        <v>4.6484601975595584E-2</v>
      </c>
      <c r="V128" s="145">
        <f t="shared" si="326"/>
        <v>3.1387319522912745E-2</v>
      </c>
      <c r="W128" s="145">
        <f t="shared" si="326"/>
        <v>4.5204642638973731E-2</v>
      </c>
      <c r="X128" s="145">
        <f t="shared" si="326"/>
        <v>3.2258064516129031E-2</v>
      </c>
      <c r="Y128" s="145">
        <f t="shared" si="326"/>
        <v>3.9621525724423415E-2</v>
      </c>
      <c r="Z128" s="145">
        <f t="shared" si="326"/>
        <v>3.2776747062461351E-2</v>
      </c>
      <c r="AA128" s="145">
        <f t="shared" si="326"/>
        <v>4.8798471194637733E-2</v>
      </c>
      <c r="AB128" s="145">
        <f t="shared" si="326"/>
        <v>3.2819636405344084E-2</v>
      </c>
      <c r="AC128" s="145">
        <f t="shared" si="326"/>
        <v>4.4907886827098488E-2</v>
      </c>
      <c r="AD128" s="145">
        <f t="shared" si="326"/>
        <v>3.3904224692445507E-2</v>
      </c>
      <c r="AE128" s="145">
        <f t="shared" si="326"/>
        <v>3.6202445446313736E-2</v>
      </c>
      <c r="AF128" s="145">
        <f t="shared" si="326"/>
        <v>4.0767772379061658E-2</v>
      </c>
      <c r="AG128" s="145">
        <f t="shared" si="326"/>
        <v>3.7484859429267742E-2</v>
      </c>
      <c r="AH128" s="145">
        <f t="shared" si="326"/>
        <v>2.2848020800396367E-2</v>
      </c>
      <c r="AI128" s="145">
        <f t="shared" si="326"/>
        <v>2.848564257074589E-2</v>
      </c>
      <c r="AJ128" s="145">
        <f t="shared" si="326"/>
        <v>2.1815497068663682E-2</v>
      </c>
      <c r="AK128" s="172">
        <f t="shared" si="326"/>
        <v>1.8907409669190006E-2</v>
      </c>
      <c r="AL128" s="172">
        <f t="shared" si="326"/>
        <v>1.7683494009620729E-2</v>
      </c>
    </row>
    <row r="129" spans="1:38">
      <c r="B129" s="46" t="s">
        <v>162</v>
      </c>
      <c r="C129" s="52"/>
      <c r="D129" s="54">
        <f t="shared" ref="D129:K129" si="327">D128-C128</f>
        <v>-3.5897313946174764E-3</v>
      </c>
      <c r="E129" s="54">
        <f t="shared" si="327"/>
        <v>-5.0242434523763146E-5</v>
      </c>
      <c r="F129" s="54">
        <f t="shared" si="327"/>
        <v>-2.9015818950764299E-3</v>
      </c>
      <c r="G129" s="54">
        <f t="shared" si="327"/>
        <v>5.3651645254299829E-3</v>
      </c>
      <c r="H129" s="54">
        <f t="shared" si="327"/>
        <v>-1.648530880451228E-3</v>
      </c>
      <c r="I129" s="54">
        <f t="shared" si="327"/>
        <v>-1.6931211408589691E-3</v>
      </c>
      <c r="J129" s="54">
        <f t="shared" si="327"/>
        <v>-7.5698123415676756E-3</v>
      </c>
      <c r="K129" s="54">
        <f t="shared" si="327"/>
        <v>-5.2686920551211977E-3</v>
      </c>
      <c r="L129" s="345">
        <f t="shared" ref="L129" si="328">L128-K128</f>
        <v>-7.1091795840939748E-3</v>
      </c>
      <c r="M129" s="345">
        <f t="shared" ref="M129" si="329">M128-L128</f>
        <v>6.2059999189185214E-3</v>
      </c>
      <c r="N129" s="345">
        <f t="shared" ref="N129" si="330">N128-M128</f>
        <v>7.74672659520418E-4</v>
      </c>
      <c r="O129" s="345">
        <f t="shared" ref="O129" si="331">O128-N128</f>
        <v>2.7665854546658625E-3</v>
      </c>
      <c r="P129" s="345">
        <f t="shared" ref="P129" si="332">P128-O128</f>
        <v>2.7585900557264044E-3</v>
      </c>
      <c r="Q129" s="163"/>
      <c r="R129" s="52"/>
      <c r="S129" s="52"/>
      <c r="T129" s="52"/>
      <c r="U129" s="54">
        <f t="shared" ref="U129:AJ129" si="333">U128-S128</f>
        <v>4.6484601975595584E-2</v>
      </c>
      <c r="V129" s="54">
        <f t="shared" si="333"/>
        <v>3.1387319522912745E-2</v>
      </c>
      <c r="W129" s="54">
        <f t="shared" si="333"/>
        <v>-1.2799593366218526E-3</v>
      </c>
      <c r="X129" s="54">
        <f t="shared" si="333"/>
        <v>8.7074499321628668E-4</v>
      </c>
      <c r="Y129" s="54">
        <f t="shared" si="333"/>
        <v>-5.5831169145503165E-3</v>
      </c>
      <c r="Z129" s="54">
        <f t="shared" si="333"/>
        <v>5.1868254633231914E-4</v>
      </c>
      <c r="AA129" s="54">
        <f t="shared" si="333"/>
        <v>9.1769454702143177E-3</v>
      </c>
      <c r="AB129" s="54">
        <f t="shared" si="333"/>
        <v>4.2889342882733439E-5</v>
      </c>
      <c r="AC129" s="54">
        <f t="shared" si="333"/>
        <v>-3.8905843675392446E-3</v>
      </c>
      <c r="AD129" s="54">
        <f t="shared" si="333"/>
        <v>1.0845882871014234E-3</v>
      </c>
      <c r="AE129" s="54">
        <f t="shared" si="333"/>
        <v>-8.7054413807847522E-3</v>
      </c>
      <c r="AF129" s="54">
        <f t="shared" si="333"/>
        <v>6.8635476866161504E-3</v>
      </c>
      <c r="AG129" s="54">
        <f t="shared" si="333"/>
        <v>1.282413982954006E-3</v>
      </c>
      <c r="AH129" s="54">
        <f t="shared" si="333"/>
        <v>-1.791975157866529E-2</v>
      </c>
      <c r="AI129" s="54">
        <f t="shared" si="333"/>
        <v>-8.9992168585218517E-3</v>
      </c>
      <c r="AJ129" s="54">
        <f t="shared" si="333"/>
        <v>-1.0325237317326853E-3</v>
      </c>
      <c r="AK129" s="345">
        <f t="shared" ref="AK129" si="334">AK128-AI128</f>
        <v>-9.5782329015558845E-3</v>
      </c>
      <c r="AL129" s="345">
        <f t="shared" ref="AL129" si="335">AL128-AJ128</f>
        <v>-4.1320030590429532E-3</v>
      </c>
    </row>
    <row r="130" spans="1:38">
      <c r="B130" s="46"/>
      <c r="C130" s="52"/>
      <c r="D130" s="52"/>
      <c r="E130" s="52"/>
      <c r="F130" s="52"/>
      <c r="G130" s="52"/>
      <c r="H130" s="52"/>
      <c r="I130" s="52"/>
      <c r="J130" s="52"/>
      <c r="K130" s="52"/>
      <c r="L130" s="163"/>
      <c r="M130" s="163"/>
      <c r="N130" s="163"/>
      <c r="O130" s="163"/>
      <c r="P130" s="163"/>
      <c r="Q130" s="163"/>
      <c r="R130" s="52"/>
      <c r="S130" s="52"/>
      <c r="T130" s="52"/>
      <c r="U130" s="52"/>
      <c r="V130" s="52"/>
      <c r="W130" s="52"/>
      <c r="X130" s="52"/>
      <c r="Y130" s="52"/>
      <c r="Z130" s="52"/>
      <c r="AA130" s="52"/>
      <c r="AB130" s="52"/>
      <c r="AC130" s="52"/>
      <c r="AD130" s="52"/>
      <c r="AE130" s="52"/>
      <c r="AF130" s="52"/>
      <c r="AG130" s="52"/>
      <c r="AH130" s="52"/>
      <c r="AI130" s="52"/>
      <c r="AJ130" s="52"/>
      <c r="AK130" s="163"/>
      <c r="AL130" s="163"/>
    </row>
    <row r="131" spans="1:38">
      <c r="B131" s="64" t="s">
        <v>39</v>
      </c>
      <c r="C131" s="52"/>
      <c r="D131" s="52"/>
      <c r="E131" s="52"/>
      <c r="F131" s="52"/>
      <c r="G131" s="52"/>
      <c r="H131" s="52"/>
      <c r="I131" s="52"/>
      <c r="J131" s="52"/>
      <c r="K131" s="52"/>
      <c r="L131" s="163"/>
      <c r="M131" s="163"/>
      <c r="N131" s="163"/>
      <c r="O131" s="163"/>
      <c r="P131" s="163"/>
      <c r="Q131" s="163"/>
      <c r="R131" s="52"/>
      <c r="S131" s="52"/>
      <c r="T131" s="52"/>
      <c r="U131" s="52"/>
      <c r="V131" s="52"/>
      <c r="W131" s="52"/>
      <c r="X131" s="52"/>
      <c r="Y131" s="52"/>
      <c r="Z131" s="52"/>
      <c r="AA131" s="52"/>
      <c r="AB131" s="52"/>
      <c r="AC131" s="52"/>
      <c r="AD131" s="52"/>
      <c r="AE131" s="52"/>
      <c r="AF131" s="52"/>
      <c r="AG131" s="52"/>
      <c r="AH131" s="52"/>
      <c r="AI131" s="52"/>
      <c r="AJ131" s="52"/>
      <c r="AK131" s="163"/>
      <c r="AL131" s="163"/>
    </row>
    <row r="132" spans="1:38">
      <c r="B132" s="101" t="s">
        <v>156</v>
      </c>
      <c r="C132" s="52"/>
      <c r="D132" s="52"/>
      <c r="E132" s="52"/>
      <c r="F132" s="52"/>
      <c r="G132" s="52"/>
      <c r="H132" s="52"/>
      <c r="I132" s="52"/>
      <c r="J132" s="52"/>
      <c r="K132" s="52"/>
      <c r="L132" s="163"/>
      <c r="M132" s="163"/>
      <c r="N132" s="163"/>
      <c r="O132" s="163"/>
      <c r="P132" s="163"/>
      <c r="Q132" s="163"/>
      <c r="R132" s="52"/>
      <c r="S132" s="52"/>
      <c r="T132" s="52"/>
      <c r="U132" s="52"/>
      <c r="V132" s="52"/>
      <c r="W132" s="52"/>
      <c r="X132" s="52"/>
      <c r="Y132" s="52"/>
      <c r="Z132" s="52"/>
      <c r="AA132" s="52"/>
      <c r="AB132" s="52"/>
      <c r="AC132" s="52"/>
      <c r="AD132" s="52"/>
      <c r="AE132" s="52"/>
      <c r="AF132" s="52"/>
      <c r="AG132" s="52"/>
      <c r="AH132" s="52"/>
      <c r="AI132" s="52"/>
      <c r="AJ132" s="52"/>
      <c r="AK132" s="163"/>
      <c r="AL132" s="163"/>
    </row>
    <row r="133" spans="1:38">
      <c r="B133" s="100" t="s">
        <v>359</v>
      </c>
      <c r="C133" s="52"/>
      <c r="D133" s="71">
        <v>-28</v>
      </c>
      <c r="E133" s="71">
        <v>11</v>
      </c>
      <c r="F133" s="71">
        <v>0</v>
      </c>
      <c r="G133" s="71">
        <v>19</v>
      </c>
      <c r="H133" s="71">
        <v>4</v>
      </c>
      <c r="I133" s="71">
        <v>24</v>
      </c>
      <c r="J133" s="71">
        <v>35</v>
      </c>
      <c r="K133" s="71">
        <v>6</v>
      </c>
      <c r="L133" s="175">
        <f>19-25</f>
        <v>-6</v>
      </c>
      <c r="M133" s="175">
        <v>0</v>
      </c>
      <c r="N133" s="175">
        <v>0</v>
      </c>
      <c r="O133" s="175">
        <v>0</v>
      </c>
      <c r="P133" s="175">
        <v>0</v>
      </c>
      <c r="Q133" s="163"/>
      <c r="R133" s="52"/>
      <c r="S133" s="71"/>
      <c r="T133" s="52"/>
      <c r="U133" s="52"/>
      <c r="V133" s="52"/>
      <c r="W133" s="71">
        <v>-3</v>
      </c>
      <c r="X133" s="52">
        <f>E133-W133</f>
        <v>14</v>
      </c>
      <c r="Y133" s="71">
        <v>7</v>
      </c>
      <c r="Z133" s="52">
        <f>F133-Y133</f>
        <v>-7</v>
      </c>
      <c r="AA133" s="71">
        <v>15</v>
      </c>
      <c r="AB133" s="52">
        <f>G133-AA133</f>
        <v>4</v>
      </c>
      <c r="AC133" s="71">
        <v>2</v>
      </c>
      <c r="AD133" s="223">
        <f>H133-AC133</f>
        <v>2</v>
      </c>
      <c r="AE133" s="71">
        <v>7</v>
      </c>
      <c r="AF133" s="52">
        <f>I133-AE133</f>
        <v>17</v>
      </c>
      <c r="AG133" s="71">
        <v>7</v>
      </c>
      <c r="AH133" s="223">
        <f>J133-AG133</f>
        <v>28</v>
      </c>
      <c r="AI133" s="71">
        <v>3</v>
      </c>
      <c r="AJ133" s="223">
        <f>K133-AI133</f>
        <v>3</v>
      </c>
      <c r="AK133" s="175">
        <v>-3</v>
      </c>
      <c r="AL133" s="163">
        <f>L133-AK133</f>
        <v>-3</v>
      </c>
    </row>
    <row r="134" spans="1:38">
      <c r="B134" s="46" t="s">
        <v>360</v>
      </c>
      <c r="C134" s="52"/>
      <c r="D134" s="71">
        <v>899</v>
      </c>
      <c r="E134" s="103">
        <v>910</v>
      </c>
      <c r="F134" s="103">
        <v>910</v>
      </c>
      <c r="G134" s="103">
        <v>929</v>
      </c>
      <c r="H134" s="103">
        <v>933</v>
      </c>
      <c r="I134" s="103">
        <v>957</v>
      </c>
      <c r="J134" s="103">
        <v>992</v>
      </c>
      <c r="K134" s="103">
        <v>998</v>
      </c>
      <c r="L134" s="163">
        <f>K134+L133</f>
        <v>992</v>
      </c>
      <c r="M134" s="163">
        <f t="shared" ref="M134:P134" si="336">L134+M133</f>
        <v>992</v>
      </c>
      <c r="N134" s="163">
        <f t="shared" si="336"/>
        <v>992</v>
      </c>
      <c r="O134" s="163">
        <f t="shared" si="336"/>
        <v>992</v>
      </c>
      <c r="P134" s="163">
        <f t="shared" si="336"/>
        <v>992</v>
      </c>
      <c r="Q134" s="163"/>
      <c r="R134" s="102"/>
      <c r="S134" s="102"/>
      <c r="T134" s="107"/>
      <c r="U134" s="52"/>
      <c r="V134" s="107"/>
      <c r="W134" s="103">
        <v>908</v>
      </c>
      <c r="X134" s="107">
        <f>W134+X133</f>
        <v>922</v>
      </c>
      <c r="Y134" s="103">
        <v>917</v>
      </c>
      <c r="Z134" s="107">
        <f>Y134+Z133</f>
        <v>910</v>
      </c>
      <c r="AA134" s="103">
        <v>925</v>
      </c>
      <c r="AB134" s="107">
        <f>AA134+AB133</f>
        <v>929</v>
      </c>
      <c r="AC134" s="103">
        <v>931</v>
      </c>
      <c r="AD134" s="107">
        <f>AC134+AD133</f>
        <v>933</v>
      </c>
      <c r="AE134" s="103">
        <v>940</v>
      </c>
      <c r="AF134" s="107">
        <f>AE134+AF133</f>
        <v>957</v>
      </c>
      <c r="AG134" s="103">
        <v>964</v>
      </c>
      <c r="AH134" s="107">
        <f>AG134+AH133</f>
        <v>992</v>
      </c>
      <c r="AI134" s="103">
        <v>995</v>
      </c>
      <c r="AJ134" s="107">
        <f>AI134+AJ133</f>
        <v>998</v>
      </c>
      <c r="AK134" s="176">
        <f>AJ134+AK133</f>
        <v>995</v>
      </c>
      <c r="AL134" s="176">
        <f>AK134+AL133</f>
        <v>992</v>
      </c>
    </row>
    <row r="135" spans="1:38">
      <c r="B135" s="46"/>
      <c r="C135" s="52"/>
      <c r="D135" s="52"/>
      <c r="E135" s="52"/>
      <c r="F135" s="52"/>
      <c r="G135" s="52"/>
      <c r="H135" s="52"/>
      <c r="I135" s="52"/>
      <c r="J135" s="52"/>
      <c r="K135" s="52"/>
      <c r="L135" s="163"/>
      <c r="M135" s="163"/>
      <c r="N135" s="163"/>
      <c r="O135" s="163"/>
      <c r="P135" s="163"/>
      <c r="Q135" s="163"/>
      <c r="R135" s="52"/>
      <c r="S135" s="52"/>
      <c r="T135" s="52"/>
      <c r="U135" s="52"/>
      <c r="V135" s="52"/>
      <c r="W135" s="52"/>
      <c r="X135" s="52"/>
      <c r="Y135" s="52"/>
      <c r="Z135" s="52"/>
      <c r="AA135" s="52"/>
      <c r="AB135" s="52"/>
      <c r="AC135" s="52"/>
      <c r="AD135" s="52"/>
      <c r="AE135" s="52"/>
      <c r="AF135" s="52"/>
      <c r="AG135" s="52"/>
      <c r="AH135" s="52"/>
      <c r="AI135" s="52"/>
      <c r="AJ135" s="52"/>
      <c r="AK135" s="163"/>
      <c r="AL135" s="163"/>
    </row>
    <row r="136" spans="1:38">
      <c r="B136" s="35" t="s">
        <v>40</v>
      </c>
      <c r="C136" s="52"/>
      <c r="D136" s="52"/>
      <c r="E136" s="61">
        <f>E93/E139*1000</f>
        <v>213.3899958199805</v>
      </c>
      <c r="F136" s="224">
        <v>214.864</v>
      </c>
      <c r="G136" s="224">
        <v>217.44200000000001</v>
      </c>
      <c r="H136" s="61">
        <f>H93/H139*1000</f>
        <v>220.9245444539562</v>
      </c>
      <c r="I136" s="61">
        <f>I93/I139*1000</f>
        <v>223.69562523237079</v>
      </c>
      <c r="J136" s="61">
        <f>J93/J139*1000</f>
        <v>233.33122669531696</v>
      </c>
      <c r="K136" s="61">
        <f>K93/K139*1000</f>
        <v>234.38798338127199</v>
      </c>
      <c r="L136" s="314"/>
      <c r="M136" s="314"/>
      <c r="N136" s="314"/>
      <c r="O136" s="314"/>
      <c r="P136" s="314"/>
      <c r="Q136" s="163"/>
      <c r="R136" s="60"/>
      <c r="S136" s="60"/>
      <c r="T136" s="61"/>
      <c r="U136" s="61"/>
      <c r="V136" s="61"/>
      <c r="W136" s="61"/>
      <c r="X136" s="61"/>
      <c r="Y136" s="224">
        <v>214.53800000000001</v>
      </c>
      <c r="Z136" s="61">
        <f>AVERAGE(Y136,F136)</f>
        <v>214.70100000000002</v>
      </c>
      <c r="AA136" s="224">
        <v>215.44800000000001</v>
      </c>
      <c r="AB136" s="61">
        <f>AVERAGE(AA136,G136)</f>
        <v>216.44499999999999</v>
      </c>
      <c r="AC136" s="224">
        <v>220</v>
      </c>
      <c r="AD136" s="61">
        <f>AVERAGE(AC136,H136)</f>
        <v>220.46227222697809</v>
      </c>
      <c r="AE136" s="61">
        <f>(+AD93+AE93)/AE139*1000</f>
        <v>222.4717699170254</v>
      </c>
      <c r="AF136" s="61">
        <f t="shared" ref="AF136:AJ136" si="337">(+AE93+AF93)/AF139*1000</f>
        <v>223.69562523237079</v>
      </c>
      <c r="AG136" s="61">
        <f t="shared" si="337"/>
        <v>225.98239742159416</v>
      </c>
      <c r="AH136" s="61">
        <f t="shared" si="337"/>
        <v>232.78688524590163</v>
      </c>
      <c r="AI136" s="61">
        <f t="shared" si="337"/>
        <v>236.34393524125184</v>
      </c>
      <c r="AJ136" s="61">
        <f t="shared" si="337"/>
        <v>234.38798338127199</v>
      </c>
      <c r="AK136" s="314"/>
      <c r="AL136" s="314"/>
    </row>
    <row r="137" spans="1:38">
      <c r="B137" s="46" t="s">
        <v>159</v>
      </c>
      <c r="C137" s="52"/>
      <c r="D137" s="52"/>
      <c r="E137" s="54"/>
      <c r="F137" s="54">
        <f t="shared" ref="F137" si="338">F136/E136-1</f>
        <v>6.9075599085863804E-3</v>
      </c>
      <c r="G137" s="54">
        <f t="shared" ref="G137" si="339">G136/F136-1</f>
        <v>1.1998287288703668E-2</v>
      </c>
      <c r="H137" s="54">
        <f t="shared" ref="H137" si="340">H136/G136-1</f>
        <v>1.6015969564096233E-2</v>
      </c>
      <c r="I137" s="54">
        <f t="shared" ref="I137" si="341">I136/H136-1</f>
        <v>1.2543109618099235E-2</v>
      </c>
      <c r="J137" s="54">
        <f t="shared" ref="J137" si="342">J136/I136-1</f>
        <v>4.3074608423552707E-2</v>
      </c>
      <c r="K137" s="343">
        <f t="shared" ref="K137" si="343">K136/J136-1</f>
        <v>4.5289981153484593E-3</v>
      </c>
      <c r="L137" s="163"/>
      <c r="M137" s="163"/>
      <c r="N137" s="163"/>
      <c r="O137" s="163"/>
      <c r="P137" s="163"/>
      <c r="Q137" s="163"/>
      <c r="R137" s="52"/>
      <c r="S137" s="52"/>
      <c r="T137" s="52"/>
      <c r="U137" s="54"/>
      <c r="V137" s="54"/>
      <c r="W137" s="54"/>
      <c r="X137" s="54"/>
      <c r="Y137" s="54"/>
      <c r="Z137" s="54"/>
      <c r="AA137" s="54">
        <f t="shared" ref="AA137" si="344">AA136/Y136-1</f>
        <v>4.2416728038854323E-3</v>
      </c>
      <c r="AB137" s="54">
        <f t="shared" ref="AB137" si="345">AB136/Z136-1</f>
        <v>8.1229244391034516E-3</v>
      </c>
      <c r="AC137" s="54">
        <f t="shared" ref="AC137" si="346">AC136/AA136-1</f>
        <v>2.1128068025695335E-2</v>
      </c>
      <c r="AD137" s="54">
        <f t="shared" ref="AD137" si="347">AD136/AB136-1</f>
        <v>1.8560244990543096E-2</v>
      </c>
      <c r="AE137" s="54">
        <f t="shared" ref="AE137" si="348">AE136/AC136-1</f>
        <v>1.1235317804660916E-2</v>
      </c>
      <c r="AF137" s="54">
        <f t="shared" ref="AF137" si="349">AF136/AD136-1</f>
        <v>1.4666241859576656E-2</v>
      </c>
      <c r="AG137" s="54">
        <f t="shared" ref="AG137" si="350">AG136/AE136-1</f>
        <v>1.5780103272779789E-2</v>
      </c>
      <c r="AH137" s="54">
        <f t="shared" ref="AH137" si="351">AH136/AF136-1</f>
        <v>4.0641206121429629E-2</v>
      </c>
      <c r="AI137" s="54">
        <f t="shared" ref="AI137" si="352">AI136/AG136-1</f>
        <v>4.585108370333435E-2</v>
      </c>
      <c r="AJ137" s="54">
        <f t="shared" ref="AJ137" si="353">AJ136/AH136-1</f>
        <v>6.87795677870362E-3</v>
      </c>
      <c r="AK137" s="163"/>
      <c r="AL137" s="163"/>
    </row>
    <row r="138" spans="1:38">
      <c r="B138" s="29"/>
      <c r="C138" s="52"/>
      <c r="D138" s="52"/>
      <c r="E138" s="52"/>
      <c r="F138" s="52"/>
      <c r="G138" s="52"/>
      <c r="H138" s="52"/>
      <c r="I138" s="52"/>
      <c r="J138" s="52"/>
      <c r="K138" s="52"/>
      <c r="L138" s="163"/>
      <c r="M138" s="163"/>
      <c r="N138" s="163"/>
      <c r="O138" s="163"/>
      <c r="P138" s="163"/>
      <c r="Q138" s="163"/>
      <c r="R138" s="52"/>
      <c r="S138" s="52"/>
      <c r="T138" s="52"/>
      <c r="U138" s="52"/>
      <c r="V138" s="52"/>
      <c r="W138" s="52"/>
      <c r="X138" s="52"/>
      <c r="Y138" s="52"/>
      <c r="Z138" s="52"/>
      <c r="AA138" s="52"/>
      <c r="AB138" s="52"/>
      <c r="AC138" s="52"/>
      <c r="AD138" s="52"/>
      <c r="AE138" s="52"/>
      <c r="AF138" s="52"/>
      <c r="AG138" s="52"/>
      <c r="AH138" s="52"/>
      <c r="AI138" s="52"/>
      <c r="AJ138" s="52"/>
      <c r="AK138" s="163"/>
      <c r="AL138" s="163"/>
    </row>
    <row r="139" spans="1:38">
      <c r="A139" s="5" t="s">
        <v>398</v>
      </c>
      <c r="B139" s="62" t="s">
        <v>362</v>
      </c>
      <c r="C139" s="63"/>
      <c r="D139" s="63"/>
      <c r="E139" s="70">
        <v>14354</v>
      </c>
      <c r="F139" s="70">
        <v>15438</v>
      </c>
      <c r="G139" s="70">
        <v>16287</v>
      </c>
      <c r="H139" s="70">
        <v>16354</v>
      </c>
      <c r="I139" s="70">
        <v>16138</v>
      </c>
      <c r="J139" s="70">
        <v>15823</v>
      </c>
      <c r="K139" s="70">
        <v>15645</v>
      </c>
      <c r="L139" s="314"/>
      <c r="M139" s="314"/>
      <c r="N139" s="314"/>
      <c r="O139" s="314"/>
      <c r="P139" s="314"/>
      <c r="Q139" s="163"/>
      <c r="R139" s="63"/>
      <c r="S139" s="63"/>
      <c r="T139" s="63"/>
      <c r="U139" s="52"/>
      <c r="V139" s="63"/>
      <c r="W139" s="70">
        <v>14161</v>
      </c>
      <c r="X139" s="108">
        <v>14354</v>
      </c>
      <c r="Y139" s="70">
        <v>14370</v>
      </c>
      <c r="Z139" s="108">
        <v>15438</v>
      </c>
      <c r="AA139" s="70">
        <v>16603</v>
      </c>
      <c r="AB139" s="108">
        <v>16287</v>
      </c>
      <c r="AC139" s="70">
        <v>16315</v>
      </c>
      <c r="AD139" s="108">
        <v>16354</v>
      </c>
      <c r="AE139" s="70">
        <v>16029</v>
      </c>
      <c r="AF139" s="108">
        <v>16138</v>
      </c>
      <c r="AG139" s="70">
        <v>16134</v>
      </c>
      <c r="AH139" s="108">
        <v>15860</v>
      </c>
      <c r="AI139" s="108">
        <v>15689</v>
      </c>
      <c r="AJ139" s="108">
        <v>15645</v>
      </c>
      <c r="AK139" s="314"/>
      <c r="AL139" s="314"/>
    </row>
    <row r="140" spans="1:38">
      <c r="B140" s="46" t="s">
        <v>159</v>
      </c>
      <c r="C140" s="52"/>
      <c r="D140" s="54"/>
      <c r="E140" s="54"/>
      <c r="F140" s="54">
        <f t="shared" ref="F140" si="354">F139/E139-1</f>
        <v>7.5519019088755801E-2</v>
      </c>
      <c r="G140" s="54">
        <f t="shared" ref="G140" si="355">G139/F139-1</f>
        <v>5.4994170229304418E-2</v>
      </c>
      <c r="H140" s="54">
        <f t="shared" ref="H140" si="356">H139/G139-1</f>
        <v>4.1137103211150716E-3</v>
      </c>
      <c r="I140" s="54">
        <f t="shared" ref="I140" si="357">I139/H139-1</f>
        <v>-1.3207777913660235E-2</v>
      </c>
      <c r="J140" s="54">
        <f t="shared" ref="J140" si="358">J139/I139-1</f>
        <v>-1.951914735407112E-2</v>
      </c>
      <c r="K140" s="343">
        <f t="shared" ref="K140" si="359">K139/J139-1</f>
        <v>-1.124944700752073E-2</v>
      </c>
      <c r="L140" s="163"/>
      <c r="M140" s="163"/>
      <c r="N140" s="163"/>
      <c r="O140" s="163"/>
      <c r="P140" s="163"/>
      <c r="Q140" s="163"/>
      <c r="R140" s="52"/>
      <c r="S140" s="52"/>
      <c r="T140" s="52"/>
      <c r="U140" s="52"/>
      <c r="V140" s="54"/>
      <c r="W140" s="54"/>
      <c r="X140" s="54"/>
      <c r="Y140" s="54">
        <f t="shared" ref="Y140" si="360">Y139/W139-1</f>
        <v>1.475884471435629E-2</v>
      </c>
      <c r="Z140" s="54">
        <f t="shared" ref="Z140" si="361">Z139/X139-1</f>
        <v>7.5519019088755801E-2</v>
      </c>
      <c r="AA140" s="54">
        <f t="shared" ref="AA140" si="362">AA139/Y139-1</f>
        <v>0.15539318023660398</v>
      </c>
      <c r="AB140" s="54">
        <f t="shared" ref="AB140" si="363">AB139/Z139-1</f>
        <v>5.4994170229304418E-2</v>
      </c>
      <c r="AC140" s="54">
        <f t="shared" ref="AC140" si="364">AC139/AA139-1</f>
        <v>-1.7346262723604178E-2</v>
      </c>
      <c r="AD140" s="54">
        <f t="shared" ref="AD140" si="365">AD139/AB139-1</f>
        <v>4.1137103211150716E-3</v>
      </c>
      <c r="AE140" s="54">
        <f t="shared" ref="AE140" si="366">AE139/AC139-1</f>
        <v>-1.7529880478087678E-2</v>
      </c>
      <c r="AF140" s="54">
        <f t="shared" ref="AF140" si="367">AF139/AD139-1</f>
        <v>-1.3207777913660235E-2</v>
      </c>
      <c r="AG140" s="54">
        <f t="shared" ref="AG140" si="368">AG139/AE139-1</f>
        <v>6.5506269885831081E-3</v>
      </c>
      <c r="AH140" s="54">
        <f t="shared" ref="AH140" si="369">AH139/AF139-1</f>
        <v>-1.7226422109307249E-2</v>
      </c>
      <c r="AI140" s="54">
        <f t="shared" ref="AI140" si="370">AI139/AG139-1</f>
        <v>-2.7581504896491915E-2</v>
      </c>
      <c r="AJ140" s="54">
        <f t="shared" ref="AJ140" si="371">AJ139/AH139-1</f>
        <v>-1.3556116015132402E-2</v>
      </c>
      <c r="AK140" s="163"/>
      <c r="AL140" s="163"/>
    </row>
    <row r="141" spans="1:38">
      <c r="B141" s="29"/>
      <c r="C141" s="52"/>
      <c r="D141" s="52"/>
      <c r="E141" s="52"/>
      <c r="F141" s="52"/>
      <c r="G141" s="52"/>
      <c r="H141" s="52"/>
      <c r="I141" s="52"/>
      <c r="J141" s="52"/>
      <c r="K141" s="52"/>
      <c r="L141" s="163"/>
      <c r="M141" s="163"/>
      <c r="N141" s="163"/>
      <c r="O141" s="163"/>
      <c r="P141" s="163"/>
      <c r="Q141" s="163"/>
      <c r="R141" s="52"/>
      <c r="S141" s="52"/>
      <c r="T141" s="52"/>
      <c r="U141" s="52"/>
      <c r="V141" s="52"/>
      <c r="W141" s="52"/>
      <c r="X141" s="52"/>
      <c r="Y141" s="52"/>
      <c r="Z141" s="52"/>
      <c r="AA141" s="52"/>
      <c r="AB141" s="52"/>
      <c r="AC141" s="52"/>
      <c r="AD141" s="52"/>
      <c r="AE141" s="52"/>
      <c r="AF141" s="52"/>
      <c r="AG141" s="52"/>
      <c r="AH141" s="52"/>
      <c r="AI141" s="52"/>
      <c r="AJ141" s="52"/>
      <c r="AK141" s="163"/>
      <c r="AL141" s="163"/>
    </row>
    <row r="142" spans="1:38">
      <c r="B142" s="35" t="s">
        <v>43</v>
      </c>
      <c r="C142" s="51"/>
      <c r="D142" s="51"/>
      <c r="E142" s="51">
        <f t="shared" ref="E142:K142" si="372">(E136*1000)/E134</f>
        <v>234.49450090107749</v>
      </c>
      <c r="F142" s="51">
        <f t="shared" si="372"/>
        <v>236.11428571428573</v>
      </c>
      <c r="G142" s="51">
        <f t="shared" si="372"/>
        <v>234.06027987082885</v>
      </c>
      <c r="H142" s="51">
        <f t="shared" si="372"/>
        <v>236.78943671377945</v>
      </c>
      <c r="I142" s="51">
        <f t="shared" si="372"/>
        <v>233.7467348300635</v>
      </c>
      <c r="J142" s="51">
        <f t="shared" si="372"/>
        <v>235.21293013640823</v>
      </c>
      <c r="K142" s="51">
        <f t="shared" si="372"/>
        <v>234.85769877882967</v>
      </c>
      <c r="L142" s="163"/>
      <c r="M142" s="163"/>
      <c r="N142" s="163"/>
      <c r="O142" s="163"/>
      <c r="P142" s="163"/>
      <c r="Q142" s="163"/>
      <c r="R142" s="51"/>
      <c r="S142" s="51"/>
      <c r="T142" s="51"/>
      <c r="U142" s="52"/>
      <c r="V142" s="51"/>
      <c r="W142" s="51"/>
      <c r="X142" s="51"/>
      <c r="Y142" s="51">
        <f t="shared" ref="Y142:AJ142" si="373">(Y136*1000)/Y134</f>
        <v>233.95637949836424</v>
      </c>
      <c r="Z142" s="51">
        <f t="shared" si="373"/>
        <v>235.93516483516487</v>
      </c>
      <c r="AA142" s="51">
        <f t="shared" si="373"/>
        <v>232.91675675675677</v>
      </c>
      <c r="AB142" s="51">
        <f t="shared" si="373"/>
        <v>232.9870828848224</v>
      </c>
      <c r="AC142" s="51">
        <f t="shared" si="373"/>
        <v>236.30504833512353</v>
      </c>
      <c r="AD142" s="51">
        <f t="shared" si="373"/>
        <v>236.29396808893685</v>
      </c>
      <c r="AE142" s="51">
        <f t="shared" si="373"/>
        <v>236.67209565640999</v>
      </c>
      <c r="AF142" s="51">
        <f t="shared" si="373"/>
        <v>233.7467348300635</v>
      </c>
      <c r="AG142" s="51">
        <f t="shared" si="373"/>
        <v>234.42157408879061</v>
      </c>
      <c r="AH142" s="51">
        <f t="shared" si="373"/>
        <v>234.66419883659438</v>
      </c>
      <c r="AI142" s="51">
        <f t="shared" si="373"/>
        <v>237.53159320728827</v>
      </c>
      <c r="AJ142" s="51">
        <f t="shared" si="373"/>
        <v>234.85769877882967</v>
      </c>
      <c r="AK142" s="163"/>
      <c r="AL142" s="163"/>
    </row>
    <row r="143" spans="1:38">
      <c r="B143" s="46" t="s">
        <v>159</v>
      </c>
      <c r="C143" s="52"/>
      <c r="D143" s="54"/>
      <c r="E143" s="54"/>
      <c r="F143" s="54">
        <f t="shared" ref="F143" si="374">F142/E142-1</f>
        <v>6.9075599085863804E-3</v>
      </c>
      <c r="G143" s="54">
        <f t="shared" ref="G143" si="375">G142/F142-1</f>
        <v>-8.6992019023464096E-3</v>
      </c>
      <c r="H143" s="54">
        <f t="shared" ref="H143" si="376">H142/G142-1</f>
        <v>1.1660059726736893E-2</v>
      </c>
      <c r="I143" s="54">
        <f t="shared" ref="I143" si="377">I142/H142-1</f>
        <v>-1.2849821030630815E-2</v>
      </c>
      <c r="J143" s="54">
        <f t="shared" ref="J143" si="378">J142/I142-1</f>
        <v>6.2725809086088269E-3</v>
      </c>
      <c r="K143" s="343">
        <f t="shared" ref="K143" si="379">K142/J142-1</f>
        <v>-1.5102543783309663E-3</v>
      </c>
      <c r="L143" s="163"/>
      <c r="M143" s="163"/>
      <c r="N143" s="163"/>
      <c r="O143" s="163"/>
      <c r="P143" s="163"/>
      <c r="Q143" s="163"/>
      <c r="R143" s="52"/>
      <c r="S143" s="52"/>
      <c r="T143" s="52"/>
      <c r="U143" s="52"/>
      <c r="V143" s="54"/>
      <c r="W143" s="54"/>
      <c r="X143" s="54"/>
      <c r="Y143" s="54"/>
      <c r="Z143" s="54"/>
      <c r="AA143" s="54">
        <f t="shared" ref="AA143" si="380">AA142/Y142-1</f>
        <v>-4.4436605825264319E-3</v>
      </c>
      <c r="AB143" s="54">
        <f t="shared" ref="AB143" si="381">AB142/Z142-1</f>
        <v>-1.2495305447164373E-2</v>
      </c>
      <c r="AC143" s="54">
        <f t="shared" ref="AC143" si="382">AC142/AA142-1</f>
        <v>1.4547221185572612E-2</v>
      </c>
      <c r="AD143" s="54">
        <f t="shared" ref="AD143" si="383">AD142/AB142-1</f>
        <v>1.4193427219951094E-2</v>
      </c>
      <c r="AE143" s="54">
        <f t="shared" ref="AE143" si="384">AE142/AC142-1</f>
        <v>1.5532775278077615E-3</v>
      </c>
      <c r="AF143" s="54">
        <f t="shared" ref="AF143" si="385">AF142/AD142-1</f>
        <v>-1.0779933484864168E-2</v>
      </c>
      <c r="AG143" s="54">
        <f t="shared" ref="AG143" si="386">AG142/AE142-1</f>
        <v>-9.5090279290321877E-3</v>
      </c>
      <c r="AH143" s="54">
        <f t="shared" ref="AH143" si="387">AH142/AF142-1</f>
        <v>3.9250345344841175E-3</v>
      </c>
      <c r="AI143" s="54">
        <f t="shared" ref="AI143" si="388">AI142/AG142-1</f>
        <v>1.3266778582929017E-2</v>
      </c>
      <c r="AJ143" s="54">
        <f t="shared" ref="AJ143" si="389">AJ142/AH142-1</f>
        <v>8.2458228905224473E-4</v>
      </c>
      <c r="AK143" s="163"/>
      <c r="AL143" s="163"/>
    </row>
    <row r="144" spans="1:38">
      <c r="B144" s="46"/>
      <c r="C144" s="52"/>
      <c r="D144" s="52"/>
      <c r="E144" s="52"/>
      <c r="F144" s="52"/>
      <c r="G144" s="52"/>
      <c r="H144" s="52"/>
      <c r="I144" s="52"/>
      <c r="J144" s="52"/>
      <c r="K144" s="52"/>
      <c r="L144" s="163"/>
      <c r="M144" s="163"/>
      <c r="N144" s="163"/>
      <c r="O144" s="163"/>
      <c r="P144" s="163"/>
      <c r="Q144" s="163"/>
      <c r="R144" s="52"/>
      <c r="S144" s="52"/>
      <c r="T144" s="52"/>
      <c r="U144" s="52"/>
      <c r="V144" s="52"/>
      <c r="W144" s="52"/>
      <c r="X144" s="52"/>
      <c r="Y144" s="52"/>
      <c r="Z144" s="52"/>
      <c r="AA144" s="52"/>
      <c r="AB144" s="52"/>
      <c r="AC144" s="52"/>
      <c r="AD144" s="52"/>
      <c r="AE144" s="52"/>
      <c r="AF144" s="52"/>
      <c r="AG144" s="52"/>
      <c r="AH144" s="52"/>
      <c r="AI144" s="52"/>
      <c r="AJ144" s="52"/>
      <c r="AK144" s="163"/>
      <c r="AL144" s="163"/>
    </row>
    <row r="145" spans="1:38">
      <c r="B145" s="35" t="s">
        <v>41</v>
      </c>
      <c r="C145" s="45"/>
      <c r="D145" s="45"/>
      <c r="E145" s="45"/>
      <c r="F145" s="74"/>
      <c r="G145" s="75"/>
      <c r="H145" s="75"/>
      <c r="I145" s="75"/>
      <c r="J145" s="75"/>
      <c r="K145" s="75"/>
      <c r="L145" s="163"/>
      <c r="M145" s="163"/>
      <c r="N145" s="163"/>
      <c r="O145" s="163"/>
      <c r="P145" s="163"/>
      <c r="Q145" s="163"/>
      <c r="R145" s="45"/>
      <c r="S145" s="134"/>
      <c r="T145" s="45"/>
      <c r="U145" s="52"/>
      <c r="V145" s="45"/>
      <c r="W145" s="134"/>
      <c r="X145" s="45"/>
      <c r="Y145" s="134"/>
      <c r="Z145" s="45"/>
      <c r="AA145" s="74"/>
      <c r="AB145" s="74"/>
      <c r="AC145" s="74"/>
      <c r="AD145" s="74"/>
      <c r="AE145" s="75"/>
      <c r="AF145" s="74"/>
      <c r="AG145" s="75"/>
      <c r="AH145" s="74"/>
      <c r="AI145" s="75"/>
      <c r="AJ145" s="74"/>
      <c r="AK145" s="163"/>
      <c r="AL145" s="163"/>
    </row>
    <row r="146" spans="1:38">
      <c r="B146" s="46"/>
      <c r="C146" s="52"/>
      <c r="D146" s="52"/>
      <c r="E146" s="52"/>
      <c r="F146" s="52"/>
      <c r="G146" s="52"/>
      <c r="H146" s="52"/>
      <c r="I146" s="52"/>
      <c r="J146" s="52"/>
      <c r="K146" s="52"/>
      <c r="L146" s="163"/>
      <c r="M146" s="163"/>
      <c r="N146" s="163"/>
      <c r="O146" s="163"/>
      <c r="P146" s="163"/>
      <c r="Q146" s="163"/>
      <c r="R146" s="52"/>
      <c r="S146" s="52"/>
      <c r="T146" s="52"/>
      <c r="U146" s="52"/>
      <c r="V146" s="52"/>
      <c r="W146" s="52"/>
      <c r="X146" s="52"/>
      <c r="Y146" s="52"/>
      <c r="Z146" s="52"/>
      <c r="AA146" s="52"/>
      <c r="AB146" s="52"/>
      <c r="AC146" s="52"/>
      <c r="AD146" s="52"/>
      <c r="AE146" s="52"/>
      <c r="AF146" s="52"/>
      <c r="AG146" s="52"/>
      <c r="AH146" s="52"/>
      <c r="AI146" s="52"/>
      <c r="AJ146" s="52"/>
      <c r="AK146" s="163"/>
      <c r="AL146" s="163"/>
    </row>
    <row r="147" spans="1:38">
      <c r="A147" s="5" t="s">
        <v>399</v>
      </c>
      <c r="B147" s="64" t="s">
        <v>42</v>
      </c>
      <c r="C147" s="45"/>
      <c r="D147" s="45"/>
      <c r="E147" s="45"/>
      <c r="F147" s="45"/>
      <c r="G147" s="45"/>
      <c r="H147" s="70">
        <v>165</v>
      </c>
      <c r="I147" s="70">
        <v>203</v>
      </c>
      <c r="J147" s="70">
        <v>225</v>
      </c>
      <c r="K147" s="70">
        <v>269</v>
      </c>
      <c r="L147" s="167">
        <f>K147*(1+L148)</f>
        <v>309.34999999999997</v>
      </c>
      <c r="M147" s="167">
        <f t="shared" ref="M147" si="390">L147*(1+M148)</f>
        <v>340.28499999999997</v>
      </c>
      <c r="N147" s="167">
        <f t="shared" ref="N147" si="391">M147*(1+N148)</f>
        <v>374.31349999999998</v>
      </c>
      <c r="O147" s="167">
        <f t="shared" ref="O147" si="392">N147*(1+O148)</f>
        <v>411.74484999999999</v>
      </c>
      <c r="P147" s="167">
        <f t="shared" ref="P147" si="393">O147*(1+P148)</f>
        <v>452.91933500000005</v>
      </c>
      <c r="Q147" s="163"/>
      <c r="R147" s="45"/>
      <c r="S147" s="45"/>
      <c r="T147" s="45"/>
      <c r="U147" s="45"/>
      <c r="V147" s="45"/>
      <c r="W147" s="45"/>
      <c r="X147" s="45"/>
      <c r="Y147" s="45"/>
      <c r="Z147" s="45"/>
      <c r="AA147" s="45"/>
      <c r="AB147" s="51">
        <f>G147-AA147</f>
        <v>0</v>
      </c>
      <c r="AC147" s="134">
        <v>95</v>
      </c>
      <c r="AD147" s="51">
        <f>H147-AC147</f>
        <v>70</v>
      </c>
      <c r="AE147" s="70">
        <v>108</v>
      </c>
      <c r="AF147" s="51">
        <f>I147-AE147</f>
        <v>95</v>
      </c>
      <c r="AG147" s="70">
        <v>124</v>
      </c>
      <c r="AH147" s="68">
        <f>J147-AG147</f>
        <v>101</v>
      </c>
      <c r="AI147" s="70">
        <v>148</v>
      </c>
      <c r="AJ147" s="68">
        <f>K147-AI147</f>
        <v>121</v>
      </c>
      <c r="AK147" s="167">
        <f>AI147*(1+AK148)</f>
        <v>170.2</v>
      </c>
      <c r="AL147" s="167">
        <f>L147-AK147</f>
        <v>139.14999999999998</v>
      </c>
    </row>
    <row r="148" spans="1:38">
      <c r="B148" s="46" t="s">
        <v>159</v>
      </c>
      <c r="C148" s="52"/>
      <c r="D148" s="52"/>
      <c r="E148" s="52"/>
      <c r="F148" s="52"/>
      <c r="G148" s="52"/>
      <c r="H148" s="52"/>
      <c r="I148" s="54">
        <f>I147/H147-1</f>
        <v>0.23030303030303023</v>
      </c>
      <c r="J148" s="54">
        <f>J147/I147-1</f>
        <v>0.10837438423645329</v>
      </c>
      <c r="K148" s="343">
        <f>K147/J147-1</f>
        <v>0.19555555555555548</v>
      </c>
      <c r="L148" s="171">
        <v>0.15</v>
      </c>
      <c r="M148" s="171">
        <v>0.1</v>
      </c>
      <c r="N148" s="171">
        <v>0.1</v>
      </c>
      <c r="O148" s="171">
        <v>0.1</v>
      </c>
      <c r="P148" s="171">
        <v>0.1</v>
      </c>
      <c r="Q148" s="163"/>
      <c r="R148" s="52"/>
      <c r="S148" s="52"/>
      <c r="T148" s="52"/>
      <c r="U148" s="52"/>
      <c r="V148" s="52"/>
      <c r="W148" s="52"/>
      <c r="X148" s="52"/>
      <c r="Y148" s="52"/>
      <c r="Z148" s="52"/>
      <c r="AA148" s="52"/>
      <c r="AB148" s="52"/>
      <c r="AC148" s="52"/>
      <c r="AD148" s="54"/>
      <c r="AE148" s="54">
        <f t="shared" ref="AE148:AF148" si="394">AE147/AC147-1</f>
        <v>0.13684210526315788</v>
      </c>
      <c r="AF148" s="54">
        <f t="shared" si="394"/>
        <v>0.35714285714285721</v>
      </c>
      <c r="AG148" s="54">
        <f>AG147/AE147-1</f>
        <v>0.14814814814814814</v>
      </c>
      <c r="AH148" s="54">
        <f>AH147/AF147-1</f>
        <v>6.315789473684208E-2</v>
      </c>
      <c r="AI148" s="54">
        <f>AI147/AG147-1</f>
        <v>0.19354838709677424</v>
      </c>
      <c r="AJ148" s="54">
        <f>AJ147/AH147-1</f>
        <v>0.19801980198019797</v>
      </c>
      <c r="AK148" s="171">
        <v>0.15</v>
      </c>
      <c r="AL148" s="345">
        <f>AL147/AJ147-1</f>
        <v>0.14999999999999991</v>
      </c>
    </row>
    <row r="149" spans="1:38">
      <c r="B149" s="46" t="s">
        <v>124</v>
      </c>
      <c r="C149" s="52"/>
      <c r="D149" s="52"/>
      <c r="E149" s="52"/>
      <c r="F149" s="52"/>
      <c r="G149" s="52"/>
      <c r="H149" s="54">
        <f t="shared" ref="H149:P149" si="395">H147/H93</f>
        <v>4.5668419595903682E-2</v>
      </c>
      <c r="I149" s="54">
        <f t="shared" si="395"/>
        <v>5.6232686980609417E-2</v>
      </c>
      <c r="J149" s="54">
        <f t="shared" si="395"/>
        <v>6.0942578548212348E-2</v>
      </c>
      <c r="K149" s="54">
        <f t="shared" si="395"/>
        <v>7.3356967548404692E-2</v>
      </c>
      <c r="L149" s="345">
        <f t="shared" si="395"/>
        <v>8.5063307775113992E-2</v>
      </c>
      <c r="M149" s="345">
        <f t="shared" si="395"/>
        <v>9.1287452246463813E-2</v>
      </c>
      <c r="N149" s="345">
        <f t="shared" si="395"/>
        <v>9.7967021923034345E-2</v>
      </c>
      <c r="O149" s="345">
        <f t="shared" si="395"/>
        <v>0.10513534060032956</v>
      </c>
      <c r="P149" s="345">
        <f t="shared" si="395"/>
        <v>0.11282817040035369</v>
      </c>
      <c r="Q149" s="163"/>
      <c r="R149" s="52"/>
      <c r="S149" s="52"/>
      <c r="T149" s="52"/>
      <c r="U149" s="52"/>
      <c r="V149" s="52"/>
      <c r="W149" s="52"/>
      <c r="X149" s="52"/>
      <c r="Y149" s="52"/>
      <c r="Z149" s="52"/>
      <c r="AA149" s="52"/>
      <c r="AB149" s="52"/>
      <c r="AC149" s="54">
        <f t="shared" ref="AC149:AL149" si="396">AC147/AC93</f>
        <v>4.7523761880940471E-2</v>
      </c>
      <c r="AD149" s="54">
        <f t="shared" si="396"/>
        <v>4.3370508054522923E-2</v>
      </c>
      <c r="AE149" s="54">
        <f t="shared" si="396"/>
        <v>5.5327868852459015E-2</v>
      </c>
      <c r="AF149" s="54">
        <f t="shared" si="396"/>
        <v>5.7297949336550059E-2</v>
      </c>
      <c r="AG149" s="54">
        <f t="shared" si="396"/>
        <v>6.2374245472837021E-2</v>
      </c>
      <c r="AH149" s="54">
        <f t="shared" si="396"/>
        <v>5.927230046948357E-2</v>
      </c>
      <c r="AI149" s="54">
        <f t="shared" si="396"/>
        <v>7.3852295409181631E-2</v>
      </c>
      <c r="AJ149" s="54">
        <f t="shared" si="396"/>
        <v>7.2760072158749245E-2</v>
      </c>
      <c r="AK149" s="345">
        <f t="shared" si="396"/>
        <v>8.5744714508388567E-2</v>
      </c>
      <c r="AL149" s="345">
        <f t="shared" si="396"/>
        <v>8.4244434632857912E-2</v>
      </c>
    </row>
    <row r="150" spans="1:38">
      <c r="B150" s="46" t="s">
        <v>162</v>
      </c>
      <c r="C150" s="52"/>
      <c r="D150" s="52"/>
      <c r="E150" s="52"/>
      <c r="F150" s="52"/>
      <c r="G150" s="52"/>
      <c r="H150" s="52"/>
      <c r="I150" s="54">
        <f t="shared" ref="I150" si="397">I149-H149</f>
        <v>1.0564267384705735E-2</v>
      </c>
      <c r="J150" s="54">
        <f t="shared" ref="J150" si="398">J149-I149</f>
        <v>4.7098915676029307E-3</v>
      </c>
      <c r="K150" s="54">
        <f t="shared" ref="K150" si="399">K149-J149</f>
        <v>1.2414389000192344E-2</v>
      </c>
      <c r="L150" s="345">
        <f t="shared" ref="L150" si="400">L149-K149</f>
        <v>1.17063402267093E-2</v>
      </c>
      <c r="M150" s="345">
        <f t="shared" ref="M150" si="401">M149-L149</f>
        <v>6.2241444713498212E-3</v>
      </c>
      <c r="N150" s="345">
        <f t="shared" ref="N150" si="402">N149-M149</f>
        <v>6.679569676570532E-3</v>
      </c>
      <c r="O150" s="345">
        <f t="shared" ref="O150" si="403">O149-N149</f>
        <v>7.1683186772952129E-3</v>
      </c>
      <c r="P150" s="345">
        <f t="shared" ref="P150" si="404">P149-O149</f>
        <v>7.6928298000241285E-3</v>
      </c>
      <c r="Q150" s="163"/>
      <c r="R150" s="52"/>
      <c r="S150" s="52"/>
      <c r="T150" s="52"/>
      <c r="U150" s="52"/>
      <c r="V150" s="52"/>
      <c r="W150" s="52"/>
      <c r="X150" s="52"/>
      <c r="Y150" s="52"/>
      <c r="Z150" s="52"/>
      <c r="AA150" s="52"/>
      <c r="AB150" s="52"/>
      <c r="AC150" s="54"/>
      <c r="AD150" s="54"/>
      <c r="AE150" s="54">
        <f t="shared" ref="AE150" si="405">AE149-AC149</f>
        <v>7.8041069715185443E-3</v>
      </c>
      <c r="AF150" s="54">
        <f t="shared" ref="AF150" si="406">AF149-AD149</f>
        <v>1.3927441282027136E-2</v>
      </c>
      <c r="AG150" s="54">
        <f t="shared" ref="AG150" si="407">AG149-AE149</f>
        <v>7.0463766203780059E-3</v>
      </c>
      <c r="AH150" s="54">
        <f t="shared" ref="AH150" si="408">AH149-AF149</f>
        <v>1.9743511329335106E-3</v>
      </c>
      <c r="AI150" s="54">
        <f t="shared" ref="AI150" si="409">AI149-AG149</f>
        <v>1.147804993634461E-2</v>
      </c>
      <c r="AJ150" s="54">
        <f t="shared" ref="AJ150" si="410">AJ149-AH149</f>
        <v>1.3487771689265675E-2</v>
      </c>
      <c r="AK150" s="345">
        <f t="shared" ref="AK150" si="411">AK149-AI149</f>
        <v>1.1892419099206936E-2</v>
      </c>
      <c r="AL150" s="345">
        <f t="shared" ref="AL150" si="412">AL149-AJ149</f>
        <v>1.1484362474108667E-2</v>
      </c>
    </row>
    <row r="151" spans="1:38">
      <c r="B151" s="46"/>
      <c r="C151" s="52"/>
      <c r="D151" s="52"/>
      <c r="E151" s="52"/>
      <c r="F151" s="52"/>
      <c r="G151" s="52"/>
      <c r="H151" s="52"/>
      <c r="I151" s="52"/>
      <c r="J151" s="52"/>
      <c r="K151" s="52"/>
      <c r="L151" s="163"/>
      <c r="M151" s="163"/>
      <c r="N151" s="163"/>
      <c r="O151" s="163"/>
      <c r="P151" s="163"/>
      <c r="Q151" s="163"/>
      <c r="R151" s="52"/>
      <c r="S151" s="52"/>
      <c r="T151" s="52"/>
      <c r="U151" s="52"/>
      <c r="V151" s="52"/>
      <c r="W151" s="52"/>
      <c r="X151" s="52"/>
      <c r="Y151" s="52"/>
      <c r="Z151" s="52"/>
      <c r="AA151" s="52"/>
      <c r="AB151" s="52"/>
      <c r="AC151" s="52"/>
      <c r="AD151" s="52"/>
      <c r="AE151" s="52"/>
      <c r="AF151" s="52"/>
      <c r="AG151" s="52"/>
      <c r="AH151" s="52"/>
      <c r="AI151" s="52"/>
      <c r="AJ151" s="52"/>
      <c r="AK151" s="163"/>
      <c r="AL151" s="163"/>
    </row>
    <row r="152" spans="1:38">
      <c r="B152" s="4" t="s">
        <v>311</v>
      </c>
      <c r="C152" s="11"/>
      <c r="D152" s="11"/>
      <c r="E152" s="11"/>
      <c r="F152" s="11"/>
      <c r="G152" s="11"/>
      <c r="H152" s="11"/>
      <c r="I152" s="11"/>
      <c r="J152" s="11"/>
      <c r="K152" s="11"/>
      <c r="L152" s="7"/>
      <c r="M152" s="7"/>
      <c r="N152" s="7"/>
      <c r="O152" s="7"/>
      <c r="P152" s="7"/>
      <c r="Q152" s="7"/>
      <c r="R152" s="11"/>
      <c r="S152" s="11"/>
      <c r="T152" s="11"/>
      <c r="U152" s="11"/>
      <c r="V152" s="11"/>
      <c r="W152" s="11"/>
      <c r="X152" s="11"/>
      <c r="Y152" s="11"/>
      <c r="Z152" s="11"/>
      <c r="AA152" s="11"/>
      <c r="AB152" s="11"/>
      <c r="AC152" s="11"/>
      <c r="AD152" s="11"/>
      <c r="AE152" s="11"/>
      <c r="AF152" s="11"/>
      <c r="AG152" s="11"/>
      <c r="AH152" s="11"/>
      <c r="AI152" s="11"/>
      <c r="AJ152" s="11"/>
      <c r="AK152" s="7"/>
      <c r="AL152" s="7"/>
    </row>
    <row r="153" spans="1:38">
      <c r="B153" s="37" t="s">
        <v>0</v>
      </c>
      <c r="C153" s="225">
        <v>16</v>
      </c>
      <c r="D153" s="70">
        <v>13</v>
      </c>
      <c r="E153" s="70">
        <v>0</v>
      </c>
      <c r="F153" s="70">
        <v>0</v>
      </c>
      <c r="G153" s="70">
        <v>0</v>
      </c>
      <c r="H153" s="70">
        <v>0</v>
      </c>
      <c r="I153" s="70">
        <v>127</v>
      </c>
      <c r="J153" s="70">
        <v>837</v>
      </c>
      <c r="K153" s="70">
        <v>698</v>
      </c>
      <c r="L153" s="167">
        <f>AK153+AL153</f>
        <v>499.20000000000005</v>
      </c>
      <c r="M153" s="167"/>
      <c r="N153" s="167"/>
      <c r="O153" s="167"/>
      <c r="P153" s="167"/>
      <c r="Q153" s="163"/>
      <c r="R153" s="225"/>
      <c r="S153" s="225"/>
      <c r="T153" s="76"/>
      <c r="U153" s="225">
        <v>8</v>
      </c>
      <c r="V153" s="68">
        <f>D153-U153</f>
        <v>5</v>
      </c>
      <c r="W153" s="70">
        <v>13</v>
      </c>
      <c r="X153" s="68">
        <f>E153-W153</f>
        <v>-13</v>
      </c>
      <c r="Y153" s="70">
        <v>0</v>
      </c>
      <c r="Z153" s="68">
        <f>F153-Y153</f>
        <v>0</v>
      </c>
      <c r="AA153" s="70">
        <v>0</v>
      </c>
      <c r="AB153" s="68">
        <f>G153-AA153</f>
        <v>0</v>
      </c>
      <c r="AC153" s="70">
        <v>0</v>
      </c>
      <c r="AD153" s="68">
        <f>H153-AC153</f>
        <v>0</v>
      </c>
      <c r="AE153" s="70">
        <v>0</v>
      </c>
      <c r="AF153" s="76">
        <f>I153-AE153</f>
        <v>127</v>
      </c>
      <c r="AG153" s="70">
        <v>450</v>
      </c>
      <c r="AH153" s="76">
        <f>J153-AG153</f>
        <v>387</v>
      </c>
      <c r="AI153" s="70">
        <v>402</v>
      </c>
      <c r="AJ153" s="76">
        <f>K153-AI153</f>
        <v>296</v>
      </c>
      <c r="AK153" s="167">
        <f>AI153*(1+AK154)</f>
        <v>321.60000000000002</v>
      </c>
      <c r="AL153" s="173">
        <f>AJ153*4/6*0.9</f>
        <v>177.60000000000002</v>
      </c>
    </row>
    <row r="154" spans="1:38">
      <c r="A154" s="5" t="s">
        <v>62</v>
      </c>
      <c r="B154" s="46" t="s">
        <v>159</v>
      </c>
      <c r="C154" s="52"/>
      <c r="D154" s="54"/>
      <c r="E154" s="54"/>
      <c r="F154" s="54"/>
      <c r="G154" s="54"/>
      <c r="H154" s="54"/>
      <c r="I154" s="54"/>
      <c r="J154" s="54">
        <f t="shared" ref="J154:L154" si="413">J153/I153-1</f>
        <v>5.590551181102362</v>
      </c>
      <c r="K154" s="343">
        <f t="shared" si="413"/>
        <v>-0.16606929510155322</v>
      </c>
      <c r="L154" s="344">
        <f t="shared" si="413"/>
        <v>-0.28481375358166183</v>
      </c>
      <c r="M154" s="171"/>
      <c r="N154" s="171"/>
      <c r="O154" s="171"/>
      <c r="P154" s="171"/>
      <c r="Q154" s="163"/>
      <c r="R154" s="52"/>
      <c r="S154" s="52"/>
      <c r="T154" s="52"/>
      <c r="U154" s="54"/>
      <c r="V154" s="54"/>
      <c r="W154" s="54">
        <f t="shared" ref="W154:AJ154" si="414">W153/U153-1</f>
        <v>0.625</v>
      </c>
      <c r="X154" s="54">
        <f t="shared" si="414"/>
        <v>-3.6</v>
      </c>
      <c r="Y154" s="54">
        <f t="shared" si="414"/>
        <v>-1</v>
      </c>
      <c r="Z154" s="54">
        <f t="shared" si="414"/>
        <v>-1</v>
      </c>
      <c r="AA154" s="54"/>
      <c r="AB154" s="54"/>
      <c r="AC154" s="54"/>
      <c r="AD154" s="54"/>
      <c r="AE154" s="54"/>
      <c r="AF154" s="54"/>
      <c r="AG154" s="54"/>
      <c r="AH154" s="54">
        <f t="shared" si="414"/>
        <v>2.0472440944881889</v>
      </c>
      <c r="AI154" s="54">
        <f t="shared" si="414"/>
        <v>-0.10666666666666669</v>
      </c>
      <c r="AJ154" s="54">
        <f t="shared" si="414"/>
        <v>-0.23514211886304914</v>
      </c>
      <c r="AK154" s="171">
        <v>-0.2</v>
      </c>
      <c r="AL154" s="345">
        <f>AL153/AJ153-1</f>
        <v>-0.39999999999999991</v>
      </c>
    </row>
    <row r="155" spans="1:38">
      <c r="B155" s="46"/>
      <c r="C155" s="52"/>
      <c r="D155" s="54"/>
      <c r="E155" s="54"/>
      <c r="F155" s="54"/>
      <c r="G155" s="54"/>
      <c r="H155" s="54"/>
      <c r="I155" s="54"/>
      <c r="J155" s="54"/>
      <c r="K155" s="54"/>
      <c r="L155" s="163"/>
      <c r="M155" s="163"/>
      <c r="N155" s="163"/>
      <c r="O155" s="163"/>
      <c r="P155" s="163"/>
      <c r="Q155" s="163"/>
      <c r="R155" s="52"/>
      <c r="S155" s="52"/>
      <c r="T155" s="52"/>
      <c r="U155" s="54"/>
      <c r="V155" s="54"/>
      <c r="W155" s="54"/>
      <c r="X155" s="54"/>
      <c r="Y155" s="54"/>
      <c r="Z155" s="54"/>
      <c r="AA155" s="54"/>
      <c r="AB155" s="54"/>
      <c r="AC155" s="54"/>
      <c r="AD155" s="54"/>
      <c r="AE155" s="54"/>
      <c r="AF155" s="54"/>
      <c r="AG155" s="54"/>
      <c r="AH155" s="54"/>
      <c r="AI155" s="54"/>
      <c r="AJ155" s="54"/>
      <c r="AK155" s="163"/>
      <c r="AL155" s="163"/>
    </row>
    <row r="156" spans="1:38">
      <c r="B156" s="37" t="s">
        <v>35</v>
      </c>
      <c r="C156" s="52"/>
      <c r="D156" s="70">
        <v>13</v>
      </c>
      <c r="E156" s="70">
        <v>-28</v>
      </c>
      <c r="F156" s="70">
        <v>-19</v>
      </c>
      <c r="G156" s="70">
        <v>-52</v>
      </c>
      <c r="H156" s="70">
        <v>-41</v>
      </c>
      <c r="I156" s="70">
        <v>-54</v>
      </c>
      <c r="J156" s="70">
        <v>-89</v>
      </c>
      <c r="K156" s="70">
        <v>-93</v>
      </c>
      <c r="L156" s="167">
        <f>L166-L161</f>
        <v>-91.973323782234971</v>
      </c>
      <c r="M156" s="167">
        <f t="shared" ref="M156:P156" si="415">M166-M161</f>
        <v>-100.87630000000001</v>
      </c>
      <c r="N156" s="167">
        <f t="shared" si="415"/>
        <v>-103.39978900000001</v>
      </c>
      <c r="O156" s="167">
        <f t="shared" si="415"/>
        <v>-105.98134267000003</v>
      </c>
      <c r="P156" s="167">
        <f t="shared" si="415"/>
        <v>-108.62182095010003</v>
      </c>
      <c r="Q156" s="163"/>
      <c r="R156" s="52"/>
      <c r="S156" s="52"/>
      <c r="T156" s="52"/>
      <c r="U156" s="134">
        <v>15</v>
      </c>
      <c r="V156" s="68">
        <f>D156-U156</f>
        <v>-2</v>
      </c>
      <c r="W156" s="134">
        <v>-5</v>
      </c>
      <c r="X156" s="68">
        <f>E156-W156</f>
        <v>-23</v>
      </c>
      <c r="Y156" s="134">
        <v>21</v>
      </c>
      <c r="Z156" s="68">
        <f>F156-Y156</f>
        <v>-40</v>
      </c>
      <c r="AA156" s="134">
        <v>-15</v>
      </c>
      <c r="AB156" s="68">
        <f>G156-AA156</f>
        <v>-37</v>
      </c>
      <c r="AC156" s="70">
        <v>-27</v>
      </c>
      <c r="AD156" s="76">
        <f>H156-AC156</f>
        <v>-14</v>
      </c>
      <c r="AE156" s="70">
        <v>-8</v>
      </c>
      <c r="AF156" s="76">
        <f>I156-AE156</f>
        <v>-46</v>
      </c>
      <c r="AG156" s="70">
        <v>-24</v>
      </c>
      <c r="AH156" s="76">
        <f>J156-AG156</f>
        <v>-65</v>
      </c>
      <c r="AI156" s="70">
        <v>-25</v>
      </c>
      <c r="AJ156" s="76">
        <f>K156-AI156</f>
        <v>-68</v>
      </c>
      <c r="AK156" s="345"/>
      <c r="AL156" s="345"/>
    </row>
    <row r="157" spans="1:38">
      <c r="B157" s="46" t="s">
        <v>164</v>
      </c>
      <c r="C157" s="52"/>
      <c r="D157" s="52"/>
      <c r="E157" s="52"/>
      <c r="F157" s="52"/>
      <c r="G157" s="54"/>
      <c r="H157" s="54">
        <f>H156/G156-1</f>
        <v>-0.21153846153846156</v>
      </c>
      <c r="I157" s="54">
        <f>I156/H156-1</f>
        <v>0.31707317073170738</v>
      </c>
      <c r="J157" s="54">
        <f>J156/I156-1</f>
        <v>0.64814814814814814</v>
      </c>
      <c r="K157" s="343">
        <f>K156/J156-1</f>
        <v>4.4943820224719211E-2</v>
      </c>
      <c r="L157" s="344">
        <f t="shared" ref="L157:P157" si="416">L156/K156-1</f>
        <v>-1.1039529223279887E-2</v>
      </c>
      <c r="M157" s="344">
        <f t="shared" si="416"/>
        <v>9.6799548517400469E-2</v>
      </c>
      <c r="N157" s="344">
        <f t="shared" si="416"/>
        <v>2.501567761704182E-2</v>
      </c>
      <c r="O157" s="344">
        <f t="shared" si="416"/>
        <v>2.4966720870194692E-2</v>
      </c>
      <c r="P157" s="344">
        <f t="shared" si="416"/>
        <v>2.4914557728541009E-2</v>
      </c>
      <c r="Q157" s="163"/>
      <c r="R157" s="52"/>
      <c r="S157" s="52"/>
      <c r="T157" s="52"/>
      <c r="U157" s="52"/>
      <c r="V157" s="52"/>
      <c r="W157" s="54">
        <f t="shared" ref="W157:X157" si="417">W156/U156-1</f>
        <v>-1.3333333333333333</v>
      </c>
      <c r="X157" s="54">
        <f t="shared" si="417"/>
        <v>10.5</v>
      </c>
      <c r="Y157" s="54">
        <f t="shared" ref="Y157" si="418">Y156/W156-1</f>
        <v>-5.2</v>
      </c>
      <c r="Z157" s="54">
        <f t="shared" ref="Z157" si="419">Z156/X156-1</f>
        <v>0.73913043478260865</v>
      </c>
      <c r="AA157" s="54">
        <f t="shared" ref="AA157" si="420">AA156/Y156-1</f>
        <v>-1.7142857142857144</v>
      </c>
      <c r="AB157" s="54">
        <f t="shared" ref="AB157" si="421">AB156/Z156-1</f>
        <v>-7.4999999999999956E-2</v>
      </c>
      <c r="AC157" s="54">
        <f t="shared" ref="AC157" si="422">AC156/AA156-1</f>
        <v>0.8</v>
      </c>
      <c r="AD157" s="54">
        <f t="shared" ref="AD157" si="423">AD156/AB156-1</f>
        <v>-0.6216216216216216</v>
      </c>
      <c r="AE157" s="54">
        <f t="shared" ref="AE157:AJ157" si="424">AE156/AC156-1</f>
        <v>-0.70370370370370372</v>
      </c>
      <c r="AF157" s="54">
        <f t="shared" si="424"/>
        <v>2.2857142857142856</v>
      </c>
      <c r="AG157" s="54">
        <f t="shared" si="424"/>
        <v>2</v>
      </c>
      <c r="AH157" s="54">
        <f t="shared" si="424"/>
        <v>0.41304347826086962</v>
      </c>
      <c r="AI157" s="54">
        <f t="shared" si="424"/>
        <v>4.1666666666666741E-2</v>
      </c>
      <c r="AJ157" s="54">
        <f t="shared" si="424"/>
        <v>4.6153846153846212E-2</v>
      </c>
      <c r="AK157" s="345"/>
      <c r="AL157" s="345"/>
    </row>
    <row r="158" spans="1:38">
      <c r="B158" s="46" t="s">
        <v>165</v>
      </c>
      <c r="C158" s="149"/>
      <c r="D158" s="149"/>
      <c r="E158" s="149"/>
      <c r="F158" s="149"/>
      <c r="G158" s="145"/>
      <c r="H158" s="145"/>
      <c r="I158" s="145">
        <f t="shared" ref="I158:K158" si="425">I156/I153</f>
        <v>-0.42519685039370081</v>
      </c>
      <c r="J158" s="145">
        <f t="shared" si="425"/>
        <v>-0.1063321385902031</v>
      </c>
      <c r="K158" s="145">
        <f t="shared" si="425"/>
        <v>-0.13323782234957021</v>
      </c>
      <c r="L158" s="172">
        <f t="shared" ref="L158" si="426">L156/L153</f>
        <v>-0.18424143385864375</v>
      </c>
      <c r="M158" s="172"/>
      <c r="N158" s="172"/>
      <c r="O158" s="172"/>
      <c r="P158" s="172"/>
      <c r="Q158" s="163"/>
      <c r="R158" s="149"/>
      <c r="S158" s="149"/>
      <c r="T158" s="149"/>
      <c r="U158" s="145">
        <f>U156/U153</f>
        <v>1.875</v>
      </c>
      <c r="V158" s="145">
        <f>V156/V153</f>
        <v>-0.4</v>
      </c>
      <c r="W158" s="145">
        <f>W156/W153</f>
        <v>-0.38461538461538464</v>
      </c>
      <c r="X158" s="145">
        <f>X156/X153</f>
        <v>1.7692307692307692</v>
      </c>
      <c r="Y158" s="145"/>
      <c r="Z158" s="145"/>
      <c r="AA158" s="145"/>
      <c r="AB158" s="145"/>
      <c r="AC158" s="145"/>
      <c r="AD158" s="145"/>
      <c r="AE158" s="145"/>
      <c r="AF158" s="145">
        <f>AF156/AF153</f>
        <v>-0.36220472440944884</v>
      </c>
      <c r="AG158" s="145">
        <f>AG156/AG153</f>
        <v>-5.3333333333333337E-2</v>
      </c>
      <c r="AH158" s="145">
        <f>AH156/AH153</f>
        <v>-0.16795865633074936</v>
      </c>
      <c r="AI158" s="145">
        <f>AI156/AI153</f>
        <v>-6.2189054726368161E-2</v>
      </c>
      <c r="AJ158" s="145">
        <f>AJ156/AJ153</f>
        <v>-0.22972972972972974</v>
      </c>
      <c r="AK158" s="345"/>
      <c r="AL158" s="345"/>
    </row>
    <row r="159" spans="1:38">
      <c r="B159" s="46" t="s">
        <v>162</v>
      </c>
      <c r="C159" s="52"/>
      <c r="D159" s="52"/>
      <c r="E159" s="52"/>
      <c r="F159" s="52"/>
      <c r="G159" s="54"/>
      <c r="H159" s="54"/>
      <c r="I159" s="54">
        <f>I158-H158</f>
        <v>-0.42519685039370081</v>
      </c>
      <c r="J159" s="54">
        <f>J158-I158</f>
        <v>0.31886471180349774</v>
      </c>
      <c r="K159" s="54">
        <f>K158-J158</f>
        <v>-2.6905683759367111E-2</v>
      </c>
      <c r="L159" s="345">
        <f t="shared" ref="L159" si="427">L158-K158</f>
        <v>-5.1003611509073538E-2</v>
      </c>
      <c r="M159" s="345"/>
      <c r="N159" s="345"/>
      <c r="O159" s="345"/>
      <c r="P159" s="345"/>
      <c r="Q159" s="163"/>
      <c r="R159" s="52"/>
      <c r="S159" s="52"/>
      <c r="T159" s="52"/>
      <c r="U159" s="52"/>
      <c r="V159" s="52"/>
      <c r="W159" s="54">
        <f t="shared" ref="W159" si="428">W158-U158</f>
        <v>-2.2596153846153846</v>
      </c>
      <c r="X159" s="54">
        <f t="shared" ref="X159" si="429">X158-V158</f>
        <v>2.1692307692307691</v>
      </c>
      <c r="Y159" s="54"/>
      <c r="Z159" s="54"/>
      <c r="AA159" s="54"/>
      <c r="AB159" s="54"/>
      <c r="AC159" s="54"/>
      <c r="AD159" s="54"/>
      <c r="AE159" s="54"/>
      <c r="AF159" s="54"/>
      <c r="AG159" s="54">
        <f t="shared" ref="AG159" si="430">AG158-AE158</f>
        <v>-5.3333333333333337E-2</v>
      </c>
      <c r="AH159" s="54">
        <f t="shared" ref="AH159:AJ159" si="431">AH158-AF158</f>
        <v>0.19424606807869949</v>
      </c>
      <c r="AI159" s="54">
        <f t="shared" si="431"/>
        <v>-8.8557213930348239E-3</v>
      </c>
      <c r="AJ159" s="54">
        <f t="shared" si="431"/>
        <v>-6.1771073398980386E-2</v>
      </c>
      <c r="AK159" s="345"/>
      <c r="AL159" s="345"/>
    </row>
    <row r="160" spans="1:38">
      <c r="B160" s="46"/>
      <c r="C160" s="52"/>
      <c r="D160" s="52"/>
      <c r="E160" s="52"/>
      <c r="F160" s="52"/>
      <c r="G160" s="52"/>
      <c r="H160" s="52"/>
      <c r="I160" s="52"/>
      <c r="J160" s="52"/>
      <c r="K160" s="52"/>
      <c r="L160" s="163"/>
      <c r="M160" s="163"/>
      <c r="N160" s="163"/>
      <c r="O160" s="163"/>
      <c r="P160" s="163"/>
      <c r="Q160" s="163"/>
      <c r="R160" s="52"/>
      <c r="S160" s="52"/>
      <c r="T160" s="52"/>
      <c r="U160" s="52"/>
      <c r="V160" s="52"/>
      <c r="W160" s="52"/>
      <c r="X160" s="52"/>
      <c r="Y160" s="52"/>
      <c r="Z160" s="52"/>
      <c r="AA160" s="52"/>
      <c r="AB160" s="52"/>
      <c r="AC160" s="52"/>
      <c r="AD160" s="52"/>
      <c r="AE160" s="52"/>
      <c r="AF160" s="52"/>
      <c r="AG160" s="52"/>
      <c r="AH160" s="52"/>
      <c r="AI160" s="52"/>
      <c r="AJ160" s="52"/>
      <c r="AK160" s="345"/>
      <c r="AL160" s="345"/>
    </row>
    <row r="161" spans="2:38">
      <c r="B161" s="37" t="s">
        <v>36</v>
      </c>
      <c r="C161" s="45"/>
      <c r="D161" s="76">
        <f t="shared" ref="D161:I161" si="432">D166-D156</f>
        <v>-38</v>
      </c>
      <c r="E161" s="76">
        <f t="shared" si="432"/>
        <v>0</v>
      </c>
      <c r="F161" s="76">
        <f t="shared" si="432"/>
        <v>-8</v>
      </c>
      <c r="G161" s="76">
        <f t="shared" si="432"/>
        <v>-9</v>
      </c>
      <c r="H161" s="76">
        <f t="shared" si="432"/>
        <v>-10</v>
      </c>
      <c r="I161" s="76">
        <f t="shared" si="432"/>
        <v>-9</v>
      </c>
      <c r="J161" s="76">
        <f>J166-J156</f>
        <v>-5</v>
      </c>
      <c r="K161" s="76">
        <f>K166-K156</f>
        <v>-16</v>
      </c>
      <c r="L161" s="167">
        <f>K161*(1+L162)</f>
        <v>-16.8</v>
      </c>
      <c r="M161" s="167">
        <f t="shared" ref="M161" si="433">L161*(1+M162)</f>
        <v>-17.64</v>
      </c>
      <c r="N161" s="167">
        <f t="shared" ref="N161" si="434">M161*(1+N162)</f>
        <v>-18.522000000000002</v>
      </c>
      <c r="O161" s="167">
        <f t="shared" ref="O161" si="435">N161*(1+O162)</f>
        <v>-19.448100000000004</v>
      </c>
      <c r="P161" s="167">
        <f t="shared" ref="P161" si="436">O161*(1+P162)</f>
        <v>-20.420505000000006</v>
      </c>
      <c r="Q161" s="163"/>
      <c r="R161" s="45"/>
      <c r="S161" s="52"/>
      <c r="T161" s="45"/>
      <c r="U161" s="76">
        <f>U166-U156</f>
        <v>0</v>
      </c>
      <c r="V161" s="68">
        <f>D161-U161</f>
        <v>-38</v>
      </c>
      <c r="W161" s="76">
        <f>W166-W156</f>
        <v>0</v>
      </c>
      <c r="X161" s="68">
        <f>E161-W161</f>
        <v>0</v>
      </c>
      <c r="Y161" s="76">
        <f>Y166-Y156</f>
        <v>-4</v>
      </c>
      <c r="Z161" s="68">
        <f>F161-Y161</f>
        <v>-4</v>
      </c>
      <c r="AA161" s="76">
        <f>AA166-AA156</f>
        <v>-4</v>
      </c>
      <c r="AB161" s="68">
        <f>G161-AA161</f>
        <v>-5</v>
      </c>
      <c r="AC161" s="76">
        <f>AC166-AC156</f>
        <v>-5</v>
      </c>
      <c r="AD161" s="76">
        <f>H161-AC161</f>
        <v>-5</v>
      </c>
      <c r="AE161" s="76">
        <f>AE166-AE156</f>
        <v>-5</v>
      </c>
      <c r="AF161" s="76">
        <f>I161-AE161</f>
        <v>-4</v>
      </c>
      <c r="AG161" s="76">
        <f>AG166-AG156</f>
        <v>-3</v>
      </c>
      <c r="AH161" s="76">
        <f>J161-AG161</f>
        <v>-2</v>
      </c>
      <c r="AI161" s="76">
        <f>AI166-AI156</f>
        <v>-2</v>
      </c>
      <c r="AJ161" s="76">
        <f>K161-AI161</f>
        <v>-14</v>
      </c>
      <c r="AK161" s="345"/>
      <c r="AL161" s="345"/>
    </row>
    <row r="162" spans="2:38">
      <c r="B162" s="46" t="s">
        <v>159</v>
      </c>
      <c r="C162" s="52"/>
      <c r="D162" s="54"/>
      <c r="E162" s="54"/>
      <c r="F162" s="54"/>
      <c r="G162" s="54">
        <f t="shared" ref="G162" si="437">G161/F161-1</f>
        <v>0.125</v>
      </c>
      <c r="H162" s="54">
        <f>H161/G161-1</f>
        <v>0.11111111111111116</v>
      </c>
      <c r="I162" s="54">
        <f>I161/H161-1</f>
        <v>-9.9999999999999978E-2</v>
      </c>
      <c r="J162" s="54">
        <f>J161/I161-1</f>
        <v>-0.44444444444444442</v>
      </c>
      <c r="K162" s="343">
        <f>K161/J161-1</f>
        <v>2.2000000000000002</v>
      </c>
      <c r="L162" s="199">
        <v>0.05</v>
      </c>
      <c r="M162" s="199">
        <v>0.05</v>
      </c>
      <c r="N162" s="199">
        <v>0.05</v>
      </c>
      <c r="O162" s="199">
        <v>0.05</v>
      </c>
      <c r="P162" s="199">
        <v>0.05</v>
      </c>
      <c r="Q162" s="163"/>
      <c r="R162" s="52"/>
      <c r="S162" s="52"/>
      <c r="T162" s="52"/>
      <c r="U162" s="52"/>
      <c r="V162" s="52"/>
      <c r="W162" s="52"/>
      <c r="X162" s="52"/>
      <c r="Y162" s="52"/>
      <c r="Z162" s="52"/>
      <c r="AA162" s="52"/>
      <c r="AB162" s="52"/>
      <c r="AC162" s="54"/>
      <c r="AD162" s="54"/>
      <c r="AE162" s="54">
        <f t="shared" ref="AE162:AJ162" si="438">AE161/AC161-1</f>
        <v>0</v>
      </c>
      <c r="AF162" s="54">
        <f t="shared" si="438"/>
        <v>-0.19999999999999996</v>
      </c>
      <c r="AG162" s="54">
        <f t="shared" si="438"/>
        <v>-0.4</v>
      </c>
      <c r="AH162" s="54">
        <f t="shared" si="438"/>
        <v>-0.5</v>
      </c>
      <c r="AI162" s="54">
        <f t="shared" si="438"/>
        <v>-0.33333333333333337</v>
      </c>
      <c r="AJ162" s="54">
        <f t="shared" si="438"/>
        <v>6</v>
      </c>
      <c r="AK162" s="345"/>
      <c r="AL162" s="345"/>
    </row>
    <row r="163" spans="2:38">
      <c r="B163" s="46" t="s">
        <v>163</v>
      </c>
      <c r="C163" s="52"/>
      <c r="D163" s="54"/>
      <c r="E163" s="54"/>
      <c r="F163" s="54"/>
      <c r="G163" s="54"/>
      <c r="H163" s="54"/>
      <c r="I163" s="54">
        <f t="shared" ref="I163:K163" si="439">I161/I153</f>
        <v>-7.0866141732283464E-2</v>
      </c>
      <c r="J163" s="54">
        <f t="shared" si="439"/>
        <v>-5.9737156511350063E-3</v>
      </c>
      <c r="K163" s="54">
        <f t="shared" si="439"/>
        <v>-2.2922636103151862E-2</v>
      </c>
      <c r="L163" s="345"/>
      <c r="M163" s="345"/>
      <c r="N163" s="345"/>
      <c r="O163" s="345"/>
      <c r="P163" s="345"/>
      <c r="Q163" s="163"/>
      <c r="R163" s="52"/>
      <c r="S163" s="52"/>
      <c r="T163" s="52"/>
      <c r="U163" s="52"/>
      <c r="V163" s="52"/>
      <c r="W163" s="52"/>
      <c r="X163" s="52"/>
      <c r="Y163" s="52"/>
      <c r="Z163" s="52"/>
      <c r="AA163" s="52"/>
      <c r="AB163" s="52"/>
      <c r="AC163" s="54"/>
      <c r="AD163" s="54"/>
      <c r="AE163" s="54"/>
      <c r="AF163" s="54">
        <f>AF161/AF153</f>
        <v>-3.1496062992125984E-2</v>
      </c>
      <c r="AG163" s="54">
        <f>AG161/AG153</f>
        <v>-6.6666666666666671E-3</v>
      </c>
      <c r="AH163" s="54">
        <f>AH161/AH153</f>
        <v>-5.1679586563307496E-3</v>
      </c>
      <c r="AI163" s="54">
        <f>AI161/AI153</f>
        <v>-4.9751243781094526E-3</v>
      </c>
      <c r="AJ163" s="54">
        <f>AJ161/AJ153</f>
        <v>-4.72972972972973E-2</v>
      </c>
      <c r="AK163" s="345"/>
      <c r="AL163" s="345"/>
    </row>
    <row r="164" spans="2:38">
      <c r="B164" s="46" t="s">
        <v>162</v>
      </c>
      <c r="C164" s="52"/>
      <c r="D164" s="52"/>
      <c r="E164" s="52"/>
      <c r="F164" s="52"/>
      <c r="G164" s="54"/>
      <c r="H164" s="54"/>
      <c r="I164" s="54">
        <f>I163-H163</f>
        <v>-7.0866141732283464E-2</v>
      </c>
      <c r="J164" s="54">
        <f>J163-I163</f>
        <v>6.4892426081148452E-2</v>
      </c>
      <c r="K164" s="54">
        <f>K163-J163</f>
        <v>-1.6948920452016854E-2</v>
      </c>
      <c r="L164" s="345"/>
      <c r="M164" s="345"/>
      <c r="N164" s="345"/>
      <c r="O164" s="345"/>
      <c r="P164" s="345"/>
      <c r="Q164" s="163"/>
      <c r="R164" s="52"/>
      <c r="S164" s="52"/>
      <c r="T164" s="52"/>
      <c r="U164" s="52"/>
      <c r="V164" s="52"/>
      <c r="W164" s="52"/>
      <c r="X164" s="52"/>
      <c r="Y164" s="52"/>
      <c r="Z164" s="52"/>
      <c r="AA164" s="52"/>
      <c r="AB164" s="52"/>
      <c r="AC164" s="54"/>
      <c r="AD164" s="54"/>
      <c r="AE164" s="54"/>
      <c r="AF164" s="54"/>
      <c r="AG164" s="54">
        <f t="shared" ref="AG164:AJ164" si="440">AG163-AE163</f>
        <v>-6.6666666666666671E-3</v>
      </c>
      <c r="AH164" s="54">
        <f t="shared" si="440"/>
        <v>2.6328104335795233E-2</v>
      </c>
      <c r="AI164" s="54">
        <f t="shared" si="440"/>
        <v>1.6915422885572145E-3</v>
      </c>
      <c r="AJ164" s="54">
        <f t="shared" si="440"/>
        <v>-4.2129338640966553E-2</v>
      </c>
      <c r="AK164" s="345"/>
      <c r="AL164" s="345"/>
    </row>
    <row r="165" spans="2:38">
      <c r="B165" s="46"/>
      <c r="C165" s="52"/>
      <c r="D165" s="52"/>
      <c r="E165" s="52"/>
      <c r="F165" s="52"/>
      <c r="G165" s="52"/>
      <c r="H165" s="52"/>
      <c r="I165" s="52"/>
      <c r="J165" s="52"/>
      <c r="K165" s="52"/>
      <c r="L165" s="163"/>
      <c r="M165" s="163"/>
      <c r="N165" s="163"/>
      <c r="O165" s="163"/>
      <c r="P165" s="163"/>
      <c r="Q165" s="163"/>
      <c r="R165" s="52"/>
      <c r="S165" s="52"/>
      <c r="T165" s="52"/>
      <c r="U165" s="52"/>
      <c r="V165" s="52"/>
      <c r="W165" s="52"/>
      <c r="X165" s="52"/>
      <c r="Y165" s="52"/>
      <c r="Z165" s="52"/>
      <c r="AA165" s="52"/>
      <c r="AB165" s="52"/>
      <c r="AC165" s="52"/>
      <c r="AD165" s="52"/>
      <c r="AE165" s="52"/>
      <c r="AF165" s="52"/>
      <c r="AG165" s="52"/>
      <c r="AH165" s="52"/>
      <c r="AI165" s="52"/>
      <c r="AJ165" s="52"/>
      <c r="AK165" s="345"/>
      <c r="AL165" s="345"/>
    </row>
    <row r="166" spans="2:38">
      <c r="B166" s="37" t="s">
        <v>33</v>
      </c>
      <c r="C166" s="225"/>
      <c r="D166" s="70">
        <v>-25</v>
      </c>
      <c r="E166" s="70">
        <v>-28</v>
      </c>
      <c r="F166" s="70">
        <v>-27</v>
      </c>
      <c r="G166" s="70">
        <v>-61</v>
      </c>
      <c r="H166" s="70">
        <v>-51</v>
      </c>
      <c r="I166" s="70">
        <v>-63</v>
      </c>
      <c r="J166" s="70">
        <v>-94</v>
      </c>
      <c r="K166" s="70">
        <v>-109</v>
      </c>
      <c r="L166" s="317">
        <f>L169+L172+L174+L176</f>
        <v>-108.77332378223497</v>
      </c>
      <c r="M166" s="317">
        <f>M169+M172+M174+M176</f>
        <v>-118.51630000000002</v>
      </c>
      <c r="N166" s="317">
        <f>N169+N172+N174+N176</f>
        <v>-121.92178900000002</v>
      </c>
      <c r="O166" s="317">
        <f>O169+O172+O174+O176</f>
        <v>-125.42944267000003</v>
      </c>
      <c r="P166" s="317">
        <f>P169+P172+P174+P176</f>
        <v>-129.04232595010004</v>
      </c>
      <c r="Q166" s="163"/>
      <c r="R166" s="225"/>
      <c r="S166" s="52"/>
      <c r="T166" s="76"/>
      <c r="U166" s="225">
        <v>15</v>
      </c>
      <c r="V166" s="68">
        <f>D166-U166</f>
        <v>-40</v>
      </c>
      <c r="W166" s="70">
        <v>-5</v>
      </c>
      <c r="X166" s="68">
        <f>E166-W166</f>
        <v>-23</v>
      </c>
      <c r="Y166" s="70">
        <v>17</v>
      </c>
      <c r="Z166" s="68">
        <f>F166-Y166</f>
        <v>-44</v>
      </c>
      <c r="AA166" s="70">
        <v>-19</v>
      </c>
      <c r="AB166" s="76">
        <f>G166-AA166</f>
        <v>-42</v>
      </c>
      <c r="AC166" s="70">
        <v>-32</v>
      </c>
      <c r="AD166" s="76">
        <f>H166-AC166</f>
        <v>-19</v>
      </c>
      <c r="AE166" s="70">
        <v>-13</v>
      </c>
      <c r="AF166" s="76">
        <f>I166-AE166</f>
        <v>-50</v>
      </c>
      <c r="AG166" s="70">
        <v>-27</v>
      </c>
      <c r="AH166" s="76">
        <f>J166-AG166</f>
        <v>-67</v>
      </c>
      <c r="AI166" s="70">
        <v>-27</v>
      </c>
      <c r="AJ166" s="76">
        <f>K166-AI166</f>
        <v>-82</v>
      </c>
      <c r="AK166" s="317">
        <f>AK169+AK172+AK174+AK176</f>
        <v>-40.230000000000004</v>
      </c>
      <c r="AL166" s="167">
        <f>L166-AK166</f>
        <v>-68.543323782234964</v>
      </c>
    </row>
    <row r="167" spans="2:38">
      <c r="B167" s="46" t="s">
        <v>164</v>
      </c>
      <c r="C167" s="52"/>
      <c r="D167" s="54"/>
      <c r="E167" s="54">
        <f t="shared" ref="E167:K167" si="441">E166/D166-1</f>
        <v>0.12000000000000011</v>
      </c>
      <c r="F167" s="54">
        <f t="shared" si="441"/>
        <v>-3.5714285714285698E-2</v>
      </c>
      <c r="G167" s="54">
        <f t="shared" si="441"/>
        <v>1.2592592592592591</v>
      </c>
      <c r="H167" s="54">
        <f t="shared" si="441"/>
        <v>-0.16393442622950816</v>
      </c>
      <c r="I167" s="54">
        <f t="shared" si="441"/>
        <v>0.23529411764705888</v>
      </c>
      <c r="J167" s="54">
        <f t="shared" si="441"/>
        <v>0.49206349206349209</v>
      </c>
      <c r="K167" s="343">
        <f t="shared" si="441"/>
        <v>0.15957446808510634</v>
      </c>
      <c r="L167" s="344">
        <f t="shared" ref="L167" si="442">L166/K166-1</f>
        <v>-2.0795983281195474E-3</v>
      </c>
      <c r="M167" s="344">
        <f t="shared" ref="M167" si="443">M166/L166-1</f>
        <v>8.9571375397800246E-2</v>
      </c>
      <c r="N167" s="344">
        <f t="shared" ref="N167" si="444">N166/M166-1</f>
        <v>2.8734351308638661E-2</v>
      </c>
      <c r="O167" s="344">
        <f t="shared" ref="O167" si="445">O166/N166-1</f>
        <v>2.8769703092201171E-2</v>
      </c>
      <c r="P167" s="344">
        <f t="shared" ref="P167" si="446">P166/O166-1</f>
        <v>2.8804108534591588E-2</v>
      </c>
      <c r="Q167" s="163"/>
      <c r="R167" s="52"/>
      <c r="S167" s="52"/>
      <c r="T167" s="52"/>
      <c r="U167" s="54"/>
      <c r="V167" s="54"/>
      <c r="W167" s="54"/>
      <c r="X167" s="54"/>
      <c r="Y167" s="54"/>
      <c r="Z167" s="54">
        <f t="shared" ref="Z167:AJ167" si="447">Z166/X166-1</f>
        <v>0.91304347826086962</v>
      </c>
      <c r="AA167" s="54">
        <f t="shared" si="447"/>
        <v>-2.1176470588235294</v>
      </c>
      <c r="AB167" s="54">
        <f t="shared" si="447"/>
        <v>-4.5454545454545414E-2</v>
      </c>
      <c r="AC167" s="54">
        <f t="shared" si="447"/>
        <v>0.68421052631578938</v>
      </c>
      <c r="AD167" s="54">
        <f t="shared" si="447"/>
        <v>-0.54761904761904767</v>
      </c>
      <c r="AE167" s="54">
        <f t="shared" si="447"/>
        <v>-0.59375</v>
      </c>
      <c r="AF167" s="54">
        <f t="shared" si="447"/>
        <v>1.6315789473684212</v>
      </c>
      <c r="AG167" s="54">
        <f t="shared" si="447"/>
        <v>1.0769230769230771</v>
      </c>
      <c r="AH167" s="54">
        <f t="shared" si="447"/>
        <v>0.34000000000000008</v>
      </c>
      <c r="AI167" s="54">
        <f t="shared" si="447"/>
        <v>0</v>
      </c>
      <c r="AJ167" s="54">
        <f t="shared" si="447"/>
        <v>0.22388059701492535</v>
      </c>
      <c r="AK167" s="345">
        <f t="shared" ref="AK167" si="448">AK166/AI166-1</f>
        <v>0.49000000000000021</v>
      </c>
      <c r="AL167" s="345">
        <f t="shared" ref="AL167" si="449">AL166/AJ166-1</f>
        <v>-0.16410580753371995</v>
      </c>
    </row>
    <row r="168" spans="2:38">
      <c r="B168" s="46"/>
      <c r="C168" s="52"/>
      <c r="D168" s="52"/>
      <c r="E168" s="52"/>
      <c r="F168" s="52"/>
      <c r="G168" s="52"/>
      <c r="H168" s="52"/>
      <c r="I168" s="52"/>
      <c r="J168" s="52"/>
      <c r="K168" s="52"/>
      <c r="L168" s="163"/>
      <c r="M168" s="163"/>
      <c r="N168" s="163"/>
      <c r="O168" s="163"/>
      <c r="P168" s="163"/>
      <c r="Q168" s="163"/>
      <c r="R168" s="52"/>
      <c r="S168" s="52"/>
      <c r="T168" s="52"/>
      <c r="U168" s="52"/>
      <c r="V168" s="52"/>
      <c r="W168" s="52"/>
      <c r="X168" s="52"/>
      <c r="Y168" s="52"/>
      <c r="Z168" s="52"/>
      <c r="AA168" s="52"/>
      <c r="AB168" s="52"/>
      <c r="AC168" s="52"/>
      <c r="AD168" s="52"/>
      <c r="AE168" s="52"/>
      <c r="AF168" s="52"/>
      <c r="AG168" s="52"/>
      <c r="AH168" s="52"/>
      <c r="AI168" s="52"/>
      <c r="AJ168" s="52"/>
      <c r="AK168" s="163"/>
      <c r="AL168" s="163"/>
    </row>
    <row r="169" spans="2:38">
      <c r="B169" s="37" t="s">
        <v>450</v>
      </c>
      <c r="C169" s="52"/>
      <c r="D169" s="52"/>
      <c r="E169" s="52"/>
      <c r="F169" s="76">
        <f>F166-F174-F176</f>
        <v>-58</v>
      </c>
      <c r="G169" s="134">
        <v>-83</v>
      </c>
      <c r="H169" s="134">
        <v>-82</v>
      </c>
      <c r="I169" s="134">
        <v>-91</v>
      </c>
      <c r="J169" s="70">
        <v>-95</v>
      </c>
      <c r="K169" s="70">
        <v>-107</v>
      </c>
      <c r="L169" s="317">
        <f>K169*(1+L170)</f>
        <v>-110.21000000000001</v>
      </c>
      <c r="M169" s="317">
        <f t="shared" ref="M169:P169" si="450">L169*(1+M170)</f>
        <v>-113.51630000000002</v>
      </c>
      <c r="N169" s="317">
        <f t="shared" si="450"/>
        <v>-116.92178900000002</v>
      </c>
      <c r="O169" s="317">
        <f t="shared" si="450"/>
        <v>-120.42944267000003</v>
      </c>
      <c r="P169" s="317">
        <f t="shared" si="450"/>
        <v>-124.04232595010004</v>
      </c>
      <c r="Q169" s="163"/>
      <c r="R169" s="52"/>
      <c r="S169" s="52"/>
      <c r="T169" s="52"/>
      <c r="U169" s="52"/>
      <c r="V169" s="52"/>
      <c r="W169" s="52"/>
      <c r="X169" s="52"/>
      <c r="Y169" s="134">
        <f>-33+15</f>
        <v>-18</v>
      </c>
      <c r="Z169" s="68">
        <f>F169-Y169</f>
        <v>-40</v>
      </c>
      <c r="AA169" s="134">
        <v>-39</v>
      </c>
      <c r="AB169" s="76">
        <f>G169-AA169</f>
        <v>-44</v>
      </c>
      <c r="AC169" s="134">
        <v>-43</v>
      </c>
      <c r="AD169" s="76">
        <f>H169-AC169</f>
        <v>-39</v>
      </c>
      <c r="AE169" s="134">
        <v>-42</v>
      </c>
      <c r="AF169" s="76">
        <f>I169-AE169</f>
        <v>-49</v>
      </c>
      <c r="AG169" s="70">
        <v>-42</v>
      </c>
      <c r="AH169" s="76">
        <f>J169-AG169</f>
        <v>-53</v>
      </c>
      <c r="AI169" s="70">
        <v>-41</v>
      </c>
      <c r="AJ169" s="76">
        <f>K169-AI169</f>
        <v>-66</v>
      </c>
      <c r="AK169" s="317">
        <f>AI169*(1+AK170)</f>
        <v>-42.230000000000004</v>
      </c>
      <c r="AL169" s="167">
        <f>L169-AK169</f>
        <v>-67.98</v>
      </c>
    </row>
    <row r="170" spans="2:38">
      <c r="B170" s="46" t="s">
        <v>164</v>
      </c>
      <c r="C170" s="52"/>
      <c r="D170" s="52"/>
      <c r="E170" s="54"/>
      <c r="F170" s="54"/>
      <c r="G170" s="54">
        <f t="shared" ref="G170" si="451">G169/F169-1</f>
        <v>0.43103448275862077</v>
      </c>
      <c r="H170" s="54">
        <f t="shared" ref="H170" si="452">H169/G169-1</f>
        <v>-1.2048192771084376E-2</v>
      </c>
      <c r="I170" s="54">
        <f t="shared" ref="I170" si="453">I169/H169-1</f>
        <v>0.10975609756097571</v>
      </c>
      <c r="J170" s="54">
        <f t="shared" ref="J170" si="454">J169/I169-1</f>
        <v>4.3956043956044022E-2</v>
      </c>
      <c r="K170" s="343">
        <f t="shared" ref="K170" si="455">K169/J169-1</f>
        <v>0.12631578947368416</v>
      </c>
      <c r="L170" s="311">
        <v>0.03</v>
      </c>
      <c r="M170" s="311">
        <v>0.03</v>
      </c>
      <c r="N170" s="311">
        <v>0.03</v>
      </c>
      <c r="O170" s="311">
        <v>0.03</v>
      </c>
      <c r="P170" s="311">
        <v>0.03</v>
      </c>
      <c r="Q170" s="163"/>
      <c r="R170" s="52"/>
      <c r="S170" s="52"/>
      <c r="T170" s="52"/>
      <c r="U170" s="52"/>
      <c r="V170" s="52"/>
      <c r="W170" s="52"/>
      <c r="X170" s="52"/>
      <c r="Y170" s="52"/>
      <c r="Z170" s="54"/>
      <c r="AA170" s="54">
        <f t="shared" ref="AA170" si="456">AA169/Y169-1</f>
        <v>1.1666666666666665</v>
      </c>
      <c r="AB170" s="54">
        <f t="shared" ref="AB170" si="457">AB169/Z169-1</f>
        <v>0.10000000000000009</v>
      </c>
      <c r="AC170" s="54">
        <f t="shared" ref="AC170" si="458">AC169/AA169-1</f>
        <v>0.10256410256410264</v>
      </c>
      <c r="AD170" s="54">
        <f t="shared" ref="AD170" si="459">AD169/AB169-1</f>
        <v>-0.11363636363636365</v>
      </c>
      <c r="AE170" s="54">
        <f t="shared" ref="AE170" si="460">AE169/AC169-1</f>
        <v>-2.3255813953488413E-2</v>
      </c>
      <c r="AF170" s="54">
        <f t="shared" ref="AF170" si="461">AF169/AD169-1</f>
        <v>0.25641025641025639</v>
      </c>
      <c r="AG170" s="54">
        <f t="shared" ref="AG170" si="462">AG169/AE169-1</f>
        <v>0</v>
      </c>
      <c r="AH170" s="54">
        <f t="shared" ref="AH170" si="463">AH169/AF169-1</f>
        <v>8.163265306122458E-2</v>
      </c>
      <c r="AI170" s="54">
        <f t="shared" ref="AI170" si="464">AI169/AG169-1</f>
        <v>-2.3809523809523836E-2</v>
      </c>
      <c r="AJ170" s="54">
        <f t="shared" ref="AJ170" si="465">AJ169/AH169-1</f>
        <v>0.24528301886792447</v>
      </c>
      <c r="AK170" s="311">
        <v>0.03</v>
      </c>
      <c r="AL170" s="163"/>
    </row>
    <row r="171" spans="2:38">
      <c r="B171" s="46"/>
      <c r="C171" s="52"/>
      <c r="D171" s="52"/>
      <c r="E171" s="52"/>
      <c r="F171" s="52"/>
      <c r="G171" s="52"/>
      <c r="H171" s="52"/>
      <c r="I171" s="52"/>
      <c r="J171" s="52"/>
      <c r="K171" s="52"/>
      <c r="L171" s="163"/>
      <c r="M171" s="163"/>
      <c r="N171" s="163"/>
      <c r="O171" s="163"/>
      <c r="P171" s="163"/>
      <c r="Q171" s="163"/>
      <c r="R171" s="52"/>
      <c r="S171" s="52"/>
      <c r="T171" s="52"/>
      <c r="U171" s="52"/>
      <c r="V171" s="52"/>
      <c r="W171" s="52"/>
      <c r="X171" s="52"/>
      <c r="Y171" s="52"/>
      <c r="Z171" s="52"/>
      <c r="AA171" s="52"/>
      <c r="AB171" s="52"/>
      <c r="AC171" s="52"/>
      <c r="AD171" s="52"/>
      <c r="AE171" s="52"/>
      <c r="AF171" s="52"/>
      <c r="AG171" s="52"/>
      <c r="AH171" s="52"/>
      <c r="AI171" s="52"/>
      <c r="AJ171" s="52"/>
      <c r="AK171" s="311"/>
      <c r="AL171" s="163"/>
    </row>
    <row r="172" spans="2:38">
      <c r="B172" s="37" t="s">
        <v>447</v>
      </c>
      <c r="C172" s="52"/>
      <c r="D172" s="52"/>
      <c r="E172" s="52"/>
      <c r="F172" s="52"/>
      <c r="G172" s="52"/>
      <c r="H172" s="52"/>
      <c r="I172" s="134">
        <v>2</v>
      </c>
      <c r="J172" s="134">
        <v>8</v>
      </c>
      <c r="K172" s="134">
        <v>9</v>
      </c>
      <c r="L172" s="310">
        <f>K172*L153/K153</f>
        <v>6.4366762177650436</v>
      </c>
      <c r="M172" s="309"/>
      <c r="N172" s="309"/>
      <c r="O172" s="309"/>
      <c r="P172" s="309"/>
      <c r="Q172" s="163"/>
      <c r="R172" s="52"/>
      <c r="S172" s="52"/>
      <c r="T172" s="52"/>
      <c r="U172" s="134"/>
      <c r="V172" s="52"/>
      <c r="W172" s="134"/>
      <c r="X172" s="52"/>
      <c r="Y172" s="134"/>
      <c r="Z172" s="68"/>
      <c r="AA172" s="134"/>
      <c r="AB172" s="76"/>
      <c r="AC172" s="134"/>
      <c r="AD172" s="76"/>
      <c r="AE172" s="134"/>
      <c r="AF172" s="76">
        <f>I172-AE172</f>
        <v>2</v>
      </c>
      <c r="AG172" s="134">
        <v>4</v>
      </c>
      <c r="AH172" s="76">
        <f>J172-AG172</f>
        <v>4</v>
      </c>
      <c r="AI172" s="134">
        <v>5</v>
      </c>
      <c r="AJ172" s="76">
        <f>K172-AI172</f>
        <v>4</v>
      </c>
      <c r="AK172" s="309">
        <v>4</v>
      </c>
      <c r="AL172" s="167">
        <f>L172-AK172</f>
        <v>2.4366762177650436</v>
      </c>
    </row>
    <row r="173" spans="2:38">
      <c r="B173" s="46"/>
      <c r="C173" s="52"/>
      <c r="D173" s="52"/>
      <c r="E173" s="52"/>
      <c r="F173" s="52"/>
      <c r="G173" s="52"/>
      <c r="H173" s="52"/>
      <c r="I173" s="52"/>
      <c r="J173" s="52"/>
      <c r="K173" s="52"/>
      <c r="L173" s="163"/>
      <c r="M173" s="163"/>
      <c r="N173" s="163"/>
      <c r="O173" s="163"/>
      <c r="P173" s="163"/>
      <c r="Q173" s="163"/>
      <c r="R173" s="52"/>
      <c r="S173" s="52"/>
      <c r="T173" s="52"/>
      <c r="U173" s="52"/>
      <c r="V173" s="52"/>
      <c r="W173" s="52"/>
      <c r="X173" s="52"/>
      <c r="Y173" s="52"/>
      <c r="Z173" s="52"/>
      <c r="AA173" s="52"/>
      <c r="AB173" s="52"/>
      <c r="AC173" s="52"/>
      <c r="AD173" s="52"/>
      <c r="AE173" s="52"/>
      <c r="AF173" s="52"/>
      <c r="AG173" s="52"/>
      <c r="AH173" s="52"/>
      <c r="AI173" s="52"/>
      <c r="AJ173" s="52"/>
      <c r="AK173" s="163"/>
      <c r="AL173" s="163"/>
    </row>
    <row r="174" spans="2:38">
      <c r="B174" s="37" t="s">
        <v>448</v>
      </c>
      <c r="C174" s="52"/>
      <c r="D174" s="52"/>
      <c r="E174" s="134">
        <v>5</v>
      </c>
      <c r="F174" s="134">
        <v>-6</v>
      </c>
      <c r="G174" s="134">
        <v>-5</v>
      </c>
      <c r="H174" s="134">
        <v>-7</v>
      </c>
      <c r="I174" s="134">
        <v>-13</v>
      </c>
      <c r="J174" s="134">
        <v>-18</v>
      </c>
      <c r="K174" s="134">
        <v>-5</v>
      </c>
      <c r="L174" s="309">
        <f>K174</f>
        <v>-5</v>
      </c>
      <c r="M174" s="309">
        <f t="shared" ref="M174:P174" si="466">L174</f>
        <v>-5</v>
      </c>
      <c r="N174" s="309">
        <f t="shared" si="466"/>
        <v>-5</v>
      </c>
      <c r="O174" s="309">
        <f t="shared" si="466"/>
        <v>-5</v>
      </c>
      <c r="P174" s="309">
        <f t="shared" si="466"/>
        <v>-5</v>
      </c>
      <c r="Q174" s="163"/>
      <c r="R174" s="52"/>
      <c r="S174" s="52"/>
      <c r="T174" s="52"/>
      <c r="U174" s="134">
        <v>8</v>
      </c>
      <c r="V174" s="68">
        <f>D174-U174</f>
        <v>-8</v>
      </c>
      <c r="W174" s="134">
        <v>6</v>
      </c>
      <c r="X174" s="68">
        <f>E174-W174</f>
        <v>-1</v>
      </c>
      <c r="Y174" s="76">
        <f>Y166-Y169-Y172</f>
        <v>35</v>
      </c>
      <c r="Z174" s="68">
        <f>F174-Y174</f>
        <v>-41</v>
      </c>
      <c r="AA174" s="134">
        <v>0</v>
      </c>
      <c r="AB174" s="76">
        <f>G174-AA174</f>
        <v>-5</v>
      </c>
      <c r="AC174" s="134">
        <v>-4</v>
      </c>
      <c r="AD174" s="76">
        <f>H174-AC174</f>
        <v>-3</v>
      </c>
      <c r="AE174" s="134">
        <v>-5</v>
      </c>
      <c r="AF174" s="76">
        <f>I174-AE174</f>
        <v>-8</v>
      </c>
      <c r="AG174" s="134">
        <v>-6</v>
      </c>
      <c r="AH174" s="76">
        <f>J174-AG174</f>
        <v>-12</v>
      </c>
      <c r="AI174" s="134">
        <v>-2</v>
      </c>
      <c r="AJ174" s="76">
        <f>K174-AI174</f>
        <v>-3</v>
      </c>
      <c r="AK174" s="309">
        <v>-2</v>
      </c>
      <c r="AL174" s="222">
        <f>L174-AK174</f>
        <v>-3</v>
      </c>
    </row>
    <row r="175" spans="2:38">
      <c r="B175" s="46"/>
      <c r="C175" s="52"/>
      <c r="D175" s="52"/>
      <c r="E175" s="52"/>
      <c r="F175" s="52"/>
      <c r="G175" s="52"/>
      <c r="H175" s="52"/>
      <c r="I175" s="52"/>
      <c r="J175" s="52"/>
      <c r="K175" s="52"/>
      <c r="L175" s="163"/>
      <c r="M175" s="163"/>
      <c r="N175" s="163"/>
      <c r="O175" s="163"/>
      <c r="P175" s="163"/>
      <c r="Q175" s="163"/>
      <c r="R175" s="52"/>
      <c r="S175" s="52"/>
      <c r="T175" s="52"/>
      <c r="U175" s="52"/>
      <c r="V175" s="52"/>
      <c r="W175" s="52"/>
      <c r="X175" s="52"/>
      <c r="Y175" s="52"/>
      <c r="Z175" s="52"/>
      <c r="AA175" s="52"/>
      <c r="AB175" s="52"/>
      <c r="AC175" s="52"/>
      <c r="AD175" s="52"/>
      <c r="AE175" s="52"/>
      <c r="AF175" s="52"/>
      <c r="AG175" s="52"/>
      <c r="AH175" s="52"/>
      <c r="AI175" s="52"/>
      <c r="AJ175" s="52"/>
      <c r="AK175" s="163"/>
      <c r="AL175" s="163"/>
    </row>
    <row r="176" spans="2:38">
      <c r="B176" s="37" t="s">
        <v>449</v>
      </c>
      <c r="C176" s="52"/>
      <c r="D176" s="134">
        <v>24</v>
      </c>
      <c r="E176" s="134">
        <v>20</v>
      </c>
      <c r="F176" s="134">
        <v>37</v>
      </c>
      <c r="G176" s="134">
        <v>27</v>
      </c>
      <c r="H176" s="134">
        <v>38</v>
      </c>
      <c r="I176" s="134">
        <v>39</v>
      </c>
      <c r="J176" s="134">
        <v>11</v>
      </c>
      <c r="K176" s="134">
        <v>-6</v>
      </c>
      <c r="L176" s="309">
        <v>0</v>
      </c>
      <c r="M176" s="312">
        <v>0</v>
      </c>
      <c r="N176" s="312">
        <v>0</v>
      </c>
      <c r="O176" s="312">
        <v>0</v>
      </c>
      <c r="P176" s="312">
        <v>0</v>
      </c>
      <c r="Q176" s="163"/>
      <c r="R176" s="52"/>
      <c r="S176" s="52"/>
      <c r="T176" s="52"/>
      <c r="U176" s="134">
        <v>20</v>
      </c>
      <c r="V176" s="68">
        <f>D176-U176</f>
        <v>4</v>
      </c>
      <c r="W176" s="134">
        <v>-5</v>
      </c>
      <c r="X176" s="68">
        <f>E176-W176</f>
        <v>25</v>
      </c>
      <c r="Y176" s="134">
        <v>33</v>
      </c>
      <c r="Z176" s="68">
        <f>F176-Y176</f>
        <v>4</v>
      </c>
      <c r="AA176" s="134">
        <v>20</v>
      </c>
      <c r="AB176" s="76">
        <f>G176-AA176</f>
        <v>7</v>
      </c>
      <c r="AC176" s="134">
        <v>15</v>
      </c>
      <c r="AD176" s="76">
        <f>H176-AC176</f>
        <v>23</v>
      </c>
      <c r="AE176" s="134">
        <v>34</v>
      </c>
      <c r="AF176" s="76">
        <f>I176-AE176</f>
        <v>5</v>
      </c>
      <c r="AG176" s="134">
        <v>17</v>
      </c>
      <c r="AH176" s="76">
        <f>J176-AG176</f>
        <v>-6</v>
      </c>
      <c r="AI176" s="134">
        <v>11</v>
      </c>
      <c r="AJ176" s="76">
        <f>K176-AI176</f>
        <v>-17</v>
      </c>
      <c r="AK176" s="309">
        <v>0</v>
      </c>
      <c r="AL176" s="222">
        <f>L176-AK176</f>
        <v>0</v>
      </c>
    </row>
    <row r="177" spans="2:38">
      <c r="B177" s="46"/>
      <c r="C177" s="52"/>
      <c r="D177" s="52"/>
      <c r="E177" s="52"/>
      <c r="F177" s="52"/>
      <c r="G177" s="52"/>
      <c r="H177" s="52"/>
      <c r="I177" s="52"/>
      <c r="J177" s="52"/>
      <c r="K177" s="52"/>
      <c r="L177" s="163"/>
      <c r="M177" s="163"/>
      <c r="N177" s="163"/>
      <c r="O177" s="163"/>
      <c r="P177" s="163"/>
      <c r="Q177" s="163"/>
      <c r="R177" s="52"/>
      <c r="S177" s="52"/>
      <c r="T177" s="52"/>
      <c r="U177" s="52"/>
      <c r="V177" s="52"/>
      <c r="W177" s="52"/>
      <c r="X177" s="52"/>
      <c r="Y177" s="52"/>
      <c r="Z177" s="52"/>
      <c r="AA177" s="52"/>
      <c r="AB177" s="52"/>
      <c r="AC177" s="52"/>
      <c r="AD177" s="52"/>
      <c r="AE177" s="52"/>
      <c r="AF177" s="52"/>
      <c r="AG177" s="52"/>
      <c r="AH177" s="52"/>
      <c r="AI177" s="52"/>
      <c r="AJ177" s="52"/>
      <c r="AK177" s="163"/>
      <c r="AL177" s="163"/>
    </row>
    <row r="178" spans="2:38">
      <c r="B178" s="4" t="s">
        <v>64</v>
      </c>
      <c r="C178" s="13"/>
      <c r="D178" s="13"/>
      <c r="E178" s="13"/>
      <c r="F178" s="13"/>
      <c r="G178" s="13"/>
      <c r="H178" s="13"/>
      <c r="I178" s="13"/>
      <c r="J178" s="13"/>
      <c r="K178" s="13"/>
      <c r="L178" s="10"/>
      <c r="M178" s="10"/>
      <c r="N178" s="10"/>
      <c r="O178" s="10"/>
      <c r="P178" s="10"/>
      <c r="Q178" s="10"/>
      <c r="R178" s="13"/>
      <c r="S178" s="13"/>
      <c r="T178" s="13"/>
      <c r="U178" s="13"/>
      <c r="V178" s="13"/>
      <c r="W178" s="13"/>
      <c r="X178" s="13"/>
      <c r="Y178" s="13"/>
      <c r="Z178" s="13"/>
      <c r="AA178" s="13"/>
      <c r="AB178" s="13"/>
      <c r="AC178" s="13"/>
      <c r="AD178" s="13"/>
      <c r="AE178" s="13"/>
      <c r="AF178" s="13"/>
      <c r="AG178" s="13"/>
      <c r="AH178" s="13"/>
      <c r="AI178" s="13"/>
      <c r="AJ178" s="13"/>
      <c r="AK178" s="10"/>
      <c r="AL178" s="10"/>
    </row>
    <row r="179" spans="2:38">
      <c r="B179" s="46" t="s">
        <v>369</v>
      </c>
      <c r="C179" s="72"/>
      <c r="D179" s="109">
        <v>82</v>
      </c>
      <c r="E179" s="109">
        <v>146</v>
      </c>
      <c r="F179" s="109">
        <v>161</v>
      </c>
      <c r="G179" s="109">
        <v>245</v>
      </c>
      <c r="H179" s="109">
        <v>236</v>
      </c>
      <c r="I179" s="109">
        <v>276</v>
      </c>
      <c r="J179" s="109">
        <v>383</v>
      </c>
      <c r="K179" s="109">
        <v>349</v>
      </c>
      <c r="L179" s="163"/>
      <c r="M179" s="163"/>
      <c r="N179" s="163"/>
      <c r="O179" s="163"/>
      <c r="P179" s="163"/>
      <c r="Q179" s="163"/>
      <c r="R179" s="72"/>
      <c r="S179" s="52"/>
      <c r="T179" s="52"/>
      <c r="U179" s="73"/>
      <c r="V179" s="73"/>
      <c r="W179" s="73"/>
      <c r="X179" s="73"/>
      <c r="Y179" s="73"/>
      <c r="Z179" s="73"/>
      <c r="AA179" s="73"/>
      <c r="AB179" s="73"/>
      <c r="AC179" s="79"/>
      <c r="AD179" s="73"/>
      <c r="AE179" s="79"/>
      <c r="AF179" s="73"/>
      <c r="AG179" s="79"/>
      <c r="AH179" s="73"/>
      <c r="AI179" s="79"/>
      <c r="AJ179" s="73"/>
      <c r="AK179" s="163"/>
      <c r="AL179" s="163"/>
    </row>
    <row r="180" spans="2:38">
      <c r="B180" s="46" t="s">
        <v>370</v>
      </c>
      <c r="C180" s="72"/>
      <c r="D180" s="109">
        <v>198</v>
      </c>
      <c r="E180" s="109">
        <v>191</v>
      </c>
      <c r="F180" s="109">
        <v>151</v>
      </c>
      <c r="G180" s="109">
        <v>267</v>
      </c>
      <c r="H180" s="109">
        <v>297</v>
      </c>
      <c r="I180" s="109">
        <v>360</v>
      </c>
      <c r="J180" s="109">
        <v>247</v>
      </c>
      <c r="K180" s="109">
        <v>258</v>
      </c>
      <c r="L180" s="163"/>
      <c r="M180" s="163"/>
      <c r="N180" s="163"/>
      <c r="O180" s="163"/>
      <c r="P180" s="163"/>
      <c r="Q180" s="163"/>
      <c r="R180" s="72"/>
      <c r="S180" s="52"/>
      <c r="T180" s="52"/>
      <c r="U180" s="73"/>
      <c r="V180" s="73"/>
      <c r="W180" s="73"/>
      <c r="X180" s="73"/>
      <c r="Y180" s="73"/>
      <c r="Z180" s="73"/>
      <c r="AA180" s="73"/>
      <c r="AB180" s="73"/>
      <c r="AC180" s="79"/>
      <c r="AD180" s="73"/>
      <c r="AE180" s="79"/>
      <c r="AF180" s="73"/>
      <c r="AG180" s="79"/>
      <c r="AH180" s="73"/>
      <c r="AI180" s="79"/>
      <c r="AJ180" s="73"/>
      <c r="AK180" s="163"/>
      <c r="AL180" s="163"/>
    </row>
    <row r="181" spans="2:38">
      <c r="B181" s="46" t="s">
        <v>371</v>
      </c>
      <c r="C181" s="72"/>
      <c r="D181" s="109">
        <v>116</v>
      </c>
      <c r="E181" s="109">
        <v>297</v>
      </c>
      <c r="F181" s="109">
        <v>275</v>
      </c>
      <c r="G181" s="109">
        <v>375</v>
      </c>
      <c r="H181" s="109">
        <v>370</v>
      </c>
      <c r="I181" s="109">
        <v>413</v>
      </c>
      <c r="J181" s="109">
        <v>492</v>
      </c>
      <c r="K181" s="109">
        <v>356</v>
      </c>
      <c r="L181" s="163"/>
      <c r="M181" s="163"/>
      <c r="N181" s="163"/>
      <c r="O181" s="163"/>
      <c r="P181" s="163"/>
      <c r="Q181" s="163"/>
      <c r="R181" s="72"/>
      <c r="S181" s="52"/>
      <c r="T181" s="52"/>
      <c r="U181" s="73"/>
      <c r="V181" s="73"/>
      <c r="W181" s="73"/>
      <c r="X181" s="73"/>
      <c r="Y181" s="73"/>
      <c r="Z181" s="73"/>
      <c r="AA181" s="73"/>
      <c r="AB181" s="73"/>
      <c r="AC181" s="79"/>
      <c r="AD181" s="73"/>
      <c r="AE181" s="79"/>
      <c r="AF181" s="73"/>
      <c r="AG181" s="79"/>
      <c r="AH181" s="73"/>
      <c r="AI181" s="79"/>
      <c r="AJ181" s="73"/>
      <c r="AK181" s="163"/>
      <c r="AL181" s="163"/>
    </row>
    <row r="182" spans="2:38">
      <c r="B182" s="46" t="s">
        <v>372</v>
      </c>
      <c r="C182" s="72"/>
      <c r="D182" s="109">
        <v>248</v>
      </c>
      <c r="E182" s="109">
        <v>259</v>
      </c>
      <c r="F182" s="109">
        <v>246</v>
      </c>
      <c r="G182" s="109">
        <v>224</v>
      </c>
      <c r="H182" s="109">
        <v>296</v>
      </c>
      <c r="I182" s="109">
        <v>307</v>
      </c>
      <c r="J182" s="109">
        <v>277</v>
      </c>
      <c r="K182" s="109">
        <v>302</v>
      </c>
      <c r="L182" s="163"/>
      <c r="M182" s="163"/>
      <c r="N182" s="163"/>
      <c r="O182" s="163"/>
      <c r="P182" s="163"/>
      <c r="Q182" s="163"/>
      <c r="R182" s="72"/>
      <c r="S182" s="52"/>
      <c r="T182" s="52"/>
      <c r="U182" s="73"/>
      <c r="V182" s="73"/>
      <c r="W182" s="73"/>
      <c r="X182" s="73"/>
      <c r="Y182" s="73"/>
      <c r="Z182" s="73"/>
      <c r="AA182" s="73"/>
      <c r="AB182" s="73"/>
      <c r="AC182" s="79"/>
      <c r="AD182" s="73"/>
      <c r="AE182" s="79"/>
      <c r="AF182" s="73"/>
      <c r="AG182" s="79"/>
      <c r="AH182" s="73"/>
      <c r="AI182" s="79"/>
      <c r="AJ182" s="73"/>
      <c r="AK182" s="163"/>
      <c r="AL182" s="163"/>
    </row>
    <row r="183" spans="2:38">
      <c r="B183" s="82" t="s">
        <v>377</v>
      </c>
      <c r="C183" s="70"/>
      <c r="D183" s="76">
        <f>SUM(D179:D182)</f>
        <v>644</v>
      </c>
      <c r="E183" s="76">
        <f t="shared" ref="E183:K183" si="467">SUM(E179:E182)</f>
        <v>893</v>
      </c>
      <c r="F183" s="76">
        <f t="shared" si="467"/>
        <v>833</v>
      </c>
      <c r="G183" s="76">
        <f t="shared" si="467"/>
        <v>1111</v>
      </c>
      <c r="H183" s="76">
        <f t="shared" si="467"/>
        <v>1199</v>
      </c>
      <c r="I183" s="76">
        <f t="shared" si="467"/>
        <v>1356</v>
      </c>
      <c r="J183" s="76">
        <f t="shared" si="467"/>
        <v>1399</v>
      </c>
      <c r="K183" s="76">
        <f t="shared" si="467"/>
        <v>1265</v>
      </c>
      <c r="L183" s="198">
        <v>1200</v>
      </c>
      <c r="M183" s="198">
        <f>L183*1.03</f>
        <v>1236</v>
      </c>
      <c r="N183" s="198">
        <f t="shared" ref="N183:P183" si="468">M183*1.03</f>
        <v>1273.08</v>
      </c>
      <c r="O183" s="198">
        <f t="shared" si="468"/>
        <v>1311.2724000000001</v>
      </c>
      <c r="P183" s="198">
        <f t="shared" si="468"/>
        <v>1350.610572</v>
      </c>
      <c r="Q183" s="163"/>
      <c r="R183" s="70"/>
      <c r="S183" s="52"/>
      <c r="T183" s="52"/>
      <c r="U183" s="76"/>
      <c r="V183" s="76"/>
      <c r="W183" s="76"/>
      <c r="X183" s="76"/>
      <c r="Y183" s="76"/>
      <c r="Z183" s="80"/>
      <c r="AA183" s="76"/>
      <c r="AB183" s="73"/>
      <c r="AC183" s="80"/>
      <c r="AD183" s="73"/>
      <c r="AE183" s="80"/>
      <c r="AF183" s="73"/>
      <c r="AG183" s="75">
        <v>753</v>
      </c>
      <c r="AH183" s="76">
        <f>J183-AG183</f>
        <v>646</v>
      </c>
      <c r="AI183" s="70">
        <v>542</v>
      </c>
      <c r="AJ183" s="76">
        <f>K183-AI183</f>
        <v>723</v>
      </c>
      <c r="AK183" s="163"/>
      <c r="AL183" s="163"/>
    </row>
    <row r="184" spans="2:38">
      <c r="B184" s="82"/>
      <c r="C184" s="70"/>
      <c r="D184" s="76"/>
      <c r="E184" s="76"/>
      <c r="F184" s="76"/>
      <c r="G184" s="76"/>
      <c r="H184" s="76"/>
      <c r="I184" s="76"/>
      <c r="J184" s="76"/>
      <c r="K184" s="76"/>
      <c r="L184" s="163"/>
      <c r="M184" s="163"/>
      <c r="N184" s="163"/>
      <c r="O184" s="163"/>
      <c r="P184" s="163"/>
      <c r="Q184" s="163"/>
      <c r="R184" s="70"/>
      <c r="S184" s="52"/>
      <c r="T184" s="52"/>
      <c r="U184" s="76"/>
      <c r="V184" s="76"/>
      <c r="W184" s="76"/>
      <c r="X184" s="76"/>
      <c r="Y184" s="76"/>
      <c r="Z184" s="80"/>
      <c r="AA184" s="76"/>
      <c r="AB184" s="80"/>
      <c r="AC184" s="80"/>
      <c r="AD184" s="80"/>
      <c r="AE184" s="80"/>
      <c r="AF184" s="80"/>
      <c r="AG184" s="80"/>
      <c r="AH184" s="80"/>
      <c r="AI184" s="54">
        <f t="shared" ref="AI184" si="469">AI183/AG183-1</f>
        <v>-0.28021248339973437</v>
      </c>
      <c r="AJ184" s="54">
        <f t="shared" ref="AJ184" si="470">AJ183/AH183-1</f>
        <v>0.11919504643962853</v>
      </c>
      <c r="AK184" s="163"/>
      <c r="AL184" s="163"/>
    </row>
    <row r="185" spans="2:38">
      <c r="B185" s="46" t="s">
        <v>373</v>
      </c>
      <c r="C185" s="52"/>
      <c r="D185" s="109">
        <v>127</v>
      </c>
      <c r="E185" s="109">
        <v>146</v>
      </c>
      <c r="F185" s="109">
        <v>78</v>
      </c>
      <c r="G185" s="109">
        <v>161</v>
      </c>
      <c r="H185" s="109">
        <v>126</v>
      </c>
      <c r="I185" s="109">
        <v>176</v>
      </c>
      <c r="J185" s="109">
        <v>275</v>
      </c>
      <c r="K185" s="109">
        <v>262</v>
      </c>
      <c r="L185" s="163"/>
      <c r="M185" s="163"/>
      <c r="N185" s="163"/>
      <c r="O185" s="163"/>
      <c r="P185" s="163"/>
      <c r="Q185" s="163"/>
      <c r="R185" s="70"/>
      <c r="S185" s="52"/>
      <c r="T185" s="52"/>
      <c r="U185" s="76"/>
      <c r="V185" s="76"/>
      <c r="W185" s="76"/>
      <c r="X185" s="76"/>
      <c r="Y185" s="76"/>
      <c r="Z185" s="80"/>
      <c r="AA185" s="76"/>
      <c r="AB185" s="73"/>
      <c r="AC185" s="80"/>
      <c r="AD185" s="73"/>
      <c r="AE185" s="80"/>
      <c r="AF185" s="73"/>
      <c r="AG185" s="80"/>
      <c r="AH185" s="73"/>
      <c r="AI185" s="73"/>
      <c r="AJ185" s="73"/>
      <c r="AK185" s="163"/>
      <c r="AL185" s="163"/>
    </row>
    <row r="186" spans="2:38">
      <c r="B186" s="46" t="s">
        <v>374</v>
      </c>
      <c r="C186" s="52"/>
      <c r="D186" s="109">
        <v>-210</v>
      </c>
      <c r="E186" s="109">
        <v>-269</v>
      </c>
      <c r="F186" s="109">
        <v>-245</v>
      </c>
      <c r="G186" s="109">
        <v>-126</v>
      </c>
      <c r="H186" s="109">
        <v>-138</v>
      </c>
      <c r="I186" s="109">
        <v>-248</v>
      </c>
      <c r="J186" s="109">
        <v>-256</v>
      </c>
      <c r="K186" s="109">
        <v>-207</v>
      </c>
      <c r="L186" s="183"/>
      <c r="M186" s="183"/>
      <c r="N186" s="183"/>
      <c r="O186" s="183"/>
      <c r="P186" s="183"/>
      <c r="Q186" s="163"/>
      <c r="R186" s="70"/>
      <c r="S186" s="52"/>
      <c r="T186" s="52"/>
      <c r="U186" s="76"/>
      <c r="V186" s="76"/>
      <c r="W186" s="76"/>
      <c r="X186" s="76"/>
      <c r="Y186" s="76"/>
      <c r="Z186" s="80"/>
      <c r="AA186" s="76"/>
      <c r="AB186" s="80"/>
      <c r="AC186" s="80"/>
      <c r="AD186" s="80"/>
      <c r="AE186" s="80"/>
      <c r="AF186" s="80"/>
      <c r="AG186" s="80"/>
      <c r="AH186" s="80"/>
      <c r="AI186" s="80"/>
      <c r="AJ186" s="80"/>
      <c r="AK186" s="163"/>
      <c r="AL186" s="163"/>
    </row>
    <row r="187" spans="2:38">
      <c r="B187" s="37" t="s">
        <v>451</v>
      </c>
      <c r="C187" s="52"/>
      <c r="D187" s="37">
        <f>SUM(D185:D186)</f>
        <v>-83</v>
      </c>
      <c r="E187" s="37">
        <f t="shared" ref="E187:K187" si="471">SUM(E185:E186)</f>
        <v>-123</v>
      </c>
      <c r="F187" s="37">
        <f t="shared" si="471"/>
        <v>-167</v>
      </c>
      <c r="G187" s="37">
        <f t="shared" si="471"/>
        <v>35</v>
      </c>
      <c r="H187" s="37">
        <f t="shared" si="471"/>
        <v>-12</v>
      </c>
      <c r="I187" s="37">
        <f t="shared" si="471"/>
        <v>-72</v>
      </c>
      <c r="J187" s="37">
        <f t="shared" si="471"/>
        <v>19</v>
      </c>
      <c r="K187" s="37">
        <f t="shared" si="471"/>
        <v>55</v>
      </c>
      <c r="L187" s="309">
        <v>0</v>
      </c>
      <c r="M187" s="309">
        <v>0</v>
      </c>
      <c r="N187" s="309">
        <v>0</v>
      </c>
      <c r="O187" s="309">
        <v>0</v>
      </c>
      <c r="P187" s="309">
        <v>0</v>
      </c>
      <c r="Q187" s="163"/>
      <c r="R187" s="70"/>
      <c r="S187" s="52"/>
      <c r="T187" s="52"/>
      <c r="U187" s="76"/>
      <c r="V187" s="76"/>
      <c r="W187" s="76"/>
      <c r="X187" s="76"/>
      <c r="Y187" s="76"/>
      <c r="Z187" s="80"/>
      <c r="AA187" s="76"/>
      <c r="AB187" s="73"/>
      <c r="AC187" s="80"/>
      <c r="AD187" s="73"/>
      <c r="AE187" s="80"/>
      <c r="AF187" s="73"/>
      <c r="AG187" s="80"/>
      <c r="AH187" s="73"/>
      <c r="AI187" s="73"/>
      <c r="AJ187" s="73"/>
      <c r="AK187" s="163"/>
      <c r="AL187" s="163"/>
    </row>
    <row r="188" spans="2:38">
      <c r="B188" s="46"/>
      <c r="C188" s="52"/>
      <c r="D188" s="46"/>
      <c r="E188" s="46"/>
      <c r="F188" s="46"/>
      <c r="G188" s="46"/>
      <c r="H188" s="46"/>
      <c r="I188" s="46"/>
      <c r="J188" s="46"/>
      <c r="K188" s="46"/>
      <c r="L188" s="163"/>
      <c r="M188" s="163"/>
      <c r="N188" s="163"/>
      <c r="O188" s="163"/>
      <c r="P188" s="163"/>
      <c r="Q188" s="163"/>
      <c r="R188" s="70"/>
      <c r="S188" s="52"/>
      <c r="T188" s="52"/>
      <c r="U188" s="76"/>
      <c r="V188" s="76"/>
      <c r="W188" s="76"/>
      <c r="X188" s="76"/>
      <c r="Y188" s="76"/>
      <c r="Z188" s="80"/>
      <c r="AA188" s="76"/>
      <c r="AB188" s="80"/>
      <c r="AC188" s="80"/>
      <c r="AD188" s="80"/>
      <c r="AE188" s="80"/>
      <c r="AF188" s="80"/>
      <c r="AG188" s="80"/>
      <c r="AH188" s="80"/>
      <c r="AI188" s="80"/>
      <c r="AJ188" s="80"/>
      <c r="AK188" s="163"/>
      <c r="AL188" s="163"/>
    </row>
    <row r="189" spans="2:38">
      <c r="B189" s="92" t="s">
        <v>441</v>
      </c>
      <c r="C189" s="52"/>
      <c r="D189" s="92">
        <f t="shared" ref="D189:K189" si="472">D183-D187</f>
        <v>727</v>
      </c>
      <c r="E189" s="92">
        <f t="shared" si="472"/>
        <v>1016</v>
      </c>
      <c r="F189" s="92">
        <f t="shared" si="472"/>
        <v>1000</v>
      </c>
      <c r="G189" s="92">
        <f t="shared" si="472"/>
        <v>1076</v>
      </c>
      <c r="H189" s="92">
        <f t="shared" si="472"/>
        <v>1211</v>
      </c>
      <c r="I189" s="92">
        <f t="shared" si="472"/>
        <v>1428</v>
      </c>
      <c r="J189" s="92">
        <f t="shared" si="472"/>
        <v>1380</v>
      </c>
      <c r="K189" s="92">
        <f t="shared" si="472"/>
        <v>1210</v>
      </c>
      <c r="L189" s="194">
        <f>L183+L187</f>
        <v>1200</v>
      </c>
      <c r="M189" s="194">
        <f t="shared" ref="M189:P189" si="473">M183+M187</f>
        <v>1236</v>
      </c>
      <c r="N189" s="194">
        <f t="shared" si="473"/>
        <v>1273.08</v>
      </c>
      <c r="O189" s="194">
        <f t="shared" si="473"/>
        <v>1311.2724000000001</v>
      </c>
      <c r="P189" s="194">
        <f t="shared" si="473"/>
        <v>1350.610572</v>
      </c>
      <c r="Q189" s="163"/>
      <c r="R189" s="70"/>
      <c r="S189" s="52"/>
      <c r="T189" s="52"/>
      <c r="U189" s="76"/>
      <c r="V189" s="76"/>
      <c r="W189" s="76"/>
      <c r="X189" s="76"/>
      <c r="Y189" s="76"/>
      <c r="Z189" s="80"/>
      <c r="AA189" s="76"/>
      <c r="AB189" s="73"/>
      <c r="AC189" s="80"/>
      <c r="AD189" s="73"/>
      <c r="AE189" s="80"/>
      <c r="AF189" s="73"/>
      <c r="AG189" s="75">
        <v>682</v>
      </c>
      <c r="AH189" s="76">
        <f>J189-AG189</f>
        <v>698</v>
      </c>
      <c r="AI189" s="70">
        <v>511</v>
      </c>
      <c r="AJ189" s="76">
        <f>K189-AI189</f>
        <v>699</v>
      </c>
      <c r="AK189" s="163"/>
      <c r="AL189" s="163"/>
    </row>
    <row r="190" spans="2:38">
      <c r="B190" s="46"/>
      <c r="C190" s="52"/>
      <c r="D190" s="52"/>
      <c r="E190" s="52"/>
      <c r="F190" s="52"/>
      <c r="G190" s="52"/>
      <c r="H190" s="52"/>
      <c r="I190" s="52"/>
      <c r="J190" s="52"/>
      <c r="K190" s="52"/>
      <c r="L190" s="163"/>
      <c r="M190" s="163"/>
      <c r="N190" s="163"/>
      <c r="O190" s="163"/>
      <c r="P190" s="163"/>
      <c r="Q190" s="163"/>
      <c r="R190" s="70"/>
      <c r="S190" s="52"/>
      <c r="T190" s="52"/>
      <c r="U190" s="76"/>
      <c r="V190" s="76"/>
      <c r="W190" s="76"/>
      <c r="X190" s="76"/>
      <c r="Y190" s="76"/>
      <c r="Z190" s="80"/>
      <c r="AA190" s="76"/>
      <c r="AB190" s="80"/>
      <c r="AC190" s="80"/>
      <c r="AD190" s="80"/>
      <c r="AE190" s="80"/>
      <c r="AF190" s="80"/>
      <c r="AG190" s="80"/>
      <c r="AH190" s="80"/>
      <c r="AI190" s="54">
        <f t="shared" ref="AI190" si="474">AI189/AG189-1</f>
        <v>-0.25073313782991202</v>
      </c>
      <c r="AJ190" s="54">
        <f t="shared" ref="AJ190" si="475">AJ189/AH189-1</f>
        <v>1.4326647564470996E-3</v>
      </c>
      <c r="AK190" s="163"/>
      <c r="AL190" s="163"/>
    </row>
    <row r="191" spans="2:38">
      <c r="B191" s="46"/>
      <c r="C191" s="52"/>
      <c r="D191" s="52"/>
      <c r="E191" s="52"/>
      <c r="F191" s="52"/>
      <c r="G191" s="52"/>
      <c r="H191" s="52"/>
      <c r="I191" s="52"/>
      <c r="J191" s="52"/>
      <c r="K191" s="52"/>
      <c r="L191" s="163"/>
      <c r="M191" s="163"/>
      <c r="N191" s="163"/>
      <c r="O191" s="163"/>
      <c r="P191" s="163"/>
      <c r="Q191" s="163"/>
      <c r="R191" s="70"/>
      <c r="S191" s="52"/>
      <c r="T191" s="52"/>
      <c r="U191" s="76"/>
      <c r="V191" s="76"/>
      <c r="W191" s="76"/>
      <c r="X191" s="76"/>
      <c r="Y191" s="76"/>
      <c r="Z191" s="80"/>
      <c r="AA191" s="76"/>
      <c r="AB191" s="73"/>
      <c r="AC191" s="80"/>
      <c r="AD191" s="73"/>
      <c r="AE191" s="80"/>
      <c r="AF191" s="73"/>
      <c r="AG191" s="80"/>
      <c r="AH191" s="73"/>
      <c r="AI191" s="80"/>
      <c r="AJ191" s="73"/>
      <c r="AK191" s="163"/>
      <c r="AL191" s="163"/>
    </row>
    <row r="192" spans="2:38">
      <c r="B192" s="46"/>
      <c r="C192" s="52"/>
      <c r="D192" s="52"/>
      <c r="E192" s="52"/>
      <c r="F192" s="52"/>
      <c r="G192" s="52"/>
      <c r="H192" s="52"/>
      <c r="I192" s="52"/>
      <c r="J192" s="52"/>
      <c r="K192" s="52"/>
      <c r="L192" s="163"/>
      <c r="M192" s="163"/>
      <c r="N192" s="163"/>
      <c r="O192" s="163"/>
      <c r="P192" s="163"/>
      <c r="Q192" s="163"/>
      <c r="R192" s="70"/>
      <c r="S192" s="52"/>
      <c r="T192" s="52"/>
      <c r="U192" s="76"/>
      <c r="V192" s="76"/>
      <c r="W192" s="76"/>
      <c r="X192" s="76"/>
      <c r="Y192" s="76"/>
      <c r="Z192" s="80"/>
      <c r="AA192" s="76"/>
      <c r="AB192" s="80"/>
      <c r="AC192" s="80"/>
      <c r="AD192" s="80"/>
      <c r="AE192" s="80"/>
      <c r="AF192" s="80"/>
      <c r="AG192" s="80"/>
      <c r="AH192" s="80"/>
      <c r="AI192" s="80"/>
      <c r="AJ192" s="80"/>
      <c r="AK192" s="163"/>
      <c r="AL192" s="163"/>
    </row>
    <row r="193" spans="2:38">
      <c r="B193" s="46"/>
      <c r="C193" s="52"/>
      <c r="D193" s="52"/>
      <c r="E193" s="52"/>
      <c r="F193" s="52"/>
      <c r="G193" s="52"/>
      <c r="H193" s="52"/>
      <c r="I193" s="52"/>
      <c r="J193" s="52"/>
      <c r="K193" s="52"/>
      <c r="L193" s="163"/>
      <c r="M193" s="163"/>
      <c r="N193" s="163"/>
      <c r="O193" s="163"/>
      <c r="P193" s="163"/>
      <c r="Q193" s="163"/>
      <c r="R193" s="70"/>
      <c r="S193" s="52"/>
      <c r="T193" s="52"/>
      <c r="U193" s="76"/>
      <c r="V193" s="76"/>
      <c r="W193" s="76"/>
      <c r="X193" s="76"/>
      <c r="Y193" s="76"/>
      <c r="Z193" s="80"/>
      <c r="AA193" s="76"/>
      <c r="AB193" s="73"/>
      <c r="AC193" s="80"/>
      <c r="AD193" s="73"/>
      <c r="AE193" s="80"/>
      <c r="AF193" s="73"/>
      <c r="AG193" s="80"/>
      <c r="AH193" s="73"/>
      <c r="AI193" s="80"/>
      <c r="AJ193" s="73"/>
      <c r="AK193" s="163"/>
      <c r="AL193" s="163"/>
    </row>
    <row r="194" spans="2:38">
      <c r="B194" s="46"/>
      <c r="C194" s="52"/>
      <c r="D194" s="52"/>
      <c r="E194" s="52"/>
      <c r="F194" s="52"/>
      <c r="G194" s="52"/>
      <c r="H194" s="52"/>
      <c r="I194" s="52"/>
      <c r="J194" s="52"/>
      <c r="K194" s="52"/>
      <c r="L194" s="163"/>
      <c r="M194" s="163"/>
      <c r="N194" s="163"/>
      <c r="O194" s="163"/>
      <c r="P194" s="163"/>
      <c r="Q194" s="163"/>
      <c r="R194" s="70"/>
      <c r="S194" s="52"/>
      <c r="T194" s="52"/>
      <c r="U194" s="76"/>
      <c r="V194" s="76"/>
      <c r="W194" s="76"/>
      <c r="X194" s="76"/>
      <c r="Y194" s="76"/>
      <c r="Z194" s="80"/>
      <c r="AA194" s="76"/>
      <c r="AB194" s="80"/>
      <c r="AC194" s="80"/>
      <c r="AD194" s="80"/>
      <c r="AE194" s="80"/>
      <c r="AF194" s="80"/>
      <c r="AG194" s="80"/>
      <c r="AH194" s="80"/>
      <c r="AI194" s="80"/>
      <c r="AJ194" s="80"/>
      <c r="AK194" s="163"/>
      <c r="AL194" s="163"/>
    </row>
  </sheetData>
  <phoneticPr fontId="1" type="noConversion"/>
  <pageMargins left="0.7" right="0.7" top="0.75" bottom="0.75" header="0.3" footer="0.3"/>
  <customProperties>
    <customPr name="Qube.Worksheet.Visibility" r:id="rId1"/>
    <customPr name="QXL_SHEET_ID" r:id="rId2"/>
  </customPropertie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34451-407A-4532-8887-D63394C18E7E}">
  <sheetPr>
    <tabColor theme="7" tint="0.59999389629810485"/>
  </sheetPr>
  <dimension ref="A1:AL90"/>
  <sheetViews>
    <sheetView showGridLines="0" zoomScale="70" zoomScaleNormal="70" workbookViewId="0">
      <pane xSplit="2" ySplit="4" topLeftCell="C5" activePane="bottomRight" state="frozen"/>
      <selection activeCell="R64" sqref="R64"/>
      <selection pane="topRight" activeCell="R64" sqref="R64"/>
      <selection pane="bottomLeft" activeCell="R64" sqref="R64"/>
      <selection pane="bottomRight" activeCell="R49" sqref="R49"/>
    </sheetView>
  </sheetViews>
  <sheetFormatPr defaultColWidth="9.140625" defaultRowHeight="12.75" outlineLevelRow="1" outlineLevelCol="1"/>
  <cols>
    <col min="1" max="1" width="25.28515625" style="36" hidden="1" customWidth="1" outlineLevel="1"/>
    <col min="2" max="2" width="36.85546875" style="5" bestFit="1" customWidth="1" collapsed="1"/>
    <col min="3" max="16" width="9.28515625" style="5" customWidth="1"/>
    <col min="17" max="17" width="11.5703125" style="5" customWidth="1"/>
    <col min="18" max="37" width="9.5703125" style="5" customWidth="1"/>
    <col min="38" max="16384" width="9.140625" style="5"/>
  </cols>
  <sheetData>
    <row r="1" spans="1:38" s="7" customFormat="1">
      <c r="A1" s="153"/>
      <c r="B1" s="4" t="s">
        <v>306</v>
      </c>
    </row>
    <row r="2" spans="1:38" s="7" customFormat="1">
      <c r="A2" s="153"/>
      <c r="B2" s="4" t="s">
        <v>47</v>
      </c>
    </row>
    <row r="3" spans="1:38" s="7" customFormat="1">
      <c r="A3" s="153"/>
      <c r="B3" s="9"/>
      <c r="C3" s="118" t="str">
        <f>Model!C3</f>
        <v>FY17</v>
      </c>
      <c r="D3" s="118" t="str">
        <f>Model!D3</f>
        <v>FY18</v>
      </c>
      <c r="E3" s="118" t="str">
        <f>Model!E3</f>
        <v>FY19</v>
      </c>
      <c r="F3" s="118" t="str">
        <f>Model!F3</f>
        <v>FY20</v>
      </c>
      <c r="G3" s="118" t="str">
        <f>Model!G3</f>
        <v>FY21</v>
      </c>
      <c r="H3" s="118" t="str">
        <f>Model!H3</f>
        <v>FY22</v>
      </c>
      <c r="I3" s="118" t="str">
        <f>Model!I3</f>
        <v>FY23</v>
      </c>
      <c r="J3" s="118" t="str">
        <f>Model!J3</f>
        <v>FY24</v>
      </c>
      <c r="K3" s="118" t="str">
        <f>Model!K3</f>
        <v>FY25</v>
      </c>
      <c r="L3" s="118" t="s">
        <v>29</v>
      </c>
      <c r="M3" s="118" t="s">
        <v>30</v>
      </c>
      <c r="N3" s="118" t="s">
        <v>215</v>
      </c>
      <c r="O3" s="118" t="s">
        <v>262</v>
      </c>
      <c r="P3" s="118" t="s">
        <v>263</v>
      </c>
      <c r="Q3" s="118"/>
      <c r="R3" s="118" t="str">
        <f>Model!S3</f>
        <v>1H17</v>
      </c>
      <c r="S3" s="118" t="str">
        <f>Model!T3</f>
        <v>2H17</v>
      </c>
      <c r="T3" s="118" t="str">
        <f>Model!U3</f>
        <v>1H18</v>
      </c>
      <c r="U3" s="118" t="str">
        <f>Model!V3</f>
        <v>2H18</v>
      </c>
      <c r="V3" s="118" t="str">
        <f>Model!W3</f>
        <v>1H19</v>
      </c>
      <c r="W3" s="118" t="str">
        <f>Model!X3</f>
        <v>2H19</v>
      </c>
      <c r="X3" s="118" t="str">
        <f>Model!Y3</f>
        <v>1H20</v>
      </c>
      <c r="Y3" s="118" t="str">
        <f>Model!Z3</f>
        <v>2H20</v>
      </c>
      <c r="Z3" s="118" t="str">
        <f>Model!AA3</f>
        <v>1H21</v>
      </c>
      <c r="AA3" s="118" t="str">
        <f>Model!AB3</f>
        <v>2H21</v>
      </c>
      <c r="AB3" s="118" t="str">
        <f>Model!AC3</f>
        <v>1H22</v>
      </c>
      <c r="AC3" s="118" t="str">
        <f>Model!AD3</f>
        <v>2H22</v>
      </c>
      <c r="AD3" s="118" t="str">
        <f>Model!AE3</f>
        <v>1H23</v>
      </c>
      <c r="AE3" s="118" t="str">
        <f>Model!AF3</f>
        <v>2H23</v>
      </c>
      <c r="AF3" s="118" t="str">
        <f>Model!AG3</f>
        <v>1H24</v>
      </c>
      <c r="AG3" s="118" t="str">
        <f>Model!AH3</f>
        <v>2H24</v>
      </c>
      <c r="AH3" s="118" t="str">
        <f>Model!AI3</f>
        <v>1H25</v>
      </c>
      <c r="AI3" s="118" t="str">
        <f>Model!AJ3</f>
        <v>2H25</v>
      </c>
      <c r="AJ3" s="118" t="s">
        <v>31</v>
      </c>
      <c r="AK3" s="118" t="s">
        <v>32</v>
      </c>
    </row>
    <row r="4" spans="1:38" s="7" customFormat="1">
      <c r="A4" s="153"/>
      <c r="B4" s="1" t="s">
        <v>48</v>
      </c>
    </row>
    <row r="5" spans="1:38" s="6" customFormat="1">
      <c r="A5" s="36" t="s">
        <v>152</v>
      </c>
      <c r="B5" s="157" t="s">
        <v>0</v>
      </c>
      <c r="C5" s="158">
        <f>VLOOKUP($A$5,Model!1:1048576,MATCH(PL!C3,Model!3:3,0),FALSE)</f>
        <v>39125</v>
      </c>
      <c r="D5" s="158">
        <f>VLOOKUP($A$5,Model!1:1048576,MATCH(PL!D3,Model!3:3,0),FALSE)</f>
        <v>39007</v>
      </c>
      <c r="E5" s="158">
        <f>VLOOKUP($A$5,Model!1:1048576,MATCH(PL!E3,Model!3:3,0),FALSE)</f>
        <v>35001</v>
      </c>
      <c r="F5" s="158">
        <f>VLOOKUP($A$5,Model!1:1048576,MATCH(PL!F3,Model!3:3,0),FALSE)</f>
        <v>37408</v>
      </c>
      <c r="G5" s="158">
        <f>VLOOKUP($A$5,Model!1:1048576,MATCH(PL!G3,Model!3:3,0),FALSE)</f>
        <v>38585</v>
      </c>
      <c r="H5" s="158">
        <f>VLOOKUP($A$5,Model!1:1048576,MATCH(PL!H3,Model!3:3,0),FALSE)</f>
        <v>38237</v>
      </c>
      <c r="I5" s="158">
        <f>VLOOKUP($A$5,Model!1:1048576,MATCH(PL!I3,Model!3:3,0),FALSE)</f>
        <v>40483</v>
      </c>
      <c r="J5" s="158">
        <f>VLOOKUP($A$5,Model!1:1048576,MATCH(PL!J3,Model!3:3,0),FALSE)</f>
        <v>43571</v>
      </c>
      <c r="K5" s="158">
        <f>VLOOKUP($A$5,Model!1:1048576,MATCH(PL!K3,Model!3:3,0),FALSE)</f>
        <v>44352</v>
      </c>
      <c r="L5" s="158">
        <f>VLOOKUP($A$5,Model!1:1048576,MATCH(PL!L3,Model!3:3,0),FALSE)</f>
        <v>45817.4685240947</v>
      </c>
      <c r="M5" s="158">
        <f>VLOOKUP($A$5,Model!1:1048576,MATCH(PL!M3,Model!3:3,0),FALSE)</f>
        <v>47234.551207011624</v>
      </c>
      <c r="N5" s="158">
        <f>VLOOKUP($A$5,Model!1:1048576,MATCH(PL!N3,Model!3:3,0),FALSE)</f>
        <v>49224.880666344303</v>
      </c>
      <c r="O5" s="158">
        <f>VLOOKUP($A$5,Model!1:1048576,MATCH(PL!O3,Model!3:3,0),FALSE)</f>
        <v>51291.973626181745</v>
      </c>
      <c r="P5" s="158">
        <f>VLOOKUP($A$5,Model!1:1048576,MATCH(PL!P3,Model!3:3,0),FALSE)</f>
        <v>53438.643125491319</v>
      </c>
      <c r="Q5" s="158"/>
      <c r="R5" s="158"/>
      <c r="S5" s="158"/>
      <c r="T5" s="158">
        <f>VLOOKUP($A$5,Model!1:1048576,MATCH(PL!T3,Model!3:3,0),FALSE)</f>
        <v>20246</v>
      </c>
      <c r="U5" s="158">
        <f>VLOOKUP($A$5,Model!1:1048576,MATCH(PL!U3,Model!3:3,0),FALSE)</f>
        <v>18761</v>
      </c>
      <c r="V5" s="158">
        <f>VLOOKUP($A$5,Model!1:1048576,MATCH(PL!V3,Model!3:3,0),FALSE)</f>
        <v>18266</v>
      </c>
      <c r="W5" s="158">
        <f>VLOOKUP($A$5,Model!1:1048576,MATCH(PL!W3,Model!3:3,0),FALSE)</f>
        <v>16735</v>
      </c>
      <c r="X5" s="158">
        <f>VLOOKUP($A$5,Model!1:1048576,MATCH(PL!X3,Model!3:3,0),FALSE)</f>
        <v>18856</v>
      </c>
      <c r="Y5" s="158">
        <f>VLOOKUP($A$5,Model!1:1048576,MATCH(PL!Y3,Model!3:3,0),FALSE)</f>
        <v>18552</v>
      </c>
      <c r="Z5" s="158">
        <f>VLOOKUP($A$5,Model!1:1048576,MATCH(PL!Z3,Model!3:3,0),FALSE)</f>
        <v>20390</v>
      </c>
      <c r="AA5" s="158">
        <f>VLOOKUP($A$5,Model!1:1048576,MATCH(PL!AA3,Model!3:3,0),FALSE)</f>
        <v>18195</v>
      </c>
      <c r="AB5" s="158">
        <f>VLOOKUP($A$5,Model!1:1048576,MATCH(PL!AB3,Model!3:3,0),FALSE)</f>
        <v>20015</v>
      </c>
      <c r="AC5" s="158">
        <f>VLOOKUP($A$5,Model!1:1048576,MATCH(PL!AC3,Model!3:3,0),FALSE)</f>
        <v>18222</v>
      </c>
      <c r="AD5" s="158">
        <f>VLOOKUP($A$5,Model!1:1048576,MATCH(PL!AD3,Model!3:3,0),FALSE)</f>
        <v>20809</v>
      </c>
      <c r="AE5" s="158">
        <f>VLOOKUP($A$5,Model!1:1048576,MATCH(PL!AE3,Model!3:3,0),FALSE)</f>
        <v>19674</v>
      </c>
      <c r="AF5" s="158">
        <f>VLOOKUP($A$5,Model!1:1048576,MATCH(PL!AF3,Model!3:3,0),FALSE)</f>
        <v>22216</v>
      </c>
      <c r="AG5" s="158">
        <f>VLOOKUP($A$5,Model!1:1048576,MATCH(PL!AG3,Model!3:3,0),FALSE)</f>
        <v>21355</v>
      </c>
      <c r="AH5" s="158">
        <f>VLOOKUP($A$5,Model!1:1048576,MATCH(PL!AH3,Model!3:3,0),FALSE)</f>
        <v>23035</v>
      </c>
      <c r="AI5" s="158">
        <f>VLOOKUP($A$5,Model!1:1048576,MATCH(PL!AI3,Model!3:3,0),FALSE)</f>
        <v>21317</v>
      </c>
      <c r="AJ5" s="158">
        <f>VLOOKUP($A$5,Model!1:1048576,MATCH(PL!AJ3,Model!3:3,0),FALSE)</f>
        <v>23812.150241258743</v>
      </c>
      <c r="AK5" s="158">
        <f>VLOOKUP($A$5,Model!1:1048576,MATCH(PL!AK3,Model!3:3,0),FALSE)</f>
        <v>22005.318282835957</v>
      </c>
    </row>
    <row r="6" spans="1:38" s="36" customFormat="1">
      <c r="A6" s="36" t="s">
        <v>269</v>
      </c>
      <c r="B6" s="41" t="s">
        <v>159</v>
      </c>
      <c r="C6" s="41"/>
      <c r="D6" s="95">
        <f t="shared" ref="D6:K6" si="0">D5/C5-1</f>
        <v>-3.0159744408945199E-3</v>
      </c>
      <c r="E6" s="95">
        <f t="shared" si="0"/>
        <v>-0.10269951547158207</v>
      </c>
      <c r="F6" s="95">
        <f t="shared" si="0"/>
        <v>6.8769463729607683E-2</v>
      </c>
      <c r="G6" s="95">
        <f t="shared" si="0"/>
        <v>3.1463857998289102E-2</v>
      </c>
      <c r="H6" s="95">
        <f t="shared" si="0"/>
        <v>-9.0190488531812774E-3</v>
      </c>
      <c r="I6" s="95">
        <f t="shared" si="0"/>
        <v>5.873891780212892E-2</v>
      </c>
      <c r="J6" s="95">
        <f t="shared" si="0"/>
        <v>7.6278931897339586E-2</v>
      </c>
      <c r="K6" s="95">
        <f t="shared" si="0"/>
        <v>1.7924766473112808E-2</v>
      </c>
      <c r="L6" s="178">
        <f t="shared" ref="L6:P6" si="1">L5/K5-1</f>
        <v>3.3041768670966309E-2</v>
      </c>
      <c r="M6" s="178">
        <f t="shared" si="1"/>
        <v>3.092887338748751E-2</v>
      </c>
      <c r="N6" s="178">
        <f t="shared" si="1"/>
        <v>4.213715190411782E-2</v>
      </c>
      <c r="O6" s="178">
        <f t="shared" si="1"/>
        <v>4.1992848572830477E-2</v>
      </c>
      <c r="P6" s="178">
        <f t="shared" si="1"/>
        <v>4.1851957480805835E-2</v>
      </c>
      <c r="Q6" s="41"/>
      <c r="R6" s="41"/>
      <c r="S6" s="41"/>
      <c r="T6" s="95"/>
      <c r="U6" s="95"/>
      <c r="V6" s="95">
        <f t="shared" ref="V6:AI6" si="2">V5/T5-1</f>
        <v>-9.779709572261186E-2</v>
      </c>
      <c r="W6" s="95">
        <f t="shared" si="2"/>
        <v>-0.10798997921219555</v>
      </c>
      <c r="X6" s="95">
        <f t="shared" si="2"/>
        <v>3.230044892149353E-2</v>
      </c>
      <c r="Y6" s="95">
        <f t="shared" si="2"/>
        <v>0.10857484314311328</v>
      </c>
      <c r="Z6" s="95">
        <f t="shared" si="2"/>
        <v>8.1353415358506487E-2</v>
      </c>
      <c r="AA6" s="95">
        <f t="shared" si="2"/>
        <v>-1.9243208279430823E-2</v>
      </c>
      <c r="AB6" s="95">
        <f t="shared" si="2"/>
        <v>-1.8391368317802859E-2</v>
      </c>
      <c r="AC6" s="95">
        <f t="shared" si="2"/>
        <v>1.4839241549875481E-3</v>
      </c>
      <c r="AD6" s="95">
        <f t="shared" si="2"/>
        <v>3.9670247314514073E-2</v>
      </c>
      <c r="AE6" s="95">
        <f t="shared" si="2"/>
        <v>7.9683898584129054E-2</v>
      </c>
      <c r="AF6" s="95">
        <f t="shared" si="2"/>
        <v>6.7614974289970764E-2</v>
      </c>
      <c r="AG6" s="95">
        <f t="shared" si="2"/>
        <v>8.5442716275287101E-2</v>
      </c>
      <c r="AH6" s="95">
        <f t="shared" si="2"/>
        <v>3.6865322290241309E-2</v>
      </c>
      <c r="AI6" s="95">
        <f t="shared" si="2"/>
        <v>-1.7794427534535417E-3</v>
      </c>
      <c r="AJ6" s="178">
        <f t="shared" ref="AJ6:AK6" si="3">AJ5/AH5-1</f>
        <v>3.3737800792652095E-2</v>
      </c>
      <c r="AK6" s="178">
        <f t="shared" si="3"/>
        <v>3.2289641264528601E-2</v>
      </c>
    </row>
    <row r="7" spans="1:38">
      <c r="B7" s="46"/>
      <c r="C7" s="46"/>
      <c r="D7" s="46"/>
      <c r="E7" s="46"/>
      <c r="F7" s="46"/>
      <c r="G7" s="46"/>
      <c r="H7" s="46"/>
      <c r="I7" s="46"/>
      <c r="J7" s="46"/>
      <c r="K7" s="46"/>
      <c r="L7" s="163"/>
      <c r="M7" s="163"/>
      <c r="N7" s="163"/>
      <c r="O7" s="163"/>
      <c r="P7" s="163"/>
      <c r="Q7" s="46"/>
      <c r="R7" s="46"/>
      <c r="S7" s="46"/>
      <c r="T7" s="46"/>
      <c r="U7" s="46"/>
      <c r="V7" s="46"/>
      <c r="W7" s="46"/>
      <c r="X7" s="46"/>
      <c r="Y7" s="46"/>
      <c r="Z7" s="46"/>
      <c r="AA7" s="46"/>
      <c r="AB7" s="46"/>
      <c r="AC7" s="46"/>
      <c r="AD7" s="46"/>
      <c r="AE7" s="46"/>
      <c r="AF7" s="46"/>
      <c r="AG7" s="46"/>
      <c r="AH7" s="46"/>
      <c r="AI7" s="46"/>
      <c r="AJ7" s="163"/>
      <c r="AK7" s="163"/>
    </row>
    <row r="8" spans="1:38" outlineLevel="1">
      <c r="B8" s="46" t="s">
        <v>365</v>
      </c>
      <c r="C8" s="46"/>
      <c r="D8" s="109">
        <v>211</v>
      </c>
      <c r="E8" s="109">
        <v>288.39999999999998</v>
      </c>
      <c r="F8" s="109">
        <v>376</v>
      </c>
      <c r="G8" s="109">
        <v>370</v>
      </c>
      <c r="H8" s="109">
        <v>377</v>
      </c>
      <c r="I8" s="109">
        <v>108</v>
      </c>
      <c r="J8" s="109">
        <v>113</v>
      </c>
      <c r="K8" s="109">
        <v>135</v>
      </c>
      <c r="L8" s="163"/>
      <c r="M8" s="163"/>
      <c r="N8" s="163"/>
      <c r="O8" s="163"/>
      <c r="P8" s="163"/>
      <c r="Q8" s="46"/>
      <c r="R8" s="46"/>
      <c r="S8" s="46"/>
      <c r="T8" s="109">
        <v>110</v>
      </c>
      <c r="U8" s="31">
        <f>D8-T8</f>
        <v>101</v>
      </c>
      <c r="V8" s="109">
        <v>200</v>
      </c>
      <c r="W8" s="31">
        <f>E8-V8</f>
        <v>88.399999999999977</v>
      </c>
      <c r="X8" s="109">
        <v>191</v>
      </c>
      <c r="Y8" s="31">
        <f>F8-X8</f>
        <v>185</v>
      </c>
      <c r="Z8" s="109">
        <v>191</v>
      </c>
      <c r="AA8" s="31">
        <f>G8-Z8</f>
        <v>179</v>
      </c>
      <c r="AB8" s="109">
        <v>55</v>
      </c>
      <c r="AC8" s="31">
        <f>H8-AB8</f>
        <v>322</v>
      </c>
      <c r="AD8" s="109">
        <v>63</v>
      </c>
      <c r="AE8" s="31">
        <f>I8-AD8</f>
        <v>45</v>
      </c>
      <c r="AF8" s="109">
        <v>58</v>
      </c>
      <c r="AG8" s="31">
        <f>J8-AF8</f>
        <v>55</v>
      </c>
      <c r="AH8" s="109">
        <v>71</v>
      </c>
      <c r="AI8" s="31">
        <f>K8-AH8</f>
        <v>64</v>
      </c>
      <c r="AJ8" s="163"/>
      <c r="AK8" s="163"/>
    </row>
    <row r="9" spans="1:38" outlineLevel="1">
      <c r="B9" s="46" t="s">
        <v>364</v>
      </c>
      <c r="C9" s="31">
        <f t="shared" ref="C9:I9" si="4">C10-C5</f>
        <v>-30129</v>
      </c>
      <c r="D9" s="31">
        <f t="shared" si="4"/>
        <v>-29981</v>
      </c>
      <c r="E9" s="31">
        <f t="shared" si="4"/>
        <v>-25790</v>
      </c>
      <c r="F9" s="31">
        <f t="shared" si="4"/>
        <v>-27667</v>
      </c>
      <c r="G9" s="31">
        <f t="shared" si="4"/>
        <v>-28426</v>
      </c>
      <c r="H9" s="31">
        <f t="shared" si="4"/>
        <v>-28292</v>
      </c>
      <c r="I9" s="31">
        <f t="shared" si="4"/>
        <v>-29926</v>
      </c>
      <c r="J9" s="231">
        <f>J10-J8-J5</f>
        <v>-32392</v>
      </c>
      <c r="K9" s="231">
        <f>K10-K8-K5</f>
        <v>-32649</v>
      </c>
      <c r="L9" s="176">
        <f>L10-L5</f>
        <v>-33284.200119755442</v>
      </c>
      <c r="M9" s="176">
        <f t="shared" ref="M9:P9" si="5">M10-M5</f>
        <v>-34074.072386004802</v>
      </c>
      <c r="N9" s="176">
        <f t="shared" si="5"/>
        <v>-35484.337572016433</v>
      </c>
      <c r="O9" s="176">
        <f t="shared" si="5"/>
        <v>-36963.697602880216</v>
      </c>
      <c r="P9" s="176">
        <f t="shared" si="5"/>
        <v>-38499.860715121395</v>
      </c>
      <c r="Q9" s="46"/>
      <c r="R9" s="32"/>
      <c r="S9" s="46"/>
      <c r="T9" s="31">
        <f t="shared" ref="T9:Z9" si="6">T10-T5</f>
        <v>-15742</v>
      </c>
      <c r="U9" s="31">
        <f t="shared" si="6"/>
        <v>-14239</v>
      </c>
      <c r="V9" s="31">
        <f t="shared" si="6"/>
        <v>-13652</v>
      </c>
      <c r="W9" s="31">
        <f t="shared" si="6"/>
        <v>-12138</v>
      </c>
      <c r="X9" s="31">
        <f t="shared" si="6"/>
        <v>-14058</v>
      </c>
      <c r="Y9" s="31">
        <f t="shared" si="6"/>
        <v>-13609</v>
      </c>
      <c r="Z9" s="31">
        <f t="shared" si="6"/>
        <v>-15035</v>
      </c>
      <c r="AA9" s="31">
        <f>G9-Z9</f>
        <v>-13391</v>
      </c>
      <c r="AB9" s="31">
        <f>AB10-AB5</f>
        <v>-14875</v>
      </c>
      <c r="AC9" s="31">
        <f>H9-AB9</f>
        <v>-13417</v>
      </c>
      <c r="AD9" s="31">
        <f t="shared" ref="AD9:AK9" si="7">AD10-AD5</f>
        <v>-15363</v>
      </c>
      <c r="AE9" s="31">
        <f t="shared" si="7"/>
        <v>-14563</v>
      </c>
      <c r="AF9" s="31">
        <f t="shared" si="7"/>
        <v>-16487</v>
      </c>
      <c r="AG9" s="31">
        <f t="shared" si="7"/>
        <v>-15792</v>
      </c>
      <c r="AH9" s="31">
        <f t="shared" si="7"/>
        <v>-16914</v>
      </c>
      <c r="AI9" s="31">
        <f t="shared" si="7"/>
        <v>-15600</v>
      </c>
      <c r="AJ9" s="176">
        <f t="shared" si="7"/>
        <v>-18086.212241258741</v>
      </c>
      <c r="AK9" s="176">
        <f t="shared" si="7"/>
        <v>-15197.9878784967</v>
      </c>
    </row>
    <row r="10" spans="1:38" outlineLevel="1">
      <c r="A10" s="36" t="s">
        <v>45</v>
      </c>
      <c r="B10" s="37" t="s">
        <v>166</v>
      </c>
      <c r="C10" s="265">
        <v>8996</v>
      </c>
      <c r="D10" s="265">
        <v>9026</v>
      </c>
      <c r="E10" s="265">
        <v>9211</v>
      </c>
      <c r="F10" s="265">
        <v>9741</v>
      </c>
      <c r="G10" s="265">
        <v>10159</v>
      </c>
      <c r="H10" s="265">
        <v>9945</v>
      </c>
      <c r="I10" s="78">
        <v>10557</v>
      </c>
      <c r="J10" s="78">
        <v>11292</v>
      </c>
      <c r="K10" s="78">
        <v>11838</v>
      </c>
      <c r="L10" s="176">
        <f>Model!L30+Model!L99</f>
        <v>12533.268404339258</v>
      </c>
      <c r="M10" s="176">
        <f>Model!M30+Model!M99</f>
        <v>13160.478821006818</v>
      </c>
      <c r="N10" s="176">
        <f>Model!N30+Model!N99</f>
        <v>13740.543094327872</v>
      </c>
      <c r="O10" s="176">
        <f>Model!O30+Model!O99</f>
        <v>14328.276023301525</v>
      </c>
      <c r="P10" s="176">
        <f>Model!P30+Model!P99</f>
        <v>14938.782410369922</v>
      </c>
      <c r="Q10" s="46"/>
      <c r="R10" s="32"/>
      <c r="S10" s="46"/>
      <c r="T10" s="32">
        <v>4504</v>
      </c>
      <c r="U10" s="31">
        <f>D10-T10</f>
        <v>4522</v>
      </c>
      <c r="V10" s="32">
        <v>4614</v>
      </c>
      <c r="W10" s="31">
        <f>E10-V10</f>
        <v>4597</v>
      </c>
      <c r="X10" s="32">
        <v>4798</v>
      </c>
      <c r="Y10" s="31">
        <f>F10-X10</f>
        <v>4943</v>
      </c>
      <c r="Z10" s="32">
        <v>5355</v>
      </c>
      <c r="AA10" s="31">
        <f>G10-Z10</f>
        <v>4804</v>
      </c>
      <c r="AB10" s="32">
        <v>5140</v>
      </c>
      <c r="AC10" s="31">
        <f>H10-AB10</f>
        <v>4805</v>
      </c>
      <c r="AD10" s="32">
        <v>5446</v>
      </c>
      <c r="AE10" s="31">
        <f>I10-AD10</f>
        <v>5111</v>
      </c>
      <c r="AF10" s="32">
        <v>5729</v>
      </c>
      <c r="AG10" s="31">
        <f>J10-AF10</f>
        <v>5563</v>
      </c>
      <c r="AH10" s="32">
        <v>6121</v>
      </c>
      <c r="AI10" s="31">
        <f>K10-AH10</f>
        <v>5717</v>
      </c>
      <c r="AJ10" s="176">
        <f>Model!AJ30+Model!AJ99</f>
        <v>5725.938000000001</v>
      </c>
      <c r="AK10" s="176">
        <f>L10-AJ10</f>
        <v>6807.3304043392573</v>
      </c>
    </row>
    <row r="11" spans="1:38" outlineLevel="1">
      <c r="B11" s="41" t="s">
        <v>46</v>
      </c>
      <c r="C11" s="226">
        <f>C10/C5</f>
        <v>0.22992971246006388</v>
      </c>
      <c r="D11" s="226">
        <f t="shared" ref="D11:K11" si="8">D10/D5</f>
        <v>0.23139436511395389</v>
      </c>
      <c r="E11" s="226">
        <f t="shared" si="8"/>
        <v>0.26316390960258279</v>
      </c>
      <c r="F11" s="226">
        <f t="shared" si="8"/>
        <v>0.26039884516680922</v>
      </c>
      <c r="G11" s="226">
        <f t="shared" si="8"/>
        <v>0.26328884281456527</v>
      </c>
      <c r="H11" s="226">
        <f t="shared" si="8"/>
        <v>0.26008839605617595</v>
      </c>
      <c r="I11" s="226">
        <f t="shared" si="8"/>
        <v>0.26077612825136476</v>
      </c>
      <c r="J11" s="226">
        <f t="shared" si="8"/>
        <v>0.25916320488398248</v>
      </c>
      <c r="K11" s="226">
        <f t="shared" si="8"/>
        <v>0.26691017316017318</v>
      </c>
      <c r="L11" s="163"/>
      <c r="M11" s="163"/>
      <c r="N11" s="163"/>
      <c r="O11" s="163"/>
      <c r="P11" s="163"/>
      <c r="Q11" s="46"/>
      <c r="R11" s="44"/>
      <c r="S11" s="46"/>
      <c r="T11" s="226">
        <f t="shared" ref="T11:AI11" si="9">T10/T5</f>
        <v>0.22246369653264841</v>
      </c>
      <c r="U11" s="226">
        <f>U10/U5</f>
        <v>0.2410319279356111</v>
      </c>
      <c r="V11" s="226">
        <f t="shared" si="9"/>
        <v>0.25260045987079821</v>
      </c>
      <c r="W11" s="226">
        <f t="shared" ref="W11:Y11" si="10">W10/W5</f>
        <v>0.27469375560203169</v>
      </c>
      <c r="X11" s="226">
        <f t="shared" si="9"/>
        <v>0.25445481544336018</v>
      </c>
      <c r="Y11" s="226">
        <f t="shared" si="10"/>
        <v>0.26644027598102632</v>
      </c>
      <c r="Z11" s="226">
        <f t="shared" si="9"/>
        <v>0.26262873957822463</v>
      </c>
      <c r="AA11" s="226">
        <f>AA10/AA5</f>
        <v>0.26402857928002199</v>
      </c>
      <c r="AB11" s="226">
        <f t="shared" si="9"/>
        <v>0.2568073944541594</v>
      </c>
      <c r="AC11" s="226">
        <f>AC10/AC5</f>
        <v>0.26369224014927012</v>
      </c>
      <c r="AD11" s="226">
        <f t="shared" si="9"/>
        <v>0.26171368158008557</v>
      </c>
      <c r="AE11" s="226">
        <f t="shared" si="9"/>
        <v>0.25978448714038832</v>
      </c>
      <c r="AF11" s="226">
        <f t="shared" si="9"/>
        <v>0.25787720561757294</v>
      </c>
      <c r="AG11" s="226">
        <f t="shared" si="9"/>
        <v>0.26050105361741982</v>
      </c>
      <c r="AH11" s="226">
        <f t="shared" si="9"/>
        <v>0.26572606902539614</v>
      </c>
      <c r="AI11" s="226">
        <f t="shared" si="9"/>
        <v>0.26818970774499223</v>
      </c>
      <c r="AJ11" s="170"/>
      <c r="AK11" s="170"/>
    </row>
    <row r="12" spans="1:38" outlineLevel="1">
      <c r="B12" s="41" t="s">
        <v>162</v>
      </c>
      <c r="C12" s="41"/>
      <c r="D12" s="93">
        <f t="shared" ref="D12:K12" si="11">D11-C11</f>
        <v>1.4646526538900084E-3</v>
      </c>
      <c r="E12" s="93">
        <f t="shared" si="11"/>
        <v>3.1769544488628898E-2</v>
      </c>
      <c r="F12" s="93">
        <f t="shared" si="11"/>
        <v>-2.7650644357735676E-3</v>
      </c>
      <c r="G12" s="93">
        <f t="shared" si="11"/>
        <v>2.8899976477560485E-3</v>
      </c>
      <c r="H12" s="93">
        <f t="shared" si="11"/>
        <v>-3.2004467583893192E-3</v>
      </c>
      <c r="I12" s="93">
        <f t="shared" si="11"/>
        <v>6.8773219518880602E-4</v>
      </c>
      <c r="J12" s="93">
        <f t="shared" si="11"/>
        <v>-1.6129233673822796E-3</v>
      </c>
      <c r="K12" s="93">
        <f t="shared" si="11"/>
        <v>7.7469682761907022E-3</v>
      </c>
      <c r="L12" s="313"/>
      <c r="M12" s="179"/>
      <c r="N12" s="179"/>
      <c r="O12" s="179"/>
      <c r="P12" s="179"/>
      <c r="Q12" s="46"/>
      <c r="R12" s="41"/>
      <c r="S12" s="46"/>
      <c r="T12" s="41"/>
      <c r="U12" s="41"/>
      <c r="V12" s="93">
        <f t="shared" ref="V12:AI12" si="12">V11-T11</f>
        <v>3.0136763338149797E-2</v>
      </c>
      <c r="W12" s="93">
        <f t="shared" si="12"/>
        <v>3.3661827666420591E-2</v>
      </c>
      <c r="X12" s="93">
        <f t="shared" si="12"/>
        <v>1.854355572561972E-3</v>
      </c>
      <c r="Y12" s="93">
        <f t="shared" si="12"/>
        <v>-8.2534796210053663E-3</v>
      </c>
      <c r="Z12" s="93">
        <f t="shared" si="12"/>
        <v>8.173924134864452E-3</v>
      </c>
      <c r="AA12" s="93">
        <f t="shared" si="12"/>
        <v>-2.4116967010043289E-3</v>
      </c>
      <c r="AB12" s="93">
        <f t="shared" si="12"/>
        <v>-5.8213451240652359E-3</v>
      </c>
      <c r="AC12" s="93">
        <f t="shared" si="12"/>
        <v>-3.3633913075187261E-4</v>
      </c>
      <c r="AD12" s="93">
        <f t="shared" si="12"/>
        <v>4.9062871259261676E-3</v>
      </c>
      <c r="AE12" s="93">
        <f t="shared" si="12"/>
        <v>-3.907753008881798E-3</v>
      </c>
      <c r="AF12" s="93">
        <f t="shared" si="12"/>
        <v>-3.836475962512631E-3</v>
      </c>
      <c r="AG12" s="93">
        <f t="shared" si="12"/>
        <v>7.1656647703149945E-4</v>
      </c>
      <c r="AH12" s="93">
        <f t="shared" si="12"/>
        <v>7.8488634078232034E-3</v>
      </c>
      <c r="AI12" s="93">
        <f t="shared" si="12"/>
        <v>7.6886541275724141E-3</v>
      </c>
      <c r="AJ12" s="170"/>
      <c r="AK12" s="170"/>
    </row>
    <row r="13" spans="1:38" outlineLevel="1">
      <c r="B13" s="46"/>
      <c r="C13" s="46"/>
      <c r="D13" s="46"/>
      <c r="E13" s="46"/>
      <c r="F13" s="46"/>
      <c r="G13" s="46"/>
      <c r="H13" s="46"/>
      <c r="I13" s="46"/>
      <c r="J13" s="46"/>
      <c r="K13" s="46"/>
      <c r="L13" s="163"/>
      <c r="M13" s="163"/>
      <c r="N13" s="163"/>
      <c r="O13" s="163"/>
      <c r="P13" s="163"/>
      <c r="Q13" s="46"/>
      <c r="R13" s="46"/>
      <c r="S13" s="46"/>
      <c r="T13" s="46"/>
      <c r="U13" s="46"/>
      <c r="V13" s="46"/>
      <c r="W13" s="46"/>
      <c r="X13" s="46"/>
      <c r="Y13" s="46"/>
      <c r="Z13" s="58"/>
      <c r="AA13" s="46"/>
      <c r="AB13" s="46"/>
      <c r="AC13" s="46"/>
      <c r="AD13" s="46"/>
      <c r="AE13" s="83"/>
      <c r="AF13" s="46"/>
      <c r="AG13" s="46"/>
      <c r="AH13" s="46"/>
      <c r="AI13" s="46"/>
      <c r="AJ13" s="163"/>
      <c r="AK13" s="163"/>
    </row>
    <row r="14" spans="1:38" outlineLevel="1">
      <c r="B14" s="37" t="s">
        <v>210</v>
      </c>
      <c r="C14" s="46"/>
      <c r="D14" s="46"/>
      <c r="E14" s="46"/>
      <c r="F14" s="46"/>
      <c r="G14" s="46"/>
      <c r="H14" s="46"/>
      <c r="I14" s="46"/>
      <c r="J14" s="46"/>
      <c r="K14" s="46"/>
      <c r="L14" s="163"/>
      <c r="M14" s="163"/>
      <c r="N14" s="163"/>
      <c r="O14" s="163"/>
      <c r="P14" s="163"/>
      <c r="Q14" s="46"/>
      <c r="R14" s="46"/>
      <c r="S14" s="46"/>
      <c r="T14" s="46"/>
      <c r="U14" s="46"/>
      <c r="V14" s="46"/>
      <c r="W14" s="46"/>
      <c r="X14" s="46"/>
      <c r="Y14" s="46"/>
      <c r="Z14" s="58"/>
      <c r="AA14" s="46"/>
      <c r="AB14" s="46"/>
      <c r="AC14" s="46"/>
      <c r="AD14" s="46"/>
      <c r="AE14" s="83"/>
      <c r="AF14" s="46"/>
      <c r="AG14" s="46"/>
      <c r="AH14" s="46"/>
      <c r="AI14" s="46"/>
      <c r="AJ14" s="163"/>
      <c r="AK14" s="163"/>
    </row>
    <row r="15" spans="1:38" ht="13.5" outlineLevel="1">
      <c r="B15" s="46" t="s">
        <v>167</v>
      </c>
      <c r="C15" s="46"/>
      <c r="D15" s="217">
        <v>-4321.3999999999996</v>
      </c>
      <c r="E15" s="217">
        <v>-4533</v>
      </c>
      <c r="F15" s="217">
        <v>-4768</v>
      </c>
      <c r="G15" s="217">
        <v>-4898</v>
      </c>
      <c r="H15" s="217">
        <v>-4804</v>
      </c>
      <c r="I15" s="217">
        <v>-5118</v>
      </c>
      <c r="J15" s="217">
        <v>-5512</v>
      </c>
      <c r="K15" s="217">
        <v>-5798</v>
      </c>
      <c r="L15" s="163"/>
      <c r="M15" s="180"/>
      <c r="N15" s="180"/>
      <c r="O15" s="180"/>
      <c r="P15" s="180"/>
      <c r="Q15" s="46"/>
      <c r="R15" s="46"/>
      <c r="S15" s="46"/>
      <c r="T15" s="46"/>
      <c r="U15" s="46"/>
      <c r="V15" s="46"/>
      <c r="W15" s="46"/>
      <c r="X15" s="46"/>
      <c r="Y15" s="46"/>
      <c r="Z15" s="135"/>
      <c r="AA15" s="46"/>
      <c r="AB15" s="46"/>
      <c r="AC15" s="46"/>
      <c r="AD15" s="99"/>
      <c r="AE15" s="121"/>
      <c r="AF15" s="99"/>
      <c r="AG15" s="121"/>
      <c r="AH15" s="99"/>
      <c r="AI15" s="121"/>
      <c r="AJ15" s="193"/>
      <c r="AK15" s="193"/>
    </row>
    <row r="16" spans="1:38" outlineLevel="1">
      <c r="B16" s="46" t="s">
        <v>327</v>
      </c>
      <c r="C16" s="46"/>
      <c r="D16" s="218">
        <v>-1600.3</v>
      </c>
      <c r="E16" s="218">
        <v>-1635</v>
      </c>
      <c r="F16" s="218">
        <v>-652</v>
      </c>
      <c r="G16" s="217">
        <v>-707</v>
      </c>
      <c r="H16" s="217">
        <v>-701</v>
      </c>
      <c r="I16" s="217">
        <v>-774</v>
      </c>
      <c r="J16" s="217">
        <v>-898</v>
      </c>
      <c r="K16" s="217">
        <v>-960</v>
      </c>
      <c r="L16" s="180"/>
      <c r="M16" s="180"/>
      <c r="N16" s="180"/>
      <c r="O16" s="180"/>
      <c r="P16" s="180"/>
      <c r="Q16" s="46"/>
      <c r="R16" s="46"/>
      <c r="S16" s="46"/>
      <c r="T16" s="46"/>
      <c r="U16" s="46"/>
      <c r="V16" s="46"/>
      <c r="W16" s="46"/>
      <c r="X16" s="46"/>
      <c r="Y16" s="46"/>
      <c r="Z16" s="46"/>
      <c r="AA16" s="46"/>
      <c r="AB16" s="46"/>
      <c r="AC16" s="46"/>
      <c r="AD16" s="99"/>
      <c r="AE16" s="121"/>
      <c r="AF16" s="99"/>
      <c r="AG16" s="121"/>
      <c r="AH16" s="99"/>
      <c r="AI16" s="121"/>
      <c r="AJ16" s="193"/>
      <c r="AK16" s="193"/>
      <c r="AL16" s="128"/>
    </row>
    <row r="17" spans="1:37" outlineLevel="1">
      <c r="B17" s="46" t="s">
        <v>36</v>
      </c>
      <c r="C17" s="46"/>
      <c r="D17" s="218">
        <v>-649.6</v>
      </c>
      <c r="E17" s="218">
        <v>-640</v>
      </c>
      <c r="F17" s="218">
        <v>-1440</v>
      </c>
      <c r="G17" s="217">
        <v>-1513</v>
      </c>
      <c r="H17" s="217">
        <v>-1385</v>
      </c>
      <c r="I17" s="217">
        <v>-1461</v>
      </c>
      <c r="J17" s="217">
        <v>-1398</v>
      </c>
      <c r="K17" s="217">
        <v>-1569</v>
      </c>
      <c r="L17" s="180"/>
      <c r="M17" s="180"/>
      <c r="N17" s="181"/>
      <c r="O17" s="181"/>
      <c r="P17" s="181"/>
      <c r="Q17" s="46"/>
      <c r="R17" s="46"/>
      <c r="S17" s="46"/>
      <c r="T17" s="46"/>
      <c r="U17" s="46"/>
      <c r="V17" s="46"/>
      <c r="W17" s="46"/>
      <c r="X17" s="46"/>
      <c r="Y17" s="46"/>
      <c r="Z17" s="46"/>
      <c r="AA17" s="46"/>
      <c r="AB17" s="46"/>
      <c r="AC17" s="46"/>
      <c r="AD17" s="109"/>
      <c r="AE17" s="121"/>
      <c r="AF17" s="109"/>
      <c r="AG17" s="121"/>
      <c r="AH17" s="109"/>
      <c r="AI17" s="121"/>
      <c r="AJ17" s="193"/>
      <c r="AK17" s="193"/>
    </row>
    <row r="18" spans="1:37" outlineLevel="1">
      <c r="B18" s="46" t="s">
        <v>328</v>
      </c>
      <c r="C18" s="46"/>
      <c r="D18" s="218">
        <v>-212.5</v>
      </c>
      <c r="E18" s="218">
        <v>-213</v>
      </c>
      <c r="F18" s="218">
        <v>-216</v>
      </c>
      <c r="G18" s="217">
        <v>-242</v>
      </c>
      <c r="H18" s="217">
        <v>-230</v>
      </c>
      <c r="I18" s="217">
        <v>-234</v>
      </c>
      <c r="J18" s="217">
        <v>-233</v>
      </c>
      <c r="K18" s="217">
        <v>-244</v>
      </c>
      <c r="L18" s="181"/>
      <c r="M18" s="180"/>
      <c r="N18" s="181"/>
      <c r="O18" s="181"/>
      <c r="P18" s="181"/>
      <c r="Q18" s="46"/>
      <c r="R18" s="46"/>
      <c r="S18" s="46"/>
      <c r="T18" s="46"/>
      <c r="U18" s="46"/>
      <c r="V18" s="46"/>
      <c r="W18" s="46"/>
      <c r="X18" s="46"/>
      <c r="Y18" s="46"/>
      <c r="Z18" s="46"/>
      <c r="AA18" s="46"/>
      <c r="AB18" s="46"/>
      <c r="AC18" s="46"/>
      <c r="AD18" s="109"/>
      <c r="AE18" s="121"/>
      <c r="AF18" s="109"/>
      <c r="AG18" s="121"/>
      <c r="AH18" s="109"/>
      <c r="AI18" s="121"/>
      <c r="AJ18" s="193"/>
      <c r="AK18" s="193"/>
    </row>
    <row r="19" spans="1:37" outlineLevel="1">
      <c r="B19" s="46" t="s">
        <v>329</v>
      </c>
      <c r="C19" s="46"/>
      <c r="D19" s="218">
        <v>-49</v>
      </c>
      <c r="E19" s="218">
        <v>-42</v>
      </c>
      <c r="F19" s="218">
        <v>41</v>
      </c>
      <c r="G19" s="217">
        <v>3</v>
      </c>
      <c r="H19" s="217">
        <v>11</v>
      </c>
      <c r="I19" s="217">
        <v>11</v>
      </c>
      <c r="J19" s="217">
        <v>-55</v>
      </c>
      <c r="K19" s="217">
        <v>-4</v>
      </c>
      <c r="L19" s="180"/>
      <c r="M19" s="180"/>
      <c r="N19" s="180"/>
      <c r="O19" s="180"/>
      <c r="P19" s="180"/>
      <c r="Q19" s="46"/>
      <c r="R19" s="46"/>
      <c r="S19" s="46"/>
      <c r="T19" s="46"/>
      <c r="U19" s="46"/>
      <c r="V19" s="46"/>
      <c r="W19" s="46"/>
      <c r="X19" s="46"/>
      <c r="Y19" s="46"/>
      <c r="Z19" s="46"/>
      <c r="AA19" s="46"/>
      <c r="AB19" s="46"/>
      <c r="AC19" s="46"/>
      <c r="AD19" s="99"/>
      <c r="AE19" s="121"/>
      <c r="AF19" s="99"/>
      <c r="AG19" s="121"/>
      <c r="AH19" s="99"/>
      <c r="AI19" s="121"/>
      <c r="AJ19" s="193"/>
      <c r="AK19" s="193"/>
    </row>
    <row r="20" spans="1:37" s="6" customFormat="1" outlineLevel="1">
      <c r="A20" s="36"/>
      <c r="B20" s="46" t="s">
        <v>330</v>
      </c>
      <c r="C20" s="37"/>
      <c r="D20" s="218">
        <v>0</v>
      </c>
      <c r="E20" s="218">
        <v>-651</v>
      </c>
      <c r="F20" s="218">
        <v>-659</v>
      </c>
      <c r="G20" s="217">
        <v>-623</v>
      </c>
      <c r="H20" s="217">
        <v>-551</v>
      </c>
      <c r="I20" s="217">
        <v>-668</v>
      </c>
      <c r="J20" s="217">
        <v>-655</v>
      </c>
      <c r="K20" s="217">
        <v>-704</v>
      </c>
      <c r="L20" s="182"/>
      <c r="M20" s="182"/>
      <c r="N20" s="182"/>
      <c r="O20" s="182"/>
      <c r="P20" s="182"/>
      <c r="Q20" s="37"/>
      <c r="R20" s="37"/>
      <c r="S20" s="37"/>
      <c r="T20" s="37"/>
      <c r="U20" s="37"/>
      <c r="V20" s="37"/>
      <c r="W20" s="37"/>
      <c r="X20" s="37"/>
      <c r="Y20" s="37"/>
      <c r="Z20" s="37"/>
      <c r="AA20" s="37"/>
      <c r="AB20" s="37"/>
      <c r="AC20" s="37"/>
      <c r="AD20" s="108"/>
      <c r="AE20" s="81"/>
      <c r="AF20" s="108"/>
      <c r="AG20" s="81"/>
      <c r="AH20" s="108"/>
      <c r="AI20" s="81"/>
      <c r="AJ20" s="194"/>
      <c r="AK20" s="194"/>
    </row>
    <row r="21" spans="1:37" outlineLevel="1">
      <c r="B21" s="46" t="s">
        <v>331</v>
      </c>
      <c r="C21" s="46"/>
      <c r="D21" s="218">
        <f>(898.9)*-1</f>
        <v>-898.9</v>
      </c>
      <c r="E21" s="218">
        <v>-317</v>
      </c>
      <c r="F21" s="218">
        <v>-387</v>
      </c>
      <c r="G21" s="217">
        <v>-412</v>
      </c>
      <c r="H21" s="217">
        <v>-537</v>
      </c>
      <c r="I21" s="217">
        <v>-604</v>
      </c>
      <c r="J21" s="217">
        <v>-621</v>
      </c>
      <c r="K21" s="217">
        <v>-609</v>
      </c>
      <c r="L21" s="163"/>
      <c r="M21" s="176"/>
      <c r="N21" s="163"/>
      <c r="O21" s="163"/>
      <c r="P21" s="163"/>
      <c r="Q21" s="46"/>
      <c r="R21" s="46"/>
      <c r="S21" s="46"/>
      <c r="T21" s="46"/>
      <c r="U21" s="46"/>
      <c r="V21" s="46"/>
      <c r="W21" s="46"/>
      <c r="X21" s="46"/>
      <c r="Y21" s="46"/>
      <c r="Z21" s="58"/>
      <c r="AA21" s="46"/>
      <c r="AB21" s="46"/>
      <c r="AC21" s="46"/>
      <c r="AD21" s="46"/>
      <c r="AE21" s="83"/>
      <c r="AF21" s="46"/>
      <c r="AG21" s="46"/>
      <c r="AH21" s="46"/>
      <c r="AI21" s="46"/>
      <c r="AJ21" s="163"/>
      <c r="AK21" s="163"/>
    </row>
    <row r="22" spans="1:37" outlineLevel="1">
      <c r="B22" s="37" t="s">
        <v>120</v>
      </c>
      <c r="C22" s="46"/>
      <c r="D22" s="92">
        <f>SUM(D15:D21)</f>
        <v>-7731.7</v>
      </c>
      <c r="E22" s="92">
        <f t="shared" ref="E22:J22" si="13">SUM(E15:E21)</f>
        <v>-8031</v>
      </c>
      <c r="F22" s="92">
        <f t="shared" si="13"/>
        <v>-8081</v>
      </c>
      <c r="G22" s="92">
        <f t="shared" si="13"/>
        <v>-8392</v>
      </c>
      <c r="H22" s="92">
        <f t="shared" si="13"/>
        <v>-8197</v>
      </c>
      <c r="I22" s="92">
        <f t="shared" si="13"/>
        <v>-8848</v>
      </c>
      <c r="J22" s="92">
        <f t="shared" si="13"/>
        <v>-9372</v>
      </c>
      <c r="K22" s="92">
        <f>SUM(K15:K21)</f>
        <v>-9888</v>
      </c>
      <c r="L22" s="163"/>
      <c r="M22" s="163"/>
      <c r="N22" s="163"/>
      <c r="O22" s="163"/>
      <c r="P22" s="163"/>
      <c r="Q22" s="46"/>
      <c r="R22" s="46"/>
      <c r="S22" s="46"/>
      <c r="T22" s="46"/>
      <c r="U22" s="46"/>
      <c r="V22" s="46"/>
      <c r="W22" s="46"/>
      <c r="X22" s="46"/>
      <c r="Y22" s="46"/>
      <c r="Z22" s="58"/>
      <c r="AA22" s="46"/>
      <c r="AB22" s="46"/>
      <c r="AC22" s="46"/>
      <c r="AD22" s="46"/>
      <c r="AE22" s="83"/>
      <c r="AF22" s="46"/>
      <c r="AG22" s="46"/>
      <c r="AH22" s="46"/>
      <c r="AI22" s="46"/>
      <c r="AJ22" s="163"/>
      <c r="AK22" s="163"/>
    </row>
    <row r="23" spans="1:37">
      <c r="B23" s="46"/>
      <c r="C23" s="46"/>
      <c r="D23" s="46"/>
      <c r="E23" s="46"/>
      <c r="F23" s="46"/>
      <c r="G23" s="46"/>
      <c r="H23" s="46"/>
      <c r="I23" s="46"/>
      <c r="J23" s="46"/>
      <c r="K23" s="46"/>
      <c r="L23" s="163"/>
      <c r="M23" s="163"/>
      <c r="N23" s="163"/>
      <c r="O23" s="163"/>
      <c r="P23" s="163"/>
      <c r="Q23" s="46"/>
      <c r="R23" s="46"/>
      <c r="S23" s="46"/>
      <c r="T23" s="46"/>
      <c r="U23" s="46"/>
      <c r="V23" s="46"/>
      <c r="W23" s="46"/>
      <c r="X23" s="46"/>
      <c r="Y23" s="46"/>
      <c r="Z23" s="58"/>
      <c r="AA23" s="46"/>
      <c r="AB23" s="46"/>
      <c r="AC23" s="46"/>
      <c r="AD23" s="46"/>
      <c r="AE23" s="83"/>
      <c r="AF23" s="46"/>
      <c r="AG23" s="46"/>
      <c r="AH23" s="46"/>
      <c r="AI23" s="46"/>
      <c r="AJ23" s="163"/>
      <c r="AK23" s="163"/>
    </row>
    <row r="24" spans="1:37" s="6" customFormat="1">
      <c r="A24" s="36" t="s">
        <v>35</v>
      </c>
      <c r="B24" s="157" t="s">
        <v>190</v>
      </c>
      <c r="C24" s="158">
        <f t="shared" ref="C24:J24" si="14">C31-C29</f>
        <v>2157</v>
      </c>
      <c r="D24" s="158">
        <f t="shared" si="14"/>
        <v>2044.6</v>
      </c>
      <c r="E24" s="158">
        <f t="shared" si="14"/>
        <v>1964.6</v>
      </c>
      <c r="F24" s="158">
        <f t="shared" si="14"/>
        <v>3257</v>
      </c>
      <c r="G24" s="158">
        <f t="shared" si="14"/>
        <v>3432</v>
      </c>
      <c r="H24" s="158">
        <f t="shared" si="14"/>
        <v>3259</v>
      </c>
      <c r="I24" s="158">
        <f t="shared" si="14"/>
        <v>3382</v>
      </c>
      <c r="J24" s="158">
        <f t="shared" si="14"/>
        <v>3659</v>
      </c>
      <c r="K24" s="158">
        <f>K31-K29</f>
        <v>3941</v>
      </c>
      <c r="L24" s="158">
        <f>L31-L29</f>
        <v>4356.1190230570219</v>
      </c>
      <c r="M24" s="158">
        <f t="shared" ref="M24:P24" si="15">M31-M29</f>
        <v>4637.2420919343176</v>
      </c>
      <c r="N24" s="158">
        <f t="shared" si="15"/>
        <v>4872.8580020924701</v>
      </c>
      <c r="O24" s="158">
        <f t="shared" si="15"/>
        <v>5077.5411687500018</v>
      </c>
      <c r="P24" s="158">
        <f t="shared" si="15"/>
        <v>5287.9771166431256</v>
      </c>
      <c r="Q24" s="158"/>
      <c r="R24" s="158"/>
      <c r="S24" s="158"/>
      <c r="T24" s="158">
        <f t="shared" ref="T24:AI24" si="16">T31-T29</f>
        <v>1109</v>
      </c>
      <c r="U24" s="158">
        <f t="shared" si="16"/>
        <v>935.6</v>
      </c>
      <c r="V24" s="158">
        <f t="shared" si="16"/>
        <v>1043</v>
      </c>
      <c r="W24" s="158">
        <f t="shared" si="16"/>
        <v>921.6</v>
      </c>
      <c r="X24" s="158">
        <f t="shared" si="16"/>
        <v>1665</v>
      </c>
      <c r="Y24" s="158">
        <f t="shared" si="16"/>
        <v>1592</v>
      </c>
      <c r="Z24" s="158">
        <f t="shared" si="16"/>
        <v>1802</v>
      </c>
      <c r="AA24" s="158">
        <f t="shared" si="16"/>
        <v>1630</v>
      </c>
      <c r="AB24" s="158">
        <f t="shared" si="16"/>
        <v>1681</v>
      </c>
      <c r="AC24" s="158">
        <f t="shared" si="16"/>
        <v>1578</v>
      </c>
      <c r="AD24" s="158">
        <f t="shared" si="16"/>
        <v>1809</v>
      </c>
      <c r="AE24" s="158">
        <f t="shared" si="16"/>
        <v>1573</v>
      </c>
      <c r="AF24" s="158">
        <f t="shared" si="16"/>
        <v>1854</v>
      </c>
      <c r="AG24" s="158">
        <f t="shared" si="16"/>
        <v>1805</v>
      </c>
      <c r="AH24" s="158">
        <f t="shared" si="16"/>
        <v>2045</v>
      </c>
      <c r="AI24" s="158">
        <f t="shared" si="16"/>
        <v>1896</v>
      </c>
      <c r="AJ24" s="158">
        <f t="shared" ref="AJ24:AK24" si="17">AJ31-AJ29</f>
        <v>2226.0456972007005</v>
      </c>
      <c r="AK24" s="158">
        <f t="shared" si="17"/>
        <v>2130.0733258563214</v>
      </c>
    </row>
    <row r="25" spans="1:37" s="36" customFormat="1">
      <c r="B25" s="41" t="s">
        <v>159</v>
      </c>
      <c r="C25" s="41"/>
      <c r="D25" s="95">
        <f t="shared" ref="D25:K25" si="18">D24/C24-1</f>
        <v>-5.2109411219286139E-2</v>
      </c>
      <c r="E25" s="95">
        <f t="shared" si="18"/>
        <v>-3.9127457693436396E-2</v>
      </c>
      <c r="F25" s="95">
        <f t="shared" si="18"/>
        <v>0.65784383589534778</v>
      </c>
      <c r="G25" s="95">
        <f t="shared" si="18"/>
        <v>5.3730426773104023E-2</v>
      </c>
      <c r="H25" s="95">
        <f t="shared" si="18"/>
        <v>-5.040792540792538E-2</v>
      </c>
      <c r="I25" s="95">
        <f t="shared" si="18"/>
        <v>3.7741638539429356E-2</v>
      </c>
      <c r="J25" s="95">
        <f t="shared" si="18"/>
        <v>8.1904198698994568E-2</v>
      </c>
      <c r="K25" s="95">
        <f t="shared" si="18"/>
        <v>7.7070237769882421E-2</v>
      </c>
      <c r="L25" s="178">
        <f t="shared" ref="L25:P25" si="19">L24/K24-1</f>
        <v>0.10533342376478605</v>
      </c>
      <c r="M25" s="178">
        <f t="shared" si="19"/>
        <v>6.453521297037712E-2</v>
      </c>
      <c r="N25" s="178">
        <f t="shared" si="19"/>
        <v>5.0809490961872816E-2</v>
      </c>
      <c r="O25" s="178">
        <f t="shared" si="19"/>
        <v>4.2004746817912109E-2</v>
      </c>
      <c r="P25" s="178">
        <f t="shared" si="19"/>
        <v>4.1444459217438334E-2</v>
      </c>
      <c r="Q25" s="41"/>
      <c r="R25" s="41"/>
      <c r="S25" s="41"/>
      <c r="T25" s="95"/>
      <c r="U25" s="95"/>
      <c r="V25" s="95">
        <f t="shared" ref="V25:AI25" si="20">V24/T24-1</f>
        <v>-5.9513074842200142E-2</v>
      </c>
      <c r="W25" s="95">
        <f t="shared" si="20"/>
        <v>-1.4963659683625452E-2</v>
      </c>
      <c r="X25" s="95">
        <f t="shared" si="20"/>
        <v>0.59635666347075733</v>
      </c>
      <c r="Y25" s="95">
        <f t="shared" si="20"/>
        <v>0.72743055555555558</v>
      </c>
      <c r="Z25" s="95">
        <f t="shared" si="20"/>
        <v>8.2282282282282182E-2</v>
      </c>
      <c r="AA25" s="95">
        <f t="shared" si="20"/>
        <v>2.3869346733668362E-2</v>
      </c>
      <c r="AB25" s="95">
        <f t="shared" si="20"/>
        <v>-6.7147613762486125E-2</v>
      </c>
      <c r="AC25" s="95">
        <f t="shared" si="20"/>
        <v>-3.1901840490797584E-2</v>
      </c>
      <c r="AD25" s="95">
        <f t="shared" si="20"/>
        <v>7.6145151695419466E-2</v>
      </c>
      <c r="AE25" s="95">
        <f t="shared" si="20"/>
        <v>-3.1685678073510859E-3</v>
      </c>
      <c r="AF25" s="95">
        <f t="shared" si="20"/>
        <v>2.4875621890547261E-2</v>
      </c>
      <c r="AG25" s="95">
        <f t="shared" si="20"/>
        <v>0.14748887476160211</v>
      </c>
      <c r="AH25" s="95">
        <f t="shared" si="20"/>
        <v>0.1030204962243797</v>
      </c>
      <c r="AI25" s="95">
        <f t="shared" si="20"/>
        <v>5.0415512465374013E-2</v>
      </c>
      <c r="AJ25" s="178">
        <f t="shared" ref="AJ25:AK25" si="21">AJ24/AH24-1</f>
        <v>8.8530903276626161E-2</v>
      </c>
      <c r="AK25" s="178">
        <f t="shared" si="21"/>
        <v>0.12345639549384035</v>
      </c>
    </row>
    <row r="26" spans="1:37" s="36" customFormat="1">
      <c r="B26" s="46"/>
      <c r="C26" s="46"/>
      <c r="D26" s="46"/>
      <c r="E26" s="46"/>
      <c r="F26" s="46"/>
      <c r="G26" s="46"/>
      <c r="H26" s="46"/>
      <c r="I26" s="46"/>
      <c r="J26" s="46"/>
      <c r="K26" s="46"/>
      <c r="L26" s="163"/>
      <c r="M26" s="163"/>
      <c r="N26" s="163"/>
      <c r="O26" s="163"/>
      <c r="P26" s="163"/>
      <c r="Q26" s="46"/>
      <c r="R26" s="46"/>
      <c r="S26" s="46"/>
      <c r="T26" s="46"/>
      <c r="U26" s="46"/>
      <c r="V26" s="46"/>
      <c r="W26" s="46"/>
      <c r="X26" s="37"/>
      <c r="Y26" s="37"/>
      <c r="Z26" s="46"/>
      <c r="AA26" s="46"/>
      <c r="AB26" s="46"/>
      <c r="AC26" s="46"/>
      <c r="AD26" s="46"/>
      <c r="AE26" s="46"/>
      <c r="AF26" s="46"/>
      <c r="AG26" s="46"/>
      <c r="AH26" s="46"/>
      <c r="AI26" s="46"/>
      <c r="AJ26" s="163"/>
      <c r="AK26" s="163"/>
    </row>
    <row r="27" spans="1:37" s="36" customFormat="1">
      <c r="B27" s="46" t="s">
        <v>367</v>
      </c>
      <c r="C27" s="46"/>
      <c r="D27" s="46"/>
      <c r="E27" s="34"/>
      <c r="F27" s="99">
        <v>-861</v>
      </c>
      <c r="G27" s="99">
        <v>-903</v>
      </c>
      <c r="H27" s="99">
        <v>-895</v>
      </c>
      <c r="I27" s="99">
        <v>-847</v>
      </c>
      <c r="J27" s="99">
        <v>-830</v>
      </c>
      <c r="K27" s="99">
        <v>-927</v>
      </c>
      <c r="L27" s="168">
        <f>K27*1.03</f>
        <v>-954.81000000000006</v>
      </c>
      <c r="M27" s="168">
        <f>L27*1.035</f>
        <v>-988.22834999999998</v>
      </c>
      <c r="N27" s="168">
        <f t="shared" ref="N27:P27" si="22">M27*1.035</f>
        <v>-1022.8163422499999</v>
      </c>
      <c r="O27" s="168">
        <f t="shared" si="22"/>
        <v>-1058.6149142287497</v>
      </c>
      <c r="P27" s="168">
        <f t="shared" si="22"/>
        <v>-1095.6664362267559</v>
      </c>
      <c r="Q27" s="46"/>
      <c r="R27" s="46"/>
      <c r="S27" s="46"/>
      <c r="T27" s="46"/>
      <c r="U27" s="46"/>
      <c r="V27" s="46"/>
      <c r="W27" s="46"/>
      <c r="X27" s="37"/>
      <c r="Y27" s="37"/>
      <c r="Z27" s="46"/>
      <c r="AA27" s="46"/>
      <c r="AB27" s="46"/>
      <c r="AC27" s="46"/>
      <c r="AD27" s="46"/>
      <c r="AE27" s="46"/>
      <c r="AF27" s="46"/>
      <c r="AG27" s="46"/>
      <c r="AH27" s="109"/>
      <c r="AI27" s="46"/>
      <c r="AJ27" s="163"/>
      <c r="AK27" s="163"/>
    </row>
    <row r="28" spans="1:37" s="36" customFormat="1">
      <c r="A28" s="36" t="s">
        <v>422</v>
      </c>
      <c r="B28" s="46" t="s">
        <v>366</v>
      </c>
      <c r="C28" s="46"/>
      <c r="D28" s="46"/>
      <c r="E28" s="46"/>
      <c r="F28" s="94">
        <f>F29-F27</f>
        <v>-634</v>
      </c>
      <c r="G28" s="94">
        <f t="shared" ref="G28:K28" si="23">G29-G27</f>
        <v>-656</v>
      </c>
      <c r="H28" s="94">
        <f t="shared" si="23"/>
        <v>-537</v>
      </c>
      <c r="I28" s="94">
        <f t="shared" si="23"/>
        <v>-676</v>
      </c>
      <c r="J28" s="94">
        <f t="shared" si="23"/>
        <v>-772</v>
      </c>
      <c r="K28" s="94">
        <f t="shared" si="23"/>
        <v>-902</v>
      </c>
      <c r="L28" s="176">
        <f>L29-L27</f>
        <v>-993.07499999999993</v>
      </c>
      <c r="M28" s="176">
        <f t="shared" ref="M28:P28" si="24">M29-M27</f>
        <v>-1037.5720500000002</v>
      </c>
      <c r="N28" s="176">
        <f t="shared" si="24"/>
        <v>-1084.0160737500003</v>
      </c>
      <c r="O28" s="176">
        <f t="shared" si="24"/>
        <v>-1132.4907984112504</v>
      </c>
      <c r="P28" s="176">
        <f t="shared" si="24"/>
        <v>-1183.0835049188443</v>
      </c>
      <c r="Q28" s="46"/>
      <c r="R28" s="46"/>
      <c r="S28" s="46"/>
      <c r="T28" s="46"/>
      <c r="U28" s="46"/>
      <c r="V28" s="46"/>
      <c r="W28" s="46"/>
      <c r="X28" s="37"/>
      <c r="Y28" s="37"/>
      <c r="Z28" s="46"/>
      <c r="AA28" s="46"/>
      <c r="AB28" s="46"/>
      <c r="AC28" s="46"/>
      <c r="AD28" s="46"/>
      <c r="AE28" s="46"/>
      <c r="AF28" s="94"/>
      <c r="AG28" s="46"/>
      <c r="AH28" s="94"/>
      <c r="AI28" s="46"/>
      <c r="AJ28" s="163"/>
      <c r="AK28" s="163"/>
    </row>
    <row r="29" spans="1:37" s="36" customFormat="1">
      <c r="A29" s="36" t="s">
        <v>36</v>
      </c>
      <c r="B29" s="37" t="s">
        <v>36</v>
      </c>
      <c r="C29" s="70">
        <v>-643</v>
      </c>
      <c r="D29" s="70">
        <v>-649.6</v>
      </c>
      <c r="E29" s="70">
        <v>-639.6</v>
      </c>
      <c r="F29" s="70">
        <v>-1495</v>
      </c>
      <c r="G29" s="70">
        <v>-1559</v>
      </c>
      <c r="H29" s="57">
        <v>-1432</v>
      </c>
      <c r="I29" s="57">
        <v>-1523</v>
      </c>
      <c r="J29" s="57">
        <v>-1602</v>
      </c>
      <c r="K29" s="57">
        <v>-1829</v>
      </c>
      <c r="L29" s="319">
        <f>K29*1.065</f>
        <v>-1947.885</v>
      </c>
      <c r="M29" s="319">
        <f>L29*1.04</f>
        <v>-2025.8004000000001</v>
      </c>
      <c r="N29" s="319">
        <f t="shared" ref="N29:P29" si="25">M29*1.04</f>
        <v>-2106.8324160000002</v>
      </c>
      <c r="O29" s="319">
        <f t="shared" si="25"/>
        <v>-2191.1057126400001</v>
      </c>
      <c r="P29" s="319">
        <f t="shared" si="25"/>
        <v>-2278.7499411456001</v>
      </c>
      <c r="Q29" s="65"/>
      <c r="R29" s="57"/>
      <c r="S29" s="46"/>
      <c r="T29" s="57">
        <v>-330</v>
      </c>
      <c r="U29" s="221">
        <f>D29-T29</f>
        <v>-319.60000000000002</v>
      </c>
      <c r="V29" s="57">
        <v>-321</v>
      </c>
      <c r="W29" s="221">
        <f>E29-V29</f>
        <v>-318.60000000000002</v>
      </c>
      <c r="X29" s="57">
        <v>-755</v>
      </c>
      <c r="Y29" s="56">
        <f>F29-X29</f>
        <v>-740</v>
      </c>
      <c r="Z29" s="57">
        <v>-782</v>
      </c>
      <c r="AA29" s="56">
        <f>G29-Z29</f>
        <v>-777</v>
      </c>
      <c r="AB29" s="57">
        <v>-718</v>
      </c>
      <c r="AC29" s="56">
        <f>H29-AB29</f>
        <v>-714</v>
      </c>
      <c r="AD29" s="57">
        <v>-751</v>
      </c>
      <c r="AE29" s="56">
        <f>I29-AD29</f>
        <v>-772</v>
      </c>
      <c r="AF29" s="57">
        <v>-790</v>
      </c>
      <c r="AG29" s="56">
        <f>J29-AF29</f>
        <v>-812</v>
      </c>
      <c r="AH29" s="57">
        <v>-928</v>
      </c>
      <c r="AI29" s="56">
        <f>K29-AH29</f>
        <v>-901</v>
      </c>
      <c r="AJ29" s="319">
        <f>AH29*1.05</f>
        <v>-974.40000000000009</v>
      </c>
      <c r="AK29" s="184">
        <f>L29-AJ29</f>
        <v>-973.4849999999999</v>
      </c>
    </row>
    <row r="30" spans="1:37" s="36" customFormat="1">
      <c r="B30" s="46"/>
      <c r="C30" s="46"/>
      <c r="D30" s="46"/>
      <c r="E30" s="46"/>
      <c r="F30" s="46"/>
      <c r="G30" s="46"/>
      <c r="H30" s="46"/>
      <c r="I30" s="46"/>
      <c r="J30" s="46"/>
      <c r="K30" s="94"/>
      <c r="L30" s="163"/>
      <c r="M30" s="163"/>
      <c r="N30" s="163"/>
      <c r="O30" s="163"/>
      <c r="P30" s="163"/>
      <c r="Q30" s="46"/>
      <c r="R30" s="46"/>
      <c r="S30" s="46"/>
      <c r="T30" s="46"/>
      <c r="U30" s="46"/>
      <c r="V30" s="46"/>
      <c r="W30" s="46"/>
      <c r="X30" s="46"/>
      <c r="Y30" s="46"/>
      <c r="Z30" s="46"/>
      <c r="AA30" s="46"/>
      <c r="AB30" s="46"/>
      <c r="AC30" s="46"/>
      <c r="AD30" s="46"/>
      <c r="AE30" s="46"/>
      <c r="AF30" s="46"/>
      <c r="AG30" s="46"/>
      <c r="AH30" s="46"/>
      <c r="AI30" s="46"/>
      <c r="AJ30" s="163"/>
      <c r="AK30" s="163"/>
    </row>
    <row r="31" spans="1:37" s="36" customFormat="1">
      <c r="A31" s="36" t="s">
        <v>50</v>
      </c>
      <c r="B31" s="157" t="s">
        <v>168</v>
      </c>
      <c r="C31" s="158">
        <f>VLOOKUP($A$31,Model!1:1048576,MATCH(PL!C3,Model!3:3,0),FALSE)</f>
        <v>1514</v>
      </c>
      <c r="D31" s="158">
        <f>VLOOKUP($A$31,Model!1:1048576,MATCH(PL!D3,Model!3:3,0),FALSE)</f>
        <v>1395</v>
      </c>
      <c r="E31" s="158">
        <f>VLOOKUP($A$31,Model!1:1048576,MATCH(PL!E3,Model!3:3,0),FALSE)</f>
        <v>1325</v>
      </c>
      <c r="F31" s="158">
        <f>VLOOKUP($A$31,Model!1:1048576,MATCH(PL!F3,Model!3:3,0),FALSE)</f>
        <v>1762</v>
      </c>
      <c r="G31" s="158">
        <f>VLOOKUP($A$31,Model!1:1048576,MATCH(PL!G3,Model!3:3,0),FALSE)</f>
        <v>1873</v>
      </c>
      <c r="H31" s="158">
        <f>VLOOKUP($A$31,Model!1:1048576,MATCH(PL!H3,Model!3:3,0),FALSE)</f>
        <v>1827</v>
      </c>
      <c r="I31" s="158">
        <f>VLOOKUP($A$31,Model!1:1048576,MATCH(PL!I3,Model!3:3,0),FALSE)</f>
        <v>1859</v>
      </c>
      <c r="J31" s="158">
        <f>VLOOKUP($A$31,Model!1:1048576,MATCH(PL!J3,Model!3:3,0),FALSE)</f>
        <v>2057</v>
      </c>
      <c r="K31" s="158">
        <f>VLOOKUP($A$31,Model!1:1048576,MATCH(PL!K3,Model!3:3,0),FALSE)</f>
        <v>2112</v>
      </c>
      <c r="L31" s="158">
        <f>VLOOKUP($A$31,Model!1:1048576,MATCH(PL!L3,Model!3:3,0),FALSE)</f>
        <v>2408.2340230570221</v>
      </c>
      <c r="M31" s="158">
        <f>VLOOKUP($A$31,Model!1:1048576,MATCH(PL!M3,Model!3:3,0),FALSE)</f>
        <v>2611.4416919343175</v>
      </c>
      <c r="N31" s="158">
        <f>VLOOKUP($A$31,Model!1:1048576,MATCH(PL!N3,Model!3:3,0),FALSE)</f>
        <v>2766.0255860924699</v>
      </c>
      <c r="O31" s="158">
        <f>VLOOKUP($A$31,Model!1:1048576,MATCH(PL!O3,Model!3:3,0),FALSE)</f>
        <v>2886.4354561100017</v>
      </c>
      <c r="P31" s="158">
        <f>VLOOKUP($A$31,Model!1:1048576,MATCH(PL!P3,Model!3:3,0),FALSE)</f>
        <v>3009.227175497525</v>
      </c>
      <c r="Q31" s="158"/>
      <c r="R31" s="158"/>
      <c r="S31" s="158"/>
      <c r="T31" s="158">
        <f>VLOOKUP($A$31,Model!1:1048576,MATCH(PL!T3,Model!3:3,0),FALSE)</f>
        <v>779</v>
      </c>
      <c r="U31" s="158">
        <f>VLOOKUP($A$31,Model!1:1048576,MATCH(PL!U3,Model!3:3,0),FALSE)</f>
        <v>616</v>
      </c>
      <c r="V31" s="158">
        <f>VLOOKUP($A$31,Model!1:1048576,MATCH(PL!V3,Model!3:3,0),FALSE)</f>
        <v>722</v>
      </c>
      <c r="W31" s="158">
        <f>VLOOKUP($A$31,Model!1:1048576,MATCH(PL!W3,Model!3:3,0),FALSE)</f>
        <v>603</v>
      </c>
      <c r="X31" s="158">
        <f>VLOOKUP($A$31,Model!1:1048576,MATCH(PL!X3,Model!3:3,0),FALSE)</f>
        <v>910</v>
      </c>
      <c r="Y31" s="158">
        <f>VLOOKUP($A$31,Model!1:1048576,MATCH(PL!Y3,Model!3:3,0),FALSE)</f>
        <v>852</v>
      </c>
      <c r="Z31" s="158">
        <f>VLOOKUP($A$31,Model!1:1048576,MATCH(PL!Z3,Model!3:3,0),FALSE)</f>
        <v>1020</v>
      </c>
      <c r="AA31" s="158">
        <f>VLOOKUP($A$31,Model!1:1048576,MATCH(PL!AA3,Model!3:3,0),FALSE)</f>
        <v>853</v>
      </c>
      <c r="AB31" s="158">
        <f>VLOOKUP($A$31,Model!1:1048576,MATCH(PL!AB3,Model!3:3,0),FALSE)</f>
        <v>963</v>
      </c>
      <c r="AC31" s="158">
        <f>VLOOKUP($A$31,Model!1:1048576,MATCH(PL!AC3,Model!3:3,0),FALSE)</f>
        <v>864</v>
      </c>
      <c r="AD31" s="158">
        <f>VLOOKUP($A$31,Model!1:1048576,MATCH(PL!AD3,Model!3:3,0),FALSE)</f>
        <v>1058</v>
      </c>
      <c r="AE31" s="158">
        <f>VLOOKUP($A$31,Model!1:1048576,MATCH(PL!AE3,Model!3:3,0),FALSE)</f>
        <v>801</v>
      </c>
      <c r="AF31" s="158">
        <f>VLOOKUP($A$31,Model!1:1048576,MATCH(PL!AF3,Model!3:3,0),FALSE)</f>
        <v>1064</v>
      </c>
      <c r="AG31" s="158">
        <f>VLOOKUP($A$31,Model!1:1048576,MATCH(PL!AG3,Model!3:3,0),FALSE)</f>
        <v>993</v>
      </c>
      <c r="AH31" s="158">
        <f>VLOOKUP($A$31,Model!1:1048576,MATCH(PL!AH3,Model!3:3,0),FALSE)</f>
        <v>1117</v>
      </c>
      <c r="AI31" s="158">
        <f>VLOOKUP($A$31,Model!1:1048576,MATCH(PL!AI3,Model!3:3,0),FALSE)</f>
        <v>995</v>
      </c>
      <c r="AJ31" s="158">
        <f>VLOOKUP($A$31,Model!1:1048576,MATCH(PL!AJ3,Model!3:3,0),FALSE)</f>
        <v>1251.6456972007006</v>
      </c>
      <c r="AK31" s="158">
        <f>VLOOKUP($A$31,Model!1:1048576,MATCH(PL!AK3,Model!3:3,0),FALSE)</f>
        <v>1156.5883258563215</v>
      </c>
    </row>
    <row r="32" spans="1:37" s="36" customFormat="1">
      <c r="A32" s="36" t="s">
        <v>270</v>
      </c>
      <c r="B32" s="41" t="s">
        <v>159</v>
      </c>
      <c r="C32" s="41"/>
      <c r="D32" s="95">
        <f t="shared" ref="D32:K32" si="26">D31/C31-1</f>
        <v>-7.8599735799207426E-2</v>
      </c>
      <c r="E32" s="95">
        <f t="shared" si="26"/>
        <v>-5.017921146953408E-2</v>
      </c>
      <c r="F32" s="95">
        <f t="shared" si="26"/>
        <v>0.32981132075471709</v>
      </c>
      <c r="G32" s="95">
        <f t="shared" si="26"/>
        <v>6.2996594778660597E-2</v>
      </c>
      <c r="H32" s="95">
        <f t="shared" si="26"/>
        <v>-2.4559530165509824E-2</v>
      </c>
      <c r="I32" s="95">
        <f t="shared" si="26"/>
        <v>1.7515051997810671E-2</v>
      </c>
      <c r="J32" s="95">
        <f t="shared" si="26"/>
        <v>0.10650887573964507</v>
      </c>
      <c r="K32" s="95">
        <f t="shared" si="26"/>
        <v>2.673796791443861E-2</v>
      </c>
      <c r="L32" s="178">
        <f t="shared" ref="L32:P32" si="27">L31/K31-1</f>
        <v>0.14026232152321128</v>
      </c>
      <c r="M32" s="178">
        <f t="shared" si="27"/>
        <v>8.4380366248352656E-2</v>
      </c>
      <c r="N32" s="178">
        <f t="shared" si="27"/>
        <v>5.9194848054850091E-2</v>
      </c>
      <c r="O32" s="178">
        <f t="shared" si="27"/>
        <v>4.3531726757319422E-2</v>
      </c>
      <c r="P32" s="178">
        <f t="shared" si="27"/>
        <v>4.2540954493750283E-2</v>
      </c>
      <c r="Q32" s="41"/>
      <c r="R32" s="41"/>
      <c r="S32" s="41"/>
      <c r="T32" s="95"/>
      <c r="U32" s="95"/>
      <c r="V32" s="95">
        <f t="shared" ref="V32:AI32" si="28">V31/T31-1</f>
        <v>-7.3170731707317027E-2</v>
      </c>
      <c r="W32" s="95">
        <f t="shared" si="28"/>
        <v>-2.1103896103896069E-2</v>
      </c>
      <c r="X32" s="95">
        <f t="shared" si="28"/>
        <v>0.26038781163434899</v>
      </c>
      <c r="Y32" s="95">
        <f t="shared" si="28"/>
        <v>0.41293532338308458</v>
      </c>
      <c r="Z32" s="95">
        <f t="shared" si="28"/>
        <v>0.12087912087912089</v>
      </c>
      <c r="AA32" s="95">
        <f t="shared" si="28"/>
        <v>1.1737089201877549E-3</v>
      </c>
      <c r="AB32" s="95">
        <f t="shared" si="28"/>
        <v>-5.5882352941176494E-2</v>
      </c>
      <c r="AC32" s="95">
        <f t="shared" si="28"/>
        <v>1.2895662368112459E-2</v>
      </c>
      <c r="AD32" s="95">
        <f t="shared" si="28"/>
        <v>9.8650051921080006E-2</v>
      </c>
      <c r="AE32" s="95">
        <f t="shared" si="28"/>
        <v>-7.291666666666663E-2</v>
      </c>
      <c r="AF32" s="95">
        <f t="shared" si="28"/>
        <v>5.6710775047259521E-3</v>
      </c>
      <c r="AG32" s="95">
        <f t="shared" si="28"/>
        <v>0.23970037453183513</v>
      </c>
      <c r="AH32" s="95">
        <f t="shared" si="28"/>
        <v>4.9812030075187863E-2</v>
      </c>
      <c r="AI32" s="95">
        <f t="shared" si="28"/>
        <v>2.0140986908359082E-3</v>
      </c>
      <c r="AJ32" s="178">
        <f t="shared" ref="AJ32:AK32" si="29">AJ31/AH31-1</f>
        <v>0.12054225353688497</v>
      </c>
      <c r="AK32" s="178">
        <f t="shared" si="29"/>
        <v>0.16240032749379041</v>
      </c>
    </row>
    <row r="33" spans="1:38">
      <c r="B33" s="46"/>
      <c r="C33" s="46"/>
      <c r="D33" s="46"/>
      <c r="E33" s="46"/>
      <c r="F33" s="46"/>
      <c r="G33" s="46"/>
      <c r="H33" s="46"/>
      <c r="I33" s="46"/>
      <c r="J33" s="46"/>
      <c r="K33" s="46"/>
      <c r="L33" s="163"/>
      <c r="M33" s="163"/>
      <c r="N33" s="163"/>
      <c r="O33" s="163"/>
      <c r="P33" s="163"/>
      <c r="Q33" s="46"/>
      <c r="R33" s="46"/>
      <c r="S33" s="46"/>
      <c r="T33" s="46"/>
      <c r="U33" s="46"/>
      <c r="V33" s="46"/>
      <c r="W33" s="46"/>
      <c r="X33" s="46"/>
      <c r="Y33" s="46"/>
      <c r="Z33" s="46"/>
      <c r="AA33" s="46"/>
      <c r="AB33" s="46"/>
      <c r="AC33" s="46"/>
      <c r="AD33" s="46"/>
      <c r="AE33" s="46"/>
      <c r="AF33" s="46"/>
      <c r="AG33" s="46"/>
      <c r="AH33" s="46"/>
      <c r="AI33" s="46"/>
      <c r="AJ33" s="163"/>
      <c r="AK33" s="163"/>
      <c r="AL33" s="36"/>
    </row>
    <row r="34" spans="1:38">
      <c r="B34" s="46" t="s">
        <v>173</v>
      </c>
      <c r="C34" s="94"/>
      <c r="D34" s="94">
        <f t="shared" ref="D34:J34" si="30">D36-D31</f>
        <v>84.400000000000091</v>
      </c>
      <c r="E34" s="94">
        <f t="shared" si="30"/>
        <v>142</v>
      </c>
      <c r="F34" s="94">
        <f t="shared" si="30"/>
        <v>0</v>
      </c>
      <c r="G34" s="94">
        <f t="shared" si="30"/>
        <v>0</v>
      </c>
      <c r="H34" s="94">
        <f t="shared" si="30"/>
        <v>0</v>
      </c>
      <c r="I34" s="94">
        <f t="shared" si="30"/>
        <v>0</v>
      </c>
      <c r="J34" s="94">
        <f t="shared" si="30"/>
        <v>0</v>
      </c>
      <c r="K34" s="94">
        <f>K36-K31</f>
        <v>-35</v>
      </c>
      <c r="L34" s="183">
        <v>0</v>
      </c>
      <c r="M34" s="183">
        <v>0</v>
      </c>
      <c r="N34" s="183">
        <v>0</v>
      </c>
      <c r="O34" s="183">
        <v>0</v>
      </c>
      <c r="P34" s="183">
        <v>0</v>
      </c>
      <c r="Q34" s="94"/>
      <c r="R34" s="94"/>
      <c r="S34" s="94"/>
      <c r="T34" s="94">
        <f t="shared" ref="T34:AI34" si="31">T31-T36</f>
        <v>0</v>
      </c>
      <c r="U34" s="94">
        <f t="shared" si="31"/>
        <v>-84.400000000000091</v>
      </c>
      <c r="V34" s="94">
        <f t="shared" si="31"/>
        <v>-11</v>
      </c>
      <c r="W34" s="94">
        <f t="shared" si="31"/>
        <v>-131</v>
      </c>
      <c r="X34" s="94">
        <f t="shared" si="31"/>
        <v>0</v>
      </c>
      <c r="Y34" s="94">
        <f t="shared" si="31"/>
        <v>0</v>
      </c>
      <c r="Z34" s="94">
        <f t="shared" si="31"/>
        <v>0</v>
      </c>
      <c r="AA34" s="94">
        <f t="shared" si="31"/>
        <v>0</v>
      </c>
      <c r="AB34" s="94">
        <f t="shared" si="31"/>
        <v>0</v>
      </c>
      <c r="AC34" s="94">
        <f t="shared" si="31"/>
        <v>0</v>
      </c>
      <c r="AD34" s="94">
        <f t="shared" si="31"/>
        <v>0</v>
      </c>
      <c r="AE34" s="94">
        <f t="shared" si="31"/>
        <v>0</v>
      </c>
      <c r="AF34" s="94">
        <f t="shared" si="31"/>
        <v>0</v>
      </c>
      <c r="AG34" s="94">
        <f t="shared" si="31"/>
        <v>0</v>
      </c>
      <c r="AH34" s="94">
        <f t="shared" si="31"/>
        <v>35</v>
      </c>
      <c r="AI34" s="94">
        <f t="shared" si="31"/>
        <v>0</v>
      </c>
      <c r="AJ34" s="183">
        <v>0</v>
      </c>
      <c r="AK34" s="184">
        <f>L34-AJ34</f>
        <v>0</v>
      </c>
    </row>
    <row r="35" spans="1:38">
      <c r="B35" s="46"/>
      <c r="C35" s="46"/>
      <c r="D35" s="46"/>
      <c r="E35" s="46"/>
      <c r="F35" s="46"/>
      <c r="G35" s="46"/>
      <c r="H35" s="46"/>
      <c r="I35" s="46"/>
      <c r="J35" s="46"/>
      <c r="K35" s="46"/>
      <c r="L35" s="163"/>
      <c r="M35" s="163"/>
      <c r="N35" s="163"/>
      <c r="O35" s="163"/>
      <c r="P35" s="163"/>
      <c r="Q35" s="46"/>
      <c r="R35" s="46"/>
      <c r="S35" s="46"/>
      <c r="T35" s="46"/>
      <c r="U35" s="46"/>
      <c r="V35" s="46"/>
      <c r="W35" s="46"/>
      <c r="X35" s="46"/>
      <c r="Y35" s="46"/>
      <c r="Z35" s="46"/>
      <c r="AA35" s="46"/>
      <c r="AB35" s="46"/>
      <c r="AC35" s="46"/>
      <c r="AD35" s="46"/>
      <c r="AE35" s="46"/>
      <c r="AF35" s="46"/>
      <c r="AG35" s="46"/>
      <c r="AH35" s="46"/>
      <c r="AI35" s="46"/>
      <c r="AJ35" s="163"/>
      <c r="AK35" s="163"/>
    </row>
    <row r="36" spans="1:38" s="6" customFormat="1">
      <c r="A36" s="36"/>
      <c r="B36" s="157" t="s">
        <v>191</v>
      </c>
      <c r="C36" s="158">
        <f>C31+C34</f>
        <v>1514</v>
      </c>
      <c r="D36" s="177">
        <v>1479.4</v>
      </c>
      <c r="E36" s="177">
        <v>1467</v>
      </c>
      <c r="F36" s="177">
        <v>1762</v>
      </c>
      <c r="G36" s="177">
        <v>1873</v>
      </c>
      <c r="H36" s="177">
        <v>1827</v>
      </c>
      <c r="I36" s="177">
        <v>1859</v>
      </c>
      <c r="J36" s="177">
        <v>2057</v>
      </c>
      <c r="K36" s="177">
        <v>2077</v>
      </c>
      <c r="L36" s="158">
        <f>L31+L34</f>
        <v>2408.2340230570221</v>
      </c>
      <c r="M36" s="158">
        <f>M31+M34</f>
        <v>2611.4416919343175</v>
      </c>
      <c r="N36" s="158">
        <f>N31+N34</f>
        <v>2766.0255860924699</v>
      </c>
      <c r="O36" s="158">
        <f>O31+O34</f>
        <v>2886.4354561100017</v>
      </c>
      <c r="P36" s="158">
        <f>P31+P34</f>
        <v>3009.227175497525</v>
      </c>
      <c r="Q36" s="158"/>
      <c r="R36" s="177"/>
      <c r="S36" s="158"/>
      <c r="T36" s="177">
        <v>779</v>
      </c>
      <c r="U36" s="158">
        <f>D36-T36</f>
        <v>700.40000000000009</v>
      </c>
      <c r="V36" s="177">
        <v>733</v>
      </c>
      <c r="W36" s="158">
        <f>E36-V36</f>
        <v>734</v>
      </c>
      <c r="X36" s="177">
        <v>910</v>
      </c>
      <c r="Y36" s="158">
        <f>F36-X36</f>
        <v>852</v>
      </c>
      <c r="Z36" s="177">
        <v>1020</v>
      </c>
      <c r="AA36" s="158">
        <f>G36-Z36</f>
        <v>853</v>
      </c>
      <c r="AB36" s="177">
        <v>963</v>
      </c>
      <c r="AC36" s="158">
        <f>H36-AB36</f>
        <v>864</v>
      </c>
      <c r="AD36" s="177">
        <v>1058</v>
      </c>
      <c r="AE36" s="158">
        <f>I36-AD36</f>
        <v>801</v>
      </c>
      <c r="AF36" s="177">
        <v>1064</v>
      </c>
      <c r="AG36" s="158">
        <f>J36-AF36</f>
        <v>993</v>
      </c>
      <c r="AH36" s="177">
        <v>1082</v>
      </c>
      <c r="AI36" s="158">
        <f>K36-AH36</f>
        <v>995</v>
      </c>
      <c r="AJ36" s="158">
        <f>AJ31+AJ34</f>
        <v>1251.6456972007006</v>
      </c>
      <c r="AK36" s="158">
        <f>AK31+AK34</f>
        <v>1156.5883258563215</v>
      </c>
    </row>
    <row r="37" spans="1:38">
      <c r="B37" s="46"/>
      <c r="C37" s="46"/>
      <c r="D37" s="46"/>
      <c r="E37" s="46"/>
      <c r="F37" s="46"/>
      <c r="G37" s="46"/>
      <c r="H37" s="46"/>
      <c r="I37" s="46"/>
      <c r="J37" s="46"/>
      <c r="K37" s="46"/>
      <c r="L37" s="163"/>
      <c r="M37" s="163"/>
      <c r="N37" s="163"/>
      <c r="O37" s="163"/>
      <c r="P37" s="163"/>
      <c r="Q37" s="46"/>
      <c r="R37" s="46"/>
      <c r="S37" s="46"/>
      <c r="T37" s="46"/>
      <c r="U37" s="46"/>
      <c r="V37" s="46"/>
      <c r="W37" s="46"/>
      <c r="X37" s="46"/>
      <c r="Y37" s="46"/>
      <c r="Z37" s="46"/>
      <c r="AA37" s="46"/>
      <c r="AB37" s="46"/>
      <c r="AC37" s="46"/>
      <c r="AD37" s="46"/>
      <c r="AE37" s="46"/>
      <c r="AF37" s="46"/>
      <c r="AG37" s="46"/>
      <c r="AH37" s="46"/>
      <c r="AI37" s="46"/>
      <c r="AJ37" s="163"/>
      <c r="AK37" s="163"/>
    </row>
    <row r="38" spans="1:38">
      <c r="B38" s="46" t="s">
        <v>285</v>
      </c>
      <c r="C38" s="208"/>
      <c r="D38" s="208"/>
      <c r="E38" s="208">
        <v>0</v>
      </c>
      <c r="F38" s="208">
        <v>-399</v>
      </c>
      <c r="G38" s="208">
        <v>-390</v>
      </c>
      <c r="H38" s="208">
        <v>-363</v>
      </c>
      <c r="I38" s="208">
        <v>-372</v>
      </c>
      <c r="J38" s="208">
        <v>-363</v>
      </c>
      <c r="K38" s="208">
        <v>-425</v>
      </c>
      <c r="L38" s="300">
        <f>K38*1.03</f>
        <v>-437.75</v>
      </c>
      <c r="M38" s="300">
        <f t="shared" ref="M38:P38" si="32">L38*1.03</f>
        <v>-450.88249999999999</v>
      </c>
      <c r="N38" s="300">
        <f t="shared" si="32"/>
        <v>-464.408975</v>
      </c>
      <c r="O38" s="300">
        <f t="shared" si="32"/>
        <v>-478.34124424999999</v>
      </c>
      <c r="P38" s="300">
        <f t="shared" si="32"/>
        <v>-492.69148157749999</v>
      </c>
      <c r="Q38" s="46"/>
      <c r="R38" s="46"/>
      <c r="S38" s="46"/>
      <c r="T38" s="46"/>
      <c r="U38" s="46"/>
      <c r="V38" s="46"/>
      <c r="W38" s="46"/>
      <c r="X38" s="109"/>
      <c r="Y38" s="109"/>
      <c r="Z38" s="109"/>
      <c r="AA38" s="109"/>
      <c r="AB38" s="109"/>
      <c r="AC38" s="109"/>
      <c r="AD38" s="109"/>
      <c r="AE38" s="96"/>
      <c r="AF38" s="109"/>
      <c r="AG38" s="109"/>
      <c r="AH38" s="109">
        <v>-210</v>
      </c>
      <c r="AI38" s="96">
        <f>K38-AH38</f>
        <v>-215</v>
      </c>
      <c r="AJ38" s="213"/>
      <c r="AK38" s="214"/>
    </row>
    <row r="39" spans="1:38">
      <c r="B39" s="46" t="s">
        <v>286</v>
      </c>
      <c r="C39" s="208"/>
      <c r="D39" s="208"/>
      <c r="E39" s="208"/>
      <c r="F39" s="212">
        <f t="shared" ref="F39:J39" si="33">F40-F38</f>
        <v>-44</v>
      </c>
      <c r="G39" s="212">
        <f t="shared" si="33"/>
        <v>-37</v>
      </c>
      <c r="H39" s="212">
        <f t="shared" si="33"/>
        <v>3</v>
      </c>
      <c r="I39" s="212">
        <f t="shared" si="33"/>
        <v>-22</v>
      </c>
      <c r="J39" s="212">
        <f t="shared" si="33"/>
        <v>-79</v>
      </c>
      <c r="K39" s="212">
        <f>K40-K38</f>
        <v>-116</v>
      </c>
      <c r="L39" s="175">
        <v>-115</v>
      </c>
      <c r="M39" s="175">
        <v>-115</v>
      </c>
      <c r="N39" s="175">
        <v>-115</v>
      </c>
      <c r="O39" s="175">
        <v>-115</v>
      </c>
      <c r="P39" s="175">
        <v>-115</v>
      </c>
      <c r="Q39" s="46"/>
      <c r="R39" s="46"/>
      <c r="S39" s="46"/>
      <c r="T39" s="46"/>
      <c r="U39" s="46"/>
      <c r="V39" s="46"/>
      <c r="W39" s="46"/>
      <c r="X39" s="94"/>
      <c r="Y39" s="94"/>
      <c r="Z39" s="94"/>
      <c r="AA39" s="94"/>
      <c r="AB39" s="94"/>
      <c r="AC39" s="94"/>
      <c r="AD39" s="94"/>
      <c r="AE39" s="94"/>
      <c r="AF39" s="94"/>
      <c r="AG39" s="94"/>
      <c r="AH39" s="94">
        <f t="shared" ref="AH39:AI39" si="34">AH40-AH38</f>
        <v>-61</v>
      </c>
      <c r="AI39" s="94">
        <f t="shared" si="34"/>
        <v>-55</v>
      </c>
      <c r="AJ39" s="213"/>
      <c r="AK39" s="214"/>
    </row>
    <row r="40" spans="1:38" s="6" customFormat="1">
      <c r="A40" s="36" t="s">
        <v>255</v>
      </c>
      <c r="B40" s="37" t="s">
        <v>153</v>
      </c>
      <c r="C40" s="91"/>
      <c r="D40" s="57">
        <v>-0.1</v>
      </c>
      <c r="E40" s="57">
        <v>-41.5</v>
      </c>
      <c r="F40" s="57">
        <v>-443</v>
      </c>
      <c r="G40" s="57">
        <v>-427</v>
      </c>
      <c r="H40" s="57">
        <v>-360</v>
      </c>
      <c r="I40" s="57">
        <v>-394</v>
      </c>
      <c r="J40" s="57">
        <v>-442</v>
      </c>
      <c r="K40" s="57">
        <v>-541</v>
      </c>
      <c r="L40" s="184">
        <f>SUM(L38:L39)</f>
        <v>-552.75</v>
      </c>
      <c r="M40" s="184">
        <f>SUM(M38:M39)</f>
        <v>-565.88249999999994</v>
      </c>
      <c r="N40" s="184">
        <f>SUM(N38:N39)</f>
        <v>-579.40897500000005</v>
      </c>
      <c r="O40" s="184">
        <f>SUM(O38:O39)</f>
        <v>-593.34124425000005</v>
      </c>
      <c r="P40" s="184">
        <f>SUM(P38:P39)</f>
        <v>-607.69148157749999</v>
      </c>
      <c r="Q40" s="91"/>
      <c r="R40" s="91"/>
      <c r="S40" s="56"/>
      <c r="T40" s="91">
        <v>0</v>
      </c>
      <c r="U40" s="56">
        <f>D40-T40</f>
        <v>-0.1</v>
      </c>
      <c r="V40" s="57">
        <v>-7</v>
      </c>
      <c r="W40" s="56">
        <f>E40-V40</f>
        <v>-34.5</v>
      </c>
      <c r="X40" s="57">
        <v>-220</v>
      </c>
      <c r="Y40" s="56">
        <f>F40-X40</f>
        <v>-223</v>
      </c>
      <c r="Z40" s="57">
        <v>-219</v>
      </c>
      <c r="AA40" s="56">
        <f>G40-Z40</f>
        <v>-208</v>
      </c>
      <c r="AB40" s="57">
        <v>-180</v>
      </c>
      <c r="AC40" s="56">
        <f>H40-AB40</f>
        <v>-180</v>
      </c>
      <c r="AD40" s="57">
        <v>-187</v>
      </c>
      <c r="AE40" s="56">
        <f>I40-AD40</f>
        <v>-207</v>
      </c>
      <c r="AF40" s="57">
        <v>-213</v>
      </c>
      <c r="AG40" s="56">
        <f>J40-AF40</f>
        <v>-229</v>
      </c>
      <c r="AH40" s="57">
        <v>-271</v>
      </c>
      <c r="AI40" s="56">
        <f>K40-AH40</f>
        <v>-270</v>
      </c>
      <c r="AJ40" s="198">
        <v>-280</v>
      </c>
      <c r="AK40" s="184">
        <f>L40-AJ40</f>
        <v>-272.75</v>
      </c>
    </row>
    <row r="41" spans="1:38">
      <c r="B41" s="46"/>
      <c r="C41" s="46"/>
      <c r="D41" s="46"/>
      <c r="E41" s="46"/>
      <c r="F41" s="46"/>
      <c r="G41" s="46"/>
      <c r="H41" s="46"/>
      <c r="I41" s="46"/>
      <c r="J41" s="46"/>
      <c r="K41" s="46"/>
      <c r="L41" s="163"/>
      <c r="M41" s="163"/>
      <c r="N41" s="163"/>
      <c r="O41" s="163"/>
      <c r="P41" s="163"/>
      <c r="Q41" s="46"/>
      <c r="R41" s="46"/>
      <c r="S41" s="46"/>
      <c r="T41" s="46"/>
      <c r="U41" s="46"/>
      <c r="V41" s="46"/>
      <c r="W41" s="46"/>
      <c r="X41" s="46"/>
      <c r="Y41" s="46"/>
      <c r="Z41" s="46"/>
      <c r="AA41" s="46"/>
      <c r="AB41" s="46"/>
      <c r="AC41" s="46"/>
      <c r="AD41" s="46"/>
      <c r="AE41" s="46"/>
      <c r="AF41" s="46"/>
      <c r="AG41" s="46"/>
      <c r="AH41" s="46"/>
      <c r="AI41" s="46"/>
      <c r="AJ41" s="163"/>
      <c r="AK41" s="163"/>
    </row>
    <row r="42" spans="1:38">
      <c r="A42" s="36" t="s">
        <v>52</v>
      </c>
      <c r="B42" s="37" t="s">
        <v>169</v>
      </c>
      <c r="C42" s="92">
        <f t="shared" ref="C42:P42" si="35">C31+C40</f>
        <v>1514</v>
      </c>
      <c r="D42" s="92">
        <f t="shared" si="35"/>
        <v>1394.9</v>
      </c>
      <c r="E42" s="92">
        <f t="shared" si="35"/>
        <v>1283.5</v>
      </c>
      <c r="F42" s="92">
        <f t="shared" si="35"/>
        <v>1319</v>
      </c>
      <c r="G42" s="92">
        <f t="shared" si="35"/>
        <v>1446</v>
      </c>
      <c r="H42" s="92">
        <f t="shared" si="35"/>
        <v>1467</v>
      </c>
      <c r="I42" s="92">
        <f t="shared" si="35"/>
        <v>1465</v>
      </c>
      <c r="J42" s="92">
        <f t="shared" si="35"/>
        <v>1615</v>
      </c>
      <c r="K42" s="92">
        <f t="shared" si="35"/>
        <v>1571</v>
      </c>
      <c r="L42" s="185">
        <f t="shared" si="35"/>
        <v>1855.4840230570221</v>
      </c>
      <c r="M42" s="185">
        <f t="shared" si="35"/>
        <v>2045.5591919343176</v>
      </c>
      <c r="N42" s="185">
        <f t="shared" si="35"/>
        <v>2186.6166110924696</v>
      </c>
      <c r="O42" s="185">
        <f t="shared" si="35"/>
        <v>2293.0942118600015</v>
      </c>
      <c r="P42" s="185">
        <f t="shared" si="35"/>
        <v>2401.5356939200251</v>
      </c>
      <c r="Q42" s="92"/>
      <c r="R42" s="92"/>
      <c r="S42" s="92"/>
      <c r="T42" s="92">
        <f t="shared" ref="T42:AJ42" si="36">T31+T40</f>
        <v>779</v>
      </c>
      <c r="U42" s="92">
        <f t="shared" si="36"/>
        <v>615.9</v>
      </c>
      <c r="V42" s="92">
        <f t="shared" si="36"/>
        <v>715</v>
      </c>
      <c r="W42" s="92">
        <f t="shared" si="36"/>
        <v>568.5</v>
      </c>
      <c r="X42" s="92">
        <f t="shared" si="36"/>
        <v>690</v>
      </c>
      <c r="Y42" s="92">
        <f t="shared" si="36"/>
        <v>629</v>
      </c>
      <c r="Z42" s="92">
        <f t="shared" si="36"/>
        <v>801</v>
      </c>
      <c r="AA42" s="92">
        <f t="shared" si="36"/>
        <v>645</v>
      </c>
      <c r="AB42" s="92">
        <f t="shared" si="36"/>
        <v>783</v>
      </c>
      <c r="AC42" s="92">
        <f t="shared" si="36"/>
        <v>684</v>
      </c>
      <c r="AD42" s="92">
        <f t="shared" si="36"/>
        <v>871</v>
      </c>
      <c r="AE42" s="92">
        <f t="shared" si="36"/>
        <v>594</v>
      </c>
      <c r="AF42" s="92">
        <f t="shared" si="36"/>
        <v>851</v>
      </c>
      <c r="AG42" s="92">
        <f t="shared" si="36"/>
        <v>764</v>
      </c>
      <c r="AH42" s="92">
        <f t="shared" si="36"/>
        <v>846</v>
      </c>
      <c r="AI42" s="92">
        <f t="shared" si="36"/>
        <v>725</v>
      </c>
      <c r="AJ42" s="185">
        <f t="shared" si="36"/>
        <v>971.64569720070062</v>
      </c>
      <c r="AK42" s="184">
        <f>L42-AJ42</f>
        <v>883.83832585632149</v>
      </c>
    </row>
    <row r="43" spans="1:38">
      <c r="A43" s="36" t="s">
        <v>271</v>
      </c>
      <c r="B43" s="41" t="s">
        <v>159</v>
      </c>
      <c r="C43" s="41"/>
      <c r="D43" s="93">
        <f t="shared" ref="D43:K43" si="37">D42/C42-1</f>
        <v>-7.8665785997357962E-2</v>
      </c>
      <c r="E43" s="93">
        <f t="shared" si="37"/>
        <v>-7.9862355724424794E-2</v>
      </c>
      <c r="F43" s="93">
        <f t="shared" si="37"/>
        <v>2.7658745617452185E-2</v>
      </c>
      <c r="G43" s="93">
        <f t="shared" si="37"/>
        <v>9.6285064442759749E-2</v>
      </c>
      <c r="H43" s="93">
        <f t="shared" si="37"/>
        <v>1.4522821576763434E-2</v>
      </c>
      <c r="I43" s="93">
        <f t="shared" si="37"/>
        <v>-1.3633265167007913E-3</v>
      </c>
      <c r="J43" s="93">
        <f t="shared" si="37"/>
        <v>0.10238907849829348</v>
      </c>
      <c r="K43" s="93">
        <f t="shared" si="37"/>
        <v>-2.7244582043343679E-2</v>
      </c>
      <c r="L43" s="179">
        <f t="shared" ref="L43:P43" si="38">L42/K42-1</f>
        <v>0.18108467412923113</v>
      </c>
      <c r="M43" s="179">
        <f t="shared" si="38"/>
        <v>0.10243966884939004</v>
      </c>
      <c r="N43" s="179">
        <f t="shared" si="38"/>
        <v>6.8957877002212564E-2</v>
      </c>
      <c r="O43" s="179">
        <f t="shared" si="38"/>
        <v>4.8695139434769885E-2</v>
      </c>
      <c r="P43" s="179">
        <f t="shared" si="38"/>
        <v>4.7290460853792515E-2</v>
      </c>
      <c r="Q43" s="41"/>
      <c r="R43" s="41"/>
      <c r="S43" s="41"/>
      <c r="T43" s="93"/>
      <c r="U43" s="93"/>
      <c r="V43" s="93">
        <f t="shared" ref="V43:AI43" si="39">V42/T42-1</f>
        <v>-8.2156611039794658E-2</v>
      </c>
      <c r="W43" s="93">
        <f t="shared" si="39"/>
        <v>-7.6960545543107606E-2</v>
      </c>
      <c r="X43" s="93">
        <f t="shared" si="39"/>
        <v>-3.4965034965035002E-2</v>
      </c>
      <c r="Y43" s="93">
        <f t="shared" si="39"/>
        <v>0.10642040457343893</v>
      </c>
      <c r="Z43" s="93">
        <f t="shared" si="39"/>
        <v>0.16086956521739126</v>
      </c>
      <c r="AA43" s="93">
        <f t="shared" si="39"/>
        <v>2.5437201907790197E-2</v>
      </c>
      <c r="AB43" s="93">
        <f t="shared" si="39"/>
        <v>-2.2471910112359605E-2</v>
      </c>
      <c r="AC43" s="93">
        <f t="shared" si="39"/>
        <v>6.0465116279069697E-2</v>
      </c>
      <c r="AD43" s="93">
        <f t="shared" si="39"/>
        <v>0.11238825031928479</v>
      </c>
      <c r="AE43" s="93">
        <f t="shared" si="39"/>
        <v>-0.13157894736842102</v>
      </c>
      <c r="AF43" s="93">
        <f t="shared" si="39"/>
        <v>-2.2962112514351318E-2</v>
      </c>
      <c r="AG43" s="93">
        <f t="shared" si="39"/>
        <v>0.28619528619528611</v>
      </c>
      <c r="AH43" s="93">
        <f t="shared" si="39"/>
        <v>-5.8754406580493468E-3</v>
      </c>
      <c r="AI43" s="93">
        <f t="shared" si="39"/>
        <v>-5.104712041884818E-2</v>
      </c>
      <c r="AJ43" s="179">
        <f t="shared" ref="AJ43:AK43" si="40">AJ42/AH42-1</f>
        <v>0.14851737257766029</v>
      </c>
      <c r="AK43" s="179">
        <f t="shared" si="40"/>
        <v>0.21908734600871926</v>
      </c>
    </row>
    <row r="44" spans="1:38">
      <c r="B44" s="46"/>
      <c r="C44" s="46"/>
      <c r="D44" s="46"/>
      <c r="E44" s="46"/>
      <c r="F44" s="46"/>
      <c r="G44" s="46"/>
      <c r="H44" s="46"/>
      <c r="I44" s="46"/>
      <c r="J44" s="46"/>
      <c r="K44" s="46"/>
      <c r="L44" s="163"/>
      <c r="M44" s="163"/>
      <c r="N44" s="163"/>
      <c r="O44" s="163"/>
      <c r="P44" s="163"/>
      <c r="Q44" s="46"/>
      <c r="R44" s="46"/>
      <c r="S44" s="46"/>
      <c r="T44" s="46"/>
      <c r="U44" s="46"/>
      <c r="V44" s="46"/>
      <c r="W44" s="46"/>
      <c r="X44" s="46"/>
      <c r="Y44" s="46"/>
      <c r="Z44" s="46"/>
      <c r="AA44" s="46"/>
      <c r="AB44" s="46"/>
      <c r="AC44" s="46"/>
      <c r="AD44" s="46"/>
      <c r="AE44" s="46"/>
      <c r="AF44" s="46"/>
      <c r="AG44" s="46"/>
      <c r="AH44" s="46"/>
      <c r="AI44" s="46"/>
      <c r="AJ44" s="163"/>
      <c r="AK44" s="163"/>
    </row>
    <row r="45" spans="1:38">
      <c r="A45" s="36" t="s">
        <v>240</v>
      </c>
      <c r="B45" s="37" t="s">
        <v>192</v>
      </c>
      <c r="C45" s="57"/>
      <c r="D45" s="72">
        <v>-456.1</v>
      </c>
      <c r="E45" s="72">
        <v>-347</v>
      </c>
      <c r="F45" s="72">
        <v>-341</v>
      </c>
      <c r="G45" s="72">
        <v>-441</v>
      </c>
      <c r="H45" s="72">
        <v>-422</v>
      </c>
      <c r="I45" s="72">
        <v>-423</v>
      </c>
      <c r="J45" s="72">
        <v>-487</v>
      </c>
      <c r="K45" s="72">
        <v>-467</v>
      </c>
      <c r="L45" s="184">
        <f>L63</f>
        <v>-556.64520691710663</v>
      </c>
      <c r="M45" s="184">
        <f t="shared" ref="M45:P45" si="41">M63</f>
        <v>-613.6677575802953</v>
      </c>
      <c r="N45" s="184">
        <f t="shared" si="41"/>
        <v>-655.98498332774091</v>
      </c>
      <c r="O45" s="184">
        <f t="shared" si="41"/>
        <v>-687.92826355800037</v>
      </c>
      <c r="P45" s="184">
        <f t="shared" si="41"/>
        <v>-720.46070817600753</v>
      </c>
      <c r="Q45" s="57"/>
      <c r="R45" s="56"/>
      <c r="S45" s="56"/>
      <c r="T45" s="57">
        <v>-239</v>
      </c>
      <c r="U45" s="56">
        <f>D45-T45</f>
        <v>-217.10000000000002</v>
      </c>
      <c r="V45" s="57">
        <v>-223</v>
      </c>
      <c r="W45" s="56">
        <f>E45-V45</f>
        <v>-124</v>
      </c>
      <c r="X45" s="57">
        <v>-201</v>
      </c>
      <c r="Y45" s="56">
        <f>F45-X45</f>
        <v>-140</v>
      </c>
      <c r="Z45" s="57">
        <v>-241</v>
      </c>
      <c r="AA45" s="56">
        <f>G45-Z45</f>
        <v>-200</v>
      </c>
      <c r="AB45" s="57">
        <v>-230</v>
      </c>
      <c r="AC45" s="56">
        <f>H45-AB45</f>
        <v>-192</v>
      </c>
      <c r="AD45" s="57">
        <v>-255</v>
      </c>
      <c r="AE45" s="56">
        <f>I45-AD45</f>
        <v>-168</v>
      </c>
      <c r="AF45" s="57">
        <v>-257</v>
      </c>
      <c r="AG45" s="56">
        <f>J45-AF45</f>
        <v>-230</v>
      </c>
      <c r="AH45" s="57">
        <v>-245</v>
      </c>
      <c r="AI45" s="56">
        <f>K45-AH45</f>
        <v>-222</v>
      </c>
      <c r="AJ45" s="184">
        <f t="shared" ref="AJ45:AK45" si="42">AJ63</f>
        <v>-291.49370916021019</v>
      </c>
      <c r="AK45" s="184">
        <f t="shared" si="42"/>
        <v>-265.15149775689645</v>
      </c>
    </row>
    <row r="46" spans="1:38">
      <c r="B46" s="46"/>
      <c r="C46" s="46"/>
      <c r="D46" s="46"/>
      <c r="E46" s="46"/>
      <c r="F46" s="46"/>
      <c r="G46" s="46"/>
      <c r="H46" s="46"/>
      <c r="I46" s="46"/>
      <c r="J46" s="46"/>
      <c r="K46" s="46"/>
      <c r="L46" s="163"/>
      <c r="M46" s="163"/>
      <c r="N46" s="163"/>
      <c r="O46" s="163"/>
      <c r="P46" s="163"/>
      <c r="Q46" s="46"/>
      <c r="R46" s="46"/>
      <c r="S46" s="46"/>
      <c r="T46" s="46"/>
      <c r="U46" s="46"/>
      <c r="V46" s="46"/>
      <c r="W46" s="46"/>
      <c r="X46" s="46"/>
      <c r="Y46" s="46"/>
      <c r="Z46" s="46"/>
      <c r="AA46" s="46"/>
      <c r="AB46" s="46"/>
      <c r="AC46" s="46"/>
      <c r="AD46" s="46"/>
      <c r="AE46" s="46"/>
      <c r="AF46" s="46"/>
      <c r="AG46" s="46"/>
      <c r="AH46" s="46"/>
      <c r="AI46" s="46"/>
      <c r="AJ46" s="163"/>
      <c r="AK46" s="163"/>
    </row>
    <row r="47" spans="1:38">
      <c r="B47" s="37" t="s">
        <v>171</v>
      </c>
      <c r="C47" s="34"/>
      <c r="D47" s="34">
        <v>0</v>
      </c>
      <c r="E47" s="34">
        <v>0</v>
      </c>
      <c r="F47" s="34">
        <v>0</v>
      </c>
      <c r="G47" s="34">
        <v>0</v>
      </c>
      <c r="H47" s="34">
        <v>0</v>
      </c>
      <c r="I47" s="34">
        <v>0</v>
      </c>
      <c r="J47" s="34">
        <v>0</v>
      </c>
      <c r="K47" s="34">
        <v>0</v>
      </c>
      <c r="L47" s="168">
        <f>K47</f>
        <v>0</v>
      </c>
      <c r="M47" s="168">
        <f t="shared" ref="M47:P47" si="43">L47</f>
        <v>0</v>
      </c>
      <c r="N47" s="168">
        <f t="shared" si="43"/>
        <v>0</v>
      </c>
      <c r="O47" s="168">
        <f t="shared" si="43"/>
        <v>0</v>
      </c>
      <c r="P47" s="168">
        <f t="shared" si="43"/>
        <v>0</v>
      </c>
      <c r="Q47" s="89"/>
      <c r="R47" s="53"/>
      <c r="S47" s="33"/>
      <c r="T47" s="34">
        <v>0</v>
      </c>
      <c r="U47" s="33">
        <f>D47-T47</f>
        <v>0</v>
      </c>
      <c r="V47" s="34">
        <v>0</v>
      </c>
      <c r="W47" s="33">
        <f>E47-V47</f>
        <v>0</v>
      </c>
      <c r="X47" s="34">
        <v>0</v>
      </c>
      <c r="Y47" s="33">
        <f>F47-X47</f>
        <v>0</v>
      </c>
      <c r="Z47" s="34">
        <v>0</v>
      </c>
      <c r="AA47" s="33">
        <f>G47-Z47</f>
        <v>0</v>
      </c>
      <c r="AB47" s="33">
        <v>0</v>
      </c>
      <c r="AC47" s="33">
        <f>H47-AB47</f>
        <v>0</v>
      </c>
      <c r="AD47" s="34">
        <v>0</v>
      </c>
      <c r="AE47" s="33">
        <f>I47-AD47</f>
        <v>0</v>
      </c>
      <c r="AF47" s="34">
        <v>0</v>
      </c>
      <c r="AG47" s="33">
        <f>J47-AF47</f>
        <v>0</v>
      </c>
      <c r="AH47" s="34">
        <v>0</v>
      </c>
      <c r="AI47" s="33">
        <f>K47-AH47</f>
        <v>0</v>
      </c>
      <c r="AJ47" s="198">
        <v>-1</v>
      </c>
      <c r="AK47" s="184">
        <f>L47-AJ47</f>
        <v>1</v>
      </c>
    </row>
    <row r="48" spans="1:38">
      <c r="B48" s="46"/>
      <c r="C48" s="46"/>
      <c r="D48" s="46"/>
      <c r="E48" s="46"/>
      <c r="F48" s="46"/>
      <c r="G48" s="46"/>
      <c r="H48" s="46"/>
      <c r="I48" s="46"/>
      <c r="J48" s="46"/>
      <c r="K48" s="46"/>
      <c r="L48" s="163"/>
      <c r="M48" s="163"/>
      <c r="N48" s="163"/>
      <c r="O48" s="163"/>
      <c r="P48" s="163"/>
      <c r="Q48" s="46"/>
      <c r="R48" s="46"/>
      <c r="S48" s="46"/>
      <c r="T48" s="46"/>
      <c r="U48" s="46"/>
      <c r="V48" s="46"/>
      <c r="W48" s="46"/>
      <c r="X48" s="46"/>
      <c r="Y48" s="46"/>
      <c r="Z48" s="46"/>
      <c r="AA48" s="46"/>
      <c r="AB48" s="46"/>
      <c r="AC48" s="46"/>
      <c r="AD48" s="46"/>
      <c r="AE48" s="46"/>
      <c r="AF48" s="46"/>
      <c r="AG48" s="46"/>
      <c r="AH48" s="46"/>
      <c r="AI48" s="46"/>
      <c r="AJ48" s="163"/>
      <c r="AK48" s="163"/>
    </row>
    <row r="49" spans="1:37" s="6" customFormat="1">
      <c r="A49" s="36" t="s">
        <v>131</v>
      </c>
      <c r="B49" s="157" t="s">
        <v>172</v>
      </c>
      <c r="C49" s="158">
        <f t="shared" ref="C49:O49" si="44">C47+C45+C42</f>
        <v>1514</v>
      </c>
      <c r="D49" s="158">
        <f t="shared" si="44"/>
        <v>938.80000000000007</v>
      </c>
      <c r="E49" s="158">
        <f t="shared" si="44"/>
        <v>936.5</v>
      </c>
      <c r="F49" s="158">
        <f t="shared" si="44"/>
        <v>978</v>
      </c>
      <c r="G49" s="158">
        <f t="shared" si="44"/>
        <v>1005</v>
      </c>
      <c r="H49" s="158">
        <f t="shared" si="44"/>
        <v>1045</v>
      </c>
      <c r="I49" s="158">
        <f t="shared" si="44"/>
        <v>1042</v>
      </c>
      <c r="J49" s="158">
        <f t="shared" si="44"/>
        <v>1128</v>
      </c>
      <c r="K49" s="158">
        <f t="shared" si="44"/>
        <v>1104</v>
      </c>
      <c r="L49" s="158">
        <f t="shared" si="44"/>
        <v>1298.8388161399155</v>
      </c>
      <c r="M49" s="158">
        <f t="shared" si="44"/>
        <v>1431.8914343540223</v>
      </c>
      <c r="N49" s="158">
        <f t="shared" si="44"/>
        <v>1530.6316277647288</v>
      </c>
      <c r="O49" s="158">
        <f t="shared" si="44"/>
        <v>1605.1659483020012</v>
      </c>
      <c r="P49" s="158">
        <f>P47+P45+P42</f>
        <v>1681.0749857440176</v>
      </c>
      <c r="Q49" s="158"/>
      <c r="R49" s="158"/>
      <c r="S49" s="158"/>
      <c r="T49" s="158">
        <f t="shared" ref="T49:AK49" si="45">T47+T45+T42</f>
        <v>540</v>
      </c>
      <c r="U49" s="158">
        <f t="shared" si="45"/>
        <v>398.79999999999995</v>
      </c>
      <c r="V49" s="158">
        <f t="shared" si="45"/>
        <v>492</v>
      </c>
      <c r="W49" s="158">
        <f t="shared" si="45"/>
        <v>444.5</v>
      </c>
      <c r="X49" s="158">
        <f t="shared" si="45"/>
        <v>489</v>
      </c>
      <c r="Y49" s="158">
        <f t="shared" si="45"/>
        <v>489</v>
      </c>
      <c r="Z49" s="158">
        <f t="shared" si="45"/>
        <v>560</v>
      </c>
      <c r="AA49" s="158">
        <f t="shared" si="45"/>
        <v>445</v>
      </c>
      <c r="AB49" s="158">
        <f t="shared" si="45"/>
        <v>553</v>
      </c>
      <c r="AC49" s="158">
        <f t="shared" si="45"/>
        <v>492</v>
      </c>
      <c r="AD49" s="158">
        <f t="shared" si="45"/>
        <v>616</v>
      </c>
      <c r="AE49" s="158">
        <f t="shared" si="45"/>
        <v>426</v>
      </c>
      <c r="AF49" s="158">
        <f t="shared" si="45"/>
        <v>594</v>
      </c>
      <c r="AG49" s="158">
        <f t="shared" si="45"/>
        <v>534</v>
      </c>
      <c r="AH49" s="158">
        <f t="shared" si="45"/>
        <v>601</v>
      </c>
      <c r="AI49" s="158">
        <f t="shared" si="45"/>
        <v>503</v>
      </c>
      <c r="AJ49" s="158">
        <f t="shared" si="45"/>
        <v>679.15198804049044</v>
      </c>
      <c r="AK49" s="158">
        <f t="shared" si="45"/>
        <v>619.68682809942504</v>
      </c>
    </row>
    <row r="50" spans="1:37" s="36" customFormat="1">
      <c r="A50" s="36" t="s">
        <v>272</v>
      </c>
      <c r="B50" s="41" t="s">
        <v>159</v>
      </c>
      <c r="C50" s="41"/>
      <c r="D50" s="93">
        <f t="shared" ref="D50:K50" si="46">D49/C49-1</f>
        <v>-0.37992073976221929</v>
      </c>
      <c r="E50" s="93">
        <f t="shared" si="46"/>
        <v>-2.4499360886238719E-3</v>
      </c>
      <c r="F50" s="93">
        <f t="shared" si="46"/>
        <v>4.431393486385482E-2</v>
      </c>
      <c r="G50" s="93">
        <f t="shared" si="46"/>
        <v>2.7607361963190247E-2</v>
      </c>
      <c r="H50" s="93">
        <f t="shared" si="46"/>
        <v>3.9800995024875663E-2</v>
      </c>
      <c r="I50" s="93">
        <f t="shared" si="46"/>
        <v>-2.870813397129135E-3</v>
      </c>
      <c r="J50" s="93">
        <f t="shared" si="46"/>
        <v>8.253358925143961E-2</v>
      </c>
      <c r="K50" s="93">
        <f t="shared" si="46"/>
        <v>-2.1276595744680882E-2</v>
      </c>
      <c r="L50" s="179">
        <f t="shared" ref="L50:P50" si="47">L49/K49-1</f>
        <v>0.17648443490934373</v>
      </c>
      <c r="M50" s="179">
        <f t="shared" si="47"/>
        <v>0.10243966884939004</v>
      </c>
      <c r="N50" s="179">
        <f t="shared" si="47"/>
        <v>6.8957877002212564E-2</v>
      </c>
      <c r="O50" s="179">
        <f t="shared" si="47"/>
        <v>4.8695139434769885E-2</v>
      </c>
      <c r="P50" s="179">
        <f t="shared" si="47"/>
        <v>4.7290460853792515E-2</v>
      </c>
      <c r="Q50" s="41"/>
      <c r="R50" s="41"/>
      <c r="S50" s="41"/>
      <c r="T50" s="93"/>
      <c r="U50" s="93"/>
      <c r="V50" s="93">
        <f t="shared" ref="V50:AI50" si="48">V49/T49-1</f>
        <v>-8.8888888888888906E-2</v>
      </c>
      <c r="W50" s="93">
        <f t="shared" si="48"/>
        <v>0.11459378134403231</v>
      </c>
      <c r="X50" s="93">
        <f t="shared" si="48"/>
        <v>-6.0975609756097615E-3</v>
      </c>
      <c r="Y50" s="93">
        <f t="shared" si="48"/>
        <v>0.1001124859392577</v>
      </c>
      <c r="Z50" s="93">
        <f t="shared" si="48"/>
        <v>0.14519427402862983</v>
      </c>
      <c r="AA50" s="93">
        <f t="shared" si="48"/>
        <v>-8.997955010224945E-2</v>
      </c>
      <c r="AB50" s="93">
        <f t="shared" si="48"/>
        <v>-1.2499999999999956E-2</v>
      </c>
      <c r="AC50" s="93">
        <f t="shared" si="48"/>
        <v>0.10561797752808988</v>
      </c>
      <c r="AD50" s="93">
        <f t="shared" si="48"/>
        <v>0.11392405063291133</v>
      </c>
      <c r="AE50" s="93">
        <f t="shared" si="48"/>
        <v>-0.13414634146341464</v>
      </c>
      <c r="AF50" s="93">
        <f t="shared" si="48"/>
        <v>-3.5714285714285698E-2</v>
      </c>
      <c r="AG50" s="93">
        <f t="shared" si="48"/>
        <v>0.25352112676056349</v>
      </c>
      <c r="AH50" s="93">
        <f t="shared" si="48"/>
        <v>1.1784511784511675E-2</v>
      </c>
      <c r="AI50" s="93">
        <f t="shared" si="48"/>
        <v>-5.805243445692887E-2</v>
      </c>
      <c r="AJ50" s="179">
        <f t="shared" ref="AJ50:AK50" si="49">AJ49/AH49-1</f>
        <v>0.13003658575788757</v>
      </c>
      <c r="AK50" s="179">
        <f t="shared" si="49"/>
        <v>0.23198176560521877</v>
      </c>
    </row>
    <row r="51" spans="1:37">
      <c r="B51" s="46"/>
      <c r="C51" s="46"/>
      <c r="D51" s="46"/>
      <c r="E51" s="46"/>
      <c r="F51" s="46"/>
      <c r="G51" s="46"/>
      <c r="H51" s="46"/>
      <c r="I51" s="46"/>
      <c r="J51" s="46"/>
      <c r="K51" s="46"/>
      <c r="L51" s="163"/>
      <c r="M51" s="163"/>
      <c r="N51" s="163"/>
      <c r="O51" s="163"/>
      <c r="P51" s="163"/>
      <c r="Q51" s="46"/>
      <c r="R51" s="46"/>
      <c r="S51" s="46"/>
      <c r="T51" s="46"/>
      <c r="U51" s="46"/>
      <c r="V51" s="46"/>
      <c r="W51" s="46"/>
      <c r="X51" s="46"/>
      <c r="Y51" s="46"/>
      <c r="Z51" s="46"/>
      <c r="AA51" s="46"/>
      <c r="AB51" s="46"/>
      <c r="AC51" s="46"/>
      <c r="AD51" s="46"/>
      <c r="AE51" s="46"/>
      <c r="AF51" s="46"/>
      <c r="AG51" s="46"/>
      <c r="AH51" s="46"/>
      <c r="AI51" s="46"/>
      <c r="AJ51" s="163"/>
      <c r="AK51" s="163"/>
    </row>
    <row r="52" spans="1:37">
      <c r="B52" s="46" t="s">
        <v>173</v>
      </c>
      <c r="C52" s="94">
        <f t="shared" ref="C52:J52" si="50">C54-C49</f>
        <v>19.5</v>
      </c>
      <c r="D52" s="94">
        <f t="shared" si="50"/>
        <v>639.99999999999989</v>
      </c>
      <c r="E52" s="94">
        <f t="shared" si="50"/>
        <v>498.20000000000005</v>
      </c>
      <c r="F52" s="94">
        <f t="shared" si="50"/>
        <v>0</v>
      </c>
      <c r="G52" s="94">
        <f t="shared" si="50"/>
        <v>0</v>
      </c>
      <c r="H52" s="94">
        <f t="shared" si="50"/>
        <v>3</v>
      </c>
      <c r="I52" s="94">
        <f t="shared" si="50"/>
        <v>56</v>
      </c>
      <c r="J52" s="94">
        <f t="shared" si="50"/>
        <v>-10</v>
      </c>
      <c r="K52" s="94">
        <f>K54-K49</f>
        <v>-25</v>
      </c>
      <c r="L52" s="176">
        <f>L34+L64</f>
        <v>0</v>
      </c>
      <c r="M52" s="176">
        <f>M34+M64</f>
        <v>0</v>
      </c>
      <c r="N52" s="176">
        <f>N34+N64</f>
        <v>0</v>
      </c>
      <c r="O52" s="176">
        <f>O34+O64</f>
        <v>0</v>
      </c>
      <c r="P52" s="176">
        <f>P34+P64</f>
        <v>0</v>
      </c>
      <c r="Q52" s="94"/>
      <c r="R52" s="94"/>
      <c r="S52" s="94"/>
      <c r="T52" s="94">
        <f t="shared" ref="T52:AI52" si="51">T49-T54</f>
        <v>0</v>
      </c>
      <c r="U52" s="94">
        <f t="shared" si="51"/>
        <v>-640</v>
      </c>
      <c r="V52" s="94">
        <f t="shared" si="51"/>
        <v>-13.5</v>
      </c>
      <c r="W52" s="94">
        <f t="shared" si="51"/>
        <v>-484.70000000000005</v>
      </c>
      <c r="X52" s="94">
        <f t="shared" si="51"/>
        <v>0</v>
      </c>
      <c r="Y52" s="94">
        <f t="shared" si="51"/>
        <v>0</v>
      </c>
      <c r="Z52" s="94">
        <f t="shared" si="51"/>
        <v>0</v>
      </c>
      <c r="AA52" s="94">
        <f t="shared" si="51"/>
        <v>0</v>
      </c>
      <c r="AB52" s="94">
        <f t="shared" si="51"/>
        <v>0</v>
      </c>
      <c r="AC52" s="94">
        <f t="shared" si="51"/>
        <v>-3</v>
      </c>
      <c r="AD52" s="94">
        <f t="shared" si="51"/>
        <v>0</v>
      </c>
      <c r="AE52" s="94">
        <f t="shared" si="51"/>
        <v>-56</v>
      </c>
      <c r="AF52" s="94">
        <f t="shared" si="51"/>
        <v>5</v>
      </c>
      <c r="AG52" s="94">
        <f t="shared" si="51"/>
        <v>5</v>
      </c>
      <c r="AH52" s="94">
        <f t="shared" si="51"/>
        <v>25</v>
      </c>
      <c r="AI52" s="94">
        <f t="shared" si="51"/>
        <v>0</v>
      </c>
      <c r="AJ52" s="183">
        <v>0</v>
      </c>
      <c r="AK52" s="184">
        <f>L52-AJ52</f>
        <v>0</v>
      </c>
    </row>
    <row r="53" spans="1:37">
      <c r="B53" s="46"/>
      <c r="C53" s="46"/>
      <c r="D53" s="46"/>
      <c r="E53" s="46"/>
      <c r="F53" s="46"/>
      <c r="G53" s="46"/>
      <c r="H53" s="46"/>
      <c r="I53" s="46"/>
      <c r="J53" s="46"/>
      <c r="K53" s="46"/>
      <c r="L53" s="163"/>
      <c r="M53" s="163"/>
      <c r="N53" s="163"/>
      <c r="O53" s="163"/>
      <c r="P53" s="163"/>
      <c r="Q53" s="46"/>
      <c r="R53" s="46"/>
      <c r="S53" s="46"/>
      <c r="T53" s="46"/>
      <c r="U53" s="46"/>
      <c r="V53" s="46"/>
      <c r="W53" s="46"/>
      <c r="X53" s="46"/>
      <c r="Y53" s="46"/>
      <c r="Z53" s="46"/>
      <c r="AA53" s="46"/>
      <c r="AB53" s="46"/>
      <c r="AC53" s="46"/>
      <c r="AD53" s="46"/>
      <c r="AE53" s="46"/>
      <c r="AF53" s="46"/>
      <c r="AG53" s="46"/>
      <c r="AH53" s="46"/>
      <c r="AI53" s="46"/>
      <c r="AJ53" s="163"/>
      <c r="AK53" s="163"/>
    </row>
    <row r="54" spans="1:37" s="6" customFormat="1">
      <c r="A54" s="36"/>
      <c r="B54" s="157" t="s">
        <v>174</v>
      </c>
      <c r="C54" s="177">
        <v>1533.5</v>
      </c>
      <c r="D54" s="177">
        <v>1578.8</v>
      </c>
      <c r="E54" s="177">
        <v>1434.7</v>
      </c>
      <c r="F54" s="177">
        <v>978</v>
      </c>
      <c r="G54" s="177">
        <v>1005</v>
      </c>
      <c r="H54" s="177">
        <v>1048</v>
      </c>
      <c r="I54" s="177">
        <v>1098</v>
      </c>
      <c r="J54" s="177">
        <v>1118</v>
      </c>
      <c r="K54" s="177">
        <v>1079</v>
      </c>
      <c r="L54" s="158">
        <f>L49+L52</f>
        <v>1298.8388161399155</v>
      </c>
      <c r="M54" s="158">
        <f t="shared" ref="M54:P54" si="52">M49+M52</f>
        <v>1431.8914343540223</v>
      </c>
      <c r="N54" s="158">
        <f t="shared" si="52"/>
        <v>1530.6316277647288</v>
      </c>
      <c r="O54" s="158">
        <f t="shared" si="52"/>
        <v>1605.1659483020012</v>
      </c>
      <c r="P54" s="158">
        <f t="shared" si="52"/>
        <v>1681.0749857440176</v>
      </c>
      <c r="Q54" s="158"/>
      <c r="R54" s="158"/>
      <c r="S54" s="158"/>
      <c r="T54" s="177">
        <v>540</v>
      </c>
      <c r="U54" s="177">
        <f>D54-T54</f>
        <v>1038.8</v>
      </c>
      <c r="V54" s="177">
        <v>505.5</v>
      </c>
      <c r="W54" s="177">
        <f>E54-V54</f>
        <v>929.2</v>
      </c>
      <c r="X54" s="177">
        <v>489</v>
      </c>
      <c r="Y54" s="177">
        <f>F54-X54</f>
        <v>489</v>
      </c>
      <c r="Z54" s="177">
        <v>560</v>
      </c>
      <c r="AA54" s="177">
        <f>G54-Z54</f>
        <v>445</v>
      </c>
      <c r="AB54" s="177">
        <v>553</v>
      </c>
      <c r="AC54" s="177">
        <f>H54-AB54</f>
        <v>495</v>
      </c>
      <c r="AD54" s="177">
        <v>616</v>
      </c>
      <c r="AE54" s="177">
        <f>I54-AD54</f>
        <v>482</v>
      </c>
      <c r="AF54" s="177">
        <v>589</v>
      </c>
      <c r="AG54" s="177">
        <f>J54-AF54</f>
        <v>529</v>
      </c>
      <c r="AH54" s="177">
        <v>576</v>
      </c>
      <c r="AI54" s="158">
        <f>K54-AH54</f>
        <v>503</v>
      </c>
      <c r="AJ54" s="158">
        <f t="shared" ref="AJ54:AK54" si="53">L54-AI54</f>
        <v>795.83881613991548</v>
      </c>
      <c r="AK54" s="158">
        <f t="shared" si="53"/>
        <v>636.05261821410681</v>
      </c>
    </row>
    <row r="55" spans="1:37" s="36" customFormat="1">
      <c r="B55" s="41" t="s">
        <v>159</v>
      </c>
      <c r="C55" s="41"/>
      <c r="D55" s="95">
        <f t="shared" ref="D55:K55" si="54">D54/C54-1</f>
        <v>2.9540267362243133E-2</v>
      </c>
      <c r="E55" s="95">
        <f t="shared" si="54"/>
        <v>-9.1271852039523593E-2</v>
      </c>
      <c r="F55" s="95">
        <f t="shared" si="54"/>
        <v>-0.31832438837387611</v>
      </c>
      <c r="G55" s="95">
        <f t="shared" si="54"/>
        <v>2.7607361963190247E-2</v>
      </c>
      <c r="H55" s="95">
        <f t="shared" si="54"/>
        <v>4.2786069651741254E-2</v>
      </c>
      <c r="I55" s="95">
        <f t="shared" si="54"/>
        <v>4.7709923664122078E-2</v>
      </c>
      <c r="J55" s="95">
        <f t="shared" si="54"/>
        <v>1.8214936247723079E-2</v>
      </c>
      <c r="K55" s="95">
        <f t="shared" si="54"/>
        <v>-3.4883720930232509E-2</v>
      </c>
      <c r="L55" s="178"/>
      <c r="M55" s="178"/>
      <c r="N55" s="178"/>
      <c r="O55" s="178"/>
      <c r="P55" s="178"/>
      <c r="Q55" s="41"/>
      <c r="R55" s="41"/>
      <c r="S55" s="41"/>
      <c r="T55" s="95"/>
      <c r="U55" s="95"/>
      <c r="V55" s="95">
        <f t="shared" ref="V55:AI55" si="55">V54/T54-1</f>
        <v>-6.3888888888888884E-2</v>
      </c>
      <c r="W55" s="95">
        <f t="shared" si="55"/>
        <v>-0.10550635348479009</v>
      </c>
      <c r="X55" s="95">
        <f t="shared" si="55"/>
        <v>-3.2640949554896159E-2</v>
      </c>
      <c r="Y55" s="95">
        <f t="shared" si="55"/>
        <v>-0.47374085234610419</v>
      </c>
      <c r="Z55" s="95">
        <f t="shared" si="55"/>
        <v>0.14519427402862983</v>
      </c>
      <c r="AA55" s="95">
        <f t="shared" si="55"/>
        <v>-8.997955010224945E-2</v>
      </c>
      <c r="AB55" s="95">
        <f t="shared" si="55"/>
        <v>-1.2499999999999956E-2</v>
      </c>
      <c r="AC55" s="95">
        <f t="shared" si="55"/>
        <v>0.11235955056179781</v>
      </c>
      <c r="AD55" s="95">
        <f t="shared" si="55"/>
        <v>0.11392405063291133</v>
      </c>
      <c r="AE55" s="95">
        <f t="shared" si="55"/>
        <v>-2.626262626262621E-2</v>
      </c>
      <c r="AF55" s="95">
        <f t="shared" si="55"/>
        <v>-4.3831168831168776E-2</v>
      </c>
      <c r="AG55" s="95">
        <f t="shared" si="55"/>
        <v>9.75103734439835E-2</v>
      </c>
      <c r="AH55" s="95">
        <f t="shared" si="55"/>
        <v>-2.2071307300509324E-2</v>
      </c>
      <c r="AI55" s="95">
        <f t="shared" si="55"/>
        <v>-4.914933837429114E-2</v>
      </c>
      <c r="AJ55" s="178">
        <f t="shared" ref="AJ55:AK55" si="56">AJ54/AH54-1</f>
        <v>0.38166461135401986</v>
      </c>
      <c r="AK55" s="178">
        <f t="shared" si="56"/>
        <v>0.26451812766224014</v>
      </c>
    </row>
    <row r="56" spans="1:37">
      <c r="B56" s="46"/>
      <c r="C56" s="46"/>
      <c r="D56" s="46"/>
      <c r="E56" s="46"/>
      <c r="F56" s="46"/>
      <c r="G56" s="46"/>
      <c r="H56" s="46"/>
      <c r="I56" s="46"/>
      <c r="J56" s="46"/>
      <c r="K56" s="46"/>
      <c r="L56" s="163"/>
      <c r="M56" s="163"/>
      <c r="N56" s="163"/>
      <c r="O56" s="163"/>
      <c r="P56" s="163"/>
      <c r="Q56" s="46"/>
      <c r="R56" s="46"/>
      <c r="S56" s="46"/>
      <c r="T56" s="46"/>
      <c r="U56" s="46"/>
      <c r="V56" s="46"/>
      <c r="W56" s="46"/>
      <c r="X56" s="46"/>
      <c r="Y56" s="46"/>
      <c r="Z56" s="46"/>
      <c r="AA56" s="46"/>
      <c r="AB56" s="46"/>
      <c r="AC56" s="46"/>
      <c r="AD56" s="46"/>
      <c r="AE56" s="46"/>
      <c r="AF56" s="46"/>
      <c r="AG56" s="46"/>
      <c r="AH56" s="46"/>
      <c r="AI56" s="46"/>
      <c r="AJ56" s="163"/>
      <c r="AK56" s="163"/>
    </row>
    <row r="57" spans="1:37">
      <c r="A57" s="36" t="s">
        <v>404</v>
      </c>
      <c r="B57" s="46" t="s">
        <v>175</v>
      </c>
      <c r="C57" s="94">
        <f t="shared" ref="C57:K57" si="57">C79</f>
        <v>0</v>
      </c>
      <c r="D57" s="94">
        <f t="shared" si="57"/>
        <v>1333.9</v>
      </c>
      <c r="E57" s="94">
        <f t="shared" si="57"/>
        <v>1334</v>
      </c>
      <c r="F57" s="94">
        <f t="shared" si="57"/>
        <v>1334</v>
      </c>
      <c r="G57" s="94">
        <f t="shared" si="57"/>
        <v>1335</v>
      </c>
      <c r="H57" s="94">
        <f t="shared" si="57"/>
        <v>1331</v>
      </c>
      <c r="I57" s="94">
        <f t="shared" si="57"/>
        <v>1338</v>
      </c>
      <c r="J57" s="94">
        <f t="shared" si="57"/>
        <v>1338</v>
      </c>
      <c r="K57" s="94">
        <f t="shared" si="57"/>
        <v>1340</v>
      </c>
      <c r="L57" s="176">
        <f>L79</f>
        <v>1342</v>
      </c>
      <c r="M57" s="176">
        <f t="shared" ref="M57:P57" si="58">M79</f>
        <v>1344</v>
      </c>
      <c r="N57" s="176">
        <f t="shared" si="58"/>
        <v>1346</v>
      </c>
      <c r="O57" s="176">
        <f t="shared" si="58"/>
        <v>1348</v>
      </c>
      <c r="P57" s="176">
        <f t="shared" si="58"/>
        <v>1350</v>
      </c>
      <c r="Q57" s="94"/>
      <c r="R57" s="94"/>
      <c r="S57" s="94"/>
      <c r="T57" s="94">
        <f t="shared" ref="T57:AC57" si="59">T79</f>
        <v>1334</v>
      </c>
      <c r="U57" s="94">
        <f t="shared" si="59"/>
        <v>1333.9</v>
      </c>
      <c r="V57" s="94">
        <f t="shared" si="59"/>
        <v>1334</v>
      </c>
      <c r="W57" s="94">
        <f t="shared" si="59"/>
        <v>1334</v>
      </c>
      <c r="X57" s="94">
        <f t="shared" si="59"/>
        <v>1334</v>
      </c>
      <c r="Y57" s="94">
        <f t="shared" si="59"/>
        <v>1334</v>
      </c>
      <c r="Z57" s="94">
        <f t="shared" si="59"/>
        <v>1334</v>
      </c>
      <c r="AA57" s="94">
        <f t="shared" si="59"/>
        <v>1335</v>
      </c>
      <c r="AB57" s="94">
        <f t="shared" si="59"/>
        <v>1335</v>
      </c>
      <c r="AC57" s="94">
        <f t="shared" si="59"/>
        <v>1331</v>
      </c>
      <c r="AD57" s="94">
        <f t="shared" ref="AD57:AK57" si="60">AD79</f>
        <v>1336</v>
      </c>
      <c r="AE57" s="94">
        <f t="shared" si="60"/>
        <v>1338</v>
      </c>
      <c r="AF57" s="94">
        <f t="shared" si="60"/>
        <v>1337</v>
      </c>
      <c r="AG57" s="94">
        <f t="shared" si="60"/>
        <v>1338</v>
      </c>
      <c r="AH57" s="94">
        <f t="shared" si="60"/>
        <v>1339</v>
      </c>
      <c r="AI57" s="94">
        <f t="shared" si="60"/>
        <v>1340</v>
      </c>
      <c r="AJ57" s="176">
        <f t="shared" si="60"/>
        <v>1341</v>
      </c>
      <c r="AK57" s="176">
        <f t="shared" si="60"/>
        <v>1342</v>
      </c>
    </row>
    <row r="58" spans="1:37">
      <c r="B58" s="46"/>
      <c r="C58" s="46"/>
      <c r="D58" s="46"/>
      <c r="E58" s="46"/>
      <c r="F58" s="46"/>
      <c r="G58" s="46"/>
      <c r="H58" s="46"/>
      <c r="I58" s="46"/>
      <c r="J58" s="46"/>
      <c r="K58" s="46"/>
      <c r="L58" s="163"/>
      <c r="M58" s="163"/>
      <c r="N58" s="163"/>
      <c r="O58" s="163"/>
      <c r="P58" s="163"/>
      <c r="Q58" s="46"/>
      <c r="R58" s="46"/>
      <c r="S58" s="46"/>
      <c r="T58" s="46"/>
      <c r="U58" s="46"/>
      <c r="V58" s="46"/>
      <c r="W58" s="46"/>
      <c r="X58" s="46"/>
      <c r="Y58" s="46"/>
      <c r="Z58" s="46"/>
      <c r="AA58" s="46"/>
      <c r="AB58" s="46"/>
      <c r="AC58" s="46"/>
      <c r="AD58" s="46"/>
      <c r="AE58" s="46"/>
      <c r="AF58" s="46"/>
      <c r="AG58" s="46"/>
      <c r="AH58" s="46"/>
      <c r="AI58" s="46"/>
      <c r="AJ58" s="163"/>
      <c r="AK58" s="163"/>
    </row>
    <row r="59" spans="1:37" s="6" customFormat="1">
      <c r="A59" s="36" t="s">
        <v>132</v>
      </c>
      <c r="B59" s="157" t="s">
        <v>176</v>
      </c>
      <c r="C59" s="159"/>
      <c r="D59" s="159">
        <f t="shared" ref="D59:K59" si="61">D49/D57</f>
        <v>0.70380088462403478</v>
      </c>
      <c r="E59" s="159">
        <f t="shared" si="61"/>
        <v>0.70202398800599697</v>
      </c>
      <c r="F59" s="159">
        <f t="shared" si="61"/>
        <v>0.73313343328335834</v>
      </c>
      <c r="G59" s="159">
        <f t="shared" si="61"/>
        <v>0.7528089887640449</v>
      </c>
      <c r="H59" s="159">
        <f t="shared" si="61"/>
        <v>0.78512396694214881</v>
      </c>
      <c r="I59" s="159">
        <f t="shared" si="61"/>
        <v>0.77877428998505227</v>
      </c>
      <c r="J59" s="159">
        <f t="shared" si="61"/>
        <v>0.84304932735426008</v>
      </c>
      <c r="K59" s="159">
        <f t="shared" si="61"/>
        <v>0.82388059701492533</v>
      </c>
      <c r="L59" s="159">
        <f>L49/L57</f>
        <v>0.96783816403868517</v>
      </c>
      <c r="M59" s="159">
        <f t="shared" ref="M59:O59" si="62">M49/M57</f>
        <v>1.0653954124657905</v>
      </c>
      <c r="N59" s="159">
        <f t="shared" si="62"/>
        <v>1.137170600122384</v>
      </c>
      <c r="O59" s="159">
        <f t="shared" si="62"/>
        <v>1.1907759260400603</v>
      </c>
      <c r="P59" s="159">
        <f>P49/P57</f>
        <v>1.2452407301807538</v>
      </c>
      <c r="Q59" s="158"/>
      <c r="R59" s="159"/>
      <c r="S59" s="159"/>
      <c r="T59" s="159">
        <f t="shared" ref="T59:AI59" si="63">T49/T57</f>
        <v>0.40479760119940028</v>
      </c>
      <c r="U59" s="159">
        <f t="shared" si="63"/>
        <v>0.29897293650198659</v>
      </c>
      <c r="V59" s="159">
        <f t="shared" si="63"/>
        <v>0.36881559220389803</v>
      </c>
      <c r="W59" s="159">
        <f t="shared" si="63"/>
        <v>0.33320839580209893</v>
      </c>
      <c r="X59" s="159">
        <f t="shared" si="63"/>
        <v>0.36656671664167917</v>
      </c>
      <c r="Y59" s="159">
        <f t="shared" si="63"/>
        <v>0.36656671664167917</v>
      </c>
      <c r="Z59" s="159">
        <f t="shared" si="63"/>
        <v>0.41979010494752622</v>
      </c>
      <c r="AA59" s="159">
        <f t="shared" si="63"/>
        <v>0.33333333333333331</v>
      </c>
      <c r="AB59" s="159">
        <f t="shared" si="63"/>
        <v>0.41423220973782771</v>
      </c>
      <c r="AC59" s="159">
        <f t="shared" si="63"/>
        <v>0.36964688204357626</v>
      </c>
      <c r="AD59" s="159">
        <f t="shared" si="63"/>
        <v>0.46107784431137727</v>
      </c>
      <c r="AE59" s="159">
        <f t="shared" si="63"/>
        <v>0.31838565022421522</v>
      </c>
      <c r="AF59" s="159">
        <f t="shared" si="63"/>
        <v>0.44427823485415108</v>
      </c>
      <c r="AG59" s="159">
        <f t="shared" si="63"/>
        <v>0.3991031390134529</v>
      </c>
      <c r="AH59" s="159">
        <f t="shared" si="63"/>
        <v>0.44884241971620614</v>
      </c>
      <c r="AI59" s="159">
        <f t="shared" si="63"/>
        <v>0.37537313432835823</v>
      </c>
      <c r="AJ59" s="159">
        <f t="shared" ref="AJ59:AK59" si="64">AJ49/AJ57</f>
        <v>0.5064518926476439</v>
      </c>
      <c r="AK59" s="159">
        <f t="shared" si="64"/>
        <v>0.46176365730210511</v>
      </c>
    </row>
    <row r="60" spans="1:37" s="36" customFormat="1">
      <c r="A60" s="36" t="s">
        <v>273</v>
      </c>
      <c r="B60" s="41" t="s">
        <v>159</v>
      </c>
      <c r="C60" s="41"/>
      <c r="D60" s="95"/>
      <c r="E60" s="95">
        <f t="shared" ref="E60:K60" si="65">E59/D59-1</f>
        <v>-2.5247149539845415E-3</v>
      </c>
      <c r="F60" s="95">
        <f t="shared" si="65"/>
        <v>4.431393486385482E-2</v>
      </c>
      <c r="G60" s="95">
        <f t="shared" si="65"/>
        <v>2.683761862089562E-2</v>
      </c>
      <c r="H60" s="95">
        <f t="shared" si="65"/>
        <v>4.2925866535093338E-2</v>
      </c>
      <c r="I60" s="95">
        <f t="shared" si="65"/>
        <v>-8.0874832821966613E-3</v>
      </c>
      <c r="J60" s="95">
        <f t="shared" si="65"/>
        <v>8.253358925143961E-2</v>
      </c>
      <c r="K60" s="95">
        <f t="shared" si="65"/>
        <v>-2.2737376945061949E-2</v>
      </c>
      <c r="L60" s="178">
        <f t="shared" ref="L60:P60" si="66">L59/K59-1</f>
        <v>0.17473110490202726</v>
      </c>
      <c r="M60" s="178">
        <f t="shared" si="66"/>
        <v>0.10079913362788817</v>
      </c>
      <c r="N60" s="178">
        <f t="shared" si="66"/>
        <v>6.7369529488093383E-2</v>
      </c>
      <c r="O60" s="178">
        <f t="shared" si="66"/>
        <v>4.713921192819015E-2</v>
      </c>
      <c r="P60" s="178">
        <f t="shared" si="66"/>
        <v>4.573891943030528E-2</v>
      </c>
      <c r="Q60" s="41"/>
      <c r="R60" s="41"/>
      <c r="S60" s="41"/>
      <c r="T60" s="95"/>
      <c r="U60" s="95"/>
      <c r="V60" s="95">
        <f t="shared" ref="V60:AI60" si="67">V59/T59-1</f>
        <v>-8.8888888888888906E-2</v>
      </c>
      <c r="W60" s="95">
        <f t="shared" si="67"/>
        <v>0.11451022858681004</v>
      </c>
      <c r="X60" s="95">
        <f t="shared" si="67"/>
        <v>-6.0975609756096505E-3</v>
      </c>
      <c r="Y60" s="95">
        <f t="shared" si="67"/>
        <v>0.1001124859392577</v>
      </c>
      <c r="Z60" s="95">
        <f t="shared" si="67"/>
        <v>0.14519427402862983</v>
      </c>
      <c r="AA60" s="95">
        <f t="shared" si="67"/>
        <v>-9.0661213360599957E-2</v>
      </c>
      <c r="AB60" s="95">
        <f t="shared" si="67"/>
        <v>-1.3239700374531815E-2</v>
      </c>
      <c r="AC60" s="95">
        <f t="shared" si="67"/>
        <v>0.10894064613072896</v>
      </c>
      <c r="AD60" s="95">
        <f t="shared" si="67"/>
        <v>0.11309027514591086</v>
      </c>
      <c r="AE60" s="95">
        <f t="shared" si="67"/>
        <v>-0.13867621860075108</v>
      </c>
      <c r="AF60" s="95">
        <f t="shared" si="67"/>
        <v>-3.6435516615023089E-2</v>
      </c>
      <c r="AG60" s="95">
        <f t="shared" si="67"/>
        <v>0.25352112676056349</v>
      </c>
      <c r="AH60" s="95">
        <f t="shared" si="67"/>
        <v>1.0273257846073358E-2</v>
      </c>
      <c r="AI60" s="95">
        <f t="shared" si="67"/>
        <v>-5.9458326345799062E-2</v>
      </c>
      <c r="AJ60" s="178">
        <f t="shared" ref="AJ60:AK60" si="68">AJ59/AH59-1</f>
        <v>0.1283512217224545</v>
      </c>
      <c r="AK60" s="178">
        <f t="shared" si="68"/>
        <v>0.23014572720640314</v>
      </c>
    </row>
    <row r="61" spans="1:37">
      <c r="B61" s="46"/>
      <c r="C61" s="46"/>
      <c r="D61" s="46"/>
      <c r="E61" s="46"/>
      <c r="F61" s="46"/>
      <c r="G61" s="46"/>
      <c r="H61" s="46"/>
      <c r="I61" s="46"/>
      <c r="J61" s="46"/>
      <c r="K61" s="46"/>
      <c r="L61" s="163"/>
      <c r="M61" s="163"/>
      <c r="N61" s="163"/>
      <c r="O61" s="163"/>
      <c r="P61" s="163"/>
      <c r="Q61" s="46"/>
      <c r="R61" s="46"/>
      <c r="S61" s="46"/>
      <c r="T61" s="46"/>
      <c r="U61" s="46"/>
      <c r="V61" s="46"/>
      <c r="W61" s="46"/>
      <c r="X61" s="46"/>
      <c r="Y61" s="46"/>
      <c r="Z61" s="46"/>
      <c r="AA61" s="46"/>
      <c r="AB61" s="46"/>
      <c r="AC61" s="46"/>
      <c r="AD61" s="46"/>
      <c r="AE61" s="46"/>
      <c r="AF61" s="46"/>
      <c r="AG61" s="46"/>
      <c r="AH61" s="46"/>
      <c r="AI61" s="46"/>
      <c r="AJ61" s="163"/>
      <c r="AK61" s="163"/>
    </row>
    <row r="62" spans="1:37">
      <c r="B62" s="37" t="s">
        <v>177</v>
      </c>
      <c r="C62" s="46"/>
      <c r="D62" s="46"/>
      <c r="E62" s="46"/>
      <c r="F62" s="46"/>
      <c r="G62" s="46"/>
      <c r="H62" s="46"/>
      <c r="I62" s="46"/>
      <c r="J62" s="46"/>
      <c r="K62" s="46"/>
      <c r="L62" s="163"/>
      <c r="M62" s="163"/>
      <c r="N62" s="163"/>
      <c r="O62" s="163"/>
      <c r="P62" s="163"/>
      <c r="Q62" s="46"/>
      <c r="R62" s="46"/>
      <c r="S62" s="46"/>
      <c r="T62" s="46"/>
      <c r="U62" s="46"/>
      <c r="V62" s="46"/>
      <c r="W62" s="46"/>
      <c r="X62" s="46"/>
      <c r="Y62" s="46"/>
      <c r="Z62" s="46"/>
      <c r="AA62" s="46"/>
      <c r="AB62" s="46"/>
      <c r="AC62" s="46"/>
      <c r="AD62" s="46"/>
      <c r="AE62" s="46"/>
      <c r="AF62" s="46"/>
      <c r="AG62" s="46"/>
      <c r="AH62" s="46"/>
      <c r="AI62" s="46"/>
      <c r="AJ62" s="163"/>
      <c r="AK62" s="163"/>
    </row>
    <row r="63" spans="1:37" s="6" customFormat="1">
      <c r="A63" s="36"/>
      <c r="B63" s="37" t="s">
        <v>170</v>
      </c>
      <c r="C63" s="140"/>
      <c r="D63" s="140">
        <f t="shared" ref="D63:K63" si="69">D45</f>
        <v>-456.1</v>
      </c>
      <c r="E63" s="140">
        <f t="shared" si="69"/>
        <v>-347</v>
      </c>
      <c r="F63" s="140">
        <f t="shared" si="69"/>
        <v>-341</v>
      </c>
      <c r="G63" s="140">
        <f t="shared" si="69"/>
        <v>-441</v>
      </c>
      <c r="H63" s="140">
        <f t="shared" si="69"/>
        <v>-422</v>
      </c>
      <c r="I63" s="140">
        <f t="shared" si="69"/>
        <v>-423</v>
      </c>
      <c r="J63" s="140">
        <f t="shared" si="69"/>
        <v>-487</v>
      </c>
      <c r="K63" s="140">
        <f t="shared" si="69"/>
        <v>-467</v>
      </c>
      <c r="L63" s="195">
        <f>L73*-L68</f>
        <v>-556.64520691710663</v>
      </c>
      <c r="M63" s="195">
        <f t="shared" ref="M63:P64" si="70">M73*-M68</f>
        <v>-613.6677575802953</v>
      </c>
      <c r="N63" s="195">
        <f t="shared" si="70"/>
        <v>-655.98498332774091</v>
      </c>
      <c r="O63" s="195">
        <f t="shared" si="70"/>
        <v>-687.92826355800037</v>
      </c>
      <c r="P63" s="195">
        <f t="shared" si="70"/>
        <v>-720.46070817600753</v>
      </c>
      <c r="Q63" s="140"/>
      <c r="R63" s="140"/>
      <c r="S63" s="140"/>
      <c r="T63" s="140">
        <f t="shared" ref="T63:AI63" si="71">T45</f>
        <v>-239</v>
      </c>
      <c r="U63" s="140">
        <f t="shared" si="71"/>
        <v>-217.10000000000002</v>
      </c>
      <c r="V63" s="140">
        <f t="shared" si="71"/>
        <v>-223</v>
      </c>
      <c r="W63" s="140">
        <f t="shared" si="71"/>
        <v>-124</v>
      </c>
      <c r="X63" s="140">
        <f t="shared" si="71"/>
        <v>-201</v>
      </c>
      <c r="Y63" s="140">
        <f t="shared" si="71"/>
        <v>-140</v>
      </c>
      <c r="Z63" s="140">
        <f t="shared" si="71"/>
        <v>-241</v>
      </c>
      <c r="AA63" s="140">
        <f t="shared" si="71"/>
        <v>-200</v>
      </c>
      <c r="AB63" s="140">
        <f t="shared" si="71"/>
        <v>-230</v>
      </c>
      <c r="AC63" s="140">
        <f t="shared" si="71"/>
        <v>-192</v>
      </c>
      <c r="AD63" s="140">
        <f t="shared" si="71"/>
        <v>-255</v>
      </c>
      <c r="AE63" s="140">
        <f t="shared" si="71"/>
        <v>-168</v>
      </c>
      <c r="AF63" s="140">
        <f t="shared" si="71"/>
        <v>-257</v>
      </c>
      <c r="AG63" s="140">
        <f t="shared" si="71"/>
        <v>-230</v>
      </c>
      <c r="AH63" s="140">
        <f t="shared" si="71"/>
        <v>-245</v>
      </c>
      <c r="AI63" s="140">
        <f t="shared" si="71"/>
        <v>-222</v>
      </c>
      <c r="AJ63" s="195">
        <f>AJ73*-AJ68</f>
        <v>-291.49370916021019</v>
      </c>
      <c r="AK63" s="184">
        <f t="shared" ref="AK63:AK65" si="72">L63-AJ63</f>
        <v>-265.15149775689645</v>
      </c>
    </row>
    <row r="64" spans="1:37">
      <c r="B64" s="46" t="s">
        <v>173</v>
      </c>
      <c r="C64" s="96"/>
      <c r="D64" s="96">
        <f t="shared" ref="D64:K64" si="73">D65-D63</f>
        <v>0</v>
      </c>
      <c r="E64" s="96">
        <f t="shared" si="73"/>
        <v>0</v>
      </c>
      <c r="F64" s="96">
        <f t="shared" si="73"/>
        <v>0</v>
      </c>
      <c r="G64" s="96">
        <f t="shared" si="73"/>
        <v>0</v>
      </c>
      <c r="H64" s="96">
        <f t="shared" si="73"/>
        <v>0</v>
      </c>
      <c r="I64" s="96">
        <f t="shared" si="73"/>
        <v>0</v>
      </c>
      <c r="J64" s="96">
        <f t="shared" si="73"/>
        <v>0</v>
      </c>
      <c r="K64" s="96">
        <f t="shared" si="73"/>
        <v>10</v>
      </c>
      <c r="L64" s="187">
        <f>L74*-L69</f>
        <v>0</v>
      </c>
      <c r="M64" s="187">
        <f t="shared" si="70"/>
        <v>0</v>
      </c>
      <c r="N64" s="187">
        <f t="shared" si="70"/>
        <v>0</v>
      </c>
      <c r="O64" s="187">
        <f t="shared" si="70"/>
        <v>0</v>
      </c>
      <c r="P64" s="187">
        <f t="shared" si="70"/>
        <v>0</v>
      </c>
      <c r="Q64" s="96"/>
      <c r="R64" s="96"/>
      <c r="S64" s="96"/>
      <c r="T64" s="96">
        <f t="shared" ref="T64:AI64" si="74">T65-T63</f>
        <v>0</v>
      </c>
      <c r="U64" s="96">
        <f t="shared" si="74"/>
        <v>-172.89999999999998</v>
      </c>
      <c r="V64" s="96">
        <f t="shared" si="74"/>
        <v>0</v>
      </c>
      <c r="W64" s="96">
        <f t="shared" si="74"/>
        <v>-266</v>
      </c>
      <c r="X64" s="96">
        <f t="shared" si="74"/>
        <v>0</v>
      </c>
      <c r="Y64" s="96">
        <f t="shared" si="74"/>
        <v>-250</v>
      </c>
      <c r="Z64" s="96">
        <f t="shared" si="74"/>
        <v>0</v>
      </c>
      <c r="AA64" s="96">
        <f t="shared" si="74"/>
        <v>0</v>
      </c>
      <c r="AB64" s="96">
        <f t="shared" si="74"/>
        <v>0</v>
      </c>
      <c r="AC64" s="96">
        <f t="shared" si="74"/>
        <v>0</v>
      </c>
      <c r="AD64" s="96">
        <f t="shared" si="74"/>
        <v>0</v>
      </c>
      <c r="AE64" s="96">
        <f t="shared" si="74"/>
        <v>0</v>
      </c>
      <c r="AF64" s="96">
        <f t="shared" si="74"/>
        <v>0</v>
      </c>
      <c r="AG64" s="96">
        <f t="shared" si="74"/>
        <v>0</v>
      </c>
      <c r="AH64" s="96">
        <f t="shared" si="74"/>
        <v>10</v>
      </c>
      <c r="AI64" s="96">
        <f t="shared" si="74"/>
        <v>0</v>
      </c>
      <c r="AJ64" s="187">
        <f>AJ74*-AJ69</f>
        <v>0</v>
      </c>
      <c r="AK64" s="184">
        <f t="shared" si="72"/>
        <v>0</v>
      </c>
    </row>
    <row r="65" spans="1:37" s="6" customFormat="1">
      <c r="A65" s="36"/>
      <c r="B65" s="37" t="s">
        <v>178</v>
      </c>
      <c r="C65" s="137"/>
      <c r="D65" s="137">
        <v>-456.1</v>
      </c>
      <c r="E65" s="137">
        <v>-347</v>
      </c>
      <c r="F65" s="137">
        <v>-341</v>
      </c>
      <c r="G65" s="137">
        <v>-441</v>
      </c>
      <c r="H65" s="137">
        <v>-422</v>
      </c>
      <c r="I65" s="137">
        <v>-423</v>
      </c>
      <c r="J65" s="137">
        <v>-487</v>
      </c>
      <c r="K65" s="137">
        <v>-457</v>
      </c>
      <c r="L65" s="188">
        <f>L63+L64</f>
        <v>-556.64520691710663</v>
      </c>
      <c r="M65" s="188">
        <f t="shared" ref="M65:P65" si="75">M63+M64</f>
        <v>-613.6677575802953</v>
      </c>
      <c r="N65" s="188">
        <f t="shared" si="75"/>
        <v>-655.98498332774091</v>
      </c>
      <c r="O65" s="188">
        <f t="shared" si="75"/>
        <v>-687.92826355800037</v>
      </c>
      <c r="P65" s="188">
        <f t="shared" si="75"/>
        <v>-720.46070817600753</v>
      </c>
      <c r="Q65" s="137"/>
      <c r="R65" s="137"/>
      <c r="S65" s="37"/>
      <c r="T65" s="57">
        <v>-239</v>
      </c>
      <c r="U65" s="37">
        <v>-390</v>
      </c>
      <c r="V65" s="57">
        <v>-223</v>
      </c>
      <c r="W65" s="37">
        <v>-390</v>
      </c>
      <c r="X65" s="57">
        <v>-201</v>
      </c>
      <c r="Y65" s="37">
        <v>-390</v>
      </c>
      <c r="Z65" s="57">
        <v>-241</v>
      </c>
      <c r="AA65" s="37">
        <f>G65-Z65</f>
        <v>-200</v>
      </c>
      <c r="AB65" s="57">
        <v>-230</v>
      </c>
      <c r="AC65" s="37">
        <f>H65-AB65</f>
        <v>-192</v>
      </c>
      <c r="AD65" s="57">
        <v>-255</v>
      </c>
      <c r="AE65" s="37">
        <f>I65-AD65</f>
        <v>-168</v>
      </c>
      <c r="AF65" s="137">
        <v>-257</v>
      </c>
      <c r="AG65" s="37">
        <f>J65-AF65</f>
        <v>-230</v>
      </c>
      <c r="AH65" s="137">
        <v>-235</v>
      </c>
      <c r="AI65" s="37">
        <f>K65-AH65</f>
        <v>-222</v>
      </c>
      <c r="AJ65" s="188">
        <f>AJ63+AJ64</f>
        <v>-291.49370916021019</v>
      </c>
      <c r="AK65" s="184">
        <f t="shared" si="72"/>
        <v>-265.15149775689645</v>
      </c>
    </row>
    <row r="66" spans="1:37">
      <c r="B66" s="46"/>
      <c r="C66" s="46"/>
      <c r="D66" s="46"/>
      <c r="E66" s="46"/>
      <c r="F66" s="46"/>
      <c r="G66" s="46"/>
      <c r="H66" s="46"/>
      <c r="I66" s="46"/>
      <c r="J66" s="46"/>
      <c r="K66" s="46"/>
      <c r="L66" s="163"/>
      <c r="M66" s="163"/>
      <c r="N66" s="163"/>
      <c r="O66" s="163"/>
      <c r="P66" s="163"/>
      <c r="Q66" s="46"/>
      <c r="R66" s="46"/>
      <c r="S66" s="46"/>
      <c r="T66" s="46"/>
      <c r="U66" s="46"/>
      <c r="V66" s="46"/>
      <c r="W66" s="46"/>
      <c r="X66" s="46"/>
      <c r="Y66" s="46"/>
      <c r="Z66" s="46"/>
      <c r="AA66" s="46"/>
      <c r="AB66" s="46"/>
      <c r="AC66" s="46"/>
      <c r="AD66" s="46"/>
      <c r="AE66" s="46"/>
      <c r="AF66" s="46"/>
      <c r="AG66" s="46"/>
      <c r="AH66" s="46"/>
      <c r="AI66" s="46"/>
      <c r="AJ66" s="163"/>
      <c r="AK66" s="163"/>
    </row>
    <row r="67" spans="1:37">
      <c r="B67" s="37" t="s">
        <v>179</v>
      </c>
      <c r="C67" s="46"/>
      <c r="D67" s="46"/>
      <c r="E67" s="46"/>
      <c r="F67" s="46"/>
      <c r="G67" s="46"/>
      <c r="H67" s="46"/>
      <c r="I67" s="46"/>
      <c r="J67" s="46"/>
      <c r="K67" s="46"/>
      <c r="L67" s="163"/>
      <c r="M67" s="163"/>
      <c r="N67" s="163"/>
      <c r="O67" s="163"/>
      <c r="P67" s="163"/>
      <c r="Q67" s="46"/>
      <c r="R67" s="46"/>
      <c r="S67" s="46"/>
      <c r="T67" s="46"/>
      <c r="U67" s="46"/>
      <c r="V67" s="46"/>
      <c r="W67" s="46"/>
      <c r="X67" s="46"/>
      <c r="Y67" s="46"/>
      <c r="Z67" s="46"/>
      <c r="AA67" s="46"/>
      <c r="AB67" s="46"/>
      <c r="AC67" s="46"/>
      <c r="AD67" s="46"/>
      <c r="AE67" s="46"/>
      <c r="AF67" s="46"/>
      <c r="AG67" s="46"/>
      <c r="AH67" s="46"/>
      <c r="AI67" s="46"/>
      <c r="AJ67" s="163"/>
      <c r="AK67" s="163"/>
    </row>
    <row r="68" spans="1:37" s="6" customFormat="1">
      <c r="A68" s="36"/>
      <c r="B68" s="37" t="s">
        <v>170</v>
      </c>
      <c r="C68" s="139"/>
      <c r="D68" s="228">
        <f t="shared" ref="D68:K68" si="76">-D63/D73</f>
        <v>0.32697684421822354</v>
      </c>
      <c r="E68" s="228">
        <f t="shared" si="76"/>
        <v>0.27035449941566031</v>
      </c>
      <c r="F68" s="228">
        <f t="shared" si="76"/>
        <v>0.2585291887793783</v>
      </c>
      <c r="G68" s="228">
        <f t="shared" si="76"/>
        <v>0.30497925311203322</v>
      </c>
      <c r="H68" s="228">
        <f t="shared" si="76"/>
        <v>0.28766189502385819</v>
      </c>
      <c r="I68" s="228">
        <f t="shared" si="76"/>
        <v>0.28873720136518771</v>
      </c>
      <c r="J68" s="228">
        <f t="shared" si="76"/>
        <v>0.30154798761609908</v>
      </c>
      <c r="K68" s="228">
        <f t="shared" si="76"/>
        <v>0.29726288987905791</v>
      </c>
      <c r="L68" s="189">
        <v>0.3</v>
      </c>
      <c r="M68" s="189">
        <v>0.3</v>
      </c>
      <c r="N68" s="189">
        <v>0.3</v>
      </c>
      <c r="O68" s="189">
        <v>0.3</v>
      </c>
      <c r="P68" s="189">
        <v>0.3</v>
      </c>
      <c r="Q68" s="139"/>
      <c r="R68" s="139"/>
      <c r="S68" s="139"/>
      <c r="T68" s="139">
        <f t="shared" ref="T68:AI68" si="77">-T63/T73</f>
        <v>0.30680359435173299</v>
      </c>
      <c r="U68" s="139">
        <f t="shared" si="77"/>
        <v>0.35249228770904373</v>
      </c>
      <c r="V68" s="139">
        <f t="shared" si="77"/>
        <v>0.31188811188811189</v>
      </c>
      <c r="W68" s="139">
        <f t="shared" si="77"/>
        <v>0.21811785400175901</v>
      </c>
      <c r="X68" s="139">
        <f t="shared" si="77"/>
        <v>0.29130434782608694</v>
      </c>
      <c r="Y68" s="139">
        <f t="shared" si="77"/>
        <v>0.22257551669316375</v>
      </c>
      <c r="Z68" s="139">
        <f t="shared" si="77"/>
        <v>0.30087390761548066</v>
      </c>
      <c r="AA68" s="139">
        <f t="shared" si="77"/>
        <v>0.31007751937984496</v>
      </c>
      <c r="AB68" s="139">
        <f t="shared" si="77"/>
        <v>0.29374201787994891</v>
      </c>
      <c r="AC68" s="139">
        <f t="shared" si="77"/>
        <v>0.2807017543859649</v>
      </c>
      <c r="AD68" s="139">
        <f t="shared" si="77"/>
        <v>0.29276693455797931</v>
      </c>
      <c r="AE68" s="139">
        <f t="shared" si="77"/>
        <v>0.28282828282828282</v>
      </c>
      <c r="AF68" s="139">
        <f t="shared" si="77"/>
        <v>0.30199764982373678</v>
      </c>
      <c r="AG68" s="139">
        <f t="shared" si="77"/>
        <v>0.30104712041884818</v>
      </c>
      <c r="AH68" s="139">
        <f t="shared" si="77"/>
        <v>0.28959810874704489</v>
      </c>
      <c r="AI68" s="139">
        <f t="shared" si="77"/>
        <v>0.30620689655172412</v>
      </c>
      <c r="AJ68" s="189">
        <v>0.3</v>
      </c>
      <c r="AK68" s="190">
        <f t="shared" ref="AK68" si="78">-AK63/AK73</f>
        <v>0.3</v>
      </c>
    </row>
    <row r="69" spans="1:37">
      <c r="B69" s="46" t="s">
        <v>49</v>
      </c>
      <c r="C69" s="97"/>
      <c r="D69" s="229">
        <f t="shared" ref="D69:K69" si="79">-D64/D74</f>
        <v>0</v>
      </c>
      <c r="E69" s="229">
        <f t="shared" si="79"/>
        <v>0</v>
      </c>
      <c r="F69" s="229"/>
      <c r="G69" s="229"/>
      <c r="H69" s="229"/>
      <c r="I69" s="229"/>
      <c r="J69" s="229"/>
      <c r="K69" s="229">
        <f t="shared" si="79"/>
        <v>0.2857142857142857</v>
      </c>
      <c r="L69" s="189">
        <v>0.3</v>
      </c>
      <c r="M69" s="189">
        <v>0.3</v>
      </c>
      <c r="N69" s="189">
        <v>0.3</v>
      </c>
      <c r="O69" s="189">
        <v>0.3</v>
      </c>
      <c r="P69" s="189">
        <v>0.3</v>
      </c>
      <c r="Q69" s="97"/>
      <c r="R69" s="97"/>
      <c r="S69" s="97"/>
      <c r="T69" s="97"/>
      <c r="U69" s="97">
        <f t="shared" ref="U69:W69" si="80">-U64/U74</f>
        <v>2.048578199052133</v>
      </c>
      <c r="V69" s="97">
        <f t="shared" si="80"/>
        <v>0</v>
      </c>
      <c r="W69" s="97">
        <f t="shared" si="80"/>
        <v>2.0383141762452106</v>
      </c>
      <c r="X69" s="97"/>
      <c r="Y69" s="97"/>
      <c r="Z69" s="97"/>
      <c r="AA69" s="97"/>
      <c r="AB69" s="97"/>
      <c r="AC69" s="97"/>
      <c r="AD69" s="97"/>
      <c r="AE69" s="97"/>
      <c r="AF69" s="97"/>
      <c r="AG69" s="97"/>
      <c r="AH69" s="97">
        <f t="shared" ref="AH69" si="81">-AH64/AH74</f>
        <v>0.2857142857142857</v>
      </c>
      <c r="AI69" s="97"/>
      <c r="AJ69" s="189">
        <v>0.3</v>
      </c>
      <c r="AK69" s="174"/>
    </row>
    <row r="70" spans="1:37" s="6" customFormat="1">
      <c r="A70" s="36"/>
      <c r="B70" s="37" t="s">
        <v>178</v>
      </c>
      <c r="C70" s="139"/>
      <c r="D70" s="228">
        <f t="shared" ref="D70:K70" si="82">-D65/D75</f>
        <v>0.30832150341377679</v>
      </c>
      <c r="E70" s="228">
        <f t="shared" si="82"/>
        <v>0.24350877192982456</v>
      </c>
      <c r="F70" s="228">
        <f t="shared" si="82"/>
        <v>0.2585291887793783</v>
      </c>
      <c r="G70" s="228">
        <f t="shared" si="82"/>
        <v>0.30497925311203322</v>
      </c>
      <c r="H70" s="228">
        <f t="shared" si="82"/>
        <v>0.28766189502385819</v>
      </c>
      <c r="I70" s="228">
        <f t="shared" si="82"/>
        <v>0.28873720136518771</v>
      </c>
      <c r="J70" s="228">
        <f t="shared" si="82"/>
        <v>0.30154798761609908</v>
      </c>
      <c r="K70" s="228">
        <f t="shared" si="82"/>
        <v>0.29752604166666669</v>
      </c>
      <c r="L70" s="190">
        <f>-L65/L75</f>
        <v>0.3</v>
      </c>
      <c r="M70" s="190">
        <f t="shared" ref="M70:P70" si="83">-M65/M75</f>
        <v>0.3</v>
      </c>
      <c r="N70" s="190">
        <f t="shared" si="83"/>
        <v>0.3</v>
      </c>
      <c r="O70" s="190">
        <f t="shared" si="83"/>
        <v>0.3</v>
      </c>
      <c r="P70" s="190">
        <f t="shared" si="83"/>
        <v>0.3</v>
      </c>
      <c r="Q70" s="139"/>
      <c r="R70" s="139"/>
      <c r="S70" s="139"/>
      <c r="T70" s="139">
        <f t="shared" ref="T70:AB70" si="84">-T65/T75</f>
        <v>0.30680359435173299</v>
      </c>
      <c r="U70" s="139">
        <f t="shared" si="84"/>
        <v>0.55690418392117669</v>
      </c>
      <c r="V70" s="139">
        <f t="shared" si="84"/>
        <v>0.3071625344352617</v>
      </c>
      <c r="W70" s="139">
        <f t="shared" si="84"/>
        <v>0.55793991416309008</v>
      </c>
      <c r="X70" s="139">
        <f t="shared" si="84"/>
        <v>0.29130434782608694</v>
      </c>
      <c r="Y70" s="139">
        <f t="shared" si="84"/>
        <v>0.62003179650238471</v>
      </c>
      <c r="Z70" s="139">
        <f t="shared" si="84"/>
        <v>0.30087390761548066</v>
      </c>
      <c r="AA70" s="139">
        <f t="shared" si="84"/>
        <v>0.31007751937984496</v>
      </c>
      <c r="AB70" s="139">
        <f t="shared" si="84"/>
        <v>0.29374201787994891</v>
      </c>
      <c r="AC70" s="139">
        <f t="shared" ref="AC70:AG70" si="85">-AC65/AC75</f>
        <v>0.2807017543859649</v>
      </c>
      <c r="AD70" s="139">
        <f t="shared" si="85"/>
        <v>0.29276693455797931</v>
      </c>
      <c r="AE70" s="139">
        <f t="shared" si="85"/>
        <v>0.28282828282828282</v>
      </c>
      <c r="AF70" s="139">
        <f t="shared" si="85"/>
        <v>0.30199764982373678</v>
      </c>
      <c r="AG70" s="139">
        <f t="shared" si="85"/>
        <v>0.30104712041884818</v>
      </c>
      <c r="AH70" s="139">
        <f t="shared" ref="AH70:AJ70" si="86">-AH65/AH75</f>
        <v>0.28976572133168926</v>
      </c>
      <c r="AI70" s="139">
        <f t="shared" si="86"/>
        <v>0.30620689655172412</v>
      </c>
      <c r="AJ70" s="190">
        <f t="shared" si="86"/>
        <v>0.3</v>
      </c>
      <c r="AK70" s="190">
        <f t="shared" ref="AK70" si="87">-AK65/AK75</f>
        <v>0.3</v>
      </c>
    </row>
    <row r="71" spans="1:37">
      <c r="B71" s="46"/>
      <c r="C71" s="46"/>
      <c r="D71" s="46"/>
      <c r="E71" s="46"/>
      <c r="F71" s="46"/>
      <c r="G71" s="46"/>
      <c r="H71" s="46"/>
      <c r="I71" s="46"/>
      <c r="J71" s="46"/>
      <c r="K71" s="46"/>
      <c r="L71" s="163"/>
      <c r="M71" s="163"/>
      <c r="N71" s="163"/>
      <c r="O71" s="163"/>
      <c r="P71" s="163"/>
      <c r="Q71" s="46"/>
      <c r="R71" s="46"/>
      <c r="S71" s="46"/>
      <c r="T71" s="46"/>
      <c r="U71" s="46"/>
      <c r="V71" s="46"/>
      <c r="W71" s="46"/>
      <c r="X71" s="46"/>
      <c r="Y71" s="46"/>
      <c r="Z71" s="46"/>
      <c r="AA71" s="46"/>
      <c r="AB71" s="46"/>
      <c r="AC71" s="46"/>
      <c r="AD71" s="46"/>
      <c r="AE71" s="46"/>
      <c r="AF71" s="46"/>
      <c r="AG71" s="46"/>
      <c r="AH71" s="46"/>
      <c r="AI71" s="46"/>
      <c r="AJ71" s="163"/>
      <c r="AK71" s="163"/>
    </row>
    <row r="72" spans="1:37">
      <c r="B72" s="37" t="s">
        <v>52</v>
      </c>
      <c r="C72" s="46"/>
      <c r="D72" s="46"/>
      <c r="E72" s="46"/>
      <c r="F72" s="46"/>
      <c r="G72" s="46"/>
      <c r="H72" s="46"/>
      <c r="I72" s="46"/>
      <c r="J72" s="46"/>
      <c r="K72" s="46"/>
      <c r="L72" s="163"/>
      <c r="M72" s="163"/>
      <c r="N72" s="163"/>
      <c r="O72" s="163"/>
      <c r="P72" s="163"/>
      <c r="Q72" s="46"/>
      <c r="R72" s="46"/>
      <c r="S72" s="46"/>
      <c r="T72" s="46"/>
      <c r="U72" s="46"/>
      <c r="V72" s="46"/>
      <c r="W72" s="46"/>
      <c r="X72" s="46"/>
      <c r="Y72" s="46"/>
      <c r="Z72" s="46"/>
      <c r="AA72" s="46"/>
      <c r="AB72" s="46"/>
      <c r="AC72" s="46"/>
      <c r="AD72" s="46"/>
      <c r="AE72" s="46"/>
      <c r="AF72" s="46"/>
      <c r="AG72" s="46"/>
      <c r="AH72" s="46"/>
      <c r="AI72" s="46"/>
      <c r="AJ72" s="163"/>
      <c r="AK72" s="163"/>
    </row>
    <row r="73" spans="1:37">
      <c r="B73" s="37" t="s">
        <v>169</v>
      </c>
      <c r="C73" s="92"/>
      <c r="D73" s="92">
        <f t="shared" ref="D73:P73" si="88">D42</f>
        <v>1394.9</v>
      </c>
      <c r="E73" s="92">
        <f t="shared" si="88"/>
        <v>1283.5</v>
      </c>
      <c r="F73" s="92">
        <f t="shared" si="88"/>
        <v>1319</v>
      </c>
      <c r="G73" s="92">
        <f t="shared" si="88"/>
        <v>1446</v>
      </c>
      <c r="H73" s="92">
        <f t="shared" si="88"/>
        <v>1467</v>
      </c>
      <c r="I73" s="92">
        <f t="shared" si="88"/>
        <v>1465</v>
      </c>
      <c r="J73" s="92">
        <f t="shared" si="88"/>
        <v>1615</v>
      </c>
      <c r="K73" s="92">
        <f t="shared" si="88"/>
        <v>1571</v>
      </c>
      <c r="L73" s="185">
        <f t="shared" si="88"/>
        <v>1855.4840230570221</v>
      </c>
      <c r="M73" s="185">
        <f t="shared" si="88"/>
        <v>2045.5591919343176</v>
      </c>
      <c r="N73" s="185">
        <f t="shared" si="88"/>
        <v>2186.6166110924696</v>
      </c>
      <c r="O73" s="185">
        <f t="shared" si="88"/>
        <v>2293.0942118600015</v>
      </c>
      <c r="P73" s="185">
        <f t="shared" si="88"/>
        <v>2401.5356939200251</v>
      </c>
      <c r="Q73" s="92"/>
      <c r="R73" s="92"/>
      <c r="S73" s="92"/>
      <c r="T73" s="92">
        <f t="shared" ref="T73:AJ73" si="89">T42</f>
        <v>779</v>
      </c>
      <c r="U73" s="92">
        <f t="shared" si="89"/>
        <v>615.9</v>
      </c>
      <c r="V73" s="92">
        <f t="shared" si="89"/>
        <v>715</v>
      </c>
      <c r="W73" s="92">
        <f t="shared" si="89"/>
        <v>568.5</v>
      </c>
      <c r="X73" s="92">
        <f t="shared" si="89"/>
        <v>690</v>
      </c>
      <c r="Y73" s="92">
        <f t="shared" si="89"/>
        <v>629</v>
      </c>
      <c r="Z73" s="92">
        <f t="shared" si="89"/>
        <v>801</v>
      </c>
      <c r="AA73" s="92">
        <f t="shared" si="89"/>
        <v>645</v>
      </c>
      <c r="AB73" s="92">
        <f t="shared" si="89"/>
        <v>783</v>
      </c>
      <c r="AC73" s="92">
        <f t="shared" si="89"/>
        <v>684</v>
      </c>
      <c r="AD73" s="92">
        <f t="shared" si="89"/>
        <v>871</v>
      </c>
      <c r="AE73" s="92">
        <f t="shared" si="89"/>
        <v>594</v>
      </c>
      <c r="AF73" s="92">
        <f t="shared" si="89"/>
        <v>851</v>
      </c>
      <c r="AG73" s="92">
        <f t="shared" si="89"/>
        <v>764</v>
      </c>
      <c r="AH73" s="92">
        <f t="shared" si="89"/>
        <v>846</v>
      </c>
      <c r="AI73" s="92">
        <f t="shared" si="89"/>
        <v>725</v>
      </c>
      <c r="AJ73" s="185">
        <f t="shared" si="89"/>
        <v>971.64569720070062</v>
      </c>
      <c r="AK73" s="184">
        <f t="shared" ref="AK73:AK75" si="90">L73-AJ73</f>
        <v>883.83832585632149</v>
      </c>
    </row>
    <row r="74" spans="1:37">
      <c r="B74" s="46" t="s">
        <v>49</v>
      </c>
      <c r="C74" s="94"/>
      <c r="D74" s="94">
        <f t="shared" ref="D74:K74" si="91">D75-D73</f>
        <v>84.399999999999864</v>
      </c>
      <c r="E74" s="94">
        <f t="shared" si="91"/>
        <v>141.5</v>
      </c>
      <c r="F74" s="94">
        <f t="shared" si="91"/>
        <v>0</v>
      </c>
      <c r="G74" s="94">
        <f t="shared" si="91"/>
        <v>0</v>
      </c>
      <c r="H74" s="94">
        <f t="shared" si="91"/>
        <v>0</v>
      </c>
      <c r="I74" s="94">
        <f t="shared" si="91"/>
        <v>0</v>
      </c>
      <c r="J74" s="94">
        <f t="shared" si="91"/>
        <v>0</v>
      </c>
      <c r="K74" s="94">
        <f t="shared" si="91"/>
        <v>-35</v>
      </c>
      <c r="L74" s="176">
        <f>L34</f>
        <v>0</v>
      </c>
      <c r="M74" s="176">
        <f>M34</f>
        <v>0</v>
      </c>
      <c r="N74" s="176">
        <f>N34</f>
        <v>0</v>
      </c>
      <c r="O74" s="176">
        <f>O34</f>
        <v>0</v>
      </c>
      <c r="P74" s="176">
        <f>P34</f>
        <v>0</v>
      </c>
      <c r="Q74" s="94"/>
      <c r="R74" s="94"/>
      <c r="S74" s="94"/>
      <c r="T74" s="94">
        <f t="shared" ref="T74:AG74" si="92">T75-T73</f>
        <v>0</v>
      </c>
      <c r="U74" s="94">
        <f t="shared" si="92"/>
        <v>84.399999999999977</v>
      </c>
      <c r="V74" s="94">
        <f t="shared" si="92"/>
        <v>11</v>
      </c>
      <c r="W74" s="94">
        <f t="shared" si="92"/>
        <v>130.5</v>
      </c>
      <c r="X74" s="94">
        <f t="shared" si="92"/>
        <v>0</v>
      </c>
      <c r="Y74" s="94">
        <f t="shared" si="92"/>
        <v>0</v>
      </c>
      <c r="Z74" s="94">
        <f t="shared" si="92"/>
        <v>0</v>
      </c>
      <c r="AA74" s="94">
        <f t="shared" si="92"/>
        <v>0</v>
      </c>
      <c r="AB74" s="94">
        <f t="shared" si="92"/>
        <v>0</v>
      </c>
      <c r="AC74" s="94">
        <f>H74-AB74</f>
        <v>0</v>
      </c>
      <c r="AD74" s="94">
        <f t="shared" si="92"/>
        <v>0</v>
      </c>
      <c r="AE74" s="94">
        <f t="shared" si="92"/>
        <v>0</v>
      </c>
      <c r="AF74" s="94">
        <f t="shared" si="92"/>
        <v>0</v>
      </c>
      <c r="AG74" s="94">
        <f t="shared" si="92"/>
        <v>0</v>
      </c>
      <c r="AH74" s="94">
        <f>AH75-AH73</f>
        <v>-35</v>
      </c>
      <c r="AI74" s="94">
        <f t="shared" ref="AI74" si="93">AI75-AI73</f>
        <v>0</v>
      </c>
      <c r="AJ74" s="176">
        <f>AJ34</f>
        <v>0</v>
      </c>
      <c r="AK74" s="184">
        <f t="shared" si="90"/>
        <v>0</v>
      </c>
    </row>
    <row r="75" spans="1:37" s="6" customFormat="1">
      <c r="A75" s="36"/>
      <c r="B75" s="37" t="s">
        <v>53</v>
      </c>
      <c r="C75" s="108"/>
      <c r="D75" s="108">
        <v>1479.3</v>
      </c>
      <c r="E75" s="108">
        <v>1425</v>
      </c>
      <c r="F75" s="108">
        <v>1319</v>
      </c>
      <c r="G75" s="108">
        <v>1446</v>
      </c>
      <c r="H75" s="108">
        <v>1467</v>
      </c>
      <c r="I75" s="108">
        <v>1465</v>
      </c>
      <c r="J75" s="108">
        <v>1615</v>
      </c>
      <c r="K75" s="108">
        <v>1536</v>
      </c>
      <c r="L75" s="194">
        <f>L73+L74</f>
        <v>1855.4840230570221</v>
      </c>
      <c r="M75" s="194">
        <f t="shared" ref="M75:P75" si="94">M73+M74</f>
        <v>2045.5591919343176</v>
      </c>
      <c r="N75" s="194">
        <f t="shared" si="94"/>
        <v>2186.6166110924696</v>
      </c>
      <c r="O75" s="194">
        <f t="shared" si="94"/>
        <v>2293.0942118600015</v>
      </c>
      <c r="P75" s="194">
        <f t="shared" si="94"/>
        <v>2401.5356939200251</v>
      </c>
      <c r="Q75" s="137"/>
      <c r="R75" s="137"/>
      <c r="S75" s="37"/>
      <c r="T75" s="137">
        <v>779</v>
      </c>
      <c r="U75" s="140">
        <f>D75-T75</f>
        <v>700.3</v>
      </c>
      <c r="V75" s="137">
        <v>726</v>
      </c>
      <c r="W75" s="92">
        <f>E75-V75</f>
        <v>699</v>
      </c>
      <c r="X75" s="108">
        <v>690</v>
      </c>
      <c r="Y75" s="92">
        <f>F75-X75</f>
        <v>629</v>
      </c>
      <c r="Z75" s="108">
        <v>801</v>
      </c>
      <c r="AA75" s="92">
        <f>G75-Z75</f>
        <v>645</v>
      </c>
      <c r="AB75" s="108">
        <v>783</v>
      </c>
      <c r="AC75" s="92">
        <f>H75-AB75</f>
        <v>684</v>
      </c>
      <c r="AD75" s="108">
        <v>871</v>
      </c>
      <c r="AE75" s="92">
        <f>I75-AD75</f>
        <v>594</v>
      </c>
      <c r="AF75" s="108">
        <v>851</v>
      </c>
      <c r="AG75" s="92">
        <f>J75-AF75</f>
        <v>764</v>
      </c>
      <c r="AH75" s="108">
        <v>811</v>
      </c>
      <c r="AI75" s="92">
        <f>K75-AH75</f>
        <v>725</v>
      </c>
      <c r="AJ75" s="194">
        <f>AJ73+AJ74</f>
        <v>971.64569720070062</v>
      </c>
      <c r="AK75" s="184">
        <f t="shared" si="90"/>
        <v>883.83832585632149</v>
      </c>
    </row>
    <row r="76" spans="1:37">
      <c r="B76" s="46"/>
      <c r="C76" s="46"/>
      <c r="D76" s="46"/>
      <c r="E76" s="46"/>
      <c r="F76" s="46"/>
      <c r="G76" s="46"/>
      <c r="H76" s="46"/>
      <c r="I76" s="46"/>
      <c r="J76" s="46"/>
      <c r="K76" s="46"/>
      <c r="L76" s="163"/>
      <c r="M76" s="163"/>
      <c r="N76" s="163"/>
      <c r="O76" s="163"/>
      <c r="P76" s="163"/>
      <c r="Q76" s="46"/>
      <c r="R76" s="46"/>
      <c r="S76" s="46"/>
      <c r="T76" s="46"/>
      <c r="U76" s="46"/>
      <c r="V76" s="46"/>
      <c r="W76" s="46"/>
      <c r="X76" s="46"/>
      <c r="Y76" s="46"/>
      <c r="Z76" s="46"/>
      <c r="AA76" s="46"/>
      <c r="AB76" s="46"/>
      <c r="AC76" s="46"/>
      <c r="AD76" s="46"/>
      <c r="AE76" s="46"/>
      <c r="AF76" s="46"/>
      <c r="AG76" s="46"/>
      <c r="AH76" s="46"/>
      <c r="AI76" s="46"/>
      <c r="AJ76" s="163"/>
      <c r="AK76" s="163"/>
    </row>
    <row r="77" spans="1:37">
      <c r="A77" s="36" t="s">
        <v>387</v>
      </c>
      <c r="B77" s="37" t="s">
        <v>193</v>
      </c>
      <c r="C77" s="227">
        <v>1333.9294117647062</v>
      </c>
      <c r="D77" s="227">
        <v>1334</v>
      </c>
      <c r="E77" s="219">
        <v>1334</v>
      </c>
      <c r="F77" s="219">
        <v>1334</v>
      </c>
      <c r="G77" s="219">
        <v>1334</v>
      </c>
      <c r="H77" s="219">
        <v>1330</v>
      </c>
      <c r="I77" s="219">
        <v>1334</v>
      </c>
      <c r="J77" s="219">
        <v>1339.419406</v>
      </c>
      <c r="K77" s="219">
        <v>1341.3054770000001</v>
      </c>
      <c r="L77" s="201">
        <f t="shared" ref="L77:L78" si="95">K77+(K77-J77)</f>
        <v>1343.1915480000002</v>
      </c>
      <c r="M77" s="201">
        <f t="shared" ref="M77:M78" si="96">L77+(L77-K77)</f>
        <v>1345.0776190000004</v>
      </c>
      <c r="N77" s="201">
        <f t="shared" ref="N77:N78" si="97">M77+(M77-L77)</f>
        <v>1346.9636900000005</v>
      </c>
      <c r="O77" s="201">
        <f t="shared" ref="O77:O78" si="98">N77+(N77-M77)</f>
        <v>1348.8497610000006</v>
      </c>
      <c r="P77" s="201">
        <f t="shared" ref="P77:P78" si="99">O77+(O77-N77)</f>
        <v>1350.7358320000008</v>
      </c>
      <c r="Q77" s="85"/>
      <c r="R77" s="85"/>
      <c r="S77" s="86"/>
      <c r="T77" s="85">
        <f>C77</f>
        <v>1333.9294117647062</v>
      </c>
      <c r="U77" s="86">
        <f>D77</f>
        <v>1334</v>
      </c>
      <c r="V77" s="266">
        <f>D77</f>
        <v>1334</v>
      </c>
      <c r="W77" s="86">
        <f>E77</f>
        <v>1334</v>
      </c>
      <c r="X77" s="90">
        <f>E77</f>
        <v>1334</v>
      </c>
      <c r="Y77" s="86">
        <f>F77</f>
        <v>1334</v>
      </c>
      <c r="Z77" s="90">
        <f>F77</f>
        <v>1334</v>
      </c>
      <c r="AA77" s="86">
        <f>G77</f>
        <v>1334</v>
      </c>
      <c r="AB77" s="90">
        <f>G77</f>
        <v>1334</v>
      </c>
      <c r="AC77" s="86">
        <f>H77</f>
        <v>1330</v>
      </c>
      <c r="AD77" s="90">
        <f>H77</f>
        <v>1330</v>
      </c>
      <c r="AE77" s="86">
        <f>I77</f>
        <v>1334</v>
      </c>
      <c r="AF77" s="90">
        <f>I77</f>
        <v>1334</v>
      </c>
      <c r="AG77" s="86">
        <f>J77</f>
        <v>1339.419406</v>
      </c>
      <c r="AH77" s="90">
        <f>J77</f>
        <v>1339.419406</v>
      </c>
      <c r="AI77" s="86">
        <f>K77</f>
        <v>1341.3054770000001</v>
      </c>
      <c r="AJ77" s="201">
        <f>AVERAGE(K77:L77)</f>
        <v>1342.2485125000003</v>
      </c>
      <c r="AK77" s="202">
        <f>L77</f>
        <v>1343.1915480000002</v>
      </c>
    </row>
    <row r="78" spans="1:37">
      <c r="B78" s="46" t="s">
        <v>180</v>
      </c>
      <c r="C78" s="87"/>
      <c r="D78" s="89">
        <v>1334</v>
      </c>
      <c r="E78" s="89">
        <v>1334</v>
      </c>
      <c r="F78" s="89">
        <v>1334</v>
      </c>
      <c r="G78" s="108">
        <v>1334</v>
      </c>
      <c r="H78" s="108">
        <v>1330</v>
      </c>
      <c r="I78" s="108">
        <v>1334</v>
      </c>
      <c r="J78" s="108">
        <v>1334</v>
      </c>
      <c r="K78" s="108">
        <v>1336</v>
      </c>
      <c r="L78" s="186">
        <f t="shared" si="95"/>
        <v>1338</v>
      </c>
      <c r="M78" s="186">
        <f t="shared" si="96"/>
        <v>1340</v>
      </c>
      <c r="N78" s="186">
        <f t="shared" si="97"/>
        <v>1342</v>
      </c>
      <c r="O78" s="186">
        <f t="shared" si="98"/>
        <v>1344</v>
      </c>
      <c r="P78" s="186">
        <f t="shared" si="99"/>
        <v>1346</v>
      </c>
      <c r="Q78" s="87"/>
      <c r="R78" s="87"/>
      <c r="S78" s="88"/>
      <c r="T78" s="89">
        <v>1334</v>
      </c>
      <c r="U78" s="88">
        <f>D78</f>
        <v>1334</v>
      </c>
      <c r="V78" s="89">
        <v>1334</v>
      </c>
      <c r="W78" s="88">
        <f>E78</f>
        <v>1334</v>
      </c>
      <c r="X78" s="89">
        <v>1334</v>
      </c>
      <c r="Y78" s="88">
        <f>F78</f>
        <v>1334</v>
      </c>
      <c r="Z78" s="89">
        <v>1334</v>
      </c>
      <c r="AA78" s="88">
        <f>G78</f>
        <v>1334</v>
      </c>
      <c r="AB78" s="89">
        <v>1335</v>
      </c>
      <c r="AC78" s="88">
        <f>H78</f>
        <v>1330</v>
      </c>
      <c r="AD78" s="89">
        <v>1332</v>
      </c>
      <c r="AE78" s="88">
        <f t="shared" ref="AE78:AE79" si="100">I78</f>
        <v>1334</v>
      </c>
      <c r="AF78" s="89">
        <v>1334</v>
      </c>
      <c r="AG78" s="88">
        <f t="shared" ref="AG78:AG79" si="101">J78</f>
        <v>1334</v>
      </c>
      <c r="AH78" s="89">
        <v>1336</v>
      </c>
      <c r="AI78" s="88">
        <f t="shared" ref="AI78:AI79" si="102">K78</f>
        <v>1336</v>
      </c>
      <c r="AJ78" s="201">
        <f t="shared" ref="AJ78:AJ79" si="103">AVERAGE(K78:L78)</f>
        <v>1337</v>
      </c>
      <c r="AK78" s="202">
        <f t="shared" ref="AK78:AK79" si="104">L78</f>
        <v>1338</v>
      </c>
    </row>
    <row r="79" spans="1:37">
      <c r="B79" s="46" t="s">
        <v>181</v>
      </c>
      <c r="C79" s="87"/>
      <c r="D79" s="89">
        <v>1333.9</v>
      </c>
      <c r="E79" s="89">
        <v>1334</v>
      </c>
      <c r="F79" s="89">
        <v>1334</v>
      </c>
      <c r="G79" s="99">
        <v>1335</v>
      </c>
      <c r="H79" s="99">
        <v>1331</v>
      </c>
      <c r="I79" s="99">
        <v>1338</v>
      </c>
      <c r="J79" s="99">
        <v>1338</v>
      </c>
      <c r="K79" s="99">
        <v>1340</v>
      </c>
      <c r="L79" s="186">
        <f>K79+(K79-J79)</f>
        <v>1342</v>
      </c>
      <c r="M79" s="186">
        <f t="shared" ref="M79:P79" si="105">L79+(L79-K79)</f>
        <v>1344</v>
      </c>
      <c r="N79" s="186">
        <f t="shared" si="105"/>
        <v>1346</v>
      </c>
      <c r="O79" s="186">
        <f t="shared" si="105"/>
        <v>1348</v>
      </c>
      <c r="P79" s="186">
        <f t="shared" si="105"/>
        <v>1350</v>
      </c>
      <c r="Q79" s="87"/>
      <c r="R79" s="87"/>
      <c r="S79" s="88"/>
      <c r="T79" s="87">
        <v>1334</v>
      </c>
      <c r="U79" s="88">
        <f>D79</f>
        <v>1333.9</v>
      </c>
      <c r="V79" s="89">
        <v>1334</v>
      </c>
      <c r="W79" s="88">
        <f>E79</f>
        <v>1334</v>
      </c>
      <c r="X79" s="89">
        <v>1334</v>
      </c>
      <c r="Y79" s="88">
        <f>F79</f>
        <v>1334</v>
      </c>
      <c r="Z79" s="89">
        <v>1334</v>
      </c>
      <c r="AA79" s="88">
        <f>G79</f>
        <v>1335</v>
      </c>
      <c r="AB79" s="89">
        <v>1335</v>
      </c>
      <c r="AC79" s="88">
        <f>H79</f>
        <v>1331</v>
      </c>
      <c r="AD79" s="89">
        <v>1336</v>
      </c>
      <c r="AE79" s="88">
        <f t="shared" si="100"/>
        <v>1338</v>
      </c>
      <c r="AF79" s="89">
        <v>1337</v>
      </c>
      <c r="AG79" s="88">
        <f t="shared" si="101"/>
        <v>1338</v>
      </c>
      <c r="AH79" s="89">
        <v>1339</v>
      </c>
      <c r="AI79" s="88">
        <f t="shared" si="102"/>
        <v>1340</v>
      </c>
      <c r="AJ79" s="201">
        <f t="shared" si="103"/>
        <v>1341</v>
      </c>
      <c r="AK79" s="202">
        <f t="shared" si="104"/>
        <v>1342</v>
      </c>
    </row>
    <row r="80" spans="1:37">
      <c r="B80" s="46"/>
      <c r="C80" s="46"/>
      <c r="D80" s="46"/>
      <c r="E80" s="46"/>
      <c r="F80" s="46"/>
      <c r="G80" s="46"/>
      <c r="H80" s="46"/>
      <c r="I80" s="46"/>
      <c r="J80" s="46"/>
      <c r="K80" s="46"/>
      <c r="L80" s="163"/>
      <c r="M80" s="163"/>
      <c r="N80" s="163"/>
      <c r="O80" s="163"/>
      <c r="P80" s="163"/>
      <c r="Q80" s="46"/>
      <c r="R80" s="46"/>
      <c r="S80" s="46"/>
      <c r="T80" s="109"/>
      <c r="U80" s="46"/>
      <c r="V80" s="109"/>
      <c r="W80" s="46"/>
      <c r="X80" s="46"/>
      <c r="Y80" s="46"/>
      <c r="Z80" s="46"/>
      <c r="AA80" s="46"/>
      <c r="AB80" s="46"/>
      <c r="AC80" s="46"/>
      <c r="AD80" s="46"/>
      <c r="AE80" s="46"/>
      <c r="AF80" s="46"/>
      <c r="AG80" s="46"/>
      <c r="AH80" s="46"/>
      <c r="AI80" s="46"/>
      <c r="AJ80" s="163"/>
      <c r="AK80" s="163"/>
    </row>
    <row r="81" spans="1:37">
      <c r="B81" s="46" t="s">
        <v>252</v>
      </c>
      <c r="C81" s="110"/>
      <c r="D81" s="110">
        <v>0</v>
      </c>
      <c r="E81" s="110">
        <v>0.36</v>
      </c>
      <c r="F81" s="110">
        <v>0.56999999999999995</v>
      </c>
      <c r="G81" s="110">
        <v>0.61</v>
      </c>
      <c r="H81" s="110">
        <v>0.63</v>
      </c>
      <c r="I81" s="110">
        <v>0.66</v>
      </c>
      <c r="J81" s="110">
        <v>0.68</v>
      </c>
      <c r="K81" s="110">
        <v>0.69</v>
      </c>
      <c r="L81" s="191">
        <f>L84*L59</f>
        <v>0.82266243943288242</v>
      </c>
      <c r="M81" s="191">
        <f>M84*M59</f>
        <v>0.90558610059592193</v>
      </c>
      <c r="N81" s="191">
        <f>N84*N59</f>
        <v>0.96659501010402638</v>
      </c>
      <c r="O81" s="191">
        <f>O84*O59</f>
        <v>1.0121595371340513</v>
      </c>
      <c r="P81" s="191">
        <f>P84*P59</f>
        <v>1.0584546206536407</v>
      </c>
      <c r="Q81" s="110"/>
      <c r="R81" s="110"/>
      <c r="S81" s="152"/>
      <c r="T81" s="110">
        <v>0</v>
      </c>
      <c r="U81" s="152">
        <f>D81-T81</f>
        <v>0</v>
      </c>
      <c r="V81" s="110">
        <v>0</v>
      </c>
      <c r="W81" s="152">
        <f>E81-V81</f>
        <v>0.36</v>
      </c>
      <c r="X81" s="110">
        <v>0.3</v>
      </c>
      <c r="Y81" s="152">
        <f>F81-X81</f>
        <v>0.26999999999999996</v>
      </c>
      <c r="Z81" s="110">
        <v>0.33</v>
      </c>
      <c r="AA81" s="152">
        <f>G81-Z81</f>
        <v>0.27999999999999997</v>
      </c>
      <c r="AB81" s="110">
        <v>0.33</v>
      </c>
      <c r="AC81" s="152">
        <f>H81-AB81</f>
        <v>0.3</v>
      </c>
      <c r="AD81" s="110">
        <v>0.36</v>
      </c>
      <c r="AE81" s="152">
        <f>I81-AD81</f>
        <v>0.30000000000000004</v>
      </c>
      <c r="AF81" s="110">
        <v>0.36</v>
      </c>
      <c r="AG81" s="152">
        <f>J81-AF81</f>
        <v>0.32000000000000006</v>
      </c>
      <c r="AH81" s="110">
        <v>0.37</v>
      </c>
      <c r="AI81" s="152">
        <f>K81-AH81</f>
        <v>0.31999999999999995</v>
      </c>
      <c r="AJ81" s="191">
        <f>AJ84*AJ59</f>
        <v>0.41762071961820746</v>
      </c>
      <c r="AK81" s="191">
        <f>L81-AJ81</f>
        <v>0.40504171981467496</v>
      </c>
    </row>
    <row r="82" spans="1:37">
      <c r="B82" s="46" t="s">
        <v>253</v>
      </c>
      <c r="C82" s="110"/>
      <c r="D82" s="110">
        <v>0</v>
      </c>
      <c r="E82" s="110">
        <v>0.115</v>
      </c>
      <c r="F82" s="110">
        <v>0</v>
      </c>
      <c r="G82" s="110">
        <v>0</v>
      </c>
      <c r="H82" s="110">
        <v>0</v>
      </c>
      <c r="I82" s="110">
        <v>0</v>
      </c>
      <c r="J82" s="110">
        <v>0</v>
      </c>
      <c r="K82" s="110">
        <v>0</v>
      </c>
      <c r="L82" s="203">
        <v>0</v>
      </c>
      <c r="M82" s="203">
        <v>0</v>
      </c>
      <c r="N82" s="203">
        <v>0</v>
      </c>
      <c r="O82" s="203">
        <v>0</v>
      </c>
      <c r="P82" s="203">
        <v>0</v>
      </c>
      <c r="Q82" s="110"/>
      <c r="R82" s="110"/>
      <c r="S82" s="152"/>
      <c r="T82" s="110">
        <v>0</v>
      </c>
      <c r="U82" s="152">
        <f>D82-T82</f>
        <v>0</v>
      </c>
      <c r="V82" s="110">
        <v>0</v>
      </c>
      <c r="W82" s="152">
        <f>E82-V82</f>
        <v>0.115</v>
      </c>
      <c r="X82" s="110">
        <v>0</v>
      </c>
      <c r="Y82" s="152">
        <f>F82-X82</f>
        <v>0</v>
      </c>
      <c r="Z82" s="110">
        <v>0</v>
      </c>
      <c r="AA82" s="152">
        <f>G82-Z82</f>
        <v>0</v>
      </c>
      <c r="AB82" s="110">
        <v>0</v>
      </c>
      <c r="AC82" s="152">
        <f>H82-AB82</f>
        <v>0</v>
      </c>
      <c r="AD82" s="110">
        <v>0</v>
      </c>
      <c r="AE82" s="152">
        <f>I82-AD82</f>
        <v>0</v>
      </c>
      <c r="AF82" s="110">
        <v>0</v>
      </c>
      <c r="AG82" s="152">
        <f>J82-AF82</f>
        <v>0</v>
      </c>
      <c r="AH82" s="110">
        <v>0</v>
      </c>
      <c r="AI82" s="152">
        <f>K82-AH82</f>
        <v>0</v>
      </c>
      <c r="AJ82" s="183">
        <v>0</v>
      </c>
      <c r="AK82" s="191">
        <f t="shared" ref="AK82:AK83" si="106">L82-AJ82</f>
        <v>0</v>
      </c>
    </row>
    <row r="83" spans="1:37">
      <c r="A83" s="36" t="s">
        <v>133</v>
      </c>
      <c r="B83" s="46" t="s">
        <v>254</v>
      </c>
      <c r="C83" s="152"/>
      <c r="D83" s="152">
        <f t="shared" ref="D83:K83" si="107">SUM(D81:D82)</f>
        <v>0</v>
      </c>
      <c r="E83" s="152">
        <f t="shared" si="107"/>
        <v>0.47499999999999998</v>
      </c>
      <c r="F83" s="152">
        <f t="shared" si="107"/>
        <v>0.56999999999999995</v>
      </c>
      <c r="G83" s="152">
        <f t="shared" si="107"/>
        <v>0.61</v>
      </c>
      <c r="H83" s="152">
        <f t="shared" si="107"/>
        <v>0.63</v>
      </c>
      <c r="I83" s="152">
        <f t="shared" si="107"/>
        <v>0.66</v>
      </c>
      <c r="J83" s="152">
        <f t="shared" si="107"/>
        <v>0.68</v>
      </c>
      <c r="K83" s="152">
        <f t="shared" si="107"/>
        <v>0.69</v>
      </c>
      <c r="L83" s="191">
        <f t="shared" ref="L83:P83" si="108">SUM(L81:L82)</f>
        <v>0.82266243943288242</v>
      </c>
      <c r="M83" s="191">
        <f t="shared" si="108"/>
        <v>0.90558610059592193</v>
      </c>
      <c r="N83" s="191">
        <f t="shared" si="108"/>
        <v>0.96659501010402638</v>
      </c>
      <c r="O83" s="191">
        <f t="shared" si="108"/>
        <v>1.0121595371340513</v>
      </c>
      <c r="P83" s="191">
        <f t="shared" si="108"/>
        <v>1.0584546206536407</v>
      </c>
      <c r="Q83" s="152"/>
      <c r="R83" s="152"/>
      <c r="S83" s="152"/>
      <c r="T83" s="152">
        <f t="shared" ref="T83:AH83" si="109">SUM(T81:T82)</f>
        <v>0</v>
      </c>
      <c r="U83" s="152">
        <f>D83-T83</f>
        <v>0</v>
      </c>
      <c r="V83" s="152">
        <f t="shared" si="109"/>
        <v>0</v>
      </c>
      <c r="W83" s="152">
        <f>E83-V83</f>
        <v>0.47499999999999998</v>
      </c>
      <c r="X83" s="152">
        <f t="shared" si="109"/>
        <v>0.3</v>
      </c>
      <c r="Y83" s="152">
        <f>F83-X83</f>
        <v>0.26999999999999996</v>
      </c>
      <c r="Z83" s="152">
        <f t="shared" si="109"/>
        <v>0.33</v>
      </c>
      <c r="AA83" s="152">
        <f>G83-Z83</f>
        <v>0.27999999999999997</v>
      </c>
      <c r="AB83" s="152">
        <f t="shared" si="109"/>
        <v>0.33</v>
      </c>
      <c r="AC83" s="152">
        <f>H83-AB83</f>
        <v>0.3</v>
      </c>
      <c r="AD83" s="152">
        <f t="shared" si="109"/>
        <v>0.36</v>
      </c>
      <c r="AE83" s="152">
        <f>I83-AD83</f>
        <v>0.30000000000000004</v>
      </c>
      <c r="AF83" s="152">
        <f t="shared" si="109"/>
        <v>0.36</v>
      </c>
      <c r="AG83" s="152">
        <f>J83-AF83</f>
        <v>0.32000000000000006</v>
      </c>
      <c r="AH83" s="152">
        <f t="shared" si="109"/>
        <v>0.37</v>
      </c>
      <c r="AI83" s="152">
        <f>K83-AH83</f>
        <v>0.31999999999999995</v>
      </c>
      <c r="AJ83" s="191">
        <f t="shared" ref="AJ83" si="110">SUM(AJ81:AJ82)</f>
        <v>0.41762071961820746</v>
      </c>
      <c r="AK83" s="191">
        <f t="shared" si="106"/>
        <v>0.40504171981467496</v>
      </c>
    </row>
    <row r="84" spans="1:37">
      <c r="A84" s="36" t="s">
        <v>303</v>
      </c>
      <c r="B84" s="46" t="s">
        <v>202</v>
      </c>
      <c r="C84" s="97"/>
      <c r="D84" s="229">
        <f t="shared" ref="D84:K84" si="111">(D83*D77)/D49</f>
        <v>0</v>
      </c>
      <c r="E84" s="229">
        <f t="shared" si="111"/>
        <v>0.6766150560597971</v>
      </c>
      <c r="F84" s="229">
        <f t="shared" si="111"/>
        <v>0.77748466257668702</v>
      </c>
      <c r="G84" s="229">
        <f t="shared" si="111"/>
        <v>0.80969154228855722</v>
      </c>
      <c r="H84" s="229">
        <f t="shared" si="111"/>
        <v>0.80181818181818176</v>
      </c>
      <c r="I84" s="229">
        <f t="shared" si="111"/>
        <v>0.84495201535508646</v>
      </c>
      <c r="J84" s="229">
        <f t="shared" si="111"/>
        <v>0.80745141496453909</v>
      </c>
      <c r="K84" s="229">
        <f t="shared" si="111"/>
        <v>0.83831592312499992</v>
      </c>
      <c r="L84" s="199">
        <v>0.85</v>
      </c>
      <c r="M84" s="199">
        <v>0.85</v>
      </c>
      <c r="N84" s="199">
        <v>0.85</v>
      </c>
      <c r="O84" s="199">
        <v>0.85</v>
      </c>
      <c r="P84" s="199">
        <v>0.85</v>
      </c>
      <c r="Q84" s="97"/>
      <c r="R84" s="97"/>
      <c r="S84" s="97"/>
      <c r="T84" s="97">
        <f t="shared" ref="T84:AK84" si="112">(T83*T77)/T49</f>
        <v>0</v>
      </c>
      <c r="U84" s="97">
        <f t="shared" si="112"/>
        <v>0</v>
      </c>
      <c r="V84" s="97">
        <f t="shared" si="112"/>
        <v>0</v>
      </c>
      <c r="W84" s="97">
        <f t="shared" si="112"/>
        <v>1.4255343082114735</v>
      </c>
      <c r="X84" s="97">
        <f t="shared" si="112"/>
        <v>0.81840490797546006</v>
      </c>
      <c r="Y84" s="97">
        <f t="shared" si="112"/>
        <v>0.73656441717791399</v>
      </c>
      <c r="Z84" s="97">
        <f t="shared" si="112"/>
        <v>0.78610714285714289</v>
      </c>
      <c r="AA84" s="97">
        <f t="shared" si="112"/>
        <v>0.83937078651685393</v>
      </c>
      <c r="AB84" s="97">
        <f t="shared" si="112"/>
        <v>0.79605786618444851</v>
      </c>
      <c r="AC84" s="97">
        <f t="shared" si="112"/>
        <v>0.81097560975609762</v>
      </c>
      <c r="AD84" s="97">
        <f t="shared" si="112"/>
        <v>0.77727272727272723</v>
      </c>
      <c r="AE84" s="97">
        <f t="shared" si="112"/>
        <v>0.93943661971830994</v>
      </c>
      <c r="AF84" s="97">
        <f t="shared" si="112"/>
        <v>0.80848484848484847</v>
      </c>
      <c r="AG84" s="97">
        <f t="shared" si="112"/>
        <v>0.80264833318352069</v>
      </c>
      <c r="AH84" s="97">
        <f t="shared" si="112"/>
        <v>0.82460096542429284</v>
      </c>
      <c r="AI84" s="97">
        <f t="shared" si="112"/>
        <v>0.85331561161033787</v>
      </c>
      <c r="AJ84" s="199">
        <f>AH84</f>
        <v>0.82460096542429284</v>
      </c>
      <c r="AK84" s="174">
        <f t="shared" si="112"/>
        <v>0.87794122768600513</v>
      </c>
    </row>
    <row r="85" spans="1:37">
      <c r="B85" s="46"/>
      <c r="C85" s="46"/>
      <c r="D85" s="230"/>
      <c r="E85" s="46"/>
      <c r="F85" s="46"/>
      <c r="G85" s="46"/>
      <c r="H85" s="46"/>
      <c r="I85" s="46"/>
      <c r="J85" s="46"/>
      <c r="K85" s="46"/>
      <c r="L85" s="163"/>
      <c r="M85" s="163"/>
      <c r="N85" s="163"/>
      <c r="O85" s="163"/>
      <c r="P85" s="163"/>
      <c r="Q85" s="46"/>
      <c r="R85" s="46"/>
      <c r="S85" s="46"/>
      <c r="T85" s="46"/>
      <c r="U85" s="46"/>
      <c r="V85" s="46"/>
      <c r="W85" s="46"/>
      <c r="X85" s="46"/>
      <c r="Y85" s="46"/>
      <c r="Z85" s="46"/>
      <c r="AA85" s="46"/>
      <c r="AB85" s="46"/>
      <c r="AC85" s="46"/>
      <c r="AD85" s="46"/>
      <c r="AE85" s="46"/>
      <c r="AF85" s="46"/>
      <c r="AG85" s="46"/>
      <c r="AH85" s="46"/>
      <c r="AI85" s="46"/>
      <c r="AJ85" s="163"/>
      <c r="AK85" s="163"/>
    </row>
    <row r="86" spans="1:37">
      <c r="B86" s="29" t="s">
        <v>54</v>
      </c>
      <c r="C86" s="113"/>
      <c r="D86" s="113">
        <v>1</v>
      </c>
      <c r="E86" s="113">
        <v>1</v>
      </c>
      <c r="F86" s="113">
        <v>1</v>
      </c>
      <c r="G86" s="113">
        <v>1</v>
      </c>
      <c r="H86" s="113">
        <v>1</v>
      </c>
      <c r="I86" s="113">
        <v>1</v>
      </c>
      <c r="J86" s="113">
        <v>1</v>
      </c>
      <c r="K86" s="113">
        <v>1</v>
      </c>
      <c r="L86" s="200">
        <f>K86</f>
        <v>1</v>
      </c>
      <c r="M86" s="200">
        <f t="shared" ref="M86:P86" si="113">L86</f>
        <v>1</v>
      </c>
      <c r="N86" s="200">
        <f t="shared" si="113"/>
        <v>1</v>
      </c>
      <c r="O86" s="200">
        <f t="shared" si="113"/>
        <v>1</v>
      </c>
      <c r="P86" s="200">
        <f t="shared" si="113"/>
        <v>1</v>
      </c>
      <c r="Q86" s="113"/>
      <c r="R86" s="112"/>
      <c r="S86" s="112"/>
      <c r="T86" s="113">
        <v>1</v>
      </c>
      <c r="U86" s="113">
        <v>1</v>
      </c>
      <c r="V86" s="113">
        <v>1</v>
      </c>
      <c r="W86" s="114">
        <f>E86</f>
        <v>1</v>
      </c>
      <c r="X86" s="113">
        <v>1</v>
      </c>
      <c r="Y86" s="114">
        <f>F86</f>
        <v>1</v>
      </c>
      <c r="Z86" s="113">
        <v>1</v>
      </c>
      <c r="AA86" s="114">
        <f>G86</f>
        <v>1</v>
      </c>
      <c r="AB86" s="113">
        <v>1</v>
      </c>
      <c r="AC86" s="114">
        <f>H86</f>
        <v>1</v>
      </c>
      <c r="AD86" s="113">
        <v>1</v>
      </c>
      <c r="AE86" s="114">
        <f>I86</f>
        <v>1</v>
      </c>
      <c r="AF86" s="113">
        <v>1</v>
      </c>
      <c r="AG86" s="114">
        <f>J86</f>
        <v>1</v>
      </c>
      <c r="AH86" s="113">
        <v>1</v>
      </c>
      <c r="AI86" s="114">
        <f>K86</f>
        <v>1</v>
      </c>
      <c r="AJ86" s="196"/>
      <c r="AK86" s="196"/>
    </row>
    <row r="87" spans="1:37">
      <c r="B87" s="29" t="s">
        <v>55</v>
      </c>
      <c r="C87" s="113"/>
      <c r="D87" s="113">
        <v>0.3</v>
      </c>
      <c r="E87" s="113">
        <v>0.3</v>
      </c>
      <c r="F87" s="113">
        <v>0.3</v>
      </c>
      <c r="G87" s="113">
        <v>0.3</v>
      </c>
      <c r="H87" s="113">
        <v>0.3</v>
      </c>
      <c r="I87" s="113">
        <v>0.3</v>
      </c>
      <c r="J87" s="113">
        <v>0.3</v>
      </c>
      <c r="K87" s="113">
        <v>0.3</v>
      </c>
      <c r="L87" s="200">
        <f>K87</f>
        <v>0.3</v>
      </c>
      <c r="M87" s="200">
        <f t="shared" ref="M87:P87" si="114">L87</f>
        <v>0.3</v>
      </c>
      <c r="N87" s="200">
        <f t="shared" si="114"/>
        <v>0.3</v>
      </c>
      <c r="O87" s="200">
        <f t="shared" si="114"/>
        <v>0.3</v>
      </c>
      <c r="P87" s="200">
        <f t="shared" si="114"/>
        <v>0.3</v>
      </c>
      <c r="Q87" s="113"/>
      <c r="R87" s="112"/>
      <c r="S87" s="112"/>
      <c r="T87" s="113">
        <v>0.3</v>
      </c>
      <c r="U87" s="113">
        <v>0.3</v>
      </c>
      <c r="V87" s="113">
        <v>0.3</v>
      </c>
      <c r="W87" s="114">
        <f>E87</f>
        <v>0.3</v>
      </c>
      <c r="X87" s="113">
        <v>0.3</v>
      </c>
      <c r="Y87" s="114">
        <f>F87</f>
        <v>0.3</v>
      </c>
      <c r="Z87" s="113">
        <v>0.3</v>
      </c>
      <c r="AA87" s="114">
        <f>G87</f>
        <v>0.3</v>
      </c>
      <c r="AB87" s="113">
        <v>0.3</v>
      </c>
      <c r="AC87" s="114">
        <f>H87</f>
        <v>0.3</v>
      </c>
      <c r="AD87" s="113">
        <v>0.3</v>
      </c>
      <c r="AE87" s="114">
        <f>I87</f>
        <v>0.3</v>
      </c>
      <c r="AF87" s="113">
        <v>0.3</v>
      </c>
      <c r="AG87" s="114">
        <f>J87</f>
        <v>0.3</v>
      </c>
      <c r="AH87" s="113">
        <v>0.3</v>
      </c>
      <c r="AI87" s="114">
        <f>K87</f>
        <v>0.3</v>
      </c>
      <c r="AJ87" s="196"/>
      <c r="AK87" s="196"/>
    </row>
    <row r="88" spans="1:37">
      <c r="B88" s="29" t="s">
        <v>56</v>
      </c>
      <c r="C88" s="87"/>
      <c r="D88" s="32">
        <v>0</v>
      </c>
      <c r="E88" s="30">
        <v>277</v>
      </c>
      <c r="F88" s="30">
        <v>408</v>
      </c>
      <c r="G88" s="30">
        <v>420</v>
      </c>
      <c r="H88" s="30">
        <v>558</v>
      </c>
      <c r="I88" s="30">
        <v>549</v>
      </c>
      <c r="J88" s="30">
        <v>553</v>
      </c>
      <c r="K88" s="30">
        <v>672</v>
      </c>
      <c r="L88" s="192"/>
      <c r="M88" s="192"/>
      <c r="N88" s="192"/>
      <c r="O88" s="192"/>
      <c r="P88" s="192"/>
      <c r="Q88" s="87"/>
      <c r="R88" s="115"/>
      <c r="S88" s="115"/>
      <c r="T88" s="58"/>
      <c r="U88" s="58"/>
      <c r="V88" s="58"/>
      <c r="W88" s="58"/>
      <c r="X88" s="58"/>
      <c r="Y88" s="58"/>
      <c r="Z88" s="116"/>
      <c r="AA88" s="116"/>
      <c r="AB88" s="116"/>
      <c r="AC88" s="116"/>
      <c r="AD88" s="58"/>
      <c r="AE88" s="116"/>
      <c r="AF88" s="58"/>
      <c r="AG88" s="116"/>
      <c r="AH88" s="58"/>
      <c r="AI88" s="116"/>
      <c r="AJ88" s="197"/>
      <c r="AK88" s="197"/>
    </row>
    <row r="90" spans="1:37">
      <c r="L90" s="395">
        <f>L49/L78</f>
        <v>0.97073155167407732</v>
      </c>
      <c r="M90" s="395">
        <f t="shared" ref="M90:O90" si="115">M49/M78</f>
        <v>1.0685756972791212</v>
      </c>
      <c r="N90" s="395">
        <f t="shared" si="115"/>
        <v>1.1405600803015863</v>
      </c>
      <c r="O90" s="395">
        <f t="shared" si="115"/>
        <v>1.1943199020104176</v>
      </c>
    </row>
  </sheetData>
  <pageMargins left="0.7" right="0.7" top="0.75" bottom="0.75" header="0.3" footer="0.3"/>
  <customProperties>
    <customPr name="Qube.Worksheet.Visibility" r:id="rId1"/>
    <customPr name="QXL_SHEET_ID" r:id="rId2"/>
  </customProperties>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9E274-56F1-4A57-B130-8086CFD83C5B}">
  <sheetPr>
    <tabColor theme="7" tint="0.59999389629810485"/>
  </sheetPr>
  <dimension ref="A1:AK81"/>
  <sheetViews>
    <sheetView showGridLines="0" zoomScale="85" zoomScaleNormal="85" workbookViewId="0">
      <pane xSplit="2" ySplit="4" topLeftCell="C5" activePane="bottomRight" state="frozen"/>
      <selection activeCell="R64" sqref="R64"/>
      <selection pane="topRight" activeCell="R64" sqref="R64"/>
      <selection pane="bottomLeft" activeCell="R64" sqref="R64"/>
      <selection pane="bottomRight" activeCell="M54" sqref="M54"/>
    </sheetView>
  </sheetViews>
  <sheetFormatPr defaultRowHeight="15" outlineLevelCol="1"/>
  <cols>
    <col min="1" max="1" width="22" style="36" hidden="1" customWidth="1" outlineLevel="1"/>
    <col min="2" max="2" width="61.140625" customWidth="1" collapsed="1"/>
    <col min="3" max="3" width="9.42578125" style="232" customWidth="1"/>
    <col min="4" max="10" width="9.85546875" style="232" bestFit="1" customWidth="1"/>
    <col min="11" max="16" width="9.140625" style="232"/>
    <col min="17" max="17" width="9.85546875" customWidth="1"/>
    <col min="18" max="18" width="14.5703125" bestFit="1" customWidth="1"/>
    <col min="19" max="19" width="9.140625" customWidth="1"/>
    <col min="20" max="20" width="9.85546875" bestFit="1" customWidth="1"/>
    <col min="21" max="21" width="9.140625" customWidth="1"/>
    <col min="22" max="22" width="9.85546875" bestFit="1" customWidth="1"/>
    <col min="23" max="23" width="9.140625" customWidth="1"/>
    <col min="24" max="24" width="9.85546875" bestFit="1" customWidth="1"/>
    <col min="25" max="25" width="9.140625" customWidth="1"/>
    <col min="26" max="26" width="9.85546875" bestFit="1" customWidth="1"/>
    <col min="27" max="27" width="9.140625" customWidth="1"/>
    <col min="28" max="28" width="9.85546875" bestFit="1" customWidth="1"/>
    <col min="29" max="29" width="9.140625" customWidth="1"/>
    <col min="30" max="30" width="9.85546875" bestFit="1" customWidth="1"/>
    <col min="31" max="31" width="9.140625" customWidth="1"/>
    <col min="32" max="32" width="9.85546875" bestFit="1" customWidth="1"/>
    <col min="33" max="33" width="9.140625" customWidth="1"/>
    <col min="34" max="34" width="9.85546875" bestFit="1" customWidth="1"/>
    <col min="35" max="35" width="9.85546875" customWidth="1"/>
  </cols>
  <sheetData>
    <row r="1" spans="1:37" s="7" customFormat="1" ht="12.75">
      <c r="A1" s="235"/>
      <c r="B1" s="2" t="s">
        <v>306</v>
      </c>
      <c r="C1" s="210"/>
      <c r="D1" s="210"/>
      <c r="E1" s="210"/>
      <c r="F1" s="210"/>
      <c r="G1" s="210"/>
      <c r="H1" s="210"/>
      <c r="I1" s="210"/>
      <c r="J1" s="210"/>
      <c r="K1" s="210"/>
      <c r="L1" s="210"/>
      <c r="M1" s="210"/>
      <c r="N1" s="210"/>
      <c r="O1" s="210"/>
      <c r="P1" s="210"/>
      <c r="Q1" s="164"/>
      <c r="R1" s="164"/>
      <c r="S1" s="164"/>
      <c r="T1" s="164"/>
      <c r="U1" s="164"/>
      <c r="V1" s="164"/>
      <c r="W1" s="164"/>
      <c r="X1" s="164"/>
      <c r="Y1" s="164"/>
      <c r="Z1" s="164"/>
      <c r="AA1" s="164"/>
      <c r="AB1" s="164"/>
      <c r="AC1" s="164"/>
      <c r="AD1" s="164"/>
      <c r="AE1" s="164"/>
      <c r="AF1" s="164"/>
      <c r="AG1" s="164"/>
      <c r="AH1" s="164"/>
      <c r="AI1" s="164"/>
    </row>
    <row r="2" spans="1:37" s="7" customFormat="1" ht="12.75">
      <c r="A2" s="235"/>
      <c r="B2" s="2" t="s">
        <v>47</v>
      </c>
      <c r="C2" s="210"/>
      <c r="D2" s="210"/>
      <c r="E2" s="210"/>
      <c r="F2" s="210"/>
      <c r="G2" s="210"/>
      <c r="H2" s="210"/>
      <c r="I2" s="210"/>
      <c r="J2" s="210"/>
      <c r="K2" s="210"/>
      <c r="L2" s="210"/>
      <c r="M2" s="210"/>
      <c r="N2" s="210"/>
      <c r="O2" s="210"/>
      <c r="P2" s="210"/>
      <c r="Q2" s="164"/>
      <c r="R2" s="164"/>
      <c r="S2" s="164"/>
      <c r="T2" s="164"/>
      <c r="U2" s="164"/>
      <c r="V2" s="164"/>
      <c r="W2" s="164"/>
      <c r="X2" s="164"/>
      <c r="Y2" s="164"/>
      <c r="Z2" s="164"/>
      <c r="AA2" s="164"/>
      <c r="AB2" s="164"/>
      <c r="AC2" s="164"/>
      <c r="AD2" s="164"/>
      <c r="AE2" s="164"/>
      <c r="AF2" s="164"/>
      <c r="AG2" s="164"/>
      <c r="AH2" s="164"/>
      <c r="AI2" s="164"/>
    </row>
    <row r="3" spans="1:37" s="11" customFormat="1" ht="12.75">
      <c r="A3" s="236"/>
      <c r="B3" s="25"/>
      <c r="C3" s="25" t="str">
        <f>Model!C3</f>
        <v>FY17</v>
      </c>
      <c r="D3" s="25" t="str">
        <f>Model!D3</f>
        <v>FY18</v>
      </c>
      <c r="E3" s="25" t="str">
        <f>Model!E3</f>
        <v>FY19</v>
      </c>
      <c r="F3" s="25" t="str">
        <f>Model!F3</f>
        <v>FY20</v>
      </c>
      <c r="G3" s="25" t="str">
        <f>Model!G3</f>
        <v>FY21</v>
      </c>
      <c r="H3" s="25" t="str">
        <f>Model!H3</f>
        <v>FY22</v>
      </c>
      <c r="I3" s="25" t="str">
        <f>Model!I3</f>
        <v>FY23</v>
      </c>
      <c r="J3" s="25" t="str">
        <f>Model!J3</f>
        <v>FY24</v>
      </c>
      <c r="K3" s="25" t="str">
        <f>Model!K3</f>
        <v>FY25</v>
      </c>
      <c r="L3" s="25" t="s">
        <v>29</v>
      </c>
      <c r="M3" s="25" t="s">
        <v>30</v>
      </c>
      <c r="N3" s="25" t="s">
        <v>215</v>
      </c>
      <c r="O3" s="25" t="s">
        <v>262</v>
      </c>
      <c r="P3" s="25" t="s">
        <v>263</v>
      </c>
      <c r="Q3" s="25"/>
      <c r="R3" s="25" t="str">
        <f>Model!S3</f>
        <v>1H17</v>
      </c>
      <c r="S3" s="25" t="str">
        <f>Model!T3</f>
        <v>2H17</v>
      </c>
      <c r="T3" s="25" t="str">
        <f>Model!U3</f>
        <v>1H18</v>
      </c>
      <c r="U3" s="25" t="str">
        <f>Model!V3</f>
        <v>2H18</v>
      </c>
      <c r="V3" s="25" t="str">
        <f>Model!W3</f>
        <v>1H19</v>
      </c>
      <c r="W3" s="25" t="str">
        <f>Model!X3</f>
        <v>2H19</v>
      </c>
      <c r="X3" s="25" t="str">
        <f>Model!Y3</f>
        <v>1H20</v>
      </c>
      <c r="Y3" s="25" t="str">
        <f>Model!Z3</f>
        <v>2H20</v>
      </c>
      <c r="Z3" s="25" t="str">
        <f>Model!AA3</f>
        <v>1H21</v>
      </c>
      <c r="AA3" s="25" t="str">
        <f>Model!AB3</f>
        <v>2H21</v>
      </c>
      <c r="AB3" s="25" t="str">
        <f>Model!AC3</f>
        <v>1H22</v>
      </c>
      <c r="AC3" s="25" t="str">
        <f>Model!AD3</f>
        <v>2H22</v>
      </c>
      <c r="AD3" s="25" t="str">
        <f>Model!AE3</f>
        <v>1H23</v>
      </c>
      <c r="AE3" s="25" t="str">
        <f>Model!AF3</f>
        <v>2H23</v>
      </c>
      <c r="AF3" s="25" t="str">
        <f>Model!AG3</f>
        <v>1H24</v>
      </c>
      <c r="AG3" s="25" t="str">
        <f>Model!AH3</f>
        <v>2H24</v>
      </c>
      <c r="AH3" s="25" t="str">
        <f>Model!AI3</f>
        <v>1H25</v>
      </c>
      <c r="AI3" s="25" t="str">
        <f>Model!AJ3</f>
        <v>2H25</v>
      </c>
    </row>
    <row r="4" spans="1:37" s="7" customFormat="1" ht="12.75">
      <c r="A4" s="235"/>
      <c r="B4" s="1" t="s">
        <v>57</v>
      </c>
      <c r="C4" s="210"/>
      <c r="D4" s="210"/>
      <c r="E4" s="210"/>
      <c r="F4" s="210"/>
      <c r="G4" s="210"/>
      <c r="H4" s="210"/>
      <c r="I4" s="210"/>
      <c r="J4" s="210"/>
      <c r="K4" s="210"/>
      <c r="L4" s="210"/>
      <c r="M4" s="210"/>
      <c r="N4" s="210"/>
      <c r="O4" s="210"/>
      <c r="P4" s="210"/>
      <c r="Q4" s="164"/>
      <c r="R4" s="164"/>
      <c r="S4" s="164"/>
      <c r="T4" s="164"/>
      <c r="U4" s="164"/>
      <c r="V4" s="164"/>
      <c r="W4" s="164"/>
      <c r="X4" s="164"/>
      <c r="Y4" s="164"/>
      <c r="Z4" s="164"/>
      <c r="AA4" s="164"/>
      <c r="AB4" s="164"/>
      <c r="AC4" s="164"/>
      <c r="AD4" s="164"/>
      <c r="AE4" s="164"/>
      <c r="AF4" s="164"/>
      <c r="AG4" s="164"/>
      <c r="AH4" s="164"/>
      <c r="AI4" s="164"/>
    </row>
    <row r="5" spans="1:37">
      <c r="A5" s="237"/>
      <c r="B5" s="238" t="s">
        <v>59</v>
      </c>
      <c r="C5" s="239"/>
      <c r="D5" s="239"/>
      <c r="E5" s="239"/>
      <c r="F5" s="239"/>
      <c r="G5" s="239"/>
      <c r="H5" s="239"/>
      <c r="I5" s="239"/>
      <c r="J5" s="239"/>
      <c r="K5" s="239"/>
      <c r="L5" s="240"/>
      <c r="M5" s="240"/>
      <c r="N5" s="240"/>
      <c r="O5" s="240"/>
      <c r="P5" s="240"/>
      <c r="Q5" s="143"/>
      <c r="R5" s="241"/>
      <c r="S5" s="241"/>
      <c r="T5" s="241"/>
      <c r="U5" s="241"/>
      <c r="V5" s="241"/>
      <c r="W5" s="241"/>
      <c r="X5" s="241"/>
      <c r="Y5" s="241"/>
      <c r="Z5" s="241"/>
      <c r="AA5" s="241"/>
      <c r="AB5" s="241"/>
      <c r="AC5" s="241"/>
      <c r="AD5" s="241"/>
      <c r="AE5" s="241"/>
      <c r="AF5" s="241"/>
      <c r="AG5" s="241"/>
      <c r="AH5" s="241"/>
      <c r="AI5" s="241"/>
      <c r="AJ5" s="5"/>
    </row>
    <row r="6" spans="1:37">
      <c r="A6" s="237" t="s">
        <v>33</v>
      </c>
      <c r="B6" s="29" t="s">
        <v>33</v>
      </c>
      <c r="C6" s="242"/>
      <c r="D6" s="242">
        <f>PL!D31</f>
        <v>1395</v>
      </c>
      <c r="E6" s="242">
        <f>PL!E31</f>
        <v>1325</v>
      </c>
      <c r="F6" s="242">
        <f>PL!F31</f>
        <v>1762</v>
      </c>
      <c r="G6" s="242">
        <f>PL!G31</f>
        <v>1873</v>
      </c>
      <c r="H6" s="242">
        <f>PL!H31</f>
        <v>1827</v>
      </c>
      <c r="I6" s="242">
        <f>PL!I31</f>
        <v>1859</v>
      </c>
      <c r="J6" s="242">
        <f>PL!J31</f>
        <v>2057</v>
      </c>
      <c r="K6" s="242">
        <f>PL!K31</f>
        <v>2112</v>
      </c>
      <c r="L6" s="243">
        <f>PL!L31</f>
        <v>2408.2340230570221</v>
      </c>
      <c r="M6" s="243">
        <f>PL!M31</f>
        <v>2611.4416919343175</v>
      </c>
      <c r="N6" s="243">
        <f>PL!N31</f>
        <v>2766.0255860924699</v>
      </c>
      <c r="O6" s="243">
        <f>PL!O31</f>
        <v>2886.4354561100017</v>
      </c>
      <c r="P6" s="243">
        <f>PL!P31</f>
        <v>3009.227175497525</v>
      </c>
      <c r="Q6" s="244"/>
      <c r="R6" s="245"/>
      <c r="S6" s="245"/>
      <c r="T6" s="245">
        <f>PL!T31</f>
        <v>779</v>
      </c>
      <c r="U6" s="245">
        <f>PL!U31</f>
        <v>616</v>
      </c>
      <c r="V6" s="245">
        <f>PL!V31</f>
        <v>722</v>
      </c>
      <c r="W6" s="245">
        <f>PL!W31</f>
        <v>603</v>
      </c>
      <c r="X6" s="245">
        <f>PL!X31</f>
        <v>910</v>
      </c>
      <c r="Y6" s="245">
        <f>PL!Y31</f>
        <v>852</v>
      </c>
      <c r="Z6" s="245">
        <f>PL!Z31</f>
        <v>1020</v>
      </c>
      <c r="AA6" s="245">
        <f>PL!AA31</f>
        <v>853</v>
      </c>
      <c r="AB6" s="245">
        <f>PL!AB31</f>
        <v>963</v>
      </c>
      <c r="AC6" s="245">
        <f>PL!AC31</f>
        <v>864</v>
      </c>
      <c r="AD6" s="245">
        <f>PL!AD31</f>
        <v>1058</v>
      </c>
      <c r="AE6" s="245">
        <f>PL!AE31</f>
        <v>801</v>
      </c>
      <c r="AF6" s="245">
        <f>PL!AF31</f>
        <v>1064</v>
      </c>
      <c r="AG6" s="245">
        <f>PL!AG31</f>
        <v>993</v>
      </c>
      <c r="AH6" s="245">
        <f>PL!AH31</f>
        <v>1117</v>
      </c>
      <c r="AI6" s="245">
        <f>PL!AI31</f>
        <v>995</v>
      </c>
      <c r="AJ6" s="5"/>
    </row>
    <row r="7" spans="1:37">
      <c r="A7" s="237" t="s">
        <v>36</v>
      </c>
      <c r="B7" s="29" t="s">
        <v>58</v>
      </c>
      <c r="C7" s="242"/>
      <c r="D7" s="242">
        <f>-PL!D29</f>
        <v>649.6</v>
      </c>
      <c r="E7" s="242">
        <f>-PL!E29</f>
        <v>639.6</v>
      </c>
      <c r="F7" s="242">
        <f>-PL!F29</f>
        <v>1495</v>
      </c>
      <c r="G7" s="242">
        <f>-PL!G29</f>
        <v>1559</v>
      </c>
      <c r="H7" s="242">
        <f>-PL!H29</f>
        <v>1432</v>
      </c>
      <c r="I7" s="242">
        <f>-PL!I29</f>
        <v>1523</v>
      </c>
      <c r="J7" s="242">
        <f>-PL!J29</f>
        <v>1602</v>
      </c>
      <c r="K7" s="242">
        <f>-PL!K29</f>
        <v>1829</v>
      </c>
      <c r="L7" s="243">
        <f>-PL!L29</f>
        <v>1947.885</v>
      </c>
      <c r="M7" s="243">
        <f>-PL!M29</f>
        <v>2025.8004000000001</v>
      </c>
      <c r="N7" s="243">
        <f>-PL!N29</f>
        <v>2106.8324160000002</v>
      </c>
      <c r="O7" s="243">
        <f>-PL!O29</f>
        <v>2191.1057126400001</v>
      </c>
      <c r="P7" s="243">
        <f>-PL!P29</f>
        <v>2278.7499411456001</v>
      </c>
      <c r="Q7" s="244"/>
      <c r="R7" s="245"/>
      <c r="S7" s="245"/>
      <c r="T7" s="245">
        <f>-PL!T29</f>
        <v>330</v>
      </c>
      <c r="U7" s="245">
        <f>-PL!U29</f>
        <v>319.60000000000002</v>
      </c>
      <c r="V7" s="245">
        <f>-PL!V29</f>
        <v>321</v>
      </c>
      <c r="W7" s="245">
        <f>-PL!W29</f>
        <v>318.60000000000002</v>
      </c>
      <c r="X7" s="245">
        <f>-PL!X29</f>
        <v>755</v>
      </c>
      <c r="Y7" s="245">
        <f>-PL!Y29</f>
        <v>740</v>
      </c>
      <c r="Z7" s="245">
        <f>-PL!Z29</f>
        <v>782</v>
      </c>
      <c r="AA7" s="245">
        <f>-PL!AA29</f>
        <v>777</v>
      </c>
      <c r="AB7" s="245">
        <f>-PL!AB29</f>
        <v>718</v>
      </c>
      <c r="AC7" s="245">
        <f>-PL!AC29</f>
        <v>714</v>
      </c>
      <c r="AD7" s="245">
        <f>-PL!AD29</f>
        <v>751</v>
      </c>
      <c r="AE7" s="245">
        <f>-PL!AE29</f>
        <v>772</v>
      </c>
      <c r="AF7" s="245">
        <f>-PL!AF29</f>
        <v>790</v>
      </c>
      <c r="AG7" s="245">
        <f>-PL!AG29</f>
        <v>812</v>
      </c>
      <c r="AH7" s="245">
        <f>-PL!AH29</f>
        <v>928</v>
      </c>
      <c r="AI7" s="245">
        <f>-PL!AI29</f>
        <v>901</v>
      </c>
      <c r="AJ7" s="5"/>
    </row>
    <row r="8" spans="1:37">
      <c r="A8" s="237" t="s">
        <v>256</v>
      </c>
      <c r="B8" s="241" t="s">
        <v>188</v>
      </c>
      <c r="C8" s="30"/>
      <c r="D8" s="33">
        <f>BS!D61</f>
        <v>4069</v>
      </c>
      <c r="E8" s="33">
        <f>BS!E61</f>
        <v>-3013.5</v>
      </c>
      <c r="F8" s="33">
        <f>BS!F61</f>
        <v>81.5</v>
      </c>
      <c r="G8" s="33">
        <f>BS!G61</f>
        <v>48</v>
      </c>
      <c r="H8" s="33">
        <f>BS!H61</f>
        <v>232</v>
      </c>
      <c r="I8" s="33">
        <f>BS!I61</f>
        <v>89</v>
      </c>
      <c r="J8" s="33">
        <f>BS!J61</f>
        <v>-121</v>
      </c>
      <c r="K8" s="33">
        <f>BS!K61</f>
        <v>32</v>
      </c>
      <c r="L8" s="169">
        <f>BS!L61</f>
        <v>46.820186206759445</v>
      </c>
      <c r="M8" s="169">
        <f>BS!M61</f>
        <v>45.274309201236974</v>
      </c>
      <c r="N8" s="169">
        <f>BS!N61</f>
        <v>63.588943990675034</v>
      </c>
      <c r="O8" s="169">
        <f>BS!O61</f>
        <v>66.041457523666395</v>
      </c>
      <c r="P8" s="169">
        <f>BS!P61</f>
        <v>68.583844708731249</v>
      </c>
      <c r="Q8" s="169"/>
      <c r="R8" s="30"/>
      <c r="S8" s="33"/>
      <c r="T8" s="33">
        <f>BS!T61</f>
        <v>-3212</v>
      </c>
      <c r="U8" s="33">
        <f>BS!U61</f>
        <v>7281</v>
      </c>
      <c r="V8" s="33">
        <f>BS!V61</f>
        <v>3067</v>
      </c>
      <c r="W8" s="33">
        <f>BS!W61</f>
        <v>-6080.5</v>
      </c>
      <c r="X8" s="33">
        <f>BS!X61</f>
        <v>216.5</v>
      </c>
      <c r="Y8" s="33">
        <f>BS!Y61</f>
        <v>-135</v>
      </c>
      <c r="Z8" s="33">
        <f>BS!Z61</f>
        <v>-198</v>
      </c>
      <c r="AA8" s="33">
        <f>BS!AA61</f>
        <v>246</v>
      </c>
      <c r="AB8" s="33">
        <f>BS!AB61</f>
        <v>-374</v>
      </c>
      <c r="AC8" s="33">
        <f>BS!AC61</f>
        <v>606</v>
      </c>
      <c r="AD8" s="33">
        <f>BS!AD61</f>
        <v>-263</v>
      </c>
      <c r="AE8" s="33">
        <f>BS!AE61</f>
        <v>352</v>
      </c>
      <c r="AF8" s="33">
        <f>BS!AF61</f>
        <v>-93</v>
      </c>
      <c r="AG8" s="33">
        <f>BS!AG61</f>
        <v>-28</v>
      </c>
      <c r="AH8" s="33">
        <f>BS!AH61</f>
        <v>634</v>
      </c>
      <c r="AI8" s="33">
        <f>BS!AI61</f>
        <v>-602</v>
      </c>
      <c r="AJ8" s="5"/>
    </row>
    <row r="9" spans="1:37">
      <c r="A9" s="237" t="s">
        <v>240</v>
      </c>
      <c r="B9" s="241" t="s">
        <v>189</v>
      </c>
      <c r="C9" s="242"/>
      <c r="D9" s="242">
        <f>PL!D45</f>
        <v>-456.1</v>
      </c>
      <c r="E9" s="242">
        <f>PL!E45</f>
        <v>-347</v>
      </c>
      <c r="F9" s="242">
        <f>PL!F45</f>
        <v>-341</v>
      </c>
      <c r="G9" s="242">
        <f>PL!G45</f>
        <v>-441</v>
      </c>
      <c r="H9" s="242">
        <f>PL!H45</f>
        <v>-422</v>
      </c>
      <c r="I9" s="242">
        <f>PL!I45</f>
        <v>-423</v>
      </c>
      <c r="J9" s="242">
        <f>PL!J45</f>
        <v>-487</v>
      </c>
      <c r="K9" s="242">
        <f>PL!K45</f>
        <v>-467</v>
      </c>
      <c r="L9" s="243">
        <f>PL!L45</f>
        <v>-556.64520691710663</v>
      </c>
      <c r="M9" s="243">
        <f>PL!M45</f>
        <v>-613.6677575802953</v>
      </c>
      <c r="N9" s="243">
        <f>PL!N45</f>
        <v>-655.98498332774091</v>
      </c>
      <c r="O9" s="243">
        <f>PL!O45</f>
        <v>-687.92826355800037</v>
      </c>
      <c r="P9" s="243">
        <f>PL!P45</f>
        <v>-720.46070817600753</v>
      </c>
      <c r="Q9" s="244"/>
      <c r="R9" s="245"/>
      <c r="S9" s="245"/>
      <c r="T9" s="245">
        <f>PL!T45</f>
        <v>-239</v>
      </c>
      <c r="U9" s="245">
        <f>PL!U45</f>
        <v>-217.10000000000002</v>
      </c>
      <c r="V9" s="245">
        <f>PL!V45</f>
        <v>-223</v>
      </c>
      <c r="W9" s="245">
        <f>PL!W45</f>
        <v>-124</v>
      </c>
      <c r="X9" s="245">
        <f>PL!X45</f>
        <v>-201</v>
      </c>
      <c r="Y9" s="245">
        <f>PL!Y45</f>
        <v>-140</v>
      </c>
      <c r="Z9" s="245">
        <f>PL!Z45</f>
        <v>-241</v>
      </c>
      <c r="AA9" s="245">
        <f>PL!AA45</f>
        <v>-200</v>
      </c>
      <c r="AB9" s="245">
        <f>PL!AB45</f>
        <v>-230</v>
      </c>
      <c r="AC9" s="245">
        <f>PL!AC45</f>
        <v>-192</v>
      </c>
      <c r="AD9" s="245">
        <f>PL!AD45</f>
        <v>-255</v>
      </c>
      <c r="AE9" s="245">
        <f>PL!AE45</f>
        <v>-168</v>
      </c>
      <c r="AF9" s="245">
        <f>PL!AF45</f>
        <v>-257</v>
      </c>
      <c r="AG9" s="245">
        <f>PL!AG45</f>
        <v>-230</v>
      </c>
      <c r="AH9" s="245">
        <f>PL!AH45</f>
        <v>-245</v>
      </c>
      <c r="AI9" s="245">
        <f>PL!AI45</f>
        <v>-222</v>
      </c>
      <c r="AJ9" s="5"/>
    </row>
    <row r="10" spans="1:37">
      <c r="A10" s="237" t="s">
        <v>51</v>
      </c>
      <c r="B10" s="241" t="s">
        <v>51</v>
      </c>
      <c r="C10" s="242"/>
      <c r="D10" s="242">
        <f>PL!D40</f>
        <v>-0.1</v>
      </c>
      <c r="E10" s="242">
        <f>PL!E40</f>
        <v>-41.5</v>
      </c>
      <c r="F10" s="242">
        <f>PL!F40</f>
        <v>-443</v>
      </c>
      <c r="G10" s="242">
        <f>PL!G40</f>
        <v>-427</v>
      </c>
      <c r="H10" s="242">
        <f>PL!H40</f>
        <v>-360</v>
      </c>
      <c r="I10" s="242">
        <f>PL!I40</f>
        <v>-394</v>
      </c>
      <c r="J10" s="242">
        <f>PL!J40</f>
        <v>-442</v>
      </c>
      <c r="K10" s="242">
        <f>PL!K40</f>
        <v>-541</v>
      </c>
      <c r="L10" s="243">
        <f>PL!L40</f>
        <v>-552.75</v>
      </c>
      <c r="M10" s="243">
        <f>PL!M40</f>
        <v>-565.88249999999994</v>
      </c>
      <c r="N10" s="243">
        <f>PL!N40</f>
        <v>-579.40897500000005</v>
      </c>
      <c r="O10" s="243">
        <f>PL!O40</f>
        <v>-593.34124425000005</v>
      </c>
      <c r="P10" s="243">
        <f>PL!P40</f>
        <v>-607.69148157749999</v>
      </c>
      <c r="Q10" s="244"/>
      <c r="R10" s="245"/>
      <c r="S10" s="245"/>
      <c r="T10" s="245">
        <f>PL!T40</f>
        <v>0</v>
      </c>
      <c r="U10" s="245">
        <f>PL!U40</f>
        <v>-0.1</v>
      </c>
      <c r="V10" s="245">
        <f>PL!V40</f>
        <v>-7</v>
      </c>
      <c r="W10" s="245">
        <f>PL!W40</f>
        <v>-34.5</v>
      </c>
      <c r="X10" s="245">
        <f>PL!X40</f>
        <v>-220</v>
      </c>
      <c r="Y10" s="245">
        <f>PL!Y40</f>
        <v>-223</v>
      </c>
      <c r="Z10" s="245">
        <f>PL!Z40</f>
        <v>-219</v>
      </c>
      <c r="AA10" s="245">
        <f>PL!AA40</f>
        <v>-208</v>
      </c>
      <c r="AB10" s="245">
        <f>PL!AB40</f>
        <v>-180</v>
      </c>
      <c r="AC10" s="245">
        <f>PL!AC40</f>
        <v>-180</v>
      </c>
      <c r="AD10" s="245">
        <f>PL!AD40</f>
        <v>-187</v>
      </c>
      <c r="AE10" s="245">
        <f>PL!AE40</f>
        <v>-207</v>
      </c>
      <c r="AF10" s="245">
        <f>PL!AF40</f>
        <v>-213</v>
      </c>
      <c r="AG10" s="245">
        <f>PL!AG40</f>
        <v>-229</v>
      </c>
      <c r="AH10" s="245">
        <f>PL!AH40</f>
        <v>-271</v>
      </c>
      <c r="AI10" s="245">
        <f>PL!AI40</f>
        <v>-270</v>
      </c>
      <c r="AJ10" s="5"/>
    </row>
    <row r="11" spans="1:37">
      <c r="A11" s="237" t="s">
        <v>44</v>
      </c>
      <c r="B11" s="241" t="s">
        <v>44</v>
      </c>
      <c r="C11" s="242"/>
      <c r="D11" s="242">
        <f>D12-SUM(D6:D10)</f>
        <v>-3747.5000000000027</v>
      </c>
      <c r="E11" s="242">
        <f>E12-SUM(E6:E10)</f>
        <v>3712.4</v>
      </c>
      <c r="F11" s="242">
        <f>F12-SUM(F6:F10)</f>
        <v>-2.5</v>
      </c>
      <c r="G11" s="242">
        <f>G12-SUM(G6:G10)</f>
        <v>225</v>
      </c>
      <c r="H11" s="242">
        <f t="shared" ref="H11" si="0">H12-SUM(H6:H10)</f>
        <v>-19</v>
      </c>
      <c r="I11" s="242">
        <f t="shared" ref="I11" si="1">I12-SUM(I6:I10)</f>
        <v>153</v>
      </c>
      <c r="J11" s="242">
        <f t="shared" ref="J11" si="2">J12-SUM(J6:J10)</f>
        <v>184</v>
      </c>
      <c r="K11" s="242">
        <f t="shared" ref="K11" si="3">K12-SUM(K6:K10)</f>
        <v>-29</v>
      </c>
      <c r="L11" s="243">
        <v>0</v>
      </c>
      <c r="M11" s="243">
        <v>0</v>
      </c>
      <c r="N11" s="243">
        <v>0</v>
      </c>
      <c r="O11" s="243">
        <v>0</v>
      </c>
      <c r="P11" s="243">
        <v>0</v>
      </c>
      <c r="Q11" s="244"/>
      <c r="R11" s="245"/>
      <c r="S11" s="245"/>
      <c r="T11" s="245">
        <f t="shared" ref="T11:AA11" si="4">T12-SUM(T6:T10)</f>
        <v>3569</v>
      </c>
      <c r="U11" s="245">
        <f t="shared" si="4"/>
        <v>-7316.5000000000027</v>
      </c>
      <c r="V11" s="245">
        <f t="shared" si="4"/>
        <v>-2166</v>
      </c>
      <c r="W11" s="245">
        <f t="shared" si="4"/>
        <v>5878.4</v>
      </c>
      <c r="X11" s="245">
        <f t="shared" si="4"/>
        <v>-436.5</v>
      </c>
      <c r="Y11" s="245">
        <f t="shared" si="4"/>
        <v>434</v>
      </c>
      <c r="Z11" s="245">
        <f t="shared" si="4"/>
        <v>592</v>
      </c>
      <c r="AA11" s="245">
        <f t="shared" si="4"/>
        <v>-367</v>
      </c>
      <c r="AB11" s="245">
        <f t="shared" ref="AB11" si="5">AB12-SUM(AB6:AB10)</f>
        <v>706</v>
      </c>
      <c r="AC11" s="245">
        <f t="shared" ref="AC11" si="6">AC12-SUM(AC6:AC10)</f>
        <v>-725</v>
      </c>
      <c r="AD11" s="245">
        <f t="shared" ref="AD11" si="7">AD12-SUM(AD6:AD10)</f>
        <v>489</v>
      </c>
      <c r="AE11" s="245">
        <f t="shared" ref="AE11" si="8">AE12-SUM(AE6:AE10)</f>
        <v>-336</v>
      </c>
      <c r="AF11" s="245">
        <f t="shared" ref="AF11" si="9">AF12-SUM(AF6:AF10)</f>
        <v>213</v>
      </c>
      <c r="AG11" s="245">
        <f t="shared" ref="AG11" si="10">AG12-SUM(AG6:AG10)</f>
        <v>-29</v>
      </c>
      <c r="AH11" s="245">
        <f>AH12-SUM(AH6:AH10)</f>
        <v>-1313</v>
      </c>
      <c r="AI11" s="245">
        <f t="shared" ref="AI11" si="11">AI12-SUM(AI6:AI10)</f>
        <v>1284</v>
      </c>
      <c r="AJ11" s="5"/>
    </row>
    <row r="12" spans="1:37" s="6" customFormat="1">
      <c r="A12" s="237" t="s">
        <v>134</v>
      </c>
      <c r="B12" s="246" t="s">
        <v>187</v>
      </c>
      <c r="C12" s="247"/>
      <c r="D12" s="247">
        <f t="shared" ref="D12:K12" si="12">D21</f>
        <v>1909.8999999999969</v>
      </c>
      <c r="E12" s="247">
        <f t="shared" si="12"/>
        <v>2275</v>
      </c>
      <c r="F12" s="247">
        <f t="shared" si="12"/>
        <v>2552</v>
      </c>
      <c r="G12" s="247">
        <f t="shared" si="12"/>
        <v>2837</v>
      </c>
      <c r="H12" s="247">
        <f t="shared" si="12"/>
        <v>2690</v>
      </c>
      <c r="I12" s="247">
        <f t="shared" si="12"/>
        <v>2807</v>
      </c>
      <c r="J12" s="247">
        <f t="shared" si="12"/>
        <v>2793</v>
      </c>
      <c r="K12" s="247">
        <f t="shared" si="12"/>
        <v>2936</v>
      </c>
      <c r="L12" s="247">
        <f>SUM(L6:L11)</f>
        <v>3293.5440023466745</v>
      </c>
      <c r="M12" s="247">
        <f t="shared" ref="M12:P12" si="13">SUM(M6:M11)</f>
        <v>3502.9661435552598</v>
      </c>
      <c r="N12" s="247">
        <f t="shared" si="13"/>
        <v>3701.0529877554036</v>
      </c>
      <c r="O12" s="247">
        <f t="shared" si="13"/>
        <v>3862.3131184656677</v>
      </c>
      <c r="P12" s="247">
        <f t="shared" si="13"/>
        <v>4028.4087715983496</v>
      </c>
      <c r="Q12" s="248"/>
      <c r="R12" s="248"/>
      <c r="S12" s="248"/>
      <c r="T12" s="248">
        <f t="shared" ref="T12:AH12" si="14">T21</f>
        <v>1227</v>
      </c>
      <c r="U12" s="248">
        <f>D12-T12</f>
        <v>682.89999999999691</v>
      </c>
      <c r="V12" s="248">
        <f t="shared" si="14"/>
        <v>1714</v>
      </c>
      <c r="W12" s="248">
        <f>E12-V12</f>
        <v>561</v>
      </c>
      <c r="X12" s="248">
        <f t="shared" si="14"/>
        <v>1024</v>
      </c>
      <c r="Y12" s="248">
        <f>F12-X12</f>
        <v>1528</v>
      </c>
      <c r="Z12" s="248">
        <f t="shared" si="14"/>
        <v>1736</v>
      </c>
      <c r="AA12" s="248">
        <f>G12-Z12</f>
        <v>1101</v>
      </c>
      <c r="AB12" s="248">
        <f t="shared" si="14"/>
        <v>1603</v>
      </c>
      <c r="AC12" s="248">
        <f>H12-AB12</f>
        <v>1087</v>
      </c>
      <c r="AD12" s="248">
        <f t="shared" si="14"/>
        <v>1593</v>
      </c>
      <c r="AE12" s="248">
        <f>I12-AD12</f>
        <v>1214</v>
      </c>
      <c r="AF12" s="248">
        <f t="shared" si="14"/>
        <v>1504</v>
      </c>
      <c r="AG12" s="248">
        <f>J12-AF12</f>
        <v>1289</v>
      </c>
      <c r="AH12" s="248">
        <f t="shared" si="14"/>
        <v>850</v>
      </c>
      <c r="AI12" s="248">
        <f>K12-AH12</f>
        <v>2086</v>
      </c>
      <c r="AJ12" s="5"/>
      <c r="AK12"/>
    </row>
    <row r="13" spans="1:37">
      <c r="A13" s="237"/>
      <c r="B13" s="241"/>
      <c r="C13" s="242"/>
      <c r="D13" s="242"/>
      <c r="E13" s="242"/>
      <c r="F13" s="242"/>
      <c r="G13" s="242"/>
      <c r="H13" s="242"/>
      <c r="I13" s="242"/>
      <c r="J13" s="242"/>
      <c r="K13" s="242"/>
      <c r="L13" s="240"/>
      <c r="M13" s="240"/>
      <c r="N13" s="240"/>
      <c r="O13" s="240"/>
      <c r="P13" s="240"/>
      <c r="Q13" s="143"/>
      <c r="R13" s="241"/>
      <c r="S13" s="241"/>
      <c r="T13" s="241"/>
      <c r="U13" s="241"/>
      <c r="V13" s="241"/>
      <c r="W13" s="241"/>
      <c r="X13" s="241"/>
      <c r="Y13" s="241"/>
      <c r="Z13" s="241"/>
      <c r="AA13" s="241"/>
      <c r="AB13" s="241"/>
      <c r="AC13" s="241"/>
      <c r="AD13" s="241"/>
      <c r="AE13" s="241"/>
      <c r="AF13" s="241"/>
      <c r="AG13" s="241"/>
      <c r="AH13" s="241"/>
      <c r="AI13" s="241"/>
      <c r="AJ13" s="5"/>
    </row>
    <row r="14" spans="1:37">
      <c r="A14" s="237"/>
      <c r="B14" s="238" t="s">
        <v>209</v>
      </c>
      <c r="C14" s="242"/>
      <c r="D14" s="242"/>
      <c r="E14" s="242"/>
      <c r="F14" s="242"/>
      <c r="G14" s="242"/>
      <c r="H14" s="242"/>
      <c r="I14" s="242"/>
      <c r="J14" s="242"/>
      <c r="K14" s="242"/>
      <c r="L14" s="240"/>
      <c r="M14" s="240"/>
      <c r="N14" s="240"/>
      <c r="O14" s="240"/>
      <c r="P14" s="240"/>
      <c r="Q14" s="143"/>
      <c r="R14" s="241"/>
      <c r="S14" s="241"/>
      <c r="T14" s="241"/>
      <c r="U14" s="241"/>
      <c r="V14" s="241"/>
      <c r="W14" s="241"/>
      <c r="X14" s="241"/>
      <c r="Y14" s="241"/>
      <c r="Z14" s="241"/>
      <c r="AA14" s="241"/>
      <c r="AB14" s="241"/>
      <c r="AC14" s="241"/>
      <c r="AD14" s="241"/>
      <c r="AE14" s="241"/>
      <c r="AF14" s="241"/>
      <c r="AG14" s="241"/>
      <c r="AH14" s="241"/>
      <c r="AI14" s="241"/>
      <c r="AJ14" s="5"/>
    </row>
    <row r="15" spans="1:37">
      <c r="A15" s="237"/>
      <c r="B15" s="241" t="s">
        <v>60</v>
      </c>
      <c r="C15" s="34"/>
      <c r="D15" s="34">
        <v>41756.1</v>
      </c>
      <c r="E15" s="34">
        <f>41126+137</f>
        <v>41263</v>
      </c>
      <c r="F15" s="34">
        <v>39971</v>
      </c>
      <c r="G15" s="34">
        <v>41138</v>
      </c>
      <c r="H15" s="34">
        <v>41887</v>
      </c>
      <c r="I15" s="34">
        <v>44043</v>
      </c>
      <c r="J15" s="34">
        <v>46145</v>
      </c>
      <c r="K15" s="34">
        <v>46787</v>
      </c>
      <c r="L15" s="204"/>
      <c r="M15" s="204"/>
      <c r="N15" s="204"/>
      <c r="O15" s="204"/>
      <c r="P15" s="204"/>
      <c r="Q15" s="249"/>
      <c r="R15" s="234"/>
      <c r="S15" s="100"/>
      <c r="T15" s="234">
        <v>21039</v>
      </c>
      <c r="U15" s="100">
        <f>D15-T15</f>
        <v>20717.099999999999</v>
      </c>
      <c r="V15" s="234">
        <v>21828</v>
      </c>
      <c r="W15" s="100">
        <f>E15-V15</f>
        <v>19435</v>
      </c>
      <c r="X15" s="234">
        <v>20221</v>
      </c>
      <c r="Y15" s="100">
        <f t="shared" ref="Y15:Y21" si="15">F15-X15</f>
        <v>19750</v>
      </c>
      <c r="Z15" s="234">
        <v>22202</v>
      </c>
      <c r="AA15" s="100">
        <f t="shared" ref="AA15:AA21" si="16">G15-Z15</f>
        <v>18936</v>
      </c>
      <c r="AB15" s="234">
        <v>21956</v>
      </c>
      <c r="AC15" s="100">
        <f>H15-AB15</f>
        <v>19931</v>
      </c>
      <c r="AD15" s="234">
        <v>22858</v>
      </c>
      <c r="AE15" s="100">
        <f t="shared" ref="AE15:AE21" si="17">I15-AD15</f>
        <v>21185</v>
      </c>
      <c r="AF15" s="234">
        <v>23542</v>
      </c>
      <c r="AG15" s="100">
        <f t="shared" ref="AG15:AG21" si="18">J15-AF15</f>
        <v>22603</v>
      </c>
      <c r="AH15" s="234">
        <v>24332</v>
      </c>
      <c r="AI15" s="100">
        <f t="shared" ref="AI15:AI21" si="19">K15-AH15</f>
        <v>22455</v>
      </c>
      <c r="AJ15" s="5"/>
    </row>
    <row r="16" spans="1:37">
      <c r="A16" s="237"/>
      <c r="B16" s="241" t="s">
        <v>61</v>
      </c>
      <c r="C16" s="34"/>
      <c r="D16" s="34">
        <v>-39351.4</v>
      </c>
      <c r="E16" s="34">
        <v>-38665</v>
      </c>
      <c r="F16" s="34">
        <v>-36486</v>
      </c>
      <c r="G16" s="34">
        <v>-37510</v>
      </c>
      <c r="H16" s="34">
        <v>-38309</v>
      </c>
      <c r="I16" s="34">
        <v>-40439</v>
      </c>
      <c r="J16" s="34">
        <v>-42556</v>
      </c>
      <c r="K16" s="34">
        <v>-42806</v>
      </c>
      <c r="L16" s="204"/>
      <c r="M16" s="204"/>
      <c r="N16" s="204"/>
      <c r="O16" s="204"/>
      <c r="P16" s="204"/>
      <c r="Q16" s="249"/>
      <c r="R16" s="234"/>
      <c r="S16" s="100"/>
      <c r="T16" s="234">
        <v>-19529</v>
      </c>
      <c r="U16" s="100">
        <f t="shared" ref="U16:U20" si="20">D16-T16</f>
        <v>-19822.400000000001</v>
      </c>
      <c r="V16" s="234">
        <v>-20094</v>
      </c>
      <c r="W16" s="100">
        <f t="shared" ref="W16:W20" si="21">E16-V16</f>
        <v>-18571</v>
      </c>
      <c r="X16" s="234">
        <v>-18685</v>
      </c>
      <c r="Y16" s="100">
        <f t="shared" si="15"/>
        <v>-17801</v>
      </c>
      <c r="Z16" s="234">
        <v>-20045</v>
      </c>
      <c r="AA16" s="100">
        <f t="shared" si="16"/>
        <v>-17465</v>
      </c>
      <c r="AB16" s="234">
        <v>-19892</v>
      </c>
      <c r="AC16" s="100">
        <f>H16-AB16</f>
        <v>-18417</v>
      </c>
      <c r="AD16" s="234">
        <v>-20814</v>
      </c>
      <c r="AE16" s="100">
        <f t="shared" si="17"/>
        <v>-19625</v>
      </c>
      <c r="AF16" s="234">
        <v>-21656</v>
      </c>
      <c r="AG16" s="100">
        <f t="shared" si="18"/>
        <v>-20900</v>
      </c>
      <c r="AH16" s="234">
        <v>-22940</v>
      </c>
      <c r="AI16" s="100">
        <f t="shared" si="19"/>
        <v>-19866</v>
      </c>
      <c r="AJ16" s="5"/>
    </row>
    <row r="17" spans="1:37">
      <c r="A17" s="237"/>
      <c r="B17" s="241" t="s">
        <v>342</v>
      </c>
      <c r="C17" s="34"/>
      <c r="D17" s="34"/>
      <c r="E17" s="34">
        <v>-33</v>
      </c>
      <c r="F17" s="34">
        <v>-37</v>
      </c>
      <c r="G17" s="34">
        <v>-47</v>
      </c>
      <c r="H17" s="34">
        <v>-41</v>
      </c>
      <c r="I17" s="34">
        <v>-57</v>
      </c>
      <c r="J17" s="34">
        <v>-57</v>
      </c>
      <c r="K17" s="34">
        <v>-108</v>
      </c>
      <c r="L17" s="204"/>
      <c r="M17" s="204"/>
      <c r="N17" s="204"/>
      <c r="O17" s="204"/>
      <c r="P17" s="204"/>
      <c r="Q17" s="249"/>
      <c r="R17" s="234"/>
      <c r="S17" s="100"/>
      <c r="T17" s="234">
        <v>1</v>
      </c>
      <c r="U17" s="100">
        <f t="shared" si="20"/>
        <v>-1</v>
      </c>
      <c r="V17" s="234">
        <v>-4</v>
      </c>
      <c r="W17" s="100">
        <f t="shared" si="21"/>
        <v>-29</v>
      </c>
      <c r="X17" s="234">
        <v>-20</v>
      </c>
      <c r="Y17" s="100">
        <f t="shared" si="15"/>
        <v>-17</v>
      </c>
      <c r="Z17" s="234">
        <v>-18</v>
      </c>
      <c r="AA17" s="100">
        <f t="shared" si="16"/>
        <v>-29</v>
      </c>
      <c r="AB17" s="234">
        <v>-21</v>
      </c>
      <c r="AC17" s="100">
        <f>H17-AB17</f>
        <v>-20</v>
      </c>
      <c r="AD17" s="234">
        <v>-27</v>
      </c>
      <c r="AE17" s="100">
        <f t="shared" si="17"/>
        <v>-30</v>
      </c>
      <c r="AF17" s="234">
        <v>-19</v>
      </c>
      <c r="AG17" s="100">
        <f t="shared" si="18"/>
        <v>-38</v>
      </c>
      <c r="AH17" s="234">
        <v>-62</v>
      </c>
      <c r="AI17" s="100">
        <f t="shared" si="19"/>
        <v>-46</v>
      </c>
      <c r="AJ17" s="5"/>
    </row>
    <row r="18" spans="1:37">
      <c r="A18" s="237"/>
      <c r="B18" s="241" t="s">
        <v>343</v>
      </c>
      <c r="C18" s="34"/>
      <c r="D18" s="34"/>
      <c r="E18" s="34"/>
      <c r="F18" s="34">
        <v>-399</v>
      </c>
      <c r="G18" s="34">
        <v>-390</v>
      </c>
      <c r="H18" s="34">
        <v>-363</v>
      </c>
      <c r="I18" s="34">
        <v>-372</v>
      </c>
      <c r="J18" s="34">
        <v>-363</v>
      </c>
      <c r="K18" s="34">
        <v>-425</v>
      </c>
      <c r="L18" s="204"/>
      <c r="M18" s="204"/>
      <c r="N18" s="204"/>
      <c r="O18" s="204"/>
      <c r="P18" s="204"/>
      <c r="Q18" s="249"/>
      <c r="R18" s="234"/>
      <c r="S18" s="100"/>
      <c r="T18" s="234"/>
      <c r="U18" s="100">
        <f t="shared" si="20"/>
        <v>0</v>
      </c>
      <c r="V18" s="234"/>
      <c r="W18" s="100">
        <f t="shared" si="21"/>
        <v>0</v>
      </c>
      <c r="X18" s="234">
        <v>-193</v>
      </c>
      <c r="Y18" s="100">
        <f t="shared" si="15"/>
        <v>-206</v>
      </c>
      <c r="Z18" s="234">
        <v>-199</v>
      </c>
      <c r="AA18" s="100">
        <f t="shared" si="16"/>
        <v>-191</v>
      </c>
      <c r="AB18" s="234">
        <v>-181</v>
      </c>
      <c r="AC18" s="100">
        <f>H18-AB18</f>
        <v>-182</v>
      </c>
      <c r="AD18" s="234">
        <v>-184</v>
      </c>
      <c r="AE18" s="100">
        <f t="shared" si="17"/>
        <v>-188</v>
      </c>
      <c r="AF18" s="234">
        <v>-179</v>
      </c>
      <c r="AG18" s="100">
        <f t="shared" si="18"/>
        <v>-184</v>
      </c>
      <c r="AH18" s="234">
        <v>-210</v>
      </c>
      <c r="AI18" s="100">
        <f t="shared" si="19"/>
        <v>-215</v>
      </c>
      <c r="AJ18" s="5"/>
    </row>
    <row r="19" spans="1:37">
      <c r="A19" s="237"/>
      <c r="B19" s="241" t="s">
        <v>344</v>
      </c>
      <c r="C19" s="34"/>
      <c r="D19" s="34">
        <v>2.7</v>
      </c>
      <c r="E19" s="34">
        <v>4</v>
      </c>
      <c r="F19" s="34">
        <v>7</v>
      </c>
      <c r="G19" s="34">
        <v>4</v>
      </c>
      <c r="H19" s="34">
        <v>1</v>
      </c>
      <c r="I19" s="34">
        <v>2</v>
      </c>
      <c r="J19" s="34">
        <v>6</v>
      </c>
      <c r="K19" s="34">
        <v>3</v>
      </c>
      <c r="L19" s="204"/>
      <c r="M19" s="204"/>
      <c r="N19" s="204"/>
      <c r="O19" s="204"/>
      <c r="P19" s="204"/>
      <c r="Q19" s="249"/>
      <c r="R19" s="234"/>
      <c r="S19" s="100"/>
      <c r="T19" s="234"/>
      <c r="U19" s="100">
        <f t="shared" si="20"/>
        <v>2.7</v>
      </c>
      <c r="V19" s="234"/>
      <c r="W19" s="100">
        <f t="shared" si="21"/>
        <v>4</v>
      </c>
      <c r="X19" s="234">
        <v>2</v>
      </c>
      <c r="Y19" s="100">
        <f t="shared" si="15"/>
        <v>5</v>
      </c>
      <c r="Z19" s="234">
        <v>3</v>
      </c>
      <c r="AA19" s="100">
        <f t="shared" si="16"/>
        <v>1</v>
      </c>
      <c r="AB19" s="234"/>
      <c r="AC19" s="100">
        <f>H19-AB19</f>
        <v>1</v>
      </c>
      <c r="AD19" s="234">
        <v>1</v>
      </c>
      <c r="AE19" s="100">
        <f t="shared" si="17"/>
        <v>1</v>
      </c>
      <c r="AF19" s="234">
        <v>3</v>
      </c>
      <c r="AG19" s="100">
        <f t="shared" si="18"/>
        <v>3</v>
      </c>
      <c r="AH19" s="234">
        <v>2</v>
      </c>
      <c r="AI19" s="100">
        <f t="shared" si="19"/>
        <v>1</v>
      </c>
      <c r="AJ19" s="5"/>
    </row>
    <row r="20" spans="1:37">
      <c r="B20" s="241" t="s">
        <v>149</v>
      </c>
      <c r="C20" s="34"/>
      <c r="D20" s="34">
        <v>-497.5</v>
      </c>
      <c r="E20" s="34">
        <v>-294</v>
      </c>
      <c r="F20" s="34">
        <v>-504</v>
      </c>
      <c r="G20" s="34">
        <v>-358</v>
      </c>
      <c r="H20" s="34">
        <v>-485</v>
      </c>
      <c r="I20" s="34">
        <v>-370</v>
      </c>
      <c r="J20" s="34">
        <v>-382</v>
      </c>
      <c r="K20" s="34">
        <v>-515</v>
      </c>
      <c r="L20" s="204"/>
      <c r="M20" s="204"/>
      <c r="N20" s="204"/>
      <c r="O20" s="204"/>
      <c r="P20" s="204"/>
      <c r="Q20" s="249"/>
      <c r="R20" s="234"/>
      <c r="S20" s="234"/>
      <c r="T20" s="234">
        <v>-284</v>
      </c>
      <c r="U20" s="100">
        <f t="shared" si="20"/>
        <v>-213.5</v>
      </c>
      <c r="V20" s="234">
        <f>-405+389</f>
        <v>-16</v>
      </c>
      <c r="W20" s="100">
        <f t="shared" si="21"/>
        <v>-278</v>
      </c>
      <c r="X20" s="234">
        <v>-301</v>
      </c>
      <c r="Y20" s="234">
        <f t="shared" si="15"/>
        <v>-203</v>
      </c>
      <c r="Z20" s="234">
        <v>-207</v>
      </c>
      <c r="AA20" s="234">
        <f t="shared" si="16"/>
        <v>-151</v>
      </c>
      <c r="AB20" s="234">
        <v>-259</v>
      </c>
      <c r="AC20" s="234">
        <v>0</v>
      </c>
      <c r="AD20" s="234">
        <v>-241</v>
      </c>
      <c r="AE20" s="234">
        <f t="shared" si="17"/>
        <v>-129</v>
      </c>
      <c r="AF20" s="234">
        <v>-187</v>
      </c>
      <c r="AG20" s="234">
        <f t="shared" si="18"/>
        <v>-195</v>
      </c>
      <c r="AH20" s="234">
        <v>-272</v>
      </c>
      <c r="AI20" s="234">
        <f t="shared" si="19"/>
        <v>-243</v>
      </c>
      <c r="AJ20" s="5"/>
    </row>
    <row r="21" spans="1:37" s="6" customFormat="1">
      <c r="A21" s="5"/>
      <c r="B21" s="246" t="s">
        <v>203</v>
      </c>
      <c r="C21" s="247"/>
      <c r="D21" s="247">
        <f>SUM(D15:D20)</f>
        <v>1909.8999999999969</v>
      </c>
      <c r="E21" s="247">
        <f t="shared" ref="E21:K21" si="22">SUM(E15:E20)</f>
        <v>2275</v>
      </c>
      <c r="F21" s="247">
        <f t="shared" si="22"/>
        <v>2552</v>
      </c>
      <c r="G21" s="247">
        <f t="shared" si="22"/>
        <v>2837</v>
      </c>
      <c r="H21" s="247">
        <f t="shared" si="22"/>
        <v>2690</v>
      </c>
      <c r="I21" s="247">
        <f t="shared" si="22"/>
        <v>2807</v>
      </c>
      <c r="J21" s="247">
        <f t="shared" si="22"/>
        <v>2793</v>
      </c>
      <c r="K21" s="247">
        <f t="shared" si="22"/>
        <v>2936</v>
      </c>
      <c r="L21" s="247">
        <f>L12</f>
        <v>3293.5440023466745</v>
      </c>
      <c r="M21" s="247">
        <f>M12</f>
        <v>3502.9661435552598</v>
      </c>
      <c r="N21" s="247">
        <f>N12</f>
        <v>3701.0529877554036</v>
      </c>
      <c r="O21" s="247">
        <f>O12</f>
        <v>3862.3131184656677</v>
      </c>
      <c r="P21" s="247">
        <f>P12</f>
        <v>4028.4087715983496</v>
      </c>
      <c r="Q21" s="248"/>
      <c r="R21" s="248"/>
      <c r="S21" s="248"/>
      <c r="T21" s="248">
        <f>SUM(T14:T20)</f>
        <v>1227</v>
      </c>
      <c r="U21" s="248">
        <f>D21-T21</f>
        <v>682.89999999999691</v>
      </c>
      <c r="V21" s="248">
        <f>SUM(V14:V20)</f>
        <v>1714</v>
      </c>
      <c r="W21" s="248">
        <f>E21-V21</f>
        <v>561</v>
      </c>
      <c r="X21" s="248">
        <f>SUM(X14:X20)</f>
        <v>1024</v>
      </c>
      <c r="Y21" s="248">
        <f t="shared" si="15"/>
        <v>1528</v>
      </c>
      <c r="Z21" s="248">
        <f>SUM(Z14:Z20)</f>
        <v>1736</v>
      </c>
      <c r="AA21" s="248">
        <f t="shared" si="16"/>
        <v>1101</v>
      </c>
      <c r="AB21" s="248">
        <f>SUM(AB14:AB20)</f>
        <v>1603</v>
      </c>
      <c r="AC21" s="248">
        <f>H21-AB21</f>
        <v>1087</v>
      </c>
      <c r="AD21" s="248">
        <f>SUM(AD14:AD20)</f>
        <v>1593</v>
      </c>
      <c r="AE21" s="248">
        <f t="shared" si="17"/>
        <v>1214</v>
      </c>
      <c r="AF21" s="248">
        <f>SUM(AF14:AF20)</f>
        <v>1504</v>
      </c>
      <c r="AG21" s="248">
        <f t="shared" si="18"/>
        <v>1289</v>
      </c>
      <c r="AH21" s="248">
        <f>SUM(AH14:AH20)</f>
        <v>850</v>
      </c>
      <c r="AI21" s="248">
        <f t="shared" si="19"/>
        <v>2086</v>
      </c>
      <c r="AJ21" s="5"/>
      <c r="AK21"/>
    </row>
    <row r="22" spans="1:37">
      <c r="A22" s="237"/>
      <c r="B22" s="241"/>
      <c r="C22" s="242"/>
      <c r="D22" s="242"/>
      <c r="E22" s="242"/>
      <c r="F22" s="242"/>
      <c r="G22" s="242"/>
      <c r="H22" s="242"/>
      <c r="I22" s="242"/>
      <c r="J22" s="242"/>
      <c r="K22" s="242"/>
      <c r="L22" s="243"/>
      <c r="M22" s="243"/>
      <c r="N22" s="243"/>
      <c r="O22" s="243"/>
      <c r="P22" s="243"/>
      <c r="Q22" s="244"/>
      <c r="R22" s="245"/>
      <c r="S22" s="245"/>
      <c r="T22" s="245"/>
      <c r="U22" s="245"/>
      <c r="V22" s="245"/>
      <c r="W22" s="245"/>
      <c r="X22" s="245"/>
      <c r="Y22" s="245"/>
      <c r="Z22" s="245"/>
      <c r="AA22" s="245"/>
      <c r="AB22" s="245"/>
      <c r="AC22" s="245"/>
      <c r="AD22" s="245"/>
      <c r="AE22" s="245"/>
      <c r="AF22" s="245"/>
      <c r="AG22" s="245"/>
      <c r="AH22" s="245"/>
      <c r="AI22" s="245"/>
      <c r="AJ22" s="5"/>
    </row>
    <row r="23" spans="1:37">
      <c r="A23" s="237" t="s">
        <v>243</v>
      </c>
      <c r="B23" s="241" t="s">
        <v>345</v>
      </c>
      <c r="C23" s="34"/>
      <c r="D23" s="34">
        <v>-714.7</v>
      </c>
      <c r="E23" s="34">
        <v>-1104</v>
      </c>
      <c r="F23" s="34">
        <v>-833</v>
      </c>
      <c r="G23" s="34">
        <v>-1279</v>
      </c>
      <c r="H23" s="34">
        <v>-1272</v>
      </c>
      <c r="I23" s="34">
        <v>-1514</v>
      </c>
      <c r="J23" s="34">
        <v>-1671</v>
      </c>
      <c r="K23" s="34">
        <v>-1487</v>
      </c>
      <c r="L23" s="169">
        <f>-Model!L183</f>
        <v>-1200</v>
      </c>
      <c r="M23" s="169">
        <f>-Model!M183</f>
        <v>-1236</v>
      </c>
      <c r="N23" s="169">
        <f>-Model!N183</f>
        <v>-1273.08</v>
      </c>
      <c r="O23" s="169">
        <f>-Model!O183</f>
        <v>-1311.2724000000001</v>
      </c>
      <c r="P23" s="169">
        <f>-Model!P183</f>
        <v>-1350.610572</v>
      </c>
      <c r="Q23" s="249"/>
      <c r="R23" s="234"/>
      <c r="S23" s="100"/>
      <c r="T23" s="234">
        <v>-377</v>
      </c>
      <c r="U23" s="100">
        <f t="shared" ref="U23:U29" si="23">D23-T23</f>
        <v>-337.70000000000005</v>
      </c>
      <c r="V23" s="234">
        <v>-556</v>
      </c>
      <c r="W23" s="100">
        <f t="shared" ref="W23:W29" si="24">E23-V23</f>
        <v>-548</v>
      </c>
      <c r="X23" s="234">
        <v>-372</v>
      </c>
      <c r="Y23" s="100">
        <f t="shared" ref="Y23:Y29" si="25">F23-X23</f>
        <v>-461</v>
      </c>
      <c r="Z23" s="234">
        <v>-615</v>
      </c>
      <c r="AA23" s="100">
        <f t="shared" ref="AA23:AA29" si="26">G23-Z23</f>
        <v>-664</v>
      </c>
      <c r="AB23" s="234">
        <v>-451</v>
      </c>
      <c r="AC23" s="100">
        <f t="shared" ref="AC23:AC29" si="27">H23-AB23</f>
        <v>-821</v>
      </c>
      <c r="AD23" s="234">
        <v>-667</v>
      </c>
      <c r="AE23" s="100">
        <f t="shared" ref="AE23:AE29" si="28">I23-AD23</f>
        <v>-847</v>
      </c>
      <c r="AF23" s="234">
        <v>-863</v>
      </c>
      <c r="AG23" s="100">
        <f t="shared" ref="AG23:AG29" si="29">J23-AF23</f>
        <v>-808</v>
      </c>
      <c r="AH23" s="234">
        <v>-657</v>
      </c>
      <c r="AI23" s="100">
        <f t="shared" ref="AI23:AI29" si="30">K23-AH23</f>
        <v>-830</v>
      </c>
      <c r="AJ23" s="5"/>
    </row>
    <row r="24" spans="1:37">
      <c r="A24" s="237" t="s">
        <v>282</v>
      </c>
      <c r="B24" s="241" t="s">
        <v>346</v>
      </c>
      <c r="C24" s="34"/>
      <c r="D24" s="34">
        <v>213</v>
      </c>
      <c r="E24" s="34">
        <v>288</v>
      </c>
      <c r="F24" s="34">
        <v>211</v>
      </c>
      <c r="G24" s="34">
        <v>181</v>
      </c>
      <c r="H24" s="34">
        <v>136</v>
      </c>
      <c r="I24" s="34">
        <v>248</v>
      </c>
      <c r="J24" s="34">
        <v>255</v>
      </c>
      <c r="K24" s="34">
        <v>205</v>
      </c>
      <c r="L24" s="169">
        <f>-Model!L187</f>
        <v>0</v>
      </c>
      <c r="M24" s="169">
        <f>-Model!M187</f>
        <v>0</v>
      </c>
      <c r="N24" s="169">
        <f>-Model!N187</f>
        <v>0</v>
      </c>
      <c r="O24" s="169">
        <f>-Model!O187</f>
        <v>0</v>
      </c>
      <c r="P24" s="169">
        <f>-Model!P187</f>
        <v>0</v>
      </c>
      <c r="Q24" s="249"/>
      <c r="R24" s="234"/>
      <c r="S24" s="100"/>
      <c r="T24" s="234">
        <v>92</v>
      </c>
      <c r="U24" s="100">
        <f t="shared" si="23"/>
        <v>121</v>
      </c>
      <c r="V24" s="234">
        <v>88</v>
      </c>
      <c r="W24" s="100">
        <f t="shared" si="24"/>
        <v>200</v>
      </c>
      <c r="X24" s="234">
        <v>221</v>
      </c>
      <c r="Y24" s="100">
        <f t="shared" si="25"/>
        <v>-10</v>
      </c>
      <c r="Z24" s="234">
        <v>112</v>
      </c>
      <c r="AA24" s="100">
        <f t="shared" si="26"/>
        <v>69</v>
      </c>
      <c r="AB24" s="234">
        <v>77</v>
      </c>
      <c r="AC24" s="100">
        <f t="shared" si="27"/>
        <v>59</v>
      </c>
      <c r="AD24" s="234">
        <v>101</v>
      </c>
      <c r="AE24" s="100">
        <f t="shared" si="28"/>
        <v>147</v>
      </c>
      <c r="AF24" s="234">
        <v>188</v>
      </c>
      <c r="AG24" s="100">
        <f t="shared" si="29"/>
        <v>67</v>
      </c>
      <c r="AH24" s="234">
        <v>125</v>
      </c>
      <c r="AI24" s="100">
        <f t="shared" si="30"/>
        <v>80</v>
      </c>
      <c r="AJ24" s="5"/>
    </row>
    <row r="25" spans="1:37">
      <c r="A25" s="237" t="s">
        <v>63</v>
      </c>
      <c r="B25" s="241" t="s">
        <v>347</v>
      </c>
      <c r="C25" s="34"/>
      <c r="D25" s="34"/>
      <c r="E25" s="34">
        <v>-6</v>
      </c>
      <c r="F25" s="34">
        <v>-11</v>
      </c>
      <c r="G25" s="34">
        <v>-8</v>
      </c>
      <c r="H25" s="34">
        <v>-6</v>
      </c>
      <c r="I25" s="34">
        <v>-14</v>
      </c>
      <c r="J25" s="34">
        <v>-23</v>
      </c>
      <c r="K25" s="34">
        <v>-20</v>
      </c>
      <c r="L25" s="204"/>
      <c r="M25" s="204"/>
      <c r="N25" s="204"/>
      <c r="O25" s="204"/>
      <c r="P25" s="204"/>
      <c r="Q25" s="249"/>
      <c r="R25" s="234"/>
      <c r="S25" s="100"/>
      <c r="T25" s="234"/>
      <c r="U25" s="100">
        <f t="shared" si="23"/>
        <v>0</v>
      </c>
      <c r="V25" s="234">
        <v>-6</v>
      </c>
      <c r="W25" s="100">
        <f t="shared" si="24"/>
        <v>0</v>
      </c>
      <c r="X25" s="234">
        <v>-9</v>
      </c>
      <c r="Y25" s="100">
        <f t="shared" si="25"/>
        <v>-2</v>
      </c>
      <c r="Z25" s="234">
        <v>-4</v>
      </c>
      <c r="AA25" s="100">
        <f t="shared" si="26"/>
        <v>-4</v>
      </c>
      <c r="AB25" s="234">
        <v>-3</v>
      </c>
      <c r="AC25" s="100">
        <f t="shared" si="27"/>
        <v>-3</v>
      </c>
      <c r="AD25" s="234">
        <v>-12</v>
      </c>
      <c r="AE25" s="100">
        <f t="shared" si="28"/>
        <v>-2</v>
      </c>
      <c r="AF25" s="234">
        <v>-23</v>
      </c>
      <c r="AG25" s="100">
        <f t="shared" si="29"/>
        <v>0</v>
      </c>
      <c r="AH25" s="234">
        <v>-16</v>
      </c>
      <c r="AI25" s="100">
        <f t="shared" si="30"/>
        <v>-4</v>
      </c>
      <c r="AJ25" s="5"/>
    </row>
    <row r="26" spans="1:37">
      <c r="B26" s="241" t="s">
        <v>348</v>
      </c>
      <c r="C26" s="34"/>
      <c r="D26" s="34"/>
      <c r="E26" s="34"/>
      <c r="F26" s="34"/>
      <c r="G26" s="34"/>
      <c r="H26" s="34"/>
      <c r="I26" s="34"/>
      <c r="J26" s="34"/>
      <c r="K26" s="34">
        <v>-37</v>
      </c>
      <c r="L26" s="204"/>
      <c r="M26" s="204"/>
      <c r="N26" s="204"/>
      <c r="O26" s="204"/>
      <c r="P26" s="204"/>
      <c r="Q26" s="249"/>
      <c r="R26" s="234"/>
      <c r="S26" s="100"/>
      <c r="T26" s="234"/>
      <c r="U26" s="100">
        <f t="shared" si="23"/>
        <v>0</v>
      </c>
      <c r="V26" s="234"/>
      <c r="W26" s="100">
        <f t="shared" si="24"/>
        <v>0</v>
      </c>
      <c r="X26" s="234"/>
      <c r="Y26" s="100">
        <f t="shared" si="25"/>
        <v>0</v>
      </c>
      <c r="Z26" s="234"/>
      <c r="AA26" s="100">
        <f t="shared" si="26"/>
        <v>0</v>
      </c>
      <c r="AB26" s="234"/>
      <c r="AC26" s="100">
        <f t="shared" si="27"/>
        <v>0</v>
      </c>
      <c r="AD26" s="234"/>
      <c r="AE26" s="100">
        <f t="shared" si="28"/>
        <v>0</v>
      </c>
      <c r="AF26" s="234"/>
      <c r="AG26" s="100">
        <f t="shared" si="29"/>
        <v>0</v>
      </c>
      <c r="AH26" s="234">
        <v>-37</v>
      </c>
      <c r="AI26" s="100">
        <f t="shared" si="30"/>
        <v>0</v>
      </c>
      <c r="AJ26" s="5"/>
    </row>
    <row r="27" spans="1:37">
      <c r="A27" s="237"/>
      <c r="B27" s="241" t="s">
        <v>349</v>
      </c>
      <c r="C27" s="34"/>
      <c r="D27" s="34">
        <v>-0.8</v>
      </c>
      <c r="E27" s="34">
        <v>-2</v>
      </c>
      <c r="F27" s="34">
        <v>-25</v>
      </c>
      <c r="G27" s="34"/>
      <c r="H27" s="34"/>
      <c r="I27" s="34"/>
      <c r="J27" s="34">
        <v>-74</v>
      </c>
      <c r="K27" s="34"/>
      <c r="L27" s="204"/>
      <c r="M27" s="204"/>
      <c r="N27" s="204"/>
      <c r="O27" s="204"/>
      <c r="P27" s="204"/>
      <c r="Q27" s="249"/>
      <c r="R27" s="234"/>
      <c r="S27" s="100"/>
      <c r="T27" s="234"/>
      <c r="U27" s="100">
        <f t="shared" si="23"/>
        <v>-0.8</v>
      </c>
      <c r="V27" s="234">
        <v>-2</v>
      </c>
      <c r="W27" s="100">
        <f t="shared" si="24"/>
        <v>0</v>
      </c>
      <c r="X27" s="234"/>
      <c r="Y27" s="100">
        <f t="shared" si="25"/>
        <v>-25</v>
      </c>
      <c r="Z27" s="234"/>
      <c r="AA27" s="100">
        <f t="shared" si="26"/>
        <v>0</v>
      </c>
      <c r="AB27" s="234"/>
      <c r="AC27" s="100">
        <f t="shared" si="27"/>
        <v>0</v>
      </c>
      <c r="AD27" s="234"/>
      <c r="AE27" s="100">
        <f t="shared" si="28"/>
        <v>0</v>
      </c>
      <c r="AF27" s="234"/>
      <c r="AG27" s="100">
        <f t="shared" si="29"/>
        <v>-74</v>
      </c>
      <c r="AH27" s="234"/>
      <c r="AI27" s="100">
        <f t="shared" si="30"/>
        <v>0</v>
      </c>
      <c r="AJ27" s="5"/>
    </row>
    <row r="28" spans="1:37">
      <c r="A28" s="237"/>
      <c r="B28" s="241" t="s">
        <v>44</v>
      </c>
      <c r="C28" s="34"/>
      <c r="D28" s="34"/>
      <c r="E28" s="34">
        <v>544</v>
      </c>
      <c r="F28" s="34"/>
      <c r="G28" s="34"/>
      <c r="H28" s="34"/>
      <c r="I28" s="34">
        <v>280</v>
      </c>
      <c r="J28" s="34"/>
      <c r="K28" s="34">
        <v>-25</v>
      </c>
      <c r="L28" s="204"/>
      <c r="M28" s="204"/>
      <c r="N28" s="204"/>
      <c r="O28" s="204"/>
      <c r="P28" s="204"/>
      <c r="Q28" s="249"/>
      <c r="R28" s="234"/>
      <c r="S28" s="100"/>
      <c r="T28" s="234"/>
      <c r="U28" s="100">
        <f t="shared" si="23"/>
        <v>0</v>
      </c>
      <c r="V28" s="234">
        <v>359</v>
      </c>
      <c r="W28" s="100">
        <f t="shared" si="24"/>
        <v>185</v>
      </c>
      <c r="X28" s="234"/>
      <c r="Y28" s="100">
        <f t="shared" si="25"/>
        <v>0</v>
      </c>
      <c r="Z28" s="234"/>
      <c r="AA28" s="100">
        <f t="shared" si="26"/>
        <v>0</v>
      </c>
      <c r="AB28" s="234"/>
      <c r="AC28" s="100">
        <f t="shared" si="27"/>
        <v>0</v>
      </c>
      <c r="AD28" s="234"/>
      <c r="AE28" s="100">
        <f t="shared" si="28"/>
        <v>280</v>
      </c>
      <c r="AF28" s="234"/>
      <c r="AG28" s="100">
        <f t="shared" si="29"/>
        <v>0</v>
      </c>
      <c r="AH28" s="234"/>
      <c r="AI28" s="100">
        <f t="shared" si="30"/>
        <v>-25</v>
      </c>
      <c r="AJ28" s="5"/>
    </row>
    <row r="29" spans="1:37" s="6" customFormat="1">
      <c r="A29" s="237"/>
      <c r="B29" s="246" t="s">
        <v>204</v>
      </c>
      <c r="C29" s="247"/>
      <c r="D29" s="247">
        <f t="shared" ref="D29:P29" si="31">SUM(D23:D28)</f>
        <v>-502.50000000000006</v>
      </c>
      <c r="E29" s="247">
        <f t="shared" si="31"/>
        <v>-280</v>
      </c>
      <c r="F29" s="247">
        <f t="shared" si="31"/>
        <v>-658</v>
      </c>
      <c r="G29" s="247">
        <f t="shared" si="31"/>
        <v>-1106</v>
      </c>
      <c r="H29" s="247">
        <f t="shared" si="31"/>
        <v>-1142</v>
      </c>
      <c r="I29" s="247">
        <f t="shared" si="31"/>
        <v>-1000</v>
      </c>
      <c r="J29" s="247">
        <f t="shared" si="31"/>
        <v>-1513</v>
      </c>
      <c r="K29" s="247">
        <f t="shared" si="31"/>
        <v>-1364</v>
      </c>
      <c r="L29" s="247">
        <f t="shared" si="31"/>
        <v>-1200</v>
      </c>
      <c r="M29" s="247">
        <f t="shared" si="31"/>
        <v>-1236</v>
      </c>
      <c r="N29" s="247">
        <f t="shared" si="31"/>
        <v>-1273.08</v>
      </c>
      <c r="O29" s="247">
        <f t="shared" si="31"/>
        <v>-1311.2724000000001</v>
      </c>
      <c r="P29" s="247">
        <f t="shared" si="31"/>
        <v>-1350.610572</v>
      </c>
      <c r="Q29" s="248"/>
      <c r="R29" s="248"/>
      <c r="S29" s="248"/>
      <c r="T29" s="248">
        <f>SUM(T23:T28)</f>
        <v>-285</v>
      </c>
      <c r="U29" s="248">
        <f t="shared" si="23"/>
        <v>-217.50000000000006</v>
      </c>
      <c r="V29" s="248">
        <f>SUM(V23:V28)</f>
        <v>-117</v>
      </c>
      <c r="W29" s="248">
        <f t="shared" si="24"/>
        <v>-163</v>
      </c>
      <c r="X29" s="248">
        <f>SUM(X23:X28)</f>
        <v>-160</v>
      </c>
      <c r="Y29" s="248">
        <f t="shared" si="25"/>
        <v>-498</v>
      </c>
      <c r="Z29" s="248">
        <f>SUM(Z23:Z28)</f>
        <v>-507</v>
      </c>
      <c r="AA29" s="248">
        <f t="shared" si="26"/>
        <v>-599</v>
      </c>
      <c r="AB29" s="248">
        <f>SUM(AB23:AB28)</f>
        <v>-377</v>
      </c>
      <c r="AC29" s="248">
        <f t="shared" si="27"/>
        <v>-765</v>
      </c>
      <c r="AD29" s="248">
        <f>SUM(AD23:AD28)</f>
        <v>-578</v>
      </c>
      <c r="AE29" s="248">
        <f t="shared" si="28"/>
        <v>-422</v>
      </c>
      <c r="AF29" s="248">
        <f>SUM(AF23:AF28)</f>
        <v>-698</v>
      </c>
      <c r="AG29" s="248">
        <f t="shared" si="29"/>
        <v>-815</v>
      </c>
      <c r="AH29" s="248">
        <f>SUM(AH23:AH28)</f>
        <v>-585</v>
      </c>
      <c r="AI29" s="248">
        <f t="shared" si="30"/>
        <v>-779</v>
      </c>
      <c r="AJ29" s="5"/>
      <c r="AK29"/>
    </row>
    <row r="30" spans="1:37">
      <c r="A30" s="237"/>
      <c r="B30" s="241"/>
      <c r="C30" s="242"/>
      <c r="D30" s="242"/>
      <c r="E30" s="242"/>
      <c r="F30" s="242"/>
      <c r="G30" s="242"/>
      <c r="H30" s="242"/>
      <c r="I30" s="242"/>
      <c r="J30" s="242"/>
      <c r="K30" s="242"/>
      <c r="L30" s="243"/>
      <c r="M30" s="243"/>
      <c r="N30" s="243"/>
      <c r="O30" s="243"/>
      <c r="P30" s="243"/>
      <c r="Q30" s="244"/>
      <c r="R30" s="245"/>
      <c r="S30" s="245"/>
      <c r="T30" s="245"/>
      <c r="U30" s="245"/>
      <c r="V30" s="245"/>
      <c r="W30" s="245"/>
      <c r="X30" s="245"/>
      <c r="Y30" s="245"/>
      <c r="Z30" s="245"/>
      <c r="AA30" s="245"/>
      <c r="AB30" s="245"/>
      <c r="AC30" s="245"/>
      <c r="AD30" s="245"/>
      <c r="AE30" s="245"/>
      <c r="AF30" s="245"/>
      <c r="AG30" s="245"/>
      <c r="AH30" s="245"/>
      <c r="AI30" s="245"/>
      <c r="AJ30" s="5"/>
    </row>
    <row r="31" spans="1:37">
      <c r="B31" s="241" t="s">
        <v>150</v>
      </c>
      <c r="C31" s="242"/>
      <c r="D31" s="242"/>
      <c r="E31" s="34">
        <f>10260+170</f>
        <v>10430</v>
      </c>
      <c r="F31" s="34">
        <v>5120</v>
      </c>
      <c r="G31" s="34">
        <v>7232</v>
      </c>
      <c r="H31" s="34">
        <v>5082</v>
      </c>
      <c r="I31" s="34">
        <v>10812</v>
      </c>
      <c r="J31" s="34">
        <v>600</v>
      </c>
      <c r="K31" s="34">
        <v>300</v>
      </c>
      <c r="L31" s="168"/>
      <c r="M31" s="168"/>
      <c r="N31" s="168"/>
      <c r="O31" s="168"/>
      <c r="P31" s="168"/>
      <c r="Q31" s="244"/>
      <c r="R31" s="245"/>
      <c r="S31" s="100"/>
      <c r="T31" s="234"/>
      <c r="U31" s="100">
        <f t="shared" ref="U31:U37" si="32">D31-T31</f>
        <v>0</v>
      </c>
      <c r="V31" s="234">
        <f>3725+170</f>
        <v>3895</v>
      </c>
      <c r="W31" s="100">
        <f t="shared" ref="W31:W37" si="33">E31-V31</f>
        <v>6535</v>
      </c>
      <c r="X31" s="234">
        <v>3520</v>
      </c>
      <c r="Y31" s="100">
        <f t="shared" ref="Y31:Y37" si="34">F31-X31</f>
        <v>1600</v>
      </c>
      <c r="Z31" s="234">
        <v>4236</v>
      </c>
      <c r="AA31" s="100">
        <f t="shared" ref="AA31:AA37" si="35">G31-Z31</f>
        <v>2996</v>
      </c>
      <c r="AB31" s="234">
        <v>2158</v>
      </c>
      <c r="AC31" s="100">
        <f t="shared" ref="AC31:AC37" si="36">H31-AB31</f>
        <v>2924</v>
      </c>
      <c r="AD31" s="234">
        <v>5020</v>
      </c>
      <c r="AE31" s="100">
        <f t="shared" ref="AE31:AE37" si="37">I31-AD31</f>
        <v>5792</v>
      </c>
      <c r="AF31" s="234">
        <v>600</v>
      </c>
      <c r="AG31" s="100">
        <f t="shared" ref="AG31:AG37" si="38">J31-AF31</f>
        <v>0</v>
      </c>
      <c r="AH31" s="234"/>
      <c r="AI31" s="100">
        <f t="shared" ref="AI31:AI37" si="39">K31-AH31</f>
        <v>300</v>
      </c>
      <c r="AJ31" s="5"/>
    </row>
    <row r="32" spans="1:37">
      <c r="A32" s="237"/>
      <c r="B32" s="241" t="s">
        <v>368</v>
      </c>
      <c r="C32" s="34"/>
      <c r="D32" s="34">
        <v>-131</v>
      </c>
      <c r="E32" s="34">
        <f>-8800-3678</f>
        <v>-12478</v>
      </c>
      <c r="F32" s="34">
        <v>-5226</v>
      </c>
      <c r="G32" s="34">
        <v>-7444</v>
      </c>
      <c r="H32" s="34">
        <v>-5129</v>
      </c>
      <c r="I32" s="34">
        <v>-10789</v>
      </c>
      <c r="J32" s="34">
        <v>-75</v>
      </c>
      <c r="K32" s="34">
        <v>0</v>
      </c>
      <c r="L32" s="204"/>
      <c r="M32" s="204"/>
      <c r="N32" s="204"/>
      <c r="O32" s="204"/>
      <c r="P32" s="204"/>
      <c r="Q32" s="249"/>
      <c r="R32" s="234"/>
      <c r="S32" s="100"/>
      <c r="T32" s="234">
        <v>-711</v>
      </c>
      <c r="U32" s="100">
        <f t="shared" si="32"/>
        <v>580</v>
      </c>
      <c r="V32" s="234">
        <f>-2095-3678</f>
        <v>-5773</v>
      </c>
      <c r="W32" s="100">
        <f t="shared" si="33"/>
        <v>-6705</v>
      </c>
      <c r="X32" s="234">
        <v>-3625</v>
      </c>
      <c r="Y32" s="100">
        <f t="shared" si="34"/>
        <v>-1601</v>
      </c>
      <c r="Z32" s="234">
        <v>-4450</v>
      </c>
      <c r="AA32" s="100">
        <f t="shared" si="35"/>
        <v>-2994</v>
      </c>
      <c r="AB32" s="234">
        <v>-2256</v>
      </c>
      <c r="AC32" s="100">
        <f t="shared" si="36"/>
        <v>-2873</v>
      </c>
      <c r="AD32" s="234">
        <v>-5054</v>
      </c>
      <c r="AE32" s="100">
        <f t="shared" si="37"/>
        <v>-5735</v>
      </c>
      <c r="AF32" s="234">
        <v>-75</v>
      </c>
      <c r="AG32" s="100">
        <f t="shared" si="38"/>
        <v>0</v>
      </c>
      <c r="AH32" s="234">
        <v>618</v>
      </c>
      <c r="AI32" s="100">
        <f t="shared" si="39"/>
        <v>-618</v>
      </c>
      <c r="AJ32" s="5"/>
    </row>
    <row r="33" spans="1:37">
      <c r="A33" s="237" t="s">
        <v>283</v>
      </c>
      <c r="B33" s="241" t="s">
        <v>350</v>
      </c>
      <c r="C33" s="34"/>
      <c r="D33" s="34"/>
      <c r="E33" s="34">
        <v>0</v>
      </c>
      <c r="F33" s="34">
        <v>-846</v>
      </c>
      <c r="G33" s="34">
        <v>-891</v>
      </c>
      <c r="H33" s="34">
        <v>-901</v>
      </c>
      <c r="I33" s="34">
        <v>-907</v>
      </c>
      <c r="J33" s="34">
        <v>-834</v>
      </c>
      <c r="K33" s="34">
        <v>-911</v>
      </c>
      <c r="L33" s="168">
        <f>K33*1.05</f>
        <v>-956.55000000000007</v>
      </c>
      <c r="M33" s="168">
        <f t="shared" ref="M33" si="40">L33*1.05</f>
        <v>-1004.3775000000002</v>
      </c>
      <c r="N33" s="168">
        <f t="shared" ref="N33" si="41">M33*1.05</f>
        <v>-1054.5963750000003</v>
      </c>
      <c r="O33" s="168">
        <f t="shared" ref="O33" si="42">N33*1.05</f>
        <v>-1107.3261937500004</v>
      </c>
      <c r="P33" s="168">
        <f t="shared" ref="P33" si="43">O33*1.05</f>
        <v>-1162.6925034375004</v>
      </c>
      <c r="Q33" s="249"/>
      <c r="R33" s="234"/>
      <c r="S33" s="100"/>
      <c r="T33" s="234"/>
      <c r="U33" s="100">
        <f t="shared" si="32"/>
        <v>0</v>
      </c>
      <c r="V33" s="234"/>
      <c r="W33" s="100">
        <f t="shared" si="33"/>
        <v>0</v>
      </c>
      <c r="X33" s="234">
        <v>-416</v>
      </c>
      <c r="Y33" s="100">
        <f t="shared" si="34"/>
        <v>-430</v>
      </c>
      <c r="Z33" s="234">
        <v>-441</v>
      </c>
      <c r="AA33" s="100">
        <f t="shared" si="35"/>
        <v>-450</v>
      </c>
      <c r="AB33" s="234">
        <v>-444</v>
      </c>
      <c r="AC33" s="100">
        <f t="shared" si="36"/>
        <v>-457</v>
      </c>
      <c r="AD33" s="234">
        <v>-458</v>
      </c>
      <c r="AE33" s="100">
        <f t="shared" si="37"/>
        <v>-449</v>
      </c>
      <c r="AF33" s="234">
        <v>-410</v>
      </c>
      <c r="AG33" s="100">
        <f t="shared" si="38"/>
        <v>-424</v>
      </c>
      <c r="AH33" s="234">
        <v>-453</v>
      </c>
      <c r="AI33" s="100">
        <f t="shared" si="39"/>
        <v>-458</v>
      </c>
      <c r="AJ33" s="5"/>
    </row>
    <row r="34" spans="1:37">
      <c r="A34" s="237" t="s">
        <v>151</v>
      </c>
      <c r="B34" s="241" t="s">
        <v>151</v>
      </c>
      <c r="C34" s="34"/>
      <c r="D34" s="34"/>
      <c r="E34" s="34">
        <v>0</v>
      </c>
      <c r="F34" s="34">
        <v>-873</v>
      </c>
      <c r="G34" s="34">
        <v>-807</v>
      </c>
      <c r="H34" s="34">
        <v>-798</v>
      </c>
      <c r="I34" s="34">
        <v>-844</v>
      </c>
      <c r="J34" s="34">
        <v>-853</v>
      </c>
      <c r="K34" s="34">
        <v>-889</v>
      </c>
      <c r="L34" s="169">
        <f>-PL!L77*PL!L83</f>
        <v>-1104.9932355033097</v>
      </c>
      <c r="M34" s="169">
        <f>-PL!M77*PL!M83</f>
        <v>-1218.0835959890576</v>
      </c>
      <c r="N34" s="169">
        <f>-PL!N77*PL!N83</f>
        <v>-1301.9683815453072</v>
      </c>
      <c r="O34" s="169">
        <f>-PL!O77*PL!O83</f>
        <v>-1365.2511497571363</v>
      </c>
      <c r="P34" s="169">
        <f>-PL!P77*PL!P83</f>
        <v>-1429.6925826628406</v>
      </c>
      <c r="Q34" s="249"/>
      <c r="R34" s="234"/>
      <c r="S34" s="100"/>
      <c r="T34" s="234"/>
      <c r="U34" s="100">
        <f t="shared" si="32"/>
        <v>0</v>
      </c>
      <c r="V34" s="234"/>
      <c r="W34" s="100">
        <f t="shared" si="33"/>
        <v>0</v>
      </c>
      <c r="X34" s="234">
        <v>-474</v>
      </c>
      <c r="Y34" s="100">
        <f t="shared" si="34"/>
        <v>-399</v>
      </c>
      <c r="Z34" s="234">
        <v>-367</v>
      </c>
      <c r="AA34" s="100">
        <f t="shared" si="35"/>
        <v>-440</v>
      </c>
      <c r="AB34" s="234">
        <v>-373</v>
      </c>
      <c r="AC34" s="100">
        <f t="shared" si="36"/>
        <v>-425</v>
      </c>
      <c r="AD34" s="234">
        <v>-382</v>
      </c>
      <c r="AE34" s="100">
        <f t="shared" si="37"/>
        <v>-462</v>
      </c>
      <c r="AF34" s="234">
        <v>-388</v>
      </c>
      <c r="AG34" s="100">
        <f t="shared" si="38"/>
        <v>-465</v>
      </c>
      <c r="AH34" s="234">
        <v>-412</v>
      </c>
      <c r="AI34" s="100">
        <f t="shared" si="39"/>
        <v>-477</v>
      </c>
      <c r="AJ34" s="5"/>
    </row>
    <row r="35" spans="1:37">
      <c r="A35" s="237"/>
      <c r="B35" s="241" t="s">
        <v>351</v>
      </c>
      <c r="C35" s="34"/>
      <c r="D35" s="34"/>
      <c r="E35" s="34"/>
      <c r="F35" s="34"/>
      <c r="G35" s="34"/>
      <c r="H35" s="34"/>
      <c r="I35" s="34">
        <v>-21</v>
      </c>
      <c r="J35" s="34">
        <v>-14</v>
      </c>
      <c r="K35" s="34"/>
      <c r="L35" s="204"/>
      <c r="M35" s="204"/>
      <c r="N35" s="204"/>
      <c r="O35" s="204"/>
      <c r="P35" s="204"/>
      <c r="Q35" s="249"/>
      <c r="R35" s="234"/>
      <c r="S35" s="100"/>
      <c r="T35" s="234"/>
      <c r="U35" s="100">
        <f t="shared" si="32"/>
        <v>0</v>
      </c>
      <c r="V35" s="234"/>
      <c r="W35" s="100">
        <f t="shared" si="33"/>
        <v>0</v>
      </c>
      <c r="X35" s="234"/>
      <c r="Y35" s="100">
        <f t="shared" si="34"/>
        <v>0</v>
      </c>
      <c r="Z35" s="234"/>
      <c r="AA35" s="100">
        <f t="shared" si="35"/>
        <v>0</v>
      </c>
      <c r="AB35" s="234"/>
      <c r="AC35" s="100">
        <f t="shared" si="36"/>
        <v>0</v>
      </c>
      <c r="AD35" s="234"/>
      <c r="AE35" s="100">
        <f t="shared" si="37"/>
        <v>-21</v>
      </c>
      <c r="AF35" s="234">
        <v>-14</v>
      </c>
      <c r="AG35" s="100">
        <f t="shared" si="38"/>
        <v>0</v>
      </c>
      <c r="AH35" s="234"/>
      <c r="AI35" s="100">
        <f t="shared" si="39"/>
        <v>0</v>
      </c>
      <c r="AJ35" s="5"/>
    </row>
    <row r="36" spans="1:37">
      <c r="A36" s="237"/>
      <c r="B36" s="241" t="s">
        <v>352</v>
      </c>
      <c r="C36" s="34"/>
      <c r="D36" s="34"/>
      <c r="E36" s="34">
        <v>-27</v>
      </c>
      <c r="F36" s="34">
        <v>-17</v>
      </c>
      <c r="G36" s="34">
        <v>-26</v>
      </c>
      <c r="H36" s="34"/>
      <c r="I36" s="34">
        <v>-50</v>
      </c>
      <c r="J36" s="34">
        <v>-26</v>
      </c>
      <c r="K36" s="34">
        <v>-42</v>
      </c>
      <c r="L36" s="204"/>
      <c r="M36" s="204"/>
      <c r="N36" s="204"/>
      <c r="O36" s="204"/>
      <c r="P36" s="204"/>
      <c r="Q36" s="249"/>
      <c r="R36" s="234"/>
      <c r="S36" s="100"/>
      <c r="T36" s="234"/>
      <c r="U36" s="100">
        <f t="shared" si="32"/>
        <v>0</v>
      </c>
      <c r="V36" s="234">
        <v>-24</v>
      </c>
      <c r="W36" s="100">
        <f t="shared" si="33"/>
        <v>-3</v>
      </c>
      <c r="X36" s="234">
        <v>-20</v>
      </c>
      <c r="Y36" s="100">
        <f t="shared" si="34"/>
        <v>3</v>
      </c>
      <c r="Z36" s="234">
        <v>-21</v>
      </c>
      <c r="AA36" s="100">
        <f t="shared" si="35"/>
        <v>-5</v>
      </c>
      <c r="AB36" s="234"/>
      <c r="AC36" s="100">
        <f t="shared" si="36"/>
        <v>0</v>
      </c>
      <c r="AD36" s="234">
        <v>-27</v>
      </c>
      <c r="AE36" s="100">
        <f t="shared" si="37"/>
        <v>-23</v>
      </c>
      <c r="AF36" s="234">
        <v>-24</v>
      </c>
      <c r="AG36" s="100">
        <f t="shared" si="38"/>
        <v>-2</v>
      </c>
      <c r="AH36" s="234">
        <v>-43</v>
      </c>
      <c r="AI36" s="100">
        <f t="shared" si="39"/>
        <v>1</v>
      </c>
      <c r="AJ36" s="5"/>
    </row>
    <row r="37" spans="1:37">
      <c r="A37" s="237"/>
      <c r="B37" s="250" t="s">
        <v>44</v>
      </c>
      <c r="C37" s="34"/>
      <c r="D37" s="34">
        <v>-1106</v>
      </c>
      <c r="E37" s="34">
        <f>-320+1322-538</f>
        <v>464</v>
      </c>
      <c r="F37" s="34"/>
      <c r="G37" s="34"/>
      <c r="H37" s="34"/>
      <c r="I37" s="34"/>
      <c r="J37" s="34"/>
      <c r="K37" s="34"/>
      <c r="L37" s="204"/>
      <c r="M37" s="204"/>
      <c r="N37" s="204"/>
      <c r="O37" s="204"/>
      <c r="P37" s="204"/>
      <c r="Q37" s="249"/>
      <c r="R37" s="234"/>
      <c r="S37" s="100"/>
      <c r="T37" s="234"/>
      <c r="U37" s="100">
        <f t="shared" si="32"/>
        <v>-1106</v>
      </c>
      <c r="V37" s="234">
        <f>-320+1322-538</f>
        <v>464</v>
      </c>
      <c r="W37" s="100">
        <f t="shared" si="33"/>
        <v>0</v>
      </c>
      <c r="X37" s="234"/>
      <c r="Y37" s="100">
        <f t="shared" si="34"/>
        <v>0</v>
      </c>
      <c r="Z37" s="234"/>
      <c r="AA37" s="100">
        <f t="shared" si="35"/>
        <v>0</v>
      </c>
      <c r="AB37" s="234"/>
      <c r="AC37" s="100">
        <f t="shared" si="36"/>
        <v>0</v>
      </c>
      <c r="AD37" s="234"/>
      <c r="AE37" s="100">
        <f t="shared" si="37"/>
        <v>0</v>
      </c>
      <c r="AF37" s="234"/>
      <c r="AG37" s="100">
        <f t="shared" si="38"/>
        <v>0</v>
      </c>
      <c r="AH37" s="234"/>
      <c r="AI37" s="100">
        <f t="shared" si="39"/>
        <v>0</v>
      </c>
      <c r="AJ37" s="5"/>
    </row>
    <row r="38" spans="1:37" s="6" customFormat="1">
      <c r="A38" s="237"/>
      <c r="B38" s="246" t="s">
        <v>205</v>
      </c>
      <c r="C38" s="247"/>
      <c r="D38" s="247">
        <f>SUM(D31:D37)</f>
        <v>-1237</v>
      </c>
      <c r="E38" s="247">
        <f t="shared" ref="E38:K38" si="44">SUM(E31:E37)</f>
        <v>-1611</v>
      </c>
      <c r="F38" s="247">
        <f t="shared" si="44"/>
        <v>-1842</v>
      </c>
      <c r="G38" s="247">
        <f t="shared" si="44"/>
        <v>-1936</v>
      </c>
      <c r="H38" s="247">
        <f t="shared" si="44"/>
        <v>-1746</v>
      </c>
      <c r="I38" s="247">
        <f t="shared" si="44"/>
        <v>-1799</v>
      </c>
      <c r="J38" s="247">
        <f t="shared" si="44"/>
        <v>-1202</v>
      </c>
      <c r="K38" s="247">
        <f t="shared" si="44"/>
        <v>-1542</v>
      </c>
      <c r="L38" s="247">
        <f>SUM(L31:L36)</f>
        <v>-2061.5432355033099</v>
      </c>
      <c r="M38" s="247">
        <f>SUM(M31:M36)</f>
        <v>-2222.4610959890579</v>
      </c>
      <c r="N38" s="247">
        <f>SUM(N31:N36)</f>
        <v>-2356.5647565453073</v>
      </c>
      <c r="O38" s="247">
        <f>SUM(O31:O36)</f>
        <v>-2472.5773435071369</v>
      </c>
      <c r="P38" s="247">
        <f>SUM(P31:P36)</f>
        <v>-2592.3850861003411</v>
      </c>
      <c r="Q38" s="248"/>
      <c r="R38" s="248"/>
      <c r="S38" s="248"/>
      <c r="T38" s="248">
        <f>SUM(T31:T37)</f>
        <v>-711</v>
      </c>
      <c r="U38" s="248">
        <f>D38-T38</f>
        <v>-526</v>
      </c>
      <c r="V38" s="248">
        <f>SUM(V31:V37)</f>
        <v>-1438</v>
      </c>
      <c r="W38" s="248">
        <f>E38-V38</f>
        <v>-173</v>
      </c>
      <c r="X38" s="248">
        <f>SUM(X31:X37)</f>
        <v>-1015</v>
      </c>
      <c r="Y38" s="248">
        <f>F38-X38</f>
        <v>-827</v>
      </c>
      <c r="Z38" s="248">
        <f>SUM(Z31:Z37)</f>
        <v>-1043</v>
      </c>
      <c r="AA38" s="248">
        <f>G38-Z38</f>
        <v>-893</v>
      </c>
      <c r="AB38" s="248">
        <f>SUM(AB31:AB37)</f>
        <v>-915</v>
      </c>
      <c r="AC38" s="248">
        <f>H38-AB38</f>
        <v>-831</v>
      </c>
      <c r="AD38" s="248">
        <f>SUM(AD31:AD37)</f>
        <v>-901</v>
      </c>
      <c r="AE38" s="248">
        <f>I38-AD38</f>
        <v>-898</v>
      </c>
      <c r="AF38" s="248">
        <f>SUM(AF31:AF37)</f>
        <v>-311</v>
      </c>
      <c r="AG38" s="248">
        <f>J38-AF38</f>
        <v>-891</v>
      </c>
      <c r="AH38" s="248">
        <f>SUM(AH31:AH37)</f>
        <v>-290</v>
      </c>
      <c r="AI38" s="248">
        <f>K38-AH38</f>
        <v>-1252</v>
      </c>
      <c r="AJ38" s="5"/>
      <c r="AK38"/>
    </row>
    <row r="39" spans="1:37">
      <c r="A39" s="237"/>
      <c r="B39" s="241"/>
      <c r="C39" s="242"/>
      <c r="D39" s="242"/>
      <c r="E39" s="242"/>
      <c r="F39" s="242"/>
      <c r="G39" s="242"/>
      <c r="H39" s="242"/>
      <c r="I39" s="242"/>
      <c r="J39" s="242"/>
      <c r="K39" s="242"/>
      <c r="L39" s="243"/>
      <c r="M39" s="243"/>
      <c r="N39" s="243"/>
      <c r="O39" s="243"/>
      <c r="P39" s="243"/>
      <c r="Q39" s="244"/>
      <c r="R39" s="245"/>
      <c r="S39" s="245"/>
      <c r="T39" s="245"/>
      <c r="U39" s="245"/>
      <c r="V39" s="245"/>
      <c r="W39" s="245"/>
      <c r="X39" s="245"/>
      <c r="Y39" s="245"/>
      <c r="Z39" s="245"/>
      <c r="AA39" s="245"/>
      <c r="AB39" s="245"/>
      <c r="AC39" s="245"/>
      <c r="AD39" s="245"/>
      <c r="AE39" s="245"/>
      <c r="AF39" s="245"/>
      <c r="AG39" s="245"/>
      <c r="AH39" s="245"/>
      <c r="AI39" s="245"/>
      <c r="AJ39" s="5"/>
    </row>
    <row r="40" spans="1:37" s="6" customFormat="1">
      <c r="A40" s="237"/>
      <c r="B40" s="246" t="s">
        <v>206</v>
      </c>
      <c r="C40" s="247"/>
      <c r="D40" s="251">
        <v>385.6</v>
      </c>
      <c r="E40" s="247">
        <f t="shared" ref="E40:K40" si="45">D42</f>
        <v>555.99999999999693</v>
      </c>
      <c r="F40" s="247">
        <f t="shared" si="45"/>
        <v>939.99999999999693</v>
      </c>
      <c r="G40" s="247">
        <f t="shared" si="45"/>
        <v>991.99999999999693</v>
      </c>
      <c r="H40" s="247">
        <f t="shared" si="45"/>
        <v>786.99999999999693</v>
      </c>
      <c r="I40" s="247">
        <f t="shared" si="45"/>
        <v>588.99999999999693</v>
      </c>
      <c r="J40" s="247">
        <f t="shared" si="45"/>
        <v>596.99999999999693</v>
      </c>
      <c r="K40" s="247">
        <f t="shared" si="45"/>
        <v>674.99999999999693</v>
      </c>
      <c r="L40" s="247">
        <f t="shared" ref="L40:P40" si="46">K42</f>
        <v>704.99999999999693</v>
      </c>
      <c r="M40" s="247">
        <f t="shared" si="46"/>
        <v>737.00076684336148</v>
      </c>
      <c r="N40" s="247">
        <f t="shared" si="46"/>
        <v>781.50581440956341</v>
      </c>
      <c r="O40" s="247">
        <f t="shared" si="46"/>
        <v>852.91404561965976</v>
      </c>
      <c r="P40" s="247">
        <f t="shared" si="46"/>
        <v>931.37742057819071</v>
      </c>
      <c r="Q40" s="248"/>
      <c r="R40" s="248"/>
      <c r="S40" s="248"/>
      <c r="T40" s="251">
        <v>288</v>
      </c>
      <c r="U40" s="248">
        <f>D40-T40</f>
        <v>97.600000000000023</v>
      </c>
      <c r="V40" s="248">
        <f>D42</f>
        <v>555.99999999999693</v>
      </c>
      <c r="W40" s="248">
        <f>E40-V40</f>
        <v>0</v>
      </c>
      <c r="X40" s="248">
        <f>E42</f>
        <v>939.99999999999693</v>
      </c>
      <c r="Y40" s="248">
        <f>F40-X40</f>
        <v>0</v>
      </c>
      <c r="Z40" s="248">
        <f>F42</f>
        <v>991.99999999999693</v>
      </c>
      <c r="AA40" s="248">
        <f>G40-Z40</f>
        <v>0</v>
      </c>
      <c r="AB40" s="248">
        <f>G42</f>
        <v>786.99999999999693</v>
      </c>
      <c r="AC40" s="248">
        <f>H40-AB40</f>
        <v>0</v>
      </c>
      <c r="AD40" s="248">
        <f>H42</f>
        <v>588.99999999999693</v>
      </c>
      <c r="AE40" s="248">
        <f>I40-AD40</f>
        <v>0</v>
      </c>
      <c r="AF40" s="248">
        <f>I42</f>
        <v>596.99999999999693</v>
      </c>
      <c r="AG40" s="248">
        <f>J40-AF40</f>
        <v>0</v>
      </c>
      <c r="AH40" s="248">
        <f>J42</f>
        <v>674.99999999999693</v>
      </c>
      <c r="AI40" s="248">
        <f>K40-AH40</f>
        <v>0</v>
      </c>
      <c r="AJ40" s="5"/>
      <c r="AK40"/>
    </row>
    <row r="41" spans="1:37">
      <c r="A41" s="237" t="s">
        <v>291</v>
      </c>
      <c r="B41" s="241" t="s">
        <v>208</v>
      </c>
      <c r="C41" s="242"/>
      <c r="D41" s="242">
        <f t="shared" ref="D41:P41" si="47">D38+D29+D21</f>
        <v>170.39999999999691</v>
      </c>
      <c r="E41" s="242">
        <f t="shared" si="47"/>
        <v>384</v>
      </c>
      <c r="F41" s="242">
        <f t="shared" si="47"/>
        <v>52</v>
      </c>
      <c r="G41" s="242">
        <f t="shared" si="47"/>
        <v>-205</v>
      </c>
      <c r="H41" s="242">
        <f t="shared" si="47"/>
        <v>-198</v>
      </c>
      <c r="I41" s="242">
        <f t="shared" si="47"/>
        <v>8</v>
      </c>
      <c r="J41" s="242">
        <f t="shared" si="47"/>
        <v>78</v>
      </c>
      <c r="K41" s="242">
        <f t="shared" si="47"/>
        <v>30</v>
      </c>
      <c r="L41" s="243">
        <f t="shared" si="47"/>
        <v>32.000766843364545</v>
      </c>
      <c r="M41" s="243">
        <f t="shared" si="47"/>
        <v>44.505047566201938</v>
      </c>
      <c r="N41" s="243">
        <f t="shared" si="47"/>
        <v>71.408231210096346</v>
      </c>
      <c r="O41" s="243">
        <f t="shared" si="47"/>
        <v>78.463374958530949</v>
      </c>
      <c r="P41" s="243">
        <f t="shared" si="47"/>
        <v>85.413113498008443</v>
      </c>
      <c r="Q41" s="244"/>
      <c r="R41" s="245"/>
      <c r="S41" s="100"/>
      <c r="T41" s="245">
        <f>T38+T29+T21</f>
        <v>231</v>
      </c>
      <c r="U41" s="100">
        <f>D41-T41</f>
        <v>-60.600000000003092</v>
      </c>
      <c r="V41" s="245">
        <f>V38+V29+V21</f>
        <v>159</v>
      </c>
      <c r="W41" s="100">
        <f>E41-V41</f>
        <v>225</v>
      </c>
      <c r="X41" s="245">
        <f>X38+X29+X21</f>
        <v>-151</v>
      </c>
      <c r="Y41" s="100">
        <f>F41-X41</f>
        <v>203</v>
      </c>
      <c r="Z41" s="245">
        <f>Z38+Z29+Z21</f>
        <v>186</v>
      </c>
      <c r="AA41" s="100">
        <f>G41-Z41</f>
        <v>-391</v>
      </c>
      <c r="AB41" s="245">
        <f>AB38+AB29+AB21</f>
        <v>311</v>
      </c>
      <c r="AC41" s="100">
        <f>H41-AB41</f>
        <v>-509</v>
      </c>
      <c r="AD41" s="245">
        <f>AD38+AD29+AD21</f>
        <v>114</v>
      </c>
      <c r="AE41" s="100">
        <f>I41-AD41</f>
        <v>-106</v>
      </c>
      <c r="AF41" s="245">
        <f>AF38+AF29+AF21</f>
        <v>495</v>
      </c>
      <c r="AG41" s="100">
        <f>J41-AF41</f>
        <v>-417</v>
      </c>
      <c r="AH41" s="245">
        <f>AH38+AH29+AH21</f>
        <v>-25</v>
      </c>
      <c r="AI41" s="100">
        <f>K41-AH41</f>
        <v>55</v>
      </c>
      <c r="AJ41" s="5"/>
    </row>
    <row r="42" spans="1:37" s="6" customFormat="1">
      <c r="A42" s="237"/>
      <c r="B42" s="246" t="s">
        <v>207</v>
      </c>
      <c r="C42" s="247"/>
      <c r="D42" s="247">
        <f t="shared" ref="D42:AI42" si="48">D40+D41</f>
        <v>555.99999999999693</v>
      </c>
      <c r="E42" s="247">
        <f t="shared" si="48"/>
        <v>939.99999999999693</v>
      </c>
      <c r="F42" s="247">
        <f t="shared" si="48"/>
        <v>991.99999999999693</v>
      </c>
      <c r="G42" s="247">
        <f t="shared" si="48"/>
        <v>786.99999999999693</v>
      </c>
      <c r="H42" s="247">
        <f t="shared" si="48"/>
        <v>588.99999999999693</v>
      </c>
      <c r="I42" s="247">
        <f t="shared" si="48"/>
        <v>596.99999999999693</v>
      </c>
      <c r="J42" s="247">
        <f t="shared" si="48"/>
        <v>674.99999999999693</v>
      </c>
      <c r="K42" s="247">
        <f t="shared" si="48"/>
        <v>704.99999999999693</v>
      </c>
      <c r="L42" s="247">
        <f t="shared" si="48"/>
        <v>737.00076684336148</v>
      </c>
      <c r="M42" s="247">
        <f t="shared" si="48"/>
        <v>781.50581440956341</v>
      </c>
      <c r="N42" s="247">
        <f t="shared" si="48"/>
        <v>852.91404561965976</v>
      </c>
      <c r="O42" s="247">
        <f t="shared" si="48"/>
        <v>931.37742057819071</v>
      </c>
      <c r="P42" s="247">
        <f t="shared" si="48"/>
        <v>1016.7905340761992</v>
      </c>
      <c r="Q42" s="248"/>
      <c r="R42" s="248"/>
      <c r="S42" s="248"/>
      <c r="T42" s="248">
        <f t="shared" si="48"/>
        <v>519</v>
      </c>
      <c r="U42" s="248">
        <f t="shared" si="48"/>
        <v>36.99999999999693</v>
      </c>
      <c r="V42" s="248">
        <f t="shared" si="48"/>
        <v>714.99999999999693</v>
      </c>
      <c r="W42" s="248">
        <f t="shared" si="48"/>
        <v>225</v>
      </c>
      <c r="X42" s="248">
        <f t="shared" si="48"/>
        <v>788.99999999999693</v>
      </c>
      <c r="Y42" s="248">
        <f t="shared" si="48"/>
        <v>203</v>
      </c>
      <c r="Z42" s="248">
        <f t="shared" si="48"/>
        <v>1177.9999999999968</v>
      </c>
      <c r="AA42" s="248">
        <f t="shared" si="48"/>
        <v>-391</v>
      </c>
      <c r="AB42" s="248">
        <f t="shared" si="48"/>
        <v>1097.9999999999968</v>
      </c>
      <c r="AC42" s="248">
        <f t="shared" si="48"/>
        <v>-509</v>
      </c>
      <c r="AD42" s="248">
        <f t="shared" si="48"/>
        <v>702.99999999999693</v>
      </c>
      <c r="AE42" s="248">
        <f t="shared" si="48"/>
        <v>-106</v>
      </c>
      <c r="AF42" s="248">
        <f t="shared" si="48"/>
        <v>1091.9999999999968</v>
      </c>
      <c r="AG42" s="248">
        <f t="shared" si="48"/>
        <v>-417</v>
      </c>
      <c r="AH42" s="248">
        <f t="shared" si="48"/>
        <v>649.99999999999693</v>
      </c>
      <c r="AI42" s="248">
        <f t="shared" si="48"/>
        <v>55</v>
      </c>
      <c r="AJ42" s="5"/>
      <c r="AK42"/>
    </row>
    <row r="43" spans="1:37">
      <c r="B43" s="320"/>
      <c r="C43" s="321"/>
      <c r="D43" s="321"/>
      <c r="E43" s="321"/>
      <c r="F43" s="321"/>
      <c r="G43" s="321"/>
      <c r="H43" s="321"/>
      <c r="I43" s="321"/>
      <c r="J43" s="321"/>
      <c r="K43" s="321"/>
      <c r="L43" s="322"/>
      <c r="M43" s="322"/>
      <c r="N43" s="322"/>
      <c r="O43" s="322"/>
      <c r="P43" s="322"/>
      <c r="Q43" s="323"/>
      <c r="R43" s="320"/>
      <c r="S43" s="320"/>
      <c r="T43" s="320"/>
      <c r="U43" s="320"/>
      <c r="V43" s="320"/>
      <c r="W43" s="320"/>
      <c r="X43" s="320"/>
      <c r="Y43" s="320"/>
      <c r="Z43" s="320"/>
      <c r="AA43" s="320"/>
      <c r="AB43" s="320"/>
      <c r="AC43" s="320"/>
      <c r="AD43" s="320"/>
      <c r="AE43" s="320"/>
      <c r="AF43" s="320"/>
      <c r="AG43" s="320"/>
      <c r="AH43" s="320"/>
      <c r="AI43" s="320"/>
      <c r="AJ43" s="5"/>
    </row>
    <row r="44" spans="1:37" s="5" customFormat="1" ht="12.75">
      <c r="A44" s="36" t="s">
        <v>441</v>
      </c>
      <c r="B44" s="37" t="s">
        <v>441</v>
      </c>
      <c r="C44" s="52"/>
      <c r="D44" s="28">
        <f>D23+D24</f>
        <v>-501.70000000000005</v>
      </c>
      <c r="E44" s="28">
        <f t="shared" ref="E44:P44" si="49">E23+E24</f>
        <v>-816</v>
      </c>
      <c r="F44" s="28">
        <f t="shared" si="49"/>
        <v>-622</v>
      </c>
      <c r="G44" s="28">
        <f t="shared" si="49"/>
        <v>-1098</v>
      </c>
      <c r="H44" s="28">
        <f t="shared" si="49"/>
        <v>-1136</v>
      </c>
      <c r="I44" s="28">
        <f t="shared" si="49"/>
        <v>-1266</v>
      </c>
      <c r="J44" s="28">
        <f t="shared" si="49"/>
        <v>-1416</v>
      </c>
      <c r="K44" s="28">
        <f t="shared" si="49"/>
        <v>-1282</v>
      </c>
      <c r="L44" s="166">
        <f t="shared" si="49"/>
        <v>-1200</v>
      </c>
      <c r="M44" s="166">
        <f t="shared" si="49"/>
        <v>-1236</v>
      </c>
      <c r="N44" s="166">
        <f t="shared" si="49"/>
        <v>-1273.08</v>
      </c>
      <c r="O44" s="166">
        <f t="shared" si="49"/>
        <v>-1311.2724000000001</v>
      </c>
      <c r="P44" s="166">
        <f t="shared" si="49"/>
        <v>-1350.610572</v>
      </c>
      <c r="Q44" s="163"/>
      <c r="R44" s="46"/>
      <c r="S44" s="46"/>
      <c r="T44" s="46"/>
      <c r="U44" s="46"/>
      <c r="V44" s="46"/>
      <c r="W44" s="46"/>
      <c r="X44" s="46"/>
      <c r="Y44" s="46"/>
      <c r="Z44" s="46"/>
      <c r="AA44" s="46"/>
      <c r="AB44" s="46"/>
      <c r="AC44" s="46"/>
      <c r="AD44" s="46"/>
      <c r="AE44" s="46"/>
      <c r="AF44" s="46"/>
      <c r="AG44" s="46"/>
      <c r="AH44" s="46"/>
      <c r="AI44" s="46"/>
    </row>
    <row r="45" spans="1:37">
      <c r="B45" s="320"/>
      <c r="C45" s="321"/>
      <c r="D45" s="321"/>
      <c r="E45" s="321"/>
      <c r="F45" s="321"/>
      <c r="G45" s="321"/>
      <c r="H45" s="321"/>
      <c r="I45" s="321"/>
      <c r="J45" s="321"/>
      <c r="K45" s="321"/>
      <c r="L45" s="322"/>
      <c r="M45" s="322"/>
      <c r="N45" s="322"/>
      <c r="O45" s="322"/>
      <c r="P45" s="322"/>
      <c r="Q45" s="323"/>
      <c r="R45" s="320"/>
      <c r="S45" s="320"/>
      <c r="T45" s="320"/>
      <c r="U45" s="320"/>
      <c r="V45" s="320"/>
      <c r="W45" s="320"/>
      <c r="X45" s="320"/>
      <c r="Y45" s="320"/>
      <c r="Z45" s="320"/>
      <c r="AA45" s="320"/>
      <c r="AB45" s="320"/>
      <c r="AC45" s="320"/>
      <c r="AD45" s="320"/>
      <c r="AE45" s="320"/>
      <c r="AF45" s="320"/>
      <c r="AG45" s="320"/>
      <c r="AH45" s="320"/>
      <c r="AI45" s="320"/>
      <c r="AJ45" s="5"/>
    </row>
    <row r="46" spans="1:37">
      <c r="AJ46" s="5"/>
    </row>
    <row r="47" spans="1:37">
      <c r="AJ47" s="5"/>
    </row>
    <row r="48" spans="1:37" s="5" customFormat="1" ht="12.75">
      <c r="A48" s="36" t="s">
        <v>459</v>
      </c>
      <c r="B48" s="37"/>
      <c r="C48" s="52"/>
      <c r="D48" s="28"/>
      <c r="E48" s="28"/>
      <c r="F48" s="28"/>
      <c r="G48" s="28"/>
      <c r="H48" s="28"/>
      <c r="I48" s="28">
        <f>I36+I35</f>
        <v>-71</v>
      </c>
      <c r="J48" s="28">
        <f>J36+J35</f>
        <v>-40</v>
      </c>
      <c r="K48" s="28">
        <f>K36+K35</f>
        <v>-42</v>
      </c>
      <c r="L48" s="28">
        <f t="shared" ref="L48:P48" si="50">L36+L35</f>
        <v>0</v>
      </c>
      <c r="M48" s="28">
        <f t="shared" si="50"/>
        <v>0</v>
      </c>
      <c r="N48" s="28">
        <f t="shared" si="50"/>
        <v>0</v>
      </c>
      <c r="O48" s="28">
        <f t="shared" si="50"/>
        <v>0</v>
      </c>
      <c r="P48" s="28">
        <f t="shared" si="50"/>
        <v>0</v>
      </c>
      <c r="Q48" s="163"/>
      <c r="R48" s="46"/>
      <c r="S48" s="46"/>
      <c r="T48" s="46"/>
      <c r="U48" s="46"/>
      <c r="V48" s="46"/>
      <c r="W48" s="46"/>
      <c r="X48" s="46"/>
      <c r="Y48" s="46"/>
      <c r="Z48" s="46"/>
      <c r="AA48" s="46"/>
      <c r="AB48" s="46"/>
      <c r="AC48" s="46"/>
      <c r="AD48" s="46"/>
      <c r="AE48" s="46"/>
      <c r="AF48" s="46"/>
      <c r="AG48" s="46"/>
      <c r="AH48" s="46"/>
      <c r="AI48" s="46"/>
    </row>
    <row r="49" spans="1:36">
      <c r="AJ49" s="5"/>
    </row>
    <row r="50" spans="1:36">
      <c r="A50" s="36" t="s">
        <v>460</v>
      </c>
      <c r="I50" s="233">
        <f t="shared" ref="I50:J50" si="51">I25+I26+I28+I27</f>
        <v>266</v>
      </c>
      <c r="J50" s="233">
        <f t="shared" si="51"/>
        <v>-97</v>
      </c>
      <c r="K50" s="233">
        <f>K25+K26+K28+K27</f>
        <v>-82</v>
      </c>
      <c r="L50" s="233">
        <f t="shared" ref="L50:P50" si="52">L25+L26+L28+L27</f>
        <v>0</v>
      </c>
      <c r="M50" s="233">
        <f t="shared" si="52"/>
        <v>0</v>
      </c>
      <c r="N50" s="233">
        <f t="shared" si="52"/>
        <v>0</v>
      </c>
      <c r="O50" s="233">
        <f t="shared" si="52"/>
        <v>0</v>
      </c>
      <c r="P50" s="233">
        <f t="shared" si="52"/>
        <v>0</v>
      </c>
      <c r="AJ50" s="5"/>
    </row>
    <row r="51" spans="1:36">
      <c r="AJ51" s="5"/>
    </row>
    <row r="52" spans="1:36">
      <c r="AJ52" s="5"/>
    </row>
    <row r="53" spans="1:36">
      <c r="AJ53" s="5"/>
    </row>
    <row r="54" spans="1:36">
      <c r="AJ54" s="5"/>
    </row>
    <row r="55" spans="1:36">
      <c r="AJ55" s="5"/>
    </row>
    <row r="56" spans="1:36">
      <c r="AJ56" s="5"/>
    </row>
    <row r="57" spans="1:36">
      <c r="AJ57" s="5"/>
    </row>
    <row r="58" spans="1:36">
      <c r="AJ58" s="5"/>
    </row>
    <row r="59" spans="1:36">
      <c r="AJ59" s="5"/>
    </row>
    <row r="60" spans="1:36">
      <c r="AJ60" s="5"/>
    </row>
    <row r="61" spans="1:36">
      <c r="AJ61" s="5"/>
    </row>
    <row r="62" spans="1:36">
      <c r="AJ62" s="5"/>
    </row>
    <row r="63" spans="1:36">
      <c r="AJ63" s="5"/>
    </row>
    <row r="64" spans="1:36">
      <c r="AJ64" s="5"/>
    </row>
    <row r="65" spans="36:36">
      <c r="AJ65" s="5"/>
    </row>
    <row r="66" spans="36:36">
      <c r="AJ66" s="5"/>
    </row>
    <row r="81" spans="5:5">
      <c r="E81" s="233"/>
    </row>
  </sheetData>
  <pageMargins left="0.7" right="0.7" top="0.75" bottom="0.75" header="0.3" footer="0.3"/>
  <customProperties>
    <customPr name="Qube.Worksheet.Visibility" r:id="rId1"/>
    <customPr name="QXL_SHEET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A883-707C-4554-8D0E-ED4157863BF3}">
  <sheetPr>
    <tabColor theme="7" tint="0.59999389629810485"/>
  </sheetPr>
  <dimension ref="A1:AP71"/>
  <sheetViews>
    <sheetView showGridLines="0" zoomScale="85" zoomScaleNormal="85" workbookViewId="0">
      <pane xSplit="2" ySplit="4" topLeftCell="C5" activePane="bottomRight" state="frozen"/>
      <selection activeCell="R64" sqref="R64"/>
      <selection pane="topRight" activeCell="R64" sqref="R64"/>
      <selection pane="bottomLeft" activeCell="R64" sqref="R64"/>
      <selection pane="bottomRight" activeCell="P50" sqref="P50"/>
    </sheetView>
  </sheetViews>
  <sheetFormatPr defaultColWidth="9.140625" defaultRowHeight="12.75" outlineLevelCol="1"/>
  <cols>
    <col min="1" max="1" width="26.42578125" style="36" hidden="1" customWidth="1" outlineLevel="1"/>
    <col min="2" max="2" width="32.140625" style="5" customWidth="1" collapsed="1"/>
    <col min="3" max="3" width="10.7109375" style="12" customWidth="1"/>
    <col min="4" max="16" width="10.7109375" style="211" customWidth="1"/>
    <col min="17" max="17" width="9.42578125" style="211" customWidth="1"/>
    <col min="18" max="18" width="7" style="211" customWidth="1"/>
    <col min="19" max="35" width="9.140625" style="211" customWidth="1"/>
    <col min="36" max="16384" width="9.140625" style="5"/>
  </cols>
  <sheetData>
    <row r="1" spans="1:42" s="7" customFormat="1">
      <c r="A1" s="153"/>
      <c r="B1" s="4" t="s">
        <v>306</v>
      </c>
      <c r="C1" s="11"/>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row>
    <row r="2" spans="1:42" s="7" customFormat="1">
      <c r="A2" s="153"/>
      <c r="B2" s="4" t="s">
        <v>47</v>
      </c>
      <c r="C2" s="11"/>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row>
    <row r="3" spans="1:42" s="7" customFormat="1">
      <c r="A3" s="153"/>
      <c r="B3" s="4"/>
      <c r="C3" s="118" t="str">
        <f>Model!C3</f>
        <v>FY17</v>
      </c>
      <c r="D3" s="25" t="str">
        <f>Model!D3</f>
        <v>FY18</v>
      </c>
      <c r="E3" s="25" t="str">
        <f>Model!E3</f>
        <v>FY19</v>
      </c>
      <c r="F3" s="25" t="str">
        <f>Model!F3</f>
        <v>FY20</v>
      </c>
      <c r="G3" s="25" t="str">
        <f>Model!G3</f>
        <v>FY21</v>
      </c>
      <c r="H3" s="25" t="str">
        <f>Model!H3</f>
        <v>FY22</v>
      </c>
      <c r="I3" s="25" t="str">
        <f>Model!I3</f>
        <v>FY23</v>
      </c>
      <c r="J3" s="25" t="str">
        <f>Model!J3</f>
        <v>FY24</v>
      </c>
      <c r="K3" s="25" t="str">
        <f>Model!K3</f>
        <v>FY25</v>
      </c>
      <c r="L3" s="25" t="s">
        <v>29</v>
      </c>
      <c r="M3" s="25" t="s">
        <v>30</v>
      </c>
      <c r="N3" s="25" t="s">
        <v>215</v>
      </c>
      <c r="O3" s="25" t="s">
        <v>262</v>
      </c>
      <c r="P3" s="25" t="s">
        <v>263</v>
      </c>
      <c r="Q3" s="25"/>
      <c r="R3" s="25"/>
      <c r="S3" s="25" t="str">
        <f>Model!T3</f>
        <v>2H17</v>
      </c>
      <c r="T3" s="25" t="str">
        <f>Model!U3</f>
        <v>1H18</v>
      </c>
      <c r="U3" s="25" t="str">
        <f>Model!V3</f>
        <v>2H18</v>
      </c>
      <c r="V3" s="25" t="str">
        <f>Model!W3</f>
        <v>1H19</v>
      </c>
      <c r="W3" s="25" t="str">
        <f>Model!X3</f>
        <v>2H19</v>
      </c>
      <c r="X3" s="25" t="str">
        <f>Model!Y3</f>
        <v>1H20</v>
      </c>
      <c r="Y3" s="25" t="str">
        <f>Model!Z3</f>
        <v>2H20</v>
      </c>
      <c r="Z3" s="25" t="str">
        <f>Model!AA3</f>
        <v>1H21</v>
      </c>
      <c r="AA3" s="25" t="str">
        <f>Model!AB3</f>
        <v>2H21</v>
      </c>
      <c r="AB3" s="25" t="str">
        <f>Model!AC3</f>
        <v>1H22</v>
      </c>
      <c r="AC3" s="25" t="str">
        <f>Model!AD3</f>
        <v>2H22</v>
      </c>
      <c r="AD3" s="25" t="str">
        <f>Model!AE3</f>
        <v>1H23</v>
      </c>
      <c r="AE3" s="25" t="str">
        <f>Model!AF3</f>
        <v>2H23</v>
      </c>
      <c r="AF3" s="25" t="str">
        <f>Model!AG3</f>
        <v>1H24</v>
      </c>
      <c r="AG3" s="25" t="str">
        <f>Model!AH3</f>
        <v>2H24</v>
      </c>
      <c r="AH3" s="25" t="str">
        <f>Model!AI3</f>
        <v>1H25</v>
      </c>
      <c r="AI3" s="25" t="str">
        <f>Model!AJ3</f>
        <v>2H25</v>
      </c>
    </row>
    <row r="4" spans="1:42" s="7" customFormat="1">
      <c r="A4" s="153"/>
      <c r="B4" s="1" t="s">
        <v>65</v>
      </c>
      <c r="C4" s="118"/>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row>
    <row r="5" spans="1:42">
      <c r="B5" s="35" t="s">
        <v>66</v>
      </c>
      <c r="C5" s="52"/>
      <c r="D5" s="239"/>
      <c r="E5" s="239"/>
      <c r="F5" s="239"/>
      <c r="G5" s="239"/>
      <c r="H5" s="239"/>
      <c r="I5" s="239"/>
      <c r="J5" s="239"/>
      <c r="K5" s="239"/>
      <c r="L5" s="240"/>
      <c r="M5" s="240"/>
      <c r="N5" s="240"/>
      <c r="O5" s="240"/>
      <c r="P5" s="240"/>
      <c r="Q5" s="240"/>
      <c r="R5" s="239"/>
      <c r="S5" s="239"/>
      <c r="T5" s="239"/>
      <c r="U5" s="239"/>
      <c r="V5" s="239"/>
      <c r="W5" s="239"/>
      <c r="X5" s="239"/>
      <c r="Y5" s="239"/>
      <c r="Z5" s="239"/>
      <c r="AA5" s="239"/>
      <c r="AB5" s="239"/>
      <c r="AC5" s="239"/>
      <c r="AD5" s="239"/>
      <c r="AE5" s="239"/>
      <c r="AF5" s="239"/>
      <c r="AG5" s="239"/>
      <c r="AH5" s="239"/>
      <c r="AI5" s="239"/>
    </row>
    <row r="6" spans="1:42">
      <c r="A6" s="36" t="s">
        <v>129</v>
      </c>
      <c r="B6" s="29" t="s">
        <v>332</v>
      </c>
      <c r="C6" s="30"/>
      <c r="D6" s="34">
        <v>686.1</v>
      </c>
      <c r="E6" s="34">
        <v>940.4</v>
      </c>
      <c r="F6" s="34">
        <v>992</v>
      </c>
      <c r="G6" s="34">
        <v>787</v>
      </c>
      <c r="H6" s="34">
        <v>589</v>
      </c>
      <c r="I6" s="34">
        <v>597</v>
      </c>
      <c r="J6" s="34">
        <v>675.00000000000011</v>
      </c>
      <c r="K6" s="34">
        <v>705.00000000000011</v>
      </c>
      <c r="L6" s="169">
        <f>CF!L42</f>
        <v>737.00076684336148</v>
      </c>
      <c r="M6" s="169">
        <f>CF!M42</f>
        <v>781.50581440956341</v>
      </c>
      <c r="N6" s="169">
        <f>CF!N42</f>
        <v>852.91404561965976</v>
      </c>
      <c r="O6" s="169">
        <f>CF!O42</f>
        <v>931.37742057819071</v>
      </c>
      <c r="P6" s="169">
        <f>CF!P42</f>
        <v>1016.7905340761992</v>
      </c>
      <c r="Q6" s="205"/>
      <c r="R6" s="30"/>
      <c r="S6" s="242"/>
      <c r="T6" s="34">
        <v>669</v>
      </c>
      <c r="U6" s="33"/>
      <c r="V6" s="34">
        <v>484</v>
      </c>
      <c r="W6" s="33"/>
      <c r="X6" s="34">
        <v>797</v>
      </c>
      <c r="Y6" s="33"/>
      <c r="Z6" s="34">
        <v>1178</v>
      </c>
      <c r="AA6" s="33"/>
      <c r="AB6" s="34">
        <v>1098</v>
      </c>
      <c r="AC6" s="33"/>
      <c r="AD6" s="34">
        <v>698</v>
      </c>
      <c r="AE6" s="33"/>
      <c r="AF6" s="34">
        <v>1092</v>
      </c>
      <c r="AG6" s="33"/>
      <c r="AH6" s="34">
        <v>625.00000000000011</v>
      </c>
      <c r="AI6" s="33"/>
    </row>
    <row r="7" spans="1:42">
      <c r="A7" s="36" t="s">
        <v>257</v>
      </c>
      <c r="B7" s="29" t="s">
        <v>333</v>
      </c>
      <c r="C7" s="33"/>
      <c r="D7" s="34">
        <v>497.2</v>
      </c>
      <c r="E7" s="34">
        <v>359.7</v>
      </c>
      <c r="F7" s="34">
        <v>434</v>
      </c>
      <c r="G7" s="34">
        <v>368</v>
      </c>
      <c r="H7" s="34">
        <v>470</v>
      </c>
      <c r="I7" s="34">
        <v>605</v>
      </c>
      <c r="J7" s="34">
        <v>496</v>
      </c>
      <c r="K7" s="34">
        <v>487</v>
      </c>
      <c r="L7" s="169">
        <f t="shared" ref="L7:P7" si="0">L48</f>
        <v>503.09134134276064</v>
      </c>
      <c r="M7" s="169">
        <f t="shared" si="0"/>
        <v>518.65138974149215</v>
      </c>
      <c r="N7" s="169">
        <f t="shared" si="0"/>
        <v>540.50588213631124</v>
      </c>
      <c r="O7" s="169">
        <f t="shared" si="0"/>
        <v>563.20326379758546</v>
      </c>
      <c r="P7" s="169">
        <f t="shared" si="0"/>
        <v>586.77442284709309</v>
      </c>
      <c r="Q7" s="205"/>
      <c r="R7" s="30"/>
      <c r="S7" s="242"/>
      <c r="T7" s="34">
        <v>721</v>
      </c>
      <c r="U7" s="33"/>
      <c r="V7" s="34">
        <v>560</v>
      </c>
      <c r="W7" s="33"/>
      <c r="X7" s="34">
        <v>353</v>
      </c>
      <c r="Y7" s="33"/>
      <c r="Z7" s="34">
        <v>415</v>
      </c>
      <c r="AA7" s="33"/>
      <c r="AB7" s="34">
        <v>336</v>
      </c>
      <c r="AC7" s="33"/>
      <c r="AD7" s="34">
        <v>473</v>
      </c>
      <c r="AE7" s="33"/>
      <c r="AF7" s="34">
        <v>553</v>
      </c>
      <c r="AG7" s="33"/>
      <c r="AH7" s="34">
        <v>500</v>
      </c>
      <c r="AI7" s="33"/>
    </row>
    <row r="8" spans="1:42">
      <c r="A8" s="36" t="s">
        <v>67</v>
      </c>
      <c r="B8" s="29" t="s">
        <v>219</v>
      </c>
      <c r="C8" s="33"/>
      <c r="D8" s="34">
        <v>3442.3</v>
      </c>
      <c r="E8" s="34">
        <v>1964.7</v>
      </c>
      <c r="F8" s="34">
        <v>2166</v>
      </c>
      <c r="G8" s="34">
        <v>2107</v>
      </c>
      <c r="H8" s="34">
        <v>2448</v>
      </c>
      <c r="I8" s="34">
        <v>2323</v>
      </c>
      <c r="J8" s="34">
        <v>2703</v>
      </c>
      <c r="K8" s="34">
        <v>2733</v>
      </c>
      <c r="L8" s="169">
        <f>L52</f>
        <v>2823.303153777751</v>
      </c>
      <c r="M8" s="169">
        <f t="shared" ref="M8:P8" si="1">M52</f>
        <v>2910.6247395554374</v>
      </c>
      <c r="N8" s="169">
        <f t="shared" si="1"/>
        <v>3033.2701763419682</v>
      </c>
      <c r="O8" s="169">
        <f t="shared" si="1"/>
        <v>3160.6458315375789</v>
      </c>
      <c r="P8" s="169">
        <f t="shared" si="1"/>
        <v>3292.925046490976</v>
      </c>
      <c r="Q8" s="205"/>
      <c r="R8" s="30"/>
      <c r="S8" s="242"/>
      <c r="T8" s="34">
        <v>3863</v>
      </c>
      <c r="U8" s="33"/>
      <c r="V8" s="34">
        <v>2429</v>
      </c>
      <c r="W8" s="33"/>
      <c r="X8" s="34">
        <v>2473</v>
      </c>
      <c r="Y8" s="33"/>
      <c r="Z8" s="34">
        <v>2423</v>
      </c>
      <c r="AA8" s="33"/>
      <c r="AB8" s="34">
        <v>2387</v>
      </c>
      <c r="AC8" s="33"/>
      <c r="AD8" s="34">
        <v>2825</v>
      </c>
      <c r="AE8" s="33"/>
      <c r="AF8" s="34">
        <v>2868</v>
      </c>
      <c r="AG8" s="33"/>
      <c r="AH8" s="34">
        <v>2957</v>
      </c>
      <c r="AI8" s="33"/>
    </row>
    <row r="9" spans="1:42">
      <c r="B9" s="29" t="s">
        <v>334</v>
      </c>
      <c r="C9" s="30"/>
      <c r="D9" s="30"/>
      <c r="E9" s="30"/>
      <c r="F9" s="30">
        <v>42</v>
      </c>
      <c r="G9" s="30"/>
      <c r="H9" s="30">
        <v>42</v>
      </c>
      <c r="I9" s="34">
        <v>4</v>
      </c>
      <c r="J9" s="34"/>
      <c r="K9" s="34">
        <v>28</v>
      </c>
      <c r="L9" s="168">
        <f>K9</f>
        <v>28</v>
      </c>
      <c r="M9" s="168">
        <f t="shared" ref="M9:P10" si="2">L9</f>
        <v>28</v>
      </c>
      <c r="N9" s="168">
        <f t="shared" si="2"/>
        <v>28</v>
      </c>
      <c r="O9" s="168">
        <f t="shared" si="2"/>
        <v>28</v>
      </c>
      <c r="P9" s="168">
        <f t="shared" si="2"/>
        <v>28</v>
      </c>
      <c r="Q9" s="205"/>
      <c r="R9" s="30"/>
      <c r="S9" s="242"/>
      <c r="T9" s="34"/>
      <c r="U9" s="33"/>
      <c r="V9" s="34">
        <v>118</v>
      </c>
      <c r="W9" s="33"/>
      <c r="X9" s="34">
        <v>53</v>
      </c>
      <c r="Y9" s="33"/>
      <c r="Z9" s="34"/>
      <c r="AA9" s="33"/>
      <c r="AB9" s="34"/>
      <c r="AC9" s="33"/>
      <c r="AD9" s="34">
        <v>55</v>
      </c>
      <c r="AE9" s="33"/>
      <c r="AF9" s="34"/>
      <c r="AG9" s="33"/>
      <c r="AH9" s="34"/>
      <c r="AI9" s="33"/>
    </row>
    <row r="10" spans="1:42">
      <c r="B10" s="29" t="s">
        <v>335</v>
      </c>
      <c r="C10" s="28"/>
      <c r="D10" s="242"/>
      <c r="E10" s="34">
        <v>94.1</v>
      </c>
      <c r="F10" s="34">
        <v>75</v>
      </c>
      <c r="G10" s="30">
        <v>85</v>
      </c>
      <c r="H10" s="30">
        <v>82</v>
      </c>
      <c r="I10" s="34">
        <v>127</v>
      </c>
      <c r="J10" s="34">
        <v>3</v>
      </c>
      <c r="K10" s="34">
        <v>105</v>
      </c>
      <c r="L10" s="168">
        <f>K10</f>
        <v>105</v>
      </c>
      <c r="M10" s="168">
        <f t="shared" si="2"/>
        <v>105</v>
      </c>
      <c r="N10" s="168">
        <f t="shared" si="2"/>
        <v>105</v>
      </c>
      <c r="O10" s="168">
        <f t="shared" si="2"/>
        <v>105</v>
      </c>
      <c r="P10" s="168">
        <f t="shared" si="2"/>
        <v>105</v>
      </c>
      <c r="Q10" s="205"/>
      <c r="R10" s="242"/>
      <c r="S10" s="242"/>
      <c r="T10" s="34">
        <v>59</v>
      </c>
      <c r="U10" s="33"/>
      <c r="V10" s="34">
        <v>125</v>
      </c>
      <c r="W10" s="33"/>
      <c r="X10" s="34">
        <v>106</v>
      </c>
      <c r="Y10" s="242"/>
      <c r="Z10" s="34">
        <v>48</v>
      </c>
      <c r="AA10" s="33"/>
      <c r="AB10" s="34">
        <v>57</v>
      </c>
      <c r="AC10" s="33"/>
      <c r="AD10" s="34">
        <v>1209</v>
      </c>
      <c r="AE10" s="33"/>
      <c r="AF10" s="34">
        <v>47</v>
      </c>
      <c r="AG10" s="33"/>
      <c r="AH10" s="34">
        <v>76</v>
      </c>
      <c r="AI10" s="33"/>
    </row>
    <row r="11" spans="1:42">
      <c r="A11" s="36" t="s">
        <v>258</v>
      </c>
      <c r="B11" s="29" t="s">
        <v>44</v>
      </c>
      <c r="C11" s="28"/>
      <c r="D11" s="34">
        <v>99.5</v>
      </c>
      <c r="E11" s="34">
        <v>47</v>
      </c>
      <c r="F11" s="34">
        <v>70</v>
      </c>
      <c r="G11" s="34">
        <v>87</v>
      </c>
      <c r="H11" s="30">
        <v>120</v>
      </c>
      <c r="I11" s="34">
        <v>96</v>
      </c>
      <c r="J11" s="34">
        <v>109</v>
      </c>
      <c r="K11" s="34">
        <v>120</v>
      </c>
      <c r="L11" s="168">
        <f>K11</f>
        <v>120</v>
      </c>
      <c r="M11" s="168">
        <f t="shared" ref="M11" si="3">L11</f>
        <v>120</v>
      </c>
      <c r="N11" s="168">
        <f t="shared" ref="N11" si="4">M11</f>
        <v>120</v>
      </c>
      <c r="O11" s="168">
        <f t="shared" ref="O11" si="5">N11</f>
        <v>120</v>
      </c>
      <c r="P11" s="168">
        <f t="shared" ref="P11" si="6">O11</f>
        <v>120</v>
      </c>
      <c r="Q11" s="205"/>
      <c r="R11" s="242"/>
      <c r="S11" s="242"/>
      <c r="T11" s="34">
        <v>165</v>
      </c>
      <c r="U11" s="33"/>
      <c r="V11" s="34"/>
      <c r="W11" s="33"/>
      <c r="X11" s="34">
        <v>63</v>
      </c>
      <c r="Y11" s="242"/>
      <c r="Z11" s="34">
        <v>69</v>
      </c>
      <c r="AA11" s="33"/>
      <c r="AB11" s="34">
        <v>97</v>
      </c>
      <c r="AC11" s="33"/>
      <c r="AD11" s="34">
        <v>122</v>
      </c>
      <c r="AE11" s="33"/>
      <c r="AF11" s="34">
        <v>121</v>
      </c>
      <c r="AG11" s="33"/>
      <c r="AH11" s="34">
        <v>128</v>
      </c>
      <c r="AI11" s="33"/>
    </row>
    <row r="12" spans="1:42" s="6" customFormat="1">
      <c r="A12" s="36" t="s">
        <v>274</v>
      </c>
      <c r="B12" s="157" t="s">
        <v>68</v>
      </c>
      <c r="C12" s="158"/>
      <c r="D12" s="247">
        <f t="shared" ref="D12:J12" si="7">SUM(D6:D11)</f>
        <v>4725.1000000000004</v>
      </c>
      <c r="E12" s="247">
        <f t="shared" si="7"/>
        <v>3405.9</v>
      </c>
      <c r="F12" s="247">
        <f t="shared" si="7"/>
        <v>3779</v>
      </c>
      <c r="G12" s="247">
        <f t="shared" si="7"/>
        <v>3434</v>
      </c>
      <c r="H12" s="247">
        <f t="shared" si="7"/>
        <v>3751</v>
      </c>
      <c r="I12" s="247">
        <f t="shared" si="7"/>
        <v>3752</v>
      </c>
      <c r="J12" s="247">
        <f t="shared" si="7"/>
        <v>3986</v>
      </c>
      <c r="K12" s="247">
        <f>SUM(K6:K11)</f>
        <v>4178</v>
      </c>
      <c r="L12" s="247">
        <f t="shared" ref="L12:P12" si="8">SUM(L6:L11)</f>
        <v>4316.3952619638731</v>
      </c>
      <c r="M12" s="247">
        <f t="shared" si="8"/>
        <v>4463.7819437064927</v>
      </c>
      <c r="N12" s="247">
        <f t="shared" si="8"/>
        <v>4679.6901040979392</v>
      </c>
      <c r="O12" s="247">
        <f t="shared" si="8"/>
        <v>4908.2265159133549</v>
      </c>
      <c r="P12" s="247">
        <f t="shared" si="8"/>
        <v>5149.4900034142684</v>
      </c>
      <c r="Q12" s="205"/>
      <c r="R12" s="247"/>
      <c r="S12" s="247"/>
      <c r="T12" s="247">
        <f>SUM(T6:T11)</f>
        <v>5477</v>
      </c>
      <c r="U12" s="247"/>
      <c r="V12" s="247">
        <f>SUM(V6:V11)</f>
        <v>3716</v>
      </c>
      <c r="W12" s="247"/>
      <c r="X12" s="247">
        <f>SUM(X6:X11)</f>
        <v>3845</v>
      </c>
      <c r="Y12" s="247"/>
      <c r="Z12" s="247">
        <f>SUM(Z6:Z11)</f>
        <v>4133</v>
      </c>
      <c r="AA12" s="247"/>
      <c r="AB12" s="247">
        <f>SUM(AB6:AB11)</f>
        <v>3975</v>
      </c>
      <c r="AC12" s="247"/>
      <c r="AD12" s="247">
        <f>SUM(AD6:AD11)</f>
        <v>5382</v>
      </c>
      <c r="AE12" s="247"/>
      <c r="AF12" s="247">
        <f>SUM(AF6:AF11)</f>
        <v>4681</v>
      </c>
      <c r="AG12" s="247"/>
      <c r="AH12" s="247">
        <f>SUM(AH6:AH11)</f>
        <v>4286</v>
      </c>
      <c r="AI12" s="247"/>
      <c r="AJ12" s="5"/>
      <c r="AK12" s="5"/>
      <c r="AL12" s="5"/>
      <c r="AM12" s="5"/>
      <c r="AN12" s="5"/>
      <c r="AO12" s="5"/>
      <c r="AP12" s="5"/>
    </row>
    <row r="13" spans="1:42">
      <c r="B13" s="46"/>
      <c r="C13" s="28"/>
      <c r="D13" s="242"/>
      <c r="E13" s="242"/>
      <c r="F13" s="242"/>
      <c r="G13" s="242"/>
      <c r="H13" s="242"/>
      <c r="I13" s="242"/>
      <c r="J13" s="242"/>
      <c r="K13" s="242"/>
      <c r="L13" s="243"/>
      <c r="M13" s="243"/>
      <c r="N13" s="243"/>
      <c r="O13" s="243"/>
      <c r="P13" s="243"/>
      <c r="Q13" s="205"/>
      <c r="R13" s="242"/>
      <c r="S13" s="242"/>
      <c r="T13" s="242"/>
      <c r="U13" s="242"/>
      <c r="V13" s="242"/>
      <c r="W13" s="242"/>
      <c r="X13" s="242"/>
      <c r="Y13" s="242"/>
      <c r="Z13" s="242"/>
      <c r="AA13" s="242"/>
      <c r="AB13" s="242"/>
      <c r="AC13" s="242"/>
      <c r="AD13" s="242"/>
      <c r="AE13" s="242"/>
      <c r="AF13" s="242"/>
      <c r="AG13" s="242"/>
      <c r="AH13" s="242"/>
      <c r="AI13" s="242"/>
    </row>
    <row r="14" spans="1:42">
      <c r="A14" s="36" t="s">
        <v>69</v>
      </c>
      <c r="B14" s="46" t="s">
        <v>222</v>
      </c>
      <c r="C14" s="30"/>
      <c r="D14" s="34">
        <v>5223</v>
      </c>
      <c r="E14" s="34">
        <v>4119.2</v>
      </c>
      <c r="F14" s="34">
        <v>4127</v>
      </c>
      <c r="G14" s="34">
        <v>4463</v>
      </c>
      <c r="H14" s="34">
        <v>4807</v>
      </c>
      <c r="I14" s="34">
        <v>4985</v>
      </c>
      <c r="J14" s="34">
        <v>5619</v>
      </c>
      <c r="K14" s="34">
        <v>5866</v>
      </c>
      <c r="L14" s="169">
        <f>K14+PL!L28-CF!L23</f>
        <v>6072.9250000000002</v>
      </c>
      <c r="M14" s="169">
        <f>L14+PL!M28-CF!M23</f>
        <v>6271.3529500000004</v>
      </c>
      <c r="N14" s="169">
        <f>M14+PL!N28-CF!N23</f>
        <v>6460.4168762500003</v>
      </c>
      <c r="O14" s="169">
        <f>N14+PL!O28-CF!O23</f>
        <v>6639.1984778387496</v>
      </c>
      <c r="P14" s="169">
        <f>O14+PL!P28-CF!P23</f>
        <v>6806.7255449199056</v>
      </c>
      <c r="Q14" s="205"/>
      <c r="R14" s="30"/>
      <c r="S14" s="33"/>
      <c r="T14" s="34">
        <v>5199</v>
      </c>
      <c r="U14" s="33"/>
      <c r="V14" s="34">
        <v>4201</v>
      </c>
      <c r="W14" s="33"/>
      <c r="X14" s="34">
        <v>3918</v>
      </c>
      <c r="Y14" s="33"/>
      <c r="Z14" s="34">
        <v>4276</v>
      </c>
      <c r="AA14" s="34"/>
      <c r="AB14" s="34">
        <v>4432</v>
      </c>
      <c r="AC14" s="33"/>
      <c r="AD14" s="34">
        <v>4755</v>
      </c>
      <c r="AE14" s="33"/>
      <c r="AF14" s="34">
        <v>5252</v>
      </c>
      <c r="AG14" s="33"/>
      <c r="AH14" s="34">
        <v>5562</v>
      </c>
      <c r="AI14" s="33"/>
    </row>
    <row r="15" spans="1:42">
      <c r="A15" s="36" t="s">
        <v>276</v>
      </c>
      <c r="B15" s="46" t="s">
        <v>336</v>
      </c>
      <c r="C15" s="30"/>
      <c r="D15" s="34"/>
      <c r="E15" s="34"/>
      <c r="F15" s="34">
        <v>7660</v>
      </c>
      <c r="G15" s="34">
        <v>7288</v>
      </c>
      <c r="H15" s="34">
        <v>7199</v>
      </c>
      <c r="I15" s="34">
        <v>6507</v>
      </c>
      <c r="J15" s="34">
        <v>7048</v>
      </c>
      <c r="K15" s="34">
        <v>6942</v>
      </c>
      <c r="L15" s="252">
        <f>K15+PL!L27+L69</f>
        <v>6987.19</v>
      </c>
      <c r="M15" s="252">
        <f>L15+PL!M27+M69</f>
        <v>7048.9616499999993</v>
      </c>
      <c r="N15" s="252">
        <f>M15+PL!N27+N69</f>
        <v>7128.6453077499991</v>
      </c>
      <c r="O15" s="252">
        <f>N15+PL!O27+O69</f>
        <v>7227.6553935212496</v>
      </c>
      <c r="P15" s="252">
        <f>O15+PL!P27+P69</f>
        <v>7347.4952072944943</v>
      </c>
      <c r="Q15" s="205"/>
      <c r="R15" s="30"/>
      <c r="S15" s="33"/>
      <c r="T15" s="34"/>
      <c r="U15" s="33"/>
      <c r="V15" s="34"/>
      <c r="W15" s="33"/>
      <c r="X15" s="34">
        <v>7347</v>
      </c>
      <c r="Y15" s="33"/>
      <c r="Z15" s="34">
        <v>7703</v>
      </c>
      <c r="AA15" s="30"/>
      <c r="AB15" s="34">
        <v>7162</v>
      </c>
      <c r="AC15" s="33"/>
      <c r="AD15" s="34">
        <v>6434</v>
      </c>
      <c r="AE15" s="33"/>
      <c r="AF15" s="34">
        <v>6363</v>
      </c>
      <c r="AG15" s="33"/>
      <c r="AH15" s="34">
        <v>7041</v>
      </c>
      <c r="AI15" s="33"/>
    </row>
    <row r="16" spans="1:42">
      <c r="A16" s="36" t="s">
        <v>223</v>
      </c>
      <c r="B16" s="46" t="s">
        <v>337</v>
      </c>
      <c r="C16" s="33"/>
      <c r="D16" s="34">
        <v>1965.7</v>
      </c>
      <c r="E16" s="34">
        <v>1540.6</v>
      </c>
      <c r="F16" s="34">
        <v>1597</v>
      </c>
      <c r="G16" s="34">
        <v>1698</v>
      </c>
      <c r="H16" s="34">
        <v>1864</v>
      </c>
      <c r="I16" s="34">
        <v>2035</v>
      </c>
      <c r="J16" s="34">
        <v>2203</v>
      </c>
      <c r="K16" s="34">
        <v>2246</v>
      </c>
      <c r="L16" s="169">
        <f>K16</f>
        <v>2246</v>
      </c>
      <c r="M16" s="169">
        <f t="shared" ref="M16:P16" si="9">L16</f>
        <v>2246</v>
      </c>
      <c r="N16" s="169">
        <f t="shared" si="9"/>
        <v>2246</v>
      </c>
      <c r="O16" s="169">
        <f t="shared" si="9"/>
        <v>2246</v>
      </c>
      <c r="P16" s="169">
        <f t="shared" si="9"/>
        <v>2246</v>
      </c>
      <c r="Q16" s="205"/>
      <c r="R16" s="33"/>
      <c r="S16" s="33"/>
      <c r="T16" s="34">
        <v>1950</v>
      </c>
      <c r="U16" s="33"/>
      <c r="V16" s="34">
        <v>1660</v>
      </c>
      <c r="W16" s="33"/>
      <c r="X16" s="34">
        <v>1553</v>
      </c>
      <c r="Y16" s="33"/>
      <c r="Z16" s="34">
        <v>1620</v>
      </c>
      <c r="AA16" s="34"/>
      <c r="AB16" s="34">
        <v>1806</v>
      </c>
      <c r="AC16" s="33"/>
      <c r="AD16" s="34">
        <v>1887</v>
      </c>
      <c r="AE16" s="33"/>
      <c r="AF16" s="34">
        <v>2094</v>
      </c>
      <c r="AG16" s="33"/>
      <c r="AH16" s="34">
        <v>2247</v>
      </c>
      <c r="AI16" s="33"/>
    </row>
    <row r="17" spans="1:42">
      <c r="B17" s="46" t="s">
        <v>338</v>
      </c>
      <c r="C17" s="30"/>
      <c r="D17" s="34">
        <v>540.29999999999995</v>
      </c>
      <c r="E17" s="34">
        <v>364.9</v>
      </c>
      <c r="F17" s="34">
        <v>849</v>
      </c>
      <c r="G17" s="34">
        <v>873</v>
      </c>
      <c r="H17" s="34">
        <v>822</v>
      </c>
      <c r="I17" s="34">
        <v>740</v>
      </c>
      <c r="J17" s="34">
        <v>717</v>
      </c>
      <c r="K17" s="34">
        <v>671</v>
      </c>
      <c r="L17" s="168">
        <f>K17</f>
        <v>671</v>
      </c>
      <c r="M17" s="168">
        <f t="shared" ref="M17:P19" si="10">L17</f>
        <v>671</v>
      </c>
      <c r="N17" s="168">
        <f t="shared" si="10"/>
        <v>671</v>
      </c>
      <c r="O17" s="168">
        <f t="shared" si="10"/>
        <v>671</v>
      </c>
      <c r="P17" s="168">
        <f t="shared" si="10"/>
        <v>671</v>
      </c>
      <c r="Q17" s="205"/>
      <c r="R17" s="34"/>
      <c r="S17" s="33"/>
      <c r="T17" s="34">
        <v>718</v>
      </c>
      <c r="U17" s="33"/>
      <c r="V17" s="34">
        <v>537</v>
      </c>
      <c r="W17" s="33"/>
      <c r="X17" s="34">
        <v>772</v>
      </c>
      <c r="Y17" s="33"/>
      <c r="Z17" s="34">
        <v>870</v>
      </c>
      <c r="AA17" s="30"/>
      <c r="AB17" s="34">
        <v>852</v>
      </c>
      <c r="AC17" s="33"/>
      <c r="AD17" s="34">
        <v>725</v>
      </c>
      <c r="AE17" s="33"/>
      <c r="AF17" s="34">
        <v>729</v>
      </c>
      <c r="AG17" s="33"/>
      <c r="AH17" s="34">
        <v>706</v>
      </c>
      <c r="AI17" s="33"/>
    </row>
    <row r="18" spans="1:42">
      <c r="B18" s="46" t="s">
        <v>339</v>
      </c>
      <c r="C18" s="30"/>
      <c r="D18" s="34"/>
      <c r="E18" s="34">
        <v>212.3</v>
      </c>
      <c r="F18" s="34">
        <v>217</v>
      </c>
      <c r="G18" s="34">
        <v>220</v>
      </c>
      <c r="H18" s="34">
        <v>219</v>
      </c>
      <c r="I18" s="34">
        <v>220</v>
      </c>
      <c r="J18" s="34">
        <v>225</v>
      </c>
      <c r="K18" s="34">
        <v>240</v>
      </c>
      <c r="L18" s="169">
        <f>K18-CF!L25-CF!L26-CF!L27</f>
        <v>240</v>
      </c>
      <c r="M18" s="169">
        <f>L18-CF!M25-CF!M26-CF!M27</f>
        <v>240</v>
      </c>
      <c r="N18" s="169">
        <f>M18-CF!N25-CF!N26-CF!N27</f>
        <v>240</v>
      </c>
      <c r="O18" s="169">
        <f>N18-CF!O25-CF!O26-CF!O27</f>
        <v>240</v>
      </c>
      <c r="P18" s="169">
        <f>O18-CF!P25-CF!P26-CF!P27</f>
        <v>240</v>
      </c>
      <c r="Q18" s="205"/>
      <c r="R18" s="30"/>
      <c r="S18" s="33"/>
      <c r="T18" s="34"/>
      <c r="U18" s="33"/>
      <c r="V18" s="34">
        <v>12</v>
      </c>
      <c r="W18" s="33"/>
      <c r="X18" s="34">
        <v>221</v>
      </c>
      <c r="Y18" s="33"/>
      <c r="Z18" s="34">
        <v>220</v>
      </c>
      <c r="AA18" s="30"/>
      <c r="AB18" s="34">
        <v>221</v>
      </c>
      <c r="AC18" s="33"/>
      <c r="AD18" s="255">
        <v>226</v>
      </c>
      <c r="AE18" s="33"/>
      <c r="AF18" s="255">
        <v>237</v>
      </c>
      <c r="AG18" s="33"/>
      <c r="AH18" s="255">
        <v>239</v>
      </c>
      <c r="AI18" s="33"/>
    </row>
    <row r="19" spans="1:42">
      <c r="B19" s="46" t="s">
        <v>44</v>
      </c>
      <c r="C19" s="30"/>
      <c r="D19" s="34">
        <v>90.6</v>
      </c>
      <c r="E19" s="34">
        <v>134.1</v>
      </c>
      <c r="F19" s="34">
        <v>120</v>
      </c>
      <c r="G19" s="34">
        <v>147</v>
      </c>
      <c r="H19" s="34">
        <v>174</v>
      </c>
      <c r="I19" s="34">
        <v>53</v>
      </c>
      <c r="J19" s="34">
        <v>72</v>
      </c>
      <c r="K19" s="34">
        <v>151</v>
      </c>
      <c r="L19" s="168">
        <f>K19</f>
        <v>151</v>
      </c>
      <c r="M19" s="168">
        <f t="shared" si="10"/>
        <v>151</v>
      </c>
      <c r="N19" s="168">
        <f t="shared" si="10"/>
        <v>151</v>
      </c>
      <c r="O19" s="168">
        <f t="shared" si="10"/>
        <v>151</v>
      </c>
      <c r="P19" s="168">
        <f t="shared" si="10"/>
        <v>151</v>
      </c>
      <c r="Q19" s="205"/>
      <c r="R19" s="30"/>
      <c r="S19" s="33"/>
      <c r="T19" s="34">
        <v>135</v>
      </c>
      <c r="U19" s="33"/>
      <c r="V19" s="34">
        <v>24</v>
      </c>
      <c r="W19" s="33"/>
      <c r="X19" s="34">
        <v>118</v>
      </c>
      <c r="Y19" s="33"/>
      <c r="Z19" s="34">
        <v>137</v>
      </c>
      <c r="AA19" s="30"/>
      <c r="AB19" s="34">
        <v>144</v>
      </c>
      <c r="AC19" s="33"/>
      <c r="AD19" s="34">
        <v>59</v>
      </c>
      <c r="AE19" s="33"/>
      <c r="AF19" s="34">
        <v>129</v>
      </c>
      <c r="AG19" s="33"/>
      <c r="AH19" s="34">
        <v>118</v>
      </c>
      <c r="AI19" s="33"/>
    </row>
    <row r="20" spans="1:42" s="6" customFormat="1">
      <c r="A20" s="36" t="s">
        <v>259</v>
      </c>
      <c r="B20" s="157" t="s">
        <v>70</v>
      </c>
      <c r="C20" s="158"/>
      <c r="D20" s="247">
        <f>SUM(D14:D19)</f>
        <v>7819.6</v>
      </c>
      <c r="E20" s="247">
        <f t="shared" ref="E20:K20" si="11">SUM(E14:E19)</f>
        <v>6371.0999999999995</v>
      </c>
      <c r="F20" s="247">
        <f t="shared" si="11"/>
        <v>14570</v>
      </c>
      <c r="G20" s="247">
        <f t="shared" si="11"/>
        <v>14689</v>
      </c>
      <c r="H20" s="247">
        <f t="shared" si="11"/>
        <v>15085</v>
      </c>
      <c r="I20" s="247">
        <f t="shared" si="11"/>
        <v>14540</v>
      </c>
      <c r="J20" s="247">
        <f t="shared" si="11"/>
        <v>15884</v>
      </c>
      <c r="K20" s="247">
        <f t="shared" si="11"/>
        <v>16116</v>
      </c>
      <c r="L20" s="247">
        <f>SUM(L14:L19)</f>
        <v>16368.115</v>
      </c>
      <c r="M20" s="247">
        <f>SUM(M14:M19)</f>
        <v>16628.314599999998</v>
      </c>
      <c r="N20" s="247">
        <f>SUM(N14:N19)</f>
        <v>16897.062183999999</v>
      </c>
      <c r="O20" s="247">
        <f>SUM(O14:O19)</f>
        <v>17174.853871359999</v>
      </c>
      <c r="P20" s="247">
        <f>SUM(P14:P19)</f>
        <v>17462.220752214402</v>
      </c>
      <c r="Q20" s="205"/>
      <c r="R20" s="247"/>
      <c r="S20" s="247"/>
      <c r="T20" s="247">
        <f>SUM(T14:T19)</f>
        <v>8002</v>
      </c>
      <c r="U20" s="247"/>
      <c r="V20" s="247">
        <f>SUM(V14:V19)</f>
        <v>6434</v>
      </c>
      <c r="W20" s="247"/>
      <c r="X20" s="247">
        <f>SUM(X14:X19)</f>
        <v>13929</v>
      </c>
      <c r="Y20" s="247"/>
      <c r="Z20" s="247">
        <f>SUM(Z14:Z19)</f>
        <v>14826</v>
      </c>
      <c r="AA20" s="247"/>
      <c r="AB20" s="247">
        <f>SUM(AB14:AB19)</f>
        <v>14617</v>
      </c>
      <c r="AC20" s="247"/>
      <c r="AD20" s="247">
        <f>SUM(AD14:AD19)</f>
        <v>14086</v>
      </c>
      <c r="AE20" s="247"/>
      <c r="AF20" s="247">
        <f>SUM(AF14:AF19)</f>
        <v>14804</v>
      </c>
      <c r="AG20" s="247"/>
      <c r="AH20" s="247">
        <f>SUM(AH14:AH19)</f>
        <v>15913</v>
      </c>
      <c r="AI20" s="247"/>
      <c r="AJ20" s="5"/>
      <c r="AK20" s="5"/>
      <c r="AL20" s="5"/>
      <c r="AM20" s="5"/>
      <c r="AN20" s="5"/>
      <c r="AO20" s="5"/>
      <c r="AP20" s="5"/>
    </row>
    <row r="21" spans="1:42">
      <c r="B21" s="46"/>
      <c r="C21" s="28"/>
      <c r="D21" s="242"/>
      <c r="E21" s="242"/>
      <c r="F21" s="242"/>
      <c r="G21" s="242"/>
      <c r="H21" s="242"/>
      <c r="I21" s="242"/>
      <c r="J21" s="242"/>
      <c r="K21" s="242"/>
      <c r="L21" s="243"/>
      <c r="M21" s="243"/>
      <c r="N21" s="243"/>
      <c r="O21" s="243"/>
      <c r="P21" s="243"/>
      <c r="Q21" s="205"/>
      <c r="R21" s="242"/>
      <c r="S21" s="242"/>
      <c r="T21" s="242"/>
      <c r="U21" s="242"/>
      <c r="V21" s="242"/>
      <c r="W21" s="242"/>
      <c r="X21" s="242"/>
      <c r="Y21" s="242"/>
      <c r="Z21" s="242"/>
      <c r="AA21" s="242"/>
      <c r="AB21" s="242"/>
      <c r="AC21" s="242"/>
      <c r="AD21" s="242"/>
      <c r="AE21" s="242"/>
      <c r="AF21" s="242"/>
      <c r="AG21" s="242"/>
      <c r="AH21" s="242"/>
      <c r="AI21" s="242"/>
    </row>
    <row r="22" spans="1:42" s="6" customFormat="1">
      <c r="A22" s="36"/>
      <c r="B22" s="157" t="s">
        <v>71</v>
      </c>
      <c r="C22" s="158"/>
      <c r="D22" s="247">
        <f t="shared" ref="D22:P22" si="12">D20+D12</f>
        <v>12544.7</v>
      </c>
      <c r="E22" s="247">
        <f t="shared" si="12"/>
        <v>9777</v>
      </c>
      <c r="F22" s="247">
        <f t="shared" si="12"/>
        <v>18349</v>
      </c>
      <c r="G22" s="247">
        <f t="shared" si="12"/>
        <v>18123</v>
      </c>
      <c r="H22" s="247">
        <f t="shared" si="12"/>
        <v>18836</v>
      </c>
      <c r="I22" s="247">
        <f t="shared" si="12"/>
        <v>18292</v>
      </c>
      <c r="J22" s="247">
        <f t="shared" si="12"/>
        <v>19870</v>
      </c>
      <c r="K22" s="247">
        <f t="shared" si="12"/>
        <v>20294</v>
      </c>
      <c r="L22" s="247">
        <f t="shared" si="12"/>
        <v>20684.510261963871</v>
      </c>
      <c r="M22" s="247">
        <f t="shared" si="12"/>
        <v>21092.096543706492</v>
      </c>
      <c r="N22" s="247">
        <f t="shared" si="12"/>
        <v>21576.752288097938</v>
      </c>
      <c r="O22" s="247">
        <f t="shared" si="12"/>
        <v>22083.080387273352</v>
      </c>
      <c r="P22" s="247">
        <f t="shared" si="12"/>
        <v>22611.710755628672</v>
      </c>
      <c r="Q22" s="205"/>
      <c r="R22" s="247"/>
      <c r="S22" s="247"/>
      <c r="T22" s="247">
        <f>T20+T12</f>
        <v>13479</v>
      </c>
      <c r="U22" s="247"/>
      <c r="V22" s="247">
        <f>V20+V12</f>
        <v>10150</v>
      </c>
      <c r="W22" s="247"/>
      <c r="X22" s="247">
        <f>X20+X12</f>
        <v>17774</v>
      </c>
      <c r="Y22" s="247"/>
      <c r="Z22" s="247">
        <f>Z20+Z12</f>
        <v>18959</v>
      </c>
      <c r="AA22" s="247"/>
      <c r="AB22" s="247">
        <f>AB20+AB12</f>
        <v>18592</v>
      </c>
      <c r="AC22" s="247"/>
      <c r="AD22" s="247">
        <f>AD20+AD12</f>
        <v>19468</v>
      </c>
      <c r="AE22" s="247"/>
      <c r="AF22" s="247">
        <f>AF20+AF12</f>
        <v>19485</v>
      </c>
      <c r="AG22" s="247"/>
      <c r="AH22" s="247">
        <f>AH20+AH12</f>
        <v>20199</v>
      </c>
      <c r="AI22" s="247"/>
      <c r="AJ22" s="5"/>
      <c r="AK22" s="5"/>
      <c r="AL22" s="5"/>
      <c r="AM22" s="5"/>
      <c r="AN22" s="5"/>
      <c r="AO22" s="5"/>
      <c r="AP22" s="5"/>
    </row>
    <row r="23" spans="1:42">
      <c r="B23" s="46"/>
      <c r="C23" s="28"/>
      <c r="D23" s="242"/>
      <c r="E23" s="242"/>
      <c r="F23" s="242"/>
      <c r="G23" s="242"/>
      <c r="H23" s="242"/>
      <c r="I23" s="242"/>
      <c r="J23" s="242"/>
      <c r="K23" s="242"/>
      <c r="L23" s="243"/>
      <c r="M23" s="243"/>
      <c r="N23" s="243"/>
      <c r="O23" s="243"/>
      <c r="P23" s="243"/>
      <c r="Q23" s="205"/>
      <c r="R23" s="242"/>
      <c r="S23" s="242"/>
      <c r="T23" s="242"/>
      <c r="U23" s="242"/>
      <c r="V23" s="242"/>
      <c r="W23" s="242"/>
      <c r="X23" s="242"/>
      <c r="Y23" s="242"/>
      <c r="Z23" s="242"/>
      <c r="AA23" s="242"/>
      <c r="AB23" s="242"/>
      <c r="AC23" s="242"/>
      <c r="AD23" s="242"/>
      <c r="AE23" s="242"/>
      <c r="AF23" s="242"/>
      <c r="AG23" s="242"/>
      <c r="AH23" s="242"/>
      <c r="AI23" s="242"/>
    </row>
    <row r="24" spans="1:42">
      <c r="B24" s="35" t="s">
        <v>72</v>
      </c>
      <c r="C24" s="28"/>
      <c r="D24" s="242"/>
      <c r="E24" s="242"/>
      <c r="F24" s="242"/>
      <c r="G24" s="242"/>
      <c r="H24" s="242"/>
      <c r="I24" s="242"/>
      <c r="J24" s="242"/>
      <c r="K24" s="242"/>
      <c r="L24" s="243"/>
      <c r="M24" s="243"/>
      <c r="N24" s="243"/>
      <c r="O24" s="243"/>
      <c r="P24" s="243"/>
      <c r="Q24" s="205"/>
      <c r="R24" s="242"/>
      <c r="S24" s="242"/>
      <c r="T24" s="242"/>
      <c r="U24" s="242"/>
      <c r="V24" s="242"/>
      <c r="W24" s="242"/>
      <c r="X24" s="242"/>
      <c r="Y24" s="242"/>
      <c r="Z24" s="242"/>
      <c r="AA24" s="242"/>
      <c r="AB24" s="242"/>
      <c r="AC24" s="242"/>
      <c r="AD24" s="242"/>
      <c r="AE24" s="242"/>
      <c r="AF24" s="242"/>
      <c r="AG24" s="242"/>
      <c r="AH24" s="242"/>
      <c r="AI24" s="242"/>
    </row>
    <row r="25" spans="1:42">
      <c r="A25" s="36" t="s">
        <v>260</v>
      </c>
      <c r="B25" s="29" t="s">
        <v>73</v>
      </c>
      <c r="C25" s="33"/>
      <c r="D25" s="34">
        <v>8008.5</v>
      </c>
      <c r="E25" s="34">
        <v>3379.9</v>
      </c>
      <c r="F25" s="34">
        <v>3737</v>
      </c>
      <c r="G25" s="34">
        <v>3660</v>
      </c>
      <c r="H25" s="34">
        <v>4335</v>
      </c>
      <c r="I25" s="34">
        <v>4434</v>
      </c>
      <c r="J25" s="34">
        <v>4584</v>
      </c>
      <c r="K25" s="34">
        <v>4637</v>
      </c>
      <c r="L25" s="169">
        <f>L56</f>
        <v>4790.2146813272711</v>
      </c>
      <c r="M25" s="169">
        <f t="shared" ref="M25:P25" si="13">M56</f>
        <v>4938.3706247049258</v>
      </c>
      <c r="N25" s="169">
        <f t="shared" si="13"/>
        <v>5146.459497876951</v>
      </c>
      <c r="O25" s="169">
        <f t="shared" si="13"/>
        <v>5362.5739922575021</v>
      </c>
      <c r="P25" s="169">
        <f t="shared" si="13"/>
        <v>5587.0082109691384</v>
      </c>
      <c r="Q25" s="205"/>
      <c r="R25" s="33"/>
      <c r="S25" s="33"/>
      <c r="T25" s="34">
        <v>7796</v>
      </c>
      <c r="U25" s="33"/>
      <c r="V25" s="34">
        <v>3991</v>
      </c>
      <c r="W25" s="33"/>
      <c r="X25" s="34">
        <v>3665</v>
      </c>
      <c r="Y25" s="33"/>
      <c r="Z25" s="34">
        <v>4173</v>
      </c>
      <c r="AA25" s="30"/>
      <c r="AB25" s="34">
        <v>4282</v>
      </c>
      <c r="AC25" s="33"/>
      <c r="AD25" s="34">
        <v>4978</v>
      </c>
      <c r="AE25" s="30"/>
      <c r="AF25" s="34">
        <v>5020</v>
      </c>
      <c r="AG25" s="33"/>
      <c r="AH25" s="34">
        <v>4208</v>
      </c>
      <c r="AI25" s="33"/>
    </row>
    <row r="26" spans="1:42">
      <c r="A26" s="36" t="s">
        <v>279</v>
      </c>
      <c r="B26" s="29" t="s">
        <v>340</v>
      </c>
      <c r="C26" s="34"/>
      <c r="D26" s="34"/>
      <c r="E26" s="34"/>
      <c r="F26" s="34"/>
      <c r="G26" s="34"/>
      <c r="H26" s="242"/>
      <c r="I26" s="242"/>
      <c r="J26" s="34"/>
      <c r="K26" s="34">
        <v>150</v>
      </c>
      <c r="L26" s="168">
        <f>K26</f>
        <v>150</v>
      </c>
      <c r="M26" s="168">
        <f t="shared" ref="M26" si="14">L26</f>
        <v>150</v>
      </c>
      <c r="N26" s="168">
        <f t="shared" ref="N26" si="15">M26</f>
        <v>150</v>
      </c>
      <c r="O26" s="168">
        <f t="shared" ref="O26" si="16">N26</f>
        <v>150</v>
      </c>
      <c r="P26" s="168">
        <f t="shared" ref="P26" si="17">O26</f>
        <v>150</v>
      </c>
      <c r="Q26" s="205"/>
      <c r="R26" s="33"/>
      <c r="S26" s="33"/>
      <c r="T26" s="34"/>
      <c r="U26" s="34"/>
      <c r="V26" s="34"/>
      <c r="W26" s="34"/>
      <c r="X26" s="34">
        <v>8</v>
      </c>
      <c r="Y26" s="34"/>
      <c r="Z26" s="34">
        <v>0</v>
      </c>
      <c r="AA26" s="33"/>
      <c r="AB26" s="34"/>
      <c r="AC26" s="33"/>
      <c r="AD26" s="34"/>
      <c r="AE26" s="33"/>
      <c r="AF26" s="34"/>
      <c r="AG26" s="33"/>
      <c r="AH26" s="34">
        <v>150</v>
      </c>
      <c r="AI26" s="33"/>
    </row>
    <row r="27" spans="1:42">
      <c r="B27" s="27" t="s">
        <v>341</v>
      </c>
      <c r="C27" s="33"/>
      <c r="D27" s="34">
        <v>-25.3</v>
      </c>
      <c r="E27" s="34">
        <v>1</v>
      </c>
      <c r="F27" s="34"/>
      <c r="G27" s="34">
        <v>60</v>
      </c>
      <c r="H27" s="242"/>
      <c r="I27" s="242"/>
      <c r="J27" s="34">
        <v>73</v>
      </c>
      <c r="K27" s="34"/>
      <c r="L27" s="168">
        <f>K27</f>
        <v>0</v>
      </c>
      <c r="M27" s="168">
        <f t="shared" ref="M27:P28" si="18">L27</f>
        <v>0</v>
      </c>
      <c r="N27" s="168">
        <f t="shared" si="18"/>
        <v>0</v>
      </c>
      <c r="O27" s="168">
        <f t="shared" si="18"/>
        <v>0</v>
      </c>
      <c r="P27" s="168">
        <f t="shared" si="18"/>
        <v>0</v>
      </c>
      <c r="Q27" s="205"/>
      <c r="R27" s="33"/>
      <c r="S27" s="33"/>
      <c r="T27" s="34">
        <v>21</v>
      </c>
      <c r="U27" s="33"/>
      <c r="V27" s="34">
        <v>78</v>
      </c>
      <c r="W27" s="33"/>
      <c r="X27" s="34"/>
      <c r="Y27" s="33"/>
      <c r="Z27" s="34">
        <v>10</v>
      </c>
      <c r="AA27" s="34"/>
      <c r="AB27" s="34">
        <v>11</v>
      </c>
      <c r="AC27" s="33"/>
      <c r="AD27" s="34"/>
      <c r="AE27" s="34"/>
      <c r="AF27" s="34">
        <v>52</v>
      </c>
      <c r="AG27" s="33"/>
      <c r="AH27" s="34">
        <v>27</v>
      </c>
      <c r="AI27" s="33"/>
    </row>
    <row r="28" spans="1:42">
      <c r="B28" s="29" t="s">
        <v>74</v>
      </c>
      <c r="C28" s="33"/>
      <c r="D28" s="34">
        <v>819.3</v>
      </c>
      <c r="E28" s="34">
        <v>742.9</v>
      </c>
      <c r="F28" s="34">
        <v>861</v>
      </c>
      <c r="G28" s="34">
        <v>950</v>
      </c>
      <c r="H28" s="34">
        <v>854</v>
      </c>
      <c r="I28" s="34">
        <v>905</v>
      </c>
      <c r="J28" s="34">
        <v>943</v>
      </c>
      <c r="K28" s="34">
        <v>894</v>
      </c>
      <c r="L28" s="168">
        <f>K28</f>
        <v>894</v>
      </c>
      <c r="M28" s="168">
        <f t="shared" si="18"/>
        <v>894</v>
      </c>
      <c r="N28" s="168">
        <f t="shared" si="18"/>
        <v>894</v>
      </c>
      <c r="O28" s="168">
        <f t="shared" si="18"/>
        <v>894</v>
      </c>
      <c r="P28" s="168">
        <f t="shared" si="18"/>
        <v>894</v>
      </c>
      <c r="Q28" s="205"/>
      <c r="R28" s="33"/>
      <c r="S28" s="33"/>
      <c r="T28" s="34">
        <v>807</v>
      </c>
      <c r="U28" s="33"/>
      <c r="V28" s="34">
        <v>703</v>
      </c>
      <c r="W28" s="33"/>
      <c r="X28" s="34">
        <v>754</v>
      </c>
      <c r="Y28" s="33"/>
      <c r="Z28" s="34">
        <v>877</v>
      </c>
      <c r="AA28" s="33"/>
      <c r="AB28" s="34">
        <v>834</v>
      </c>
      <c r="AC28" s="33"/>
      <c r="AD28" s="34">
        <v>821</v>
      </c>
      <c r="AE28" s="33"/>
      <c r="AF28" s="34">
        <v>853</v>
      </c>
      <c r="AG28" s="33"/>
      <c r="AH28" s="34">
        <v>836</v>
      </c>
      <c r="AI28" s="33"/>
    </row>
    <row r="29" spans="1:42">
      <c r="B29" s="29" t="s">
        <v>229</v>
      </c>
      <c r="C29" s="30"/>
      <c r="D29" s="34"/>
      <c r="E29" s="34">
        <v>167.6</v>
      </c>
      <c r="F29" s="34">
        <v>885</v>
      </c>
      <c r="G29" s="34">
        <v>897</v>
      </c>
      <c r="H29" s="34">
        <v>914</v>
      </c>
      <c r="I29" s="34">
        <v>820</v>
      </c>
      <c r="J29" s="34">
        <v>911</v>
      </c>
      <c r="K29" s="34">
        <v>928</v>
      </c>
      <c r="L29" s="168">
        <f>K29</f>
        <v>928</v>
      </c>
      <c r="M29" s="168">
        <f t="shared" ref="M29:P30" si="19">L29</f>
        <v>928</v>
      </c>
      <c r="N29" s="168">
        <f t="shared" si="19"/>
        <v>928</v>
      </c>
      <c r="O29" s="168">
        <f t="shared" si="19"/>
        <v>928</v>
      </c>
      <c r="P29" s="168">
        <f t="shared" si="19"/>
        <v>928</v>
      </c>
      <c r="Q29" s="205"/>
      <c r="R29" s="30"/>
      <c r="S29" s="33"/>
      <c r="T29" s="34"/>
      <c r="U29" s="33"/>
      <c r="V29" s="34"/>
      <c r="W29" s="33"/>
      <c r="X29" s="34">
        <v>1205</v>
      </c>
      <c r="Y29" s="33"/>
      <c r="Z29" s="34">
        <v>910</v>
      </c>
      <c r="AA29" s="30"/>
      <c r="AB29" s="34">
        <v>905</v>
      </c>
      <c r="AC29" s="33"/>
      <c r="AD29" s="34">
        <v>795</v>
      </c>
      <c r="AE29" s="30"/>
      <c r="AF29" s="34">
        <v>815</v>
      </c>
      <c r="AG29" s="33"/>
      <c r="AH29" s="34">
        <v>914</v>
      </c>
      <c r="AI29" s="33"/>
    </row>
    <row r="30" spans="1:42">
      <c r="B30" s="29" t="s">
        <v>44</v>
      </c>
      <c r="C30" s="30"/>
      <c r="D30" s="34">
        <v>178.4</v>
      </c>
      <c r="E30" s="242"/>
      <c r="F30" s="34">
        <v>198</v>
      </c>
      <c r="G30" s="34">
        <v>252</v>
      </c>
      <c r="H30" s="34">
        <v>312</v>
      </c>
      <c r="I30" s="242">
        <v>249</v>
      </c>
      <c r="J30" s="34">
        <v>260</v>
      </c>
      <c r="K30" s="34">
        <v>247</v>
      </c>
      <c r="L30" s="168">
        <f>K30</f>
        <v>247</v>
      </c>
      <c r="M30" s="168">
        <f t="shared" si="19"/>
        <v>247</v>
      </c>
      <c r="N30" s="168">
        <f t="shared" si="19"/>
        <v>247</v>
      </c>
      <c r="O30" s="168">
        <f t="shared" si="19"/>
        <v>247</v>
      </c>
      <c r="P30" s="168">
        <f t="shared" si="19"/>
        <v>247</v>
      </c>
      <c r="Q30" s="205"/>
      <c r="R30" s="30"/>
      <c r="S30" s="33"/>
      <c r="T30" s="34">
        <v>256</v>
      </c>
      <c r="U30" s="33"/>
      <c r="V30" s="34">
        <v>233</v>
      </c>
      <c r="W30" s="33"/>
      <c r="X30" s="34">
        <v>226</v>
      </c>
      <c r="Y30" s="33"/>
      <c r="Z30" s="34">
        <v>294</v>
      </c>
      <c r="AA30" s="30"/>
      <c r="AB30" s="34">
        <v>313</v>
      </c>
      <c r="AC30" s="33"/>
      <c r="AD30" s="34">
        <f>309+792</f>
        <v>1101</v>
      </c>
      <c r="AE30" s="30"/>
      <c r="AF30" s="34">
        <v>310</v>
      </c>
      <c r="AG30" s="33"/>
      <c r="AH30" s="34">
        <v>284</v>
      </c>
      <c r="AI30" s="33"/>
    </row>
    <row r="31" spans="1:42" s="6" customFormat="1">
      <c r="A31" s="36" t="s">
        <v>261</v>
      </c>
      <c r="B31" s="157" t="s">
        <v>75</v>
      </c>
      <c r="C31" s="158"/>
      <c r="D31" s="247">
        <f t="shared" ref="D31:P31" si="20">SUM(D25:D30)</f>
        <v>8980.9</v>
      </c>
      <c r="E31" s="247">
        <f t="shared" si="20"/>
        <v>4291.4000000000005</v>
      </c>
      <c r="F31" s="247">
        <f t="shared" si="20"/>
        <v>5681</v>
      </c>
      <c r="G31" s="247">
        <f t="shared" si="20"/>
        <v>5819</v>
      </c>
      <c r="H31" s="247">
        <f t="shared" si="20"/>
        <v>6415</v>
      </c>
      <c r="I31" s="247">
        <f t="shared" si="20"/>
        <v>6408</v>
      </c>
      <c r="J31" s="247">
        <f t="shared" si="20"/>
        <v>6771</v>
      </c>
      <c r="K31" s="247">
        <f t="shared" si="20"/>
        <v>6856</v>
      </c>
      <c r="L31" s="247">
        <f t="shared" si="20"/>
        <v>7009.2146813272711</v>
      </c>
      <c r="M31" s="247">
        <f t="shared" si="20"/>
        <v>7157.3706247049258</v>
      </c>
      <c r="N31" s="247">
        <f t="shared" si="20"/>
        <v>7365.459497876951</v>
      </c>
      <c r="O31" s="247">
        <f t="shared" si="20"/>
        <v>7581.5739922575021</v>
      </c>
      <c r="P31" s="247">
        <f t="shared" si="20"/>
        <v>7806.0082109691384</v>
      </c>
      <c r="Q31" s="205"/>
      <c r="R31" s="247"/>
      <c r="S31" s="247"/>
      <c r="T31" s="247">
        <f>SUM(T25:T30)</f>
        <v>8880</v>
      </c>
      <c r="U31" s="247"/>
      <c r="V31" s="247">
        <f>SUM(V25:V30)</f>
        <v>5005</v>
      </c>
      <c r="W31" s="247"/>
      <c r="X31" s="247">
        <f>SUM(X25:X30)</f>
        <v>5858</v>
      </c>
      <c r="Y31" s="247"/>
      <c r="Z31" s="247">
        <f>SUM(Z25:Z30)</f>
        <v>6264</v>
      </c>
      <c r="AA31" s="247"/>
      <c r="AB31" s="247">
        <f>SUM(AB25:AB30)</f>
        <v>6345</v>
      </c>
      <c r="AC31" s="247"/>
      <c r="AD31" s="247">
        <f>SUM(AD25:AD30)</f>
        <v>7695</v>
      </c>
      <c r="AE31" s="247"/>
      <c r="AF31" s="247">
        <f>SUM(AF25:AF30)</f>
        <v>7050</v>
      </c>
      <c r="AG31" s="247"/>
      <c r="AH31" s="247">
        <f>SUM(AH25:AH30)</f>
        <v>6419</v>
      </c>
      <c r="AI31" s="247"/>
      <c r="AJ31" s="5"/>
      <c r="AK31" s="5"/>
      <c r="AL31" s="5"/>
      <c r="AM31" s="5"/>
      <c r="AN31" s="5"/>
      <c r="AO31" s="5"/>
      <c r="AP31" s="5"/>
    </row>
    <row r="32" spans="1:42">
      <c r="B32" s="46"/>
      <c r="C32" s="28"/>
      <c r="D32" s="242"/>
      <c r="E32" s="242"/>
      <c r="F32" s="242"/>
      <c r="G32" s="242"/>
      <c r="H32" s="242"/>
      <c r="I32" s="242"/>
      <c r="J32" s="242"/>
      <c r="K32" s="242"/>
      <c r="L32" s="243"/>
      <c r="M32" s="243"/>
      <c r="N32" s="243"/>
      <c r="O32" s="243"/>
      <c r="P32" s="243"/>
      <c r="Q32" s="205"/>
      <c r="R32" s="242"/>
      <c r="S32" s="242"/>
      <c r="T32" s="34"/>
      <c r="U32" s="242"/>
      <c r="V32" s="34"/>
      <c r="W32" s="242"/>
      <c r="X32" s="34"/>
      <c r="Y32" s="242"/>
      <c r="Z32" s="34"/>
      <c r="AA32" s="242"/>
      <c r="AB32" s="34"/>
      <c r="AC32" s="242"/>
      <c r="AD32" s="34"/>
      <c r="AE32" s="242"/>
      <c r="AF32" s="34"/>
      <c r="AG32" s="242"/>
      <c r="AH32" s="34"/>
      <c r="AI32" s="242"/>
    </row>
    <row r="33" spans="1:42">
      <c r="A33" s="36" t="s">
        <v>278</v>
      </c>
      <c r="B33" s="29" t="s">
        <v>340</v>
      </c>
      <c r="C33" s="30"/>
      <c r="D33" s="34">
        <v>0</v>
      </c>
      <c r="E33" s="34">
        <v>1460</v>
      </c>
      <c r="F33" s="34">
        <v>1354</v>
      </c>
      <c r="G33" s="34">
        <v>1142</v>
      </c>
      <c r="H33" s="34">
        <v>1095</v>
      </c>
      <c r="I33" s="34">
        <v>1118</v>
      </c>
      <c r="J33" s="34">
        <v>1652</v>
      </c>
      <c r="K33" s="34">
        <v>1834</v>
      </c>
      <c r="L33" s="169">
        <f>K33+CF!L32+CF!L31</f>
        <v>1834</v>
      </c>
      <c r="M33" s="169">
        <f>L33+CF!M32+CF!M31</f>
        <v>1834</v>
      </c>
      <c r="N33" s="169">
        <f>M33+CF!N32+CF!N31</f>
        <v>1834</v>
      </c>
      <c r="O33" s="169">
        <f>N33+CF!O32+CF!O31</f>
        <v>1834</v>
      </c>
      <c r="P33" s="169">
        <f>O33+CF!P32+CF!P31</f>
        <v>1834</v>
      </c>
      <c r="Q33" s="205"/>
      <c r="R33" s="30"/>
      <c r="S33" s="33"/>
      <c r="T33" s="34"/>
      <c r="U33" s="33"/>
      <c r="V33" s="34">
        <v>1630</v>
      </c>
      <c r="W33" s="33"/>
      <c r="X33" s="34">
        <v>1355</v>
      </c>
      <c r="Y33" s="33"/>
      <c r="Z33" s="34">
        <v>1140</v>
      </c>
      <c r="AA33" s="30"/>
      <c r="AB33" s="34">
        <v>1044</v>
      </c>
      <c r="AC33" s="33"/>
      <c r="AD33" s="34">
        <v>1060</v>
      </c>
      <c r="AE33" s="30"/>
      <c r="AF33" s="34">
        <v>1666</v>
      </c>
      <c r="AG33" s="33"/>
      <c r="AH33" s="34">
        <v>2126</v>
      </c>
      <c r="AI33" s="33"/>
    </row>
    <row r="34" spans="1:42">
      <c r="A34" s="36" t="s">
        <v>277</v>
      </c>
      <c r="B34" s="27" t="s">
        <v>229</v>
      </c>
      <c r="C34" s="33"/>
      <c r="D34" s="34">
        <v>41.8</v>
      </c>
      <c r="E34" s="34">
        <v>71</v>
      </c>
      <c r="F34" s="34">
        <v>8198</v>
      </c>
      <c r="G34" s="34">
        <v>7859</v>
      </c>
      <c r="H34" s="34">
        <v>7767</v>
      </c>
      <c r="I34" s="34">
        <v>7029</v>
      </c>
      <c r="J34" s="34">
        <v>7506</v>
      </c>
      <c r="K34" s="34">
        <v>7415</v>
      </c>
      <c r="L34" s="169">
        <f>K34+CF!L33+L69</f>
        <v>7458.45</v>
      </c>
      <c r="M34" s="169">
        <f>L34+CF!M33+M69</f>
        <v>7504.0724999999993</v>
      </c>
      <c r="N34" s="169">
        <f>M34+CF!N33+N69</f>
        <v>7551.9761249999992</v>
      </c>
      <c r="O34" s="169">
        <f>N34+CF!O33+O69</f>
        <v>7602.2749312499991</v>
      </c>
      <c r="P34" s="169">
        <f>O34+CF!P33+P69</f>
        <v>7655.0886778124986</v>
      </c>
      <c r="Q34" s="205"/>
      <c r="R34" s="33"/>
      <c r="S34" s="33"/>
      <c r="T34" s="34">
        <v>272</v>
      </c>
      <c r="U34" s="33"/>
      <c r="V34" s="34">
        <v>589</v>
      </c>
      <c r="W34" s="33"/>
      <c r="X34" s="34">
        <v>464</v>
      </c>
      <c r="Y34" s="33"/>
      <c r="Z34" s="34">
        <v>481</v>
      </c>
      <c r="AA34" s="34"/>
      <c r="AB34" s="34">
        <v>459</v>
      </c>
      <c r="AC34" s="33"/>
      <c r="AD34" s="34">
        <v>369</v>
      </c>
      <c r="AE34" s="34"/>
      <c r="AF34" s="34">
        <v>319</v>
      </c>
      <c r="AG34" s="33"/>
      <c r="AH34" s="34">
        <v>362</v>
      </c>
      <c r="AI34" s="33"/>
    </row>
    <row r="35" spans="1:42">
      <c r="B35" s="27" t="s">
        <v>74</v>
      </c>
      <c r="C35" s="34"/>
      <c r="D35" s="34">
        <v>272.39999999999998</v>
      </c>
      <c r="E35" s="34">
        <v>598.4</v>
      </c>
      <c r="F35" s="34">
        <v>472</v>
      </c>
      <c r="G35" s="34">
        <v>458</v>
      </c>
      <c r="H35" s="34">
        <v>424</v>
      </c>
      <c r="I35" s="34">
        <v>376</v>
      </c>
      <c r="J35" s="34">
        <v>323</v>
      </c>
      <c r="K35" s="34">
        <v>381</v>
      </c>
      <c r="L35" s="168">
        <f>K35</f>
        <v>381</v>
      </c>
      <c r="M35" s="168">
        <f t="shared" ref="M35:P36" si="21">L35</f>
        <v>381</v>
      </c>
      <c r="N35" s="168">
        <f t="shared" si="21"/>
        <v>381</v>
      </c>
      <c r="O35" s="168">
        <f t="shared" si="21"/>
        <v>381</v>
      </c>
      <c r="P35" s="168">
        <f t="shared" si="21"/>
        <v>381</v>
      </c>
      <c r="Q35" s="205"/>
      <c r="R35" s="33"/>
      <c r="S35" s="33"/>
      <c r="T35" s="34"/>
      <c r="U35" s="34"/>
      <c r="V35" s="34"/>
      <c r="W35" s="34"/>
      <c r="X35" s="34">
        <v>7556</v>
      </c>
      <c r="Y35" s="33"/>
      <c r="Z35" s="34">
        <v>8258</v>
      </c>
      <c r="AA35" s="34"/>
      <c r="AB35" s="34">
        <v>7730</v>
      </c>
      <c r="AC35" s="33"/>
      <c r="AD35" s="34">
        <v>6964</v>
      </c>
      <c r="AE35" s="34"/>
      <c r="AF35" s="34">
        <v>6910</v>
      </c>
      <c r="AG35" s="33"/>
      <c r="AH35" s="34">
        <v>7525</v>
      </c>
      <c r="AI35" s="33"/>
    </row>
    <row r="36" spans="1:42">
      <c r="B36" s="29" t="s">
        <v>44</v>
      </c>
      <c r="C36" s="30"/>
      <c r="D36" s="34"/>
      <c r="E36" s="34">
        <v>0</v>
      </c>
      <c r="F36" s="34">
        <v>29</v>
      </c>
      <c r="G36" s="34">
        <v>32</v>
      </c>
      <c r="H36" s="34">
        <v>11</v>
      </c>
      <c r="I36" s="34">
        <v>5</v>
      </c>
      <c r="J36" s="34">
        <v>1</v>
      </c>
      <c r="K36" s="34">
        <v>2</v>
      </c>
      <c r="L36" s="168">
        <f>K36</f>
        <v>2</v>
      </c>
      <c r="M36" s="168">
        <f t="shared" si="21"/>
        <v>2</v>
      </c>
      <c r="N36" s="168">
        <f t="shared" si="21"/>
        <v>2</v>
      </c>
      <c r="O36" s="168">
        <f t="shared" si="21"/>
        <v>2</v>
      </c>
      <c r="P36" s="168">
        <f t="shared" si="21"/>
        <v>2</v>
      </c>
      <c r="Q36" s="205"/>
      <c r="R36" s="30"/>
      <c r="S36" s="33"/>
      <c r="T36" s="34">
        <f>25+165</f>
        <v>190</v>
      </c>
      <c r="U36" s="33"/>
      <c r="V36" s="34">
        <f>62+192</f>
        <v>254</v>
      </c>
      <c r="W36" s="33"/>
      <c r="X36" s="34">
        <v>22</v>
      </c>
      <c r="Y36" s="33"/>
      <c r="Z36" s="34">
        <v>24</v>
      </c>
      <c r="AA36" s="30"/>
      <c r="AB36" s="34">
        <v>5</v>
      </c>
      <c r="AC36" s="33"/>
      <c r="AD36" s="34">
        <v>1</v>
      </c>
      <c r="AE36" s="30"/>
      <c r="AF36" s="34">
        <v>3</v>
      </c>
      <c r="AG36" s="33"/>
      <c r="AH36" s="34">
        <v>3</v>
      </c>
      <c r="AI36" s="33"/>
    </row>
    <row r="37" spans="1:42" s="6" customFormat="1">
      <c r="A37" s="36" t="s">
        <v>280</v>
      </c>
      <c r="B37" s="157" t="s">
        <v>76</v>
      </c>
      <c r="C37" s="158"/>
      <c r="D37" s="247">
        <f t="shared" ref="D37:K37" si="22">SUM(D33:D36)</f>
        <v>314.2</v>
      </c>
      <c r="E37" s="247">
        <f t="shared" si="22"/>
        <v>2129.4</v>
      </c>
      <c r="F37" s="247">
        <f t="shared" si="22"/>
        <v>10053</v>
      </c>
      <c r="G37" s="247">
        <f t="shared" si="22"/>
        <v>9491</v>
      </c>
      <c r="H37" s="247">
        <f t="shared" si="22"/>
        <v>9297</v>
      </c>
      <c r="I37" s="247">
        <f t="shared" si="22"/>
        <v>8528</v>
      </c>
      <c r="J37" s="247">
        <f t="shared" si="22"/>
        <v>9482</v>
      </c>
      <c r="K37" s="247">
        <f t="shared" si="22"/>
        <v>9632</v>
      </c>
      <c r="L37" s="247">
        <f t="shared" ref="L37:P37" si="23">SUM(L33:L36)</f>
        <v>9675.4500000000007</v>
      </c>
      <c r="M37" s="247">
        <f t="shared" si="23"/>
        <v>9721.0724999999984</v>
      </c>
      <c r="N37" s="247">
        <f t="shared" si="23"/>
        <v>9768.9761249999992</v>
      </c>
      <c r="O37" s="247">
        <f t="shared" si="23"/>
        <v>9819.2749312499982</v>
      </c>
      <c r="P37" s="247">
        <f t="shared" si="23"/>
        <v>9872.0886778124986</v>
      </c>
      <c r="Q37" s="205"/>
      <c r="R37" s="247"/>
      <c r="S37" s="247"/>
      <c r="T37" s="247">
        <f t="shared" ref="T37:AH37" si="24">SUM(T33:T36)</f>
        <v>462</v>
      </c>
      <c r="U37" s="247"/>
      <c r="V37" s="247">
        <f t="shared" si="24"/>
        <v>2473</v>
      </c>
      <c r="W37" s="247"/>
      <c r="X37" s="247">
        <f t="shared" si="24"/>
        <v>9397</v>
      </c>
      <c r="Y37" s="247"/>
      <c r="Z37" s="247">
        <f t="shared" si="24"/>
        <v>9903</v>
      </c>
      <c r="AA37" s="247"/>
      <c r="AB37" s="247">
        <f t="shared" si="24"/>
        <v>9238</v>
      </c>
      <c r="AC37" s="247"/>
      <c r="AD37" s="247">
        <f t="shared" si="24"/>
        <v>8394</v>
      </c>
      <c r="AE37" s="247"/>
      <c r="AF37" s="247">
        <f t="shared" si="24"/>
        <v>8898</v>
      </c>
      <c r="AG37" s="247"/>
      <c r="AH37" s="247">
        <f t="shared" si="24"/>
        <v>10016</v>
      </c>
      <c r="AI37" s="247"/>
      <c r="AJ37" s="5"/>
      <c r="AK37" s="5"/>
      <c r="AL37" s="5"/>
      <c r="AM37" s="5"/>
      <c r="AN37" s="5"/>
      <c r="AO37" s="5"/>
      <c r="AP37" s="5"/>
    </row>
    <row r="38" spans="1:42">
      <c r="B38" s="29"/>
      <c r="C38" s="28"/>
      <c r="D38" s="242"/>
      <c r="E38" s="242"/>
      <c r="F38" s="242"/>
      <c r="G38" s="242"/>
      <c r="H38" s="242"/>
      <c r="I38" s="242"/>
      <c r="J38" s="242"/>
      <c r="K38" s="242"/>
      <c r="L38" s="243"/>
      <c r="M38" s="243"/>
      <c r="N38" s="243"/>
      <c r="O38" s="243"/>
      <c r="P38" s="243"/>
      <c r="Q38" s="205"/>
      <c r="R38" s="242"/>
      <c r="S38" s="242"/>
      <c r="T38" s="242"/>
      <c r="U38" s="242"/>
      <c r="V38" s="242"/>
      <c r="W38" s="242"/>
      <c r="X38" s="242"/>
      <c r="Y38" s="242"/>
      <c r="Z38" s="242"/>
      <c r="AA38" s="242"/>
      <c r="AB38" s="242"/>
      <c r="AC38" s="242"/>
      <c r="AD38" s="242"/>
      <c r="AE38" s="242"/>
      <c r="AF38" s="242"/>
      <c r="AG38" s="242"/>
      <c r="AH38" s="242"/>
      <c r="AI38" s="242"/>
    </row>
    <row r="39" spans="1:42" s="6" customFormat="1">
      <c r="A39" s="36"/>
      <c r="B39" s="157" t="s">
        <v>77</v>
      </c>
      <c r="C39" s="158"/>
      <c r="D39" s="247">
        <f t="shared" ref="D39:K39" si="25">D37+D31</f>
        <v>9295.1</v>
      </c>
      <c r="E39" s="247">
        <f t="shared" si="25"/>
        <v>6420.8000000000011</v>
      </c>
      <c r="F39" s="247">
        <f t="shared" si="25"/>
        <v>15734</v>
      </c>
      <c r="G39" s="247">
        <f t="shared" si="25"/>
        <v>15310</v>
      </c>
      <c r="H39" s="247">
        <f t="shared" si="25"/>
        <v>15712</v>
      </c>
      <c r="I39" s="247">
        <f t="shared" si="25"/>
        <v>14936</v>
      </c>
      <c r="J39" s="247">
        <f t="shared" si="25"/>
        <v>16253</v>
      </c>
      <c r="K39" s="247">
        <f t="shared" si="25"/>
        <v>16488</v>
      </c>
      <c r="L39" s="247">
        <f t="shared" ref="L39:P39" si="26">L37+L31</f>
        <v>16684.664681327271</v>
      </c>
      <c r="M39" s="247">
        <f t="shared" si="26"/>
        <v>16878.443124704925</v>
      </c>
      <c r="N39" s="247">
        <f t="shared" si="26"/>
        <v>17134.43562287695</v>
      </c>
      <c r="O39" s="247">
        <f t="shared" si="26"/>
        <v>17400.848923507499</v>
      </c>
      <c r="P39" s="247">
        <f t="shared" si="26"/>
        <v>17678.096888781638</v>
      </c>
      <c r="Q39" s="205"/>
      <c r="R39" s="247"/>
      <c r="S39" s="247"/>
      <c r="T39" s="247">
        <f t="shared" ref="T39:AH39" si="27">T37+T31</f>
        <v>9342</v>
      </c>
      <c r="U39" s="247"/>
      <c r="V39" s="247">
        <f t="shared" si="27"/>
        <v>7478</v>
      </c>
      <c r="W39" s="247"/>
      <c r="X39" s="247">
        <f t="shared" si="27"/>
        <v>15255</v>
      </c>
      <c r="Y39" s="247"/>
      <c r="Z39" s="247">
        <f t="shared" si="27"/>
        <v>16167</v>
      </c>
      <c r="AA39" s="247"/>
      <c r="AB39" s="247">
        <f t="shared" si="27"/>
        <v>15583</v>
      </c>
      <c r="AC39" s="247"/>
      <c r="AD39" s="247">
        <f t="shared" si="27"/>
        <v>16089</v>
      </c>
      <c r="AE39" s="247"/>
      <c r="AF39" s="247">
        <f t="shared" si="27"/>
        <v>15948</v>
      </c>
      <c r="AG39" s="247"/>
      <c r="AH39" s="247">
        <f t="shared" si="27"/>
        <v>16435</v>
      </c>
      <c r="AI39" s="247"/>
      <c r="AJ39" s="5"/>
      <c r="AK39" s="5"/>
      <c r="AL39" s="5"/>
      <c r="AM39" s="5"/>
      <c r="AN39" s="5"/>
      <c r="AO39" s="5"/>
      <c r="AP39" s="5"/>
    </row>
    <row r="40" spans="1:42">
      <c r="B40" s="29"/>
      <c r="C40" s="28"/>
      <c r="D40" s="242"/>
      <c r="E40" s="242"/>
      <c r="F40" s="242"/>
      <c r="G40" s="242"/>
      <c r="H40" s="242"/>
      <c r="I40" s="242"/>
      <c r="J40" s="242"/>
      <c r="K40" s="242"/>
      <c r="L40" s="243"/>
      <c r="M40" s="243"/>
      <c r="N40" s="243"/>
      <c r="O40" s="243"/>
      <c r="P40" s="243"/>
      <c r="Q40" s="205"/>
      <c r="R40" s="242"/>
      <c r="S40" s="242"/>
      <c r="T40" s="242"/>
      <c r="U40" s="242"/>
      <c r="V40" s="242"/>
      <c r="W40" s="242"/>
      <c r="X40" s="242"/>
      <c r="Y40" s="242"/>
      <c r="Z40" s="242"/>
      <c r="AA40" s="242"/>
      <c r="AB40" s="242"/>
      <c r="AC40" s="242"/>
      <c r="AD40" s="242"/>
      <c r="AE40" s="242"/>
      <c r="AF40" s="242"/>
      <c r="AG40" s="242"/>
      <c r="AH40" s="242"/>
      <c r="AI40" s="242"/>
    </row>
    <row r="41" spans="1:42">
      <c r="A41" s="36" t="s">
        <v>281</v>
      </c>
      <c r="B41" s="29" t="s">
        <v>82</v>
      </c>
      <c r="C41" s="30"/>
      <c r="D41" s="34">
        <v>2192.6</v>
      </c>
      <c r="E41" s="34">
        <v>1627.8</v>
      </c>
      <c r="F41" s="34">
        <v>1611</v>
      </c>
      <c r="G41" s="34">
        <v>1585</v>
      </c>
      <c r="H41" s="34">
        <v>1636</v>
      </c>
      <c r="I41" s="34">
        <v>1644</v>
      </c>
      <c r="J41" s="34">
        <v>1672</v>
      </c>
      <c r="K41" s="34">
        <v>1704</v>
      </c>
      <c r="L41" s="169">
        <f>K41+CF!L36</f>
        <v>1704</v>
      </c>
      <c r="M41" s="169">
        <f>L41+CF!M36</f>
        <v>1704</v>
      </c>
      <c r="N41" s="169">
        <f>M41+CF!N36</f>
        <v>1704</v>
      </c>
      <c r="O41" s="169">
        <f>N41+CF!O36</f>
        <v>1704</v>
      </c>
      <c r="P41" s="169">
        <f>O41+CF!P36</f>
        <v>1704</v>
      </c>
      <c r="Q41" s="205"/>
      <c r="R41" s="30"/>
      <c r="S41" s="33"/>
      <c r="T41" s="34">
        <v>2193</v>
      </c>
      <c r="U41" s="33"/>
      <c r="V41" s="34">
        <v>1631</v>
      </c>
      <c r="W41" s="33"/>
      <c r="X41" s="34">
        <v>1608</v>
      </c>
      <c r="Y41" s="33"/>
      <c r="Z41" s="34">
        <v>1590</v>
      </c>
      <c r="AA41" s="242"/>
      <c r="AB41" s="34">
        <v>1602</v>
      </c>
      <c r="AC41" s="33"/>
      <c r="AD41" s="34">
        <v>1651</v>
      </c>
      <c r="AE41" s="30"/>
      <c r="AF41" s="34">
        <v>1651</v>
      </c>
      <c r="AG41" s="33"/>
      <c r="AH41" s="34">
        <v>1683</v>
      </c>
      <c r="AI41" s="33"/>
    </row>
    <row r="42" spans="1:42">
      <c r="A42" s="36" t="s">
        <v>78</v>
      </c>
      <c r="B42" s="29" t="s">
        <v>78</v>
      </c>
      <c r="C42" s="30"/>
      <c r="D42" s="34">
        <v>38.799999999999997</v>
      </c>
      <c r="E42" s="34">
        <v>42</v>
      </c>
      <c r="F42" s="34">
        <v>43</v>
      </c>
      <c r="G42" s="34">
        <v>69</v>
      </c>
      <c r="H42" s="34">
        <v>95</v>
      </c>
      <c r="I42" s="34">
        <v>104</v>
      </c>
      <c r="J42" s="34">
        <v>103</v>
      </c>
      <c r="K42" s="34">
        <v>106</v>
      </c>
      <c r="L42" s="168">
        <f>K42</f>
        <v>106</v>
      </c>
      <c r="M42" s="168">
        <f t="shared" ref="M42:P42" si="28">L42</f>
        <v>106</v>
      </c>
      <c r="N42" s="168">
        <f t="shared" si="28"/>
        <v>106</v>
      </c>
      <c r="O42" s="168">
        <f t="shared" si="28"/>
        <v>106</v>
      </c>
      <c r="P42" s="168">
        <f t="shared" si="28"/>
        <v>106</v>
      </c>
      <c r="Q42" s="205"/>
      <c r="R42" s="30"/>
      <c r="S42" s="33"/>
      <c r="T42" s="34">
        <v>39</v>
      </c>
      <c r="U42" s="33"/>
      <c r="V42" s="34">
        <v>51</v>
      </c>
      <c r="W42" s="33"/>
      <c r="X42" s="34">
        <v>40</v>
      </c>
      <c r="Y42" s="33"/>
      <c r="Z42" s="34">
        <v>48</v>
      </c>
      <c r="AA42" s="30"/>
      <c r="AB42" s="34">
        <v>72</v>
      </c>
      <c r="AC42" s="33"/>
      <c r="AD42" s="34">
        <v>93</v>
      </c>
      <c r="AE42" s="30"/>
      <c r="AF42" s="34">
        <v>91</v>
      </c>
      <c r="AG42" s="33"/>
      <c r="AH42" s="34">
        <v>92</v>
      </c>
      <c r="AI42" s="33"/>
    </row>
    <row r="43" spans="1:42">
      <c r="A43" s="36" t="s">
        <v>79</v>
      </c>
      <c r="B43" s="29" t="s">
        <v>79</v>
      </c>
      <c r="C43" s="30"/>
      <c r="D43" s="34">
        <v>1018.2</v>
      </c>
      <c r="E43" s="34">
        <v>1687.3</v>
      </c>
      <c r="F43" s="34">
        <v>961</v>
      </c>
      <c r="G43" s="34">
        <v>1159</v>
      </c>
      <c r="H43" s="34">
        <v>1393</v>
      </c>
      <c r="I43" s="34">
        <v>1608</v>
      </c>
      <c r="J43" s="34">
        <v>1842</v>
      </c>
      <c r="K43" s="34">
        <v>1996</v>
      </c>
      <c r="L43" s="169">
        <f>K43+PL!L54+CF!L34</f>
        <v>2189.8455806366055</v>
      </c>
      <c r="M43" s="169">
        <f>L43+PL!M54+CF!M34</f>
        <v>2403.65341900157</v>
      </c>
      <c r="N43" s="169">
        <f>M43+PL!N54+CF!N34</f>
        <v>2632.3166652209916</v>
      </c>
      <c r="O43" s="169">
        <f>N43+PL!O54+CF!O34</f>
        <v>2872.231463765856</v>
      </c>
      <c r="P43" s="169">
        <f>O43+PL!P54+CF!P34</f>
        <v>3123.613866847033</v>
      </c>
      <c r="Q43" s="205"/>
      <c r="R43" s="30"/>
      <c r="S43" s="33"/>
      <c r="T43" s="34">
        <v>1905</v>
      </c>
      <c r="U43" s="33"/>
      <c r="V43" s="34">
        <v>990</v>
      </c>
      <c r="W43" s="33"/>
      <c r="X43" s="34">
        <v>871</v>
      </c>
      <c r="Y43" s="33"/>
      <c r="Z43" s="34">
        <v>1154</v>
      </c>
      <c r="AA43" s="30"/>
      <c r="AB43" s="34">
        <v>1335</v>
      </c>
      <c r="AC43" s="33"/>
      <c r="AD43" s="34">
        <v>1635</v>
      </c>
      <c r="AE43" s="30"/>
      <c r="AF43" s="34">
        <v>1795</v>
      </c>
      <c r="AG43" s="33"/>
      <c r="AH43" s="34">
        <v>1989</v>
      </c>
      <c r="AI43" s="33"/>
    </row>
    <row r="44" spans="1:42" s="6" customFormat="1">
      <c r="A44" s="36" t="s">
        <v>80</v>
      </c>
      <c r="B44" s="157" t="s">
        <v>80</v>
      </c>
      <c r="C44" s="158"/>
      <c r="D44" s="247">
        <f>SUM(D41:D43)</f>
        <v>3249.6000000000004</v>
      </c>
      <c r="E44" s="247">
        <f t="shared" ref="E44:P44" si="29">SUM(E41:E43)</f>
        <v>3357.1</v>
      </c>
      <c r="F44" s="247">
        <f t="shared" si="29"/>
        <v>2615</v>
      </c>
      <c r="G44" s="247">
        <f t="shared" si="29"/>
        <v>2813</v>
      </c>
      <c r="H44" s="247">
        <f t="shared" si="29"/>
        <v>3124</v>
      </c>
      <c r="I44" s="247">
        <f t="shared" si="29"/>
        <v>3356</v>
      </c>
      <c r="J44" s="247">
        <f t="shared" si="29"/>
        <v>3617</v>
      </c>
      <c r="K44" s="247">
        <f t="shared" si="29"/>
        <v>3806</v>
      </c>
      <c r="L44" s="247">
        <f t="shared" si="29"/>
        <v>3999.8455806366055</v>
      </c>
      <c r="M44" s="247">
        <f t="shared" si="29"/>
        <v>4213.65341900157</v>
      </c>
      <c r="N44" s="247">
        <f t="shared" si="29"/>
        <v>4442.3166652209911</v>
      </c>
      <c r="O44" s="247">
        <f t="shared" si="29"/>
        <v>4682.2314637658565</v>
      </c>
      <c r="P44" s="247">
        <f t="shared" si="29"/>
        <v>4933.613866847033</v>
      </c>
      <c r="Q44" s="205"/>
      <c r="R44" s="247"/>
      <c r="S44" s="247"/>
      <c r="T44" s="247">
        <f t="shared" ref="T44" si="30">SUM(T41:T43)</f>
        <v>4137</v>
      </c>
      <c r="U44" s="247"/>
      <c r="V44" s="247">
        <f t="shared" ref="V44" si="31">SUM(V41:V43)</f>
        <v>2672</v>
      </c>
      <c r="W44" s="247"/>
      <c r="X44" s="247">
        <f t="shared" ref="X44" si="32">SUM(X41:X43)</f>
        <v>2519</v>
      </c>
      <c r="Y44" s="247"/>
      <c r="Z44" s="247">
        <f t="shared" ref="Z44" si="33">SUM(Z41:Z43)</f>
        <v>2792</v>
      </c>
      <c r="AA44" s="247"/>
      <c r="AB44" s="247">
        <f t="shared" ref="AB44" si="34">SUM(AB41:AB43)</f>
        <v>3009</v>
      </c>
      <c r="AC44" s="247"/>
      <c r="AD44" s="247">
        <f t="shared" ref="AD44" si="35">SUM(AD41:AD43)</f>
        <v>3379</v>
      </c>
      <c r="AE44" s="247"/>
      <c r="AF44" s="247">
        <f t="shared" ref="AF44" si="36">SUM(AF41:AF43)</f>
        <v>3537</v>
      </c>
      <c r="AG44" s="247"/>
      <c r="AH44" s="247">
        <f t="shared" ref="AH44" si="37">SUM(AH41:AH43)</f>
        <v>3764</v>
      </c>
      <c r="AI44" s="247"/>
      <c r="AJ44" s="5"/>
      <c r="AK44" s="5"/>
      <c r="AL44" s="5"/>
      <c r="AM44" s="5"/>
      <c r="AN44" s="5"/>
      <c r="AO44" s="5"/>
      <c r="AP44" s="5"/>
    </row>
    <row r="45" spans="1:42" s="36" customFormat="1">
      <c r="B45" s="155" t="s">
        <v>81</v>
      </c>
      <c r="C45" s="156"/>
      <c r="D45" s="256">
        <f t="shared" ref="D45:P45" si="38">D22-D39-D44</f>
        <v>0</v>
      </c>
      <c r="E45" s="257">
        <f t="shared" si="38"/>
        <v>-0.90000000000100044</v>
      </c>
      <c r="F45" s="256">
        <f t="shared" si="38"/>
        <v>0</v>
      </c>
      <c r="G45" s="256">
        <f t="shared" si="38"/>
        <v>0</v>
      </c>
      <c r="H45" s="256">
        <f t="shared" si="38"/>
        <v>0</v>
      </c>
      <c r="I45" s="256">
        <f t="shared" si="38"/>
        <v>0</v>
      </c>
      <c r="J45" s="256">
        <f t="shared" si="38"/>
        <v>0</v>
      </c>
      <c r="K45" s="257">
        <f t="shared" si="38"/>
        <v>0</v>
      </c>
      <c r="L45" s="325">
        <f t="shared" si="38"/>
        <v>-5.4569682106375694E-12</v>
      </c>
      <c r="M45" s="325">
        <f t="shared" si="38"/>
        <v>0</v>
      </c>
      <c r="N45" s="325">
        <f t="shared" si="38"/>
        <v>0</v>
      </c>
      <c r="O45" s="325">
        <f t="shared" si="38"/>
        <v>0</v>
      </c>
      <c r="P45" s="325">
        <f t="shared" si="38"/>
        <v>0</v>
      </c>
      <c r="Q45" s="205"/>
      <c r="R45" s="256"/>
      <c r="S45" s="256"/>
      <c r="T45" s="256">
        <f>T22-T39-T44</f>
        <v>0</v>
      </c>
      <c r="U45" s="256"/>
      <c r="V45" s="256">
        <f>V22-V39-V44</f>
        <v>0</v>
      </c>
      <c r="W45" s="256"/>
      <c r="X45" s="256">
        <f>X22-X39-X44</f>
        <v>0</v>
      </c>
      <c r="Y45" s="256"/>
      <c r="Z45" s="256">
        <f>Z22-Z39-Z44</f>
        <v>0</v>
      </c>
      <c r="AA45" s="256"/>
      <c r="AB45" s="256">
        <f>AB22-AB39-AB44</f>
        <v>0</v>
      </c>
      <c r="AC45" s="256"/>
      <c r="AD45" s="256">
        <f>AD22-AD39-AD44</f>
        <v>0</v>
      </c>
      <c r="AE45" s="256"/>
      <c r="AF45" s="256">
        <f>AF22-AF39-AF44</f>
        <v>0</v>
      </c>
      <c r="AG45" s="256"/>
      <c r="AH45" s="256">
        <f>AH22-AH39-AH44</f>
        <v>0</v>
      </c>
      <c r="AI45" s="256"/>
      <c r="AJ45" s="5"/>
      <c r="AK45" s="5"/>
      <c r="AL45" s="5"/>
      <c r="AM45" s="5"/>
      <c r="AN45" s="5"/>
      <c r="AO45" s="5"/>
      <c r="AP45" s="5"/>
    </row>
    <row r="46" spans="1:42">
      <c r="B46" s="46"/>
      <c r="C46" s="52"/>
      <c r="D46" s="239"/>
      <c r="E46" s="239"/>
      <c r="F46" s="239"/>
      <c r="G46" s="239"/>
      <c r="H46" s="239"/>
      <c r="I46" s="239"/>
      <c r="J46" s="239"/>
      <c r="K46" s="253"/>
      <c r="L46" s="254"/>
      <c r="M46" s="243"/>
      <c r="N46" s="243"/>
      <c r="O46" s="243"/>
      <c r="P46" s="243"/>
      <c r="Q46" s="205"/>
      <c r="R46" s="239"/>
      <c r="S46" s="239"/>
      <c r="T46" s="239"/>
      <c r="U46" s="239"/>
      <c r="V46" s="239"/>
      <c r="W46" s="239"/>
      <c r="X46" s="239"/>
      <c r="Y46" s="239"/>
      <c r="Z46" s="239"/>
      <c r="AA46" s="239"/>
      <c r="AB46" s="239"/>
      <c r="AC46" s="239"/>
      <c r="AD46" s="239"/>
      <c r="AE46" s="239"/>
      <c r="AF46" s="239"/>
      <c r="AG46" s="239"/>
      <c r="AH46" s="239"/>
      <c r="AI46" s="239"/>
    </row>
    <row r="47" spans="1:42">
      <c r="B47" s="37" t="s">
        <v>186</v>
      </c>
      <c r="C47" s="52"/>
      <c r="D47" s="239"/>
      <c r="E47" s="239"/>
      <c r="F47" s="239"/>
      <c r="G47" s="239"/>
      <c r="H47" s="239"/>
      <c r="I47" s="239"/>
      <c r="J47" s="239"/>
      <c r="K47" s="253"/>
      <c r="L47" s="254"/>
      <c r="M47" s="240"/>
      <c r="N47" s="240"/>
      <c r="O47" s="240"/>
      <c r="P47" s="240"/>
      <c r="Q47" s="205"/>
      <c r="R47" s="239"/>
      <c r="S47" s="239"/>
      <c r="T47" s="239"/>
      <c r="U47" s="239"/>
      <c r="V47" s="239"/>
      <c r="W47" s="239"/>
      <c r="X47" s="239"/>
      <c r="Y47" s="239"/>
      <c r="Z47" s="239"/>
      <c r="AA47" s="239"/>
      <c r="AB47" s="239"/>
      <c r="AC47" s="239"/>
      <c r="AD47" s="239"/>
      <c r="AE47" s="239"/>
      <c r="AF47" s="239"/>
      <c r="AG47" s="239"/>
      <c r="AH47" s="239"/>
      <c r="AI47" s="239"/>
    </row>
    <row r="48" spans="1:42">
      <c r="B48" s="37" t="s">
        <v>136</v>
      </c>
      <c r="C48" s="30"/>
      <c r="D48" s="33">
        <f t="shared" ref="D48:K48" si="39">D7</f>
        <v>497.2</v>
      </c>
      <c r="E48" s="33">
        <f t="shared" si="39"/>
        <v>359.7</v>
      </c>
      <c r="F48" s="33">
        <f t="shared" si="39"/>
        <v>434</v>
      </c>
      <c r="G48" s="33">
        <f t="shared" si="39"/>
        <v>368</v>
      </c>
      <c r="H48" s="33">
        <f t="shared" si="39"/>
        <v>470</v>
      </c>
      <c r="I48" s="33">
        <f t="shared" si="39"/>
        <v>605</v>
      </c>
      <c r="J48" s="33">
        <f t="shared" si="39"/>
        <v>496</v>
      </c>
      <c r="K48" s="33">
        <f t="shared" si="39"/>
        <v>487</v>
      </c>
      <c r="L48" s="169">
        <f>L49*Model!L11</f>
        <v>503.09134134276064</v>
      </c>
      <c r="M48" s="169">
        <f>M49*Model!M11</f>
        <v>518.65138974149215</v>
      </c>
      <c r="N48" s="169">
        <f>N49*Model!N11</f>
        <v>540.50588213631124</v>
      </c>
      <c r="O48" s="169">
        <f>O49*Model!O11</f>
        <v>563.20326379758546</v>
      </c>
      <c r="P48" s="169">
        <f>P49*Model!P11</f>
        <v>586.77442284709309</v>
      </c>
      <c r="Q48" s="205"/>
      <c r="R48" s="239"/>
      <c r="S48" s="239"/>
      <c r="T48" s="239"/>
      <c r="U48" s="239"/>
      <c r="V48" s="239"/>
      <c r="W48" s="239"/>
      <c r="X48" s="239"/>
      <c r="Y48" s="239"/>
      <c r="Z48" s="239"/>
      <c r="AA48" s="239"/>
      <c r="AB48" s="239"/>
      <c r="AC48" s="239"/>
      <c r="AD48" s="239"/>
      <c r="AE48" s="239"/>
      <c r="AF48" s="239"/>
      <c r="AG48" s="239"/>
      <c r="AH48" s="239"/>
      <c r="AI48" s="239"/>
    </row>
    <row r="49" spans="1:42" s="36" customFormat="1">
      <c r="B49" s="41" t="s">
        <v>163</v>
      </c>
      <c r="C49" s="43"/>
      <c r="D49" s="258">
        <f>(D48)/Model!D11</f>
        <v>1.2746430127925756E-2</v>
      </c>
      <c r="E49" s="258">
        <f>(E48)/Model!E11</f>
        <v>1.0276849232879061E-2</v>
      </c>
      <c r="F49" s="258">
        <f>(F48)/Model!F11</f>
        <v>1.1601796407185628E-2</v>
      </c>
      <c r="G49" s="258">
        <f>(G48)/Model!G11</f>
        <v>9.537384994168719E-3</v>
      </c>
      <c r="H49" s="258">
        <f>(H48)/Model!H11</f>
        <v>1.2291759290739336E-2</v>
      </c>
      <c r="I49" s="258">
        <f>(I48)/Model!I11</f>
        <v>1.4944544623669195E-2</v>
      </c>
      <c r="J49" s="258">
        <f>(J48)/Model!J11</f>
        <v>1.1383718528378968E-2</v>
      </c>
      <c r="K49" s="258">
        <f>(K48)/Model!K11</f>
        <v>1.0980339105339106E-2</v>
      </c>
      <c r="L49" s="259">
        <f>K49</f>
        <v>1.0980339105339106E-2</v>
      </c>
      <c r="M49" s="259">
        <f t="shared" ref="M49:P49" si="40">L49</f>
        <v>1.0980339105339106E-2</v>
      </c>
      <c r="N49" s="259">
        <f t="shared" si="40"/>
        <v>1.0980339105339106E-2</v>
      </c>
      <c r="O49" s="259">
        <f t="shared" si="40"/>
        <v>1.0980339105339106E-2</v>
      </c>
      <c r="P49" s="259">
        <f t="shared" si="40"/>
        <v>1.0980339105339106E-2</v>
      </c>
      <c r="Q49" s="205"/>
      <c r="R49" s="258"/>
      <c r="S49" s="258"/>
      <c r="T49" s="258">
        <f>T7/Model!U11</f>
        <v>3.561197273535513E-2</v>
      </c>
      <c r="U49" s="258"/>
      <c r="V49" s="258">
        <f>V7/Model!W11</f>
        <v>3.0658053213620935E-2</v>
      </c>
      <c r="W49" s="258"/>
      <c r="X49" s="258">
        <f>X7/Model!Y11</f>
        <v>1.8720831565549427E-2</v>
      </c>
      <c r="Y49" s="258"/>
      <c r="Z49" s="258">
        <f>Z7/Model!AA11</f>
        <v>2.0353114271701816E-2</v>
      </c>
      <c r="AA49" s="258"/>
      <c r="AB49" s="258">
        <f>AB7/Model!AC11</f>
        <v>1.6787409442917813E-2</v>
      </c>
      <c r="AC49" s="258"/>
      <c r="AD49" s="258">
        <f>AD7/Model!AE11</f>
        <v>2.2730549281560864E-2</v>
      </c>
      <c r="AE49" s="258"/>
      <c r="AF49" s="258">
        <f>AF7/Model!AG11</f>
        <v>2.4891969751530428E-2</v>
      </c>
      <c r="AG49" s="258"/>
      <c r="AH49" s="258">
        <f>AH7/Model!AI11</f>
        <v>2.1706099413935316E-2</v>
      </c>
      <c r="AI49" s="258"/>
      <c r="AJ49" s="5"/>
      <c r="AK49" s="5"/>
      <c r="AL49" s="5"/>
      <c r="AM49" s="5"/>
      <c r="AN49" s="5"/>
      <c r="AO49" s="5"/>
      <c r="AP49" s="5"/>
    </row>
    <row r="50" spans="1:42">
      <c r="B50" s="46" t="s">
        <v>182</v>
      </c>
      <c r="C50" s="77"/>
      <c r="D50" s="261">
        <f>D48/Model!D11*365</f>
        <v>4.652446996692901</v>
      </c>
      <c r="E50" s="261">
        <f>E48/Model!E11*365</f>
        <v>3.751049970000857</v>
      </c>
      <c r="F50" s="261">
        <f>F48/Model!F11*365</f>
        <v>4.2346556886227544</v>
      </c>
      <c r="G50" s="261">
        <f>G48/Model!G11*365</f>
        <v>3.4811455228715826</v>
      </c>
      <c r="H50" s="261">
        <f>H48/Model!H11*365</f>
        <v>4.4864921411198582</v>
      </c>
      <c r="I50" s="261">
        <f>I48/Model!I11*365</f>
        <v>5.454758787639256</v>
      </c>
      <c r="J50" s="261">
        <f>J48/Model!J11*365</f>
        <v>4.1550572628583238</v>
      </c>
      <c r="K50" s="261">
        <f>K48/Model!K11*365</f>
        <v>4.0078237734487736</v>
      </c>
      <c r="L50" s="243">
        <f>L7/Model!L11*365</f>
        <v>4.0078237734487736</v>
      </c>
      <c r="M50" s="243">
        <f>M7/Model!M11*365</f>
        <v>4.0078237734487727</v>
      </c>
      <c r="N50" s="243">
        <f>N7/Model!N11*365</f>
        <v>4.0078237734487736</v>
      </c>
      <c r="O50" s="243">
        <f>O7/Model!O11*365</f>
        <v>4.0078237734487736</v>
      </c>
      <c r="P50" s="243">
        <f>P7/Model!P11*365</f>
        <v>4.0078237734487736</v>
      </c>
      <c r="Q50" s="205"/>
      <c r="R50" s="261"/>
      <c r="S50" s="261"/>
      <c r="T50" s="261">
        <f>T7/Model!U11*365</f>
        <v>12.998370048404622</v>
      </c>
      <c r="U50" s="261"/>
      <c r="V50" s="261">
        <f>V7/Model!W11*365</f>
        <v>11.190189422971642</v>
      </c>
      <c r="W50" s="261"/>
      <c r="X50" s="261">
        <f>X7/Model!Y11*365</f>
        <v>6.8331035214255404</v>
      </c>
      <c r="Y50" s="261"/>
      <c r="Z50" s="261">
        <f>Z7/Model!AA11*365</f>
        <v>7.428886709171163</v>
      </c>
      <c r="AA50" s="261"/>
      <c r="AB50" s="261">
        <f>AB7/Model!AC11*365</f>
        <v>6.1274044466650022</v>
      </c>
      <c r="AC50" s="261"/>
      <c r="AD50" s="261">
        <f>AD7/Model!AE11*365</f>
        <v>8.2966504877697158</v>
      </c>
      <c r="AE50" s="261"/>
      <c r="AF50" s="261">
        <f>AF7/Model!AG11*365</f>
        <v>9.0855689593086062</v>
      </c>
      <c r="AG50" s="261"/>
      <c r="AH50" s="261">
        <f>AH7/Model!AI11*365</f>
        <v>7.9227262860863901</v>
      </c>
      <c r="AI50" s="261"/>
    </row>
    <row r="51" spans="1:42">
      <c r="B51" s="46"/>
      <c r="C51" s="52"/>
      <c r="D51" s="239"/>
      <c r="E51" s="239"/>
      <c r="F51" s="239"/>
      <c r="G51" s="239"/>
      <c r="H51" s="239"/>
      <c r="I51" s="239"/>
      <c r="J51" s="239"/>
      <c r="K51" s="253"/>
      <c r="L51" s="254"/>
      <c r="M51" s="240"/>
      <c r="N51" s="240"/>
      <c r="O51" s="240"/>
      <c r="P51" s="240"/>
      <c r="Q51" s="205"/>
      <c r="R51" s="239"/>
      <c r="S51" s="239"/>
      <c r="T51" s="239"/>
      <c r="U51" s="239"/>
      <c r="V51" s="239"/>
      <c r="W51" s="239"/>
      <c r="X51" s="239"/>
      <c r="Y51" s="239"/>
      <c r="Z51" s="239"/>
      <c r="AA51" s="239"/>
      <c r="AB51" s="239"/>
      <c r="AC51" s="239"/>
      <c r="AD51" s="239"/>
      <c r="AE51" s="239"/>
      <c r="AF51" s="239"/>
      <c r="AG51" s="239"/>
      <c r="AH51" s="239"/>
      <c r="AI51" s="239"/>
    </row>
    <row r="52" spans="1:42">
      <c r="B52" s="37" t="s">
        <v>67</v>
      </c>
      <c r="C52" s="30"/>
      <c r="D52" s="33">
        <f t="shared" ref="D52:K52" si="41">D8</f>
        <v>3442.3</v>
      </c>
      <c r="E52" s="33">
        <f t="shared" si="41"/>
        <v>1964.7</v>
      </c>
      <c r="F52" s="33">
        <f t="shared" si="41"/>
        <v>2166</v>
      </c>
      <c r="G52" s="33">
        <f t="shared" si="41"/>
        <v>2107</v>
      </c>
      <c r="H52" s="33">
        <f t="shared" si="41"/>
        <v>2448</v>
      </c>
      <c r="I52" s="33">
        <f t="shared" si="41"/>
        <v>2323</v>
      </c>
      <c r="J52" s="33">
        <f t="shared" si="41"/>
        <v>2703</v>
      </c>
      <c r="K52" s="33">
        <f t="shared" si="41"/>
        <v>2733</v>
      </c>
      <c r="L52" s="169">
        <f>L53*Model!L11</f>
        <v>2823.303153777751</v>
      </c>
      <c r="M52" s="169">
        <f>M53*Model!M11</f>
        <v>2910.6247395554374</v>
      </c>
      <c r="N52" s="169">
        <f>N53*Model!N11</f>
        <v>3033.2701763419682</v>
      </c>
      <c r="O52" s="169">
        <f>O53*Model!O11</f>
        <v>3160.6458315375789</v>
      </c>
      <c r="P52" s="169">
        <f>P53*Model!P11</f>
        <v>3292.925046490976</v>
      </c>
      <c r="Q52" s="205"/>
      <c r="R52" s="239"/>
      <c r="S52" s="239"/>
      <c r="T52" s="239"/>
      <c r="U52" s="239"/>
      <c r="V52" s="239"/>
      <c r="W52" s="239"/>
      <c r="X52" s="239"/>
      <c r="Y52" s="239"/>
      <c r="Z52" s="239"/>
      <c r="AA52" s="239"/>
      <c r="AB52" s="239"/>
      <c r="AC52" s="239"/>
      <c r="AD52" s="239"/>
      <c r="AE52" s="239"/>
      <c r="AF52" s="239"/>
      <c r="AG52" s="239"/>
      <c r="AH52" s="239"/>
      <c r="AI52" s="239"/>
    </row>
    <row r="53" spans="1:42" s="36" customFormat="1">
      <c r="B53" s="41" t="s">
        <v>163</v>
      </c>
      <c r="C53" s="43"/>
      <c r="D53" s="258">
        <f>D52/Model!D11</f>
        <v>8.8248263132258323E-2</v>
      </c>
      <c r="E53" s="258">
        <f>E52/Model!E11</f>
        <v>5.6132681923373617E-2</v>
      </c>
      <c r="F53" s="258">
        <f>F52/Model!F11</f>
        <v>5.7902053036783578E-2</v>
      </c>
      <c r="G53" s="258">
        <f>G52/Model!G11</f>
        <v>5.4606712453025785E-2</v>
      </c>
      <c r="H53" s="258">
        <f>H52/Model!H11</f>
        <v>6.4021759029212547E-2</v>
      </c>
      <c r="I53" s="258">
        <f>I52/Model!I11</f>
        <v>5.7382111009559568E-2</v>
      </c>
      <c r="J53" s="258">
        <f>J52/Model!J11</f>
        <v>6.2036675770581348E-2</v>
      </c>
      <c r="K53" s="258">
        <f>K52/Model!K11</f>
        <v>6.1620670995670992E-2</v>
      </c>
      <c r="L53" s="259">
        <f>K53</f>
        <v>6.1620670995670992E-2</v>
      </c>
      <c r="M53" s="259">
        <f t="shared" ref="M53:P53" si="42">L53</f>
        <v>6.1620670995670992E-2</v>
      </c>
      <c r="N53" s="259">
        <f t="shared" si="42"/>
        <v>6.1620670995670992E-2</v>
      </c>
      <c r="O53" s="259">
        <f t="shared" si="42"/>
        <v>6.1620670995670992E-2</v>
      </c>
      <c r="P53" s="259">
        <f t="shared" si="42"/>
        <v>6.1620670995670992E-2</v>
      </c>
      <c r="Q53" s="205"/>
      <c r="R53" s="258"/>
      <c r="S53" s="258"/>
      <c r="T53" s="258">
        <f>T8/Model!U11</f>
        <v>0.19080312160426752</v>
      </c>
      <c r="U53" s="258"/>
      <c r="V53" s="258">
        <f>V8/Model!W11</f>
        <v>0.13297930581408079</v>
      </c>
      <c r="W53" s="258"/>
      <c r="X53" s="258">
        <f>X8/Model!Y11</f>
        <v>0.1311518879932117</v>
      </c>
      <c r="Y53" s="258"/>
      <c r="Z53" s="258">
        <f>Z8/Model!AA11</f>
        <v>0.11883276115743012</v>
      </c>
      <c r="AA53" s="258"/>
      <c r="AB53" s="258">
        <f>AB8/Model!AC11</f>
        <v>0.11926055458406196</v>
      </c>
      <c r="AC53" s="258"/>
      <c r="AD53" s="258">
        <f>AD8/Model!AE11</f>
        <v>0.13575856600509395</v>
      </c>
      <c r="AE53" s="258"/>
      <c r="AF53" s="258">
        <f>AF8/Model!AG11</f>
        <v>0.12909614692113791</v>
      </c>
      <c r="AG53" s="258"/>
      <c r="AH53" s="258">
        <f>AH8/Model!AI11</f>
        <v>0.12836987193401345</v>
      </c>
      <c r="AI53" s="258"/>
      <c r="AJ53" s="5"/>
      <c r="AK53" s="5"/>
      <c r="AL53" s="5"/>
      <c r="AM53" s="5"/>
      <c r="AN53" s="5"/>
      <c r="AO53" s="5"/>
      <c r="AP53" s="5"/>
    </row>
    <row r="54" spans="1:42">
      <c r="B54" s="46" t="s">
        <v>183</v>
      </c>
      <c r="C54" s="77"/>
      <c r="D54" s="261">
        <f>D52/PL!D5*365</f>
        <v>32.210616043274285</v>
      </c>
      <c r="E54" s="261">
        <f>E52/PL!E5*365</f>
        <v>20.488428902031369</v>
      </c>
      <c r="F54" s="261">
        <f>F52/PL!F5*365</f>
        <v>21.134249358426008</v>
      </c>
      <c r="G54" s="261">
        <f>G52/PL!G5*365</f>
        <v>19.93145004535441</v>
      </c>
      <c r="H54" s="261">
        <f>H52/PL!H5*365</f>
        <v>23.367942045662581</v>
      </c>
      <c r="I54" s="261">
        <f>I52/PL!I5*365</f>
        <v>20.944470518489243</v>
      </c>
      <c r="J54" s="261">
        <f>J52/PL!J5*365</f>
        <v>22.643386656262191</v>
      </c>
      <c r="K54" s="261">
        <f>K52/PL!K5*365</f>
        <v>22.491544913419911</v>
      </c>
      <c r="L54" s="243">
        <f>L52/PL!L5*365</f>
        <v>22.491544913419911</v>
      </c>
      <c r="M54" s="243">
        <f>M52/PL!M5*365</f>
        <v>22.491544913419911</v>
      </c>
      <c r="N54" s="243">
        <f>N52/PL!N5*365</f>
        <v>22.491544913419911</v>
      </c>
      <c r="O54" s="243">
        <f>O52/PL!O5*365</f>
        <v>22.491544913419911</v>
      </c>
      <c r="P54" s="243">
        <f>P52/PL!P5*365</f>
        <v>22.491544913419911</v>
      </c>
      <c r="Q54" s="205"/>
      <c r="R54" s="261"/>
      <c r="S54" s="261"/>
      <c r="T54" s="261">
        <f>T8/PL!T5*365</f>
        <v>69.643139385557646</v>
      </c>
      <c r="U54" s="261"/>
      <c r="V54" s="261">
        <f>V8/PL!V5*365</f>
        <v>48.537446622139491</v>
      </c>
      <c r="W54" s="261"/>
      <c r="X54" s="261">
        <f>X8/PL!X5*365</f>
        <v>47.870439117522274</v>
      </c>
      <c r="Y54" s="261"/>
      <c r="Z54" s="261">
        <f>Z8/PL!Z5*365</f>
        <v>43.373957822461996</v>
      </c>
      <c r="AA54" s="261"/>
      <c r="AB54" s="261">
        <f>AB8/PL!AB5*365</f>
        <v>43.530102423182612</v>
      </c>
      <c r="AC54" s="261"/>
      <c r="AD54" s="261">
        <f>AD8/PL!AD5*365</f>
        <v>49.55187659185929</v>
      </c>
      <c r="AE54" s="261"/>
      <c r="AF54" s="261">
        <f>AF8/PL!AF5*365</f>
        <v>47.120093626215336</v>
      </c>
      <c r="AG54" s="261"/>
      <c r="AH54" s="261">
        <f>AH8/PL!AH5*365</f>
        <v>46.855003255914909</v>
      </c>
      <c r="AI54" s="261"/>
    </row>
    <row r="55" spans="1:42">
      <c r="B55" s="46"/>
      <c r="C55" s="52"/>
      <c r="D55" s="239"/>
      <c r="E55" s="239"/>
      <c r="F55" s="239"/>
      <c r="G55" s="239"/>
      <c r="H55" s="239"/>
      <c r="I55" s="239"/>
      <c r="J55" s="239"/>
      <c r="K55" s="253"/>
      <c r="L55" s="254"/>
      <c r="M55" s="240"/>
      <c r="N55" s="240"/>
      <c r="O55" s="240"/>
      <c r="P55" s="240"/>
      <c r="Q55" s="205"/>
      <c r="R55" s="239"/>
      <c r="S55" s="239"/>
      <c r="T55" s="239"/>
      <c r="U55" s="239"/>
      <c r="V55" s="239"/>
      <c r="W55" s="239"/>
      <c r="X55" s="239"/>
      <c r="Y55" s="239"/>
      <c r="Z55" s="239"/>
      <c r="AA55" s="239"/>
      <c r="AB55" s="239"/>
      <c r="AC55" s="239"/>
      <c r="AD55" s="239"/>
      <c r="AE55" s="239"/>
      <c r="AF55" s="239"/>
      <c r="AG55" s="239"/>
      <c r="AH55" s="239"/>
      <c r="AI55" s="239"/>
    </row>
    <row r="56" spans="1:42">
      <c r="B56" s="37" t="s">
        <v>128</v>
      </c>
      <c r="C56" s="30"/>
      <c r="D56" s="33">
        <f t="shared" ref="D56:K56" si="43">D25</f>
        <v>8008.5</v>
      </c>
      <c r="E56" s="33">
        <f t="shared" si="43"/>
        <v>3379.9</v>
      </c>
      <c r="F56" s="33">
        <f t="shared" si="43"/>
        <v>3737</v>
      </c>
      <c r="G56" s="33">
        <f t="shared" si="43"/>
        <v>3660</v>
      </c>
      <c r="H56" s="33">
        <f t="shared" si="43"/>
        <v>4335</v>
      </c>
      <c r="I56" s="33">
        <f t="shared" si="43"/>
        <v>4434</v>
      </c>
      <c r="J56" s="33">
        <f t="shared" si="43"/>
        <v>4584</v>
      </c>
      <c r="K56" s="33">
        <f t="shared" si="43"/>
        <v>4637</v>
      </c>
      <c r="L56" s="169">
        <f>L57*Model!L11</f>
        <v>4790.2146813272711</v>
      </c>
      <c r="M56" s="169">
        <f>M57*Model!M11</f>
        <v>4938.3706247049258</v>
      </c>
      <c r="N56" s="169">
        <f>N57*Model!N11</f>
        <v>5146.459497876951</v>
      </c>
      <c r="O56" s="169">
        <f>O57*Model!O11</f>
        <v>5362.5739922575021</v>
      </c>
      <c r="P56" s="169">
        <f>P57*Model!P11</f>
        <v>5587.0082109691384</v>
      </c>
      <c r="Q56" s="205"/>
      <c r="R56" s="239"/>
      <c r="S56" s="239"/>
      <c r="T56" s="239"/>
      <c r="U56" s="239"/>
      <c r="V56" s="239"/>
      <c r="W56" s="239"/>
      <c r="X56" s="239"/>
      <c r="Y56" s="239"/>
      <c r="Z56" s="239"/>
      <c r="AA56" s="239"/>
      <c r="AB56" s="239"/>
      <c r="AC56" s="239"/>
      <c r="AD56" s="239"/>
      <c r="AE56" s="239"/>
      <c r="AF56" s="239"/>
      <c r="AG56" s="239"/>
      <c r="AH56" s="239"/>
      <c r="AI56" s="239"/>
    </row>
    <row r="57" spans="1:42" s="36" customFormat="1">
      <c r="B57" s="41" t="s">
        <v>163</v>
      </c>
      <c r="C57" s="43"/>
      <c r="D57" s="258">
        <f>D25/Model!D11</f>
        <v>0.20530930345835363</v>
      </c>
      <c r="E57" s="258">
        <f>E25/Model!E11</f>
        <v>9.6565812405359844E-2</v>
      </c>
      <c r="F57" s="258">
        <f>F25/Model!F11</f>
        <v>9.9898417450812654E-2</v>
      </c>
      <c r="G57" s="258">
        <f>G25/Model!G11</f>
        <v>9.4855513800699759E-2</v>
      </c>
      <c r="H57" s="258">
        <f>H25/Model!H11</f>
        <v>0.11337186494756388</v>
      </c>
      <c r="I57" s="258">
        <f>I25/Model!I11</f>
        <v>0.10952745596917224</v>
      </c>
      <c r="J57" s="258">
        <f>J25/Model!J11</f>
        <v>0.10520759220582497</v>
      </c>
      <c r="K57" s="258">
        <f>K25/Model!K11</f>
        <v>0.10454996392496392</v>
      </c>
      <c r="L57" s="259">
        <f>K57</f>
        <v>0.10454996392496392</v>
      </c>
      <c r="M57" s="259">
        <f t="shared" ref="M57:P57" si="44">L57</f>
        <v>0.10454996392496392</v>
      </c>
      <c r="N57" s="259">
        <f t="shared" si="44"/>
        <v>0.10454996392496392</v>
      </c>
      <c r="O57" s="259">
        <f t="shared" si="44"/>
        <v>0.10454996392496392</v>
      </c>
      <c r="P57" s="259">
        <f t="shared" si="44"/>
        <v>0.10454996392496392</v>
      </c>
      <c r="Q57" s="205"/>
      <c r="R57" s="258"/>
      <c r="S57" s="258"/>
      <c r="T57" s="258">
        <f>T25/Model!U11</f>
        <v>0.38506371628963748</v>
      </c>
      <c r="U57" s="258"/>
      <c r="V57" s="258">
        <f>V25/Model!W11</f>
        <v>0.21849337567064492</v>
      </c>
      <c r="W57" s="258"/>
      <c r="X57" s="258">
        <f>X25/Model!Y11</f>
        <v>0.19436784047518033</v>
      </c>
      <c r="Y57" s="258"/>
      <c r="Z57" s="258">
        <f>Z25/Model!AA11</f>
        <v>0.20465914664051005</v>
      </c>
      <c r="AA57" s="258"/>
      <c r="AB57" s="258">
        <f>AB25/Model!AC11</f>
        <v>0.21393954534099424</v>
      </c>
      <c r="AC57" s="258"/>
      <c r="AD57" s="258">
        <f>AD25/Model!AE11</f>
        <v>0.2392234129463213</v>
      </c>
      <c r="AE57" s="258"/>
      <c r="AF57" s="258">
        <f>AF25/Model!AG11</f>
        <v>0.22596326971552036</v>
      </c>
      <c r="AG57" s="258"/>
      <c r="AH57" s="258">
        <f>AH25/Model!AI11</f>
        <v>0.18267853266767961</v>
      </c>
      <c r="AI57" s="258"/>
      <c r="AJ57" s="5"/>
      <c r="AK57" s="5"/>
      <c r="AL57" s="5"/>
      <c r="AM57" s="5"/>
      <c r="AN57" s="5"/>
      <c r="AO57" s="5"/>
      <c r="AP57" s="5"/>
    </row>
    <row r="58" spans="1:42">
      <c r="B58" s="46" t="s">
        <v>184</v>
      </c>
      <c r="C58" s="77"/>
      <c r="D58" s="261">
        <f>D56/PL!D5*365</f>
        <v>74.937895762299078</v>
      </c>
      <c r="E58" s="261">
        <f>E56/PL!E5*365</f>
        <v>35.24652152795634</v>
      </c>
      <c r="F58" s="261">
        <f>F56/PL!F5*365</f>
        <v>36.462922369546618</v>
      </c>
      <c r="G58" s="261">
        <f>G56/PL!G5*365</f>
        <v>34.622262537255409</v>
      </c>
      <c r="H58" s="261">
        <f>H56/PL!H5*365</f>
        <v>41.380730705860813</v>
      </c>
      <c r="I58" s="261">
        <f>I56/PL!I5*365</f>
        <v>39.97752142874787</v>
      </c>
      <c r="J58" s="261">
        <f>J56/PL!J5*365</f>
        <v>38.400771155126115</v>
      </c>
      <c r="K58" s="261">
        <f>K56/PL!K5*365</f>
        <v>38.160736832611832</v>
      </c>
      <c r="L58" s="243">
        <f>L25/PL!L5*365</f>
        <v>38.160736832611832</v>
      </c>
      <c r="M58" s="243">
        <f>M25/PL!M5*365</f>
        <v>38.160736832611825</v>
      </c>
      <c r="N58" s="243">
        <f>N25/PL!N5*365</f>
        <v>38.160736832611832</v>
      </c>
      <c r="O58" s="243">
        <f>O25/PL!O5*365</f>
        <v>38.160736832611832</v>
      </c>
      <c r="P58" s="243">
        <f>P25/PL!P5*365</f>
        <v>38.160736832611832</v>
      </c>
      <c r="Q58" s="205"/>
      <c r="R58" s="261"/>
      <c r="S58" s="261"/>
      <c r="T58" s="261">
        <f>T25/PL!T5*365</f>
        <v>140.54825644571767</v>
      </c>
      <c r="U58" s="261"/>
      <c r="V58" s="261">
        <f>V25/PL!V5*365</f>
        <v>79.75008211978539</v>
      </c>
      <c r="W58" s="261"/>
      <c r="X58" s="261">
        <f>X25/PL!X5*365</f>
        <v>70.944261773440815</v>
      </c>
      <c r="Y58" s="261"/>
      <c r="Z58" s="261">
        <f>Z25/PL!Z5*365</f>
        <v>74.700588523786166</v>
      </c>
      <c r="AA58" s="261"/>
      <c r="AB58" s="261">
        <f>AB25/PL!AB5*365</f>
        <v>78.087934049462902</v>
      </c>
      <c r="AC58" s="261"/>
      <c r="AD58" s="261">
        <f>AD25/PL!AD5*365</f>
        <v>87.316545725407266</v>
      </c>
      <c r="AE58" s="261"/>
      <c r="AF58" s="261">
        <f>AF25/PL!AF5*365</f>
        <v>82.476593446164927</v>
      </c>
      <c r="AG58" s="261"/>
      <c r="AH58" s="261">
        <f>AH25/PL!AH5*365</f>
        <v>66.677664423703064</v>
      </c>
      <c r="AI58" s="261"/>
    </row>
    <row r="59" spans="1:42">
      <c r="B59" s="46"/>
      <c r="C59" s="52"/>
      <c r="D59" s="239"/>
      <c r="E59" s="239"/>
      <c r="F59" s="239"/>
      <c r="G59" s="239"/>
      <c r="H59" s="239"/>
      <c r="I59" s="239"/>
      <c r="J59" s="239"/>
      <c r="K59" s="253"/>
      <c r="L59" s="254"/>
      <c r="M59" s="240"/>
      <c r="N59" s="240"/>
      <c r="O59" s="240"/>
      <c r="P59" s="240"/>
      <c r="Q59" s="205"/>
      <c r="R59" s="239"/>
      <c r="S59" s="239"/>
      <c r="T59" s="239"/>
      <c r="U59" s="239"/>
      <c r="V59" s="239"/>
      <c r="W59" s="239"/>
      <c r="X59" s="239"/>
      <c r="Y59" s="239"/>
      <c r="Z59" s="239"/>
      <c r="AA59" s="239"/>
      <c r="AB59" s="239"/>
      <c r="AC59" s="239"/>
      <c r="AD59" s="239"/>
      <c r="AE59" s="239"/>
      <c r="AF59" s="239"/>
      <c r="AG59" s="239"/>
      <c r="AH59" s="239"/>
      <c r="AI59" s="239"/>
    </row>
    <row r="60" spans="1:42">
      <c r="B60" s="37" t="s">
        <v>185</v>
      </c>
      <c r="C60" s="51"/>
      <c r="D60" s="262">
        <f t="shared" ref="D60:P60" si="45">D48+D52-D56</f>
        <v>-4069</v>
      </c>
      <c r="E60" s="262">
        <f t="shared" si="45"/>
        <v>-1055.5</v>
      </c>
      <c r="F60" s="262">
        <f t="shared" si="45"/>
        <v>-1137</v>
      </c>
      <c r="G60" s="262">
        <f t="shared" si="45"/>
        <v>-1185</v>
      </c>
      <c r="H60" s="262">
        <f t="shared" si="45"/>
        <v>-1417</v>
      </c>
      <c r="I60" s="262">
        <f t="shared" si="45"/>
        <v>-1506</v>
      </c>
      <c r="J60" s="262">
        <f t="shared" si="45"/>
        <v>-1385</v>
      </c>
      <c r="K60" s="262">
        <f>K48+K52-K56</f>
        <v>-1417</v>
      </c>
      <c r="L60" s="263">
        <f>L48+L52-L56</f>
        <v>-1463.8201862067594</v>
      </c>
      <c r="M60" s="263">
        <f t="shared" si="45"/>
        <v>-1509.0944954079964</v>
      </c>
      <c r="N60" s="263">
        <f t="shared" si="45"/>
        <v>-1572.6834393986715</v>
      </c>
      <c r="O60" s="263">
        <f t="shared" si="45"/>
        <v>-1638.7248969223378</v>
      </c>
      <c r="P60" s="263">
        <f t="shared" si="45"/>
        <v>-1707.3087416310691</v>
      </c>
      <c r="Q60" s="205"/>
      <c r="R60" s="262"/>
      <c r="S60" s="262"/>
      <c r="T60" s="262">
        <f>T7+T8-T25</f>
        <v>-3212</v>
      </c>
      <c r="U60" s="262"/>
      <c r="V60" s="262">
        <f>V7+V8-V25</f>
        <v>-1002</v>
      </c>
      <c r="W60" s="262"/>
      <c r="X60" s="262">
        <f>X7+X8-X25</f>
        <v>-839</v>
      </c>
      <c r="Y60" s="262"/>
      <c r="Z60" s="262">
        <f>Z7+Z8-Z25</f>
        <v>-1335</v>
      </c>
      <c r="AA60" s="262"/>
      <c r="AB60" s="262">
        <f>AB7+AB8-AB25</f>
        <v>-1559</v>
      </c>
      <c r="AC60" s="262"/>
      <c r="AD60" s="262">
        <f>AD7+AD8-AD25</f>
        <v>-1680</v>
      </c>
      <c r="AE60" s="262"/>
      <c r="AF60" s="262">
        <f>AF7+AF8-AF25</f>
        <v>-1599</v>
      </c>
      <c r="AG60" s="262"/>
      <c r="AH60" s="262">
        <f>AH7+AH8-AH25</f>
        <v>-751</v>
      </c>
      <c r="AI60" s="262"/>
    </row>
    <row r="61" spans="1:42">
      <c r="A61" s="36" t="s">
        <v>301</v>
      </c>
      <c r="B61" s="46" t="s">
        <v>188</v>
      </c>
      <c r="C61" s="28"/>
      <c r="D61" s="242">
        <f>-(D60-C60)</f>
        <v>4069</v>
      </c>
      <c r="E61" s="242">
        <f t="shared" ref="E61:P61" si="46">-(E60-D60)</f>
        <v>-3013.5</v>
      </c>
      <c r="F61" s="242">
        <f t="shared" si="46"/>
        <v>81.5</v>
      </c>
      <c r="G61" s="242">
        <f t="shared" si="46"/>
        <v>48</v>
      </c>
      <c r="H61" s="242">
        <f t="shared" si="46"/>
        <v>232</v>
      </c>
      <c r="I61" s="242">
        <f t="shared" si="46"/>
        <v>89</v>
      </c>
      <c r="J61" s="242">
        <f t="shared" si="46"/>
        <v>-121</v>
      </c>
      <c r="K61" s="253">
        <f t="shared" si="46"/>
        <v>32</v>
      </c>
      <c r="L61" s="254">
        <f t="shared" si="46"/>
        <v>46.820186206759445</v>
      </c>
      <c r="M61" s="243">
        <f t="shared" si="46"/>
        <v>45.274309201236974</v>
      </c>
      <c r="N61" s="243">
        <f t="shared" si="46"/>
        <v>63.588943990675034</v>
      </c>
      <c r="O61" s="243">
        <f t="shared" si="46"/>
        <v>66.041457523666395</v>
      </c>
      <c r="P61" s="243">
        <f t="shared" si="46"/>
        <v>68.583844708731249</v>
      </c>
      <c r="Q61" s="205"/>
      <c r="R61" s="242"/>
      <c r="S61" s="242"/>
      <c r="T61" s="242">
        <f>T60-C60</f>
        <v>-3212</v>
      </c>
      <c r="U61" s="242">
        <f>D61-T61</f>
        <v>7281</v>
      </c>
      <c r="V61" s="242">
        <f>V60-D60</f>
        <v>3067</v>
      </c>
      <c r="W61" s="242">
        <f>E61-V61</f>
        <v>-6080.5</v>
      </c>
      <c r="X61" s="242">
        <f>X60-E60</f>
        <v>216.5</v>
      </c>
      <c r="Y61" s="242">
        <f>F61-X61</f>
        <v>-135</v>
      </c>
      <c r="Z61" s="242">
        <f>Z60-F60</f>
        <v>-198</v>
      </c>
      <c r="AA61" s="242">
        <f>G61-Z61</f>
        <v>246</v>
      </c>
      <c r="AB61" s="242">
        <f>AB60-G60</f>
        <v>-374</v>
      </c>
      <c r="AC61" s="242">
        <f>H61-AB61</f>
        <v>606</v>
      </c>
      <c r="AD61" s="242">
        <f>AD60-H60</f>
        <v>-263</v>
      </c>
      <c r="AE61" s="242">
        <f>I61-AD61</f>
        <v>352</v>
      </c>
      <c r="AF61" s="242">
        <f>AF60-I60</f>
        <v>-93</v>
      </c>
      <c r="AG61" s="242">
        <f>J61-AF61</f>
        <v>-28</v>
      </c>
      <c r="AH61" s="242">
        <f>AH60-J60</f>
        <v>634</v>
      </c>
      <c r="AI61" s="242">
        <f>K61-AH61</f>
        <v>-602</v>
      </c>
    </row>
    <row r="62" spans="1:42" s="36" customFormat="1">
      <c r="B62" s="41" t="s">
        <v>162</v>
      </c>
      <c r="C62" s="42"/>
      <c r="D62" s="258"/>
      <c r="E62" s="258">
        <f t="shared" ref="E62:K62" si="47">E60/D60-1</f>
        <v>-0.74059965593511912</v>
      </c>
      <c r="F62" s="258">
        <f t="shared" si="47"/>
        <v>7.7214590241591718E-2</v>
      </c>
      <c r="G62" s="258">
        <f t="shared" si="47"/>
        <v>4.2216358839050061E-2</v>
      </c>
      <c r="H62" s="258">
        <f t="shared" si="47"/>
        <v>0.19578059071729959</v>
      </c>
      <c r="I62" s="258">
        <f t="shared" si="47"/>
        <v>6.2808750882145326E-2</v>
      </c>
      <c r="J62" s="258">
        <f t="shared" si="47"/>
        <v>-8.0345285524568433E-2</v>
      </c>
      <c r="K62" s="258">
        <f t="shared" si="47"/>
        <v>2.310469314079433E-2</v>
      </c>
      <c r="L62" s="260">
        <f t="shared" ref="L62:P62" si="48">L60/K60-1</f>
        <v>3.3041768670966531E-2</v>
      </c>
      <c r="M62" s="260">
        <f t="shared" si="48"/>
        <v>3.0928873387487288E-2</v>
      </c>
      <c r="N62" s="260">
        <f t="shared" si="48"/>
        <v>4.2137151904118042E-2</v>
      </c>
      <c r="O62" s="260">
        <f t="shared" si="48"/>
        <v>4.1992848572830255E-2</v>
      </c>
      <c r="P62" s="260">
        <f t="shared" si="48"/>
        <v>4.1851957480805613E-2</v>
      </c>
      <c r="Q62" s="205"/>
      <c r="R62" s="264"/>
      <c r="S62" s="264"/>
      <c r="T62" s="258"/>
      <c r="U62" s="258"/>
      <c r="V62" s="258">
        <f>V60/T60-1</f>
        <v>-0.68804483188044829</v>
      </c>
      <c r="W62" s="258"/>
      <c r="X62" s="258">
        <f>X60/V60-1</f>
        <v>-0.16267465069860276</v>
      </c>
      <c r="Y62" s="258"/>
      <c r="Z62" s="258">
        <f>Z60/X60-1</f>
        <v>0.59117997616209772</v>
      </c>
      <c r="AA62" s="258"/>
      <c r="AB62" s="258">
        <f>AB60/Z60-1</f>
        <v>0.16779026217228465</v>
      </c>
      <c r="AC62" s="258"/>
      <c r="AD62" s="258">
        <f>AD60/AB60-1</f>
        <v>7.7613855035278956E-2</v>
      </c>
      <c r="AE62" s="258"/>
      <c r="AF62" s="258">
        <f>AF60/AD60-1</f>
        <v>-4.8214285714285765E-2</v>
      </c>
      <c r="AG62" s="258"/>
      <c r="AH62" s="258">
        <f>AH60/AF60-1</f>
        <v>-0.53033145716072538</v>
      </c>
      <c r="AI62" s="258"/>
      <c r="AJ62" s="5"/>
      <c r="AK62" s="5"/>
      <c r="AL62" s="5"/>
      <c r="AM62" s="5"/>
      <c r="AN62" s="5"/>
      <c r="AO62" s="5"/>
      <c r="AP62" s="5"/>
    </row>
    <row r="63" spans="1:42">
      <c r="B63" s="46"/>
      <c r="C63" s="52"/>
      <c r="D63" s="239"/>
      <c r="E63" s="239"/>
      <c r="F63" s="239"/>
      <c r="G63" s="239"/>
      <c r="H63" s="239"/>
      <c r="I63" s="239"/>
      <c r="J63" s="239"/>
      <c r="K63" s="253"/>
      <c r="L63" s="254"/>
      <c r="M63" s="240"/>
      <c r="N63" s="240"/>
      <c r="O63" s="240"/>
      <c r="P63" s="240"/>
      <c r="Q63" s="205"/>
      <c r="R63" s="239"/>
      <c r="S63" s="239"/>
      <c r="T63" s="239"/>
      <c r="U63" s="239"/>
      <c r="V63" s="239"/>
      <c r="W63" s="239"/>
      <c r="X63" s="239"/>
      <c r="Y63" s="239"/>
      <c r="Z63" s="239"/>
      <c r="AA63" s="239"/>
      <c r="AB63" s="239"/>
      <c r="AC63" s="239"/>
      <c r="AD63" s="239"/>
      <c r="AE63" s="239"/>
      <c r="AF63" s="239"/>
      <c r="AG63" s="239"/>
      <c r="AH63" s="239"/>
      <c r="AI63" s="239"/>
    </row>
    <row r="64" spans="1:42">
      <c r="B64" s="46" t="s">
        <v>129</v>
      </c>
      <c r="C64" s="28"/>
      <c r="D64" s="242">
        <f t="shared" ref="D64:P64" si="49">D6</f>
        <v>686.1</v>
      </c>
      <c r="E64" s="242">
        <f t="shared" si="49"/>
        <v>940.4</v>
      </c>
      <c r="F64" s="242">
        <f t="shared" si="49"/>
        <v>992</v>
      </c>
      <c r="G64" s="242">
        <f t="shared" si="49"/>
        <v>787</v>
      </c>
      <c r="H64" s="242">
        <f t="shared" si="49"/>
        <v>589</v>
      </c>
      <c r="I64" s="242">
        <f t="shared" si="49"/>
        <v>597</v>
      </c>
      <c r="J64" s="242">
        <f t="shared" si="49"/>
        <v>675.00000000000011</v>
      </c>
      <c r="K64" s="242">
        <f t="shared" si="49"/>
        <v>705.00000000000011</v>
      </c>
      <c r="L64" s="243">
        <f t="shared" si="49"/>
        <v>737.00076684336148</v>
      </c>
      <c r="M64" s="243">
        <f t="shared" si="49"/>
        <v>781.50581440956341</v>
      </c>
      <c r="N64" s="243">
        <f t="shared" si="49"/>
        <v>852.91404561965976</v>
      </c>
      <c r="O64" s="243">
        <f t="shared" si="49"/>
        <v>931.37742057819071</v>
      </c>
      <c r="P64" s="243">
        <f t="shared" si="49"/>
        <v>1016.7905340761992</v>
      </c>
      <c r="Q64" s="205"/>
      <c r="R64" s="242"/>
      <c r="S64" s="242"/>
      <c r="T64" s="242">
        <f>T6</f>
        <v>669</v>
      </c>
      <c r="U64" s="242"/>
      <c r="V64" s="242">
        <f>V6</f>
        <v>484</v>
      </c>
      <c r="W64" s="242"/>
      <c r="X64" s="242">
        <f>X6</f>
        <v>797</v>
      </c>
      <c r="Y64" s="242"/>
      <c r="Z64" s="242">
        <f>Z6</f>
        <v>1178</v>
      </c>
      <c r="AA64" s="242"/>
      <c r="AB64" s="242">
        <f>AB6</f>
        <v>1098</v>
      </c>
      <c r="AC64" s="242"/>
      <c r="AD64" s="242">
        <f>AD6</f>
        <v>698</v>
      </c>
      <c r="AE64" s="242"/>
      <c r="AF64" s="242">
        <f>AF6</f>
        <v>1092</v>
      </c>
      <c r="AG64" s="242"/>
      <c r="AH64" s="242">
        <f>AH6</f>
        <v>625.00000000000011</v>
      </c>
      <c r="AI64" s="242"/>
    </row>
    <row r="65" spans="1:35">
      <c r="B65" s="46" t="s">
        <v>130</v>
      </c>
      <c r="C65" s="28"/>
      <c r="D65" s="253">
        <f>D33+D26</f>
        <v>0</v>
      </c>
      <c r="E65" s="242">
        <f t="shared" ref="E65:P65" si="50">E33+E26</f>
        <v>1460</v>
      </c>
      <c r="F65" s="242">
        <f t="shared" si="50"/>
        <v>1354</v>
      </c>
      <c r="G65" s="242">
        <f t="shared" si="50"/>
        <v>1142</v>
      </c>
      <c r="H65" s="242">
        <f t="shared" si="50"/>
        <v>1095</v>
      </c>
      <c r="I65" s="242">
        <f t="shared" si="50"/>
        <v>1118</v>
      </c>
      <c r="J65" s="242">
        <f t="shared" si="50"/>
        <v>1652</v>
      </c>
      <c r="K65" s="242">
        <f t="shared" si="50"/>
        <v>1984</v>
      </c>
      <c r="L65" s="243">
        <f t="shared" si="50"/>
        <v>1984</v>
      </c>
      <c r="M65" s="243">
        <f t="shared" si="50"/>
        <v>1984</v>
      </c>
      <c r="N65" s="243">
        <f t="shared" si="50"/>
        <v>1984</v>
      </c>
      <c r="O65" s="243">
        <f t="shared" si="50"/>
        <v>1984</v>
      </c>
      <c r="P65" s="243">
        <f t="shared" si="50"/>
        <v>1984</v>
      </c>
      <c r="Q65" s="205"/>
      <c r="R65" s="242"/>
      <c r="S65" s="242"/>
      <c r="T65" s="242">
        <f>T26+T33</f>
        <v>0</v>
      </c>
      <c r="U65" s="242"/>
      <c r="V65" s="242">
        <f>V26+V33</f>
        <v>1630</v>
      </c>
      <c r="W65" s="242"/>
      <c r="X65" s="242">
        <f>X26+X33</f>
        <v>1363</v>
      </c>
      <c r="Y65" s="242"/>
      <c r="Z65" s="242">
        <f>Z26+Z33</f>
        <v>1140</v>
      </c>
      <c r="AA65" s="242"/>
      <c r="AB65" s="242">
        <f>AB26+AB33</f>
        <v>1044</v>
      </c>
      <c r="AC65" s="242"/>
      <c r="AD65" s="242">
        <f>AD26+AD33</f>
        <v>1060</v>
      </c>
      <c r="AE65" s="242"/>
      <c r="AF65" s="242">
        <f>AF26+AF33</f>
        <v>1666</v>
      </c>
      <c r="AG65" s="242"/>
      <c r="AH65" s="242">
        <f>AH26+AH33</f>
        <v>2276</v>
      </c>
      <c r="AI65" s="242"/>
    </row>
    <row r="66" spans="1:35">
      <c r="A66" s="36" t="s">
        <v>135</v>
      </c>
      <c r="B66" s="37" t="s">
        <v>135</v>
      </c>
      <c r="C66" s="51"/>
      <c r="D66" s="262">
        <f>D65-D64</f>
        <v>-686.1</v>
      </c>
      <c r="E66" s="262">
        <f t="shared" ref="E66:K66" si="51">E65-E64</f>
        <v>519.6</v>
      </c>
      <c r="F66" s="262">
        <f t="shared" si="51"/>
        <v>362</v>
      </c>
      <c r="G66" s="262">
        <f t="shared" si="51"/>
        <v>355</v>
      </c>
      <c r="H66" s="262">
        <f t="shared" si="51"/>
        <v>506</v>
      </c>
      <c r="I66" s="262">
        <f t="shared" si="51"/>
        <v>521</v>
      </c>
      <c r="J66" s="262">
        <f t="shared" si="51"/>
        <v>976.99999999999989</v>
      </c>
      <c r="K66" s="262">
        <f t="shared" si="51"/>
        <v>1279</v>
      </c>
      <c r="L66" s="263">
        <f t="shared" ref="L66:P66" si="52">L65-L64</f>
        <v>1246.9992331566386</v>
      </c>
      <c r="M66" s="263">
        <f t="shared" si="52"/>
        <v>1202.4941855904367</v>
      </c>
      <c r="N66" s="263">
        <f t="shared" si="52"/>
        <v>1131.0859543803404</v>
      </c>
      <c r="O66" s="263">
        <f t="shared" si="52"/>
        <v>1052.6225794218094</v>
      </c>
      <c r="P66" s="263">
        <f t="shared" si="52"/>
        <v>967.20946592380085</v>
      </c>
      <c r="Q66" s="205"/>
      <c r="R66" s="262"/>
      <c r="S66" s="262"/>
      <c r="T66" s="262">
        <f t="shared" ref="T66:AH66" si="53">T65-T64</f>
        <v>-669</v>
      </c>
      <c r="U66" s="262"/>
      <c r="V66" s="262">
        <f t="shared" si="53"/>
        <v>1146</v>
      </c>
      <c r="W66" s="262"/>
      <c r="X66" s="262">
        <f t="shared" si="53"/>
        <v>566</v>
      </c>
      <c r="Y66" s="262"/>
      <c r="Z66" s="262">
        <f t="shared" si="53"/>
        <v>-38</v>
      </c>
      <c r="AA66" s="262"/>
      <c r="AB66" s="262">
        <f t="shared" si="53"/>
        <v>-54</v>
      </c>
      <c r="AC66" s="262"/>
      <c r="AD66" s="262">
        <f t="shared" si="53"/>
        <v>362</v>
      </c>
      <c r="AE66" s="262"/>
      <c r="AF66" s="262">
        <f t="shared" si="53"/>
        <v>574</v>
      </c>
      <c r="AG66" s="262"/>
      <c r="AH66" s="262">
        <f t="shared" si="53"/>
        <v>1651</v>
      </c>
      <c r="AI66" s="262"/>
    </row>
    <row r="67" spans="1:35">
      <c r="A67" s="36" t="s">
        <v>290</v>
      </c>
      <c r="B67" s="46" t="s">
        <v>289</v>
      </c>
      <c r="C67" s="51"/>
      <c r="D67" s="262">
        <f>D66-C66</f>
        <v>-686.1</v>
      </c>
      <c r="E67" s="262">
        <f t="shared" ref="E67:K67" si="54">E66-D66</f>
        <v>1205.7</v>
      </c>
      <c r="F67" s="262">
        <f t="shared" si="54"/>
        <v>-157.60000000000002</v>
      </c>
      <c r="G67" s="262">
        <f t="shared" si="54"/>
        <v>-7</v>
      </c>
      <c r="H67" s="262">
        <f t="shared" si="54"/>
        <v>151</v>
      </c>
      <c r="I67" s="262">
        <f t="shared" si="54"/>
        <v>15</v>
      </c>
      <c r="J67" s="262">
        <f t="shared" si="54"/>
        <v>455.99999999999989</v>
      </c>
      <c r="K67" s="262">
        <f t="shared" si="54"/>
        <v>302.00000000000011</v>
      </c>
      <c r="L67" s="263">
        <f t="shared" ref="L67" si="55">L66-K66</f>
        <v>-32.000766843361362</v>
      </c>
      <c r="M67" s="263">
        <f t="shared" ref="M67" si="56">M66-L66</f>
        <v>-44.505047566201938</v>
      </c>
      <c r="N67" s="263">
        <f t="shared" ref="N67" si="57">N66-M66</f>
        <v>-71.408231210096346</v>
      </c>
      <c r="O67" s="263">
        <f t="shared" ref="O67" si="58">O66-N66</f>
        <v>-78.463374958530949</v>
      </c>
      <c r="P67" s="263">
        <f t="shared" ref="P67" si="59">P66-O66</f>
        <v>-85.413113498008556</v>
      </c>
      <c r="Q67" s="205"/>
      <c r="R67" s="262"/>
      <c r="S67" s="262"/>
      <c r="T67" s="242">
        <f>T66-C66</f>
        <v>-669</v>
      </c>
      <c r="U67" s="242">
        <f>D67-T67</f>
        <v>-17.100000000000023</v>
      </c>
      <c r="V67" s="242">
        <f>V66-D66</f>
        <v>1832.1</v>
      </c>
      <c r="W67" s="242">
        <f>E67-V67</f>
        <v>-626.39999999999986</v>
      </c>
      <c r="X67" s="242">
        <f>X66-E66</f>
        <v>46.399999999999977</v>
      </c>
      <c r="Y67" s="242">
        <f>F67-X67</f>
        <v>-204</v>
      </c>
      <c r="Z67" s="242">
        <f>Z66-F66</f>
        <v>-400</v>
      </c>
      <c r="AA67" s="242">
        <f>G67-Z67</f>
        <v>393</v>
      </c>
      <c r="AB67" s="242">
        <f>AB66-G66</f>
        <v>-409</v>
      </c>
      <c r="AC67" s="242">
        <f>H67-AB67</f>
        <v>560</v>
      </c>
      <c r="AD67" s="242">
        <f>AD66-H66</f>
        <v>-144</v>
      </c>
      <c r="AE67" s="242">
        <f>I67-AD67</f>
        <v>159</v>
      </c>
      <c r="AF67" s="242">
        <f>AF66-I66</f>
        <v>53</v>
      </c>
      <c r="AG67" s="242">
        <f>J67-AF67</f>
        <v>402.99999999999989</v>
      </c>
      <c r="AH67" s="242">
        <f>AH66-J66</f>
        <v>674.00000000000011</v>
      </c>
      <c r="AI67" s="242">
        <f>K67-AH67</f>
        <v>-372</v>
      </c>
    </row>
    <row r="68" spans="1:35">
      <c r="B68" s="46"/>
      <c r="C68" s="52"/>
      <c r="D68" s="239"/>
      <c r="E68" s="239"/>
      <c r="F68" s="239"/>
      <c r="G68" s="239"/>
      <c r="H68" s="239"/>
      <c r="I68" s="239"/>
      <c r="J68" s="239"/>
      <c r="K68" s="239"/>
      <c r="L68" s="240"/>
      <c r="M68" s="240"/>
      <c r="N68" s="240"/>
      <c r="O68" s="240"/>
      <c r="P68" s="240"/>
      <c r="Q68" s="205"/>
      <c r="R68" s="239"/>
      <c r="S68" s="239"/>
      <c r="T68" s="239"/>
      <c r="U68" s="239"/>
      <c r="V68" s="239"/>
      <c r="W68" s="239"/>
      <c r="X68" s="239"/>
      <c r="Y68" s="239"/>
      <c r="Z68" s="239"/>
      <c r="AA68" s="239"/>
      <c r="AB68" s="239"/>
      <c r="AC68" s="239"/>
      <c r="AD68" s="239"/>
      <c r="AE68" s="239"/>
      <c r="AF68" s="239"/>
      <c r="AG68" s="239"/>
      <c r="AH68" s="239"/>
      <c r="AI68" s="239"/>
    </row>
    <row r="69" spans="1:35">
      <c r="B69" s="37" t="s">
        <v>442</v>
      </c>
      <c r="C69" s="52"/>
      <c r="D69" s="239"/>
      <c r="E69" s="239"/>
      <c r="F69" s="239"/>
      <c r="G69" s="239"/>
      <c r="H69" s="239"/>
      <c r="I69" s="239"/>
      <c r="J69" s="239"/>
      <c r="K69" s="239"/>
      <c r="L69" s="324">
        <v>1000</v>
      </c>
      <c r="M69" s="324">
        <f>L69*1.05</f>
        <v>1050</v>
      </c>
      <c r="N69" s="324">
        <f t="shared" ref="N69:P69" si="60">M69*1.05</f>
        <v>1102.5</v>
      </c>
      <c r="O69" s="324">
        <f t="shared" si="60"/>
        <v>1157.625</v>
      </c>
      <c r="P69" s="324">
        <f t="shared" si="60"/>
        <v>1215.5062500000001</v>
      </c>
      <c r="Q69" s="205"/>
      <c r="R69" s="239"/>
      <c r="S69" s="239"/>
      <c r="T69" s="239"/>
      <c r="U69" s="239"/>
      <c r="V69" s="239"/>
      <c r="W69" s="239"/>
      <c r="X69" s="239"/>
      <c r="Y69" s="239"/>
      <c r="Z69" s="239"/>
      <c r="AA69" s="239"/>
      <c r="AB69" s="239"/>
      <c r="AC69" s="239"/>
      <c r="AD69" s="239"/>
      <c r="AE69" s="239"/>
      <c r="AF69" s="239"/>
      <c r="AG69" s="239"/>
      <c r="AH69" s="239"/>
      <c r="AI69" s="239"/>
    </row>
    <row r="70" spans="1:35">
      <c r="B70" s="46"/>
      <c r="C70" s="52"/>
      <c r="D70" s="239"/>
      <c r="E70" s="239"/>
      <c r="F70" s="239"/>
      <c r="G70" s="239"/>
      <c r="H70" s="239"/>
      <c r="I70" s="239"/>
      <c r="J70" s="239"/>
      <c r="K70" s="242"/>
      <c r="L70" s="243"/>
      <c r="M70" s="243"/>
      <c r="N70" s="243"/>
      <c r="O70" s="243"/>
      <c r="P70" s="243"/>
      <c r="Q70" s="205"/>
      <c r="R70" s="239"/>
      <c r="S70" s="239"/>
      <c r="T70" s="239"/>
      <c r="U70" s="239"/>
      <c r="V70" s="239"/>
      <c r="W70" s="239"/>
      <c r="X70" s="239"/>
      <c r="Y70" s="239"/>
      <c r="Z70" s="239"/>
      <c r="AA70" s="239"/>
      <c r="AB70" s="239"/>
      <c r="AC70" s="239"/>
      <c r="AD70" s="239"/>
      <c r="AE70" s="239"/>
      <c r="AF70" s="239"/>
      <c r="AG70" s="239"/>
      <c r="AH70" s="239"/>
      <c r="AI70" s="239"/>
    </row>
    <row r="71" spans="1:35">
      <c r="A71" s="27"/>
    </row>
  </sheetData>
  <pageMargins left="0.7" right="0.7" top="0.75" bottom="0.75" header="0.3" footer="0.3"/>
  <customProperties>
    <customPr name="Qube.Worksheet.Visibility" r:id="rId1"/>
    <customPr name="QXL_SHEET_ID" r:id="rId2"/>
  </customPropertie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364FE-B4EE-4558-9FF0-2BD8CAD3548B}">
  <sheetPr>
    <tabColor theme="7" tint="0.59999389629810485"/>
  </sheetPr>
  <dimension ref="A1:BZ77"/>
  <sheetViews>
    <sheetView showGridLines="0" zoomScale="70" zoomScaleNormal="70" workbookViewId="0">
      <pane xSplit="2" ySplit="4" topLeftCell="AE5" activePane="bottomRight" state="frozen"/>
      <selection activeCell="I25" sqref="I25"/>
      <selection pane="topRight" activeCell="I25" sqref="I25"/>
      <selection pane="bottomLeft" activeCell="I25" sqref="I25"/>
      <selection pane="bottomRight" activeCell="AP64" sqref="AP64"/>
    </sheetView>
  </sheetViews>
  <sheetFormatPr defaultColWidth="9.140625" defaultRowHeight="12.75" outlineLevelCol="1"/>
  <cols>
    <col min="1" max="1" width="9.140625" style="36" hidden="1" customWidth="1" outlineLevel="1"/>
    <col min="2" max="2" width="42.85546875" style="5" customWidth="1" collapsed="1"/>
    <col min="3" max="6" width="0" style="5" hidden="1" customWidth="1"/>
    <col min="7" max="14" width="9.140625" style="5" hidden="1" customWidth="1" outlineLevel="1"/>
    <col min="15" max="30" width="8.85546875" style="5" hidden="1" customWidth="1" outlineLevel="1"/>
    <col min="31" max="31" width="8.85546875" style="5" customWidth="1" collapsed="1"/>
    <col min="32" max="39" width="8.85546875" style="5" customWidth="1"/>
    <col min="40" max="47" width="9.140625" style="5"/>
    <col min="48" max="61" width="9.140625" style="5" hidden="1" customWidth="1" outlineLevel="1"/>
    <col min="62" max="62" width="9.140625" style="5" collapsed="1"/>
    <col min="63" max="70" width="9.140625" style="5"/>
    <col min="71" max="71" width="10.42578125" style="5" bestFit="1" customWidth="1"/>
    <col min="72" max="16384" width="9.140625" style="5"/>
  </cols>
  <sheetData>
    <row r="1" spans="1:78" s="7" customFormat="1">
      <c r="A1" s="153"/>
      <c r="B1" s="4" t="s">
        <v>306</v>
      </c>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V1" s="117"/>
      <c r="AW1" s="117"/>
      <c r="AX1" s="117"/>
      <c r="AY1" s="117"/>
      <c r="AZ1" s="117"/>
      <c r="BA1" s="117"/>
      <c r="BB1" s="117"/>
      <c r="BC1" s="117"/>
      <c r="BD1" s="117"/>
      <c r="BE1" s="117"/>
      <c r="BF1" s="117"/>
      <c r="BG1" s="117"/>
      <c r="BH1" s="117"/>
      <c r="BI1" s="117"/>
      <c r="BJ1" s="117"/>
      <c r="BK1" s="117"/>
      <c r="BL1" s="117"/>
      <c r="BM1" s="117"/>
      <c r="BN1" s="117"/>
      <c r="BO1" s="117"/>
      <c r="BQ1" s="117"/>
      <c r="BR1" s="117"/>
      <c r="BS1" s="117"/>
      <c r="BT1" s="117"/>
      <c r="BU1" s="117"/>
      <c r="BV1" s="117"/>
      <c r="BW1" s="117"/>
      <c r="BX1" s="117"/>
      <c r="BY1" s="117"/>
      <c r="BZ1" s="117"/>
    </row>
    <row r="2" spans="1:78" s="7" customFormat="1">
      <c r="A2" s="153"/>
      <c r="B2" s="4" t="s">
        <v>47</v>
      </c>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Q2" s="117"/>
      <c r="AR2" s="117"/>
      <c r="AS2" s="117"/>
      <c r="AT2" s="117"/>
      <c r="AV2" s="117"/>
      <c r="AW2" s="117"/>
      <c r="AX2" s="117"/>
      <c r="AY2" s="117"/>
      <c r="AZ2" s="117"/>
      <c r="BA2" s="117"/>
      <c r="BB2" s="117"/>
      <c r="BC2" s="117"/>
      <c r="BD2" s="117"/>
      <c r="BE2" s="117"/>
      <c r="BF2" s="117"/>
      <c r="BG2" s="117"/>
      <c r="BH2" s="117"/>
      <c r="BI2" s="117"/>
      <c r="BJ2" s="117"/>
      <c r="BK2" s="117"/>
      <c r="BL2" s="117"/>
      <c r="BM2" s="117"/>
      <c r="BN2" s="117"/>
      <c r="BO2" s="117"/>
      <c r="BQ2" s="117"/>
      <c r="BR2" s="117"/>
      <c r="BS2" s="117"/>
      <c r="BT2" s="117"/>
      <c r="BU2" s="117"/>
      <c r="BV2" s="117"/>
      <c r="BW2" s="117"/>
      <c r="BX2" s="117"/>
      <c r="BY2" s="117"/>
      <c r="BZ2" s="117"/>
    </row>
    <row r="3" spans="1:78" s="7" customFormat="1">
      <c r="A3" s="153"/>
      <c r="B3" s="1" t="s">
        <v>198</v>
      </c>
      <c r="C3" s="118" t="s">
        <v>84</v>
      </c>
      <c r="D3" s="118" t="s">
        <v>85</v>
      </c>
      <c r="E3" s="118" t="s">
        <v>86</v>
      </c>
      <c r="F3" s="118" t="s">
        <v>87</v>
      </c>
      <c r="G3" s="118" t="s">
        <v>88</v>
      </c>
      <c r="H3" s="118" t="s">
        <v>89</v>
      </c>
      <c r="I3" s="118" t="s">
        <v>90</v>
      </c>
      <c r="J3" s="118" t="s">
        <v>91</v>
      </c>
      <c r="K3" s="118" t="s">
        <v>92</v>
      </c>
      <c r="L3" s="118" t="s">
        <v>93</v>
      </c>
      <c r="M3" s="118" t="s">
        <v>94</v>
      </c>
      <c r="N3" s="118" t="s">
        <v>95</v>
      </c>
      <c r="O3" s="118" t="s">
        <v>96</v>
      </c>
      <c r="P3" s="118" t="s">
        <v>97</v>
      </c>
      <c r="Q3" s="118" t="s">
        <v>98</v>
      </c>
      <c r="R3" s="118" t="s">
        <v>99</v>
      </c>
      <c r="S3" s="118" t="s">
        <v>100</v>
      </c>
      <c r="T3" s="118" t="s">
        <v>101</v>
      </c>
      <c r="U3" s="118" t="s">
        <v>102</v>
      </c>
      <c r="V3" s="118" t="s">
        <v>103</v>
      </c>
      <c r="W3" s="118" t="s">
        <v>104</v>
      </c>
      <c r="X3" s="118" t="s">
        <v>105</v>
      </c>
      <c r="Y3" s="118" t="s">
        <v>106</v>
      </c>
      <c r="Z3" s="118" t="s">
        <v>107</v>
      </c>
      <c r="AA3" s="118" t="s">
        <v>108</v>
      </c>
      <c r="AB3" s="118" t="s">
        <v>109</v>
      </c>
      <c r="AC3" s="118" t="s">
        <v>110</v>
      </c>
      <c r="AD3" s="118" t="s">
        <v>111</v>
      </c>
      <c r="AE3" s="118" t="s">
        <v>112</v>
      </c>
      <c r="AF3" s="118" t="s">
        <v>113</v>
      </c>
      <c r="AG3" s="118" t="s">
        <v>114</v>
      </c>
      <c r="AH3" s="118" t="s">
        <v>115</v>
      </c>
      <c r="AI3" s="118" t="s">
        <v>116</v>
      </c>
      <c r="AJ3" s="118" t="s">
        <v>117</v>
      </c>
      <c r="AK3" s="118" t="s">
        <v>118</v>
      </c>
      <c r="AL3" s="118" t="s">
        <v>211</v>
      </c>
      <c r="AM3" s="118" t="s">
        <v>119</v>
      </c>
      <c r="AN3" s="118" t="s">
        <v>266</v>
      </c>
      <c r="AO3" s="118" t="s">
        <v>264</v>
      </c>
      <c r="AP3" s="118" t="s">
        <v>265</v>
      </c>
      <c r="AQ3" s="118"/>
      <c r="AR3" s="118"/>
      <c r="AS3" s="118"/>
      <c r="AT3" s="118"/>
      <c r="AU3" s="11"/>
      <c r="AV3" s="118" t="s">
        <v>11</v>
      </c>
      <c r="AW3" s="118" t="s">
        <v>12</v>
      </c>
      <c r="AX3" s="118" t="s">
        <v>13</v>
      </c>
      <c r="AY3" s="118" t="s">
        <v>14</v>
      </c>
      <c r="AZ3" s="118" t="s">
        <v>15</v>
      </c>
      <c r="BA3" s="118" t="s">
        <v>16</v>
      </c>
      <c r="BB3" s="118" t="s">
        <v>17</v>
      </c>
      <c r="BC3" s="118" t="s">
        <v>18</v>
      </c>
      <c r="BD3" s="118" t="s">
        <v>19</v>
      </c>
      <c r="BE3" s="118" t="s">
        <v>20</v>
      </c>
      <c r="BF3" s="118" t="s">
        <v>21</v>
      </c>
      <c r="BG3" s="118" t="s">
        <v>22</v>
      </c>
      <c r="BH3" s="118" t="s">
        <v>23</v>
      </c>
      <c r="BI3" s="118" t="s">
        <v>24</v>
      </c>
      <c r="BJ3" s="118" t="s">
        <v>25</v>
      </c>
      <c r="BK3" s="118" t="s">
        <v>26</v>
      </c>
      <c r="BL3" s="133" t="s">
        <v>27</v>
      </c>
      <c r="BM3" s="118" t="s">
        <v>28</v>
      </c>
      <c r="BN3" s="118" t="s">
        <v>31</v>
      </c>
      <c r="BO3" s="118" t="s">
        <v>32</v>
      </c>
      <c r="BP3" s="165"/>
      <c r="BQ3" s="118" t="s">
        <v>2</v>
      </c>
      <c r="BR3" s="118" t="s">
        <v>3</v>
      </c>
      <c r="BS3" s="118" t="s">
        <v>4</v>
      </c>
      <c r="BT3" s="133" t="s">
        <v>5</v>
      </c>
      <c r="BU3" s="118" t="s">
        <v>6</v>
      </c>
      <c r="BV3" s="118" t="s">
        <v>7</v>
      </c>
      <c r="BW3" s="118" t="s">
        <v>8</v>
      </c>
      <c r="BX3" s="118" t="s">
        <v>9</v>
      </c>
      <c r="BY3" s="133" t="s">
        <v>10</v>
      </c>
      <c r="BZ3" s="133" t="s">
        <v>29</v>
      </c>
    </row>
    <row r="4" spans="1:78" s="7" customFormat="1">
      <c r="A4" s="153"/>
      <c r="B4" s="117" t="s">
        <v>83</v>
      </c>
      <c r="C4" s="117">
        <v>14</v>
      </c>
      <c r="D4" s="117">
        <v>13</v>
      </c>
      <c r="E4" s="117">
        <v>13</v>
      </c>
      <c r="F4" s="117">
        <v>12</v>
      </c>
      <c r="G4" s="117">
        <v>14</v>
      </c>
      <c r="H4" s="117">
        <v>13</v>
      </c>
      <c r="I4" s="117">
        <v>13</v>
      </c>
      <c r="J4" s="117">
        <v>12</v>
      </c>
      <c r="K4" s="117">
        <v>14</v>
      </c>
      <c r="L4" s="117">
        <v>13</v>
      </c>
      <c r="M4" s="117">
        <v>13</v>
      </c>
      <c r="N4" s="117">
        <v>12</v>
      </c>
      <c r="O4" s="117">
        <v>14</v>
      </c>
      <c r="P4" s="117">
        <v>13</v>
      </c>
      <c r="Q4" s="117">
        <v>13</v>
      </c>
      <c r="R4" s="117">
        <v>12</v>
      </c>
      <c r="S4" s="117">
        <v>14</v>
      </c>
      <c r="T4" s="117">
        <v>13</v>
      </c>
      <c r="U4" s="117">
        <v>13</v>
      </c>
      <c r="V4" s="117">
        <v>12</v>
      </c>
      <c r="W4" s="117">
        <v>14</v>
      </c>
      <c r="X4" s="117">
        <v>13</v>
      </c>
      <c r="Y4" s="117">
        <v>13</v>
      </c>
      <c r="Z4" s="117">
        <v>12</v>
      </c>
      <c r="AA4" s="117">
        <v>14</v>
      </c>
      <c r="AB4" s="117">
        <v>13</v>
      </c>
      <c r="AC4" s="117">
        <v>13</v>
      </c>
      <c r="AD4" s="117">
        <v>12</v>
      </c>
      <c r="AE4" s="117">
        <v>14</v>
      </c>
      <c r="AF4" s="117">
        <v>13</v>
      </c>
      <c r="AG4" s="117">
        <v>13</v>
      </c>
      <c r="AH4" s="117">
        <v>13</v>
      </c>
      <c r="AI4" s="117">
        <v>14</v>
      </c>
      <c r="AJ4" s="117">
        <v>13</v>
      </c>
      <c r="AK4" s="117">
        <v>13</v>
      </c>
      <c r="AL4" s="117">
        <v>12</v>
      </c>
      <c r="AM4" s="117">
        <v>14</v>
      </c>
      <c r="AN4" s="117">
        <v>13</v>
      </c>
      <c r="AO4" s="117">
        <v>13</v>
      </c>
      <c r="AP4" s="117">
        <v>12</v>
      </c>
      <c r="AQ4" s="117">
        <v>14</v>
      </c>
      <c r="AR4" s="117">
        <v>13</v>
      </c>
      <c r="AS4" s="117">
        <v>13</v>
      </c>
      <c r="AT4" s="117">
        <v>12</v>
      </c>
      <c r="AV4" s="117"/>
      <c r="AW4" s="117"/>
      <c r="AX4" s="117"/>
      <c r="AY4" s="117"/>
      <c r="AZ4" s="117"/>
      <c r="BA4" s="117"/>
      <c r="BB4" s="117"/>
      <c r="BC4" s="117"/>
      <c r="BD4" s="117"/>
      <c r="BE4" s="117"/>
      <c r="BF4" s="117"/>
      <c r="BG4" s="117"/>
      <c r="BH4" s="117"/>
      <c r="BI4" s="117"/>
      <c r="BJ4" s="117">
        <f>AE4+AF4</f>
        <v>27</v>
      </c>
      <c r="BK4" s="117">
        <f>AG4+AH4</f>
        <v>26</v>
      </c>
      <c r="BL4" s="117">
        <f>AI4+AJ4</f>
        <v>27</v>
      </c>
      <c r="BM4" s="117">
        <f>AK4+AL4</f>
        <v>25</v>
      </c>
      <c r="BN4" s="117">
        <f>AM4+AN4</f>
        <v>27</v>
      </c>
      <c r="BO4" s="117">
        <f>AO4+AP4</f>
        <v>25</v>
      </c>
      <c r="BQ4" s="117"/>
      <c r="BR4" s="117"/>
      <c r="BS4" s="117"/>
      <c r="BT4" s="117"/>
      <c r="BU4" s="117"/>
      <c r="BV4" s="117"/>
      <c r="BW4" s="117"/>
      <c r="BX4" s="117"/>
      <c r="BY4" s="117"/>
      <c r="BZ4" s="117"/>
    </row>
    <row r="5" spans="1:78">
      <c r="B5" s="82" t="s">
        <v>1</v>
      </c>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163"/>
      <c r="AO5" s="163"/>
      <c r="AP5" s="163"/>
      <c r="AQ5" s="163"/>
      <c r="AR5" s="163"/>
      <c r="AS5" s="163"/>
      <c r="AT5" s="163"/>
      <c r="AU5" s="163"/>
      <c r="AV5" s="83"/>
      <c r="AW5" s="83"/>
      <c r="AX5" s="83"/>
      <c r="AY5" s="83"/>
      <c r="AZ5" s="83"/>
      <c r="BA5" s="83"/>
      <c r="BB5" s="83"/>
      <c r="BC5" s="83"/>
      <c r="BD5" s="83"/>
      <c r="BE5" s="83"/>
      <c r="BF5" s="83"/>
      <c r="BG5" s="83"/>
      <c r="BH5" s="83"/>
      <c r="BI5" s="83"/>
      <c r="BJ5" s="83"/>
      <c r="BK5" s="83"/>
      <c r="BL5" s="83"/>
      <c r="BM5" s="83"/>
      <c r="BN5" s="306"/>
      <c r="BO5" s="306"/>
      <c r="BP5" s="163"/>
      <c r="BQ5" s="46"/>
      <c r="BR5" s="46"/>
      <c r="BS5" s="46"/>
      <c r="BT5" s="46"/>
      <c r="BU5" s="46"/>
      <c r="BV5" s="46"/>
      <c r="BW5" s="46"/>
      <c r="BX5" s="46"/>
      <c r="BY5" s="46"/>
    </row>
    <row r="6" spans="1:78">
      <c r="A6" s="36" t="s">
        <v>309</v>
      </c>
      <c r="B6" s="27" t="s">
        <v>308</v>
      </c>
      <c r="C6" s="34"/>
      <c r="D6" s="34"/>
      <c r="E6" s="34"/>
      <c r="F6" s="34"/>
      <c r="G6" s="276">
        <v>7239</v>
      </c>
      <c r="H6" s="33">
        <f>AX6-G6</f>
        <v>8286</v>
      </c>
      <c r="I6" s="276">
        <v>7049</v>
      </c>
      <c r="J6" s="33">
        <f>AY6-I6</f>
        <v>7345</v>
      </c>
      <c r="K6" s="277">
        <v>7586</v>
      </c>
      <c r="L6" s="278">
        <v>8467</v>
      </c>
      <c r="M6" s="279">
        <v>7232</v>
      </c>
      <c r="N6" s="33">
        <f>BA6-M6</f>
        <v>7589</v>
      </c>
      <c r="O6" s="280">
        <v>7705</v>
      </c>
      <c r="P6" s="33">
        <f>BB6-O6</f>
        <v>8888</v>
      </c>
      <c r="Q6" s="280">
        <v>8230</v>
      </c>
      <c r="R6" s="33">
        <f>BC6-Q6</f>
        <v>8170</v>
      </c>
      <c r="S6" s="280">
        <v>8464</v>
      </c>
      <c r="T6" s="33">
        <f>BD6-S6</f>
        <v>9348</v>
      </c>
      <c r="U6" s="280">
        <v>7895</v>
      </c>
      <c r="V6" s="33">
        <f>BE6-U6</f>
        <v>8161</v>
      </c>
      <c r="W6" s="280">
        <v>8620</v>
      </c>
      <c r="X6" s="33">
        <f>BF6-W6</f>
        <v>9396</v>
      </c>
      <c r="Y6" s="280">
        <v>8032</v>
      </c>
      <c r="Z6" s="33">
        <f>BG6-Y6</f>
        <v>8576</v>
      </c>
      <c r="AA6" s="280">
        <v>8771</v>
      </c>
      <c r="AB6" s="33">
        <f>BH6-AA6</f>
        <v>10086</v>
      </c>
      <c r="AC6" s="280">
        <v>8629</v>
      </c>
      <c r="AD6" s="33">
        <f>BI6-AC6</f>
        <v>9260</v>
      </c>
      <c r="AE6" s="280">
        <v>9186</v>
      </c>
      <c r="AF6" s="33">
        <f>BJ6-AE6</f>
        <v>10592</v>
      </c>
      <c r="AG6" s="280">
        <v>9065</v>
      </c>
      <c r="AH6" s="33">
        <f>BK6-AG6</f>
        <v>10199</v>
      </c>
      <c r="AI6" s="34">
        <v>9507</v>
      </c>
      <c r="AJ6" s="33">
        <f>BL6-AI6</f>
        <v>11122</v>
      </c>
      <c r="AK6" s="34">
        <v>9401</v>
      </c>
      <c r="AL6" s="33">
        <f>BM6-AK6</f>
        <v>9957</v>
      </c>
      <c r="AM6" s="34">
        <v>9965</v>
      </c>
      <c r="AN6" s="169">
        <f>BN6-AM6</f>
        <v>11540.588241258745</v>
      </c>
      <c r="AO6" s="169">
        <f>AK6*(1+AO16)</f>
        <v>9795.8420000000006</v>
      </c>
      <c r="AP6" s="169">
        <f>BO6-AO6</f>
        <v>10380.135125020326</v>
      </c>
      <c r="AQ6" s="169"/>
      <c r="AR6" s="169"/>
      <c r="AS6" s="169"/>
      <c r="AT6" s="169"/>
      <c r="AU6" s="163"/>
      <c r="AV6" s="121"/>
      <c r="AW6" s="121"/>
      <c r="AX6" s="121">
        <f>VLOOKUP($A6,Model!$1:$1048576,MATCH(Quarterly!AX$3,Model!$3:$3,0),FALSE)</f>
        <v>15525</v>
      </c>
      <c r="AY6" s="121">
        <f>VLOOKUP($A6,Model!$1:$1048576,MATCH(Quarterly!AY$3,Model!$3:$3,0),FALSE)</f>
        <v>14394</v>
      </c>
      <c r="AZ6" s="121">
        <f>VLOOKUP($A6,Model!$1:$1048576,MATCH(Quarterly!AZ$3,Model!$3:$3,0),FALSE)</f>
        <v>16069</v>
      </c>
      <c r="BA6" s="121">
        <f>VLOOKUP($A6,Model!$1:$1048576,MATCH(Quarterly!BA$3,Model!$3:$3,0),FALSE)</f>
        <v>14821</v>
      </c>
      <c r="BB6" s="121">
        <f>VLOOKUP($A6,Model!$1:$1048576,MATCH(Quarterly!BB$3,Model!$3:$3,0),FALSE)</f>
        <v>16593</v>
      </c>
      <c r="BC6" s="121">
        <f>VLOOKUP($A6,Model!$1:$1048576,MATCH(Quarterly!BC$3,Model!$3:$3,0),FALSE)</f>
        <v>16400</v>
      </c>
      <c r="BD6" s="121">
        <f>VLOOKUP($A6,Model!$1:$1048576,MATCH(Quarterly!BD$3,Model!$3:$3,0),FALSE)</f>
        <v>17812</v>
      </c>
      <c r="BE6" s="121">
        <f>VLOOKUP($A6,Model!$1:$1048576,MATCH(Quarterly!BE$3,Model!$3:$3,0),FALSE)</f>
        <v>16056</v>
      </c>
      <c r="BF6" s="121">
        <f>VLOOKUP($A6,Model!$1:$1048576,MATCH(Quarterly!BF$3,Model!$3:$3,0),FALSE)</f>
        <v>18016</v>
      </c>
      <c r="BG6" s="121">
        <f>VLOOKUP($A6,Model!$1:$1048576,MATCH(Quarterly!BG$3,Model!$3:$3,0),FALSE)</f>
        <v>16608</v>
      </c>
      <c r="BH6" s="121">
        <f>VLOOKUP($A6,Model!$1:$1048576,MATCH(Quarterly!BH$3,Model!$3:$3,0),FALSE)</f>
        <v>18857</v>
      </c>
      <c r="BI6" s="121">
        <f>VLOOKUP($A6,Model!$1:$1048576,MATCH(Quarterly!BI$3,Model!$3:$3,0),FALSE)</f>
        <v>17889</v>
      </c>
      <c r="BJ6" s="121">
        <f>VLOOKUP($A6,Model!$1:$1048576,MATCH(Quarterly!BJ$3,Model!$3:$3,0),FALSE)</f>
        <v>19778</v>
      </c>
      <c r="BK6" s="121">
        <f>VLOOKUP($A6,Model!$1:$1048576,MATCH(Quarterly!BK$3,Model!$3:$3,0),FALSE)</f>
        <v>19264</v>
      </c>
      <c r="BL6" s="121">
        <f>VLOOKUP($A6,Model!$1:$1048576,MATCH(Quarterly!BL$3,Model!$3:$3,0),FALSE)</f>
        <v>20629</v>
      </c>
      <c r="BM6" s="121">
        <f>VLOOKUP($A6,Model!$1:$1048576,MATCH(Quarterly!BM$3,Model!$3:$3,0),FALSE)</f>
        <v>19358</v>
      </c>
      <c r="BN6" s="193">
        <f>VLOOKUP($A6,Model!$1:$1048576,MATCH(Quarterly!BN$3,Model!$3:$3,0),FALSE)</f>
        <v>21505.588241258745</v>
      </c>
      <c r="BO6" s="193">
        <f>VLOOKUP($A6,Model!$1:$1048576,MATCH(Quarterly!BO$3,Model!$3:$3,0),FALSE)</f>
        <v>20175.977125020327</v>
      </c>
      <c r="BP6" s="163"/>
      <c r="BQ6" s="121">
        <f>VLOOKUP($A6,Model!$1:$1048576,MATCH(Quarterly!BQ$3,Model!$3:$3,0),FALSE)</f>
        <v>29754</v>
      </c>
      <c r="BR6" s="121">
        <f>VLOOKUP($A6,Model!$1:$1048576,MATCH(Quarterly!BR$3,Model!$3:$3,0),FALSE)</f>
        <v>29919</v>
      </c>
      <c r="BS6" s="121">
        <f>VLOOKUP($A6,Model!$1:$1048576,MATCH(Quarterly!BS$3,Model!$3:$3,0),FALSE)</f>
        <v>30890</v>
      </c>
      <c r="BT6" s="121">
        <f>VLOOKUP($A6,Model!$1:$1048576,MATCH(Quarterly!BT$3,Model!$3:$3,0),FALSE)</f>
        <v>32993</v>
      </c>
      <c r="BU6" s="121">
        <f>VLOOKUP($A6,Model!$1:$1048576,MATCH(Quarterly!BU$3,Model!$3:$3,0),FALSE)</f>
        <v>33868</v>
      </c>
      <c r="BV6" s="121">
        <f>VLOOKUP($A6,Model!$1:$1048576,MATCH(Quarterly!BV$3,Model!$3:$3,0),FALSE)</f>
        <v>34624</v>
      </c>
      <c r="BW6" s="121">
        <f>VLOOKUP($A6,Model!$1:$1048576,MATCH(Quarterly!BW$3,Model!$3:$3,0),FALSE)</f>
        <v>36746</v>
      </c>
      <c r="BX6" s="121">
        <f>VLOOKUP($A6,Model!$1:$1048576,MATCH(Quarterly!BX$3,Model!$3:$3,0),FALSE)</f>
        <v>39042</v>
      </c>
      <c r="BY6" s="121">
        <f>VLOOKUP($A6,Model!$1:$1048576,MATCH(Quarterly!BY$3,Model!$3:$3,0),FALSE)</f>
        <v>39987</v>
      </c>
      <c r="BZ6" s="193">
        <f>VLOOKUP($A6,Model!$1:$1048576,MATCH(Quarterly!BZ$3,Model!$3:$3,0),FALSE)</f>
        <v>41681.565366279072</v>
      </c>
    </row>
    <row r="7" spans="1:78">
      <c r="A7" s="36" t="s">
        <v>313</v>
      </c>
      <c r="B7" s="27" t="s">
        <v>310</v>
      </c>
      <c r="C7" s="34"/>
      <c r="D7" s="34"/>
      <c r="E7" s="34"/>
      <c r="F7" s="34"/>
      <c r="G7" s="276">
        <v>729</v>
      </c>
      <c r="H7" s="33">
        <f t="shared" ref="H7:H8" si="0">AX7-G7</f>
        <v>992</v>
      </c>
      <c r="I7" s="276">
        <v>705</v>
      </c>
      <c r="J7" s="33">
        <f t="shared" ref="J7:J8" si="1">AY7-I7</f>
        <v>888</v>
      </c>
      <c r="K7" s="277">
        <v>701</v>
      </c>
      <c r="L7" s="277">
        <v>936</v>
      </c>
      <c r="M7" s="279">
        <v>697</v>
      </c>
      <c r="N7" s="33">
        <f t="shared" ref="N7:N8" si="2">BA7-M7</f>
        <v>729</v>
      </c>
      <c r="O7" s="280">
        <v>726</v>
      </c>
      <c r="P7" s="33">
        <f t="shared" ref="P7" si="3">BB7-O7</f>
        <v>965</v>
      </c>
      <c r="Q7" s="280">
        <v>740</v>
      </c>
      <c r="R7" s="33">
        <f t="shared" ref="R7" si="4">BC7-Q7</f>
        <v>877</v>
      </c>
      <c r="S7" s="280">
        <v>852</v>
      </c>
      <c r="T7" s="33">
        <f t="shared" ref="T7" si="5">BD7-S7</f>
        <v>1094</v>
      </c>
      <c r="U7" s="280">
        <v>763</v>
      </c>
      <c r="V7" s="33">
        <f t="shared" ref="V7" si="6">BE7-U7</f>
        <v>816</v>
      </c>
      <c r="W7" s="280">
        <v>874</v>
      </c>
      <c r="X7" s="33">
        <f t="shared" ref="X7" si="7">BF7-W7</f>
        <v>1125</v>
      </c>
      <c r="Y7" s="280">
        <v>781</v>
      </c>
      <c r="Z7" s="33">
        <f t="shared" ref="Z7" si="8">BG7-Y7</f>
        <v>833</v>
      </c>
      <c r="AA7" s="280">
        <v>836</v>
      </c>
      <c r="AB7" s="33">
        <f t="shared" ref="AB7" si="9">BH7-AA7</f>
        <v>1116</v>
      </c>
      <c r="AC7" s="280">
        <v>801</v>
      </c>
      <c r="AD7" s="33">
        <f t="shared" ref="AD7:AD8" si="10">BI7-AC7</f>
        <v>857</v>
      </c>
      <c r="AE7" s="280">
        <v>851</v>
      </c>
      <c r="AF7" s="33">
        <f t="shared" ref="AF7:AF8" si="11">BJ7-AE7</f>
        <v>1137</v>
      </c>
      <c r="AG7" s="280">
        <v>786</v>
      </c>
      <c r="AH7" s="33">
        <f t="shared" ref="AH7:AH8" si="12">BK7-AG7</f>
        <v>918</v>
      </c>
      <c r="AI7" s="34">
        <v>851</v>
      </c>
      <c r="AJ7" s="33">
        <f t="shared" ref="AJ7:AJ8" si="13">BL7-AI7</f>
        <v>1153</v>
      </c>
      <c r="AK7" s="34">
        <v>813</v>
      </c>
      <c r="AL7" s="33">
        <f>BM7-AK7</f>
        <v>850</v>
      </c>
      <c r="AM7" s="34">
        <v>842</v>
      </c>
      <c r="AN7" s="169">
        <f t="shared" ref="AN7:AN9" si="14">BN7-AM7</f>
        <v>1142.962</v>
      </c>
      <c r="AO7" s="169">
        <f t="shared" ref="AO7:AO8" si="15">AK7*(1+AO17)</f>
        <v>806.49599999999998</v>
      </c>
      <c r="AP7" s="169">
        <f t="shared" ref="AP7:AP9" si="16">BO7-AO7</f>
        <v>845.24515781563116</v>
      </c>
      <c r="AQ7" s="169"/>
      <c r="AR7" s="169"/>
      <c r="AS7" s="169"/>
      <c r="AT7" s="169"/>
      <c r="AU7" s="163"/>
      <c r="AV7" s="121"/>
      <c r="AW7" s="121"/>
      <c r="AX7" s="121">
        <f>VLOOKUP($A7,Model!$1:$1048576,MATCH(Quarterly!AX$3,Model!$3:$3,0),FALSE)</f>
        <v>1721</v>
      </c>
      <c r="AY7" s="121">
        <f>VLOOKUP($A7,Model!$1:$1048576,MATCH(Quarterly!AY$3,Model!$3:$3,0),FALSE)</f>
        <v>1593</v>
      </c>
      <c r="AZ7" s="121">
        <f>VLOOKUP($A7,Model!$1:$1048576,MATCH(Quarterly!AZ$3,Model!$3:$3,0),FALSE)</f>
        <v>1637</v>
      </c>
      <c r="BA7" s="121">
        <f>VLOOKUP($A7,Model!$1:$1048576,MATCH(Quarterly!BA$3,Model!$3:$3,0),FALSE)</f>
        <v>1426</v>
      </c>
      <c r="BB7" s="121">
        <f>VLOOKUP($A7,Model!$1:$1048576,MATCH(Quarterly!BB$3,Model!$3:$3,0),FALSE)</f>
        <v>1691</v>
      </c>
      <c r="BC7" s="121">
        <f>VLOOKUP($A7,Model!$1:$1048576,MATCH(Quarterly!BC$3,Model!$3:$3,0),FALSE)</f>
        <v>1617</v>
      </c>
      <c r="BD7" s="121">
        <f>VLOOKUP($A7,Model!$1:$1048576,MATCH(Quarterly!BD$3,Model!$3:$3,0),FALSE)</f>
        <v>1946</v>
      </c>
      <c r="BE7" s="121">
        <f>VLOOKUP($A7,Model!$1:$1048576,MATCH(Quarterly!BE$3,Model!$3:$3,0),FALSE)</f>
        <v>1579</v>
      </c>
      <c r="BF7" s="121">
        <f>VLOOKUP($A7,Model!$1:$1048576,MATCH(Quarterly!BF$3,Model!$3:$3,0),FALSE)</f>
        <v>1999</v>
      </c>
      <c r="BG7" s="121">
        <f>VLOOKUP($A7,Model!$1:$1048576,MATCH(Quarterly!BG$3,Model!$3:$3,0),FALSE)</f>
        <v>1614</v>
      </c>
      <c r="BH7" s="121">
        <f>VLOOKUP($A7,Model!$1:$1048576,MATCH(Quarterly!BH$3,Model!$3:$3,0),FALSE)</f>
        <v>1952</v>
      </c>
      <c r="BI7" s="121">
        <f>VLOOKUP($A7,Model!$1:$1048576,MATCH(Quarterly!BI$3,Model!$3:$3,0),FALSE)</f>
        <v>1658</v>
      </c>
      <c r="BJ7" s="121">
        <f>VLOOKUP($A7,Model!$1:$1048576,MATCH(Quarterly!BJ$3,Model!$3:$3,0),FALSE)</f>
        <v>1988</v>
      </c>
      <c r="BK7" s="121">
        <f>VLOOKUP($A7,Model!$1:$1048576,MATCH(Quarterly!BK$3,Model!$3:$3,0),FALSE)</f>
        <v>1704</v>
      </c>
      <c r="BL7" s="121">
        <f>VLOOKUP($A7,Model!$1:$1048576,MATCH(Quarterly!BL$3,Model!$3:$3,0),FALSE)</f>
        <v>2004</v>
      </c>
      <c r="BM7" s="121">
        <f>VLOOKUP($A7,Model!$1:$1048576,MATCH(Quarterly!BM$3,Model!$3:$3,0),FALSE)</f>
        <v>1663</v>
      </c>
      <c r="BN7" s="193">
        <f>VLOOKUP($A7,Model!$1:$1048576,MATCH(Quarterly!BN$3,Model!$3:$3,0),FALSE)</f>
        <v>1984.962</v>
      </c>
      <c r="BO7" s="193">
        <f>VLOOKUP($A7,Model!$1:$1048576,MATCH(Quarterly!BO$3,Model!$3:$3,0),FALSE)</f>
        <v>1651.7411578156311</v>
      </c>
      <c r="BP7" s="163"/>
      <c r="BQ7" s="121">
        <f>VLOOKUP($A7,Model!$1:$1048576,MATCH(Quarterly!BQ$3,Model!$3:$3,0),FALSE)</f>
        <v>3223</v>
      </c>
      <c r="BR7" s="121">
        <f>VLOOKUP($A7,Model!$1:$1048576,MATCH(Quarterly!BR$3,Model!$3:$3,0),FALSE)</f>
        <v>3314</v>
      </c>
      <c r="BS7" s="121">
        <f>VLOOKUP($A7,Model!$1:$1048576,MATCH(Quarterly!BS$3,Model!$3:$3,0),FALSE)</f>
        <v>3063</v>
      </c>
      <c r="BT7" s="121">
        <f>VLOOKUP($A7,Model!$1:$1048576,MATCH(Quarterly!BT$3,Model!$3:$3,0),FALSE)</f>
        <v>3308</v>
      </c>
      <c r="BU7" s="121">
        <f>VLOOKUP($A7,Model!$1:$1048576,MATCH(Quarterly!BU$3,Model!$3:$3,0),FALSE)</f>
        <v>3525</v>
      </c>
      <c r="BV7" s="121">
        <f>VLOOKUP($A7,Model!$1:$1048576,MATCH(Quarterly!BV$3,Model!$3:$3,0),FALSE)</f>
        <v>3613</v>
      </c>
      <c r="BW7" s="121">
        <f>VLOOKUP($A7,Model!$1:$1048576,MATCH(Quarterly!BW$3,Model!$3:$3,0),FALSE)</f>
        <v>3610</v>
      </c>
      <c r="BX7" s="121">
        <f>VLOOKUP($A7,Model!$1:$1048576,MATCH(Quarterly!BX$3,Model!$3:$3,0),FALSE)</f>
        <v>3692</v>
      </c>
      <c r="BY7" s="121">
        <f>VLOOKUP($A7,Model!$1:$1048576,MATCH(Quarterly!BY$3,Model!$3:$3,0),FALSE)</f>
        <v>3667</v>
      </c>
      <c r="BZ7" s="193">
        <f>VLOOKUP($A7,Model!$1:$1048576,MATCH(Quarterly!BZ$3,Model!$3:$3,0),FALSE)</f>
        <v>3636.7031578156311</v>
      </c>
    </row>
    <row r="8" spans="1:78">
      <c r="A8" s="36" t="s">
        <v>314</v>
      </c>
      <c r="B8" s="27" t="s">
        <v>311</v>
      </c>
      <c r="C8" s="34"/>
      <c r="D8" s="34"/>
      <c r="E8" s="34"/>
      <c r="F8" s="34"/>
      <c r="G8" s="276">
        <v>1402</v>
      </c>
      <c r="H8" s="33">
        <f t="shared" si="0"/>
        <v>-1394</v>
      </c>
      <c r="I8" s="276">
        <v>1292</v>
      </c>
      <c r="J8" s="33">
        <f t="shared" si="1"/>
        <v>-1287</v>
      </c>
      <c r="K8" s="277">
        <v>256</v>
      </c>
      <c r="L8" s="277">
        <v>291</v>
      </c>
      <c r="M8" s="279"/>
      <c r="N8" s="33">
        <f t="shared" si="2"/>
        <v>-13</v>
      </c>
      <c r="O8" s="280"/>
      <c r="P8" s="33"/>
      <c r="Q8" s="280"/>
      <c r="R8" s="33"/>
      <c r="S8" s="280"/>
      <c r="T8" s="33"/>
      <c r="U8" s="280"/>
      <c r="V8" s="33"/>
      <c r="W8" s="280"/>
      <c r="X8" s="33"/>
      <c r="Y8" s="280"/>
      <c r="Z8" s="33"/>
      <c r="AA8" s="280"/>
      <c r="AB8" s="33"/>
      <c r="AC8" s="280">
        <v>271</v>
      </c>
      <c r="AD8" s="33">
        <f t="shared" si="10"/>
        <v>-144</v>
      </c>
      <c r="AE8" s="280">
        <v>214</v>
      </c>
      <c r="AF8" s="33">
        <f t="shared" si="11"/>
        <v>236</v>
      </c>
      <c r="AG8" s="277">
        <v>182</v>
      </c>
      <c r="AH8" s="33">
        <f t="shared" si="12"/>
        <v>205</v>
      </c>
      <c r="AI8" s="34">
        <v>190</v>
      </c>
      <c r="AJ8" s="33">
        <f t="shared" si="13"/>
        <v>212</v>
      </c>
      <c r="AK8" s="34">
        <v>165</v>
      </c>
      <c r="AL8" s="33">
        <f>BM8-AK8</f>
        <v>131</v>
      </c>
      <c r="AM8" s="34">
        <v>156</v>
      </c>
      <c r="AN8" s="169">
        <f t="shared" si="14"/>
        <v>165.60000000000002</v>
      </c>
      <c r="AO8" s="169">
        <f t="shared" si="15"/>
        <v>135.30000000000001</v>
      </c>
      <c r="AP8" s="169">
        <f t="shared" si="16"/>
        <v>42.300000000000011</v>
      </c>
      <c r="AQ8" s="169"/>
      <c r="AR8" s="169"/>
      <c r="AS8" s="169"/>
      <c r="AT8" s="169"/>
      <c r="AU8" s="163"/>
      <c r="AV8" s="121"/>
      <c r="AW8" s="121"/>
      <c r="AX8" s="121">
        <f>VLOOKUP($A8,Model!$1:$1048576,MATCH(Quarterly!AX$3,Model!$3:$3,0),FALSE)</f>
        <v>8</v>
      </c>
      <c r="AY8" s="121">
        <f>VLOOKUP($A8,Model!$1:$1048576,MATCH(Quarterly!AY$3,Model!$3:$3,0),FALSE)</f>
        <v>5</v>
      </c>
      <c r="AZ8" s="121">
        <f>VLOOKUP($A8,Model!$1:$1048576,MATCH(Quarterly!AZ$3,Model!$3:$3,0),FALSE)</f>
        <v>13</v>
      </c>
      <c r="BA8" s="121">
        <f>VLOOKUP($A8,Model!$1:$1048576,MATCH(Quarterly!BA$3,Model!$3:$3,0),FALSE)</f>
        <v>-13</v>
      </c>
      <c r="BB8" s="121">
        <f>VLOOKUP($A8,Model!$1:$1048576,MATCH(Quarterly!BB$3,Model!$3:$3,0),FALSE)</f>
        <v>0</v>
      </c>
      <c r="BC8" s="121">
        <f>VLOOKUP($A8,Model!$1:$1048576,MATCH(Quarterly!BC$3,Model!$3:$3,0),FALSE)</f>
        <v>0</v>
      </c>
      <c r="BD8" s="121">
        <f>VLOOKUP($A8,Model!$1:$1048576,MATCH(Quarterly!BD$3,Model!$3:$3,0),FALSE)</f>
        <v>0</v>
      </c>
      <c r="BE8" s="121">
        <f>VLOOKUP($A8,Model!$1:$1048576,MATCH(Quarterly!BE$3,Model!$3:$3,0),FALSE)</f>
        <v>0</v>
      </c>
      <c r="BF8" s="121">
        <f>VLOOKUP($A8,Model!$1:$1048576,MATCH(Quarterly!BF$3,Model!$3:$3,0),FALSE)</f>
        <v>0</v>
      </c>
      <c r="BG8" s="121">
        <f>VLOOKUP($A8,Model!$1:$1048576,MATCH(Quarterly!BG$3,Model!$3:$3,0),FALSE)</f>
        <v>0</v>
      </c>
      <c r="BH8" s="121">
        <f>VLOOKUP($A8,Model!$1:$1048576,MATCH(Quarterly!BH$3,Model!$3:$3,0),FALSE)</f>
        <v>0</v>
      </c>
      <c r="BI8" s="121">
        <f>VLOOKUP($A8,Model!$1:$1048576,MATCH(Quarterly!BI$3,Model!$3:$3,0),FALSE)</f>
        <v>127</v>
      </c>
      <c r="BJ8" s="121">
        <f>VLOOKUP($A8,Model!$1:$1048576,MATCH(Quarterly!BJ$3,Model!$3:$3,0),FALSE)</f>
        <v>450</v>
      </c>
      <c r="BK8" s="121">
        <f>VLOOKUP($A8,Model!$1:$1048576,MATCH(Quarterly!BK$3,Model!$3:$3,0),FALSE)</f>
        <v>387</v>
      </c>
      <c r="BL8" s="121">
        <f>VLOOKUP($A8,Model!$1:$1048576,MATCH(Quarterly!BL$3,Model!$3:$3,0),FALSE)</f>
        <v>402</v>
      </c>
      <c r="BM8" s="121">
        <f>VLOOKUP($A8,Model!$1:$1048576,MATCH(Quarterly!BM$3,Model!$3:$3,0),FALSE)</f>
        <v>296</v>
      </c>
      <c r="BN8" s="193">
        <f>VLOOKUP($A8,Model!$1:$1048576,MATCH(Quarterly!BN$3,Model!$3:$3,0),FALSE)</f>
        <v>321.60000000000002</v>
      </c>
      <c r="BO8" s="193">
        <f>VLOOKUP($A8,Model!$1:$1048576,MATCH(Quarterly!BO$3,Model!$3:$3,0),FALSE)</f>
        <v>177.60000000000002</v>
      </c>
      <c r="BP8" s="163"/>
      <c r="BQ8" s="121">
        <f>VLOOKUP($A8,Model!$1:$1048576,MATCH(Quarterly!BQ$3,Model!$3:$3,0),FALSE)</f>
        <v>16</v>
      </c>
      <c r="BR8" s="121">
        <f>VLOOKUP($A8,Model!$1:$1048576,MATCH(Quarterly!BR$3,Model!$3:$3,0),FALSE)</f>
        <v>13</v>
      </c>
      <c r="BS8" s="121">
        <f>VLOOKUP($A8,Model!$1:$1048576,MATCH(Quarterly!BS$3,Model!$3:$3,0),FALSE)</f>
        <v>0</v>
      </c>
      <c r="BT8" s="121">
        <f>VLOOKUP($A8,Model!$1:$1048576,MATCH(Quarterly!BT$3,Model!$3:$3,0),FALSE)</f>
        <v>0</v>
      </c>
      <c r="BU8" s="121">
        <f>VLOOKUP($A8,Model!$1:$1048576,MATCH(Quarterly!BU$3,Model!$3:$3,0),FALSE)</f>
        <v>0</v>
      </c>
      <c r="BV8" s="121">
        <f>VLOOKUP($A8,Model!$1:$1048576,MATCH(Quarterly!BV$3,Model!$3:$3,0),FALSE)</f>
        <v>0</v>
      </c>
      <c r="BW8" s="121">
        <f>VLOOKUP($A8,Model!$1:$1048576,MATCH(Quarterly!BW$3,Model!$3:$3,0),FALSE)</f>
        <v>127</v>
      </c>
      <c r="BX8" s="121">
        <f>VLOOKUP($A8,Model!$1:$1048576,MATCH(Quarterly!BX$3,Model!$3:$3,0),FALSE)</f>
        <v>837</v>
      </c>
      <c r="BY8" s="121">
        <f>VLOOKUP($A8,Model!$1:$1048576,MATCH(Quarterly!BY$3,Model!$3:$3,0),FALSE)</f>
        <v>698</v>
      </c>
      <c r="BZ8" s="193">
        <f>VLOOKUP($A8,Model!$1:$1048576,MATCH(Quarterly!BZ$3,Model!$3:$3,0),FALSE)</f>
        <v>499.20000000000005</v>
      </c>
    </row>
    <row r="9" spans="1:78" s="6" customFormat="1">
      <c r="A9" s="36" t="s">
        <v>152</v>
      </c>
      <c r="B9" s="35" t="s">
        <v>1</v>
      </c>
      <c r="C9" s="92"/>
      <c r="D9" s="92"/>
      <c r="E9" s="92"/>
      <c r="F9" s="92"/>
      <c r="G9" s="92">
        <f>SUM(G6:G8)</f>
        <v>9370</v>
      </c>
      <c r="H9" s="92">
        <f t="shared" ref="H9:V9" si="17">SUM(H6:H8)</f>
        <v>7884</v>
      </c>
      <c r="I9" s="92">
        <f t="shared" si="17"/>
        <v>9046</v>
      </c>
      <c r="J9" s="92">
        <f t="shared" si="17"/>
        <v>6946</v>
      </c>
      <c r="K9" s="92">
        <f t="shared" si="17"/>
        <v>8543</v>
      </c>
      <c r="L9" s="92">
        <f t="shared" si="17"/>
        <v>9694</v>
      </c>
      <c r="M9" s="92">
        <f t="shared" si="17"/>
        <v>7929</v>
      </c>
      <c r="N9" s="92">
        <f t="shared" si="17"/>
        <v>8305</v>
      </c>
      <c r="O9" s="92">
        <f t="shared" si="17"/>
        <v>8431</v>
      </c>
      <c r="P9" s="92">
        <f t="shared" si="17"/>
        <v>9853</v>
      </c>
      <c r="Q9" s="92">
        <f t="shared" si="17"/>
        <v>8970</v>
      </c>
      <c r="R9" s="92">
        <f t="shared" si="17"/>
        <v>9047</v>
      </c>
      <c r="S9" s="92">
        <f t="shared" si="17"/>
        <v>9316</v>
      </c>
      <c r="T9" s="92">
        <f t="shared" si="17"/>
        <v>10442</v>
      </c>
      <c r="U9" s="92">
        <f t="shared" si="17"/>
        <v>8658</v>
      </c>
      <c r="V9" s="92">
        <f t="shared" si="17"/>
        <v>8977</v>
      </c>
      <c r="W9" s="92">
        <f t="shared" ref="W9" si="18">SUM(W6:W8)</f>
        <v>9494</v>
      </c>
      <c r="X9" s="92">
        <f t="shared" ref="X9" si="19">SUM(X6:X8)</f>
        <v>10521</v>
      </c>
      <c r="Y9" s="92">
        <f t="shared" ref="Y9" si="20">SUM(Y6:Y8)</f>
        <v>8813</v>
      </c>
      <c r="Z9" s="92">
        <f t="shared" ref="Z9" si="21">SUM(Z6:Z8)</f>
        <v>9409</v>
      </c>
      <c r="AA9" s="92">
        <f t="shared" ref="AA9" si="22">SUM(AA6:AA8)</f>
        <v>9607</v>
      </c>
      <c r="AB9" s="92">
        <f t="shared" ref="AB9" si="23">SUM(AB6:AB8)</f>
        <v>11202</v>
      </c>
      <c r="AC9" s="92">
        <f t="shared" ref="AC9" si="24">SUM(AC6:AC8)</f>
        <v>9701</v>
      </c>
      <c r="AD9" s="92">
        <f t="shared" ref="AD9" si="25">SUM(AD6:AD8)</f>
        <v>9973</v>
      </c>
      <c r="AE9" s="92">
        <f t="shared" ref="AE9" si="26">SUM(AE6:AE8)</f>
        <v>10251</v>
      </c>
      <c r="AF9" s="92">
        <f t="shared" ref="AF9" si="27">SUM(AF6:AF8)</f>
        <v>11965</v>
      </c>
      <c r="AG9" s="92">
        <f t="shared" ref="AG9" si="28">SUM(AG6:AG8)</f>
        <v>10033</v>
      </c>
      <c r="AH9" s="92">
        <f t="shared" ref="AH9" si="29">SUM(AH6:AH8)</f>
        <v>11322</v>
      </c>
      <c r="AI9" s="92">
        <f t="shared" ref="AI9" si="30">SUM(AI6:AI8)</f>
        <v>10548</v>
      </c>
      <c r="AJ9" s="92">
        <f t="shared" ref="AJ9" si="31">SUM(AJ6:AJ8)</f>
        <v>12487</v>
      </c>
      <c r="AK9" s="92">
        <f t="shared" ref="AK9" si="32">SUM(AK6:AK8)</f>
        <v>10379</v>
      </c>
      <c r="AL9" s="92">
        <f t="shared" ref="AL9" si="33">SUM(AL6:AL8)</f>
        <v>10938</v>
      </c>
      <c r="AM9" s="92">
        <f t="shared" ref="AM9:AO9" si="34">SUM(AM6:AM8)</f>
        <v>10963</v>
      </c>
      <c r="AN9" s="184">
        <f t="shared" si="14"/>
        <v>12849.150241258743</v>
      </c>
      <c r="AO9" s="194">
        <f t="shared" si="34"/>
        <v>10737.637999999999</v>
      </c>
      <c r="AP9" s="184">
        <f t="shared" si="16"/>
        <v>11267.680282835958</v>
      </c>
      <c r="AQ9" s="184"/>
      <c r="AR9" s="184"/>
      <c r="AS9" s="184"/>
      <c r="AT9" s="184"/>
      <c r="AU9" s="314"/>
      <c r="AV9" s="81"/>
      <c r="AW9" s="81"/>
      <c r="AX9" s="81">
        <f>VLOOKUP($A9,Model!$1:$1048576,MATCH(Quarterly!AX$3,Model!$3:$3,0),FALSE)</f>
        <v>20246</v>
      </c>
      <c r="AY9" s="81">
        <f>VLOOKUP($A9,Model!$1:$1048576,MATCH(Quarterly!AY$3,Model!$3:$3,0),FALSE)</f>
        <v>18761</v>
      </c>
      <c r="AZ9" s="81">
        <f>VLOOKUP($A9,Model!$1:$1048576,MATCH(Quarterly!AZ$3,Model!$3:$3,0),FALSE)</f>
        <v>18266</v>
      </c>
      <c r="BA9" s="81">
        <f>VLOOKUP($A9,Model!$1:$1048576,MATCH(Quarterly!BA$3,Model!$3:$3,0),FALSE)</f>
        <v>16735</v>
      </c>
      <c r="BB9" s="81">
        <f>VLOOKUP($A9,Model!$1:$1048576,MATCH(Quarterly!BB$3,Model!$3:$3,0),FALSE)</f>
        <v>18856</v>
      </c>
      <c r="BC9" s="81">
        <f>VLOOKUP($A9,Model!$1:$1048576,MATCH(Quarterly!BC$3,Model!$3:$3,0),FALSE)</f>
        <v>18552</v>
      </c>
      <c r="BD9" s="81">
        <f>VLOOKUP($A9,Model!$1:$1048576,MATCH(Quarterly!BD$3,Model!$3:$3,0),FALSE)</f>
        <v>20390</v>
      </c>
      <c r="BE9" s="81">
        <f>VLOOKUP($A9,Model!$1:$1048576,MATCH(Quarterly!BE$3,Model!$3:$3,0),FALSE)</f>
        <v>18195</v>
      </c>
      <c r="BF9" s="81">
        <f>VLOOKUP($A9,Model!$1:$1048576,MATCH(Quarterly!BF$3,Model!$3:$3,0),FALSE)</f>
        <v>20015</v>
      </c>
      <c r="BG9" s="81">
        <f>VLOOKUP($A9,Model!$1:$1048576,MATCH(Quarterly!BG$3,Model!$3:$3,0),FALSE)</f>
        <v>18222</v>
      </c>
      <c r="BH9" s="81">
        <f>VLOOKUP($A9,Model!$1:$1048576,MATCH(Quarterly!BH$3,Model!$3:$3,0),FALSE)</f>
        <v>20809</v>
      </c>
      <c r="BI9" s="81">
        <f>VLOOKUP($A9,Model!$1:$1048576,MATCH(Quarterly!BI$3,Model!$3:$3,0),FALSE)</f>
        <v>19674</v>
      </c>
      <c r="BJ9" s="81">
        <f>VLOOKUP($A9,Model!$1:$1048576,MATCH(Quarterly!BJ$3,Model!$3:$3,0),FALSE)</f>
        <v>22216</v>
      </c>
      <c r="BK9" s="81">
        <f>VLOOKUP($A9,Model!$1:$1048576,MATCH(Quarterly!BK$3,Model!$3:$3,0),FALSE)</f>
        <v>21355</v>
      </c>
      <c r="BL9" s="81">
        <f>VLOOKUP($A9,Model!$1:$1048576,MATCH(Quarterly!BL$3,Model!$3:$3,0),FALSE)</f>
        <v>23035</v>
      </c>
      <c r="BM9" s="81">
        <f>VLOOKUP($A9,Model!$1:$1048576,MATCH(Quarterly!BM$3,Model!$3:$3,0),FALSE)</f>
        <v>21317</v>
      </c>
      <c r="BN9" s="194">
        <f>VLOOKUP($A9,Model!$1:$1048576,MATCH(Quarterly!BN$3,Model!$3:$3,0),FALSE)</f>
        <v>23812.150241258743</v>
      </c>
      <c r="BO9" s="194">
        <f>VLOOKUP($A9,Model!$1:$1048576,MATCH(Quarterly!BO$3,Model!$3:$3,0),FALSE)</f>
        <v>22005.318282835957</v>
      </c>
      <c r="BP9" s="314"/>
      <c r="BQ9" s="81">
        <f>VLOOKUP($A9,Model!$1:$1048576,MATCH(Quarterly!BQ$3,Model!$3:$3,0),FALSE)</f>
        <v>39125</v>
      </c>
      <c r="BR9" s="81">
        <f>VLOOKUP($A9,Model!$1:$1048576,MATCH(Quarterly!BR$3,Model!$3:$3,0),FALSE)</f>
        <v>39007</v>
      </c>
      <c r="BS9" s="81">
        <f>VLOOKUP($A9,Model!$1:$1048576,MATCH(Quarterly!BS$3,Model!$3:$3,0),FALSE)</f>
        <v>35001</v>
      </c>
      <c r="BT9" s="81">
        <f>VLOOKUP($A9,Model!$1:$1048576,MATCH(Quarterly!BT$3,Model!$3:$3,0),FALSE)</f>
        <v>37408</v>
      </c>
      <c r="BU9" s="81">
        <f>VLOOKUP($A9,Model!$1:$1048576,MATCH(Quarterly!BU$3,Model!$3:$3,0),FALSE)</f>
        <v>38585</v>
      </c>
      <c r="BV9" s="81">
        <f>VLOOKUP($A9,Model!$1:$1048576,MATCH(Quarterly!BV$3,Model!$3:$3,0),FALSE)</f>
        <v>38237</v>
      </c>
      <c r="BW9" s="81">
        <f>VLOOKUP($A9,Model!$1:$1048576,MATCH(Quarterly!BW$3,Model!$3:$3,0),FALSE)</f>
        <v>40483</v>
      </c>
      <c r="BX9" s="81">
        <f>VLOOKUP($A9,Model!$1:$1048576,MATCH(Quarterly!BX$3,Model!$3:$3,0),FALSE)</f>
        <v>43571</v>
      </c>
      <c r="BY9" s="81">
        <f>VLOOKUP($A9,Model!$1:$1048576,MATCH(Quarterly!BY$3,Model!$3:$3,0),FALSE)</f>
        <v>44352</v>
      </c>
      <c r="BZ9" s="194">
        <f>VLOOKUP($A9,Model!$1:$1048576,MATCH(Quarterly!BZ$3,Model!$3:$3,0),FALSE)</f>
        <v>45817.4685240947</v>
      </c>
    </row>
    <row r="10" spans="1:78">
      <c r="B10" s="83"/>
      <c r="C10" s="46"/>
      <c r="D10" s="46"/>
      <c r="E10" s="46"/>
      <c r="F10" s="46"/>
      <c r="G10" s="46"/>
      <c r="H10" s="46"/>
      <c r="I10" s="46"/>
      <c r="J10" s="46"/>
      <c r="K10" s="46"/>
      <c r="L10" s="46"/>
      <c r="M10" s="46"/>
      <c r="N10" s="46"/>
      <c r="O10" s="46"/>
      <c r="P10" s="46"/>
      <c r="Q10" s="46"/>
      <c r="R10" s="46"/>
      <c r="S10" s="46"/>
      <c r="T10" s="46"/>
      <c r="U10" s="46"/>
      <c r="V10" s="46"/>
      <c r="W10" s="46"/>
      <c r="X10" s="46"/>
      <c r="Y10" s="46"/>
      <c r="Z10" s="46"/>
      <c r="AA10" s="92"/>
      <c r="AB10" s="92"/>
      <c r="AC10" s="92"/>
      <c r="AD10" s="46"/>
      <c r="AE10" s="46"/>
      <c r="AF10" s="46"/>
      <c r="AG10" s="46"/>
      <c r="AH10" s="46"/>
      <c r="AI10" s="109"/>
      <c r="AJ10" s="109"/>
      <c r="AK10" s="109"/>
      <c r="AL10" s="109"/>
      <c r="AM10" s="109"/>
      <c r="AN10" s="181"/>
      <c r="AO10" s="163"/>
      <c r="AP10" s="163"/>
      <c r="AQ10" s="163"/>
      <c r="AR10" s="163"/>
      <c r="AS10" s="163"/>
      <c r="AT10" s="163"/>
      <c r="AU10" s="163"/>
      <c r="AV10" s="83"/>
      <c r="AW10" s="83"/>
      <c r="AX10" s="83"/>
      <c r="AY10" s="83"/>
      <c r="AZ10" s="83"/>
      <c r="BA10" s="83"/>
      <c r="BB10" s="83"/>
      <c r="BC10" s="83"/>
      <c r="BD10" s="83"/>
      <c r="BE10" s="83"/>
      <c r="BF10" s="83"/>
      <c r="BG10" s="83"/>
      <c r="BH10" s="83"/>
      <c r="BI10" s="83"/>
      <c r="BJ10" s="83"/>
      <c r="BK10" s="83"/>
      <c r="BL10" s="83"/>
      <c r="BM10" s="83"/>
      <c r="BN10" s="306"/>
      <c r="BO10" s="306"/>
      <c r="BP10" s="163"/>
      <c r="BQ10" s="46"/>
      <c r="BR10" s="46"/>
      <c r="BS10" s="46"/>
      <c r="BT10" s="46"/>
      <c r="BU10" s="46"/>
      <c r="BV10" s="46"/>
      <c r="BW10" s="46"/>
      <c r="BX10" s="46"/>
      <c r="BY10" s="46"/>
      <c r="BZ10" s="163"/>
    </row>
    <row r="11" spans="1:78">
      <c r="B11" s="82" t="s">
        <v>443</v>
      </c>
      <c r="C11" s="111"/>
      <c r="D11" s="111"/>
      <c r="E11" s="111"/>
      <c r="F11" s="111"/>
      <c r="G11" s="111"/>
      <c r="H11" s="111"/>
      <c r="I11" s="111"/>
      <c r="J11" s="111"/>
      <c r="K11" s="111"/>
      <c r="L11" s="111"/>
      <c r="M11" s="111"/>
      <c r="N11" s="111"/>
      <c r="O11" s="111"/>
      <c r="P11" s="111"/>
      <c r="Q11" s="111"/>
      <c r="R11" s="111"/>
      <c r="S11" s="46"/>
      <c r="T11" s="46"/>
      <c r="U11" s="46"/>
      <c r="V11" s="46"/>
      <c r="W11" s="46"/>
      <c r="X11" s="46"/>
      <c r="Y11" s="46"/>
      <c r="Z11" s="46"/>
      <c r="AA11" s="281"/>
      <c r="AB11" s="281"/>
      <c r="AC11" s="281"/>
      <c r="AD11" s="281"/>
      <c r="AE11" s="281"/>
      <c r="AF11" s="281"/>
      <c r="AG11" s="281"/>
      <c r="AH11" s="281"/>
      <c r="AI11" s="281"/>
      <c r="AJ11" s="281"/>
      <c r="AK11" s="281"/>
      <c r="AL11" s="281"/>
      <c r="AM11" s="281"/>
      <c r="AN11" s="286"/>
      <c r="AO11" s="163"/>
      <c r="AP11" s="163"/>
      <c r="AQ11" s="163"/>
      <c r="AR11" s="163"/>
      <c r="AS11" s="163"/>
      <c r="AT11" s="163"/>
      <c r="AU11" s="163"/>
      <c r="AV11" s="83"/>
      <c r="AW11" s="83"/>
      <c r="AX11" s="83"/>
      <c r="AY11" s="83"/>
      <c r="AZ11" s="83"/>
      <c r="BA11" s="83"/>
      <c r="BB11" s="83"/>
      <c r="BC11" s="83"/>
      <c r="BD11" s="83"/>
      <c r="BE11" s="83"/>
      <c r="BF11" s="83"/>
      <c r="BG11" s="83"/>
      <c r="BH11" s="83"/>
      <c r="BI11" s="83"/>
      <c r="BJ11" s="83"/>
      <c r="BK11" s="83"/>
      <c r="BL11" s="83"/>
      <c r="BM11" s="83"/>
      <c r="BN11" s="306"/>
      <c r="BO11" s="306"/>
      <c r="BP11" s="163"/>
      <c r="BQ11" s="46"/>
      <c r="BR11" s="46"/>
      <c r="BS11" s="46"/>
      <c r="BT11" s="46"/>
      <c r="BU11" s="46"/>
      <c r="BV11" s="46"/>
      <c r="BW11" s="46"/>
      <c r="BX11" s="46"/>
      <c r="BY11" s="46"/>
      <c r="BZ11" s="163"/>
    </row>
    <row r="12" spans="1:78">
      <c r="B12" s="27" t="s">
        <v>308</v>
      </c>
      <c r="C12" s="125"/>
      <c r="D12" s="125"/>
      <c r="E12" s="125"/>
      <c r="F12" s="125"/>
      <c r="G12" s="125"/>
      <c r="H12" s="125"/>
      <c r="I12" s="125"/>
      <c r="J12" s="125"/>
      <c r="K12" s="284">
        <f>K6/G6-1</f>
        <v>4.7934797623981229E-2</v>
      </c>
      <c r="L12" s="283">
        <f t="shared" ref="L12:AJ13" si="35">L6/H6-1</f>
        <v>2.1844074342264097E-2</v>
      </c>
      <c r="M12" s="130">
        <v>3.2000000000000001E-2</v>
      </c>
      <c r="N12" s="283">
        <f t="shared" si="35"/>
        <v>3.3219877467665082E-2</v>
      </c>
      <c r="O12" s="130">
        <v>1.6E-2</v>
      </c>
      <c r="P12" s="283">
        <f t="shared" si="35"/>
        <v>4.9722451871973439E-2</v>
      </c>
      <c r="Q12" s="130">
        <v>0.13800000000000001</v>
      </c>
      <c r="R12" s="283">
        <f t="shared" si="35"/>
        <v>7.655817630781403E-2</v>
      </c>
      <c r="S12" s="125">
        <v>9.8000000000000004E-2</v>
      </c>
      <c r="T12" s="283">
        <f t="shared" si="35"/>
        <v>5.1755175517551821E-2</v>
      </c>
      <c r="U12" s="125">
        <v>-6.0999999999999999E-2</v>
      </c>
      <c r="V12" s="283">
        <f t="shared" si="35"/>
        <v>-1.1015911872704898E-3</v>
      </c>
      <c r="W12" s="125">
        <v>1.7999999999999999E-2</v>
      </c>
      <c r="X12" s="283">
        <f t="shared" si="35"/>
        <v>5.1347881899872494E-3</v>
      </c>
      <c r="Y12" s="125">
        <v>4.2000000000000003E-2</v>
      </c>
      <c r="Z12" s="125">
        <v>0.03</v>
      </c>
      <c r="AA12" s="281">
        <v>1.7000000000000001E-2</v>
      </c>
      <c r="AB12" s="281">
        <v>7.3999999999999996E-2</v>
      </c>
      <c r="AC12" s="281">
        <v>7.3999999999999996E-2</v>
      </c>
      <c r="AD12" s="283">
        <f t="shared" si="35"/>
        <v>7.9757462686567138E-2</v>
      </c>
      <c r="AE12" s="281">
        <v>4.7E-2</v>
      </c>
      <c r="AF12" s="283">
        <f t="shared" si="35"/>
        <v>5.0168550465992556E-2</v>
      </c>
      <c r="AG12" s="281">
        <v>5.0999999999999997E-2</v>
      </c>
      <c r="AH12" s="281">
        <v>2.5999999999999999E-2</v>
      </c>
      <c r="AI12" s="281">
        <v>3.5000000000000003E-2</v>
      </c>
      <c r="AJ12" s="283">
        <f>AJ6/AF6-1</f>
        <v>5.0037764350453262E-2</v>
      </c>
      <c r="AK12" s="281">
        <v>3.6999999999999998E-2</v>
      </c>
      <c r="AL12" s="281">
        <v>4.8000000000000001E-2</v>
      </c>
      <c r="AM12" s="281">
        <v>4.8000000000000001E-2</v>
      </c>
      <c r="AN12" s="286"/>
      <c r="AO12" s="287"/>
      <c r="AP12" s="287"/>
      <c r="AQ12" s="287"/>
      <c r="AR12" s="287"/>
      <c r="AS12" s="287"/>
      <c r="AT12" s="287"/>
      <c r="AU12" s="163"/>
      <c r="AV12" s="132"/>
      <c r="AW12" s="132"/>
      <c r="AX12" s="132"/>
      <c r="AY12" s="132"/>
      <c r="AZ12" s="132"/>
      <c r="BA12" s="132"/>
      <c r="BB12" s="132"/>
      <c r="BC12" s="132"/>
      <c r="BD12" s="132"/>
      <c r="BE12" s="132"/>
      <c r="BF12" s="132"/>
      <c r="BG12" s="132"/>
      <c r="BH12" s="132"/>
      <c r="BI12" s="132"/>
      <c r="BJ12" s="132"/>
      <c r="BK12" s="132"/>
      <c r="BL12" s="132"/>
      <c r="BM12" s="132"/>
      <c r="BN12" s="307"/>
      <c r="BO12" s="307"/>
      <c r="BP12" s="163"/>
      <c r="BQ12" s="46"/>
      <c r="BR12" s="97"/>
      <c r="BS12" s="97"/>
      <c r="BT12" s="97"/>
      <c r="BU12" s="97"/>
      <c r="BV12" s="97"/>
      <c r="BW12" s="97"/>
      <c r="BX12" s="97"/>
      <c r="BY12" s="97"/>
      <c r="BZ12" s="174"/>
    </row>
    <row r="13" spans="1:78">
      <c r="B13" s="27" t="s">
        <v>310</v>
      </c>
      <c r="C13" s="125"/>
      <c r="D13" s="125"/>
      <c r="E13" s="125"/>
      <c r="F13" s="125"/>
      <c r="G13" s="125"/>
      <c r="H13" s="125"/>
      <c r="I13" s="125"/>
      <c r="J13" s="125"/>
      <c r="K13" s="284">
        <f t="shared" ref="K13" si="36">K7/G7-1</f>
        <v>-3.84087791495199E-2</v>
      </c>
      <c r="L13" s="283">
        <f t="shared" si="35"/>
        <v>-5.6451612903225756E-2</v>
      </c>
      <c r="M13" s="130">
        <v>4.2999999999999997E-2</v>
      </c>
      <c r="N13" s="283">
        <f t="shared" si="35"/>
        <v>-0.17905405405405406</v>
      </c>
      <c r="O13" s="130">
        <v>3.5000000000000003E-2</v>
      </c>
      <c r="P13" s="283">
        <f t="shared" si="35"/>
        <v>3.0982905982905873E-2</v>
      </c>
      <c r="Q13" s="130">
        <v>6.0999999999999999E-2</v>
      </c>
      <c r="R13" s="283">
        <f t="shared" si="35"/>
        <v>0.20301783264746232</v>
      </c>
      <c r="S13" s="125">
        <v>0.17399999999999999</v>
      </c>
      <c r="T13" s="283">
        <f t="shared" si="35"/>
        <v>0.13367875647668392</v>
      </c>
      <c r="U13" s="125">
        <v>-2.5999999999999999E-2</v>
      </c>
      <c r="V13" s="283">
        <f t="shared" si="35"/>
        <v>-6.9555302166476651E-2</v>
      </c>
      <c r="W13" s="125">
        <v>2.5999999999999999E-2</v>
      </c>
      <c r="X13" s="283">
        <f t="shared" si="35"/>
        <v>2.833638025594154E-2</v>
      </c>
      <c r="Y13" s="125">
        <v>2.8000000000000001E-2</v>
      </c>
      <c r="Z13" s="125">
        <v>1.6E-2</v>
      </c>
      <c r="AA13" s="281">
        <v>-4.2999999999999997E-2</v>
      </c>
      <c r="AB13" s="283">
        <f t="shared" si="35"/>
        <v>-8.0000000000000071E-3</v>
      </c>
      <c r="AC13" s="281">
        <v>-1.9E-2</v>
      </c>
      <c r="AD13" s="283">
        <f t="shared" si="35"/>
        <v>2.881152460984393E-2</v>
      </c>
      <c r="AE13" s="281">
        <v>1.7999999999999999E-2</v>
      </c>
      <c r="AF13" s="283">
        <f t="shared" si="35"/>
        <v>1.8817204301075252E-2</v>
      </c>
      <c r="AG13" s="281">
        <v>-1.9E-2</v>
      </c>
      <c r="AH13" s="281">
        <v>-4.0000000000000001E-3</v>
      </c>
      <c r="AI13" s="281">
        <v>0</v>
      </c>
      <c r="AJ13" s="283">
        <f t="shared" si="35"/>
        <v>1.4072119613016687E-2</v>
      </c>
      <c r="AK13" s="281">
        <v>3.4000000000000002E-2</v>
      </c>
      <c r="AL13" s="281">
        <v>-5.0000000000000001E-3</v>
      </c>
      <c r="AM13" s="281">
        <v>-1.0999999999999999E-2</v>
      </c>
      <c r="AN13" s="286"/>
      <c r="AO13" s="287"/>
      <c r="AP13" s="287"/>
      <c r="AQ13" s="287"/>
      <c r="AR13" s="287"/>
      <c r="AS13" s="287"/>
      <c r="AT13" s="287"/>
      <c r="AU13" s="163"/>
      <c r="AV13" s="132"/>
      <c r="AW13" s="132"/>
      <c r="AX13" s="132"/>
      <c r="AY13" s="132"/>
      <c r="AZ13" s="132"/>
      <c r="BA13" s="132"/>
      <c r="BB13" s="132"/>
      <c r="BC13" s="132"/>
      <c r="BD13" s="132"/>
      <c r="BE13" s="132"/>
      <c r="BF13" s="132"/>
      <c r="BG13" s="132"/>
      <c r="BH13" s="132"/>
      <c r="BI13" s="132"/>
      <c r="BJ13" s="132"/>
      <c r="BK13" s="132"/>
      <c r="BL13" s="132"/>
      <c r="BM13" s="132"/>
      <c r="BN13" s="307"/>
      <c r="BO13" s="307"/>
      <c r="BP13" s="163"/>
      <c r="BQ13" s="46"/>
      <c r="BR13" s="97"/>
      <c r="BS13" s="97"/>
      <c r="BT13" s="97"/>
      <c r="BU13" s="97"/>
      <c r="BV13" s="97"/>
      <c r="BW13" s="97"/>
      <c r="BX13" s="97"/>
      <c r="BY13" s="97"/>
      <c r="BZ13" s="174"/>
    </row>
    <row r="14" spans="1:78">
      <c r="B14" s="27"/>
      <c r="C14" s="125"/>
      <c r="D14" s="125"/>
      <c r="E14" s="125"/>
      <c r="F14" s="125"/>
      <c r="G14" s="125"/>
      <c r="H14" s="125"/>
      <c r="I14" s="125"/>
      <c r="J14" s="125"/>
      <c r="K14" s="284"/>
      <c r="L14" s="283"/>
      <c r="M14" s="130"/>
      <c r="N14" s="283"/>
      <c r="O14" s="130"/>
      <c r="P14" s="283"/>
      <c r="Q14" s="130"/>
      <c r="R14" s="283"/>
      <c r="S14" s="125"/>
      <c r="T14" s="283"/>
      <c r="U14" s="125"/>
      <c r="V14" s="283"/>
      <c r="W14" s="125"/>
      <c r="X14" s="283"/>
      <c r="Y14" s="125"/>
      <c r="Z14" s="125"/>
      <c r="AA14" s="281"/>
      <c r="AB14" s="283"/>
      <c r="AC14" s="281"/>
      <c r="AD14" s="283"/>
      <c r="AE14" s="281"/>
      <c r="AF14" s="283"/>
      <c r="AG14" s="281"/>
      <c r="AH14" s="281"/>
      <c r="AI14" s="281"/>
      <c r="AJ14" s="283"/>
      <c r="AK14" s="281"/>
      <c r="AL14" s="281"/>
      <c r="AM14" s="281"/>
      <c r="AN14" s="286">
        <f>50/AJ6</f>
        <v>4.4955943175687824E-3</v>
      </c>
      <c r="AO14" s="287"/>
      <c r="AP14" s="287"/>
      <c r="AQ14" s="287"/>
      <c r="AR14" s="287"/>
      <c r="AS14" s="287"/>
      <c r="AT14" s="287"/>
      <c r="AU14" s="163"/>
      <c r="AV14" s="132"/>
      <c r="AW14" s="132"/>
      <c r="AX14" s="132"/>
      <c r="AY14" s="132"/>
      <c r="AZ14" s="132"/>
      <c r="BA14" s="132"/>
      <c r="BB14" s="132"/>
      <c r="BC14" s="132"/>
      <c r="BD14" s="132"/>
      <c r="BE14" s="132"/>
      <c r="BF14" s="132"/>
      <c r="BG14" s="132"/>
      <c r="BH14" s="132"/>
      <c r="BI14" s="132"/>
      <c r="BJ14" s="132"/>
      <c r="BK14" s="132"/>
      <c r="BL14" s="132"/>
      <c r="BM14" s="132"/>
      <c r="BN14" s="307"/>
      <c r="BO14" s="307"/>
      <c r="BP14" s="163"/>
      <c r="BQ14" s="46"/>
      <c r="BR14" s="97"/>
      <c r="BS14" s="97"/>
      <c r="BT14" s="97"/>
      <c r="BU14" s="97"/>
      <c r="BV14" s="97"/>
      <c r="BW14" s="97"/>
      <c r="BX14" s="97"/>
      <c r="BY14" s="97"/>
      <c r="BZ14" s="174"/>
    </row>
    <row r="15" spans="1:78">
      <c r="B15" s="82" t="s">
        <v>444</v>
      </c>
      <c r="C15" s="125"/>
      <c r="D15" s="125"/>
      <c r="E15" s="125"/>
      <c r="F15" s="125"/>
      <c r="G15" s="125"/>
      <c r="H15" s="125"/>
      <c r="I15" s="125"/>
      <c r="J15" s="125"/>
      <c r="K15" s="284"/>
      <c r="L15" s="283"/>
      <c r="M15" s="130"/>
      <c r="N15" s="283"/>
      <c r="O15" s="130"/>
      <c r="P15" s="283"/>
      <c r="Q15" s="130"/>
      <c r="R15" s="283"/>
      <c r="S15" s="125"/>
      <c r="T15" s="283"/>
      <c r="U15" s="125"/>
      <c r="V15" s="283"/>
      <c r="W15" s="125"/>
      <c r="X15" s="283"/>
      <c r="Y15" s="125"/>
      <c r="Z15" s="125"/>
      <c r="AA15" s="281"/>
      <c r="AB15" s="283"/>
      <c r="AC15" s="281"/>
      <c r="AD15" s="283"/>
      <c r="AE15" s="281"/>
      <c r="AF15" s="283"/>
      <c r="AG15" s="281"/>
      <c r="AH15" s="281"/>
      <c r="AI15" s="281"/>
      <c r="AJ15" s="283"/>
      <c r="AK15" s="281"/>
      <c r="AL15" s="281"/>
      <c r="AM15" s="281"/>
      <c r="AN15" s="286">
        <f>120/AJ6</f>
        <v>1.0789426362165079E-2</v>
      </c>
      <c r="AO15" s="287"/>
      <c r="AP15" s="287"/>
      <c r="AQ15" s="287"/>
      <c r="AR15" s="287"/>
      <c r="AS15" s="287"/>
      <c r="AT15" s="287"/>
      <c r="AU15" s="163"/>
      <c r="AV15" s="132"/>
      <c r="AW15" s="132"/>
      <c r="AX15" s="132"/>
      <c r="AY15" s="132"/>
      <c r="AZ15" s="132"/>
      <c r="BA15" s="132"/>
      <c r="BB15" s="132"/>
      <c r="BC15" s="132"/>
      <c r="BD15" s="132"/>
      <c r="BE15" s="132"/>
      <c r="BF15" s="132"/>
      <c r="BG15" s="132"/>
      <c r="BH15" s="132"/>
      <c r="BI15" s="132"/>
      <c r="BJ15" s="132"/>
      <c r="BK15" s="132"/>
      <c r="BL15" s="132"/>
      <c r="BM15" s="132"/>
      <c r="BN15" s="307"/>
      <c r="BO15" s="307"/>
      <c r="BP15" s="163"/>
      <c r="BQ15" s="46"/>
      <c r="BR15" s="97"/>
      <c r="BS15" s="97"/>
      <c r="BT15" s="97"/>
      <c r="BU15" s="97"/>
      <c r="BV15" s="97"/>
      <c r="BW15" s="97"/>
      <c r="BX15" s="97"/>
      <c r="BY15" s="97"/>
      <c r="BZ15" s="174"/>
    </row>
    <row r="16" spans="1:78">
      <c r="B16" s="27" t="s">
        <v>308</v>
      </c>
      <c r="C16" s="125"/>
      <c r="D16" s="125"/>
      <c r="E16" s="125"/>
      <c r="F16" s="125"/>
      <c r="G16" s="125"/>
      <c r="H16" s="125"/>
      <c r="I16" s="125"/>
      <c r="J16" s="125"/>
      <c r="K16" s="283">
        <f t="shared" ref="K16:K17" si="37">K6/G6-1</f>
        <v>4.7934797623981229E-2</v>
      </c>
      <c r="L16" s="283">
        <f t="shared" ref="L16:L17" si="38">L6/H6-1</f>
        <v>2.1844074342264097E-2</v>
      </c>
      <c r="M16" s="283">
        <f t="shared" ref="M16:M17" si="39">M6/I6-1</f>
        <v>2.5961129238189828E-2</v>
      </c>
      <c r="N16" s="283">
        <f t="shared" ref="N16:N17" si="40">N6/J6-1</f>
        <v>3.3219877467665082E-2</v>
      </c>
      <c r="O16" s="283">
        <f t="shared" ref="O16:O17" si="41">O6/K6-1</f>
        <v>1.5686791457948823E-2</v>
      </c>
      <c r="P16" s="283">
        <f t="shared" ref="P16:P17" si="42">P6/L6-1</f>
        <v>4.9722451871973439E-2</v>
      </c>
      <c r="Q16" s="283">
        <f t="shared" ref="Q16:Q17" si="43">Q6/M6-1</f>
        <v>0.13799778761061954</v>
      </c>
      <c r="R16" s="283">
        <f t="shared" ref="R16:R17" si="44">R6/N6-1</f>
        <v>7.655817630781403E-2</v>
      </c>
      <c r="S16" s="283">
        <f t="shared" ref="S16:S17" si="45">S6/O6-1</f>
        <v>9.8507462686567182E-2</v>
      </c>
      <c r="T16" s="283">
        <f t="shared" ref="T16:T17" si="46">T6/P6-1</f>
        <v>5.1755175517551821E-2</v>
      </c>
      <c r="U16" s="283">
        <f t="shared" ref="U16:U17" si="47">U6/Q6-1</f>
        <v>-4.0704738760631853E-2</v>
      </c>
      <c r="V16" s="283">
        <f t="shared" ref="V16:V17" si="48">V6/R6-1</f>
        <v>-1.1015911872704898E-3</v>
      </c>
      <c r="W16" s="283">
        <f t="shared" ref="W16:W17" si="49">W6/S6-1</f>
        <v>1.8431001890359067E-2</v>
      </c>
      <c r="X16" s="283">
        <f t="shared" ref="X16:X17" si="50">X6/T6-1</f>
        <v>5.1347881899872494E-3</v>
      </c>
      <c r="Y16" s="283">
        <f t="shared" ref="Y16:Y17" si="51">Y6/U6-1</f>
        <v>1.7352754908169787E-2</v>
      </c>
      <c r="Z16" s="283">
        <f t="shared" ref="Z16:Z17" si="52">Z6/V6-1</f>
        <v>5.0851611322141999E-2</v>
      </c>
      <c r="AA16" s="283">
        <f t="shared" ref="AA16:AA17" si="53">AA6/W6-1</f>
        <v>1.7517401392111331E-2</v>
      </c>
      <c r="AB16" s="283">
        <f t="shared" ref="AB16:AB17" si="54">AB6/X6-1</f>
        <v>7.3435504469987256E-2</v>
      </c>
      <c r="AC16" s="283">
        <f t="shared" ref="AC16:AC17" si="55">AC6/Y6-1</f>
        <v>7.4327689243027795E-2</v>
      </c>
      <c r="AD16" s="283">
        <f t="shared" ref="AD16:AD17" si="56">AD6/Z6-1</f>
        <v>7.9757462686567138E-2</v>
      </c>
      <c r="AE16" s="283">
        <f t="shared" ref="AE16:AE17" si="57">AE6/AA6-1</f>
        <v>4.7315015391631521E-2</v>
      </c>
      <c r="AF16" s="283">
        <f t="shared" ref="AF16:AF17" si="58">AF6/AB6-1</f>
        <v>5.0168550465992556E-2</v>
      </c>
      <c r="AG16" s="283">
        <f t="shared" ref="AG16:AG17" si="59">AG6/AC6-1</f>
        <v>5.0527291690810161E-2</v>
      </c>
      <c r="AH16" s="283">
        <f t="shared" ref="AH16:AH17" si="60">AH6/AD6-1</f>
        <v>0.1014038876889849</v>
      </c>
      <c r="AI16" s="283">
        <f t="shared" ref="AI16:AI17" si="61">AI6/AE6-1</f>
        <v>3.4944480731547989E-2</v>
      </c>
      <c r="AJ16" s="283">
        <f t="shared" ref="AJ16:AJ17" si="62">AJ6/AF6-1</f>
        <v>5.0037764350453262E-2</v>
      </c>
      <c r="AK16" s="283">
        <f t="shared" ref="AK16:AK17" si="63">AK6/AG6-1</f>
        <v>3.7065637065637036E-2</v>
      </c>
      <c r="AL16" s="283">
        <f t="shared" ref="AL16:AL17" si="64">AL6/AH6-1</f>
        <v>-2.3727816452593364E-2</v>
      </c>
      <c r="AM16" s="283">
        <f t="shared" ref="AM16:AM17" si="65">AM6/AI6-1</f>
        <v>4.8175028926054519E-2</v>
      </c>
      <c r="AN16" s="303">
        <f t="shared" ref="AN16:AP17" si="66">AN6/AJ6-1</f>
        <v>3.7636058376078418E-2</v>
      </c>
      <c r="AO16" s="304">
        <f>AO22+AO26</f>
        <v>4.2000000000000003E-2</v>
      </c>
      <c r="AP16" s="303">
        <f t="shared" si="66"/>
        <v>4.2496246361386492E-2</v>
      </c>
      <c r="AQ16" s="303"/>
      <c r="AR16" s="303"/>
      <c r="AS16" s="303"/>
      <c r="AT16" s="303"/>
      <c r="AU16" s="163"/>
      <c r="AV16" s="132"/>
      <c r="AW16" s="132"/>
      <c r="AX16" s="132"/>
      <c r="AY16" s="132"/>
      <c r="AZ16" s="132">
        <f t="shared" ref="AZ16:BM16" si="67">AZ6/AX6-1</f>
        <v>3.5040257648953244E-2</v>
      </c>
      <c r="BA16" s="132">
        <f t="shared" si="67"/>
        <v>2.9665138252049417E-2</v>
      </c>
      <c r="BB16" s="132">
        <f t="shared" si="67"/>
        <v>3.2609372082892607E-2</v>
      </c>
      <c r="BC16" s="132">
        <f t="shared" si="67"/>
        <v>0.10653802037649274</v>
      </c>
      <c r="BD16" s="132">
        <f t="shared" si="67"/>
        <v>7.346471403603938E-2</v>
      </c>
      <c r="BE16" s="132">
        <f t="shared" si="67"/>
        <v>-2.097560975609758E-2</v>
      </c>
      <c r="BF16" s="132">
        <f t="shared" si="67"/>
        <v>1.1452953065349103E-2</v>
      </c>
      <c r="BG16" s="132">
        <f t="shared" si="67"/>
        <v>3.4379671150971625E-2</v>
      </c>
      <c r="BH16" s="132">
        <f t="shared" si="67"/>
        <v>4.6680728241563108E-2</v>
      </c>
      <c r="BI16" s="132">
        <f t="shared" si="67"/>
        <v>7.7131502890173342E-2</v>
      </c>
      <c r="BJ16" s="132">
        <f t="shared" si="67"/>
        <v>4.8841279100599211E-2</v>
      </c>
      <c r="BK16" s="132">
        <f t="shared" si="67"/>
        <v>7.6862876628095433E-2</v>
      </c>
      <c r="BL16" s="132">
        <f t="shared" si="67"/>
        <v>4.3027606431388365E-2</v>
      </c>
      <c r="BM16" s="132">
        <f t="shared" si="67"/>
        <v>4.8795681063122931E-3</v>
      </c>
      <c r="BN16" s="307">
        <f t="shared" ref="BN16:BO16" si="68">BN6/BL6-1</f>
        <v>4.2493006993007176E-2</v>
      </c>
      <c r="BO16" s="307">
        <f t="shared" si="68"/>
        <v>4.2255249768587966E-2</v>
      </c>
      <c r="BP16" s="163"/>
      <c r="BQ16" s="46"/>
      <c r="BR16" s="132">
        <f t="shared" ref="BR16:BX19" si="69">BR6/BQ6-1</f>
        <v>5.5454728775963247E-3</v>
      </c>
      <c r="BS16" s="132">
        <f t="shared" si="69"/>
        <v>3.2454293258464606E-2</v>
      </c>
      <c r="BT16" s="132">
        <f t="shared" si="69"/>
        <v>6.8080284881838704E-2</v>
      </c>
      <c r="BU16" s="132">
        <f t="shared" si="69"/>
        <v>2.6520777134543705E-2</v>
      </c>
      <c r="BV16" s="132">
        <f t="shared" si="69"/>
        <v>2.2321955828510598E-2</v>
      </c>
      <c r="BW16" s="132">
        <f t="shared" si="69"/>
        <v>6.1286968576709899E-2</v>
      </c>
      <c r="BX16" s="132">
        <f t="shared" si="69"/>
        <v>6.2482991345996775E-2</v>
      </c>
      <c r="BY16" s="132">
        <f>BY6/BX6-1</f>
        <v>2.4204702627939056E-2</v>
      </c>
      <c r="BZ16" s="307">
        <f>BZ6/BY6-1</f>
        <v>4.2377906976744262E-2</v>
      </c>
    </row>
    <row r="17" spans="1:78">
      <c r="B17" s="27" t="s">
        <v>310</v>
      </c>
      <c r="C17" s="125"/>
      <c r="D17" s="125"/>
      <c r="E17" s="125"/>
      <c r="F17" s="125"/>
      <c r="G17" s="125"/>
      <c r="H17" s="125"/>
      <c r="I17" s="125"/>
      <c r="J17" s="125"/>
      <c r="K17" s="283">
        <f t="shared" si="37"/>
        <v>-3.84087791495199E-2</v>
      </c>
      <c r="L17" s="283">
        <f t="shared" si="38"/>
        <v>-5.6451612903225756E-2</v>
      </c>
      <c r="M17" s="283">
        <f t="shared" si="39"/>
        <v>-1.134751773049647E-2</v>
      </c>
      <c r="N17" s="283">
        <f t="shared" si="40"/>
        <v>-0.17905405405405406</v>
      </c>
      <c r="O17" s="283">
        <f t="shared" si="41"/>
        <v>3.5663338088445018E-2</v>
      </c>
      <c r="P17" s="283">
        <f t="shared" si="42"/>
        <v>3.0982905982905873E-2</v>
      </c>
      <c r="Q17" s="283">
        <f t="shared" si="43"/>
        <v>6.1692969870875247E-2</v>
      </c>
      <c r="R17" s="283">
        <f t="shared" si="44"/>
        <v>0.20301783264746232</v>
      </c>
      <c r="S17" s="283">
        <f t="shared" si="45"/>
        <v>0.17355371900826455</v>
      </c>
      <c r="T17" s="283">
        <f t="shared" si="46"/>
        <v>0.13367875647668392</v>
      </c>
      <c r="U17" s="283">
        <f t="shared" si="47"/>
        <v>3.1081081081081097E-2</v>
      </c>
      <c r="V17" s="283">
        <f t="shared" si="48"/>
        <v>-6.9555302166476651E-2</v>
      </c>
      <c r="W17" s="283">
        <f t="shared" si="49"/>
        <v>2.5821596244131495E-2</v>
      </c>
      <c r="X17" s="283">
        <f t="shared" si="50"/>
        <v>2.833638025594154E-2</v>
      </c>
      <c r="Y17" s="283">
        <f t="shared" si="51"/>
        <v>2.3591087811271283E-2</v>
      </c>
      <c r="Z17" s="283">
        <f t="shared" si="52"/>
        <v>2.0833333333333259E-2</v>
      </c>
      <c r="AA17" s="283">
        <f t="shared" si="53"/>
        <v>-4.3478260869565188E-2</v>
      </c>
      <c r="AB17" s="283">
        <f t="shared" si="54"/>
        <v>-8.0000000000000071E-3</v>
      </c>
      <c r="AC17" s="283">
        <f t="shared" si="55"/>
        <v>2.5608194622279035E-2</v>
      </c>
      <c r="AD17" s="283">
        <f t="shared" si="56"/>
        <v>2.881152460984393E-2</v>
      </c>
      <c r="AE17" s="283">
        <f t="shared" si="57"/>
        <v>1.7942583732057482E-2</v>
      </c>
      <c r="AF17" s="283">
        <f t="shared" si="58"/>
        <v>1.8817204301075252E-2</v>
      </c>
      <c r="AG17" s="283">
        <f t="shared" si="59"/>
        <v>-1.8726591760299671E-2</v>
      </c>
      <c r="AH17" s="283">
        <f t="shared" si="60"/>
        <v>7.1178529754959197E-2</v>
      </c>
      <c r="AI17" s="283">
        <f t="shared" si="61"/>
        <v>0</v>
      </c>
      <c r="AJ17" s="283">
        <f t="shared" si="62"/>
        <v>1.4072119613016687E-2</v>
      </c>
      <c r="AK17" s="283">
        <f t="shared" si="63"/>
        <v>3.4351145038167941E-2</v>
      </c>
      <c r="AL17" s="283">
        <f t="shared" si="64"/>
        <v>-7.407407407407407E-2</v>
      </c>
      <c r="AM17" s="283">
        <f t="shared" si="65"/>
        <v>-1.0575793184488869E-2</v>
      </c>
      <c r="AN17" s="303">
        <f t="shared" si="66"/>
        <v>-8.7059843885516353E-3</v>
      </c>
      <c r="AO17" s="304">
        <f>AO23+AO27</f>
        <v>-8.0000000000000002E-3</v>
      </c>
      <c r="AP17" s="303">
        <f t="shared" si="66"/>
        <v>-5.5939319816104005E-3</v>
      </c>
      <c r="AQ17" s="303"/>
      <c r="AR17" s="303"/>
      <c r="AS17" s="303"/>
      <c r="AT17" s="303"/>
      <c r="AU17" s="163"/>
      <c r="AV17" s="132"/>
      <c r="AW17" s="132"/>
      <c r="AX17" s="132"/>
      <c r="AY17" s="132"/>
      <c r="AZ17" s="132"/>
      <c r="BA17" s="132"/>
      <c r="BB17" s="132"/>
      <c r="BC17" s="132"/>
      <c r="BD17" s="132"/>
      <c r="BE17" s="132">
        <f t="shared" ref="BE17:BM17" si="70">BE7/BC7-1</f>
        <v>-2.3500309214594894E-2</v>
      </c>
      <c r="BF17" s="132">
        <f t="shared" si="70"/>
        <v>2.7235354573484027E-2</v>
      </c>
      <c r="BG17" s="132">
        <f t="shared" si="70"/>
        <v>2.2165927802406671E-2</v>
      </c>
      <c r="BH17" s="132">
        <f t="shared" si="70"/>
        <v>-2.3511755877938967E-2</v>
      </c>
      <c r="BI17" s="132">
        <f t="shared" si="70"/>
        <v>2.7261462205700138E-2</v>
      </c>
      <c r="BJ17" s="132">
        <f t="shared" si="70"/>
        <v>1.8442622950819665E-2</v>
      </c>
      <c r="BK17" s="132">
        <f t="shared" si="70"/>
        <v>2.7744270205066313E-2</v>
      </c>
      <c r="BL17" s="132">
        <f t="shared" si="70"/>
        <v>8.0482897384306362E-3</v>
      </c>
      <c r="BM17" s="132">
        <f t="shared" si="70"/>
        <v>-2.4061032863849752E-2</v>
      </c>
      <c r="BN17" s="307">
        <f t="shared" ref="BN17:BO17" si="71">BN7/BL7-1</f>
        <v>-9.4999999999999529E-3</v>
      </c>
      <c r="BO17" s="307">
        <f t="shared" si="71"/>
        <v>-6.7701997500714262E-3</v>
      </c>
      <c r="BP17" s="163"/>
      <c r="BQ17" s="46"/>
      <c r="BR17" s="132">
        <f t="shared" si="69"/>
        <v>2.8234564070741541E-2</v>
      </c>
      <c r="BS17" s="132">
        <f t="shared" si="69"/>
        <v>-7.5739287869643901E-2</v>
      </c>
      <c r="BT17" s="132">
        <f t="shared" si="69"/>
        <v>7.9986940907606829E-2</v>
      </c>
      <c r="BU17" s="132">
        <f t="shared" si="69"/>
        <v>6.5598548972188642E-2</v>
      </c>
      <c r="BV17" s="132">
        <f t="shared" si="69"/>
        <v>2.4964539007092279E-2</v>
      </c>
      <c r="BW17" s="132">
        <f t="shared" si="69"/>
        <v>-8.3033490174366786E-4</v>
      </c>
      <c r="BX17" s="132">
        <f t="shared" si="69"/>
        <v>2.2714681440443307E-2</v>
      </c>
      <c r="BY17" s="132">
        <f t="shared" ref="BY17:BZ19" si="72">BY7/BX7-1</f>
        <v>-6.7713976164680556E-3</v>
      </c>
      <c r="BZ17" s="307">
        <f t="shared" si="72"/>
        <v>-8.2620240480962837E-3</v>
      </c>
    </row>
    <row r="18" spans="1:78">
      <c r="B18" s="27" t="s">
        <v>311</v>
      </c>
      <c r="C18" s="125"/>
      <c r="D18" s="125"/>
      <c r="E18" s="125"/>
      <c r="F18" s="125"/>
      <c r="G18" s="125"/>
      <c r="H18" s="125"/>
      <c r="I18" s="125"/>
      <c r="J18" s="125"/>
      <c r="K18" s="284"/>
      <c r="L18" s="283"/>
      <c r="M18" s="283"/>
      <c r="N18" s="283"/>
      <c r="O18" s="283"/>
      <c r="P18" s="283"/>
      <c r="Q18" s="283"/>
      <c r="R18" s="283"/>
      <c r="S18" s="283"/>
      <c r="T18" s="283"/>
      <c r="U18" s="283"/>
      <c r="V18" s="283"/>
      <c r="W18" s="283"/>
      <c r="X18" s="283"/>
      <c r="Y18" s="283"/>
      <c r="Z18" s="283"/>
      <c r="AA18" s="283"/>
      <c r="AB18" s="283"/>
      <c r="AC18" s="283"/>
      <c r="AD18" s="283"/>
      <c r="AE18" s="283"/>
      <c r="AF18" s="283"/>
      <c r="AG18" s="283">
        <f t="shared" ref="AG18:AL18" si="73">AG8/AC8-1</f>
        <v>-0.32841328413284132</v>
      </c>
      <c r="AH18" s="283">
        <f t="shared" si="73"/>
        <v>-2.4236111111111112</v>
      </c>
      <c r="AI18" s="283">
        <f t="shared" si="73"/>
        <v>-0.11214953271028039</v>
      </c>
      <c r="AJ18" s="283">
        <f t="shared" si="73"/>
        <v>-0.10169491525423724</v>
      </c>
      <c r="AK18" s="283">
        <f t="shared" si="73"/>
        <v>-9.3406593406593408E-2</v>
      </c>
      <c r="AL18" s="283">
        <f t="shared" si="73"/>
        <v>-0.36097560975609755</v>
      </c>
      <c r="AM18" s="283">
        <f>AM8/AI8-1</f>
        <v>-0.17894736842105263</v>
      </c>
      <c r="AN18" s="303">
        <f>AN8/AJ8-1</f>
        <v>-0.21886792452830173</v>
      </c>
      <c r="AO18" s="199">
        <v>-0.18</v>
      </c>
      <c r="AP18" s="303">
        <f>AP8/AL8-1</f>
        <v>-0.67709923664122129</v>
      </c>
      <c r="AQ18" s="303"/>
      <c r="AR18" s="303"/>
      <c r="AS18" s="303"/>
      <c r="AT18" s="303"/>
      <c r="AU18" s="163"/>
      <c r="AV18" s="132"/>
      <c r="AW18" s="132"/>
      <c r="AX18" s="132"/>
      <c r="AY18" s="132"/>
      <c r="AZ18" s="132"/>
      <c r="BA18" s="132"/>
      <c r="BB18" s="132"/>
      <c r="BC18" s="132"/>
      <c r="BD18" s="132"/>
      <c r="BE18" s="132"/>
      <c r="BF18" s="132"/>
      <c r="BG18" s="132"/>
      <c r="BH18" s="132"/>
      <c r="BI18" s="132"/>
      <c r="BJ18" s="132"/>
      <c r="BK18" s="132">
        <f>BK8/BI8-1</f>
        <v>2.0472440944881889</v>
      </c>
      <c r="BL18" s="132">
        <f>BL8/BJ8-1</f>
        <v>-0.10666666666666669</v>
      </c>
      <c r="BM18" s="132">
        <f>BM8/BK8-1</f>
        <v>-0.23514211886304914</v>
      </c>
      <c r="BN18" s="307">
        <f t="shared" ref="BN18:BO18" si="74">BN8/BL8-1</f>
        <v>-0.19999999999999996</v>
      </c>
      <c r="BO18" s="307">
        <f t="shared" si="74"/>
        <v>-0.39999999999999991</v>
      </c>
      <c r="BP18" s="163"/>
      <c r="BQ18" s="46"/>
      <c r="BR18" s="132"/>
      <c r="BS18" s="132"/>
      <c r="BT18" s="132"/>
      <c r="BU18" s="132"/>
      <c r="BV18" s="132"/>
      <c r="BW18" s="132"/>
      <c r="BX18" s="132">
        <f t="shared" si="69"/>
        <v>5.590551181102362</v>
      </c>
      <c r="BY18" s="132">
        <f t="shared" si="72"/>
        <v>-0.16606929510155322</v>
      </c>
      <c r="BZ18" s="307">
        <f t="shared" si="72"/>
        <v>-0.28481375358166183</v>
      </c>
    </row>
    <row r="19" spans="1:78" s="6" customFormat="1">
      <c r="A19" s="36"/>
      <c r="B19" s="35" t="s">
        <v>199</v>
      </c>
      <c r="C19" s="126"/>
      <c r="D19" s="126"/>
      <c r="E19" s="126"/>
      <c r="F19" s="126"/>
      <c r="G19" s="126"/>
      <c r="H19" s="126"/>
      <c r="I19" s="126"/>
      <c r="J19" s="126"/>
      <c r="K19" s="302">
        <f t="shared" ref="K19:AL19" si="75">K9/G9-1</f>
        <v>-8.8260405549626442E-2</v>
      </c>
      <c r="L19" s="301">
        <f t="shared" si="75"/>
        <v>0.22957889396245568</v>
      </c>
      <c r="M19" s="301">
        <f t="shared" si="75"/>
        <v>-0.12347999115631214</v>
      </c>
      <c r="N19" s="301">
        <f t="shared" si="75"/>
        <v>0.19565217391304346</v>
      </c>
      <c r="O19" s="301">
        <f t="shared" si="75"/>
        <v>-1.3110148659721377E-2</v>
      </c>
      <c r="P19" s="301">
        <f t="shared" si="75"/>
        <v>1.6401898081287447E-2</v>
      </c>
      <c r="Q19" s="301">
        <f t="shared" si="75"/>
        <v>0.1312902005297012</v>
      </c>
      <c r="R19" s="301">
        <f t="shared" si="75"/>
        <v>8.934376881396755E-2</v>
      </c>
      <c r="S19" s="301">
        <f t="shared" si="75"/>
        <v>0.10496975447752344</v>
      </c>
      <c r="T19" s="301">
        <f t="shared" si="75"/>
        <v>5.9778747589566583E-2</v>
      </c>
      <c r="U19" s="301">
        <f t="shared" si="75"/>
        <v>-3.4782608695652195E-2</v>
      </c>
      <c r="V19" s="301">
        <f t="shared" si="75"/>
        <v>-7.7373715043660418E-3</v>
      </c>
      <c r="W19" s="301">
        <f t="shared" si="75"/>
        <v>1.9106912838128043E-2</v>
      </c>
      <c r="X19" s="301">
        <f t="shared" si="75"/>
        <v>7.5656004596820203E-3</v>
      </c>
      <c r="Y19" s="301">
        <f t="shared" si="75"/>
        <v>1.7902517902517845E-2</v>
      </c>
      <c r="Z19" s="301">
        <f t="shared" si="75"/>
        <v>4.8122980951319949E-2</v>
      </c>
      <c r="AA19" s="301">
        <f t="shared" si="75"/>
        <v>1.190225405519274E-2</v>
      </c>
      <c r="AB19" s="301">
        <f t="shared" si="75"/>
        <v>6.4727687482178498E-2</v>
      </c>
      <c r="AC19" s="301">
        <f t="shared" si="75"/>
        <v>0.10076024055372734</v>
      </c>
      <c r="AD19" s="301">
        <f t="shared" si="75"/>
        <v>5.9942608141141385E-2</v>
      </c>
      <c r="AE19" s="301">
        <f t="shared" si="75"/>
        <v>6.7034454043926273E-2</v>
      </c>
      <c r="AF19" s="301">
        <f t="shared" si="75"/>
        <v>6.8112836993394099E-2</v>
      </c>
      <c r="AG19" s="301">
        <f t="shared" si="75"/>
        <v>3.4223275950932885E-2</v>
      </c>
      <c r="AH19" s="301">
        <f t="shared" si="75"/>
        <v>0.13526521608342534</v>
      </c>
      <c r="AI19" s="301">
        <f t="shared" si="75"/>
        <v>2.8972783143107916E-2</v>
      </c>
      <c r="AJ19" s="301">
        <f t="shared" si="75"/>
        <v>4.3627246134559039E-2</v>
      </c>
      <c r="AK19" s="301">
        <f t="shared" si="75"/>
        <v>3.4486195554669585E-2</v>
      </c>
      <c r="AL19" s="301">
        <f t="shared" si="75"/>
        <v>-3.3916269210386818E-2</v>
      </c>
      <c r="AM19" s="301">
        <f>AM9/AI9-1</f>
        <v>3.9343951459992477E-2</v>
      </c>
      <c r="AN19" s="305">
        <f>AN9/AJ9-1</f>
        <v>2.9002181569531826E-2</v>
      </c>
      <c r="AO19" s="305">
        <f>AO9/AK9-1</f>
        <v>3.4554195972636981E-2</v>
      </c>
      <c r="AP19" s="305">
        <f>AP9/AL9-1</f>
        <v>3.0140819421828224E-2</v>
      </c>
      <c r="AQ19" s="305"/>
      <c r="AR19" s="305"/>
      <c r="AS19" s="305"/>
      <c r="AT19" s="305"/>
      <c r="AU19" s="314"/>
      <c r="AV19" s="132"/>
      <c r="AW19" s="151"/>
      <c r="AX19" s="151"/>
      <c r="AY19" s="151">
        <f t="shared" ref="AY19:BB19" si="76">AY9/AX9-1</f>
        <v>-7.3347821791958867E-2</v>
      </c>
      <c r="AZ19" s="151">
        <f t="shared" si="76"/>
        <v>-2.6384521080965784E-2</v>
      </c>
      <c r="BA19" s="151">
        <f t="shared" si="76"/>
        <v>-8.3816927625095849E-2</v>
      </c>
      <c r="BB19" s="151">
        <f t="shared" si="76"/>
        <v>0.12674036450552739</v>
      </c>
      <c r="BC19" s="151">
        <f t="shared" ref="BC19:BI19" si="77">BC9/BB9-1</f>
        <v>-1.6122189223589323E-2</v>
      </c>
      <c r="BD19" s="151">
        <f t="shared" si="77"/>
        <v>9.9072876239758578E-2</v>
      </c>
      <c r="BE19" s="151">
        <f t="shared" si="77"/>
        <v>-0.10765080922020598</v>
      </c>
      <c r="BF19" s="151">
        <f t="shared" si="77"/>
        <v>0.10002748007694429</v>
      </c>
      <c r="BG19" s="151">
        <f t="shared" si="77"/>
        <v>-8.9582812890332209E-2</v>
      </c>
      <c r="BH19" s="151">
        <f t="shared" si="77"/>
        <v>0.14197124355175061</v>
      </c>
      <c r="BI19" s="151">
        <f t="shared" si="77"/>
        <v>-5.4543707049834245E-2</v>
      </c>
      <c r="BJ19" s="151">
        <f t="shared" ref="BJ19:BM19" si="78">BJ9/BI9-1</f>
        <v>0.12920605875775126</v>
      </c>
      <c r="BK19" s="151">
        <f t="shared" si="78"/>
        <v>-3.8755851638458738E-2</v>
      </c>
      <c r="BL19" s="151">
        <f t="shared" si="78"/>
        <v>7.8670100678997823E-2</v>
      </c>
      <c r="BM19" s="151">
        <f t="shared" si="78"/>
        <v>-7.4582157586281728E-2</v>
      </c>
      <c r="BN19" s="308">
        <f t="shared" ref="BN19" si="79">BN9/BM9-1</f>
        <v>0.1170497837997253</v>
      </c>
      <c r="BO19" s="308">
        <f t="shared" ref="BO19" si="80">BO9/BN9-1</f>
        <v>-7.5878572078389328E-2</v>
      </c>
      <c r="BP19" s="314"/>
      <c r="BQ19" s="37"/>
      <c r="BR19" s="132"/>
      <c r="BS19" s="132"/>
      <c r="BT19" s="151">
        <f t="shared" si="69"/>
        <v>6.8769463729607683E-2</v>
      </c>
      <c r="BU19" s="151">
        <f t="shared" si="69"/>
        <v>3.1463857998289102E-2</v>
      </c>
      <c r="BV19" s="151">
        <f t="shared" si="69"/>
        <v>-9.0190488531812774E-3</v>
      </c>
      <c r="BW19" s="151">
        <f t="shared" si="69"/>
        <v>5.873891780212892E-2</v>
      </c>
      <c r="BX19" s="151">
        <f t="shared" si="69"/>
        <v>7.6278931897339586E-2</v>
      </c>
      <c r="BY19" s="151">
        <f t="shared" si="72"/>
        <v>1.7924766473112808E-2</v>
      </c>
      <c r="BZ19" s="308">
        <f t="shared" si="72"/>
        <v>3.3041768670966309E-2</v>
      </c>
    </row>
    <row r="20" spans="1:78">
      <c r="B20" s="83"/>
      <c r="C20" s="125"/>
      <c r="D20" s="125"/>
      <c r="E20" s="125"/>
      <c r="F20" s="125"/>
      <c r="G20" s="111"/>
      <c r="H20" s="111"/>
      <c r="I20" s="111"/>
      <c r="J20" s="111"/>
      <c r="K20" s="97"/>
      <c r="L20" s="97"/>
      <c r="M20" s="97"/>
      <c r="N20" s="97"/>
      <c r="O20" s="111"/>
      <c r="P20" s="111"/>
      <c r="Q20" s="111"/>
      <c r="R20" s="111"/>
      <c r="S20" s="46"/>
      <c r="T20" s="46"/>
      <c r="U20" s="46"/>
      <c r="V20" s="46"/>
      <c r="W20" s="46"/>
      <c r="X20" s="46"/>
      <c r="Y20" s="46"/>
      <c r="Z20" s="46"/>
      <c r="AA20" s="46"/>
      <c r="AB20" s="46"/>
      <c r="AC20" s="46"/>
      <c r="AD20" s="46"/>
      <c r="AE20" s="46"/>
      <c r="AF20" s="46"/>
      <c r="AG20" s="46"/>
      <c r="AH20" s="46"/>
      <c r="AI20" s="109"/>
      <c r="AJ20" s="109"/>
      <c r="AK20" s="109"/>
      <c r="AL20" s="109"/>
      <c r="AM20" s="109"/>
      <c r="AN20" s="181"/>
      <c r="AO20" s="163"/>
      <c r="AP20" s="163"/>
      <c r="AQ20" s="163"/>
      <c r="AR20" s="163"/>
      <c r="AS20" s="163"/>
      <c r="AT20" s="163"/>
      <c r="AU20" s="163"/>
      <c r="AV20" s="83"/>
      <c r="AW20" s="83"/>
      <c r="AX20" s="83"/>
      <c r="AY20" s="83"/>
      <c r="AZ20" s="83"/>
      <c r="BA20" s="83"/>
      <c r="BB20" s="83"/>
      <c r="BC20" s="83"/>
      <c r="BD20" s="83"/>
      <c r="BE20" s="83"/>
      <c r="BF20" s="83"/>
      <c r="BG20" s="83"/>
      <c r="BH20" s="83"/>
      <c r="BI20" s="83"/>
      <c r="BJ20" s="83"/>
      <c r="BK20" s="83"/>
      <c r="BL20" s="83"/>
      <c r="BM20" s="83"/>
      <c r="BN20" s="306"/>
      <c r="BO20" s="306"/>
      <c r="BP20" s="163"/>
      <c r="BQ20" s="46"/>
      <c r="BR20" s="46"/>
      <c r="BS20" s="46"/>
      <c r="BT20" s="46"/>
      <c r="BU20" s="46"/>
      <c r="BV20" s="46"/>
      <c r="BW20" s="46"/>
      <c r="BX20" s="46"/>
      <c r="BY20" s="46"/>
      <c r="BZ20" s="163"/>
    </row>
    <row r="21" spans="1:78">
      <c r="B21" s="82" t="s">
        <v>160</v>
      </c>
      <c r="C21" s="125"/>
      <c r="D21" s="125"/>
      <c r="E21" s="125"/>
      <c r="F21" s="125"/>
      <c r="G21" s="111"/>
      <c r="H21" s="111"/>
      <c r="I21" s="111"/>
      <c r="J21" s="111"/>
      <c r="K21" s="97"/>
      <c r="L21" s="97"/>
      <c r="M21" s="97"/>
      <c r="N21" s="97"/>
      <c r="O21" s="111"/>
      <c r="P21" s="111"/>
      <c r="Q21" s="111"/>
      <c r="R21" s="111"/>
      <c r="S21" s="46"/>
      <c r="T21" s="46"/>
      <c r="U21" s="46"/>
      <c r="V21" s="46"/>
      <c r="W21" s="46"/>
      <c r="X21" s="109"/>
      <c r="Y21" s="109"/>
      <c r="Z21" s="109"/>
      <c r="AA21" s="109"/>
      <c r="AB21" s="109"/>
      <c r="AC21" s="109"/>
      <c r="AD21" s="109"/>
      <c r="AE21" s="109"/>
      <c r="AF21" s="109"/>
      <c r="AG21" s="109"/>
      <c r="AH21" s="109"/>
      <c r="AI21" s="109"/>
      <c r="AJ21" s="109"/>
      <c r="AK21" s="109"/>
      <c r="AL21" s="109"/>
      <c r="AM21" s="109"/>
      <c r="AN21" s="175"/>
      <c r="AO21" s="181"/>
      <c r="AP21" s="181"/>
      <c r="AQ21" s="181"/>
      <c r="AR21" s="181"/>
      <c r="AS21" s="181"/>
      <c r="AT21" s="181"/>
      <c r="AU21" s="181"/>
      <c r="AV21" s="83"/>
      <c r="AW21" s="83"/>
      <c r="AX21" s="83"/>
      <c r="AY21" s="83"/>
      <c r="AZ21" s="83"/>
      <c r="BA21" s="83"/>
      <c r="BB21" s="83"/>
      <c r="BC21" s="83"/>
      <c r="BD21" s="83"/>
      <c r="BE21" s="83"/>
      <c r="BF21" s="83"/>
      <c r="BG21" s="83"/>
      <c r="BH21" s="83"/>
      <c r="BI21" s="83"/>
      <c r="BJ21" s="83"/>
      <c r="BK21" s="83"/>
      <c r="BL21" s="83"/>
      <c r="BM21" s="83"/>
      <c r="BN21" s="306"/>
      <c r="BO21" s="306"/>
      <c r="BP21" s="163"/>
      <c r="BQ21" s="46"/>
      <c r="BR21" s="46"/>
      <c r="BS21" s="46"/>
      <c r="BT21" s="46"/>
      <c r="BU21" s="46"/>
      <c r="BV21" s="46"/>
      <c r="BW21" s="46"/>
      <c r="BX21" s="46"/>
      <c r="BY21" s="46"/>
      <c r="BZ21" s="163"/>
    </row>
    <row r="22" spans="1:78">
      <c r="A22" s="36" t="s">
        <v>320</v>
      </c>
      <c r="B22" s="27" t="s">
        <v>308</v>
      </c>
      <c r="C22" s="125"/>
      <c r="D22" s="125"/>
      <c r="E22" s="125"/>
      <c r="F22" s="125"/>
      <c r="G22" s="282">
        <v>3.0000000000000001E-3</v>
      </c>
      <c r="H22" s="282">
        <v>1.4E-2</v>
      </c>
      <c r="I22" s="282">
        <v>8.9999999999999993E-3</v>
      </c>
      <c r="J22" s="285">
        <f>(AY22-0.5*I22)/0.5</f>
        <v>1.2999999999999999E-2</v>
      </c>
      <c r="K22" s="275">
        <v>5.0999999999999997E-2</v>
      </c>
      <c r="L22" s="285">
        <f>(AZ22-0.5*K22)/0.5</f>
        <v>1.3000000000000005E-2</v>
      </c>
      <c r="M22" s="275">
        <v>3.2000000000000001E-2</v>
      </c>
      <c r="N22" s="285">
        <f>(BA22-0.5*M22)/0.5</f>
        <v>1.1999999999999997E-2</v>
      </c>
      <c r="O22" s="275">
        <v>1E-3</v>
      </c>
      <c r="P22" s="285">
        <f>(BB22-0.5*O22)/0.5</f>
        <v>3.9E-2</v>
      </c>
      <c r="Q22" s="275">
        <v>0.13100000000000001</v>
      </c>
      <c r="R22" s="285">
        <f>(BC22-0.5*Q22)/0.5</f>
        <v>6.9000000000000006E-2</v>
      </c>
      <c r="S22" s="275">
        <v>9.7000000000000003E-2</v>
      </c>
      <c r="T22" s="285">
        <f>(BD22-0.5*S22)/0.5</f>
        <v>4.6999999999999986E-2</v>
      </c>
      <c r="U22" s="275">
        <v>-6.4000000000000001E-2</v>
      </c>
      <c r="V22" s="120">
        <v>2.1000000000000001E-2</v>
      </c>
      <c r="W22" s="275">
        <v>1.4E-2</v>
      </c>
      <c r="X22" s="285">
        <f>(BF22-0.5*W22)/0.5</f>
        <v>1.6E-2</v>
      </c>
      <c r="Y22" s="275">
        <v>3.9E-2</v>
      </c>
      <c r="Z22" s="120">
        <v>3.6999999999999998E-2</v>
      </c>
      <c r="AA22" s="275">
        <v>2.1000000000000001E-2</v>
      </c>
      <c r="AB22" s="285">
        <f>(BH22-0.5*AA22)/0.5</f>
        <v>7.6999999999999999E-2</v>
      </c>
      <c r="AC22" s="275">
        <v>6.5000000000000002E-2</v>
      </c>
      <c r="AD22" s="285">
        <f>(BI22-0.5*AC22)/0.5</f>
        <v>6.9000000000000006E-2</v>
      </c>
      <c r="AE22" s="275">
        <v>4.5999999999999999E-2</v>
      </c>
      <c r="AF22" s="285">
        <f>(BJ22-0.5*AE22)/0.5</f>
        <v>3.4000000000000002E-2</v>
      </c>
      <c r="AG22" s="275">
        <v>4.7E-2</v>
      </c>
      <c r="AH22" s="285">
        <f>(BK22-0.5*AG22)/0.5</f>
        <v>4.9999999999999975E-3</v>
      </c>
      <c r="AI22" s="49">
        <v>2.4E-2</v>
      </c>
      <c r="AJ22" s="125">
        <v>4.2000000000000003E-2</v>
      </c>
      <c r="AK22" s="275">
        <v>0.03</v>
      </c>
      <c r="AL22" s="49">
        <v>5.0999999999999997E-2</v>
      </c>
      <c r="AM22" s="49">
        <v>4.5999999999999999E-2</v>
      </c>
      <c r="AN22" s="288">
        <v>3.5000000000000003E-2</v>
      </c>
      <c r="AO22" s="288">
        <v>0.04</v>
      </c>
      <c r="AP22" s="288">
        <v>3.4000000000000002E-2</v>
      </c>
      <c r="AQ22" s="288"/>
      <c r="AR22" s="288"/>
      <c r="AS22" s="288"/>
      <c r="AT22" s="288"/>
      <c r="AU22" s="181"/>
      <c r="AV22" s="132"/>
      <c r="AW22" s="132"/>
      <c r="AX22" s="284">
        <f>VLOOKUP($A22,Model!$1:$1048576,MATCH(Quarterly!AX$3,Model!$3:$3,0),FALSE)</f>
        <v>8.9999999999999993E-3</v>
      </c>
      <c r="AY22" s="284">
        <f>VLOOKUP($A22,Model!$1:$1048576,MATCH(Quarterly!AY$3,Model!$3:$3,0),FALSE)</f>
        <v>1.0999999999999999E-2</v>
      </c>
      <c r="AZ22" s="284">
        <f>VLOOKUP($A22,Model!$1:$1048576,MATCH(Quarterly!AZ$3,Model!$3:$3,0),FALSE)</f>
        <v>3.2000000000000001E-2</v>
      </c>
      <c r="BA22" s="284">
        <f>VLOOKUP($A22,Model!$1:$1048576,MATCH(Quarterly!BA$3,Model!$3:$3,0),FALSE)</f>
        <v>2.1999999999999999E-2</v>
      </c>
      <c r="BB22" s="284">
        <f>VLOOKUP($A22,Model!$1:$1048576,MATCH(Quarterly!BB$3,Model!$3:$3,0),FALSE)</f>
        <v>0.02</v>
      </c>
      <c r="BC22" s="284">
        <f>VLOOKUP($A22,Model!$1:$1048576,MATCH(Quarterly!BC$3,Model!$3:$3,0),FALSE)</f>
        <v>0.1</v>
      </c>
      <c r="BD22" s="284">
        <f>VLOOKUP($A22,Model!$1:$1048576,MATCH(Quarterly!BD$3,Model!$3:$3,0),FALSE)</f>
        <v>7.1999999999999995E-2</v>
      </c>
      <c r="BE22" s="284">
        <f>VLOOKUP($A22,Model!$1:$1048576,MATCH(Quarterly!BE$3,Model!$3:$3,0),FALSE)</f>
        <v>-2.1999999999999999E-2</v>
      </c>
      <c r="BF22" s="284">
        <f>VLOOKUP($A22,Model!$1:$1048576,MATCH(Quarterly!BF$3,Model!$3:$3,0),FALSE)</f>
        <v>1.4999999999999999E-2</v>
      </c>
      <c r="BG22" s="284">
        <f>VLOOKUP($A22,Model!$1:$1048576,MATCH(Quarterly!BG$3,Model!$3:$3,0),FALSE)</f>
        <v>3.7999999999999999E-2</v>
      </c>
      <c r="BH22" s="284">
        <f>VLOOKUP($A22,Model!$1:$1048576,MATCH(Quarterly!BH$3,Model!$3:$3,0),FALSE)</f>
        <v>4.9000000000000002E-2</v>
      </c>
      <c r="BI22" s="284">
        <f>VLOOKUP($A22,Model!$1:$1048576,MATCH(Quarterly!BI$3,Model!$3:$3,0),FALSE)</f>
        <v>6.7000000000000004E-2</v>
      </c>
      <c r="BJ22" s="284">
        <f>VLOOKUP($A22,Model!$1:$1048576,MATCH(Quarterly!BJ$3,Model!$3:$3,0),FALSE)</f>
        <v>0.04</v>
      </c>
      <c r="BK22" s="284">
        <f>VLOOKUP($A22,Model!$1:$1048576,MATCH(Quarterly!BK$3,Model!$3:$3,0),FALSE)</f>
        <v>2.5999999999999999E-2</v>
      </c>
      <c r="BL22" s="284">
        <f>VLOOKUP($A22,Model!$1:$1048576,MATCH(Quarterly!BL$3,Model!$3:$3,0),FALSE)</f>
        <v>3.4000000000000002E-2</v>
      </c>
      <c r="BM22" s="284">
        <f>VLOOKUP($A22,Model!$1:$1048576,MATCH(Quarterly!BM$3,Model!$3:$3,0),FALSE)</f>
        <v>4.1000000000000002E-2</v>
      </c>
      <c r="BN22" s="304">
        <f>AVERAGE(AM22:AN22)</f>
        <v>4.0500000000000001E-2</v>
      </c>
      <c r="BO22" s="304">
        <f>AVERAGE(AO22:AP22)</f>
        <v>3.7000000000000005E-2</v>
      </c>
      <c r="BP22" s="163"/>
      <c r="BQ22" s="46"/>
      <c r="BR22" s="284">
        <f>VLOOKUP($A22,Model!$1:$1048576,MATCH(Quarterly!BR$3,Model!$3:$3,0),FALSE)</f>
        <v>1.0999999999999999E-2</v>
      </c>
      <c r="BS22" s="284">
        <f>VLOOKUP($A22,Model!$1:$1048576,MATCH(Quarterly!BS$3,Model!$3:$3,0),FALSE)</f>
        <v>2.7E-2</v>
      </c>
      <c r="BT22" s="284">
        <f>VLOOKUP($A22,Model!$1:$1048576,MATCH(Quarterly!BT$3,Model!$3:$3,0),FALSE)</f>
        <v>5.8999999999999997E-2</v>
      </c>
      <c r="BU22" s="284">
        <f>VLOOKUP($A22,Model!$1:$1048576,MATCH(Quarterly!BU$3,Model!$3:$3,0),FALSE)</f>
        <v>2.5000000000000001E-2</v>
      </c>
      <c r="BV22" s="284">
        <f>VLOOKUP($A22,Model!$1:$1048576,MATCH(Quarterly!BV$3,Model!$3:$3,0),FALSE)</f>
        <v>2.5999999999999999E-2</v>
      </c>
      <c r="BW22" s="284">
        <f>VLOOKUP($A22,Model!$1:$1048576,MATCH(Quarterly!BW$3,Model!$3:$3,0),FALSE)</f>
        <v>5.8000000000000003E-2</v>
      </c>
      <c r="BX22" s="284">
        <f>VLOOKUP($A22,Model!$1:$1048576,MATCH(Quarterly!BX$3,Model!$3:$3,0),FALSE)</f>
        <v>3.4000000000000002E-2</v>
      </c>
      <c r="BY22" s="284">
        <f>VLOOKUP($A22,Model!$1:$1048576,MATCH(Quarterly!BY$3,Model!$3:$3,0),FALSE)</f>
        <v>3.6999999999999998E-2</v>
      </c>
      <c r="BZ22" s="291">
        <f>AVERAGE(AM22:AP22)</f>
        <v>3.875E-2</v>
      </c>
    </row>
    <row r="23" spans="1:78">
      <c r="A23" s="36" t="s">
        <v>396</v>
      </c>
      <c r="B23" s="27" t="s">
        <v>310</v>
      </c>
      <c r="C23" s="125"/>
      <c r="D23" s="125"/>
      <c r="E23" s="125"/>
      <c r="F23" s="125"/>
      <c r="G23" s="125"/>
      <c r="H23" s="282">
        <v>1.2999999999999999E-2</v>
      </c>
      <c r="I23" s="282">
        <v>8.9999999999999993E-3</v>
      </c>
      <c r="J23" s="285">
        <f>(AY23-0.5*I23)/0.5</f>
        <v>2.6999999999999996E-2</v>
      </c>
      <c r="K23" s="281">
        <v>1.2999999999999999E-2</v>
      </c>
      <c r="L23" s="285">
        <f>(AZ23-0.5*K23)/0.5</f>
        <v>8.9999999999999993E-3</v>
      </c>
      <c r="M23" s="273">
        <v>0.01</v>
      </c>
      <c r="N23" s="285">
        <f>(BA23-0.5*M23)/0.5</f>
        <v>1.4E-2</v>
      </c>
      <c r="O23" s="275">
        <v>7.0000000000000001E-3</v>
      </c>
      <c r="P23" s="285">
        <f>(BB23-0.5*O23)/0.5</f>
        <v>2.3E-2</v>
      </c>
      <c r="Q23" s="275">
        <v>7.1999999999999995E-2</v>
      </c>
      <c r="R23" s="285">
        <f>(BC23-0.5*Q23)/0.5</f>
        <v>0.20600000000000002</v>
      </c>
      <c r="S23" s="275">
        <v>0.17799999999999999</v>
      </c>
      <c r="T23" s="285">
        <f>(BD23-0.5*S23)/0.5</f>
        <v>0.124</v>
      </c>
      <c r="U23" s="275">
        <v>2.1000000000000001E-2</v>
      </c>
      <c r="V23" s="285">
        <f>(BE23-0.5*U23)/0.5</f>
        <v>-7.9000000000000001E-2</v>
      </c>
      <c r="W23" s="275">
        <v>1.4E-2</v>
      </c>
      <c r="X23" s="285">
        <f>(BF23-0.5*W23)/0.5</f>
        <v>2.1999999999999999E-2</v>
      </c>
      <c r="Y23" s="275">
        <v>2.8000000000000001E-2</v>
      </c>
      <c r="Z23" s="49">
        <v>1.9E-2</v>
      </c>
      <c r="AA23" s="275">
        <v>-4.1000000000000002E-2</v>
      </c>
      <c r="AB23" s="285">
        <f>(BH23-0.5*AA23)/0.5</f>
        <v>-4.9999999999999975E-3</v>
      </c>
      <c r="AC23" s="275">
        <v>1.4999999999999999E-2</v>
      </c>
      <c r="AD23" s="285">
        <f>(BI23-0.5*AC23)/0.5</f>
        <v>1.0999999999999999E-2</v>
      </c>
      <c r="AE23" s="275">
        <v>1E-3</v>
      </c>
      <c r="AF23" s="285">
        <f>(BJ23-0.5*AE23)/0.5</f>
        <v>3.0000000000000001E-3</v>
      </c>
      <c r="AG23" s="275">
        <v>-3.1E-2</v>
      </c>
      <c r="AH23" s="285">
        <f>(BK23-0.5*AG23)/0.5</f>
        <v>-1.7000000000000001E-2</v>
      </c>
      <c r="AI23" s="49">
        <v>-4.3999999999999997E-2</v>
      </c>
      <c r="AJ23" s="285">
        <f>(BL23-0.5*AI23)/0.5</f>
        <v>1.7999999999999999E-2</v>
      </c>
      <c r="AK23" s="275">
        <v>-0.02</v>
      </c>
      <c r="AL23" s="49">
        <v>-6.0000000000000001E-3</v>
      </c>
      <c r="AM23" s="49">
        <v>-1.4E-2</v>
      </c>
      <c r="AN23" s="288">
        <v>-1.0999999999999999E-2</v>
      </c>
      <c r="AO23" s="288">
        <v>-0.01</v>
      </c>
      <c r="AP23" s="288">
        <v>-0.01</v>
      </c>
      <c r="AQ23" s="288"/>
      <c r="AR23" s="288"/>
      <c r="AS23" s="288"/>
      <c r="AT23" s="288"/>
      <c r="AU23" s="181"/>
      <c r="AV23" s="132"/>
      <c r="AW23" s="132"/>
      <c r="AX23" s="284">
        <f>VLOOKUP($A23,Model!$1:$1048576,MATCH(Quarterly!AX$3,Model!$3:$3,0),FALSE)</f>
        <v>1.6E-2</v>
      </c>
      <c r="AY23" s="284">
        <f>VLOOKUP($A23,Model!$1:$1048576,MATCH(Quarterly!AY$3,Model!$3:$3,0),FALSE)</f>
        <v>1.7999999999999999E-2</v>
      </c>
      <c r="AZ23" s="284">
        <f>VLOOKUP($A23,Model!$1:$1048576,MATCH(Quarterly!AZ$3,Model!$3:$3,0),FALSE)</f>
        <v>1.0999999999999999E-2</v>
      </c>
      <c r="BA23" s="284">
        <f>VLOOKUP($A23,Model!$1:$1048576,MATCH(Quarterly!BA$3,Model!$3:$3,0),FALSE)</f>
        <v>1.2E-2</v>
      </c>
      <c r="BB23" s="284">
        <f>VLOOKUP($A23,Model!$1:$1048576,MATCH(Quarterly!BB$3,Model!$3:$3,0),FALSE)</f>
        <v>1.4999999999999999E-2</v>
      </c>
      <c r="BC23" s="284">
        <f>VLOOKUP($A23,Model!$1:$1048576,MATCH(Quarterly!BC$3,Model!$3:$3,0),FALSE)</f>
        <v>0.13900000000000001</v>
      </c>
      <c r="BD23" s="284">
        <f>VLOOKUP($A23,Model!$1:$1048576,MATCH(Quarterly!BD$3,Model!$3:$3,0),FALSE)</f>
        <v>0.151</v>
      </c>
      <c r="BE23" s="284">
        <f>VLOOKUP($A23,Model!$1:$1048576,MATCH(Quarterly!BE$3,Model!$3:$3,0),FALSE)</f>
        <v>-2.9000000000000001E-2</v>
      </c>
      <c r="BF23" s="284">
        <f>VLOOKUP($A23,Model!$1:$1048576,MATCH(Quarterly!BF$3,Model!$3:$3,0),FALSE)</f>
        <v>1.7999999999999999E-2</v>
      </c>
      <c r="BG23" s="284">
        <f>VLOOKUP($A23,Model!$1:$1048576,MATCH(Quarterly!BG$3,Model!$3:$3,0),FALSE)</f>
        <v>2.4E-2</v>
      </c>
      <c r="BH23" s="284">
        <f>VLOOKUP($A23,Model!$1:$1048576,MATCH(Quarterly!BH$3,Model!$3:$3,0),FALSE)</f>
        <v>-2.3E-2</v>
      </c>
      <c r="BI23" s="284">
        <f>VLOOKUP($A23,Model!$1:$1048576,MATCH(Quarterly!BI$3,Model!$3:$3,0),FALSE)</f>
        <v>1.2999999999999999E-2</v>
      </c>
      <c r="BJ23" s="284">
        <f>VLOOKUP($A23,Model!$1:$1048576,MATCH(Quarterly!BJ$3,Model!$3:$3,0),FALSE)</f>
        <v>2E-3</v>
      </c>
      <c r="BK23" s="284">
        <f>VLOOKUP($A23,Model!$1:$1048576,MATCH(Quarterly!BK$3,Model!$3:$3,0),FALSE)</f>
        <v>-2.4E-2</v>
      </c>
      <c r="BL23" s="284">
        <f>VLOOKUP($A23,Model!$1:$1048576,MATCH(Quarterly!BL$3,Model!$3:$3,0),FALSE)</f>
        <v>-1.2999999999999999E-2</v>
      </c>
      <c r="BM23" s="284">
        <f>VLOOKUP($A23,Model!$1:$1048576,MATCH(Quarterly!BM$3,Model!$3:$3,0),FALSE)</f>
        <v>-1.2E-2</v>
      </c>
      <c r="BN23" s="304">
        <f>AVERAGE(AM23:AN23)</f>
        <v>-1.2500000000000001E-2</v>
      </c>
      <c r="BO23" s="304">
        <f>AVERAGE(AO23:AP23)</f>
        <v>-0.01</v>
      </c>
      <c r="BP23" s="163"/>
      <c r="BQ23" s="46"/>
      <c r="BR23" s="284">
        <f>VLOOKUP($A23,Model!$1:$1048576,MATCH(Quarterly!BR$3,Model!$3:$3,0),FALSE)</f>
        <v>1.7999999999999999E-2</v>
      </c>
      <c r="BS23" s="284">
        <f>VLOOKUP($A23,Model!$1:$1048576,MATCH(Quarterly!BS$3,Model!$3:$3,0),FALSE)</f>
        <v>2.7E-2</v>
      </c>
      <c r="BT23" s="284">
        <f>VLOOKUP($A23,Model!$1:$1048576,MATCH(Quarterly!BT$3,Model!$3:$3,0),FALSE)</f>
        <v>7.2999999999999995E-2</v>
      </c>
      <c r="BU23" s="284">
        <f>VLOOKUP($A23,Model!$1:$1048576,MATCH(Quarterly!BU$3,Model!$3:$3,0),FALSE)</f>
        <v>6.3E-2</v>
      </c>
      <c r="BV23" s="284">
        <f>VLOOKUP($A23,Model!$1:$1048576,MATCH(Quarterly!BV$3,Model!$3:$3,0),FALSE)</f>
        <v>2.1000000000000001E-2</v>
      </c>
      <c r="BW23" s="284">
        <f>VLOOKUP($A23,Model!$1:$1048576,MATCH(Quarterly!BW$3,Model!$3:$3,0),FALSE)</f>
        <v>7.0000000000000001E-3</v>
      </c>
      <c r="BX23" s="284">
        <f>VLOOKUP($A23,Model!$1:$1048576,MATCH(Quarterly!BX$3,Model!$3:$3,0),FALSE)</f>
        <v>-0.01</v>
      </c>
      <c r="BY23" s="284">
        <f>VLOOKUP($A23,Model!$1:$1048576,MATCH(Quarterly!BY$3,Model!$3:$3,0),FALSE)</f>
        <v>-1.2999999999999999E-2</v>
      </c>
      <c r="BZ23" s="291">
        <f>AVERAGE(AM23:AP23)</f>
        <v>-1.1250000000000001E-2</v>
      </c>
    </row>
    <row r="24" spans="1:78">
      <c r="B24" s="27"/>
      <c r="C24" s="46"/>
      <c r="D24" s="46"/>
      <c r="E24" s="46"/>
      <c r="F24" s="46"/>
      <c r="G24" s="46"/>
      <c r="H24" s="46"/>
      <c r="I24" s="46"/>
      <c r="J24" s="46"/>
      <c r="K24" s="46"/>
      <c r="L24" s="46"/>
      <c r="M24" s="46"/>
      <c r="N24" s="46"/>
      <c r="O24" s="46"/>
      <c r="P24" s="46"/>
      <c r="Q24" s="46"/>
      <c r="R24" s="46"/>
      <c r="S24" s="120"/>
      <c r="T24" s="120"/>
      <c r="U24" s="120"/>
      <c r="V24" s="120"/>
      <c r="W24" s="119"/>
      <c r="X24" s="119"/>
      <c r="Y24" s="119"/>
      <c r="Z24" s="119"/>
      <c r="AA24" s="119"/>
      <c r="AB24" s="119"/>
      <c r="AC24" s="119"/>
      <c r="AD24" s="119"/>
      <c r="AE24" s="120"/>
      <c r="AF24" s="120"/>
      <c r="AG24" s="120"/>
      <c r="AH24" s="49"/>
      <c r="AI24" s="120"/>
      <c r="AJ24" s="120"/>
      <c r="AK24" s="120"/>
      <c r="AL24" s="49"/>
      <c r="AM24" s="49"/>
      <c r="AN24" s="288"/>
      <c r="AO24" s="289"/>
      <c r="AP24" s="289"/>
      <c r="AQ24" s="289"/>
      <c r="AR24" s="289"/>
      <c r="AS24" s="289"/>
      <c r="AT24" s="289"/>
      <c r="AU24" s="181"/>
      <c r="AV24" s="122"/>
      <c r="AW24" s="122"/>
      <c r="AX24" s="122"/>
      <c r="AY24" s="122"/>
      <c r="AZ24" s="122"/>
      <c r="BA24" s="122"/>
      <c r="BB24" s="122"/>
      <c r="BC24" s="122"/>
      <c r="BD24" s="122"/>
      <c r="BE24" s="122"/>
      <c r="BF24" s="122"/>
      <c r="BG24" s="122"/>
      <c r="BH24" s="122"/>
      <c r="BI24" s="122"/>
      <c r="BJ24" s="122"/>
      <c r="BK24" s="122"/>
      <c r="BL24" s="122"/>
      <c r="BM24" s="122"/>
      <c r="BN24" s="291"/>
      <c r="BO24" s="291"/>
      <c r="BP24" s="163"/>
      <c r="BQ24" s="46"/>
      <c r="BR24" s="46"/>
      <c r="BS24" s="46"/>
      <c r="BT24" s="46"/>
      <c r="BU24" s="46"/>
      <c r="BV24" s="46"/>
      <c r="BW24" s="46"/>
      <c r="BX24" s="46"/>
      <c r="BY24" s="46"/>
      <c r="BZ24" s="163"/>
    </row>
    <row r="25" spans="1:78">
      <c r="B25" s="35" t="s">
        <v>445</v>
      </c>
      <c r="C25" s="46"/>
      <c r="D25" s="46"/>
      <c r="E25" s="46"/>
      <c r="F25" s="46"/>
      <c r="G25" s="46"/>
      <c r="H25" s="46"/>
      <c r="I25" s="46"/>
      <c r="J25" s="46"/>
      <c r="K25" s="46"/>
      <c r="L25" s="46"/>
      <c r="M25" s="46"/>
      <c r="N25" s="46"/>
      <c r="O25" s="46"/>
      <c r="P25" s="46"/>
      <c r="Q25" s="46"/>
      <c r="R25" s="46"/>
      <c r="S25" s="46"/>
      <c r="T25" s="46"/>
      <c r="U25" s="46"/>
      <c r="V25" s="46"/>
      <c r="W25" s="46"/>
      <c r="X25" s="109"/>
      <c r="Y25" s="109"/>
      <c r="Z25" s="109"/>
      <c r="AA25" s="109"/>
      <c r="AB25" s="109"/>
      <c r="AC25" s="109"/>
      <c r="AD25" s="109"/>
      <c r="AE25" s="109"/>
      <c r="AF25" s="109"/>
      <c r="AG25" s="109"/>
      <c r="AH25" s="109"/>
      <c r="AI25" s="109"/>
      <c r="AJ25" s="109"/>
      <c r="AK25" s="109"/>
      <c r="AL25" s="109"/>
      <c r="AM25" s="109"/>
      <c r="AN25" s="181"/>
      <c r="AO25" s="181"/>
      <c r="AP25" s="181"/>
      <c r="AQ25" s="181"/>
      <c r="AR25" s="181"/>
      <c r="AS25" s="181"/>
      <c r="AT25" s="181"/>
      <c r="AU25" s="181"/>
      <c r="AV25" s="46"/>
      <c r="AW25" s="46"/>
      <c r="AX25" s="46"/>
      <c r="AY25" s="46"/>
      <c r="AZ25" s="46"/>
      <c r="BA25" s="46"/>
      <c r="BB25" s="46"/>
      <c r="BC25" s="46"/>
      <c r="BD25" s="46"/>
      <c r="BE25" s="46"/>
      <c r="BF25" s="46"/>
      <c r="BG25" s="46"/>
      <c r="BH25" s="46"/>
      <c r="BI25" s="46"/>
      <c r="BJ25" s="46"/>
      <c r="BK25" s="46"/>
      <c r="BL25" s="46"/>
      <c r="BM25" s="46"/>
      <c r="BN25" s="163"/>
      <c r="BO25" s="163"/>
      <c r="BP25" s="163"/>
      <c r="BQ25" s="46"/>
      <c r="BR25" s="46"/>
      <c r="BS25" s="46"/>
      <c r="BT25" s="46"/>
      <c r="BU25" s="46"/>
      <c r="BV25" s="46"/>
      <c r="BW25" s="46"/>
      <c r="BX25" s="46"/>
      <c r="BY25" s="46"/>
      <c r="BZ25" s="163"/>
    </row>
    <row r="26" spans="1:78">
      <c r="B26" s="27" t="s">
        <v>308</v>
      </c>
      <c r="C26" s="122"/>
      <c r="D26" s="122"/>
      <c r="E26" s="122"/>
      <c r="F26" s="122"/>
      <c r="G26" s="122"/>
      <c r="H26" s="122"/>
      <c r="I26" s="122"/>
      <c r="J26" s="122"/>
      <c r="K26" s="122">
        <f t="shared" ref="K26:AM26" si="81">K16-K22</f>
        <v>-3.0652023760187677E-3</v>
      </c>
      <c r="L26" s="122">
        <f t="shared" si="81"/>
        <v>8.8440743422640924E-3</v>
      </c>
      <c r="M26" s="122">
        <f t="shared" si="81"/>
        <v>-6.0388707618101722E-3</v>
      </c>
      <c r="N26" s="122">
        <f t="shared" si="81"/>
        <v>2.1219877467665085E-2</v>
      </c>
      <c r="O26" s="122">
        <f t="shared" si="81"/>
        <v>1.4686791457948822E-2</v>
      </c>
      <c r="P26" s="122">
        <f t="shared" si="81"/>
        <v>1.0722451871973439E-2</v>
      </c>
      <c r="Q26" s="122">
        <f t="shared" si="81"/>
        <v>6.9977876106195325E-3</v>
      </c>
      <c r="R26" s="122">
        <f t="shared" si="81"/>
        <v>7.5581763078140241E-3</v>
      </c>
      <c r="S26" s="122">
        <f t="shared" si="81"/>
        <v>1.5074626865671792E-3</v>
      </c>
      <c r="T26" s="122">
        <f t="shared" si="81"/>
        <v>4.7551755175518351E-3</v>
      </c>
      <c r="U26" s="122">
        <f t="shared" si="81"/>
        <v>2.3295261239368148E-2</v>
      </c>
      <c r="V26" s="122">
        <f t="shared" si="81"/>
        <v>-2.2101591187270491E-2</v>
      </c>
      <c r="W26" s="122">
        <f t="shared" si="81"/>
        <v>4.4310018903590664E-3</v>
      </c>
      <c r="X26" s="122">
        <f t="shared" si="81"/>
        <v>-1.0865211810012751E-2</v>
      </c>
      <c r="Y26" s="122">
        <f t="shared" si="81"/>
        <v>-2.1647245091830213E-2</v>
      </c>
      <c r="Z26" s="122">
        <f t="shared" si="81"/>
        <v>1.3851611322142E-2</v>
      </c>
      <c r="AA26" s="122">
        <f t="shared" si="81"/>
        <v>-3.4825986078886699E-3</v>
      </c>
      <c r="AB26" s="122">
        <f t="shared" si="81"/>
        <v>-3.5644955300127429E-3</v>
      </c>
      <c r="AC26" s="122">
        <f t="shared" si="81"/>
        <v>9.3276892430277925E-3</v>
      </c>
      <c r="AD26" s="122">
        <f t="shared" si="81"/>
        <v>1.0757462686567132E-2</v>
      </c>
      <c r="AE26" s="122">
        <f t="shared" si="81"/>
        <v>1.3150153916315216E-3</v>
      </c>
      <c r="AF26" s="122">
        <f t="shared" si="81"/>
        <v>1.6168550465992554E-2</v>
      </c>
      <c r="AG26" s="122">
        <f t="shared" si="81"/>
        <v>3.5272916908101609E-3</v>
      </c>
      <c r="AH26" s="122">
        <f t="shared" si="81"/>
        <v>9.6403887688984891E-2</v>
      </c>
      <c r="AI26" s="122">
        <f t="shared" si="81"/>
        <v>1.0944480731547988E-2</v>
      </c>
      <c r="AJ26" s="122">
        <f t="shared" si="81"/>
        <v>8.0377643504532595E-3</v>
      </c>
      <c r="AK26" s="122">
        <f t="shared" si="81"/>
        <v>7.0656370656370371E-3</v>
      </c>
      <c r="AL26" s="122">
        <f t="shared" si="81"/>
        <v>-7.4727816452593354E-2</v>
      </c>
      <c r="AM26" s="122">
        <f t="shared" si="81"/>
        <v>2.1750289260545203E-3</v>
      </c>
      <c r="AN26" s="291">
        <f>AN16-AN22</f>
        <v>2.6360583760784151E-3</v>
      </c>
      <c r="AO26" s="288">
        <v>2E-3</v>
      </c>
      <c r="AP26" s="291">
        <f>AP16-AP22</f>
        <v>8.4962463613864891E-3</v>
      </c>
      <c r="AQ26" s="291"/>
      <c r="AR26" s="291"/>
      <c r="AS26" s="291"/>
      <c r="AT26" s="291"/>
      <c r="AU26" s="181"/>
      <c r="AV26" s="132"/>
      <c r="AW26" s="132"/>
      <c r="AX26" s="122">
        <f>AX16-AX22</f>
        <v>-8.9999999999999993E-3</v>
      </c>
      <c r="AY26" s="122">
        <f t="shared" ref="AY26:BM26" si="82">AY16-AY22</f>
        <v>-1.0999999999999999E-2</v>
      </c>
      <c r="AZ26" s="122">
        <f t="shared" si="82"/>
        <v>3.0402576489532429E-3</v>
      </c>
      <c r="BA26" s="122">
        <f t="shared" si="82"/>
        <v>7.665138252049418E-3</v>
      </c>
      <c r="BB26" s="122">
        <f t="shared" si="82"/>
        <v>1.2609372082892607E-2</v>
      </c>
      <c r="BC26" s="122">
        <f t="shared" si="82"/>
        <v>6.5380203764927314E-3</v>
      </c>
      <c r="BD26" s="122">
        <f t="shared" si="82"/>
        <v>1.4647140360393857E-3</v>
      </c>
      <c r="BE26" s="122">
        <f t="shared" si="82"/>
        <v>1.0243902439024191E-3</v>
      </c>
      <c r="BF26" s="122">
        <f t="shared" si="82"/>
        <v>-3.5470469346508965E-3</v>
      </c>
      <c r="BG26" s="122">
        <f t="shared" si="82"/>
        <v>-3.6203288490283744E-3</v>
      </c>
      <c r="BH26" s="122">
        <f t="shared" si="82"/>
        <v>-2.3192717584368944E-3</v>
      </c>
      <c r="BI26" s="122">
        <f t="shared" si="82"/>
        <v>1.0131502890173338E-2</v>
      </c>
      <c r="BJ26" s="122">
        <f t="shared" si="82"/>
        <v>8.84127910059921E-3</v>
      </c>
      <c r="BK26" s="122">
        <f t="shared" si="82"/>
        <v>5.0862876628095438E-2</v>
      </c>
      <c r="BL26" s="122">
        <f t="shared" si="82"/>
        <v>9.0276064313883631E-3</v>
      </c>
      <c r="BM26" s="122">
        <f t="shared" si="82"/>
        <v>-3.6120431893687709E-2</v>
      </c>
      <c r="BN26" s="291">
        <f t="shared" ref="BN26:BO26" si="83">BN16-BN22</f>
        <v>1.993006993007175E-3</v>
      </c>
      <c r="BO26" s="291">
        <f t="shared" si="83"/>
        <v>5.2552497685879607E-3</v>
      </c>
      <c r="BP26" s="163"/>
      <c r="BQ26" s="46"/>
      <c r="BR26" s="122">
        <f t="shared" ref="BR26:BY26" si="84">BR16-BR22</f>
        <v>-5.4545271224036747E-3</v>
      </c>
      <c r="BS26" s="122">
        <f t="shared" si="84"/>
        <v>5.4542932584646063E-3</v>
      </c>
      <c r="BT26" s="122">
        <f t="shared" si="84"/>
        <v>9.0802848818387072E-3</v>
      </c>
      <c r="BU26" s="122">
        <f t="shared" si="84"/>
        <v>1.5207771345437035E-3</v>
      </c>
      <c r="BV26" s="122">
        <f t="shared" si="84"/>
        <v>-3.6780441714894009E-3</v>
      </c>
      <c r="BW26" s="122">
        <f t="shared" si="84"/>
        <v>3.2869685767098963E-3</v>
      </c>
      <c r="BX26" s="122">
        <f t="shared" si="84"/>
        <v>2.8482991345996772E-2</v>
      </c>
      <c r="BY26" s="122">
        <f t="shared" si="84"/>
        <v>-1.2795297372060942E-2</v>
      </c>
      <c r="BZ26" s="291">
        <f t="shared" ref="BZ26" si="85">BZ16-BZ22</f>
        <v>3.627906976744262E-3</v>
      </c>
    </row>
    <row r="27" spans="1:78">
      <c r="B27" s="27" t="s">
        <v>310</v>
      </c>
      <c r="C27" s="122"/>
      <c r="D27" s="122"/>
      <c r="E27" s="122"/>
      <c r="F27" s="122"/>
      <c r="G27" s="122"/>
      <c r="H27" s="122"/>
      <c r="I27" s="122"/>
      <c r="J27" s="122"/>
      <c r="K27" s="122">
        <f t="shared" ref="K27:AM27" si="86">K17-K23</f>
        <v>-5.1408779149519898E-2</v>
      </c>
      <c r="L27" s="122">
        <f t="shared" si="86"/>
        <v>-6.545161290322575E-2</v>
      </c>
      <c r="M27" s="122">
        <f t="shared" si="86"/>
        <v>-2.1347517730496472E-2</v>
      </c>
      <c r="N27" s="122">
        <f t="shared" si="86"/>
        <v>-0.19305405405405407</v>
      </c>
      <c r="O27" s="122">
        <f t="shared" si="86"/>
        <v>2.8663338088445019E-2</v>
      </c>
      <c r="P27" s="122">
        <f t="shared" si="86"/>
        <v>7.9829059829058732E-3</v>
      </c>
      <c r="Q27" s="122">
        <f t="shared" si="86"/>
        <v>-1.0307030129124747E-2</v>
      </c>
      <c r="R27" s="122">
        <f t="shared" si="86"/>
        <v>-2.9821673525377013E-3</v>
      </c>
      <c r="S27" s="122">
        <f t="shared" si="86"/>
        <v>-4.4462809917354407E-3</v>
      </c>
      <c r="T27" s="122">
        <f t="shared" si="86"/>
        <v>9.6787564766839251E-3</v>
      </c>
      <c r="U27" s="122">
        <f t="shared" si="86"/>
        <v>1.0081081081081095E-2</v>
      </c>
      <c r="V27" s="122">
        <f t="shared" si="86"/>
        <v>9.4446978335233495E-3</v>
      </c>
      <c r="W27" s="122">
        <f t="shared" si="86"/>
        <v>1.1821596244131495E-2</v>
      </c>
      <c r="X27" s="122">
        <f t="shared" si="86"/>
        <v>6.3363802559415414E-3</v>
      </c>
      <c r="Y27" s="122">
        <f t="shared" si="86"/>
        <v>-4.4089121887287176E-3</v>
      </c>
      <c r="Z27" s="122">
        <f t="shared" si="86"/>
        <v>1.8333333333332598E-3</v>
      </c>
      <c r="AA27" s="122">
        <f t="shared" si="86"/>
        <v>-2.4782608695651867E-3</v>
      </c>
      <c r="AB27" s="122">
        <f t="shared" si="86"/>
        <v>-3.0000000000000096E-3</v>
      </c>
      <c r="AC27" s="122">
        <f t="shared" si="86"/>
        <v>1.0608194622279035E-2</v>
      </c>
      <c r="AD27" s="122">
        <f t="shared" si="86"/>
        <v>1.7811524609843931E-2</v>
      </c>
      <c r="AE27" s="122">
        <f t="shared" si="86"/>
        <v>1.6942583732057481E-2</v>
      </c>
      <c r="AF27" s="122">
        <f t="shared" si="86"/>
        <v>1.5817204301075253E-2</v>
      </c>
      <c r="AG27" s="122">
        <f t="shared" si="86"/>
        <v>1.2273408239700329E-2</v>
      </c>
      <c r="AH27" s="122">
        <f t="shared" si="86"/>
        <v>8.8178529754959198E-2</v>
      </c>
      <c r="AI27" s="122">
        <f t="shared" si="86"/>
        <v>4.3999999999999997E-2</v>
      </c>
      <c r="AJ27" s="122">
        <f t="shared" si="86"/>
        <v>-3.9278803869833116E-3</v>
      </c>
      <c r="AK27" s="122">
        <f t="shared" si="86"/>
        <v>5.4351145038167945E-2</v>
      </c>
      <c r="AL27" s="122">
        <f t="shared" si="86"/>
        <v>-6.8074074074074065E-2</v>
      </c>
      <c r="AM27" s="122">
        <f t="shared" si="86"/>
        <v>3.4242068155111317E-3</v>
      </c>
      <c r="AN27" s="291">
        <f>AN17-AN23</f>
        <v>2.2940156114483641E-3</v>
      </c>
      <c r="AO27" s="288">
        <v>2E-3</v>
      </c>
      <c r="AP27" s="291">
        <f>AP17-AP23</f>
        <v>4.4060680183895997E-3</v>
      </c>
      <c r="AQ27" s="291"/>
      <c r="AR27" s="291"/>
      <c r="AS27" s="291"/>
      <c r="AT27" s="291"/>
      <c r="AU27" s="181"/>
      <c r="AV27" s="132"/>
      <c r="AW27" s="132"/>
      <c r="AX27" s="122">
        <f>AX17-AX23</f>
        <v>-1.6E-2</v>
      </c>
      <c r="AY27" s="122">
        <f t="shared" ref="AY27:BM27" si="87">AY17-AY23</f>
        <v>-1.7999999999999999E-2</v>
      </c>
      <c r="AZ27" s="122">
        <f t="shared" si="87"/>
        <v>-1.0999999999999999E-2</v>
      </c>
      <c r="BA27" s="122">
        <f t="shared" si="87"/>
        <v>-1.2E-2</v>
      </c>
      <c r="BB27" s="122">
        <f t="shared" si="87"/>
        <v>-1.4999999999999999E-2</v>
      </c>
      <c r="BC27" s="122">
        <f t="shared" si="87"/>
        <v>-0.13900000000000001</v>
      </c>
      <c r="BD27" s="122">
        <f t="shared" si="87"/>
        <v>-0.151</v>
      </c>
      <c r="BE27" s="122">
        <f t="shared" si="87"/>
        <v>5.4996907854051071E-3</v>
      </c>
      <c r="BF27" s="122">
        <f t="shared" si="87"/>
        <v>9.2353545734840288E-3</v>
      </c>
      <c r="BG27" s="122">
        <f t="shared" si="87"/>
        <v>-1.8340721975933297E-3</v>
      </c>
      <c r="BH27" s="122">
        <f t="shared" si="87"/>
        <v>-5.1175587793896721E-4</v>
      </c>
      <c r="BI27" s="122">
        <f t="shared" si="87"/>
        <v>1.4261462205700138E-2</v>
      </c>
      <c r="BJ27" s="122">
        <f t="shared" si="87"/>
        <v>1.6442622950819663E-2</v>
      </c>
      <c r="BK27" s="122">
        <f t="shared" si="87"/>
        <v>5.1744270205066313E-2</v>
      </c>
      <c r="BL27" s="122">
        <f t="shared" si="87"/>
        <v>2.1048289738430634E-2</v>
      </c>
      <c r="BM27" s="122">
        <f t="shared" si="87"/>
        <v>-1.2061032863849751E-2</v>
      </c>
      <c r="BN27" s="291">
        <f t="shared" ref="BN27:BO27" si="88">BN17-BN23</f>
        <v>3.0000000000000478E-3</v>
      </c>
      <c r="BO27" s="291">
        <f t="shared" si="88"/>
        <v>3.229800249928574E-3</v>
      </c>
      <c r="BP27" s="163"/>
      <c r="BQ27" s="46"/>
      <c r="BR27" s="122">
        <f t="shared" ref="BR27:BY27" si="89">BR17-BR23</f>
        <v>1.0234564070741543E-2</v>
      </c>
      <c r="BS27" s="122">
        <f t="shared" si="89"/>
        <v>-0.1027392878696439</v>
      </c>
      <c r="BT27" s="122">
        <f t="shared" si="89"/>
        <v>6.986940907606834E-3</v>
      </c>
      <c r="BU27" s="122">
        <f t="shared" si="89"/>
        <v>2.5985489721886412E-3</v>
      </c>
      <c r="BV27" s="122">
        <f t="shared" si="89"/>
        <v>3.9645390070922777E-3</v>
      </c>
      <c r="BW27" s="122">
        <f t="shared" si="89"/>
        <v>-7.8303349017436671E-3</v>
      </c>
      <c r="BX27" s="122">
        <f t="shared" si="89"/>
        <v>3.2714681440443309E-2</v>
      </c>
      <c r="BY27" s="122">
        <f t="shared" si="89"/>
        <v>6.2286023835319438E-3</v>
      </c>
      <c r="BZ27" s="291">
        <f t="shared" ref="BZ27" si="90">BZ17-BZ23</f>
        <v>2.9879759519037177E-3</v>
      </c>
    </row>
    <row r="28" spans="1:78" ht="9" customHeight="1">
      <c r="B28" s="83"/>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109"/>
      <c r="AJ28" s="109"/>
      <c r="AK28" s="109"/>
      <c r="AL28" s="109"/>
      <c r="AM28" s="109"/>
      <c r="AN28" s="181"/>
      <c r="AO28" s="163"/>
      <c r="AP28" s="163"/>
      <c r="AQ28" s="163"/>
      <c r="AR28" s="163"/>
      <c r="AS28" s="163"/>
      <c r="AT28" s="163"/>
      <c r="AU28" s="181"/>
      <c r="AV28" s="46"/>
      <c r="AW28" s="46"/>
      <c r="AX28" s="46"/>
      <c r="AY28" s="46"/>
      <c r="AZ28" s="46"/>
      <c r="BA28" s="46"/>
      <c r="BB28" s="46"/>
      <c r="BC28" s="46"/>
      <c r="BD28" s="46"/>
      <c r="BE28" s="46"/>
      <c r="BF28" s="46"/>
      <c r="BG28" s="46"/>
      <c r="BH28" s="46"/>
      <c r="BI28" s="46"/>
      <c r="BJ28" s="46"/>
      <c r="BK28" s="46"/>
      <c r="BL28" s="46"/>
      <c r="BM28" s="46"/>
      <c r="BN28" s="163"/>
      <c r="BO28" s="163"/>
      <c r="BP28" s="163"/>
      <c r="BQ28" s="46"/>
      <c r="BR28" s="46"/>
      <c r="BS28" s="46"/>
      <c r="BT28" s="46"/>
      <c r="BU28" s="46"/>
      <c r="BV28" s="46"/>
      <c r="BW28" s="46"/>
      <c r="BX28" s="46"/>
      <c r="BY28" s="46"/>
    </row>
    <row r="29" spans="1:78">
      <c r="B29" s="2" t="s">
        <v>395</v>
      </c>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c r="AI29" s="274"/>
      <c r="AJ29" s="274"/>
      <c r="AK29" s="274"/>
      <c r="AL29" s="274"/>
      <c r="AM29" s="274"/>
      <c r="AN29" s="274"/>
      <c r="AO29" s="117"/>
      <c r="AP29" s="117"/>
      <c r="AQ29" s="117"/>
      <c r="AR29" s="117"/>
      <c r="AS29" s="117"/>
      <c r="AT29" s="117"/>
      <c r="AU29" s="181"/>
      <c r="AV29" s="7"/>
      <c r="AW29" s="7"/>
      <c r="AX29" s="7"/>
      <c r="AY29" s="7"/>
      <c r="AZ29" s="7"/>
      <c r="BA29" s="7"/>
      <c r="BB29" s="7"/>
      <c r="BC29" s="7"/>
      <c r="BD29" s="7"/>
      <c r="BE29" s="7"/>
      <c r="BF29" s="7"/>
      <c r="BG29" s="7"/>
      <c r="BH29" s="7"/>
      <c r="BI29" s="7"/>
      <c r="BJ29" s="7"/>
      <c r="BK29" s="7"/>
      <c r="BL29" s="7"/>
      <c r="BM29" s="7"/>
      <c r="BN29" s="7"/>
      <c r="BO29" s="7"/>
      <c r="BP29" s="163"/>
      <c r="BQ29" s="7"/>
      <c r="BR29" s="7"/>
      <c r="BS29" s="7"/>
      <c r="BT29" s="7"/>
      <c r="BU29" s="7"/>
      <c r="BV29" s="7"/>
      <c r="BW29" s="7"/>
      <c r="BX29" s="7"/>
      <c r="BY29" s="7"/>
      <c r="BZ29" s="7"/>
    </row>
    <row r="30" spans="1:78">
      <c r="B30" s="82" t="s">
        <v>197</v>
      </c>
      <c r="C30" s="46"/>
      <c r="D30" s="46"/>
      <c r="E30" s="46"/>
      <c r="F30" s="46"/>
      <c r="G30" s="46"/>
      <c r="H30" s="46"/>
      <c r="I30" s="46"/>
      <c r="J30" s="46"/>
      <c r="K30" s="46"/>
      <c r="L30" s="46"/>
      <c r="M30" s="46"/>
      <c r="N30" s="46"/>
      <c r="O30" s="46"/>
      <c r="P30" s="46"/>
      <c r="Q30" s="46"/>
      <c r="R30" s="46"/>
      <c r="S30" s="46"/>
      <c r="T30" s="46"/>
      <c r="U30" s="46"/>
      <c r="V30" s="46"/>
      <c r="W30" s="46"/>
      <c r="X30" s="109"/>
      <c r="Y30" s="46"/>
      <c r="Z30" s="46"/>
      <c r="AA30" s="46"/>
      <c r="AB30" s="46"/>
      <c r="AC30" s="46"/>
      <c r="AD30" s="46"/>
      <c r="AE30" s="46"/>
      <c r="AF30" s="46"/>
      <c r="AG30" s="46"/>
      <c r="AH30" s="46"/>
      <c r="AI30" s="109"/>
      <c r="AJ30" s="109"/>
      <c r="AK30" s="109"/>
      <c r="AL30" s="109"/>
      <c r="AM30" s="109"/>
      <c r="AN30" s="181"/>
      <c r="AO30" s="181"/>
      <c r="AP30" s="163"/>
      <c r="AQ30" s="163"/>
      <c r="AR30" s="163"/>
      <c r="AS30" s="163"/>
      <c r="AT30" s="163"/>
      <c r="AU30" s="181"/>
      <c r="AV30" s="46"/>
      <c r="AW30" s="46"/>
      <c r="AX30" s="46"/>
      <c r="AY30" s="46"/>
      <c r="AZ30" s="46"/>
      <c r="BA30" s="46"/>
      <c r="BB30" s="46"/>
      <c r="BC30" s="46"/>
      <c r="BD30" s="46"/>
      <c r="BE30" s="46"/>
      <c r="BF30" s="46"/>
      <c r="BG30" s="46"/>
      <c r="BH30" s="46"/>
      <c r="BI30" s="46"/>
      <c r="BJ30" s="46"/>
      <c r="BK30" s="46"/>
      <c r="BL30" s="46"/>
      <c r="BM30" s="46"/>
      <c r="BN30" s="163"/>
      <c r="BO30" s="163"/>
      <c r="BP30" s="163"/>
      <c r="BQ30" s="46"/>
      <c r="BR30" s="46"/>
      <c r="BS30" s="46"/>
      <c r="BT30" s="46"/>
      <c r="BU30" s="46"/>
      <c r="BV30" s="46"/>
      <c r="BW30" s="46"/>
      <c r="BX30" s="46"/>
      <c r="BY30" s="46"/>
      <c r="BZ30" s="163"/>
    </row>
    <row r="31" spans="1:78">
      <c r="B31" s="267" t="s">
        <v>196</v>
      </c>
      <c r="C31" s="46"/>
      <c r="D31" s="46"/>
      <c r="E31" s="46"/>
      <c r="F31" s="46"/>
      <c r="G31" s="46"/>
      <c r="H31" s="46"/>
      <c r="I31" s="46"/>
      <c r="J31" s="46"/>
      <c r="K31" s="48">
        <f t="shared" ref="K31:L31" si="91">K12</f>
        <v>4.7934797623981229E-2</v>
      </c>
      <c r="L31" s="48">
        <f t="shared" si="91"/>
        <v>2.1844074342264097E-2</v>
      </c>
      <c r="M31" s="48">
        <f t="shared" ref="M31:R31" si="92">M12</f>
        <v>3.2000000000000001E-2</v>
      </c>
      <c r="N31" s="48">
        <f t="shared" si="92"/>
        <v>3.3219877467665082E-2</v>
      </c>
      <c r="O31" s="48">
        <f t="shared" si="92"/>
        <v>1.6E-2</v>
      </c>
      <c r="P31" s="48">
        <f t="shared" si="92"/>
        <v>4.9722451871973439E-2</v>
      </c>
      <c r="Q31" s="48">
        <f t="shared" si="92"/>
        <v>0.13800000000000001</v>
      </c>
      <c r="R31" s="48">
        <f t="shared" si="92"/>
        <v>7.655817630781403E-2</v>
      </c>
      <c r="S31" s="48">
        <f t="shared" ref="S31:AL31" si="93">S12</f>
        <v>9.8000000000000004E-2</v>
      </c>
      <c r="T31" s="48">
        <f t="shared" si="93"/>
        <v>5.1755175517551821E-2</v>
      </c>
      <c r="U31" s="48">
        <f t="shared" si="93"/>
        <v>-6.0999999999999999E-2</v>
      </c>
      <c r="V31" s="48">
        <f t="shared" si="93"/>
        <v>-1.1015911872704898E-3</v>
      </c>
      <c r="W31" s="48">
        <f t="shared" si="93"/>
        <v>1.7999999999999999E-2</v>
      </c>
      <c r="X31" s="48">
        <f t="shared" si="93"/>
        <v>5.1347881899872494E-3</v>
      </c>
      <c r="Y31" s="48">
        <f t="shared" si="93"/>
        <v>4.2000000000000003E-2</v>
      </c>
      <c r="Z31" s="48">
        <f t="shared" si="93"/>
        <v>0.03</v>
      </c>
      <c r="AA31" s="48">
        <f t="shared" si="93"/>
        <v>1.7000000000000001E-2</v>
      </c>
      <c r="AB31" s="48">
        <f t="shared" si="93"/>
        <v>7.3999999999999996E-2</v>
      </c>
      <c r="AC31" s="48">
        <f t="shared" si="93"/>
        <v>7.3999999999999996E-2</v>
      </c>
      <c r="AD31" s="48">
        <f t="shared" si="93"/>
        <v>7.9757462686567138E-2</v>
      </c>
      <c r="AE31" s="48">
        <f t="shared" si="93"/>
        <v>4.7E-2</v>
      </c>
      <c r="AF31" s="48">
        <f t="shared" si="93"/>
        <v>5.0168550465992556E-2</v>
      </c>
      <c r="AG31" s="48">
        <f t="shared" si="93"/>
        <v>5.0999999999999997E-2</v>
      </c>
      <c r="AH31" s="48">
        <f t="shared" si="93"/>
        <v>2.5999999999999999E-2</v>
      </c>
      <c r="AI31" s="48">
        <f t="shared" si="93"/>
        <v>3.5000000000000003E-2</v>
      </c>
      <c r="AJ31" s="48">
        <f t="shared" si="93"/>
        <v>5.0037764350453262E-2</v>
      </c>
      <c r="AK31" s="48">
        <f t="shared" si="93"/>
        <v>3.6999999999999998E-2</v>
      </c>
      <c r="AL31" s="48">
        <f t="shared" si="93"/>
        <v>4.8000000000000001E-2</v>
      </c>
      <c r="AM31" s="48">
        <f>AM12</f>
        <v>4.8000000000000001E-2</v>
      </c>
      <c r="AN31" s="289"/>
      <c r="AO31" s="289"/>
      <c r="AP31" s="292"/>
      <c r="AQ31" s="292"/>
      <c r="AR31" s="292"/>
      <c r="AS31" s="292"/>
      <c r="AT31" s="292"/>
      <c r="AU31" s="181"/>
      <c r="AV31" s="132"/>
      <c r="AW31" s="132"/>
      <c r="AX31" s="132"/>
      <c r="AY31" s="132"/>
      <c r="AZ31" s="132">
        <f>AVERAGE(K31:L31)</f>
        <v>3.4889435983122663E-2</v>
      </c>
      <c r="BA31" s="132">
        <f>AVERAGE(M31:N31)</f>
        <v>3.2609938733832541E-2</v>
      </c>
      <c r="BB31" s="132">
        <f>AVERAGE(O31:P31)</f>
        <v>3.286122593598672E-2</v>
      </c>
      <c r="BC31" s="132">
        <f>AVERAGE(Q31:R31)</f>
        <v>0.10727908815390702</v>
      </c>
      <c r="BD31" s="132">
        <f>AVERAGE(S31:T31)</f>
        <v>7.4877587758775913E-2</v>
      </c>
      <c r="BE31" s="132">
        <f>AVERAGE(U31:V31)</f>
        <v>-3.1050795593635244E-2</v>
      </c>
      <c r="BF31" s="132">
        <f>AVERAGE(W31:X31)</f>
        <v>1.1567394094993624E-2</v>
      </c>
      <c r="BG31" s="132">
        <f>AVERAGE(Y31:Z31)</f>
        <v>3.6000000000000004E-2</v>
      </c>
      <c r="BH31" s="132">
        <f>AVERAGE(AA31:AB31)</f>
        <v>4.5499999999999999E-2</v>
      </c>
      <c r="BI31" s="132">
        <f>AVERAGE(AC31:AD31)</f>
        <v>7.6878731343283574E-2</v>
      </c>
      <c r="BJ31" s="132">
        <f>AVERAGE(AE31:AF31)</f>
        <v>4.8584275232996278E-2</v>
      </c>
      <c r="BK31" s="132">
        <f>AVERAGE(AG31:AH31)</f>
        <v>3.85E-2</v>
      </c>
      <c r="BL31" s="132">
        <f>AVERAGE(AI31:AJ31)</f>
        <v>4.2518882175226633E-2</v>
      </c>
      <c r="BM31" s="132">
        <f>AVERAGE(AK31:AL31)</f>
        <v>4.2499999999999996E-2</v>
      </c>
      <c r="BN31" s="307"/>
      <c r="BO31" s="307"/>
      <c r="BP31" s="163"/>
      <c r="BQ31" s="122"/>
      <c r="BR31" s="122"/>
      <c r="BS31" s="122"/>
      <c r="BT31" s="122"/>
      <c r="BU31" s="122">
        <f>AVERAGE(BD31:BE31)</f>
        <v>2.1913396082570334E-2</v>
      </c>
      <c r="BV31" s="122">
        <f>AVERAGE(BF31:BG31)</f>
        <v>2.3783697047496815E-2</v>
      </c>
      <c r="BW31" s="122">
        <f>AVERAGE(BH31:BI31)</f>
        <v>6.1189365671641786E-2</v>
      </c>
      <c r="BX31" s="122">
        <f>AVERAGE(BJ31:BK31)</f>
        <v>4.3542137616498139E-2</v>
      </c>
      <c r="BY31" s="122">
        <f>AVERAGE(BL31:BM31)</f>
        <v>4.2509441087613314E-2</v>
      </c>
      <c r="BZ31" s="291"/>
    </row>
    <row r="32" spans="1:78">
      <c r="B32" s="267" t="s">
        <v>378</v>
      </c>
      <c r="C32" s="46"/>
      <c r="D32" s="46"/>
      <c r="E32" s="46"/>
      <c r="F32" s="46"/>
      <c r="G32" s="46"/>
      <c r="H32" s="46"/>
      <c r="I32" s="46"/>
      <c r="J32" s="46"/>
      <c r="K32" s="48"/>
      <c r="L32" s="48"/>
      <c r="M32" s="48"/>
      <c r="N32" s="48"/>
      <c r="O32" s="48"/>
      <c r="P32" s="48"/>
      <c r="Q32" s="48"/>
      <c r="R32" s="48"/>
      <c r="S32" s="48"/>
      <c r="T32" s="48"/>
      <c r="U32" s="48"/>
      <c r="V32" s="48"/>
      <c r="W32" s="48"/>
      <c r="X32" s="48"/>
      <c r="Y32" s="48"/>
      <c r="Z32" s="48"/>
      <c r="AA32" s="48"/>
      <c r="AB32" s="48"/>
      <c r="AC32" s="49">
        <v>8.6999999999999994E-2</v>
      </c>
      <c r="AD32" s="285"/>
      <c r="AE32" s="49">
        <v>5.8999999999999997E-2</v>
      </c>
      <c r="AF32" s="285">
        <f>(BJ32-0.5*AE32)/0.5</f>
        <v>6.5000000000000002E-2</v>
      </c>
      <c r="AG32" s="49">
        <v>6.6000000000000003E-2</v>
      </c>
      <c r="AH32" s="285">
        <f>(BK32-0.5*AG32)/0.5</f>
        <v>3.7999999999999992E-2</v>
      </c>
      <c r="AI32" s="49">
        <v>4.9000000000000002E-2</v>
      </c>
      <c r="AJ32" s="285">
        <f>(BL32-0.5*AI32)/0.5</f>
        <v>6.3E-2</v>
      </c>
      <c r="AK32" s="49">
        <v>4.7E-2</v>
      </c>
      <c r="AL32" s="49">
        <v>7.0000000000000007E-2</v>
      </c>
      <c r="AM32" s="49">
        <v>7.0000000000000007E-2</v>
      </c>
      <c r="AN32" s="289"/>
      <c r="AO32" s="289"/>
      <c r="AP32" s="292"/>
      <c r="AQ32" s="292"/>
      <c r="AR32" s="292"/>
      <c r="AS32" s="292"/>
      <c r="AT32" s="292"/>
      <c r="AU32" s="181"/>
      <c r="AV32" s="132"/>
      <c r="AW32" s="132"/>
      <c r="AX32" s="132"/>
      <c r="AY32" s="132"/>
      <c r="AZ32" s="123"/>
      <c r="BA32" s="123"/>
      <c r="BB32" s="123"/>
      <c r="BC32" s="123"/>
      <c r="BD32" s="123"/>
      <c r="BE32" s="123"/>
      <c r="BF32" s="123"/>
      <c r="BG32" s="123"/>
      <c r="BH32" s="123"/>
      <c r="BI32" s="123"/>
      <c r="BJ32" s="123">
        <v>6.2E-2</v>
      </c>
      <c r="BK32" s="123">
        <v>5.1999999999999998E-2</v>
      </c>
      <c r="BL32" s="123">
        <v>5.6000000000000001E-2</v>
      </c>
      <c r="BM32" s="123">
        <v>5.8999999999999997E-2</v>
      </c>
      <c r="BN32" s="307"/>
      <c r="BO32" s="307"/>
      <c r="BP32" s="163"/>
      <c r="BQ32" s="122"/>
      <c r="BR32" s="122"/>
      <c r="BS32" s="122"/>
      <c r="BT32" s="122"/>
      <c r="BU32" s="122"/>
      <c r="BV32" s="122"/>
      <c r="BW32" s="122"/>
      <c r="BX32" s="122">
        <f>AVERAGE(BJ32:BK32)</f>
        <v>5.6999999999999995E-2</v>
      </c>
      <c r="BY32" s="122">
        <f>AVERAGE(BL32:BM32)</f>
        <v>5.7499999999999996E-2</v>
      </c>
      <c r="BZ32" s="291"/>
    </row>
    <row r="33" spans="1:78">
      <c r="B33" s="267" t="s">
        <v>456</v>
      </c>
      <c r="C33" s="46"/>
      <c r="D33" s="46"/>
      <c r="E33" s="46"/>
      <c r="F33" s="46"/>
      <c r="G33" s="46"/>
      <c r="H33" s="46"/>
      <c r="I33" s="46"/>
      <c r="J33" s="46"/>
      <c r="K33" s="48"/>
      <c r="L33" s="48"/>
      <c r="M33" s="48"/>
      <c r="N33" s="48"/>
      <c r="O33" s="48"/>
      <c r="P33" s="48"/>
      <c r="Q33" s="48"/>
      <c r="R33" s="48"/>
      <c r="S33" s="48"/>
      <c r="T33" s="48"/>
      <c r="U33" s="48"/>
      <c r="V33" s="48"/>
      <c r="W33" s="48"/>
      <c r="X33" s="48"/>
      <c r="Y33" s="48"/>
      <c r="Z33" s="48"/>
      <c r="AA33" s="48"/>
      <c r="AB33" s="49"/>
      <c r="AC33" s="48">
        <f t="shared" ref="AC33:AM33" si="94">AC31-AC32</f>
        <v>-1.2999999999999998E-2</v>
      </c>
      <c r="AD33" s="48">
        <f t="shared" si="94"/>
        <v>7.9757462686567138E-2</v>
      </c>
      <c r="AE33" s="48">
        <f t="shared" si="94"/>
        <v>-1.1999999999999997E-2</v>
      </c>
      <c r="AF33" s="48">
        <f t="shared" si="94"/>
        <v>-1.4831449534007446E-2</v>
      </c>
      <c r="AG33" s="48">
        <f t="shared" si="94"/>
        <v>-1.5000000000000006E-2</v>
      </c>
      <c r="AH33" s="48">
        <f t="shared" si="94"/>
        <v>-1.1999999999999993E-2</v>
      </c>
      <c r="AI33" s="48">
        <f t="shared" si="94"/>
        <v>-1.3999999999999999E-2</v>
      </c>
      <c r="AJ33" s="48">
        <f t="shared" si="94"/>
        <v>-1.2962235649546738E-2</v>
      </c>
      <c r="AK33" s="48">
        <f t="shared" si="94"/>
        <v>-1.0000000000000002E-2</v>
      </c>
      <c r="AL33" s="48">
        <f t="shared" si="94"/>
        <v>-2.2000000000000006E-2</v>
      </c>
      <c r="AM33" s="48">
        <f t="shared" si="94"/>
        <v>-2.2000000000000006E-2</v>
      </c>
      <c r="AN33" s="289"/>
      <c r="AO33" s="289"/>
      <c r="AP33" s="292"/>
      <c r="AQ33" s="292"/>
      <c r="AR33" s="292"/>
      <c r="AS33" s="292"/>
      <c r="AT33" s="292"/>
      <c r="AU33" s="181"/>
      <c r="AV33" s="132"/>
      <c r="AW33" s="132"/>
      <c r="AX33" s="132"/>
      <c r="AY33" s="132"/>
      <c r="AZ33" s="123"/>
      <c r="BA33" s="123"/>
      <c r="BB33" s="123"/>
      <c r="BC33" s="123"/>
      <c r="BD33" s="123"/>
      <c r="BE33" s="123"/>
      <c r="BF33" s="123"/>
      <c r="BG33" s="123"/>
      <c r="BH33" s="123"/>
      <c r="BI33" s="123"/>
      <c r="BJ33" s="123"/>
      <c r="BK33" s="123"/>
      <c r="BL33" s="123"/>
      <c r="BM33" s="123"/>
      <c r="BN33" s="307"/>
      <c r="BO33" s="307"/>
      <c r="BP33" s="163"/>
      <c r="BQ33" s="122"/>
      <c r="BR33" s="122"/>
      <c r="BS33" s="122"/>
      <c r="BT33" s="122"/>
      <c r="BU33" s="122"/>
      <c r="BV33" s="122"/>
      <c r="BW33" s="122"/>
      <c r="BX33" s="122"/>
      <c r="BY33" s="122"/>
      <c r="BZ33" s="291"/>
    </row>
    <row r="34" spans="1:78" ht="12" customHeight="1">
      <c r="B34" s="267" t="s">
        <v>455</v>
      </c>
      <c r="C34" s="46"/>
      <c r="D34" s="46"/>
      <c r="E34" s="46"/>
      <c r="F34" s="46"/>
      <c r="G34" s="46"/>
      <c r="H34" s="46"/>
      <c r="I34" s="46"/>
      <c r="J34" s="46"/>
      <c r="K34" s="48"/>
      <c r="L34" s="48"/>
      <c r="M34" s="48"/>
      <c r="N34" s="48"/>
      <c r="O34" s="48"/>
      <c r="P34" s="48"/>
      <c r="Q34" s="48"/>
      <c r="R34" s="48"/>
      <c r="S34" s="48"/>
      <c r="T34" s="48"/>
      <c r="U34" s="48"/>
      <c r="V34" s="48"/>
      <c r="W34" s="48"/>
      <c r="X34" s="48"/>
      <c r="Y34" s="48"/>
      <c r="Z34" s="48"/>
      <c r="AA34" s="48"/>
      <c r="AB34" s="48"/>
      <c r="AC34" s="48">
        <f t="shared" ref="AC34:AL34" si="95">AC32-AC44</f>
        <v>8.264243027888446E-2</v>
      </c>
      <c r="AD34" s="48"/>
      <c r="AE34" s="48">
        <f t="shared" si="95"/>
        <v>4.1670163037281951E-2</v>
      </c>
      <c r="AF34" s="48">
        <f t="shared" si="95"/>
        <v>4.0411461431687487E-2</v>
      </c>
      <c r="AG34" s="48">
        <f t="shared" si="95"/>
        <v>4.1547572140456603E-2</v>
      </c>
      <c r="AH34" s="48">
        <f t="shared" si="95"/>
        <v>6.7904967602591716E-3</v>
      </c>
      <c r="AI34" s="48">
        <f t="shared" si="95"/>
        <v>2.9296102765077294E-2</v>
      </c>
      <c r="AJ34" s="48">
        <f t="shared" si="95"/>
        <v>4.2324018126888213E-2</v>
      </c>
      <c r="AK34" s="48">
        <f t="shared" si="95"/>
        <v>2.3061776061776063E-2</v>
      </c>
      <c r="AL34" s="48">
        <f t="shared" si="95"/>
        <v>5.2057064418080209E-2</v>
      </c>
      <c r="AM34" s="48">
        <f>AM32-AM44</f>
        <v>3.9706532029031245E-2</v>
      </c>
      <c r="AN34" s="289"/>
      <c r="AO34" s="289"/>
      <c r="AP34" s="292"/>
      <c r="AQ34" s="292"/>
      <c r="AR34" s="292"/>
      <c r="AS34" s="292"/>
      <c r="AT34" s="292"/>
      <c r="AU34" s="181"/>
      <c r="AV34" s="132"/>
      <c r="AW34" s="132"/>
      <c r="AX34" s="132"/>
      <c r="AY34" s="132"/>
      <c r="AZ34" s="123"/>
      <c r="BA34" s="123"/>
      <c r="BB34" s="123"/>
      <c r="BC34" s="123"/>
      <c r="BD34" s="123"/>
      <c r="BE34" s="123"/>
      <c r="BF34" s="123"/>
      <c r="BG34" s="123"/>
      <c r="BH34" s="123"/>
      <c r="BI34" s="123"/>
      <c r="BJ34" s="123"/>
      <c r="BK34" s="123"/>
      <c r="BL34" s="123"/>
      <c r="BM34" s="123"/>
      <c r="BN34" s="307"/>
      <c r="BO34" s="307"/>
      <c r="BP34" s="163"/>
      <c r="BQ34" s="122"/>
      <c r="BR34" s="122"/>
      <c r="BS34" s="122"/>
      <c r="BT34" s="122"/>
      <c r="BU34" s="122"/>
      <c r="BV34" s="122"/>
      <c r="BW34" s="122"/>
      <c r="BX34" s="122"/>
      <c r="BY34" s="122"/>
      <c r="BZ34" s="291"/>
    </row>
    <row r="35" spans="1:78">
      <c r="B35" s="267" t="s">
        <v>195</v>
      </c>
      <c r="C35" s="46"/>
      <c r="D35" s="46"/>
      <c r="E35" s="46"/>
      <c r="F35" s="46"/>
      <c r="G35" s="46"/>
      <c r="H35" s="46"/>
      <c r="I35" s="46"/>
      <c r="J35" s="46"/>
      <c r="K35" s="48">
        <f t="shared" ref="K35:AM35" si="96">K22</f>
        <v>5.0999999999999997E-2</v>
      </c>
      <c r="L35" s="48">
        <f t="shared" si="96"/>
        <v>1.3000000000000005E-2</v>
      </c>
      <c r="M35" s="48">
        <f t="shared" si="96"/>
        <v>3.2000000000000001E-2</v>
      </c>
      <c r="N35" s="48">
        <f t="shared" si="96"/>
        <v>1.1999999999999997E-2</v>
      </c>
      <c r="O35" s="48">
        <f t="shared" si="96"/>
        <v>1E-3</v>
      </c>
      <c r="P35" s="48">
        <f t="shared" si="96"/>
        <v>3.9E-2</v>
      </c>
      <c r="Q35" s="48">
        <f t="shared" si="96"/>
        <v>0.13100000000000001</v>
      </c>
      <c r="R35" s="48">
        <f t="shared" si="96"/>
        <v>6.9000000000000006E-2</v>
      </c>
      <c r="S35" s="48">
        <f t="shared" si="96"/>
        <v>9.7000000000000003E-2</v>
      </c>
      <c r="T35" s="48">
        <f t="shared" si="96"/>
        <v>4.6999999999999986E-2</v>
      </c>
      <c r="U35" s="48">
        <f t="shared" si="96"/>
        <v>-6.4000000000000001E-2</v>
      </c>
      <c r="V35" s="48">
        <f t="shared" si="96"/>
        <v>2.1000000000000001E-2</v>
      </c>
      <c r="W35" s="48">
        <f t="shared" si="96"/>
        <v>1.4E-2</v>
      </c>
      <c r="X35" s="48">
        <f t="shared" si="96"/>
        <v>1.6E-2</v>
      </c>
      <c r="Y35" s="48">
        <f t="shared" si="96"/>
        <v>3.9E-2</v>
      </c>
      <c r="Z35" s="48">
        <f t="shared" si="96"/>
        <v>3.6999999999999998E-2</v>
      </c>
      <c r="AA35" s="48">
        <f t="shared" si="96"/>
        <v>2.1000000000000001E-2</v>
      </c>
      <c r="AB35" s="48">
        <f t="shared" si="96"/>
        <v>7.6999999999999999E-2</v>
      </c>
      <c r="AC35" s="48">
        <f t="shared" si="96"/>
        <v>6.5000000000000002E-2</v>
      </c>
      <c r="AD35" s="48">
        <f t="shared" si="96"/>
        <v>6.9000000000000006E-2</v>
      </c>
      <c r="AE35" s="48">
        <f t="shared" si="96"/>
        <v>4.5999999999999999E-2</v>
      </c>
      <c r="AF35" s="48">
        <f t="shared" si="96"/>
        <v>3.4000000000000002E-2</v>
      </c>
      <c r="AG35" s="48">
        <f t="shared" si="96"/>
        <v>4.7E-2</v>
      </c>
      <c r="AH35" s="48">
        <f t="shared" si="96"/>
        <v>4.9999999999999975E-3</v>
      </c>
      <c r="AI35" s="48">
        <f t="shared" si="96"/>
        <v>2.4E-2</v>
      </c>
      <c r="AJ35" s="48">
        <f t="shared" si="96"/>
        <v>4.2000000000000003E-2</v>
      </c>
      <c r="AK35" s="48">
        <f t="shared" si="96"/>
        <v>0.03</v>
      </c>
      <c r="AL35" s="48">
        <f t="shared" si="96"/>
        <v>5.0999999999999997E-2</v>
      </c>
      <c r="AM35" s="48">
        <f t="shared" si="96"/>
        <v>4.5999999999999999E-2</v>
      </c>
      <c r="AN35" s="289"/>
      <c r="AO35" s="289"/>
      <c r="AP35" s="292"/>
      <c r="AQ35" s="292"/>
      <c r="AR35" s="292"/>
      <c r="AS35" s="292"/>
      <c r="AT35" s="292"/>
      <c r="AU35" s="181"/>
      <c r="AV35" s="132"/>
      <c r="AW35" s="132"/>
      <c r="AX35" s="132"/>
      <c r="AY35" s="132"/>
      <c r="AZ35" s="132">
        <f>AVERAGE(K35:L35)</f>
        <v>3.2000000000000001E-2</v>
      </c>
      <c r="BA35" s="132">
        <f>AVERAGE(M35:N35)</f>
        <v>2.1999999999999999E-2</v>
      </c>
      <c r="BB35" s="132">
        <f>AVERAGE(O35:P35)</f>
        <v>0.02</v>
      </c>
      <c r="BC35" s="132">
        <f>AVERAGE(Q35:R35)</f>
        <v>0.1</v>
      </c>
      <c r="BD35" s="132">
        <f>AVERAGE(S35:T35)</f>
        <v>7.1999999999999995E-2</v>
      </c>
      <c r="BE35" s="132">
        <f>AVERAGE(U35:V35)</f>
        <v>-2.1499999999999998E-2</v>
      </c>
      <c r="BF35" s="132">
        <f>AVERAGE(W35:X35)</f>
        <v>1.4999999999999999E-2</v>
      </c>
      <c r="BG35" s="132">
        <f>AVERAGE(Y35:Z35)</f>
        <v>3.7999999999999999E-2</v>
      </c>
      <c r="BH35" s="132">
        <f>AVERAGE(AA35:AB35)</f>
        <v>4.9000000000000002E-2</v>
      </c>
      <c r="BI35" s="132">
        <f>AVERAGE(AC35:AD35)</f>
        <v>6.7000000000000004E-2</v>
      </c>
      <c r="BJ35" s="132">
        <f>AVERAGE(AE35:AF35)</f>
        <v>0.04</v>
      </c>
      <c r="BK35" s="132">
        <f>AVERAGE(AG35:AH35)</f>
        <v>2.5999999999999999E-2</v>
      </c>
      <c r="BL35" s="132">
        <f>AVERAGE(AI35:AJ35)</f>
        <v>3.3000000000000002E-2</v>
      </c>
      <c r="BM35" s="132">
        <f>AVERAGE(AK35:AL35)</f>
        <v>4.0499999999999994E-2</v>
      </c>
      <c r="BN35" s="307"/>
      <c r="BO35" s="307"/>
      <c r="BP35" s="163"/>
      <c r="BQ35" s="46"/>
      <c r="BR35" s="46"/>
      <c r="BS35" s="46"/>
      <c r="BT35" s="46"/>
      <c r="BU35" s="122">
        <f t="shared" ref="BU35:BU36" si="97">AVERAGE(BD35:BE35)</f>
        <v>2.5249999999999998E-2</v>
      </c>
      <c r="BV35" s="122">
        <f t="shared" ref="BV35:BV36" si="98">AVERAGE(BF35:BG35)</f>
        <v>2.6499999999999999E-2</v>
      </c>
      <c r="BW35" s="122">
        <f t="shared" ref="BW35:BW36" si="99">AVERAGE(BH35:BI35)</f>
        <v>5.8000000000000003E-2</v>
      </c>
      <c r="BX35" s="122">
        <f t="shared" ref="BX35:BX36" si="100">AVERAGE(BJ35:BK35)</f>
        <v>3.3000000000000002E-2</v>
      </c>
      <c r="BY35" s="122">
        <f t="shared" ref="BY35:BY36" si="101">AVERAGE(BL35:BM35)</f>
        <v>3.6749999999999998E-2</v>
      </c>
      <c r="BZ35" s="291"/>
    </row>
    <row r="36" spans="1:78">
      <c r="B36" s="267" t="s">
        <v>194</v>
      </c>
      <c r="C36" s="46"/>
      <c r="D36" s="46"/>
      <c r="E36" s="46"/>
      <c r="F36" s="46"/>
      <c r="G36" s="46"/>
      <c r="H36" s="46"/>
      <c r="I36" s="46"/>
      <c r="J36" s="46"/>
      <c r="K36" s="122">
        <f t="shared" ref="K36:AM36" si="102">K31-K35</f>
        <v>-3.0652023760187677E-3</v>
      </c>
      <c r="L36" s="122">
        <f t="shared" si="102"/>
        <v>8.8440743422640924E-3</v>
      </c>
      <c r="M36" s="122">
        <f t="shared" si="102"/>
        <v>0</v>
      </c>
      <c r="N36" s="122">
        <f t="shared" si="102"/>
        <v>2.1219877467665085E-2</v>
      </c>
      <c r="O36" s="122">
        <f t="shared" si="102"/>
        <v>1.4999999999999999E-2</v>
      </c>
      <c r="P36" s="122">
        <f t="shared" si="102"/>
        <v>1.0722451871973439E-2</v>
      </c>
      <c r="Q36" s="122">
        <f t="shared" si="102"/>
        <v>7.0000000000000062E-3</v>
      </c>
      <c r="R36" s="122">
        <f t="shared" si="102"/>
        <v>7.5581763078140241E-3</v>
      </c>
      <c r="S36" s="122">
        <f t="shared" si="102"/>
        <v>1.0000000000000009E-3</v>
      </c>
      <c r="T36" s="122">
        <f t="shared" si="102"/>
        <v>4.7551755175518351E-3</v>
      </c>
      <c r="U36" s="122">
        <f t="shared" si="102"/>
        <v>3.0000000000000027E-3</v>
      </c>
      <c r="V36" s="122">
        <f t="shared" si="102"/>
        <v>-2.2101591187270491E-2</v>
      </c>
      <c r="W36" s="122">
        <f t="shared" si="102"/>
        <v>3.9999999999999983E-3</v>
      </c>
      <c r="X36" s="122">
        <f t="shared" si="102"/>
        <v>-1.0865211810012751E-2</v>
      </c>
      <c r="Y36" s="122">
        <f t="shared" si="102"/>
        <v>3.0000000000000027E-3</v>
      </c>
      <c r="Z36" s="122">
        <f t="shared" si="102"/>
        <v>-6.9999999999999993E-3</v>
      </c>
      <c r="AA36" s="122">
        <f t="shared" si="102"/>
        <v>-4.0000000000000001E-3</v>
      </c>
      <c r="AB36" s="122">
        <f t="shared" si="102"/>
        <v>-3.0000000000000027E-3</v>
      </c>
      <c r="AC36" s="122">
        <f t="shared" si="102"/>
        <v>8.9999999999999941E-3</v>
      </c>
      <c r="AD36" s="122">
        <f t="shared" si="102"/>
        <v>1.0757462686567132E-2</v>
      </c>
      <c r="AE36" s="122">
        <f t="shared" si="102"/>
        <v>1.0000000000000009E-3</v>
      </c>
      <c r="AF36" s="122">
        <f t="shared" si="102"/>
        <v>1.6168550465992554E-2</v>
      </c>
      <c r="AG36" s="122">
        <f t="shared" si="102"/>
        <v>3.9999999999999966E-3</v>
      </c>
      <c r="AH36" s="122">
        <f t="shared" si="102"/>
        <v>2.1000000000000001E-2</v>
      </c>
      <c r="AI36" s="122">
        <f t="shared" si="102"/>
        <v>1.1000000000000003E-2</v>
      </c>
      <c r="AJ36" s="122">
        <f t="shared" si="102"/>
        <v>8.0377643504532595E-3</v>
      </c>
      <c r="AK36" s="122">
        <f t="shared" si="102"/>
        <v>6.9999999999999993E-3</v>
      </c>
      <c r="AL36" s="122">
        <f t="shared" si="102"/>
        <v>-2.9999999999999957E-3</v>
      </c>
      <c r="AM36" s="122">
        <f t="shared" si="102"/>
        <v>2.0000000000000018E-3</v>
      </c>
      <c r="AN36" s="290"/>
      <c r="AO36" s="290"/>
      <c r="AP36" s="291"/>
      <c r="AQ36" s="291"/>
      <c r="AR36" s="291"/>
      <c r="AS36" s="291"/>
      <c r="AT36" s="291"/>
      <c r="AU36" s="181"/>
      <c r="AV36" s="132"/>
      <c r="AW36" s="132"/>
      <c r="AX36" s="132"/>
      <c r="AY36" s="132"/>
      <c r="AZ36" s="132">
        <f>AVERAGE(K36:L36)</f>
        <v>2.8894359831226624E-3</v>
      </c>
      <c r="BA36" s="132">
        <f>AVERAGE(M36:N36)</f>
        <v>1.0609938733832543E-2</v>
      </c>
      <c r="BB36" s="132">
        <f>AVERAGE(O36:P36)</f>
        <v>1.2861225935986719E-2</v>
      </c>
      <c r="BC36" s="132">
        <f>AVERAGE(Q36:R36)</f>
        <v>7.2790881539070151E-3</v>
      </c>
      <c r="BD36" s="132">
        <f>AVERAGE(S36:T36)</f>
        <v>2.877587758775918E-3</v>
      </c>
      <c r="BE36" s="132">
        <f>AVERAGE(U36:V36)</f>
        <v>-9.5507955936352442E-3</v>
      </c>
      <c r="BF36" s="132">
        <f>AVERAGE(W36:X36)</f>
        <v>-3.4326059050063763E-3</v>
      </c>
      <c r="BG36" s="132">
        <f>AVERAGE(Y36:Z36)</f>
        <v>-1.9999999999999983E-3</v>
      </c>
      <c r="BH36" s="132">
        <f>AVERAGE(AA36:AB36)</f>
        <v>-3.5000000000000014E-3</v>
      </c>
      <c r="BI36" s="132">
        <f>AVERAGE(AC36:AD36)</f>
        <v>9.878731343283563E-3</v>
      </c>
      <c r="BJ36" s="132">
        <f>AVERAGE(AE36:AF36)</f>
        <v>8.5842752329962774E-3</v>
      </c>
      <c r="BK36" s="132">
        <f>AVERAGE(AG36:AH36)</f>
        <v>1.2499999999999999E-2</v>
      </c>
      <c r="BL36" s="132">
        <f>AVERAGE(AI36:AJ36)</f>
        <v>9.5188821752266312E-3</v>
      </c>
      <c r="BM36" s="132">
        <f>AVERAGE(AK36:AL36)</f>
        <v>2.0000000000000018E-3</v>
      </c>
      <c r="BN36" s="307"/>
      <c r="BO36" s="307"/>
      <c r="BP36" s="163"/>
      <c r="BQ36" s="46"/>
      <c r="BR36" s="46"/>
      <c r="BS36" s="46"/>
      <c r="BT36" s="46"/>
      <c r="BU36" s="122">
        <f t="shared" si="97"/>
        <v>-3.3366039174296631E-3</v>
      </c>
      <c r="BV36" s="122">
        <f t="shared" si="98"/>
        <v>-2.7163029525031873E-3</v>
      </c>
      <c r="BW36" s="122">
        <f t="shared" si="99"/>
        <v>3.1893656716417808E-3</v>
      </c>
      <c r="BX36" s="122">
        <f t="shared" si="100"/>
        <v>1.0542137616498137E-2</v>
      </c>
      <c r="BY36" s="122">
        <f t="shared" si="101"/>
        <v>5.7594410876133165E-3</v>
      </c>
      <c r="BZ36" s="291"/>
    </row>
    <row r="37" spans="1:78">
      <c r="B37" s="83"/>
      <c r="C37" s="46"/>
      <c r="D37" s="46"/>
      <c r="E37" s="46"/>
      <c r="F37" s="46"/>
      <c r="G37" s="46"/>
      <c r="H37" s="46"/>
      <c r="I37" s="46"/>
      <c r="J37" s="46"/>
      <c r="K37" s="46"/>
      <c r="L37" s="46"/>
      <c r="M37" s="46"/>
      <c r="N37" s="46"/>
      <c r="O37" s="46"/>
      <c r="P37" s="46"/>
      <c r="Q37" s="46"/>
      <c r="R37" s="46"/>
      <c r="S37" s="46"/>
      <c r="T37" s="46"/>
      <c r="U37" s="46"/>
      <c r="V37" s="46"/>
      <c r="W37" s="46"/>
      <c r="X37" s="109"/>
      <c r="Y37" s="46"/>
      <c r="Z37" s="46"/>
      <c r="AA37" s="46"/>
      <c r="AB37" s="46"/>
      <c r="AC37" s="109"/>
      <c r="AD37" s="46"/>
      <c r="AE37" s="46"/>
      <c r="AF37" s="46"/>
      <c r="AG37" s="46"/>
      <c r="AH37" s="46"/>
      <c r="AI37" s="109"/>
      <c r="AJ37" s="109"/>
      <c r="AK37" s="109"/>
      <c r="AL37" s="109"/>
      <c r="AM37" s="109"/>
      <c r="AN37" s="181"/>
      <c r="AO37" s="181"/>
      <c r="AP37" s="163"/>
      <c r="AQ37" s="163"/>
      <c r="AR37" s="163"/>
      <c r="AS37" s="163"/>
      <c r="AT37" s="163"/>
      <c r="AU37" s="181"/>
      <c r="AV37" s="46"/>
      <c r="AW37" s="46"/>
      <c r="AX37" s="46"/>
      <c r="AY37" s="46"/>
      <c r="AZ37" s="46"/>
      <c r="BA37" s="46"/>
      <c r="BB37" s="46"/>
      <c r="BC37" s="46"/>
      <c r="BD37" s="46"/>
      <c r="BE37" s="46"/>
      <c r="BF37" s="46"/>
      <c r="BG37" s="46"/>
      <c r="BH37" s="46"/>
      <c r="BI37" s="46"/>
      <c r="BJ37" s="46"/>
      <c r="BK37" s="46"/>
      <c r="BL37" s="46"/>
      <c r="BM37" s="46"/>
      <c r="BN37" s="163"/>
      <c r="BO37" s="163"/>
      <c r="BP37" s="163"/>
      <c r="BQ37" s="46"/>
      <c r="BR37" s="46"/>
      <c r="BS37" s="46"/>
      <c r="BT37" s="46"/>
      <c r="BU37" s="122"/>
      <c r="BV37" s="122"/>
      <c r="BW37" s="122"/>
      <c r="BX37" s="122"/>
      <c r="BY37" s="122"/>
      <c r="BZ37" s="291"/>
    </row>
    <row r="38" spans="1:78">
      <c r="A38" s="36" t="s">
        <v>397</v>
      </c>
      <c r="B38" s="267" t="s">
        <v>362</v>
      </c>
      <c r="C38" s="46"/>
      <c r="D38" s="46"/>
      <c r="E38" s="46"/>
      <c r="F38" s="46"/>
      <c r="G38" s="46"/>
      <c r="H38" s="46"/>
      <c r="I38" s="46"/>
      <c r="J38" s="46"/>
      <c r="K38" s="46"/>
      <c r="L38" s="46"/>
      <c r="M38" s="34">
        <v>16612</v>
      </c>
      <c r="N38" s="293">
        <f>(BA38-0.5*M38)/0.5</f>
        <v>16796</v>
      </c>
      <c r="O38" s="34">
        <v>16664</v>
      </c>
      <c r="P38" s="293">
        <f>(BB38-0.5*O38)/0.5</f>
        <v>16936</v>
      </c>
      <c r="Q38" s="34">
        <v>17295</v>
      </c>
      <c r="R38" s="293">
        <f>(BC38-0.5*Q38)/0.5</f>
        <v>17799</v>
      </c>
      <c r="S38" s="34">
        <v>17709</v>
      </c>
      <c r="T38" s="293">
        <f>(BD38-0.5*S38)/0.5</f>
        <v>18493</v>
      </c>
      <c r="U38" s="34">
        <v>17789</v>
      </c>
      <c r="V38" s="293">
        <f>(BE38-0.5*U38)/0.5</f>
        <v>17905</v>
      </c>
      <c r="W38" s="34">
        <v>17868</v>
      </c>
      <c r="X38" s="293">
        <f>(BF38-0.5*W38)/0.5</f>
        <v>17970</v>
      </c>
      <c r="Y38" s="34">
        <v>18066</v>
      </c>
      <c r="Z38" s="293">
        <f>(BG38-0.5*Y38)/0.5</f>
        <v>18352</v>
      </c>
      <c r="AA38" s="34">
        <v>18295</v>
      </c>
      <c r="AB38" s="293">
        <f>(BH38-0.5*AA38)/0.5</f>
        <v>19007</v>
      </c>
      <c r="AC38" s="34">
        <v>18907</v>
      </c>
      <c r="AD38" s="293">
        <f>(BI38-0.5*AC38)/0.5</f>
        <v>19495</v>
      </c>
      <c r="AE38" s="34">
        <v>19377</v>
      </c>
      <c r="AF38" s="293">
        <f>(BJ38-0.5*AE38)/0.5</f>
        <v>19859</v>
      </c>
      <c r="AG38" s="34">
        <v>19786</v>
      </c>
      <c r="AH38" s="293">
        <f>(BK38-0.5*AG38)/0.5</f>
        <v>19846</v>
      </c>
      <c r="AI38" s="34">
        <v>19253</v>
      </c>
      <c r="AJ38" s="293">
        <f>(BL38-0.5*AI38)/0.5</f>
        <v>19615</v>
      </c>
      <c r="AK38" s="34">
        <v>20173</v>
      </c>
      <c r="AL38" s="293">
        <f>(BM38-0.5*AK38)/0.5</f>
        <v>19375</v>
      </c>
      <c r="AM38" s="34">
        <v>20003</v>
      </c>
      <c r="AN38" s="181"/>
      <c r="AO38" s="181"/>
      <c r="AP38" s="163"/>
      <c r="AQ38" s="163"/>
      <c r="AR38" s="163"/>
      <c r="AS38" s="163"/>
      <c r="AT38" s="163"/>
      <c r="AU38" s="181"/>
      <c r="AV38" s="46"/>
      <c r="AW38" s="152"/>
      <c r="AX38" s="121">
        <f>VLOOKUP($A38,Model!$1:$1048576,MATCH(Quarterly!AX$3,Model!$3:$3,0),FALSE)</f>
        <v>16469</v>
      </c>
      <c r="AY38" s="121">
        <f>VLOOKUP($A38,Model!$1:$1048576,MATCH(Quarterly!AY$3,Model!$3:$3,0),FALSE)</f>
        <v>16586.5</v>
      </c>
      <c r="AZ38" s="121">
        <f>VLOOKUP($A38,Model!$1:$1048576,MATCH(Quarterly!AZ$3,Model!$3:$3,0),FALSE)</f>
        <v>16533</v>
      </c>
      <c r="BA38" s="121">
        <f>VLOOKUP($A38,Model!$1:$1048576,MATCH(Quarterly!BA$3,Model!$3:$3,0),FALSE)</f>
        <v>16704</v>
      </c>
      <c r="BB38" s="121">
        <f>VLOOKUP($A38,Model!$1:$1048576,MATCH(Quarterly!BB$3,Model!$3:$3,0),FALSE)</f>
        <v>16800</v>
      </c>
      <c r="BC38" s="121">
        <f>VLOOKUP($A38,Model!$1:$1048576,MATCH(Quarterly!BC$3,Model!$3:$3,0),FALSE)</f>
        <v>17547</v>
      </c>
      <c r="BD38" s="121">
        <f>VLOOKUP($A38,Model!$1:$1048576,MATCH(Quarterly!BD$3,Model!$3:$3,0),FALSE)</f>
        <v>18101</v>
      </c>
      <c r="BE38" s="121">
        <f>VLOOKUP($A38,Model!$1:$1048576,MATCH(Quarterly!BE$3,Model!$3:$3,0),FALSE)</f>
        <v>17847</v>
      </c>
      <c r="BF38" s="121">
        <f>VLOOKUP($A38,Model!$1:$1048576,MATCH(Quarterly!BF$3,Model!$3:$3,0),FALSE)</f>
        <v>17919</v>
      </c>
      <c r="BG38" s="121">
        <f>VLOOKUP($A38,Model!$1:$1048576,MATCH(Quarterly!BG$3,Model!$3:$3,0),FALSE)</f>
        <v>18209</v>
      </c>
      <c r="BH38" s="121">
        <f>VLOOKUP($A38,Model!$1:$1048576,MATCH(Quarterly!BH$3,Model!$3:$3,0),FALSE)</f>
        <v>18651</v>
      </c>
      <c r="BI38" s="121">
        <f>VLOOKUP($A38,Model!$1:$1048576,MATCH(Quarterly!BI$3,Model!$3:$3,0),FALSE)</f>
        <v>19201</v>
      </c>
      <c r="BJ38" s="121">
        <f>VLOOKUP($A38,Model!$1:$1048576,MATCH(Quarterly!BJ$3,Model!$3:$3,0),FALSE)</f>
        <v>19618</v>
      </c>
      <c r="BK38" s="121">
        <f>VLOOKUP($A38,Model!$1:$1048576,MATCH(Quarterly!BK$3,Model!$3:$3,0),FALSE)</f>
        <v>19816</v>
      </c>
      <c r="BL38" s="121">
        <f>VLOOKUP($A38,Model!$1:$1048576,MATCH(Quarterly!BL$3,Model!$3:$3,0),FALSE)</f>
        <v>19434</v>
      </c>
      <c r="BM38" s="121">
        <f>VLOOKUP($A38,Model!$1:$1048576,MATCH(Quarterly!BM$3,Model!$3:$3,0),FALSE)</f>
        <v>19774</v>
      </c>
      <c r="BN38" s="163"/>
      <c r="BO38" s="163"/>
      <c r="BP38" s="163"/>
      <c r="BQ38" s="121"/>
      <c r="BR38" s="121"/>
      <c r="BS38" s="121">
        <f>VLOOKUP($A38,Model!$1:$1048576,MATCH(Quarterly!BS$3,Model!$3:$3,0),FALSE)</f>
        <v>16704</v>
      </c>
      <c r="BT38" s="121">
        <f>VLOOKUP($A38,Model!$1:$1048576,MATCH(Quarterly!BT$3,Model!$3:$3,0),FALSE)</f>
        <v>17547</v>
      </c>
      <c r="BU38" s="121">
        <f>VLOOKUP($A38,Model!$1:$1048576,MATCH(Quarterly!BU$3,Model!$3:$3,0),FALSE)</f>
        <v>17847</v>
      </c>
      <c r="BV38" s="121">
        <f>VLOOKUP($A38,Model!$1:$1048576,MATCH(Quarterly!BV$3,Model!$3:$3,0),FALSE)</f>
        <v>18209</v>
      </c>
      <c r="BW38" s="121">
        <f>VLOOKUP($A38,Model!$1:$1048576,MATCH(Quarterly!BW$3,Model!$3:$3,0),FALSE)</f>
        <v>19201</v>
      </c>
      <c r="BX38" s="121">
        <f>VLOOKUP($A38,Model!$1:$1048576,MATCH(Quarterly!BX$3,Model!$3:$3,0),FALSE)</f>
        <v>19179</v>
      </c>
      <c r="BY38" s="121">
        <f>VLOOKUP($A38,Model!$1:$1048576,MATCH(Quarterly!BY$3,Model!$3:$3,0),FALSE)</f>
        <v>19774</v>
      </c>
      <c r="BZ38" s="291"/>
    </row>
    <row r="39" spans="1:78">
      <c r="B39" s="83"/>
      <c r="C39" s="46"/>
      <c r="D39" s="46"/>
      <c r="E39" s="46"/>
      <c r="F39" s="46"/>
      <c r="G39" s="46"/>
      <c r="H39" s="46"/>
      <c r="I39" s="46"/>
      <c r="J39" s="46"/>
      <c r="K39" s="46"/>
      <c r="L39" s="46"/>
      <c r="M39" s="46"/>
      <c r="N39" s="46"/>
      <c r="O39" s="46"/>
      <c r="P39" s="46"/>
      <c r="Q39" s="46"/>
      <c r="R39" s="46"/>
      <c r="S39" s="46"/>
      <c r="T39" s="46"/>
      <c r="U39" s="46"/>
      <c r="V39" s="46"/>
      <c r="W39" s="46"/>
      <c r="X39" s="109"/>
      <c r="Y39" s="46"/>
      <c r="Z39" s="46"/>
      <c r="AA39" s="46"/>
      <c r="AB39" s="46"/>
      <c r="AC39" s="46"/>
      <c r="AD39" s="46"/>
      <c r="AE39" s="46"/>
      <c r="AF39" s="46"/>
      <c r="AG39" s="46"/>
      <c r="AH39" s="46"/>
      <c r="AI39" s="109"/>
      <c r="AJ39" s="109"/>
      <c r="AK39" s="109"/>
      <c r="AL39" s="109"/>
      <c r="AM39" s="109"/>
      <c r="AN39" s="181"/>
      <c r="AO39" s="181"/>
      <c r="AP39" s="163"/>
      <c r="AQ39" s="163"/>
      <c r="AR39" s="163"/>
      <c r="AS39" s="163"/>
      <c r="AT39" s="163"/>
      <c r="AU39" s="181"/>
      <c r="AV39" s="46"/>
      <c r="AW39" s="46"/>
      <c r="AX39" s="46"/>
      <c r="AY39" s="46"/>
      <c r="AZ39" s="46"/>
      <c r="BA39" s="46"/>
      <c r="BB39" s="46"/>
      <c r="BC39" s="46"/>
      <c r="BD39" s="46"/>
      <c r="BE39" s="46"/>
      <c r="BF39" s="46"/>
      <c r="BG39" s="46"/>
      <c r="BH39" s="46"/>
      <c r="BI39" s="46"/>
      <c r="BJ39" s="46"/>
      <c r="BK39" s="46"/>
      <c r="BL39" s="46"/>
      <c r="BM39" s="46"/>
      <c r="BN39" s="163"/>
      <c r="BO39" s="163"/>
      <c r="BP39" s="163"/>
      <c r="BQ39" s="46"/>
      <c r="BR39" s="46"/>
      <c r="BS39" s="46"/>
      <c r="BT39" s="46"/>
      <c r="BU39" s="122"/>
      <c r="BV39" s="122"/>
      <c r="BW39" s="122"/>
      <c r="BX39" s="122"/>
      <c r="BY39" s="122"/>
      <c r="BZ39" s="291"/>
    </row>
    <row r="40" spans="1:78">
      <c r="B40" s="82" t="s">
        <v>323</v>
      </c>
      <c r="C40" s="46"/>
      <c r="D40" s="46"/>
      <c r="E40" s="46"/>
      <c r="F40" s="46"/>
      <c r="G40" s="46"/>
      <c r="H40" s="46"/>
      <c r="I40" s="46"/>
      <c r="J40" s="46"/>
      <c r="K40" s="46"/>
      <c r="L40" s="46"/>
      <c r="M40" s="46"/>
      <c r="N40" s="46"/>
      <c r="O40" s="46"/>
      <c r="P40" s="46"/>
      <c r="Q40" s="46"/>
      <c r="R40" s="46"/>
      <c r="S40" s="46"/>
      <c r="T40" s="46"/>
      <c r="U40" s="46"/>
      <c r="V40" s="46"/>
      <c r="W40" s="46"/>
      <c r="X40" s="109"/>
      <c r="Y40" s="46"/>
      <c r="Z40" s="46"/>
      <c r="AA40" s="46"/>
      <c r="AB40" s="46"/>
      <c r="AC40" s="46"/>
      <c r="AD40" s="46"/>
      <c r="AE40" s="46"/>
      <c r="AF40" s="46"/>
      <c r="AG40" s="46"/>
      <c r="AH40" s="46"/>
      <c r="AI40" s="109"/>
      <c r="AJ40" s="109"/>
      <c r="AK40" s="109"/>
      <c r="AL40" s="109"/>
      <c r="AM40" s="109"/>
      <c r="AN40" s="181"/>
      <c r="AO40" s="181"/>
      <c r="AP40" s="163"/>
      <c r="AQ40" s="163"/>
      <c r="AR40" s="163"/>
      <c r="AS40" s="163"/>
      <c r="AT40" s="163"/>
      <c r="AU40" s="181"/>
      <c r="AV40" s="46"/>
      <c r="AW40" s="46"/>
      <c r="AX40" s="46"/>
      <c r="AY40" s="46"/>
      <c r="AZ40" s="46"/>
      <c r="BA40" s="46"/>
      <c r="BB40" s="46"/>
      <c r="BC40" s="46"/>
      <c r="BD40" s="46"/>
      <c r="BE40" s="46"/>
      <c r="BF40" s="46"/>
      <c r="BG40" s="46"/>
      <c r="BH40" s="46"/>
      <c r="BI40" s="46"/>
      <c r="BJ40" s="46"/>
      <c r="BK40" s="46"/>
      <c r="BL40" s="46"/>
      <c r="BM40" s="46"/>
      <c r="BN40" s="163"/>
      <c r="BO40" s="163"/>
      <c r="BP40" s="163"/>
      <c r="BQ40" s="46"/>
      <c r="BR40" s="46"/>
      <c r="BS40" s="46"/>
      <c r="BT40" s="46"/>
      <c r="BU40" s="46"/>
      <c r="BV40" s="46"/>
      <c r="BW40" s="46"/>
      <c r="BX40" s="46"/>
      <c r="BY40" s="46"/>
      <c r="BZ40" s="163"/>
    </row>
    <row r="41" spans="1:78">
      <c r="A41" s="36" t="s">
        <v>400</v>
      </c>
      <c r="B41" s="267" t="s">
        <v>379</v>
      </c>
      <c r="C41" s="125"/>
      <c r="D41" s="125"/>
      <c r="E41" s="125"/>
      <c r="F41" s="125"/>
      <c r="G41" s="34"/>
      <c r="H41" s="34"/>
      <c r="I41" s="34"/>
      <c r="J41" s="34"/>
      <c r="K41" s="34"/>
      <c r="L41" s="34"/>
      <c r="M41" s="34"/>
      <c r="N41" s="34"/>
      <c r="O41" s="34"/>
      <c r="P41" s="34"/>
      <c r="Q41" s="34"/>
      <c r="R41" s="34"/>
      <c r="S41" s="34"/>
      <c r="T41" s="34"/>
      <c r="U41" s="34">
        <v>400</v>
      </c>
      <c r="V41" s="33">
        <f>BE41-U41</f>
        <v>600</v>
      </c>
      <c r="W41" s="34">
        <v>800</v>
      </c>
      <c r="X41" s="33">
        <f t="shared" ref="X41" si="103">BF41-W41</f>
        <v>700</v>
      </c>
      <c r="Y41" s="34">
        <v>600</v>
      </c>
      <c r="Z41" s="33">
        <f>BG41-Y41</f>
        <v>700</v>
      </c>
      <c r="AA41" s="34">
        <v>700</v>
      </c>
      <c r="AB41" s="33">
        <f>BH41-AA41</f>
        <v>700</v>
      </c>
      <c r="AC41" s="34">
        <v>635</v>
      </c>
      <c r="AD41" s="33">
        <f>BI41-AC41</f>
        <v>765</v>
      </c>
      <c r="AE41" s="34">
        <v>852</v>
      </c>
      <c r="AF41" s="33">
        <f>BJ41-AE41</f>
        <v>948</v>
      </c>
      <c r="AG41" s="34">
        <v>846</v>
      </c>
      <c r="AH41" s="33">
        <f t="shared" ref="AH41" si="104">BK41-AG41</f>
        <v>1054</v>
      </c>
      <c r="AI41" s="34">
        <v>1033</v>
      </c>
      <c r="AJ41" s="33">
        <f>BL41-AI41</f>
        <v>1167</v>
      </c>
      <c r="AK41" s="34">
        <v>1063</v>
      </c>
      <c r="AL41" s="33">
        <f>BM41-AK41</f>
        <v>1237</v>
      </c>
      <c r="AM41" s="34">
        <v>1321</v>
      </c>
      <c r="AN41" s="289"/>
      <c r="AO41" s="289"/>
      <c r="AP41" s="289"/>
      <c r="AQ41" s="289"/>
      <c r="AR41" s="289"/>
      <c r="AS41" s="289"/>
      <c r="AT41" s="289"/>
      <c r="AU41" s="181"/>
      <c r="AV41" s="132"/>
      <c r="AW41" s="132"/>
      <c r="AX41" s="132"/>
      <c r="AY41" s="132"/>
      <c r="AZ41" s="132"/>
      <c r="BA41" s="132"/>
      <c r="BB41" s="132"/>
      <c r="BC41" s="132"/>
      <c r="BD41" s="132"/>
      <c r="BE41" s="121">
        <f>VLOOKUP($A41,Model!$1:$1048576,MATCH(Quarterly!BE$3,Model!$3:$3,0),FALSE)</f>
        <v>1000</v>
      </c>
      <c r="BF41" s="121">
        <f>VLOOKUP($A41,Model!$1:$1048576,MATCH(Quarterly!BF$3,Model!$3:$3,0),FALSE)</f>
        <v>1500</v>
      </c>
      <c r="BG41" s="121">
        <f>VLOOKUP($A41,Model!$1:$1048576,MATCH(Quarterly!BG$3,Model!$3:$3,0),FALSE)</f>
        <v>1300</v>
      </c>
      <c r="BH41" s="121">
        <f>VLOOKUP($A41,Model!$1:$1048576,MATCH(Quarterly!BH$3,Model!$3:$3,0),FALSE)</f>
        <v>1400</v>
      </c>
      <c r="BI41" s="121">
        <f>VLOOKUP($A41,Model!$1:$1048576,MATCH(Quarterly!BI$3,Model!$3:$3,0),FALSE)</f>
        <v>1400</v>
      </c>
      <c r="BJ41" s="121">
        <f>VLOOKUP($A41,Model!$1:$1048576,MATCH(Quarterly!BJ$3,Model!$3:$3,0),FALSE)</f>
        <v>1800</v>
      </c>
      <c r="BK41" s="121">
        <f>VLOOKUP($A41,Model!$1:$1048576,MATCH(Quarterly!BK$3,Model!$3:$3,0),FALSE)</f>
        <v>1900</v>
      </c>
      <c r="BL41" s="121">
        <f>VLOOKUP($A41,Model!$1:$1048576,MATCH(Quarterly!BL$3,Model!$3:$3,0),FALSE)</f>
        <v>2200</v>
      </c>
      <c r="BM41" s="121">
        <f>VLOOKUP($A41,Model!$1:$1048576,MATCH(Quarterly!BM$3,Model!$3:$3,0),FALSE)</f>
        <v>2300</v>
      </c>
      <c r="BN41" s="307"/>
      <c r="BO41" s="307"/>
      <c r="BP41" s="163"/>
      <c r="BQ41" s="121"/>
      <c r="BR41" s="121"/>
      <c r="BS41" s="121"/>
      <c r="BT41" s="121"/>
      <c r="BU41" s="121">
        <f>VLOOKUP($A41,Model!$1:$1048576,MATCH(Quarterly!BU$3,Model!$3:$3,0),FALSE)</f>
        <v>2000</v>
      </c>
      <c r="BV41" s="121">
        <f>VLOOKUP($A41,Model!$1:$1048576,MATCH(Quarterly!BV$3,Model!$3:$3,0),FALSE)</f>
        <v>2800</v>
      </c>
      <c r="BW41" s="121">
        <f>VLOOKUP($A41,Model!$1:$1048576,MATCH(Quarterly!BW$3,Model!$3:$3,0),FALSE)</f>
        <v>2800</v>
      </c>
      <c r="BX41" s="121">
        <f>VLOOKUP($A41,Model!$1:$1048576,MATCH(Quarterly!BX$3,Model!$3:$3,0),FALSE)</f>
        <v>3700</v>
      </c>
      <c r="BY41" s="121">
        <f>VLOOKUP($A41,Model!$1:$1048576,MATCH(Quarterly!BY$3,Model!$3:$3,0),FALSE)</f>
        <v>4500</v>
      </c>
      <c r="BZ41" s="291"/>
    </row>
    <row r="42" spans="1:78">
      <c r="B42" s="267" t="s">
        <v>380</v>
      </c>
      <c r="C42" s="125"/>
      <c r="D42" s="125"/>
      <c r="E42" s="125"/>
      <c r="F42" s="125"/>
      <c r="G42" s="125"/>
      <c r="H42" s="125"/>
      <c r="I42" s="125"/>
      <c r="J42" s="125"/>
      <c r="K42" s="125"/>
      <c r="L42" s="125"/>
      <c r="M42" s="125"/>
      <c r="N42" s="125"/>
      <c r="O42" s="125"/>
      <c r="P42" s="125"/>
      <c r="Q42" s="125"/>
      <c r="R42" s="125"/>
      <c r="S42" s="120"/>
      <c r="T42" s="120"/>
      <c r="U42" s="120"/>
      <c r="V42" s="120"/>
      <c r="W42" s="340"/>
      <c r="X42" s="340"/>
      <c r="Y42" s="340">
        <f t="shared" ref="Y42:AL42" si="105">Y41/U41-1</f>
        <v>0.5</v>
      </c>
      <c r="Z42" s="340">
        <f t="shared" si="105"/>
        <v>0.16666666666666674</v>
      </c>
      <c r="AA42" s="340">
        <f t="shared" si="105"/>
        <v>-0.125</v>
      </c>
      <c r="AB42" s="340">
        <f t="shared" si="105"/>
        <v>0</v>
      </c>
      <c r="AC42" s="340">
        <f t="shared" si="105"/>
        <v>5.8333333333333348E-2</v>
      </c>
      <c r="AD42" s="340">
        <f t="shared" si="105"/>
        <v>9.2857142857142749E-2</v>
      </c>
      <c r="AE42" s="340">
        <f t="shared" si="105"/>
        <v>0.21714285714285708</v>
      </c>
      <c r="AF42" s="340">
        <f t="shared" si="105"/>
        <v>0.35428571428571431</v>
      </c>
      <c r="AG42" s="340">
        <f t="shared" si="105"/>
        <v>0.33228346456692903</v>
      </c>
      <c r="AH42" s="340">
        <f t="shared" si="105"/>
        <v>0.37777777777777777</v>
      </c>
      <c r="AI42" s="340">
        <f t="shared" si="105"/>
        <v>0.21244131455399051</v>
      </c>
      <c r="AJ42" s="340">
        <f t="shared" si="105"/>
        <v>0.231012658227848</v>
      </c>
      <c r="AK42" s="340">
        <f t="shared" si="105"/>
        <v>0.25650118203309691</v>
      </c>
      <c r="AL42" s="340">
        <f t="shared" si="105"/>
        <v>0.1736242884250474</v>
      </c>
      <c r="AM42" s="340">
        <f>AM41/AI41-1</f>
        <v>0.27879961277831566</v>
      </c>
      <c r="AN42" s="289"/>
      <c r="AO42" s="289"/>
      <c r="AP42" s="289"/>
      <c r="AQ42" s="289"/>
      <c r="AR42" s="289"/>
      <c r="AS42" s="289"/>
      <c r="AT42" s="289"/>
      <c r="AU42" s="181"/>
      <c r="AV42" s="132"/>
      <c r="AW42" s="132"/>
      <c r="AX42" s="132"/>
      <c r="AY42" s="132"/>
      <c r="AZ42" s="132"/>
      <c r="BA42" s="132"/>
      <c r="BB42" s="132"/>
      <c r="BC42" s="132"/>
      <c r="BD42" s="132"/>
      <c r="BE42" s="132"/>
      <c r="BF42" s="132"/>
      <c r="BG42" s="132">
        <f>BG41/BE41-1</f>
        <v>0.30000000000000004</v>
      </c>
      <c r="BH42" s="132">
        <f>BH41/BF41-1</f>
        <v>-6.6666666666666652E-2</v>
      </c>
      <c r="BI42" s="132">
        <f t="shared" ref="BI42" si="106">BI41/BG41-1</f>
        <v>7.6923076923076872E-2</v>
      </c>
      <c r="BJ42" s="132">
        <f t="shared" ref="BJ42" si="107">BJ41/BH41-1</f>
        <v>0.28571428571428581</v>
      </c>
      <c r="BK42" s="132">
        <f t="shared" ref="BK42" si="108">BK41/BI41-1</f>
        <v>0.35714285714285721</v>
      </c>
      <c r="BL42" s="132">
        <f t="shared" ref="BL42" si="109">BL41/BJ41-1</f>
        <v>0.22222222222222232</v>
      </c>
      <c r="BM42" s="132">
        <f t="shared" ref="BM42" si="110">BM41/BK41-1</f>
        <v>0.21052631578947367</v>
      </c>
      <c r="BN42" s="307"/>
      <c r="BO42" s="307"/>
      <c r="BP42" s="163"/>
      <c r="BQ42" s="122"/>
      <c r="BR42" s="122"/>
      <c r="BS42" s="122"/>
      <c r="BT42" s="122"/>
      <c r="BU42" s="122"/>
      <c r="BV42" s="122">
        <f t="shared" ref="BV42:BX42" si="111">BV41/BU41-1</f>
        <v>0.39999999999999991</v>
      </c>
      <c r="BW42" s="122">
        <f t="shared" si="111"/>
        <v>0</v>
      </c>
      <c r="BX42" s="122">
        <f t="shared" si="111"/>
        <v>0.3214285714285714</v>
      </c>
      <c r="BY42" s="122">
        <f>BY41/BX41-1</f>
        <v>0.21621621621621623</v>
      </c>
      <c r="BZ42" s="291"/>
    </row>
    <row r="43" spans="1:78">
      <c r="B43" s="267" t="s">
        <v>381</v>
      </c>
      <c r="C43" s="125"/>
      <c r="D43" s="125"/>
      <c r="E43" s="125"/>
      <c r="F43" s="125"/>
      <c r="G43" s="125"/>
      <c r="H43" s="125"/>
      <c r="I43" s="125"/>
      <c r="J43" s="125"/>
      <c r="K43" s="125"/>
      <c r="L43" s="125"/>
      <c r="M43" s="125"/>
      <c r="N43" s="125"/>
      <c r="O43" s="125"/>
      <c r="P43" s="125"/>
      <c r="Q43" s="125"/>
      <c r="R43" s="125"/>
      <c r="S43" s="120"/>
      <c r="T43" s="120"/>
      <c r="U43" s="127">
        <v>5.6000000000000001E-2</v>
      </c>
      <c r="V43" s="120"/>
      <c r="W43" s="127">
        <v>8.7999999999999995E-2</v>
      </c>
      <c r="X43" s="114">
        <f>X41/X6</f>
        <v>7.4499787143465307E-2</v>
      </c>
      <c r="Y43" s="120">
        <v>7.8E-2</v>
      </c>
      <c r="Z43" s="114">
        <f>Z41/Z6</f>
        <v>8.1623134328358216E-2</v>
      </c>
      <c r="AA43" s="120">
        <v>7.5999999999999998E-2</v>
      </c>
      <c r="AB43" s="114">
        <f>AB41/AB6</f>
        <v>6.9403133055720795E-2</v>
      </c>
      <c r="AC43" s="120">
        <v>7.2999999999999995E-2</v>
      </c>
      <c r="AD43" s="114">
        <f>AD41/AD6</f>
        <v>8.2613390928725702E-2</v>
      </c>
      <c r="AE43" s="120">
        <v>9.0999999999999998E-2</v>
      </c>
      <c r="AF43" s="114">
        <f>AF41/AF6</f>
        <v>8.9501510574018131E-2</v>
      </c>
      <c r="AG43" s="127">
        <v>9.2999999999999999E-2</v>
      </c>
      <c r="AH43" s="114">
        <f>AH41/AH6</f>
        <v>0.10334346504559271</v>
      </c>
      <c r="AI43" s="127">
        <v>0.109</v>
      </c>
      <c r="AJ43" s="114">
        <f>AJ41/AJ6</f>
        <v>0.10492717137205539</v>
      </c>
      <c r="AK43" s="127">
        <v>0.113</v>
      </c>
      <c r="AL43" s="114">
        <f>AL41/AL6</f>
        <v>0.1242342070904891</v>
      </c>
      <c r="AM43" s="127">
        <v>0.13300000000000001</v>
      </c>
      <c r="AN43" s="289"/>
      <c r="AO43" s="289"/>
      <c r="AP43" s="289"/>
      <c r="AQ43" s="289"/>
      <c r="AR43" s="289"/>
      <c r="AS43" s="289"/>
      <c r="AT43" s="289"/>
      <c r="AU43" s="181"/>
      <c r="AV43" s="132"/>
      <c r="AW43" s="132"/>
      <c r="AX43" s="132"/>
      <c r="AY43" s="132"/>
      <c r="AZ43" s="132"/>
      <c r="BA43" s="132"/>
      <c r="BB43" s="132"/>
      <c r="BC43" s="132"/>
      <c r="BD43" s="132"/>
      <c r="BE43" s="132">
        <f t="shared" ref="BE43" si="112">AVERAGE(U43:V43)</f>
        <v>5.6000000000000001E-2</v>
      </c>
      <c r="BF43" s="132">
        <f t="shared" ref="BF43" si="113">AVERAGE(W43:X43)</f>
        <v>8.1249893571732651E-2</v>
      </c>
      <c r="BG43" s="132">
        <f t="shared" ref="BG43" si="114">AVERAGE(Y43:Z43)</f>
        <v>7.9811567164179115E-2</v>
      </c>
      <c r="BH43" s="132">
        <f t="shared" ref="BH43" si="115">AVERAGE(AA43:AB43)</f>
        <v>7.270156652786039E-2</v>
      </c>
      <c r="BI43" s="132">
        <f t="shared" ref="BI43" si="116">AVERAGE(AC43:AD43)</f>
        <v>7.7806695464362849E-2</v>
      </c>
      <c r="BJ43" s="132">
        <f t="shared" ref="BJ43" si="117">AVERAGE(AE43:AF43)</f>
        <v>9.0250755287009071E-2</v>
      </c>
      <c r="BK43" s="132">
        <f t="shared" ref="BK43" si="118">AVERAGE(AG43:AH43)</f>
        <v>9.8171732522796346E-2</v>
      </c>
      <c r="BL43" s="132">
        <f t="shared" ref="BL43" si="119">AVERAGE(AI43:AJ43)</f>
        <v>0.10696358568602769</v>
      </c>
      <c r="BM43" s="132">
        <f t="shared" ref="BM43" si="120">AVERAGE(AK43:AL43)</f>
        <v>0.11861710354524455</v>
      </c>
      <c r="BN43" s="307"/>
      <c r="BO43" s="307"/>
      <c r="BP43" s="163"/>
      <c r="BQ43" s="122"/>
      <c r="BR43" s="122"/>
      <c r="BS43" s="122"/>
      <c r="BT43" s="122"/>
      <c r="BU43" s="122">
        <f t="shared" ref="BU43" si="121">AVERAGE(BD43:BE43)</f>
        <v>5.6000000000000001E-2</v>
      </c>
      <c r="BV43" s="122">
        <f t="shared" ref="BV43" si="122">AVERAGE(BF43:BG43)</f>
        <v>8.0530730367955883E-2</v>
      </c>
      <c r="BW43" s="122">
        <f t="shared" ref="BW43" si="123">AVERAGE(BH43:BI43)</f>
        <v>7.5254130996111612E-2</v>
      </c>
      <c r="BX43" s="122">
        <f t="shared" ref="BX43" si="124">AVERAGE(BJ43:BK43)</f>
        <v>9.4211243904902708E-2</v>
      </c>
      <c r="BY43" s="122">
        <f t="shared" ref="BY43" si="125">AVERAGE(BL43:BM43)</f>
        <v>0.11279034461563611</v>
      </c>
      <c r="BZ43" s="291"/>
    </row>
    <row r="44" spans="1:78">
      <c r="B44" s="267" t="s">
        <v>454</v>
      </c>
      <c r="C44" s="125"/>
      <c r="D44" s="125"/>
      <c r="E44" s="125"/>
      <c r="F44" s="125"/>
      <c r="G44" s="125"/>
      <c r="H44" s="125"/>
      <c r="I44" s="125"/>
      <c r="J44" s="125"/>
      <c r="K44" s="125"/>
      <c r="L44" s="125"/>
      <c r="M44" s="125"/>
      <c r="N44" s="125"/>
      <c r="O44" s="125"/>
      <c r="P44" s="125"/>
      <c r="Q44" s="125"/>
      <c r="R44" s="125"/>
      <c r="S44" s="120"/>
      <c r="T44" s="120"/>
      <c r="U44" s="341"/>
      <c r="V44" s="341"/>
      <c r="W44" s="341"/>
      <c r="X44" s="341"/>
      <c r="Y44" s="341">
        <f t="shared" ref="Y44:AM44" si="126">(Y41-U41)/U6</f>
        <v>2.53324889170361E-2</v>
      </c>
      <c r="Z44" s="341">
        <f t="shared" si="126"/>
        <v>1.2253400318588408E-2</v>
      </c>
      <c r="AA44" s="341">
        <f t="shared" si="126"/>
        <v>-1.1600928074245939E-2</v>
      </c>
      <c r="AB44" s="341">
        <f t="shared" si="126"/>
        <v>0</v>
      </c>
      <c r="AC44" s="341">
        <f t="shared" si="126"/>
        <v>4.3575697211155374E-3</v>
      </c>
      <c r="AD44" s="341">
        <f t="shared" si="126"/>
        <v>7.5792910447761196E-3</v>
      </c>
      <c r="AE44" s="341">
        <f t="shared" si="126"/>
        <v>1.7329836962718049E-2</v>
      </c>
      <c r="AF44" s="341">
        <f t="shared" si="126"/>
        <v>2.4588538568312512E-2</v>
      </c>
      <c r="AG44" s="341">
        <f t="shared" si="126"/>
        <v>2.4452427859543401E-2</v>
      </c>
      <c r="AH44" s="341">
        <f t="shared" si="126"/>
        <v>3.120950323974082E-2</v>
      </c>
      <c r="AI44" s="341">
        <f t="shared" si="126"/>
        <v>1.9703897234922708E-2</v>
      </c>
      <c r="AJ44" s="341">
        <f t="shared" si="126"/>
        <v>2.0675981873111784E-2</v>
      </c>
      <c r="AK44" s="341">
        <f t="shared" si="126"/>
        <v>2.3938223938223938E-2</v>
      </c>
      <c r="AL44" s="341">
        <f t="shared" si="126"/>
        <v>1.7942935581919797E-2</v>
      </c>
      <c r="AM44" s="341">
        <f t="shared" si="126"/>
        <v>3.0293467970968761E-2</v>
      </c>
      <c r="AN44" s="289"/>
      <c r="AO44" s="289"/>
      <c r="AP44" s="289"/>
      <c r="AQ44" s="289"/>
      <c r="AR44" s="289"/>
      <c r="AS44" s="289"/>
      <c r="AT44" s="289"/>
      <c r="AU44" s="181"/>
      <c r="AV44" s="132"/>
      <c r="AW44" s="132"/>
      <c r="AX44" s="132"/>
      <c r="AY44" s="132"/>
      <c r="AZ44" s="132"/>
      <c r="BA44" s="132"/>
      <c r="BB44" s="132"/>
      <c r="BC44" s="132"/>
      <c r="BD44" s="132"/>
      <c r="BE44" s="132"/>
      <c r="BF44" s="132"/>
      <c r="BG44" s="132"/>
      <c r="BH44" s="132"/>
      <c r="BI44" s="132"/>
      <c r="BJ44" s="132"/>
      <c r="BK44" s="132"/>
      <c r="BL44" s="132"/>
      <c r="BM44" s="132"/>
      <c r="BN44" s="307"/>
      <c r="BO44" s="307"/>
      <c r="BP44" s="163"/>
      <c r="BQ44" s="122"/>
      <c r="BR44" s="122"/>
      <c r="BS44" s="122"/>
      <c r="BT44" s="122"/>
      <c r="BU44" s="122"/>
      <c r="BV44" s="122"/>
      <c r="BW44" s="122"/>
      <c r="BX44" s="122"/>
      <c r="BY44" s="122"/>
      <c r="BZ44" s="291"/>
    </row>
    <row r="45" spans="1:78">
      <c r="B45" s="83"/>
      <c r="C45" s="109"/>
      <c r="D45" s="109"/>
      <c r="E45" s="109"/>
      <c r="F45" s="109"/>
      <c r="G45" s="109"/>
      <c r="H45" s="109"/>
      <c r="I45" s="109"/>
      <c r="J45" s="109"/>
      <c r="K45" s="109"/>
      <c r="L45" s="109"/>
      <c r="M45" s="109"/>
      <c r="N45" s="109"/>
      <c r="O45" s="109"/>
      <c r="P45" s="109"/>
      <c r="Q45" s="109"/>
      <c r="R45" s="109"/>
      <c r="S45" s="46"/>
      <c r="T45" s="46"/>
      <c r="U45" s="46"/>
      <c r="V45" s="46"/>
      <c r="W45" s="46"/>
      <c r="X45" s="109"/>
      <c r="Y45" s="46"/>
      <c r="Z45" s="46"/>
      <c r="AA45" s="46"/>
      <c r="AB45" s="46"/>
      <c r="AC45" s="46"/>
      <c r="AD45" s="46"/>
      <c r="AE45" s="46"/>
      <c r="AF45" s="46"/>
      <c r="AG45" s="46"/>
      <c r="AH45" s="46"/>
      <c r="AI45" s="110"/>
      <c r="AJ45" s="110"/>
      <c r="AK45" s="110"/>
      <c r="AL45" s="110"/>
      <c r="AM45" s="110"/>
      <c r="AN45" s="181"/>
      <c r="AO45" s="181"/>
      <c r="AP45" s="163"/>
      <c r="AQ45" s="163"/>
      <c r="AR45" s="163"/>
      <c r="AS45" s="163"/>
      <c r="AT45" s="163"/>
      <c r="AU45" s="181"/>
      <c r="AV45" s="46"/>
      <c r="AW45" s="46"/>
      <c r="AX45" s="46"/>
      <c r="AY45" s="46"/>
      <c r="AZ45" s="46"/>
      <c r="BA45" s="46"/>
      <c r="BB45" s="46"/>
      <c r="BC45" s="46"/>
      <c r="BD45" s="46"/>
      <c r="BE45" s="46"/>
      <c r="BF45" s="46"/>
      <c r="BG45" s="46"/>
      <c r="BH45" s="46"/>
      <c r="BI45" s="46"/>
      <c r="BJ45" s="46"/>
      <c r="BK45" s="46"/>
      <c r="BL45" s="46"/>
      <c r="BM45" s="46"/>
      <c r="BN45" s="163"/>
      <c r="BO45" s="163"/>
      <c r="BP45" s="163"/>
      <c r="BQ45" s="46"/>
      <c r="BR45" s="46"/>
      <c r="BS45" s="46"/>
      <c r="BT45" s="46"/>
      <c r="BU45" s="46"/>
      <c r="BV45" s="46"/>
      <c r="BW45" s="46"/>
      <c r="BX45" s="46"/>
      <c r="BY45" s="46"/>
      <c r="BZ45" s="163"/>
    </row>
    <row r="46" spans="1:78">
      <c r="B46" s="82" t="s">
        <v>382</v>
      </c>
      <c r="C46" s="109"/>
      <c r="D46" s="109"/>
      <c r="E46" s="109"/>
      <c r="F46" s="109"/>
      <c r="G46" s="109"/>
      <c r="H46" s="109"/>
      <c r="I46" s="109"/>
      <c r="J46" s="109"/>
      <c r="K46" s="109"/>
      <c r="L46" s="109"/>
      <c r="M46" s="109"/>
      <c r="N46" s="109"/>
      <c r="O46" s="109"/>
      <c r="P46" s="109"/>
      <c r="Q46" s="109"/>
      <c r="R46" s="109"/>
      <c r="S46" s="46"/>
      <c r="T46" s="46"/>
      <c r="U46" s="46"/>
      <c r="V46" s="46"/>
      <c r="W46" s="46"/>
      <c r="X46" s="109"/>
      <c r="Y46" s="46"/>
      <c r="Z46" s="46"/>
      <c r="AA46" s="46"/>
      <c r="AB46" s="46"/>
      <c r="AC46" s="46"/>
      <c r="AD46" s="46"/>
      <c r="AE46" s="46"/>
      <c r="AF46" s="46"/>
      <c r="AG46" s="46"/>
      <c r="AH46" s="46"/>
      <c r="AI46" s="109"/>
      <c r="AJ46" s="109"/>
      <c r="AK46" s="109"/>
      <c r="AL46" s="109"/>
      <c r="AM46" s="109"/>
      <c r="AN46" s="181"/>
      <c r="AO46" s="181"/>
      <c r="AP46" s="163"/>
      <c r="AQ46" s="163"/>
      <c r="AR46" s="163"/>
      <c r="AS46" s="163"/>
      <c r="AT46" s="163"/>
      <c r="AU46" s="181"/>
      <c r="AV46" s="46"/>
      <c r="AW46" s="46"/>
      <c r="AX46" s="46"/>
      <c r="AY46" s="46"/>
      <c r="AZ46" s="46"/>
      <c r="BA46" s="46"/>
      <c r="BB46" s="46"/>
      <c r="BC46" s="46"/>
      <c r="BD46" s="46"/>
      <c r="BE46" s="46"/>
      <c r="BF46" s="46"/>
      <c r="BG46" s="46"/>
      <c r="BH46" s="46"/>
      <c r="BI46" s="46"/>
      <c r="BJ46" s="46"/>
      <c r="BK46" s="46"/>
      <c r="BL46" s="46"/>
      <c r="BM46" s="46"/>
      <c r="BN46" s="163"/>
      <c r="BO46" s="163"/>
      <c r="BP46" s="163"/>
      <c r="BQ46" s="46"/>
      <c r="BR46" s="46"/>
      <c r="BS46" s="46"/>
      <c r="BT46" s="46"/>
      <c r="BU46" s="46"/>
      <c r="BV46" s="46"/>
      <c r="BW46" s="46"/>
      <c r="BX46" s="46"/>
      <c r="BY46" s="46"/>
      <c r="BZ46" s="163"/>
    </row>
    <row r="47" spans="1:78">
      <c r="B47" s="83" t="s">
        <v>383</v>
      </c>
      <c r="C47" s="125"/>
      <c r="D47" s="125"/>
      <c r="E47" s="125"/>
      <c r="F47" s="125"/>
      <c r="G47" s="282">
        <v>-2.3E-2</v>
      </c>
      <c r="H47" s="282">
        <v>-8.9999999999999993E-3</v>
      </c>
      <c r="I47" s="282">
        <v>-7.0000000000000001E-3</v>
      </c>
      <c r="J47" s="282">
        <v>-6.0000000000000001E-3</v>
      </c>
      <c r="K47" s="275">
        <v>6.0000000000000001E-3</v>
      </c>
      <c r="L47" s="125">
        <v>4.0000000000000001E-3</v>
      </c>
      <c r="M47" s="275">
        <v>8.9999999999999993E-3</v>
      </c>
      <c r="N47" s="125">
        <v>1.4E-2</v>
      </c>
      <c r="O47" s="275">
        <v>1.4E-2</v>
      </c>
      <c r="P47" s="285">
        <f>(BB47-0.5*O47)/0.5</f>
        <v>2.0000000000000004E-2</v>
      </c>
      <c r="Q47" s="275">
        <v>1.7999999999999999E-2</v>
      </c>
      <c r="R47" s="275">
        <v>3.5999999999999997E-2</v>
      </c>
      <c r="S47" s="275">
        <v>2.5999999999999999E-2</v>
      </c>
      <c r="T47" s="285">
        <f>(BD47-0.5*S47)/0.5</f>
        <v>0.02</v>
      </c>
      <c r="U47" s="275">
        <v>-2E-3</v>
      </c>
      <c r="V47" s="275">
        <v>-1.0999999999999999E-2</v>
      </c>
      <c r="W47" s="275">
        <v>-3.0000000000000001E-3</v>
      </c>
      <c r="X47" s="285">
        <f>(BF47-0.5*W47)/0.5</f>
        <v>-1E-3</v>
      </c>
      <c r="Y47" s="275">
        <v>3.3000000000000002E-2</v>
      </c>
      <c r="Z47" s="285">
        <f>(BG47-0.5*Y47)/0.5</f>
        <v>4.2999999999999997E-2</v>
      </c>
      <c r="AA47" s="275">
        <v>7.0999999999999994E-2</v>
      </c>
      <c r="AB47" s="285">
        <f>(BH47-0.5*AA47)/0.5</f>
        <v>7.6999999999999999E-2</v>
      </c>
      <c r="AC47" s="275">
        <v>6.2E-2</v>
      </c>
      <c r="AD47" s="285">
        <f>(BI47-0.5*AC47)/0.5</f>
        <v>5.7999999999999996E-2</v>
      </c>
      <c r="AE47" s="275">
        <v>3.1E-2</v>
      </c>
      <c r="AF47" s="285">
        <f>(BJ47-0.5*AE47)/0.5</f>
        <v>2.8999999999999998E-2</v>
      </c>
      <c r="AG47" s="275">
        <v>2.1999999999999999E-2</v>
      </c>
      <c r="AH47" s="285">
        <f>(BK47-0.5*AG47)/0.5</f>
        <v>1.3999999999999999E-2</v>
      </c>
      <c r="AI47" s="120">
        <v>1.4999999999999999E-2</v>
      </c>
      <c r="AJ47" s="285">
        <f>(BL47-0.5*AI47)/0.5</f>
        <v>1.3000000000000001E-2</v>
      </c>
      <c r="AK47" s="275">
        <v>1.4999999999999999E-2</v>
      </c>
      <c r="AL47" s="285">
        <f>(BM47-0.5*AK47)/0.5</f>
        <v>1.4999999999999999E-2</v>
      </c>
      <c r="AM47" s="49">
        <v>1.6E-2</v>
      </c>
      <c r="AN47" s="289"/>
      <c r="AO47" s="289"/>
      <c r="AP47" s="289"/>
      <c r="AQ47" s="289"/>
      <c r="AR47" s="289"/>
      <c r="AS47" s="289"/>
      <c r="AT47" s="289"/>
      <c r="AU47" s="181"/>
      <c r="AV47" s="132"/>
      <c r="AW47" s="132"/>
      <c r="AX47" s="123">
        <f>AVERAGE(G47:H47)</f>
        <v>-1.6E-2</v>
      </c>
      <c r="AY47" s="123">
        <f>AVERAGE(I47:J47)</f>
        <v>-6.5000000000000006E-3</v>
      </c>
      <c r="AZ47" s="123">
        <v>5.0000000000000001E-3</v>
      </c>
      <c r="BA47" s="123">
        <v>1.2E-2</v>
      </c>
      <c r="BB47" s="123">
        <v>1.7000000000000001E-2</v>
      </c>
      <c r="BC47" s="123">
        <v>3.1E-2</v>
      </c>
      <c r="BD47" s="123">
        <v>2.3E-2</v>
      </c>
      <c r="BE47" s="123">
        <v>-6.0000000000000001E-3</v>
      </c>
      <c r="BF47" s="123">
        <v>-2E-3</v>
      </c>
      <c r="BG47" s="123">
        <v>3.7999999999999999E-2</v>
      </c>
      <c r="BH47" s="123">
        <v>7.3999999999999996E-2</v>
      </c>
      <c r="BI47" s="123">
        <v>0.06</v>
      </c>
      <c r="BJ47" s="123">
        <v>0.03</v>
      </c>
      <c r="BK47" s="123">
        <v>1.7999999999999999E-2</v>
      </c>
      <c r="BL47" s="123">
        <v>1.4E-2</v>
      </c>
      <c r="BM47" s="123">
        <v>1.4999999999999999E-2</v>
      </c>
      <c r="BN47" s="307"/>
      <c r="BO47" s="307"/>
      <c r="BP47" s="163"/>
      <c r="BQ47" s="122"/>
      <c r="BR47" s="122">
        <f>AVERAGE(AX47:AY47)</f>
        <v>-1.125E-2</v>
      </c>
      <c r="BS47" s="122">
        <f>AVERAGE(AZ47:BA47)</f>
        <v>8.5000000000000006E-3</v>
      </c>
      <c r="BT47" s="122">
        <f>AVERAGE(BB47:BC47)</f>
        <v>2.4E-2</v>
      </c>
      <c r="BU47" s="122">
        <f>AVERAGE(BD47:BE47)</f>
        <v>8.5000000000000006E-3</v>
      </c>
      <c r="BV47" s="122">
        <f>AVERAGE(BF47:BG47)</f>
        <v>1.7999999999999999E-2</v>
      </c>
      <c r="BW47" s="122">
        <f>AVERAGE(BH47:BI47)</f>
        <v>6.7000000000000004E-2</v>
      </c>
      <c r="BX47" s="122">
        <f>AVERAGE(BJ47:BK47)</f>
        <v>2.4E-2</v>
      </c>
      <c r="BY47" s="122">
        <f>AVERAGE(BL47:BM47)</f>
        <v>1.4499999999999999E-2</v>
      </c>
      <c r="BZ47" s="291"/>
    </row>
    <row r="48" spans="1:78">
      <c r="B48" s="83" t="s">
        <v>384</v>
      </c>
      <c r="C48" s="125"/>
      <c r="D48" s="125"/>
      <c r="E48" s="125"/>
      <c r="F48" s="125"/>
      <c r="G48" s="125"/>
      <c r="H48" s="125"/>
      <c r="I48" s="125"/>
      <c r="J48" s="125"/>
      <c r="K48" s="275">
        <v>-4.0000000000000001E-3</v>
      </c>
      <c r="L48" s="125">
        <v>-7.0000000000000001E-3</v>
      </c>
      <c r="M48" s="275">
        <v>0</v>
      </c>
      <c r="N48" s="125">
        <v>7.0000000000000001E-3</v>
      </c>
      <c r="O48" s="275"/>
      <c r="P48" s="285"/>
      <c r="Q48" s="275"/>
      <c r="R48" s="275"/>
      <c r="S48" s="275"/>
      <c r="T48" s="285"/>
      <c r="U48" s="275"/>
      <c r="V48" s="275"/>
      <c r="W48" s="275"/>
      <c r="X48" s="285"/>
      <c r="Y48" s="275"/>
      <c r="Z48" s="285"/>
      <c r="AA48" s="275"/>
      <c r="AB48" s="285"/>
      <c r="AC48" s="275">
        <v>6.4000000000000001E-2</v>
      </c>
      <c r="AD48" s="285">
        <f>(BI48-0.5*AC48)/0.5</f>
        <v>-6.4000000000000001E-2</v>
      </c>
      <c r="AE48" s="275">
        <v>3.1E-2</v>
      </c>
      <c r="AF48" s="285">
        <f>(BJ48-0.5*AE48)/0.5</f>
        <v>2.7000000000000003E-2</v>
      </c>
      <c r="AG48" s="275">
        <v>1.9E-2</v>
      </c>
      <c r="AH48" s="285">
        <f>(BK48-0.5*AG48)/0.5</f>
        <v>1.0999999999999999E-2</v>
      </c>
      <c r="AI48" s="120">
        <v>0.01</v>
      </c>
      <c r="AJ48" s="285">
        <f>(BL48-0.5*AI48)/0.5</f>
        <v>0.01</v>
      </c>
      <c r="AK48" s="275">
        <v>1.0999999999999999E-2</v>
      </c>
      <c r="AL48" s="285">
        <f>(BM48-0.5*AK48)/0.5</f>
        <v>1.7000000000000001E-2</v>
      </c>
      <c r="AM48" s="49">
        <v>1.2E-2</v>
      </c>
      <c r="AN48" s="289"/>
      <c r="AO48" s="289"/>
      <c r="AP48" s="289"/>
      <c r="AQ48" s="289"/>
      <c r="AR48" s="289"/>
      <c r="AS48" s="289"/>
      <c r="AT48" s="289"/>
      <c r="AU48" s="181"/>
      <c r="AV48" s="132"/>
      <c r="AW48" s="132"/>
      <c r="AX48" s="123"/>
      <c r="AY48" s="123"/>
      <c r="AZ48" s="123"/>
      <c r="BA48" s="123"/>
      <c r="BB48" s="123"/>
      <c r="BC48" s="123"/>
      <c r="BD48" s="123"/>
      <c r="BE48" s="123"/>
      <c r="BF48" s="123"/>
      <c r="BG48" s="123"/>
      <c r="BH48" s="123"/>
      <c r="BI48" s="123"/>
      <c r="BJ48" s="123">
        <v>2.9000000000000001E-2</v>
      </c>
      <c r="BK48" s="123">
        <v>1.4999999999999999E-2</v>
      </c>
      <c r="BL48" s="123">
        <v>0.01</v>
      </c>
      <c r="BM48" s="123">
        <v>1.4E-2</v>
      </c>
      <c r="BN48" s="307"/>
      <c r="BO48" s="307"/>
      <c r="BP48" s="163"/>
      <c r="BQ48" s="122"/>
      <c r="BR48" s="122"/>
      <c r="BS48" s="122"/>
      <c r="BT48" s="122"/>
      <c r="BU48" s="122"/>
      <c r="BV48" s="122"/>
      <c r="BW48" s="122"/>
      <c r="BX48" s="122">
        <f t="shared" ref="BX48" si="127">AVERAGE(BJ48:BK48)</f>
        <v>2.1999999999999999E-2</v>
      </c>
      <c r="BY48" s="122">
        <f t="shared" ref="BY48" si="128">AVERAGE(BL48:BM48)</f>
        <v>1.2E-2</v>
      </c>
      <c r="BZ48" s="291"/>
    </row>
    <row r="49" spans="1:78">
      <c r="B49" s="83" t="s">
        <v>385</v>
      </c>
      <c r="C49" s="109"/>
      <c r="D49" s="109"/>
      <c r="E49" s="109"/>
      <c r="F49" s="109"/>
      <c r="G49" s="109"/>
      <c r="H49" s="109"/>
      <c r="I49" s="109"/>
      <c r="J49" s="109"/>
      <c r="K49" s="275">
        <v>-1.2E-2</v>
      </c>
      <c r="L49" s="273">
        <v>-1.0999999999999999E-2</v>
      </c>
      <c r="M49" s="275">
        <v>-1.4E-2</v>
      </c>
      <c r="N49" s="273">
        <v>-8.9999999999999993E-3</v>
      </c>
      <c r="O49" s="275">
        <v>2E-3</v>
      </c>
      <c r="P49" s="285">
        <f>(BB49-0.5*O49)/0.5</f>
        <v>6.0000000000000001E-3</v>
      </c>
      <c r="Q49" s="275">
        <v>2.5999999999999999E-2</v>
      </c>
      <c r="R49" s="275">
        <v>3.3000000000000002E-2</v>
      </c>
      <c r="S49" s="275">
        <v>8.0000000000000002E-3</v>
      </c>
      <c r="T49" s="285">
        <f>(BD49-0.5*S49)/0.5</f>
        <v>6.0000000000000001E-3</v>
      </c>
      <c r="U49" s="275">
        <v>-8.0000000000000002E-3</v>
      </c>
      <c r="V49" s="275">
        <v>-3.6999999999999998E-2</v>
      </c>
      <c r="W49" s="275">
        <v>-8.0000000000000002E-3</v>
      </c>
      <c r="X49" s="285">
        <f>(BF49-0.5*W49)/0.5</f>
        <v>4.0000000000000001E-3</v>
      </c>
      <c r="Y49" s="275">
        <v>2.9000000000000001E-2</v>
      </c>
      <c r="Z49" s="285">
        <f>(BG49-0.5*Y49)/0.5</f>
        <v>4.2999999999999997E-2</v>
      </c>
      <c r="AA49" s="275">
        <v>6.7000000000000004E-2</v>
      </c>
      <c r="AB49" s="285">
        <f>(BH49-0.5*AA49)/0.5</f>
        <v>8.4999999999999992E-2</v>
      </c>
      <c r="AC49" s="275">
        <v>7.5999999999999998E-2</v>
      </c>
      <c r="AD49" s="285">
        <f>(BI49-0.5*AC49)/0.5</f>
        <v>7.8E-2</v>
      </c>
      <c r="AE49" s="275">
        <v>6.3E-2</v>
      </c>
      <c r="AF49" s="285">
        <f>(BJ49-0.5*AE49)/0.5</f>
        <v>3.3000000000000002E-2</v>
      </c>
      <c r="AG49" s="275">
        <v>3.3000000000000002E-2</v>
      </c>
      <c r="AH49" s="285">
        <f>(BK49-0.5*AG49)/0.5</f>
        <v>6.9999999999999993E-3</v>
      </c>
      <c r="AI49" s="123">
        <v>1E-3</v>
      </c>
      <c r="AJ49" s="285">
        <f>(BL49-0.5*AI49)/0.5</f>
        <v>1E-3</v>
      </c>
      <c r="AK49" s="275">
        <v>-3.0000000000000001E-3</v>
      </c>
      <c r="AL49" s="285">
        <f>(BM49-0.5*AK49)/0.5</f>
        <v>1.0999999999999999E-2</v>
      </c>
      <c r="AM49" s="123">
        <v>8.9999999999999993E-3</v>
      </c>
      <c r="AN49" s="181"/>
      <c r="AO49" s="181"/>
      <c r="AP49" s="163"/>
      <c r="AQ49" s="163"/>
      <c r="AR49" s="163"/>
      <c r="AS49" s="163"/>
      <c r="AT49" s="163"/>
      <c r="AU49" s="181"/>
      <c r="AV49" s="132"/>
      <c r="AW49" s="132"/>
      <c r="AX49" s="123"/>
      <c r="AY49" s="123"/>
      <c r="AZ49" s="123">
        <v>-1.2E-2</v>
      </c>
      <c r="BA49" s="123">
        <v>-1.2E-2</v>
      </c>
      <c r="BB49" s="123">
        <v>4.0000000000000001E-3</v>
      </c>
      <c r="BC49" s="123">
        <v>2.5999999999999999E-2</v>
      </c>
      <c r="BD49" s="123">
        <v>7.0000000000000001E-3</v>
      </c>
      <c r="BE49" s="123">
        <v>-2.1999999999999999E-2</v>
      </c>
      <c r="BF49" s="123">
        <v>-2E-3</v>
      </c>
      <c r="BG49" s="123">
        <v>3.5999999999999997E-2</v>
      </c>
      <c r="BH49" s="123">
        <v>7.5999999999999998E-2</v>
      </c>
      <c r="BI49" s="123">
        <v>7.6999999999999999E-2</v>
      </c>
      <c r="BJ49" s="123">
        <v>4.8000000000000001E-2</v>
      </c>
      <c r="BK49" s="123">
        <v>0.02</v>
      </c>
      <c r="BL49" s="123">
        <v>1E-3</v>
      </c>
      <c r="BM49" s="123">
        <v>4.0000000000000001E-3</v>
      </c>
      <c r="BN49" s="307"/>
      <c r="BO49" s="307"/>
      <c r="BP49" s="163"/>
      <c r="BQ49" s="122"/>
      <c r="BR49" s="122"/>
      <c r="BS49" s="122">
        <f>AVERAGE(AZ49:BA49)</f>
        <v>-1.2E-2</v>
      </c>
      <c r="BT49" s="122">
        <f>AVERAGE(BB49:BC49)</f>
        <v>1.4999999999999999E-2</v>
      </c>
      <c r="BU49" s="122">
        <f>AVERAGE(BD49:BE49)</f>
        <v>-7.4999999999999997E-3</v>
      </c>
      <c r="BV49" s="122">
        <f>AVERAGE(BF49:BG49)</f>
        <v>1.6999999999999998E-2</v>
      </c>
      <c r="BW49" s="122">
        <f>AVERAGE(BH49:BI49)</f>
        <v>7.6499999999999999E-2</v>
      </c>
      <c r="BX49" s="122">
        <f>AVERAGE(BJ49:BK49)</f>
        <v>3.4000000000000002E-2</v>
      </c>
      <c r="BY49" s="122">
        <f>AVERAGE(BL49:BM49)</f>
        <v>2.5000000000000001E-3</v>
      </c>
      <c r="BZ49" s="291"/>
    </row>
    <row r="50" spans="1:78">
      <c r="B50" s="83"/>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09"/>
      <c r="AL50" s="109"/>
      <c r="AM50" s="109"/>
      <c r="AN50" s="181"/>
      <c r="AO50" s="181"/>
      <c r="AP50" s="163"/>
      <c r="AQ50" s="163"/>
      <c r="AR50" s="163"/>
      <c r="AS50" s="163"/>
      <c r="AT50" s="163"/>
      <c r="AU50" s="181"/>
      <c r="AV50" s="132"/>
      <c r="AW50" s="132"/>
      <c r="AX50" s="132"/>
      <c r="AY50" s="132"/>
      <c r="AZ50" s="132"/>
      <c r="BA50" s="132"/>
      <c r="BB50" s="132"/>
      <c r="BC50" s="132"/>
      <c r="BD50" s="132"/>
      <c r="BE50" s="132"/>
      <c r="BF50" s="132"/>
      <c r="BG50" s="132"/>
      <c r="BH50" s="132"/>
      <c r="BI50" s="132"/>
      <c r="BJ50" s="132"/>
      <c r="BK50" s="132"/>
      <c r="BL50" s="132"/>
      <c r="BM50" s="132"/>
      <c r="BN50" s="307"/>
      <c r="BO50" s="307"/>
      <c r="BP50" s="163"/>
      <c r="BQ50" s="122"/>
      <c r="BR50" s="122"/>
      <c r="BS50" s="122"/>
      <c r="BT50" s="122"/>
      <c r="BU50" s="122"/>
      <c r="BV50" s="122"/>
      <c r="BW50" s="122"/>
      <c r="BX50" s="122"/>
      <c r="BY50" s="122"/>
      <c r="BZ50" s="291"/>
    </row>
    <row r="51" spans="1:78">
      <c r="B51" s="82" t="s">
        <v>121</v>
      </c>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109"/>
      <c r="AJ51" s="109"/>
      <c r="AK51" s="109"/>
      <c r="AL51" s="109"/>
      <c r="AM51" s="109"/>
      <c r="AN51" s="181"/>
      <c r="AO51" s="163"/>
      <c r="AP51" s="163"/>
      <c r="AQ51" s="163"/>
      <c r="AR51" s="163"/>
      <c r="AS51" s="163"/>
      <c r="AT51" s="163"/>
      <c r="AU51" s="181"/>
      <c r="AV51" s="46"/>
      <c r="AW51" s="46"/>
      <c r="AX51" s="46"/>
      <c r="AY51" s="46"/>
      <c r="AZ51" s="46"/>
      <c r="BA51" s="46"/>
      <c r="BB51" s="46"/>
      <c r="BC51" s="46"/>
      <c r="BD51" s="46"/>
      <c r="BE51" s="46"/>
      <c r="BF51" s="46"/>
      <c r="BG51" s="46"/>
      <c r="BH51" s="46"/>
      <c r="BI51" s="46"/>
      <c r="BJ51" s="46"/>
      <c r="BK51" s="46"/>
      <c r="BL51" s="46"/>
      <c r="BM51" s="46"/>
      <c r="BN51" s="163"/>
      <c r="BO51" s="163"/>
      <c r="BP51" s="163"/>
      <c r="BQ51" s="46"/>
      <c r="BR51" s="46"/>
      <c r="BS51" s="46"/>
      <c r="BT51" s="46"/>
      <c r="BU51" s="46"/>
      <c r="BV51" s="46"/>
      <c r="BW51" s="46"/>
      <c r="BX51" s="46"/>
      <c r="BY51" s="46"/>
      <c r="BZ51" s="163"/>
    </row>
    <row r="52" spans="1:78">
      <c r="B52" s="83" t="s">
        <v>122</v>
      </c>
      <c r="C52" s="46"/>
      <c r="D52" s="46"/>
      <c r="E52" s="46"/>
      <c r="F52" s="46"/>
      <c r="G52" s="46"/>
      <c r="H52" s="46"/>
      <c r="I52" s="46"/>
      <c r="J52" s="46"/>
      <c r="K52" s="46"/>
      <c r="L52" s="46"/>
      <c r="M52" s="34">
        <v>818</v>
      </c>
      <c r="N52" s="34"/>
      <c r="O52" s="34">
        <v>824</v>
      </c>
      <c r="P52" s="34"/>
      <c r="Q52" s="34">
        <v>825</v>
      </c>
      <c r="R52" s="34"/>
      <c r="S52" s="34">
        <v>830</v>
      </c>
      <c r="T52" s="34"/>
      <c r="U52" s="34">
        <v>831</v>
      </c>
      <c r="V52" s="34"/>
      <c r="W52" s="34">
        <v>836</v>
      </c>
      <c r="X52" s="34"/>
      <c r="Y52" s="34">
        <v>834</v>
      </c>
      <c r="Z52" s="33"/>
      <c r="AA52" s="34">
        <v>838</v>
      </c>
      <c r="AB52" s="34"/>
      <c r="AC52" s="34">
        <v>851</v>
      </c>
      <c r="AD52" s="33"/>
      <c r="AE52" s="34">
        <v>857</v>
      </c>
      <c r="AF52" s="34"/>
      <c r="AG52" s="34">
        <v>857</v>
      </c>
      <c r="AH52" s="33"/>
      <c r="AI52" s="34">
        <v>857</v>
      </c>
      <c r="AJ52" s="34"/>
      <c r="AK52" s="34">
        <v>858</v>
      </c>
      <c r="AL52" s="34"/>
      <c r="AM52" s="34">
        <v>862</v>
      </c>
      <c r="AN52" s="204"/>
      <c r="AO52" s="169"/>
      <c r="AP52" s="169"/>
      <c r="AQ52" s="169"/>
      <c r="AR52" s="169"/>
      <c r="AS52" s="169"/>
      <c r="AT52" s="169"/>
      <c r="AU52" s="181"/>
      <c r="AV52" s="46"/>
      <c r="AW52" s="46"/>
      <c r="AX52" s="46"/>
      <c r="AY52" s="46"/>
      <c r="AZ52" s="46"/>
      <c r="BA52" s="46"/>
      <c r="BB52" s="46"/>
      <c r="BC52" s="46"/>
      <c r="BD52" s="46"/>
      <c r="BE52" s="46"/>
      <c r="BF52" s="46"/>
      <c r="BG52" s="46"/>
      <c r="BH52" s="46"/>
      <c r="BI52" s="46"/>
      <c r="BJ52" s="46"/>
      <c r="BK52" s="46"/>
      <c r="BL52" s="46"/>
      <c r="BM52" s="46"/>
      <c r="BN52" s="163"/>
      <c r="BO52" s="163"/>
      <c r="BP52" s="163"/>
      <c r="BQ52" s="46"/>
      <c r="BR52" s="46"/>
      <c r="BS52" s="46"/>
      <c r="BT52" s="46"/>
      <c r="BU52" s="46"/>
      <c r="BV52" s="46"/>
      <c r="BW52" s="46"/>
      <c r="BX52" s="46"/>
      <c r="BY52" s="46"/>
      <c r="BZ52" s="163"/>
    </row>
    <row r="53" spans="1:78">
      <c r="B53" s="83"/>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109"/>
      <c r="AJ53" s="109"/>
      <c r="AK53" s="109"/>
      <c r="AL53" s="109"/>
      <c r="AM53" s="109"/>
      <c r="AN53" s="181"/>
      <c r="AO53" s="163"/>
      <c r="AP53" s="163"/>
      <c r="AQ53" s="163"/>
      <c r="AR53" s="163"/>
      <c r="AS53" s="163"/>
      <c r="AT53" s="163"/>
      <c r="AU53" s="181"/>
      <c r="AV53" s="46"/>
      <c r="AW53" s="46"/>
      <c r="AX53" s="46"/>
      <c r="AY53" s="46"/>
      <c r="AZ53" s="46"/>
      <c r="BA53" s="46"/>
      <c r="BB53" s="46"/>
      <c r="BC53" s="46"/>
      <c r="BD53" s="46"/>
      <c r="BE53" s="46"/>
      <c r="BF53" s="46"/>
      <c r="BG53" s="46"/>
      <c r="BH53" s="46"/>
      <c r="BI53" s="46"/>
      <c r="BJ53" s="46"/>
      <c r="BK53" s="46"/>
      <c r="BL53" s="46"/>
      <c r="BM53" s="46"/>
      <c r="BN53" s="163"/>
      <c r="BO53" s="163"/>
      <c r="BP53" s="163"/>
      <c r="BQ53" s="46"/>
      <c r="BR53" s="46"/>
      <c r="BS53" s="46"/>
      <c r="BT53" s="46"/>
      <c r="BU53" s="46"/>
      <c r="BV53" s="46"/>
      <c r="BW53" s="46"/>
      <c r="BX53" s="46"/>
      <c r="BY53" s="46"/>
      <c r="BZ53" s="163"/>
    </row>
    <row r="54" spans="1:78">
      <c r="B54" s="2" t="s">
        <v>386</v>
      </c>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c r="AI54" s="274"/>
      <c r="AJ54" s="274"/>
      <c r="AK54" s="274"/>
      <c r="AL54" s="274"/>
      <c r="AM54" s="274"/>
      <c r="AN54" s="274"/>
      <c r="AO54" s="117"/>
      <c r="AP54" s="117"/>
      <c r="AQ54" s="117"/>
      <c r="AR54" s="117"/>
      <c r="AS54" s="117"/>
      <c r="AT54" s="117"/>
      <c r="AU54" s="181"/>
      <c r="AV54" s="7"/>
      <c r="AW54" s="7"/>
      <c r="AX54" s="7"/>
      <c r="AY54" s="7"/>
      <c r="AZ54" s="7"/>
      <c r="BA54" s="7"/>
      <c r="BB54" s="7"/>
      <c r="BC54" s="7"/>
      <c r="BD54" s="7"/>
      <c r="BE54" s="7"/>
      <c r="BF54" s="7"/>
      <c r="BG54" s="7"/>
      <c r="BH54" s="7"/>
      <c r="BI54" s="7"/>
      <c r="BJ54" s="7"/>
      <c r="BK54" s="7"/>
      <c r="BL54" s="7"/>
      <c r="BM54" s="7"/>
      <c r="BN54" s="7"/>
      <c r="BO54" s="7"/>
      <c r="BP54" s="163"/>
      <c r="BQ54" s="7"/>
      <c r="BR54" s="7"/>
      <c r="BS54" s="7"/>
      <c r="BT54" s="7"/>
      <c r="BU54" s="7"/>
      <c r="BV54" s="7"/>
      <c r="BW54" s="7"/>
      <c r="BX54" s="7"/>
      <c r="BY54" s="7"/>
      <c r="BZ54" s="7"/>
    </row>
    <row r="55" spans="1:78">
      <c r="B55" s="82" t="s">
        <v>197</v>
      </c>
      <c r="C55" s="46"/>
      <c r="D55" s="46"/>
      <c r="E55" s="46"/>
      <c r="F55" s="46"/>
      <c r="G55" s="46"/>
      <c r="H55" s="46"/>
      <c r="I55" s="46"/>
      <c r="J55" s="46"/>
      <c r="K55" s="46"/>
      <c r="L55" s="46"/>
      <c r="M55" s="46"/>
      <c r="N55" s="46"/>
      <c r="O55" s="46"/>
      <c r="P55" s="46"/>
      <c r="Q55" s="46"/>
      <c r="R55" s="46"/>
      <c r="S55" s="46"/>
      <c r="T55" s="46"/>
      <c r="U55" s="46"/>
      <c r="V55" s="46"/>
      <c r="W55" s="46"/>
      <c r="X55" s="109"/>
      <c r="Y55" s="46"/>
      <c r="Z55" s="46"/>
      <c r="AA55" s="46"/>
      <c r="AB55" s="46"/>
      <c r="AC55" s="46"/>
      <c r="AD55" s="46"/>
      <c r="AE55" s="46"/>
      <c r="AF55" s="46"/>
      <c r="AG55" s="46"/>
      <c r="AH55" s="46"/>
      <c r="AI55" s="109"/>
      <c r="AJ55" s="109"/>
      <c r="AK55" s="109"/>
      <c r="AL55" s="109"/>
      <c r="AM55" s="109"/>
      <c r="AN55" s="181"/>
      <c r="AO55" s="163"/>
      <c r="AP55" s="163"/>
      <c r="AQ55" s="163"/>
      <c r="AR55" s="163"/>
      <c r="AS55" s="163"/>
      <c r="AT55" s="163"/>
      <c r="AU55" s="181"/>
      <c r="AV55" s="46"/>
      <c r="AW55" s="46"/>
      <c r="AX55" s="46"/>
      <c r="AY55" s="46"/>
      <c r="AZ55" s="46"/>
      <c r="BA55" s="46"/>
      <c r="BB55" s="46"/>
      <c r="BC55" s="46"/>
      <c r="BD55" s="46"/>
      <c r="BE55" s="46"/>
      <c r="BF55" s="46"/>
      <c r="BG55" s="46"/>
      <c r="BH55" s="46"/>
      <c r="BI55" s="46"/>
      <c r="BJ55" s="46"/>
      <c r="BK55" s="46"/>
      <c r="BL55" s="46"/>
      <c r="BM55" s="46"/>
      <c r="BN55" s="163"/>
      <c r="BO55" s="163"/>
      <c r="BP55" s="163"/>
      <c r="BQ55" s="46"/>
      <c r="BR55" s="46"/>
      <c r="BS55" s="46"/>
      <c r="BT55" s="46"/>
      <c r="BU55" s="46"/>
      <c r="BV55" s="46"/>
      <c r="BW55" s="46"/>
      <c r="BX55" s="46"/>
      <c r="BY55" s="46"/>
      <c r="BZ55" s="163"/>
    </row>
    <row r="56" spans="1:78">
      <c r="B56" s="267" t="s">
        <v>196</v>
      </c>
      <c r="C56" s="46"/>
      <c r="D56" s="46"/>
      <c r="E56" s="46"/>
      <c r="F56" s="46"/>
      <c r="G56" s="46"/>
      <c r="H56" s="46"/>
      <c r="I56" s="46"/>
      <c r="J56" s="46"/>
      <c r="K56" s="48">
        <f t="shared" ref="K56:AM56" si="129">K13</f>
        <v>-3.84087791495199E-2</v>
      </c>
      <c r="L56" s="48">
        <f t="shared" si="129"/>
        <v>-5.6451612903225756E-2</v>
      </c>
      <c r="M56" s="48">
        <f t="shared" si="129"/>
        <v>4.2999999999999997E-2</v>
      </c>
      <c r="N56" s="48">
        <f t="shared" si="129"/>
        <v>-0.17905405405405406</v>
      </c>
      <c r="O56" s="48">
        <f t="shared" si="129"/>
        <v>3.5000000000000003E-2</v>
      </c>
      <c r="P56" s="48">
        <f t="shared" si="129"/>
        <v>3.0982905982905873E-2</v>
      </c>
      <c r="Q56" s="48">
        <f t="shared" si="129"/>
        <v>6.0999999999999999E-2</v>
      </c>
      <c r="R56" s="48">
        <f t="shared" si="129"/>
        <v>0.20301783264746232</v>
      </c>
      <c r="S56" s="48">
        <f t="shared" si="129"/>
        <v>0.17399999999999999</v>
      </c>
      <c r="T56" s="48">
        <f t="shared" si="129"/>
        <v>0.13367875647668392</v>
      </c>
      <c r="U56" s="48">
        <f t="shared" si="129"/>
        <v>-2.5999999999999999E-2</v>
      </c>
      <c r="V56" s="48">
        <f t="shared" si="129"/>
        <v>-6.9555302166476651E-2</v>
      </c>
      <c r="W56" s="48">
        <f t="shared" si="129"/>
        <v>2.5999999999999999E-2</v>
      </c>
      <c r="X56" s="48">
        <f t="shared" si="129"/>
        <v>2.833638025594154E-2</v>
      </c>
      <c r="Y56" s="48">
        <f t="shared" si="129"/>
        <v>2.8000000000000001E-2</v>
      </c>
      <c r="Z56" s="48">
        <f t="shared" si="129"/>
        <v>1.6E-2</v>
      </c>
      <c r="AA56" s="48">
        <f t="shared" si="129"/>
        <v>-4.2999999999999997E-2</v>
      </c>
      <c r="AB56" s="48">
        <f t="shared" si="129"/>
        <v>-8.0000000000000071E-3</v>
      </c>
      <c r="AC56" s="48">
        <f t="shared" si="129"/>
        <v>-1.9E-2</v>
      </c>
      <c r="AD56" s="48">
        <f t="shared" si="129"/>
        <v>2.881152460984393E-2</v>
      </c>
      <c r="AE56" s="48">
        <f t="shared" si="129"/>
        <v>1.7999999999999999E-2</v>
      </c>
      <c r="AF56" s="48">
        <f t="shared" si="129"/>
        <v>1.8817204301075252E-2</v>
      </c>
      <c r="AG56" s="48">
        <f t="shared" si="129"/>
        <v>-1.9E-2</v>
      </c>
      <c r="AH56" s="48">
        <f t="shared" si="129"/>
        <v>-4.0000000000000001E-3</v>
      </c>
      <c r="AI56" s="48">
        <f t="shared" si="129"/>
        <v>0</v>
      </c>
      <c r="AJ56" s="48">
        <f t="shared" si="129"/>
        <v>1.4072119613016687E-2</v>
      </c>
      <c r="AK56" s="48">
        <f t="shared" si="129"/>
        <v>3.4000000000000002E-2</v>
      </c>
      <c r="AL56" s="48">
        <f t="shared" si="129"/>
        <v>-5.0000000000000001E-3</v>
      </c>
      <c r="AM56" s="48">
        <f t="shared" si="129"/>
        <v>-1.0999999999999999E-2</v>
      </c>
      <c r="AN56" s="289"/>
      <c r="AO56" s="292"/>
      <c r="AP56" s="292"/>
      <c r="AQ56" s="292"/>
      <c r="AR56" s="292"/>
      <c r="AS56" s="292"/>
      <c r="AT56" s="292"/>
      <c r="AU56" s="181"/>
      <c r="AV56" s="132"/>
      <c r="AW56" s="132"/>
      <c r="AX56" s="132"/>
      <c r="AY56" s="132"/>
      <c r="AZ56" s="132"/>
      <c r="BA56" s="132"/>
      <c r="BB56" s="132"/>
      <c r="BC56" s="132"/>
      <c r="BD56" s="132">
        <f>AVERAGE(S56:T56)</f>
        <v>0.15383937823834196</v>
      </c>
      <c r="BE56" s="132">
        <f>AVERAGE(U56:V56)</f>
        <v>-4.7777651083238323E-2</v>
      </c>
      <c r="BF56" s="132">
        <f>AVERAGE(W56:X56)</f>
        <v>2.7168190127970768E-2</v>
      </c>
      <c r="BG56" s="132">
        <f>AVERAGE(Y56:Z56)</f>
        <v>2.1999999999999999E-2</v>
      </c>
      <c r="BH56" s="132">
        <f>AVERAGE(AA56:AB56)</f>
        <v>-2.5500000000000002E-2</v>
      </c>
      <c r="BI56" s="132">
        <f>AVERAGE(AC56:AD56)</f>
        <v>4.9057623049219654E-3</v>
      </c>
      <c r="BJ56" s="132">
        <f>AVERAGE(AE56:AF56)</f>
        <v>1.8408602150537627E-2</v>
      </c>
      <c r="BK56" s="132">
        <f>AVERAGE(AG56:AH56)</f>
        <v>-1.15E-2</v>
      </c>
      <c r="BL56" s="132">
        <f>AVERAGE(AI56:AJ56)</f>
        <v>7.0360598065083435E-3</v>
      </c>
      <c r="BM56" s="132">
        <f>AVERAGE(AK56:AL56)</f>
        <v>1.4500000000000001E-2</v>
      </c>
      <c r="BN56" s="307"/>
      <c r="BO56" s="307"/>
      <c r="BP56" s="163"/>
      <c r="BQ56" s="122"/>
      <c r="BR56" s="122"/>
      <c r="BS56" s="122"/>
      <c r="BT56" s="122"/>
      <c r="BU56" s="122">
        <f>AVERAGE(BD56:BE56)</f>
        <v>5.3030863577551816E-2</v>
      </c>
      <c r="BV56" s="122">
        <f>AVERAGE(BF56:BG56)</f>
        <v>2.4584095063985383E-2</v>
      </c>
      <c r="BW56" s="122">
        <f>AVERAGE(BH56:BI56)</f>
        <v>-1.0297118847539019E-2</v>
      </c>
      <c r="BX56" s="122">
        <f>AVERAGE(BJ56:BK56)</f>
        <v>3.4543010752688137E-3</v>
      </c>
      <c r="BY56" s="122">
        <f>AVERAGE(BL56:BM56)</f>
        <v>1.0768029903254171E-2</v>
      </c>
      <c r="BZ56" s="291"/>
    </row>
    <row r="57" spans="1:78">
      <c r="B57" s="267" t="s">
        <v>195</v>
      </c>
      <c r="C57" s="46"/>
      <c r="D57" s="46"/>
      <c r="E57" s="46"/>
      <c r="F57" s="46"/>
      <c r="G57" s="46"/>
      <c r="H57" s="46"/>
      <c r="I57" s="46"/>
      <c r="J57" s="46"/>
      <c r="K57" s="48">
        <f t="shared" ref="K57:AM57" si="130">K23</f>
        <v>1.2999999999999999E-2</v>
      </c>
      <c r="L57" s="48">
        <f t="shared" si="130"/>
        <v>8.9999999999999993E-3</v>
      </c>
      <c r="M57" s="48">
        <f t="shared" si="130"/>
        <v>0.01</v>
      </c>
      <c r="N57" s="48">
        <f t="shared" si="130"/>
        <v>1.4E-2</v>
      </c>
      <c r="O57" s="48">
        <f t="shared" si="130"/>
        <v>7.0000000000000001E-3</v>
      </c>
      <c r="P57" s="48">
        <f t="shared" si="130"/>
        <v>2.3E-2</v>
      </c>
      <c r="Q57" s="48">
        <f t="shared" si="130"/>
        <v>7.1999999999999995E-2</v>
      </c>
      <c r="R57" s="48">
        <f t="shared" si="130"/>
        <v>0.20600000000000002</v>
      </c>
      <c r="S57" s="48">
        <f t="shared" si="130"/>
        <v>0.17799999999999999</v>
      </c>
      <c r="T57" s="48">
        <f t="shared" si="130"/>
        <v>0.124</v>
      </c>
      <c r="U57" s="48">
        <f t="shared" si="130"/>
        <v>2.1000000000000001E-2</v>
      </c>
      <c r="V57" s="48">
        <f t="shared" si="130"/>
        <v>-7.9000000000000001E-2</v>
      </c>
      <c r="W57" s="48">
        <f t="shared" si="130"/>
        <v>1.4E-2</v>
      </c>
      <c r="X57" s="48">
        <f t="shared" si="130"/>
        <v>2.1999999999999999E-2</v>
      </c>
      <c r="Y57" s="48">
        <f t="shared" si="130"/>
        <v>2.8000000000000001E-2</v>
      </c>
      <c r="Z57" s="48">
        <f t="shared" si="130"/>
        <v>1.9E-2</v>
      </c>
      <c r="AA57" s="48">
        <f t="shared" si="130"/>
        <v>-4.1000000000000002E-2</v>
      </c>
      <c r="AB57" s="48">
        <f t="shared" si="130"/>
        <v>-4.9999999999999975E-3</v>
      </c>
      <c r="AC57" s="48">
        <f t="shared" si="130"/>
        <v>1.4999999999999999E-2</v>
      </c>
      <c r="AD57" s="48">
        <f t="shared" si="130"/>
        <v>1.0999999999999999E-2</v>
      </c>
      <c r="AE57" s="48">
        <f t="shared" si="130"/>
        <v>1E-3</v>
      </c>
      <c r="AF57" s="48">
        <f t="shared" si="130"/>
        <v>3.0000000000000001E-3</v>
      </c>
      <c r="AG57" s="48">
        <f t="shared" si="130"/>
        <v>-3.1E-2</v>
      </c>
      <c r="AH57" s="48">
        <f t="shared" si="130"/>
        <v>-1.7000000000000001E-2</v>
      </c>
      <c r="AI57" s="48">
        <f t="shared" si="130"/>
        <v>-4.3999999999999997E-2</v>
      </c>
      <c r="AJ57" s="48">
        <f t="shared" si="130"/>
        <v>1.7999999999999999E-2</v>
      </c>
      <c r="AK57" s="48">
        <f t="shared" si="130"/>
        <v>-0.02</v>
      </c>
      <c r="AL57" s="48">
        <f t="shared" si="130"/>
        <v>-6.0000000000000001E-3</v>
      </c>
      <c r="AM57" s="48">
        <f t="shared" si="130"/>
        <v>-1.4E-2</v>
      </c>
      <c r="AN57" s="289"/>
      <c r="AO57" s="292"/>
      <c r="AP57" s="292"/>
      <c r="AQ57" s="292"/>
      <c r="AR57" s="292"/>
      <c r="AS57" s="292"/>
      <c r="AT57" s="292"/>
      <c r="AU57" s="181"/>
      <c r="AV57" s="132"/>
      <c r="AW57" s="132"/>
      <c r="AX57" s="132"/>
      <c r="AY57" s="132"/>
      <c r="AZ57" s="132"/>
      <c r="BA57" s="132"/>
      <c r="BB57" s="132"/>
      <c r="BC57" s="132"/>
      <c r="BD57" s="132">
        <f t="shared" ref="BD57:BD58" si="131">AVERAGE(S57:T57)</f>
        <v>0.151</v>
      </c>
      <c r="BE57" s="132">
        <f t="shared" ref="BE57:BE58" si="132">AVERAGE(U57:V57)</f>
        <v>-2.8999999999999998E-2</v>
      </c>
      <c r="BF57" s="132">
        <f t="shared" ref="BF57:BF58" si="133">AVERAGE(W57:X57)</f>
        <v>1.7999999999999999E-2</v>
      </c>
      <c r="BG57" s="132">
        <f t="shared" ref="BG57:BG58" si="134">AVERAGE(Y57:Z57)</f>
        <v>2.35E-2</v>
      </c>
      <c r="BH57" s="132">
        <f t="shared" ref="BH57:BH58" si="135">AVERAGE(AA57:AB57)</f>
        <v>-2.3E-2</v>
      </c>
      <c r="BI57" s="132">
        <f t="shared" ref="BI57:BI58" si="136">AVERAGE(AC57:AD57)</f>
        <v>1.2999999999999999E-2</v>
      </c>
      <c r="BJ57" s="132">
        <f t="shared" ref="BJ57:BJ58" si="137">AVERAGE(AE57:AF57)</f>
        <v>2E-3</v>
      </c>
      <c r="BK57" s="132">
        <f t="shared" ref="BK57:BK58" si="138">AVERAGE(AG57:AH57)</f>
        <v>-2.4E-2</v>
      </c>
      <c r="BL57" s="132">
        <f t="shared" ref="BL57:BL58" si="139">AVERAGE(AI57:AJ57)</f>
        <v>-1.2999999999999999E-2</v>
      </c>
      <c r="BM57" s="132">
        <f t="shared" ref="BM57:BM58" si="140">AVERAGE(AK57:AL57)</f>
        <v>-1.3000000000000001E-2</v>
      </c>
      <c r="BN57" s="307"/>
      <c r="BO57" s="307"/>
      <c r="BP57" s="163"/>
      <c r="BQ57" s="46"/>
      <c r="BR57" s="46"/>
      <c r="BS57" s="46"/>
      <c r="BT57" s="46"/>
      <c r="BU57" s="122">
        <f t="shared" ref="BU57:BU58" si="141">AVERAGE(BD57:BE57)</f>
        <v>6.0999999999999999E-2</v>
      </c>
      <c r="BV57" s="122">
        <f t="shared" ref="BV57:BV58" si="142">AVERAGE(BF57:BG57)</f>
        <v>2.0749999999999998E-2</v>
      </c>
      <c r="BW57" s="122">
        <f t="shared" ref="BW57:BW58" si="143">AVERAGE(BH57:BI57)</f>
        <v>-5.0000000000000001E-3</v>
      </c>
      <c r="BX57" s="122">
        <f t="shared" ref="BX57:BX58" si="144">AVERAGE(BJ57:BK57)</f>
        <v>-1.0999999999999999E-2</v>
      </c>
      <c r="BY57" s="122">
        <f t="shared" ref="BY57:BY58" si="145">AVERAGE(BL57:BM57)</f>
        <v>-1.3000000000000001E-2</v>
      </c>
      <c r="BZ57" s="291"/>
    </row>
    <row r="58" spans="1:78">
      <c r="B58" s="267" t="s">
        <v>194</v>
      </c>
      <c r="C58" s="46"/>
      <c r="D58" s="46"/>
      <c r="E58" s="46"/>
      <c r="F58" s="46"/>
      <c r="G58" s="46"/>
      <c r="H58" s="46"/>
      <c r="I58" s="46"/>
      <c r="J58" s="46"/>
      <c r="K58" s="122">
        <f t="shared" ref="K58:R58" si="146">K56-K57</f>
        <v>-5.1408779149519898E-2</v>
      </c>
      <c r="L58" s="122">
        <f t="shared" si="146"/>
        <v>-6.545161290322575E-2</v>
      </c>
      <c r="M58" s="122">
        <f t="shared" si="146"/>
        <v>3.2999999999999995E-2</v>
      </c>
      <c r="N58" s="122">
        <f t="shared" si="146"/>
        <v>-0.19305405405405407</v>
      </c>
      <c r="O58" s="122">
        <f t="shared" si="146"/>
        <v>2.8000000000000004E-2</v>
      </c>
      <c r="P58" s="122">
        <f t="shared" si="146"/>
        <v>7.9829059829058732E-3</v>
      </c>
      <c r="Q58" s="122">
        <f t="shared" si="146"/>
        <v>-1.0999999999999996E-2</v>
      </c>
      <c r="R58" s="122">
        <f t="shared" si="146"/>
        <v>-2.9821673525377013E-3</v>
      </c>
      <c r="S58" s="122">
        <f>S56-S57</f>
        <v>-4.0000000000000036E-3</v>
      </c>
      <c r="T58" s="122">
        <f>T56-T57</f>
        <v>9.6787564766839251E-3</v>
      </c>
      <c r="U58" s="122">
        <f>U56-U57</f>
        <v>-4.7E-2</v>
      </c>
      <c r="V58" s="122">
        <f>V56-V57</f>
        <v>9.4446978335233495E-3</v>
      </c>
      <c r="W58" s="122">
        <f t="shared" ref="W58:AM58" si="147">W56-W57</f>
        <v>1.1999999999999999E-2</v>
      </c>
      <c r="X58" s="122">
        <f t="shared" si="147"/>
        <v>6.3363802559415414E-3</v>
      </c>
      <c r="Y58" s="122">
        <f t="shared" si="147"/>
        <v>0</v>
      </c>
      <c r="Z58" s="122">
        <f t="shared" si="147"/>
        <v>-2.9999999999999992E-3</v>
      </c>
      <c r="AA58" s="122">
        <f t="shared" si="147"/>
        <v>-1.9999999999999948E-3</v>
      </c>
      <c r="AB58" s="122">
        <f t="shared" si="147"/>
        <v>-3.0000000000000096E-3</v>
      </c>
      <c r="AC58" s="122">
        <f t="shared" si="147"/>
        <v>-3.4000000000000002E-2</v>
      </c>
      <c r="AD58" s="122">
        <f t="shared" si="147"/>
        <v>1.7811524609843931E-2</v>
      </c>
      <c r="AE58" s="122">
        <f t="shared" si="147"/>
        <v>1.6999999999999998E-2</v>
      </c>
      <c r="AF58" s="122">
        <f t="shared" si="147"/>
        <v>1.5817204301075253E-2</v>
      </c>
      <c r="AG58" s="122">
        <f t="shared" si="147"/>
        <v>1.2E-2</v>
      </c>
      <c r="AH58" s="122">
        <f t="shared" si="147"/>
        <v>1.3000000000000001E-2</v>
      </c>
      <c r="AI58" s="122">
        <f t="shared" si="147"/>
        <v>4.3999999999999997E-2</v>
      </c>
      <c r="AJ58" s="122">
        <f t="shared" si="147"/>
        <v>-3.9278803869833116E-3</v>
      </c>
      <c r="AK58" s="122">
        <f t="shared" si="147"/>
        <v>5.4000000000000006E-2</v>
      </c>
      <c r="AL58" s="122">
        <f t="shared" si="147"/>
        <v>1E-3</v>
      </c>
      <c r="AM58" s="122">
        <f t="shared" si="147"/>
        <v>3.0000000000000009E-3</v>
      </c>
      <c r="AN58" s="290"/>
      <c r="AO58" s="291"/>
      <c r="AP58" s="291"/>
      <c r="AQ58" s="291"/>
      <c r="AR58" s="291"/>
      <c r="AS58" s="291"/>
      <c r="AT58" s="291"/>
      <c r="AU58" s="181"/>
      <c r="AV58" s="132"/>
      <c r="AW58" s="132"/>
      <c r="AX58" s="132"/>
      <c r="AY58" s="132"/>
      <c r="AZ58" s="132"/>
      <c r="BA58" s="132"/>
      <c r="BB58" s="132"/>
      <c r="BC58" s="132"/>
      <c r="BD58" s="132">
        <f t="shared" si="131"/>
        <v>2.8393782383419608E-3</v>
      </c>
      <c r="BE58" s="132">
        <f t="shared" si="132"/>
        <v>-1.8777651083238325E-2</v>
      </c>
      <c r="BF58" s="132">
        <f t="shared" si="133"/>
        <v>9.1681901279707691E-3</v>
      </c>
      <c r="BG58" s="132">
        <f t="shared" si="134"/>
        <v>-1.4999999999999996E-3</v>
      </c>
      <c r="BH58" s="132">
        <f t="shared" si="135"/>
        <v>-2.5000000000000022E-3</v>
      </c>
      <c r="BI58" s="132">
        <f t="shared" si="136"/>
        <v>-8.0942376950780357E-3</v>
      </c>
      <c r="BJ58" s="132">
        <f t="shared" si="137"/>
        <v>1.6408602150537625E-2</v>
      </c>
      <c r="BK58" s="132">
        <f t="shared" si="138"/>
        <v>1.2500000000000001E-2</v>
      </c>
      <c r="BL58" s="132">
        <f t="shared" si="139"/>
        <v>2.0036059806508341E-2</v>
      </c>
      <c r="BM58" s="132">
        <f t="shared" si="140"/>
        <v>2.7500000000000004E-2</v>
      </c>
      <c r="BN58" s="307"/>
      <c r="BO58" s="307"/>
      <c r="BP58" s="163"/>
      <c r="BQ58" s="46"/>
      <c r="BR58" s="46"/>
      <c r="BS58" s="46"/>
      <c r="BT58" s="46"/>
      <c r="BU58" s="122">
        <f t="shared" si="141"/>
        <v>-7.9691364224481823E-3</v>
      </c>
      <c r="BV58" s="122">
        <f t="shared" si="142"/>
        <v>3.8340950639853847E-3</v>
      </c>
      <c r="BW58" s="122">
        <f t="shared" si="143"/>
        <v>-5.297118847539019E-3</v>
      </c>
      <c r="BX58" s="122">
        <f t="shared" si="144"/>
        <v>1.4454301075268813E-2</v>
      </c>
      <c r="BY58" s="122">
        <f t="shared" si="145"/>
        <v>2.3768029903254172E-2</v>
      </c>
      <c r="BZ58" s="291"/>
    </row>
    <row r="59" spans="1:78">
      <c r="B59" s="83"/>
      <c r="C59" s="46"/>
      <c r="D59" s="46"/>
      <c r="E59" s="46"/>
      <c r="F59" s="46"/>
      <c r="G59" s="46"/>
      <c r="H59" s="46"/>
      <c r="I59" s="46"/>
      <c r="J59" s="46"/>
      <c r="K59" s="46"/>
      <c r="L59" s="46"/>
      <c r="M59" s="46"/>
      <c r="N59" s="46"/>
      <c r="O59" s="46"/>
      <c r="P59" s="46"/>
      <c r="Q59" s="46"/>
      <c r="R59" s="46"/>
      <c r="S59" s="46"/>
      <c r="T59" s="46"/>
      <c r="U59" s="46"/>
      <c r="V59" s="46"/>
      <c r="W59" s="46"/>
      <c r="X59" s="109"/>
      <c r="Y59" s="46"/>
      <c r="Z59" s="46"/>
      <c r="AA59" s="46"/>
      <c r="AB59" s="46"/>
      <c r="AC59" s="46"/>
      <c r="AD59" s="46"/>
      <c r="AE59" s="46"/>
      <c r="AF59" s="46"/>
      <c r="AG59" s="46"/>
      <c r="AH59" s="46"/>
      <c r="AI59" s="109"/>
      <c r="AJ59" s="109"/>
      <c r="AK59" s="109"/>
      <c r="AL59" s="109"/>
      <c r="AM59" s="109"/>
      <c r="AN59" s="181"/>
      <c r="AO59" s="163"/>
      <c r="AP59" s="163"/>
      <c r="AQ59" s="163"/>
      <c r="AR59" s="163"/>
      <c r="AS59" s="163"/>
      <c r="AT59" s="163"/>
      <c r="AU59" s="181"/>
      <c r="AV59" s="46"/>
      <c r="AW59" s="46"/>
      <c r="AX59" s="46"/>
      <c r="AY59" s="46"/>
      <c r="AZ59" s="46"/>
      <c r="BA59" s="46"/>
      <c r="BB59" s="46"/>
      <c r="BC59" s="46"/>
      <c r="BD59" s="46"/>
      <c r="BE59" s="46"/>
      <c r="BF59" s="46"/>
      <c r="BG59" s="46"/>
      <c r="BH59" s="46"/>
      <c r="BI59" s="46"/>
      <c r="BJ59" s="46"/>
      <c r="BK59" s="46"/>
      <c r="BL59" s="46"/>
      <c r="BM59" s="46"/>
      <c r="BN59" s="163"/>
      <c r="BO59" s="163"/>
      <c r="BP59" s="163"/>
      <c r="BQ59" s="46"/>
      <c r="BR59" s="46"/>
      <c r="BS59" s="46"/>
      <c r="BT59" s="46"/>
      <c r="BU59" s="122"/>
      <c r="BV59" s="122"/>
      <c r="BW59" s="122"/>
      <c r="BX59" s="122"/>
      <c r="BY59" s="122"/>
      <c r="BZ59" s="291"/>
    </row>
    <row r="60" spans="1:78">
      <c r="A60" s="36" t="s">
        <v>398</v>
      </c>
      <c r="B60" s="267" t="s">
        <v>362</v>
      </c>
      <c r="C60" s="46"/>
      <c r="D60" s="46"/>
      <c r="E60" s="46"/>
      <c r="F60" s="46"/>
      <c r="G60" s="34"/>
      <c r="H60" s="34"/>
      <c r="I60" s="34"/>
      <c r="J60" s="34"/>
      <c r="K60" s="34"/>
      <c r="L60" s="34"/>
      <c r="M60" s="34">
        <v>14282</v>
      </c>
      <c r="N60" s="293">
        <f>(BA60-0.5*M60)/0.5</f>
        <v>14426</v>
      </c>
      <c r="O60" s="34">
        <v>14381</v>
      </c>
      <c r="P60" s="293">
        <f>(BB60-0.5*O60)/0.5</f>
        <v>14359</v>
      </c>
      <c r="Q60" s="34">
        <v>14720</v>
      </c>
      <c r="R60" s="293">
        <f>(BC60-0.5*Q60)/0.5</f>
        <v>16156</v>
      </c>
      <c r="S60" s="34">
        <v>16023</v>
      </c>
      <c r="T60" s="293">
        <f>(BD60-0.5*S60)/0.5</f>
        <v>17183</v>
      </c>
      <c r="U60" s="34">
        <v>16632</v>
      </c>
      <c r="V60" s="293">
        <f>(BE60-0.5*U60)/0.5</f>
        <v>15942</v>
      </c>
      <c r="W60" s="34">
        <v>16265</v>
      </c>
      <c r="X60" s="293">
        <f>(BF60-0.5*W60)/0.5</f>
        <v>16365</v>
      </c>
      <c r="Y60" s="34">
        <v>16291</v>
      </c>
      <c r="Z60" s="293">
        <f>(BG60-0.5*Y60)/0.5</f>
        <v>16417</v>
      </c>
      <c r="AA60" s="34">
        <v>16123</v>
      </c>
      <c r="AB60" s="293">
        <f>(BH60-0.5*AA60)/0.5</f>
        <v>15935</v>
      </c>
      <c r="AC60" s="34">
        <v>16088</v>
      </c>
      <c r="AD60" s="293">
        <f>(BI60-0.5*AC60)/0.5</f>
        <v>16188</v>
      </c>
      <c r="AE60" s="34">
        <v>16137</v>
      </c>
      <c r="AF60" s="293">
        <f>(BJ60-0.5*AE60)/0.5</f>
        <v>16131</v>
      </c>
      <c r="AG60" s="34">
        <v>15983</v>
      </c>
      <c r="AH60" s="293">
        <f>(BK60-0.5*AG60)/0.5</f>
        <v>15737</v>
      </c>
      <c r="AI60" s="34">
        <v>15627</v>
      </c>
      <c r="AJ60" s="293">
        <f>(BL60-0.5*AI60)/0.5</f>
        <v>15751</v>
      </c>
      <c r="AK60" s="34">
        <v>15683</v>
      </c>
      <c r="AL60" s="293">
        <f>(BM60-0.5*AK60)/0.5</f>
        <v>15607</v>
      </c>
      <c r="AM60" s="34">
        <v>15610</v>
      </c>
      <c r="AN60" s="181"/>
      <c r="AO60" s="163"/>
      <c r="AP60" s="163"/>
      <c r="AQ60" s="163"/>
      <c r="AR60" s="163"/>
      <c r="AS60" s="163"/>
      <c r="AT60" s="163"/>
      <c r="AU60" s="181"/>
      <c r="AV60" s="46"/>
      <c r="AW60" s="46"/>
      <c r="AX60" s="152"/>
      <c r="AY60" s="152"/>
      <c r="AZ60" s="121">
        <f>VLOOKUP($A60,Model!$1:$1048576,MATCH(Quarterly!AZ$3,Model!$3:$3,0),FALSE)</f>
        <v>14161</v>
      </c>
      <c r="BA60" s="121">
        <f>VLOOKUP($A60,Model!$1:$1048576,MATCH(Quarterly!BA$3,Model!$3:$3,0),FALSE)</f>
        <v>14354</v>
      </c>
      <c r="BB60" s="121">
        <f>VLOOKUP($A60,Model!$1:$1048576,MATCH(Quarterly!BB$3,Model!$3:$3,0),FALSE)</f>
        <v>14370</v>
      </c>
      <c r="BC60" s="121">
        <f>VLOOKUP($A60,Model!$1:$1048576,MATCH(Quarterly!BC$3,Model!$3:$3,0),FALSE)</f>
        <v>15438</v>
      </c>
      <c r="BD60" s="121">
        <f>VLOOKUP($A60,Model!$1:$1048576,MATCH(Quarterly!BD$3,Model!$3:$3,0),FALSE)</f>
        <v>16603</v>
      </c>
      <c r="BE60" s="121">
        <f>VLOOKUP($A60,Model!$1:$1048576,MATCH(Quarterly!BE$3,Model!$3:$3,0),FALSE)</f>
        <v>16287</v>
      </c>
      <c r="BF60" s="121">
        <f>VLOOKUP($A60,Model!$1:$1048576,MATCH(Quarterly!BF$3,Model!$3:$3,0),FALSE)</f>
        <v>16315</v>
      </c>
      <c r="BG60" s="121">
        <f>VLOOKUP($A60,Model!$1:$1048576,MATCH(Quarterly!BG$3,Model!$3:$3,0),FALSE)</f>
        <v>16354</v>
      </c>
      <c r="BH60" s="121">
        <f>VLOOKUP($A60,Model!$1:$1048576,MATCH(Quarterly!BH$3,Model!$3:$3,0),FALSE)</f>
        <v>16029</v>
      </c>
      <c r="BI60" s="121">
        <f>VLOOKUP($A60,Model!$1:$1048576,MATCH(Quarterly!BI$3,Model!$3:$3,0),FALSE)</f>
        <v>16138</v>
      </c>
      <c r="BJ60" s="121">
        <f>VLOOKUP($A60,Model!$1:$1048576,MATCH(Quarterly!BJ$3,Model!$3:$3,0),FALSE)</f>
        <v>16134</v>
      </c>
      <c r="BK60" s="121">
        <f>VLOOKUP($A60,Model!$1:$1048576,MATCH(Quarterly!BK$3,Model!$3:$3,0),FALSE)</f>
        <v>15860</v>
      </c>
      <c r="BL60" s="121">
        <f>VLOOKUP($A60,Model!$1:$1048576,MATCH(Quarterly!BL$3,Model!$3:$3,0),FALSE)</f>
        <v>15689</v>
      </c>
      <c r="BM60" s="121">
        <f>VLOOKUP($A60,Model!$1:$1048576,MATCH(Quarterly!BM$3,Model!$3:$3,0),FALSE)</f>
        <v>15645</v>
      </c>
      <c r="BN60" s="163"/>
      <c r="BO60" s="163"/>
      <c r="BP60" s="163"/>
      <c r="BQ60" s="46"/>
      <c r="BR60" s="121"/>
      <c r="BS60" s="121">
        <f>VLOOKUP($A60,Model!$1:$1048576,MATCH(Quarterly!BS$3,Model!$3:$3,0),FALSE)</f>
        <v>14354</v>
      </c>
      <c r="BT60" s="121">
        <f>VLOOKUP($A60,Model!$1:$1048576,MATCH(Quarterly!BT$3,Model!$3:$3,0),FALSE)</f>
        <v>15438</v>
      </c>
      <c r="BU60" s="121">
        <f>VLOOKUP($A60,Model!$1:$1048576,MATCH(Quarterly!BU$3,Model!$3:$3,0),FALSE)</f>
        <v>16287</v>
      </c>
      <c r="BV60" s="121">
        <f>VLOOKUP($A60,Model!$1:$1048576,MATCH(Quarterly!BV$3,Model!$3:$3,0),FALSE)</f>
        <v>16354</v>
      </c>
      <c r="BW60" s="121">
        <f>VLOOKUP($A60,Model!$1:$1048576,MATCH(Quarterly!BW$3,Model!$3:$3,0),FALSE)</f>
        <v>16138</v>
      </c>
      <c r="BX60" s="121">
        <f>VLOOKUP($A60,Model!$1:$1048576,MATCH(Quarterly!BX$3,Model!$3:$3,0),FALSE)</f>
        <v>15823</v>
      </c>
      <c r="BY60" s="121">
        <f>VLOOKUP($A60,Model!$1:$1048576,MATCH(Quarterly!BY$3,Model!$3:$3,0),FALSE)</f>
        <v>15645</v>
      </c>
      <c r="BZ60" s="291"/>
    </row>
    <row r="61" spans="1:78">
      <c r="B61" s="83"/>
      <c r="C61" s="46"/>
      <c r="D61" s="46"/>
      <c r="E61" s="46"/>
      <c r="F61" s="46"/>
      <c r="G61" s="46"/>
      <c r="H61" s="46"/>
      <c r="I61" s="46"/>
      <c r="J61" s="46"/>
      <c r="K61" s="46"/>
      <c r="L61" s="46"/>
      <c r="M61" s="46"/>
      <c r="N61" s="46"/>
      <c r="O61" s="46"/>
      <c r="P61" s="46"/>
      <c r="Q61" s="46"/>
      <c r="R61" s="46"/>
      <c r="S61" s="46"/>
      <c r="T61" s="46"/>
      <c r="U61" s="46"/>
      <c r="V61" s="46"/>
      <c r="W61" s="46"/>
      <c r="X61" s="109"/>
      <c r="Y61" s="46"/>
      <c r="Z61" s="46"/>
      <c r="AA61" s="46"/>
      <c r="AB61" s="46"/>
      <c r="AC61" s="46"/>
      <c r="AD61" s="46"/>
      <c r="AE61" s="46"/>
      <c r="AF61" s="46"/>
      <c r="AG61" s="46"/>
      <c r="AH61" s="46"/>
      <c r="AI61" s="109"/>
      <c r="AJ61" s="109"/>
      <c r="AK61" s="109"/>
      <c r="AL61" s="109"/>
      <c r="AM61" s="109"/>
      <c r="AN61" s="181"/>
      <c r="AO61" s="163"/>
      <c r="AP61" s="163"/>
      <c r="AQ61" s="163"/>
      <c r="AR61" s="163"/>
      <c r="AS61" s="163"/>
      <c r="AT61" s="163"/>
      <c r="AU61" s="181"/>
      <c r="AV61" s="46"/>
      <c r="AW61" s="46"/>
      <c r="AX61" s="46"/>
      <c r="AY61" s="46"/>
      <c r="AZ61" s="46"/>
      <c r="BA61" s="46"/>
      <c r="BB61" s="46"/>
      <c r="BC61" s="46"/>
      <c r="BD61" s="46"/>
      <c r="BE61" s="46"/>
      <c r="BF61" s="46"/>
      <c r="BG61" s="46"/>
      <c r="BH61" s="46"/>
      <c r="BI61" s="46"/>
      <c r="BJ61" s="46"/>
      <c r="BK61" s="46"/>
      <c r="BL61" s="46"/>
      <c r="BM61" s="46"/>
      <c r="BN61" s="163"/>
      <c r="BO61" s="163"/>
      <c r="BP61" s="163"/>
      <c r="BQ61" s="46"/>
      <c r="BR61" s="46"/>
      <c r="BS61" s="46"/>
      <c r="BT61" s="46"/>
      <c r="BU61" s="122"/>
      <c r="BV61" s="122"/>
      <c r="BW61" s="122"/>
      <c r="BX61" s="122"/>
      <c r="BY61" s="122"/>
      <c r="BZ61" s="291"/>
    </row>
    <row r="62" spans="1:78">
      <c r="B62" s="82" t="s">
        <v>323</v>
      </c>
      <c r="C62" s="46"/>
      <c r="D62" s="46"/>
      <c r="E62" s="46"/>
      <c r="F62" s="46"/>
      <c r="G62" s="46"/>
      <c r="H62" s="46"/>
      <c r="I62" s="46"/>
      <c r="J62" s="46"/>
      <c r="K62" s="46"/>
      <c r="L62" s="46"/>
      <c r="M62" s="46"/>
      <c r="N62" s="46"/>
      <c r="O62" s="46"/>
      <c r="P62" s="46"/>
      <c r="Q62" s="46"/>
      <c r="R62" s="46"/>
      <c r="S62" s="46"/>
      <c r="T62" s="46"/>
      <c r="U62" s="46"/>
      <c r="V62" s="46"/>
      <c r="W62" s="46"/>
      <c r="X62" s="109"/>
      <c r="Y62" s="46"/>
      <c r="Z62" s="46"/>
      <c r="AA62" s="46"/>
      <c r="AB62" s="46"/>
      <c r="AC62" s="46"/>
      <c r="AD62" s="46"/>
      <c r="AE62" s="46"/>
      <c r="AF62" s="46"/>
      <c r="AG62" s="46"/>
      <c r="AH62" s="46"/>
      <c r="AI62" s="109"/>
      <c r="AJ62" s="109"/>
      <c r="AK62" s="109"/>
      <c r="AL62" s="109"/>
      <c r="AM62" s="109"/>
      <c r="AN62" s="181"/>
      <c r="AO62" s="163"/>
      <c r="AP62" s="163"/>
      <c r="AQ62" s="163"/>
      <c r="AR62" s="163"/>
      <c r="AS62" s="163"/>
      <c r="AT62" s="163"/>
      <c r="AU62" s="181"/>
      <c r="AV62" s="46"/>
      <c r="AW62" s="46"/>
      <c r="AX62" s="46"/>
      <c r="AY62" s="46"/>
      <c r="AZ62" s="46"/>
      <c r="BA62" s="46"/>
      <c r="BB62" s="46"/>
      <c r="BC62" s="46"/>
      <c r="BD62" s="46"/>
      <c r="BE62" s="46"/>
      <c r="BF62" s="46"/>
      <c r="BG62" s="46"/>
      <c r="BH62" s="46"/>
      <c r="BI62" s="46"/>
      <c r="BJ62" s="46"/>
      <c r="BK62" s="46"/>
      <c r="BL62" s="46"/>
      <c r="BM62" s="46"/>
      <c r="BN62" s="163"/>
      <c r="BO62" s="163"/>
      <c r="BP62" s="163"/>
      <c r="BQ62" s="46"/>
      <c r="BR62" s="46"/>
      <c r="BS62" s="46"/>
      <c r="BT62" s="46"/>
      <c r="BU62" s="46"/>
      <c r="BV62" s="46"/>
      <c r="BW62" s="46"/>
      <c r="BX62" s="46"/>
      <c r="BY62" s="46"/>
      <c r="BZ62" s="163"/>
    </row>
    <row r="63" spans="1:78">
      <c r="A63" s="36" t="s">
        <v>399</v>
      </c>
      <c r="B63" s="267" t="s">
        <v>379</v>
      </c>
      <c r="C63" s="125"/>
      <c r="D63" s="125"/>
      <c r="E63" s="125"/>
      <c r="F63" s="125"/>
      <c r="G63" s="125"/>
      <c r="H63" s="125"/>
      <c r="I63" s="125"/>
      <c r="J63" s="125"/>
      <c r="K63" s="125"/>
      <c r="L63" s="125"/>
      <c r="M63" s="125"/>
      <c r="N63" s="125"/>
      <c r="O63" s="125"/>
      <c r="P63" s="125"/>
      <c r="Q63" s="125"/>
      <c r="R63" s="125"/>
      <c r="S63" s="120"/>
      <c r="T63" s="120"/>
      <c r="U63" s="34">
        <v>22</v>
      </c>
      <c r="V63" s="33">
        <f>BE63-U63</f>
        <v>-22</v>
      </c>
      <c r="W63" s="34">
        <v>40</v>
      </c>
      <c r="X63" s="33">
        <f t="shared" ref="X63" si="148">BF63-W63</f>
        <v>55</v>
      </c>
      <c r="Y63" s="34">
        <v>33</v>
      </c>
      <c r="Z63" s="33">
        <f>BG63-Y63</f>
        <v>37</v>
      </c>
      <c r="AA63" s="34">
        <v>41</v>
      </c>
      <c r="AB63" s="33">
        <f>BH63-AA63</f>
        <v>67</v>
      </c>
      <c r="AC63" s="34">
        <v>43</v>
      </c>
      <c r="AD63" s="33">
        <f>BI63-AC63</f>
        <v>52</v>
      </c>
      <c r="AE63" s="34">
        <v>54</v>
      </c>
      <c r="AF63" s="33">
        <f>BJ63-AE63</f>
        <v>70</v>
      </c>
      <c r="AG63" s="34">
        <v>44</v>
      </c>
      <c r="AH63" s="33">
        <f t="shared" ref="AH63" si="149">BK63-AG63</f>
        <v>57</v>
      </c>
      <c r="AI63" s="34">
        <v>59</v>
      </c>
      <c r="AJ63" s="33">
        <f>BL63-AI63</f>
        <v>89</v>
      </c>
      <c r="AK63" s="34">
        <v>52</v>
      </c>
      <c r="AL63" s="33">
        <f>BM63-AK63</f>
        <v>69</v>
      </c>
      <c r="AM63" s="34">
        <v>63</v>
      </c>
      <c r="AN63" s="289"/>
      <c r="AO63" s="289"/>
      <c r="AP63" s="289"/>
      <c r="AQ63" s="289"/>
      <c r="AR63" s="289"/>
      <c r="AS63" s="289"/>
      <c r="AT63" s="289"/>
      <c r="AU63" s="181"/>
      <c r="AV63" s="132"/>
      <c r="AW63" s="132"/>
      <c r="AX63" s="132"/>
      <c r="AY63" s="132"/>
      <c r="AZ63" s="132"/>
      <c r="BA63" s="132"/>
      <c r="BB63" s="132"/>
      <c r="BC63" s="132"/>
      <c r="BD63" s="132"/>
      <c r="BE63" s="152"/>
      <c r="BF63" s="152">
        <f>VLOOKUP($A63,Model!$1:$1048576,MATCH(Quarterly!BF$3,Model!$3:$3,0),FALSE)</f>
        <v>95</v>
      </c>
      <c r="BG63" s="152">
        <f>VLOOKUP($A63,Model!$1:$1048576,MATCH(Quarterly!BG$3,Model!$3:$3,0),FALSE)</f>
        <v>70</v>
      </c>
      <c r="BH63" s="152">
        <f>VLOOKUP($A63,Model!$1:$1048576,MATCH(Quarterly!BH$3,Model!$3:$3,0),FALSE)</f>
        <v>108</v>
      </c>
      <c r="BI63" s="152">
        <f>VLOOKUP($A63,Model!$1:$1048576,MATCH(Quarterly!BI$3,Model!$3:$3,0),FALSE)</f>
        <v>95</v>
      </c>
      <c r="BJ63" s="152">
        <f>VLOOKUP($A63,Model!$1:$1048576,MATCH(Quarterly!BJ$3,Model!$3:$3,0),FALSE)</f>
        <v>124</v>
      </c>
      <c r="BK63" s="152">
        <f>VLOOKUP($A63,Model!$1:$1048576,MATCH(Quarterly!BK$3,Model!$3:$3,0),FALSE)</f>
        <v>101</v>
      </c>
      <c r="BL63" s="152">
        <f>VLOOKUP($A63,Model!$1:$1048576,MATCH(Quarterly!BL$3,Model!$3:$3,0),FALSE)</f>
        <v>148</v>
      </c>
      <c r="BM63" s="152">
        <f>VLOOKUP($A63,Model!$1:$1048576,MATCH(Quarterly!BM$3,Model!$3:$3,0),FALSE)</f>
        <v>121</v>
      </c>
      <c r="BN63" s="307"/>
      <c r="BO63" s="307"/>
      <c r="BP63" s="163"/>
      <c r="BQ63" s="122"/>
      <c r="BR63" s="122"/>
      <c r="BS63" s="122"/>
      <c r="BT63" s="122"/>
      <c r="BU63" s="121"/>
      <c r="BV63" s="121">
        <f>VLOOKUP($A63,Model!$1:$1048576,MATCH(Quarterly!BV$3,Model!$3:$3,0),FALSE)</f>
        <v>165</v>
      </c>
      <c r="BW63" s="121">
        <f>VLOOKUP($A63,Model!$1:$1048576,MATCH(Quarterly!BW$3,Model!$3:$3,0),FALSE)</f>
        <v>203</v>
      </c>
      <c r="BX63" s="121">
        <f>VLOOKUP($A63,Model!$1:$1048576,MATCH(Quarterly!BX$3,Model!$3:$3,0),FALSE)</f>
        <v>225</v>
      </c>
      <c r="BY63" s="121">
        <f>VLOOKUP($A63,Model!$1:$1048576,MATCH(Quarterly!BY$3,Model!$3:$3,0),FALSE)</f>
        <v>269</v>
      </c>
      <c r="BZ63" s="291"/>
    </row>
    <row r="64" spans="1:78">
      <c r="B64" s="267" t="s">
        <v>380</v>
      </c>
      <c r="C64" s="125"/>
      <c r="D64" s="125"/>
      <c r="E64" s="125"/>
      <c r="F64" s="125"/>
      <c r="G64" s="125"/>
      <c r="H64" s="125"/>
      <c r="I64" s="125"/>
      <c r="J64" s="125"/>
      <c r="K64" s="284"/>
      <c r="L64" s="283"/>
      <c r="M64" s="283"/>
      <c r="N64" s="283"/>
      <c r="O64" s="283"/>
      <c r="P64" s="283"/>
      <c r="Q64" s="283"/>
      <c r="R64" s="283"/>
      <c r="S64" s="283"/>
      <c r="T64" s="283"/>
      <c r="U64" s="283"/>
      <c r="V64" s="283"/>
      <c r="W64" s="283"/>
      <c r="X64" s="283"/>
      <c r="Y64" s="283">
        <f t="shared" ref="Y64:AM64" si="150">Y63/U63-1</f>
        <v>0.5</v>
      </c>
      <c r="Z64" s="283">
        <f t="shared" si="150"/>
        <v>-2.6818181818181817</v>
      </c>
      <c r="AA64" s="283">
        <f t="shared" si="150"/>
        <v>2.4999999999999911E-2</v>
      </c>
      <c r="AB64" s="283">
        <f t="shared" si="150"/>
        <v>0.21818181818181825</v>
      </c>
      <c r="AC64" s="283">
        <f t="shared" si="150"/>
        <v>0.30303030303030298</v>
      </c>
      <c r="AD64" s="283">
        <f t="shared" si="150"/>
        <v>0.40540540540540548</v>
      </c>
      <c r="AE64" s="283">
        <f t="shared" si="150"/>
        <v>0.31707317073170738</v>
      </c>
      <c r="AF64" s="283">
        <f t="shared" si="150"/>
        <v>4.4776119402984982E-2</v>
      </c>
      <c r="AG64" s="283">
        <f t="shared" si="150"/>
        <v>2.3255813953488413E-2</v>
      </c>
      <c r="AH64" s="283">
        <f t="shared" si="150"/>
        <v>9.6153846153846256E-2</v>
      </c>
      <c r="AI64" s="283">
        <f t="shared" si="150"/>
        <v>9.259259259259256E-2</v>
      </c>
      <c r="AJ64" s="283">
        <f t="shared" si="150"/>
        <v>0.27142857142857135</v>
      </c>
      <c r="AK64" s="283">
        <f t="shared" si="150"/>
        <v>0.18181818181818188</v>
      </c>
      <c r="AL64" s="283">
        <f t="shared" si="150"/>
        <v>0.21052631578947367</v>
      </c>
      <c r="AM64" s="283">
        <f t="shared" si="150"/>
        <v>6.7796610169491567E-2</v>
      </c>
      <c r="AN64" s="289"/>
      <c r="AO64" s="289"/>
      <c r="AP64" s="289"/>
      <c r="AQ64" s="289"/>
      <c r="AR64" s="289"/>
      <c r="AS64" s="289"/>
      <c r="AT64" s="289"/>
      <c r="AU64" s="181"/>
      <c r="AV64" s="132"/>
      <c r="AW64" s="132"/>
      <c r="AX64" s="132"/>
      <c r="AY64" s="132"/>
      <c r="AZ64" s="132"/>
      <c r="BA64" s="132"/>
      <c r="BB64" s="132"/>
      <c r="BC64" s="132"/>
      <c r="BD64" s="132"/>
      <c r="BE64" s="132"/>
      <c r="BF64" s="132"/>
      <c r="BG64" s="132"/>
      <c r="BH64" s="132">
        <f>BH63/BF63-1</f>
        <v>0.13684210526315788</v>
      </c>
      <c r="BI64" s="132">
        <f t="shared" ref="BI64:BM64" si="151">BI63/BG63-1</f>
        <v>0.35714285714285721</v>
      </c>
      <c r="BJ64" s="132">
        <f t="shared" si="151"/>
        <v>0.14814814814814814</v>
      </c>
      <c r="BK64" s="132">
        <f t="shared" si="151"/>
        <v>6.315789473684208E-2</v>
      </c>
      <c r="BL64" s="132">
        <f t="shared" si="151"/>
        <v>0.19354838709677424</v>
      </c>
      <c r="BM64" s="132">
        <f t="shared" si="151"/>
        <v>0.19801980198019797</v>
      </c>
      <c r="BN64" s="307"/>
      <c r="BO64" s="307"/>
      <c r="BP64" s="163"/>
      <c r="BQ64" s="122"/>
      <c r="BR64" s="122"/>
      <c r="BS64" s="122"/>
      <c r="BT64" s="122"/>
      <c r="BU64" s="122"/>
      <c r="BV64" s="122"/>
      <c r="BW64" s="122">
        <f t="shared" ref="BW64" si="152">BW63/BV63-1</f>
        <v>0.23030303030303023</v>
      </c>
      <c r="BX64" s="122">
        <f t="shared" ref="BX64" si="153">BX63/BW63-1</f>
        <v>0.10837438423645329</v>
      </c>
      <c r="BY64" s="122">
        <f>BY63/BX63-1</f>
        <v>0.19555555555555548</v>
      </c>
      <c r="BZ64" s="291"/>
    </row>
    <row r="65" spans="2:78">
      <c r="B65" s="267" t="s">
        <v>381</v>
      </c>
      <c r="C65" s="125"/>
      <c r="D65" s="125"/>
      <c r="E65" s="125"/>
      <c r="F65" s="125"/>
      <c r="G65" s="125"/>
      <c r="H65" s="125"/>
      <c r="I65" s="125"/>
      <c r="J65" s="125"/>
      <c r="K65" s="125"/>
      <c r="L65" s="125"/>
      <c r="M65" s="125"/>
      <c r="N65" s="125"/>
      <c r="O65" s="125"/>
      <c r="P65" s="125"/>
      <c r="Q65" s="125"/>
      <c r="R65" s="125"/>
      <c r="S65" s="120"/>
      <c r="T65" s="48"/>
      <c r="U65" s="120">
        <v>2.9000000000000001E-2</v>
      </c>
      <c r="V65" s="48">
        <f>V63/V7</f>
        <v>-2.6960784313725492E-2</v>
      </c>
      <c r="W65" s="120">
        <v>4.4999999999999998E-2</v>
      </c>
      <c r="X65" s="48">
        <f>X63/X7</f>
        <v>4.8888888888888891E-2</v>
      </c>
      <c r="Y65" s="120">
        <v>4.2999999999999997E-2</v>
      </c>
      <c r="Z65" s="48">
        <f>Z63/Z7</f>
        <v>4.441776710684274E-2</v>
      </c>
      <c r="AA65" s="120">
        <v>0.05</v>
      </c>
      <c r="AB65" s="48">
        <f>AB63/AB7</f>
        <v>6.0035842293906808E-2</v>
      </c>
      <c r="AC65" s="120">
        <v>5.3999999999999999E-2</v>
      </c>
      <c r="AD65" s="48">
        <f>AD63/AD7</f>
        <v>6.0676779463243874E-2</v>
      </c>
      <c r="AE65" s="120">
        <v>6.5000000000000002E-2</v>
      </c>
      <c r="AF65" s="48">
        <f>AF63/AF7</f>
        <v>6.156552330694811E-2</v>
      </c>
      <c r="AG65" s="127">
        <v>5.7000000000000002E-2</v>
      </c>
      <c r="AH65" s="48">
        <f>AH63/AH7</f>
        <v>6.2091503267973858E-2</v>
      </c>
      <c r="AI65" s="120">
        <v>7.0999999999999994E-2</v>
      </c>
      <c r="AJ65" s="48">
        <f>AJ63/AJ7</f>
        <v>7.7189939288811793E-2</v>
      </c>
      <c r="AK65" s="127">
        <v>6.5000000000000002E-2</v>
      </c>
      <c r="AL65" s="48">
        <f>AL63/AL7</f>
        <v>8.1176470588235294E-2</v>
      </c>
      <c r="AM65" s="49">
        <v>7.5999999999999998E-2</v>
      </c>
      <c r="AN65" s="289"/>
      <c r="AO65" s="289"/>
      <c r="AP65" s="289"/>
      <c r="AQ65" s="289"/>
      <c r="AR65" s="289"/>
      <c r="AS65" s="289"/>
      <c r="AT65" s="289"/>
      <c r="AU65" s="181"/>
      <c r="AV65" s="132"/>
      <c r="AW65" s="132"/>
      <c r="AX65" s="132"/>
      <c r="AY65" s="132"/>
      <c r="AZ65" s="132"/>
      <c r="BA65" s="132"/>
      <c r="BB65" s="132"/>
      <c r="BC65" s="132"/>
      <c r="BD65" s="132"/>
      <c r="BE65" s="132"/>
      <c r="BF65" s="132">
        <f t="shared" ref="BF65:BM65" si="154">BF63/BF7</f>
        <v>4.7523761880940471E-2</v>
      </c>
      <c r="BG65" s="132">
        <f t="shared" si="154"/>
        <v>4.3370508054522923E-2</v>
      </c>
      <c r="BH65" s="132">
        <f t="shared" si="154"/>
        <v>5.5327868852459015E-2</v>
      </c>
      <c r="BI65" s="132">
        <f t="shared" si="154"/>
        <v>5.7297949336550059E-2</v>
      </c>
      <c r="BJ65" s="132">
        <f t="shared" si="154"/>
        <v>6.2374245472837021E-2</v>
      </c>
      <c r="BK65" s="132">
        <f t="shared" si="154"/>
        <v>5.927230046948357E-2</v>
      </c>
      <c r="BL65" s="132">
        <f t="shared" si="154"/>
        <v>7.3852295409181631E-2</v>
      </c>
      <c r="BM65" s="132">
        <f t="shared" si="154"/>
        <v>7.2760072158749245E-2</v>
      </c>
      <c r="BN65" s="307"/>
      <c r="BO65" s="307"/>
      <c r="BP65" s="163"/>
      <c r="BQ65" s="122"/>
      <c r="BR65" s="122"/>
      <c r="BS65" s="122"/>
      <c r="BT65" s="122"/>
      <c r="BU65" s="122"/>
      <c r="BV65" s="122">
        <f t="shared" ref="BV65" si="155">AVERAGE(BF65:BG65)</f>
        <v>4.54471349677317E-2</v>
      </c>
      <c r="BW65" s="122">
        <f t="shared" ref="BW65" si="156">AVERAGE(BH65:BI65)</f>
        <v>5.6312909094504537E-2</v>
      </c>
      <c r="BX65" s="122">
        <f t="shared" ref="BX65" si="157">AVERAGE(BJ65:BK65)</f>
        <v>6.0823272971160296E-2</v>
      </c>
      <c r="BY65" s="122">
        <f t="shared" ref="BY65" si="158">AVERAGE(BL65:BM65)</f>
        <v>7.3306183783965445E-2</v>
      </c>
      <c r="BZ65" s="291"/>
    </row>
    <row r="66" spans="2:78">
      <c r="B66" s="83"/>
      <c r="C66" s="109"/>
      <c r="D66" s="109"/>
      <c r="E66" s="109"/>
      <c r="F66" s="109"/>
      <c r="G66" s="109"/>
      <c r="H66" s="109"/>
      <c r="I66" s="109"/>
      <c r="J66" s="109"/>
      <c r="K66" s="109"/>
      <c r="L66" s="109"/>
      <c r="M66" s="109"/>
      <c r="N66" s="109"/>
      <c r="O66" s="109"/>
      <c r="P66" s="109"/>
      <c r="Q66" s="109"/>
      <c r="R66" s="109"/>
      <c r="S66" s="46"/>
      <c r="T66" s="46"/>
      <c r="U66" s="46"/>
      <c r="V66" s="46"/>
      <c r="W66" s="46"/>
      <c r="X66" s="109"/>
      <c r="Y66" s="46"/>
      <c r="Z66" s="46"/>
      <c r="AA66" s="46"/>
      <c r="AB66" s="46"/>
      <c r="AC66" s="46"/>
      <c r="AD66" s="46"/>
      <c r="AE66" s="46"/>
      <c r="AF66" s="46"/>
      <c r="AG66" s="46"/>
      <c r="AH66" s="46"/>
      <c r="AI66" s="109"/>
      <c r="AJ66" s="109"/>
      <c r="AK66" s="109"/>
      <c r="AL66" s="109"/>
      <c r="AM66" s="109"/>
      <c r="AN66" s="181"/>
      <c r="AO66" s="163"/>
      <c r="AP66" s="163"/>
      <c r="AQ66" s="163"/>
      <c r="AR66" s="163"/>
      <c r="AS66" s="163"/>
      <c r="AT66" s="163"/>
      <c r="AU66" s="181"/>
      <c r="AV66" s="46"/>
      <c r="AW66" s="46"/>
      <c r="AX66" s="46"/>
      <c r="AY66" s="46"/>
      <c r="AZ66" s="46"/>
      <c r="BA66" s="46"/>
      <c r="BB66" s="46"/>
      <c r="BC66" s="46"/>
      <c r="BD66" s="46"/>
      <c r="BE66" s="46"/>
      <c r="BF66" s="46"/>
      <c r="BG66" s="46"/>
      <c r="BH66" s="46"/>
      <c r="BI66" s="46"/>
      <c r="BJ66" s="46"/>
      <c r="BK66" s="46"/>
      <c r="BL66" s="46"/>
      <c r="BM66" s="46"/>
      <c r="BN66" s="163"/>
      <c r="BO66" s="163"/>
      <c r="BP66" s="163"/>
      <c r="BQ66" s="46"/>
      <c r="BR66" s="46"/>
      <c r="BS66" s="46"/>
      <c r="BT66" s="46"/>
      <c r="BU66" s="46"/>
      <c r="BV66" s="46"/>
      <c r="BW66" s="46"/>
      <c r="BX66" s="46"/>
      <c r="BY66" s="46"/>
      <c r="BZ66" s="163"/>
    </row>
    <row r="67" spans="2:78">
      <c r="B67" s="82" t="s">
        <v>121</v>
      </c>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109"/>
      <c r="AJ67" s="109"/>
      <c r="AK67" s="109"/>
      <c r="AL67" s="109"/>
      <c r="AM67" s="109"/>
      <c r="AN67" s="181"/>
      <c r="AO67" s="163"/>
      <c r="AP67" s="163"/>
      <c r="AQ67" s="163"/>
      <c r="AR67" s="163"/>
      <c r="AS67" s="163"/>
      <c r="AT67" s="163"/>
      <c r="AU67" s="181"/>
      <c r="AV67" s="46"/>
      <c r="AW67" s="46"/>
      <c r="AX67" s="46"/>
      <c r="AY67" s="46"/>
      <c r="AZ67" s="46"/>
      <c r="BA67" s="46"/>
      <c r="BB67" s="46"/>
      <c r="BC67" s="46"/>
      <c r="BD67" s="46"/>
      <c r="BE67" s="46"/>
      <c r="BF67" s="46"/>
      <c r="BG67" s="46"/>
      <c r="BH67" s="46"/>
      <c r="BI67" s="46"/>
      <c r="BJ67" s="46"/>
      <c r="BK67" s="46"/>
      <c r="BL67" s="46"/>
      <c r="BM67" s="46"/>
      <c r="BN67" s="163"/>
      <c r="BO67" s="163"/>
      <c r="BP67" s="163"/>
      <c r="BQ67" s="46"/>
      <c r="BR67" s="46"/>
      <c r="BS67" s="46"/>
      <c r="BT67" s="46"/>
      <c r="BU67" s="46"/>
      <c r="BV67" s="46"/>
      <c r="BW67" s="46"/>
      <c r="BX67" s="46"/>
      <c r="BY67" s="46"/>
      <c r="BZ67" s="163"/>
    </row>
    <row r="68" spans="2:78">
      <c r="B68" s="83" t="s">
        <v>359</v>
      </c>
      <c r="C68" s="46"/>
      <c r="D68" s="46"/>
      <c r="E68" s="46"/>
      <c r="F68" s="46"/>
      <c r="G68" s="46"/>
      <c r="H68" s="46"/>
      <c r="I68" s="46"/>
      <c r="J68" s="46"/>
      <c r="K68" s="46"/>
      <c r="L68" s="46"/>
      <c r="M68" s="109">
        <v>910</v>
      </c>
      <c r="N68" s="109"/>
      <c r="O68" s="109">
        <v>914</v>
      </c>
      <c r="P68" s="109"/>
      <c r="Q68" s="109">
        <v>913</v>
      </c>
      <c r="R68" s="109"/>
      <c r="S68" s="109">
        <v>921</v>
      </c>
      <c r="T68" s="124"/>
      <c r="U68" s="124">
        <v>924</v>
      </c>
      <c r="V68" s="124"/>
      <c r="W68" s="34">
        <v>931</v>
      </c>
      <c r="X68" s="34"/>
      <c r="Y68" s="34">
        <v>928</v>
      </c>
      <c r="Z68" s="33"/>
      <c r="AA68" s="34">
        <v>934</v>
      </c>
      <c r="AB68" s="34"/>
      <c r="AC68" s="34">
        <v>941</v>
      </c>
      <c r="AD68" s="33"/>
      <c r="AE68" s="34">
        <v>958</v>
      </c>
      <c r="AF68" s="34"/>
      <c r="AG68" s="34">
        <v>964</v>
      </c>
      <c r="AH68" s="33"/>
      <c r="AI68" s="34">
        <v>991</v>
      </c>
      <c r="AJ68" s="34"/>
      <c r="AK68" s="34">
        <v>995</v>
      </c>
      <c r="AL68" s="34"/>
      <c r="AM68" s="109">
        <v>995</v>
      </c>
      <c r="AN68" s="204"/>
      <c r="AO68" s="169"/>
      <c r="AP68" s="169"/>
      <c r="AQ68" s="169"/>
      <c r="AR68" s="169"/>
      <c r="AS68" s="169"/>
      <c r="AT68" s="169"/>
      <c r="AU68" s="181"/>
      <c r="AV68" s="46"/>
      <c r="AW68" s="46"/>
      <c r="AX68" s="46"/>
      <c r="AY68" s="46"/>
      <c r="AZ68" s="46"/>
      <c r="BA68" s="46"/>
      <c r="BB68" s="46"/>
      <c r="BC68" s="46"/>
      <c r="BD68" s="46"/>
      <c r="BE68" s="46"/>
      <c r="BF68" s="46"/>
      <c r="BG68" s="46"/>
      <c r="BH68" s="46"/>
      <c r="BI68" s="46"/>
      <c r="BJ68" s="46"/>
      <c r="BK68" s="46"/>
      <c r="BL68" s="46"/>
      <c r="BM68" s="46"/>
      <c r="BN68" s="163"/>
      <c r="BO68" s="163"/>
      <c r="BP68" s="163"/>
      <c r="BQ68" s="46"/>
      <c r="BR68" s="46"/>
      <c r="BS68" s="46"/>
      <c r="BT68" s="46"/>
      <c r="BU68" s="46"/>
      <c r="BV68" s="46"/>
      <c r="BW68" s="46"/>
      <c r="BX68" s="46"/>
      <c r="BY68" s="46"/>
      <c r="BZ68" s="163"/>
    </row>
    <row r="69" spans="2:78">
      <c r="B69" s="83"/>
      <c r="C69" s="46"/>
      <c r="D69" s="46"/>
      <c r="E69" s="46"/>
      <c r="F69" s="46"/>
      <c r="G69" s="46"/>
      <c r="H69" s="46"/>
      <c r="I69" s="46"/>
      <c r="J69" s="46"/>
      <c r="K69" s="46"/>
      <c r="L69" s="46"/>
      <c r="M69" s="109"/>
      <c r="N69" s="109"/>
      <c r="O69" s="109"/>
      <c r="P69" s="109"/>
      <c r="Q69" s="109"/>
      <c r="R69" s="109"/>
      <c r="S69" s="109"/>
      <c r="T69" s="109"/>
      <c r="U69" s="109"/>
      <c r="V69" s="109"/>
      <c r="W69" s="109"/>
      <c r="X69" s="109"/>
      <c r="Y69" s="109"/>
      <c r="Z69" s="46"/>
      <c r="AA69" s="46"/>
      <c r="AB69" s="46"/>
      <c r="AC69" s="46"/>
      <c r="AD69" s="46"/>
      <c r="AE69" s="46"/>
      <c r="AF69" s="46"/>
      <c r="AG69" s="46"/>
      <c r="AH69" s="46"/>
      <c r="AI69" s="109"/>
      <c r="AJ69" s="109"/>
      <c r="AK69" s="109"/>
      <c r="AL69" s="109"/>
      <c r="AM69" s="109"/>
      <c r="AN69" s="181"/>
      <c r="AO69" s="163"/>
      <c r="AP69" s="163"/>
      <c r="AQ69" s="163"/>
      <c r="AR69" s="163"/>
      <c r="AS69" s="163"/>
      <c r="AT69" s="163"/>
      <c r="AU69" s="181"/>
      <c r="AV69" s="46"/>
      <c r="AW69" s="46"/>
      <c r="AX69" s="46"/>
      <c r="AY69" s="46"/>
      <c r="AZ69" s="46"/>
      <c r="BA69" s="46"/>
      <c r="BB69" s="46"/>
      <c r="BC69" s="46"/>
      <c r="BD69" s="46"/>
      <c r="BE69" s="46"/>
      <c r="BF69" s="46"/>
      <c r="BG69" s="46"/>
      <c r="BH69" s="46"/>
      <c r="BI69" s="46"/>
      <c r="BJ69" s="46"/>
      <c r="BK69" s="46"/>
      <c r="BL69" s="46"/>
      <c r="BM69" s="46"/>
      <c r="BN69" s="163"/>
      <c r="BO69" s="163"/>
      <c r="BP69" s="163"/>
      <c r="BQ69" s="46"/>
      <c r="BR69" s="46"/>
      <c r="BS69" s="46"/>
      <c r="BT69" s="46"/>
      <c r="BU69" s="46"/>
      <c r="BV69" s="46"/>
      <c r="BW69" s="46"/>
      <c r="BX69" s="46"/>
      <c r="BY69" s="46"/>
      <c r="BZ69" s="163"/>
    </row>
    <row r="70" spans="2:78">
      <c r="AU70" s="98"/>
    </row>
    <row r="71" spans="2:78">
      <c r="AU71" s="98"/>
    </row>
    <row r="72" spans="2:78">
      <c r="AU72" s="98"/>
    </row>
    <row r="73" spans="2:78">
      <c r="AU73" s="98"/>
    </row>
    <row r="74" spans="2:78">
      <c r="AU74" s="98"/>
    </row>
    <row r="75" spans="2:78">
      <c r="AU75" s="98"/>
    </row>
    <row r="76" spans="2:78">
      <c r="AU76" s="98"/>
    </row>
    <row r="77" spans="2:78">
      <c r="AU77" s="98"/>
    </row>
  </sheetData>
  <pageMargins left="0.7" right="0.7" top="0.75" bottom="0.75" header="0.3" footer="0.3"/>
  <customProperties>
    <customPr name="Qube.Worksheet.Visibility" r:id="rId1"/>
    <customPr name="QXL_SHEET_ID" r:id="rId2"/>
  </customProperties>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CF293-BC88-495A-9BFD-90D9F662CFCD}">
  <sheetPr>
    <tabColor theme="0" tint="-0.14999847407452621"/>
    <pageSetUpPr fitToPage="1"/>
  </sheetPr>
  <dimension ref="A1:N82"/>
  <sheetViews>
    <sheetView showGridLines="0" topLeftCell="B1" zoomScale="85" zoomScaleNormal="85" workbookViewId="0">
      <selection activeCell="Q52" sqref="Q52"/>
    </sheetView>
  </sheetViews>
  <sheetFormatPr defaultColWidth="9.140625" defaultRowHeight="12.75" outlineLevelCol="1"/>
  <cols>
    <col min="1" max="1" width="9.140625" style="26" hidden="1" customWidth="1" outlineLevel="1"/>
    <col min="2" max="2" width="3.5703125" style="26" customWidth="1" collapsed="1"/>
    <col min="3" max="3" width="46.5703125" style="26" customWidth="1"/>
    <col min="4" max="14" width="14.28515625" style="26" customWidth="1"/>
    <col min="15" max="16384" width="9.140625" style="26"/>
  </cols>
  <sheetData>
    <row r="1" spans="3:11" s="164" customFormat="1">
      <c r="C1" s="4" t="s">
        <v>306</v>
      </c>
      <c r="D1" s="2"/>
    </row>
    <row r="2" spans="3:11" s="164" customFormat="1"/>
    <row r="3" spans="3:11" s="164" customFormat="1"/>
    <row r="4" spans="3:11" s="164" customFormat="1"/>
    <row r="6" spans="3:11" s="29" customFormat="1" ht="16.5" customHeight="1">
      <c r="C6" s="35" t="s">
        <v>393</v>
      </c>
      <c r="D6" s="35"/>
      <c r="E6" s="35"/>
      <c r="F6" s="35"/>
      <c r="G6" s="35"/>
      <c r="H6" s="35"/>
      <c r="I6" s="35"/>
      <c r="J6" s="35"/>
      <c r="K6" s="35"/>
    </row>
    <row r="9" spans="3:11" ht="10.5" customHeight="1">
      <c r="C9" s="361" t="s">
        <v>394</v>
      </c>
      <c r="D9" s="362"/>
      <c r="E9" s="362"/>
    </row>
    <row r="10" spans="3:11" ht="6" customHeight="1">
      <c r="C10" s="363"/>
      <c r="D10" s="363"/>
      <c r="E10" s="363"/>
    </row>
    <row r="11" spans="3:11" ht="10.5" customHeight="1">
      <c r="C11" s="364" t="s">
        <v>407</v>
      </c>
      <c r="D11" s="365" t="s">
        <v>127</v>
      </c>
      <c r="E11" s="366" t="s">
        <v>408</v>
      </c>
    </row>
    <row r="12" spans="3:11" ht="10.5" customHeight="1">
      <c r="C12" s="367" t="str">
        <f t="shared" ref="C12:C18" si="0">F67</f>
        <v>Present Value of FCF</v>
      </c>
      <c r="D12" s="368">
        <v>0.5</v>
      </c>
      <c r="E12" s="369">
        <f>$I$67</f>
        <v>11713.447896011898</v>
      </c>
    </row>
    <row r="13" spans="3:11" ht="10.5" customHeight="1">
      <c r="C13" s="367" t="str">
        <f t="shared" si="0"/>
        <v>Terminal Value</v>
      </c>
      <c r="D13" s="370"/>
      <c r="E13" s="369">
        <f>$I$68</f>
        <v>21038.94207046066</v>
      </c>
    </row>
    <row r="14" spans="3:11" ht="10.5" customHeight="1">
      <c r="C14" s="371" t="str">
        <f t="shared" si="0"/>
        <v>Total EV</v>
      </c>
      <c r="D14" s="372"/>
      <c r="E14" s="373">
        <f>$I$69</f>
        <v>32752.389966472558</v>
      </c>
    </row>
    <row r="15" spans="3:11" ht="10.5" customHeight="1">
      <c r="C15" s="367" t="str">
        <f t="shared" si="0"/>
        <v>Less: Net Debt</v>
      </c>
      <c r="D15" s="370"/>
      <c r="E15" s="369">
        <f>$I$70</f>
        <v>-1246.9992331566386</v>
      </c>
    </row>
    <row r="16" spans="3:11" ht="10.5" customHeight="1">
      <c r="C16" s="367" t="str">
        <f t="shared" si="0"/>
        <v>Less Minority Interest</v>
      </c>
      <c r="D16" s="374"/>
      <c r="E16" s="369">
        <f>$I$71</f>
        <v>0</v>
      </c>
    </row>
    <row r="17" spans="3:11" ht="10.5" customHeight="1">
      <c r="C17" s="371" t="str">
        <f t="shared" si="0"/>
        <v>Equity Value</v>
      </c>
      <c r="D17" s="372"/>
      <c r="E17" s="373">
        <f>$I$72</f>
        <v>31505.390733315919</v>
      </c>
    </row>
    <row r="18" spans="3:11" ht="10.5" customHeight="1">
      <c r="C18" s="367" t="str">
        <f t="shared" si="0"/>
        <v>Shares</v>
      </c>
      <c r="D18" s="372"/>
      <c r="E18" s="369">
        <f>$I$73</f>
        <v>1342</v>
      </c>
    </row>
    <row r="19" spans="3:11" ht="10.5" customHeight="1">
      <c r="C19" s="371" t="s">
        <v>409</v>
      </c>
      <c r="D19" s="372"/>
      <c r="E19" s="375">
        <f>$I$74</f>
        <v>23</v>
      </c>
    </row>
    <row r="20" spans="3:11" ht="10.5" customHeight="1">
      <c r="C20" s="371"/>
      <c r="D20" s="372"/>
      <c r="E20" s="375"/>
    </row>
    <row r="21" spans="3:11" ht="10.5" customHeight="1">
      <c r="C21" s="364" t="s">
        <v>410</v>
      </c>
      <c r="D21" s="365" t="s">
        <v>127</v>
      </c>
      <c r="E21" s="366" t="s">
        <v>411</v>
      </c>
    </row>
    <row r="22" spans="3:11" ht="10.5" customHeight="1">
      <c r="C22" s="378" t="str">
        <f>$C$33</f>
        <v>EPS (cps)</v>
      </c>
      <c r="D22" s="379">
        <v>0.5</v>
      </c>
      <c r="E22" s="380">
        <f>$D$33</f>
        <v>106.53954124657905</v>
      </c>
    </row>
    <row r="23" spans="3:11" ht="10.5" customHeight="1">
      <c r="C23" s="378" t="str">
        <f>$C$34</f>
        <v>Applied Multiple (x)</v>
      </c>
      <c r="D23" s="374"/>
      <c r="E23" s="381">
        <f>$D$34</f>
        <v>21.5</v>
      </c>
    </row>
    <row r="24" spans="3:11" ht="10.5" customHeight="1">
      <c r="C24" s="371" t="s">
        <v>409</v>
      </c>
      <c r="D24" s="377"/>
      <c r="E24" s="375">
        <f>$D$35</f>
        <v>23</v>
      </c>
    </row>
    <row r="25" spans="3:11" ht="3" customHeight="1">
      <c r="C25" s="382"/>
      <c r="D25" s="383"/>
      <c r="E25" s="384"/>
    </row>
    <row r="26" spans="3:11" ht="10.5" customHeight="1">
      <c r="C26" s="385" t="s">
        <v>412</v>
      </c>
      <c r="D26" s="386"/>
      <c r="E26" s="387">
        <f>ROUND(D12*E19+D22*E24,0)</f>
        <v>23</v>
      </c>
    </row>
    <row r="27" spans="3:11" ht="10.5" customHeight="1">
      <c r="C27" s="378" t="s">
        <v>413</v>
      </c>
      <c r="D27" s="376"/>
      <c r="E27" s="388">
        <f>E26/D76-1</f>
        <v>5.6985294117646967E-2</v>
      </c>
    </row>
    <row r="29" spans="3:11" s="29" customFormat="1" ht="16.5" customHeight="1">
      <c r="C29" s="35" t="s">
        <v>403</v>
      </c>
      <c r="D29" s="35"/>
      <c r="E29" s="35"/>
      <c r="F29" s="35"/>
      <c r="G29" s="35"/>
      <c r="H29" s="35"/>
      <c r="I29" s="35"/>
      <c r="J29" s="35"/>
      <c r="K29" s="35"/>
    </row>
    <row r="30" spans="3:11" ht="20.25" customHeight="1"/>
    <row r="31" spans="3:11" ht="12" customHeight="1"/>
    <row r="32" spans="3:11" ht="18" customHeight="1">
      <c r="C32" s="270" t="s">
        <v>390</v>
      </c>
      <c r="D32" s="207" t="s">
        <v>30</v>
      </c>
    </row>
    <row r="33" spans="1:14" ht="18" customHeight="1">
      <c r="A33" s="26" t="s">
        <v>132</v>
      </c>
      <c r="C33" s="142" t="s">
        <v>391</v>
      </c>
      <c r="D33" s="358">
        <f>(VLOOKUP($A33,PL!$1:$1048576,MATCH(Valuation!D$32,PL!$3:$3,0),FALSE))*100</f>
        <v>106.53954124657905</v>
      </c>
      <c r="L33" s="448"/>
    </row>
    <row r="34" spans="1:14" ht="18" customHeight="1">
      <c r="C34" s="141" t="s">
        <v>392</v>
      </c>
      <c r="D34" s="359">
        <v>21.5</v>
      </c>
    </row>
    <row r="35" spans="1:14" ht="18" customHeight="1">
      <c r="C35" s="271" t="s">
        <v>414</v>
      </c>
      <c r="D35" s="272">
        <f>ROUND(D34*D33/100,0)</f>
        <v>23</v>
      </c>
      <c r="G35" s="299"/>
    </row>
    <row r="38" spans="1:14" s="29" customFormat="1" ht="16.5" customHeight="1">
      <c r="C38" s="35" t="s">
        <v>402</v>
      </c>
      <c r="D38" s="35"/>
      <c r="E38" s="35"/>
      <c r="F38" s="35"/>
      <c r="G38" s="35"/>
      <c r="H38" s="35"/>
      <c r="I38" s="35"/>
      <c r="J38" s="35"/>
      <c r="K38" s="35"/>
    </row>
    <row r="39" spans="1:14" ht="13.5" customHeight="1">
      <c r="C39" s="131"/>
      <c r="D39" s="131"/>
      <c r="E39" s="131"/>
      <c r="F39" s="357"/>
      <c r="G39" s="357"/>
      <c r="H39" s="357"/>
      <c r="I39" s="357"/>
      <c r="J39" s="131"/>
      <c r="K39" s="131"/>
    </row>
    <row r="40" spans="1:14" ht="13.5" customHeight="1">
      <c r="C40" s="131"/>
      <c r="D40" s="131"/>
      <c r="E40" s="131"/>
      <c r="F40" s="357"/>
      <c r="G40" s="357"/>
      <c r="H40" s="357"/>
      <c r="I40" s="357"/>
      <c r="J40" s="131"/>
      <c r="K40" s="131"/>
    </row>
    <row r="41" spans="1:14" ht="19.5" customHeight="1">
      <c r="C41" s="2" t="s">
        <v>402</v>
      </c>
      <c r="D41" s="2"/>
      <c r="E41" s="2"/>
      <c r="F41" s="269">
        <v>1</v>
      </c>
      <c r="G41" s="269">
        <v>2</v>
      </c>
      <c r="H41" s="269">
        <v>3</v>
      </c>
      <c r="I41" s="269">
        <v>4</v>
      </c>
      <c r="J41" s="2"/>
      <c r="K41" s="2"/>
      <c r="L41" s="2"/>
      <c r="M41" s="2"/>
      <c r="N41" s="2"/>
    </row>
    <row r="42" spans="1:14" ht="19.5" customHeight="1">
      <c r="C42" s="295"/>
      <c r="D42" s="295" t="s">
        <v>10</v>
      </c>
      <c r="E42" s="295" t="s">
        <v>29</v>
      </c>
      <c r="F42" s="295" t="s">
        <v>30</v>
      </c>
      <c r="G42" s="295" t="s">
        <v>215</v>
      </c>
      <c r="H42" s="295" t="s">
        <v>262</v>
      </c>
      <c r="I42" s="295" t="s">
        <v>263</v>
      </c>
      <c r="J42" s="295" t="s">
        <v>415</v>
      </c>
      <c r="K42" s="295" t="s">
        <v>416</v>
      </c>
      <c r="L42" s="295" t="s">
        <v>417</v>
      </c>
      <c r="M42" s="295" t="s">
        <v>418</v>
      </c>
      <c r="N42" s="295" t="s">
        <v>419</v>
      </c>
    </row>
    <row r="43" spans="1:14" ht="15" customHeight="1">
      <c r="A43" s="5" t="s">
        <v>152</v>
      </c>
      <c r="C43" s="144" t="s">
        <v>0</v>
      </c>
      <c r="D43" s="326">
        <f>VLOOKUP($A43,Model!$1:$1048576,MATCH(Valuation!D$42,Model!$3:$3,0),FALSE)</f>
        <v>44352</v>
      </c>
      <c r="E43" s="326">
        <f>VLOOKUP($A43,Model!$1:$1048576,MATCH(Valuation!E$42,Model!$3:$3,0),FALSE)</f>
        <v>45817.4685240947</v>
      </c>
      <c r="F43" s="326">
        <f>VLOOKUP($A43,Model!$1:$1048576,MATCH(Valuation!F$42,Model!$3:$3,0),FALSE)</f>
        <v>47234.551207011624</v>
      </c>
      <c r="G43" s="326">
        <f>VLOOKUP($A43,Model!$1:$1048576,MATCH(Valuation!G$42,Model!$3:$3,0),FALSE)</f>
        <v>49224.880666344303</v>
      </c>
      <c r="H43" s="326">
        <f>VLOOKUP($A43,Model!$1:$1048576,MATCH(Valuation!H$42,Model!$3:$3,0),FALSE)</f>
        <v>51291.973626181745</v>
      </c>
      <c r="I43" s="326">
        <f>VLOOKUP($A43,Model!$1:$1048576,MATCH(Valuation!I$42,Model!$3:$3,0),FALSE)</f>
        <v>53438.643125491319</v>
      </c>
      <c r="J43" s="326">
        <f t="shared" ref="J43:N43" si="1">I43*(1+J44)</f>
        <v>55041.802419256062</v>
      </c>
      <c r="K43" s="326">
        <f t="shared" si="1"/>
        <v>56693.056491833748</v>
      </c>
      <c r="L43" s="326">
        <f t="shared" si="1"/>
        <v>58393.848186588759</v>
      </c>
      <c r="M43" s="326">
        <f t="shared" si="1"/>
        <v>60145.663632186421</v>
      </c>
      <c r="N43" s="326">
        <f t="shared" si="1"/>
        <v>61950.033541152014</v>
      </c>
    </row>
    <row r="44" spans="1:14" ht="15" customHeight="1">
      <c r="C44" s="143" t="s">
        <v>159</v>
      </c>
      <c r="D44" s="240"/>
      <c r="E44" s="209">
        <f>E43/D43-1</f>
        <v>3.3041768670966309E-2</v>
      </c>
      <c r="F44" s="209">
        <f t="shared" ref="F44:I44" si="2">F43/E43-1</f>
        <v>3.092887338748751E-2</v>
      </c>
      <c r="G44" s="209">
        <f t="shared" si="2"/>
        <v>4.213715190411782E-2</v>
      </c>
      <c r="H44" s="209">
        <f t="shared" si="2"/>
        <v>4.1992848572830477E-2</v>
      </c>
      <c r="I44" s="209">
        <f t="shared" si="2"/>
        <v>4.1851957480805835E-2</v>
      </c>
      <c r="J44" s="200">
        <v>0.03</v>
      </c>
      <c r="K44" s="200">
        <v>0.03</v>
      </c>
      <c r="L44" s="200">
        <v>0.03</v>
      </c>
      <c r="M44" s="200">
        <v>0.03</v>
      </c>
      <c r="N44" s="200">
        <v>0.03</v>
      </c>
    </row>
    <row r="45" spans="1:14" ht="15" customHeight="1">
      <c r="A45" s="5" t="s">
        <v>50</v>
      </c>
      <c r="C45" s="144" t="s">
        <v>33</v>
      </c>
      <c r="D45" s="326">
        <f>VLOOKUP($A45,Model!$1:$1048576,MATCH(Valuation!D$42,Model!$3:$3,0),FALSE)</f>
        <v>2112</v>
      </c>
      <c r="E45" s="326">
        <f>VLOOKUP($A45,Model!$1:$1048576,MATCH(Valuation!E$42,Model!$3:$3,0),FALSE)</f>
        <v>2408.2340230570221</v>
      </c>
      <c r="F45" s="326">
        <f>VLOOKUP($A45,Model!$1:$1048576,MATCH(Valuation!F$42,Model!$3:$3,0),FALSE)</f>
        <v>2611.4416919343175</v>
      </c>
      <c r="G45" s="326">
        <f>VLOOKUP($A45,Model!$1:$1048576,MATCH(Valuation!G$42,Model!$3:$3,0),FALSE)</f>
        <v>2766.0255860924699</v>
      </c>
      <c r="H45" s="326">
        <f>VLOOKUP($A45,Model!$1:$1048576,MATCH(Valuation!H$42,Model!$3:$3,0),FALSE)</f>
        <v>2886.4354561100017</v>
      </c>
      <c r="I45" s="326">
        <f>VLOOKUP($A45,Model!$1:$1048576,MATCH(Valuation!I$42,Model!$3:$3,0),FALSE)</f>
        <v>3009.227175497525</v>
      </c>
      <c r="J45" s="326">
        <f>J47*J43</f>
        <v>3099.5039907624509</v>
      </c>
      <c r="K45" s="326">
        <f t="shared" ref="K45:N45" si="3">K47*K43</f>
        <v>3192.4891104853245</v>
      </c>
      <c r="L45" s="326">
        <f t="shared" si="3"/>
        <v>3288.2637837998841</v>
      </c>
      <c r="M45" s="326">
        <f t="shared" si="3"/>
        <v>3386.9116973138807</v>
      </c>
      <c r="N45" s="326">
        <f t="shared" si="3"/>
        <v>3488.5190482332973</v>
      </c>
    </row>
    <row r="46" spans="1:14" ht="15" customHeight="1">
      <c r="C46" s="143" t="s">
        <v>159</v>
      </c>
      <c r="D46" s="240"/>
      <c r="E46" s="209">
        <f>E45/D45-1</f>
        <v>0.14026232152321128</v>
      </c>
      <c r="F46" s="209">
        <f t="shared" ref="F46:N46" si="4">F45/E45-1</f>
        <v>8.4380366248352656E-2</v>
      </c>
      <c r="G46" s="209">
        <f t="shared" si="4"/>
        <v>5.9194848054850091E-2</v>
      </c>
      <c r="H46" s="209">
        <f t="shared" si="4"/>
        <v>4.3531726757319422E-2</v>
      </c>
      <c r="I46" s="209">
        <f t="shared" si="4"/>
        <v>4.2540954493750283E-2</v>
      </c>
      <c r="J46" s="209">
        <f t="shared" si="4"/>
        <v>3.0000000000000027E-2</v>
      </c>
      <c r="K46" s="209">
        <f t="shared" si="4"/>
        <v>3.0000000000000027E-2</v>
      </c>
      <c r="L46" s="209">
        <f t="shared" si="4"/>
        <v>3.0000000000000027E-2</v>
      </c>
      <c r="M46" s="209">
        <f t="shared" si="4"/>
        <v>3.0000000000000027E-2</v>
      </c>
      <c r="N46" s="209">
        <f t="shared" si="4"/>
        <v>3.0000000000000027E-2</v>
      </c>
    </row>
    <row r="47" spans="1:14" ht="15" customHeight="1">
      <c r="C47" s="143" t="s">
        <v>154</v>
      </c>
      <c r="D47" s="327">
        <f>D45/D43</f>
        <v>4.7619047619047616E-2</v>
      </c>
      <c r="E47" s="327">
        <f t="shared" ref="E47:I47" si="5">E45/E43</f>
        <v>5.2561481474921928E-2</v>
      </c>
      <c r="F47" s="327">
        <f t="shared" si="5"/>
        <v>5.5286683692395665E-2</v>
      </c>
      <c r="G47" s="327">
        <f t="shared" si="5"/>
        <v>5.6191615878992629E-2</v>
      </c>
      <c r="H47" s="327">
        <f t="shared" si="5"/>
        <v>5.6274603062585887E-2</v>
      </c>
      <c r="I47" s="327">
        <f t="shared" si="5"/>
        <v>5.6311818554802759E-2</v>
      </c>
      <c r="J47" s="328">
        <f>I47+J48</f>
        <v>5.6311818554802759E-2</v>
      </c>
      <c r="K47" s="328">
        <f t="shared" ref="K47:N47" si="6">J47+K48</f>
        <v>5.6311818554802759E-2</v>
      </c>
      <c r="L47" s="328">
        <f t="shared" si="6"/>
        <v>5.6311818554802759E-2</v>
      </c>
      <c r="M47" s="328">
        <f t="shared" si="6"/>
        <v>5.6311818554802759E-2</v>
      </c>
      <c r="N47" s="328">
        <f t="shared" si="6"/>
        <v>5.6311818554802759E-2</v>
      </c>
    </row>
    <row r="48" spans="1:14" ht="15" customHeight="1">
      <c r="C48" s="143" t="s">
        <v>162</v>
      </c>
      <c r="D48" s="240"/>
      <c r="E48" s="328">
        <f t="shared" ref="E48:H48" si="7">E47-D47</f>
        <v>4.9424338558743119E-3</v>
      </c>
      <c r="F48" s="328">
        <f t="shared" si="7"/>
        <v>2.7252022174737364E-3</v>
      </c>
      <c r="G48" s="328">
        <f t="shared" si="7"/>
        <v>9.0493218659696423E-4</v>
      </c>
      <c r="H48" s="328">
        <f t="shared" si="7"/>
        <v>8.2987183593258296E-5</v>
      </c>
      <c r="I48" s="328">
        <f>I47-H47</f>
        <v>3.7215492216871593E-5</v>
      </c>
      <c r="J48" s="329">
        <v>0</v>
      </c>
      <c r="K48" s="329">
        <v>0</v>
      </c>
      <c r="L48" s="329">
        <v>0</v>
      </c>
      <c r="M48" s="329">
        <v>0</v>
      </c>
      <c r="N48" s="329">
        <v>0</v>
      </c>
    </row>
    <row r="49" spans="1:14" ht="15" customHeight="1">
      <c r="A49" s="5" t="s">
        <v>420</v>
      </c>
      <c r="C49" s="144" t="s">
        <v>421</v>
      </c>
      <c r="D49" s="326">
        <f>VLOOKUP($A49,Model!$1:$1048576,MATCH(Valuation!D$42,Model!$3:$3,0),FALSE)</f>
        <v>-372.19462254263101</v>
      </c>
      <c r="E49" s="326">
        <f>VLOOKUP($A49,Model!$1:$1048576,MATCH(Valuation!E$42,Model!$3:$3,0),FALSE)</f>
        <v>-387.6883056670801</v>
      </c>
      <c r="F49" s="326">
        <f>VLOOKUP($A49,Model!$1:$1048576,MATCH(Valuation!F$42,Model!$3:$3,0),FALSE)</f>
        <v>-404.66637974284538</v>
      </c>
      <c r="G49" s="326">
        <f>VLOOKUP($A49,Model!$1:$1048576,MATCH(Valuation!G$42,Model!$3:$3,0),FALSE)</f>
        <v>-422.31203616564568</v>
      </c>
      <c r="H49" s="326">
        <f>VLOOKUP($A49,Model!$1:$1048576,MATCH(Valuation!H$42,Model!$3:$3,0),FALSE)</f>
        <v>-440.65001518572438</v>
      </c>
      <c r="I49" s="326">
        <f>VLOOKUP($A49,Model!$1:$1048576,MATCH(Valuation!I$42,Model!$3:$3,0),FALSE)</f>
        <v>-459.70593968349118</v>
      </c>
      <c r="J49" s="326">
        <f>J50*J43</f>
        <v>-473.49711787399599</v>
      </c>
      <c r="K49" s="326">
        <f t="shared" ref="K49:N49" si="8">K50*K43</f>
        <v>-487.70203141021591</v>
      </c>
      <c r="L49" s="326">
        <f t="shared" si="8"/>
        <v>-502.33309235252239</v>
      </c>
      <c r="M49" s="326">
        <f t="shared" si="8"/>
        <v>-517.40308512309798</v>
      </c>
      <c r="N49" s="326">
        <f t="shared" si="8"/>
        <v>-532.92517767679101</v>
      </c>
    </row>
    <row r="50" spans="1:14" ht="15" customHeight="1">
      <c r="C50" s="143" t="s">
        <v>163</v>
      </c>
      <c r="D50" s="327">
        <f>D49/D43</f>
        <v>-8.3918340219749053E-3</v>
      </c>
      <c r="E50" s="327">
        <f t="shared" ref="E50:I50" si="9">E49/E43</f>
        <v>-8.4615828450496089E-3</v>
      </c>
      <c r="F50" s="327">
        <f t="shared" si="9"/>
        <v>-8.5671689346500154E-3</v>
      </c>
      <c r="G50" s="327">
        <f t="shared" si="9"/>
        <v>-8.5792394100080768E-3</v>
      </c>
      <c r="H50" s="327">
        <f t="shared" si="9"/>
        <v>-8.5910130578558327E-3</v>
      </c>
      <c r="I50" s="327">
        <f t="shared" si="9"/>
        <v>-8.6025002282328188E-3</v>
      </c>
      <c r="J50" s="329">
        <f>I50</f>
        <v>-8.6025002282328188E-3</v>
      </c>
      <c r="K50" s="329">
        <f t="shared" ref="K50:N50" si="10">J50</f>
        <v>-8.6025002282328188E-3</v>
      </c>
      <c r="L50" s="329">
        <f t="shared" si="10"/>
        <v>-8.6025002282328188E-3</v>
      </c>
      <c r="M50" s="329">
        <f t="shared" si="10"/>
        <v>-8.6025002282328188E-3</v>
      </c>
      <c r="N50" s="329">
        <f t="shared" si="10"/>
        <v>-8.6025002282328188E-3</v>
      </c>
    </row>
    <row r="51" spans="1:14" ht="15" customHeight="1">
      <c r="A51" s="5" t="s">
        <v>422</v>
      </c>
      <c r="C51" s="144" t="s">
        <v>423</v>
      </c>
      <c r="D51" s="326">
        <f>(VLOOKUP($A51,PL!$1:$1048576,MATCH(Valuation!D$42,PL!$3:$3,0),FALSE))*-1</f>
        <v>902</v>
      </c>
      <c r="E51" s="326">
        <f>(VLOOKUP($A51,PL!$1:$1048576,MATCH(Valuation!E$42,PL!$3:$3,0),FALSE))*-1</f>
        <v>993.07499999999993</v>
      </c>
      <c r="F51" s="326">
        <f>(VLOOKUP($A51,PL!$1:$1048576,MATCH(Valuation!F$42,PL!$3:$3,0),FALSE))*-1</f>
        <v>1037.5720500000002</v>
      </c>
      <c r="G51" s="326">
        <f>(VLOOKUP($A51,PL!$1:$1048576,MATCH(Valuation!G$42,PL!$3:$3,0),FALSE))*-1</f>
        <v>1084.0160737500003</v>
      </c>
      <c r="H51" s="326">
        <f>(VLOOKUP($A51,PL!$1:$1048576,MATCH(Valuation!H$42,PL!$3:$3,0),FALSE))*-1</f>
        <v>1132.4907984112504</v>
      </c>
      <c r="I51" s="326">
        <f>(VLOOKUP($A51,PL!$1:$1048576,MATCH(Valuation!I$42,PL!$3:$3,0),FALSE))*-1</f>
        <v>1183.0835049188443</v>
      </c>
      <c r="J51" s="326">
        <f>J43*J52</f>
        <v>1218.5760100664097</v>
      </c>
      <c r="K51" s="326">
        <f t="shared" ref="K51:N51" si="11">K43*K52</f>
        <v>1255.1332903684022</v>
      </c>
      <c r="L51" s="326">
        <f t="shared" si="11"/>
        <v>1292.787289079454</v>
      </c>
      <c r="M51" s="326">
        <f t="shared" si="11"/>
        <v>1331.5709077518377</v>
      </c>
      <c r="N51" s="326">
        <f t="shared" si="11"/>
        <v>1371.5180349843929</v>
      </c>
    </row>
    <row r="52" spans="1:14" ht="15" customHeight="1">
      <c r="C52" s="143" t="s">
        <v>163</v>
      </c>
      <c r="D52" s="327">
        <f>D51/D43</f>
        <v>2.0337301587301588E-2</v>
      </c>
      <c r="E52" s="327">
        <f t="shared" ref="E52:I52" si="12">E51/E43</f>
        <v>2.1674593380857719E-2</v>
      </c>
      <c r="F52" s="327">
        <f t="shared" si="12"/>
        <v>2.1966378921495507E-2</v>
      </c>
      <c r="G52" s="327">
        <f t="shared" si="12"/>
        <v>2.2021710547104612E-2</v>
      </c>
      <c r="H52" s="327">
        <f t="shared" si="12"/>
        <v>2.2079298540253006E-2</v>
      </c>
      <c r="I52" s="327">
        <f t="shared" si="12"/>
        <v>2.2139100765350261E-2</v>
      </c>
      <c r="J52" s="329">
        <f>I52</f>
        <v>2.2139100765350261E-2</v>
      </c>
      <c r="K52" s="329">
        <f t="shared" ref="K52:N56" si="13">J52</f>
        <v>2.2139100765350261E-2</v>
      </c>
      <c r="L52" s="329">
        <f t="shared" si="13"/>
        <v>2.2139100765350261E-2</v>
      </c>
      <c r="M52" s="329">
        <f t="shared" si="13"/>
        <v>2.2139100765350261E-2</v>
      </c>
      <c r="N52" s="329">
        <f t="shared" si="13"/>
        <v>2.2139100765350261E-2</v>
      </c>
    </row>
    <row r="53" spans="1:14" ht="15" customHeight="1">
      <c r="A53" s="5" t="s">
        <v>256</v>
      </c>
      <c r="C53" s="144" t="s">
        <v>188</v>
      </c>
      <c r="D53" s="326">
        <f>VLOOKUP($A53,CF!$1:$1048576,MATCH(Valuation!D$42,CF!$3:$3,0),FALSE)</f>
        <v>32</v>
      </c>
      <c r="E53" s="326">
        <f>VLOOKUP($A53,CF!$1:$1048576,MATCH(Valuation!E$42,CF!$3:$3,0),FALSE)</f>
        <v>46.820186206759445</v>
      </c>
      <c r="F53" s="326">
        <f>VLOOKUP($A53,CF!$1:$1048576,MATCH(Valuation!F$42,CF!$3:$3,0),FALSE)</f>
        <v>45.274309201236974</v>
      </c>
      <c r="G53" s="326">
        <f>VLOOKUP($A53,CF!$1:$1048576,MATCH(Valuation!G$42,CF!$3:$3,0),FALSE)</f>
        <v>63.588943990675034</v>
      </c>
      <c r="H53" s="326">
        <f>VLOOKUP($A53,CF!$1:$1048576,MATCH(Valuation!H$42,CF!$3:$3,0),FALSE)</f>
        <v>66.041457523666395</v>
      </c>
      <c r="I53" s="326">
        <f>VLOOKUP($A53,CF!$1:$1048576,MATCH(Valuation!I$42,CF!$3:$3,0),FALSE)</f>
        <v>68.583844708731249</v>
      </c>
      <c r="J53" s="326">
        <f>J54*J43</f>
        <v>70.641360049993196</v>
      </c>
      <c r="K53" s="326">
        <f t="shared" ref="K53:N53" si="14">K54*K43</f>
        <v>72.760600851492995</v>
      </c>
      <c r="L53" s="326">
        <f t="shared" si="14"/>
        <v>74.943418877037786</v>
      </c>
      <c r="M53" s="326">
        <f t="shared" si="14"/>
        <v>77.191721443348911</v>
      </c>
      <c r="N53" s="326">
        <f t="shared" si="14"/>
        <v>79.507473086649384</v>
      </c>
    </row>
    <row r="54" spans="1:14" ht="15" customHeight="1">
      <c r="A54" s="5"/>
      <c r="C54" s="143" t="s">
        <v>163</v>
      </c>
      <c r="D54" s="327">
        <f>D53/D43</f>
        <v>7.215007215007215E-4</v>
      </c>
      <c r="E54" s="327">
        <f t="shared" ref="E54:I54" si="15">E53/E43</f>
        <v>1.0218850520328821E-3</v>
      </c>
      <c r="F54" s="327">
        <f t="shared" si="15"/>
        <v>9.5849982786575807E-4</v>
      </c>
      <c r="G54" s="327">
        <f t="shared" si="15"/>
        <v>1.2918049394917402E-3</v>
      </c>
      <c r="H54" s="327">
        <f t="shared" si="15"/>
        <v>1.2875592973859724E-3</v>
      </c>
      <c r="I54" s="327">
        <f t="shared" si="15"/>
        <v>1.2834129142776712E-3</v>
      </c>
      <c r="J54" s="329">
        <f>I54</f>
        <v>1.2834129142776712E-3</v>
      </c>
      <c r="K54" s="329">
        <f t="shared" si="13"/>
        <v>1.2834129142776712E-3</v>
      </c>
      <c r="L54" s="329">
        <f t="shared" si="13"/>
        <v>1.2834129142776712E-3</v>
      </c>
      <c r="M54" s="329">
        <f t="shared" si="13"/>
        <v>1.2834129142776712E-3</v>
      </c>
      <c r="N54" s="329">
        <f t="shared" si="13"/>
        <v>1.2834129142776712E-3</v>
      </c>
    </row>
    <row r="55" spans="1:14" ht="15" customHeight="1">
      <c r="A55" t="s">
        <v>375</v>
      </c>
      <c r="C55" s="144" t="s">
        <v>424</v>
      </c>
      <c r="D55" s="326">
        <f>VLOOKUP($A55,CF!$1:$1048576,MATCH(Valuation!D$42,CF!$3:$3,0),FALSE)</f>
        <v>-1282</v>
      </c>
      <c r="E55" s="326">
        <f>VLOOKUP($A55,CF!$1:$1048576,MATCH(Valuation!E$42,CF!$3:$3,0),FALSE)</f>
        <v>-1200</v>
      </c>
      <c r="F55" s="326">
        <f>VLOOKUP($A55,CF!$1:$1048576,MATCH(Valuation!F$42,CF!$3:$3,0),FALSE)</f>
        <v>-1236</v>
      </c>
      <c r="G55" s="326">
        <f>VLOOKUP($A55,CF!$1:$1048576,MATCH(Valuation!G$42,CF!$3:$3,0),FALSE)</f>
        <v>-1273.08</v>
      </c>
      <c r="H55" s="326">
        <f>VLOOKUP($A55,CF!$1:$1048576,MATCH(Valuation!H$42,CF!$3:$3,0),FALSE)</f>
        <v>-1311.2724000000001</v>
      </c>
      <c r="I55" s="326">
        <f>VLOOKUP($A55,CF!$1:$1048576,MATCH(Valuation!I$42,CF!$3:$3,0),FALSE)</f>
        <v>-1350.610572</v>
      </c>
      <c r="J55" s="326">
        <f>J56*J43</f>
        <v>-1391.1288891600002</v>
      </c>
      <c r="K55" s="326">
        <f t="shared" ref="K55:N55" si="16">K56*K43</f>
        <v>-1432.8627558348003</v>
      </c>
      <c r="L55" s="326">
        <f t="shared" si="16"/>
        <v>-1475.8486385098442</v>
      </c>
      <c r="M55" s="326">
        <f t="shared" si="16"/>
        <v>-1520.1240976651395</v>
      </c>
      <c r="N55" s="326">
        <f t="shared" si="16"/>
        <v>-1565.7278205950936</v>
      </c>
    </row>
    <row r="56" spans="1:14" ht="15" customHeight="1">
      <c r="A56"/>
      <c r="C56" s="143" t="s">
        <v>163</v>
      </c>
      <c r="D56" s="327">
        <f>D55/D43</f>
        <v>-2.8905122655122656E-2</v>
      </c>
      <c r="E56" s="327">
        <f t="shared" ref="E56:I56" si="17">E55/E43</f>
        <v>-2.6190883928232274E-2</v>
      </c>
      <c r="F56" s="327">
        <f t="shared" si="17"/>
        <v>-2.6167285777376557E-2</v>
      </c>
      <c r="G56" s="327">
        <f t="shared" si="17"/>
        <v>-2.5862530955213091E-2</v>
      </c>
      <c r="H56" s="327">
        <f t="shared" si="17"/>
        <v>-2.5564865363860111E-2</v>
      </c>
      <c r="I56" s="327">
        <f t="shared" si="17"/>
        <v>-2.5274043145675069E-2</v>
      </c>
      <c r="J56" s="329">
        <f>I56</f>
        <v>-2.5274043145675069E-2</v>
      </c>
      <c r="K56" s="329">
        <f t="shared" si="13"/>
        <v>-2.5274043145675069E-2</v>
      </c>
      <c r="L56" s="329">
        <f t="shared" si="13"/>
        <v>-2.5274043145675069E-2</v>
      </c>
      <c r="M56" s="329">
        <f t="shared" si="13"/>
        <v>-2.5274043145675069E-2</v>
      </c>
      <c r="N56" s="329">
        <f t="shared" si="13"/>
        <v>-2.5274043145675069E-2</v>
      </c>
    </row>
    <row r="57" spans="1:14" ht="15" customHeight="1">
      <c r="A57" s="5" t="s">
        <v>63</v>
      </c>
      <c r="C57" s="144" t="s">
        <v>425</v>
      </c>
      <c r="D57" s="326">
        <f>VLOOKUP($A57,CF!$1:$1048576,MATCH(Valuation!D$42,CF!$3:$3,0),FALSE)</f>
        <v>-20</v>
      </c>
      <c r="E57" s="326">
        <f>VLOOKUP($A57,CF!$1:$1048576,MATCH(Valuation!E$42,CF!$3:$3,0),FALSE)</f>
        <v>0</v>
      </c>
      <c r="F57" s="326">
        <f>VLOOKUP($A57,CF!$1:$1048576,MATCH(Valuation!F$42,CF!$3:$3,0),FALSE)</f>
        <v>0</v>
      </c>
      <c r="G57" s="326">
        <f>VLOOKUP($A57,CF!$1:$1048576,MATCH(Valuation!G$42,CF!$3:$3,0),FALSE)</f>
        <v>0</v>
      </c>
      <c r="H57" s="326">
        <f>VLOOKUP($A57,CF!$1:$1048576,MATCH(Valuation!H$42,CF!$3:$3,0),FALSE)</f>
        <v>0</v>
      </c>
      <c r="I57" s="326">
        <f>VLOOKUP($A57,CF!$1:$1048576,MATCH(Valuation!I$42,CF!$3:$3,0),FALSE)</f>
        <v>0</v>
      </c>
      <c r="J57" s="330">
        <v>0</v>
      </c>
      <c r="K57" s="330">
        <v>0</v>
      </c>
      <c r="L57" s="330">
        <v>0</v>
      </c>
      <c r="M57" s="330">
        <v>0</v>
      </c>
      <c r="N57" s="330">
        <v>0</v>
      </c>
    </row>
    <row r="58" spans="1:14" ht="15" customHeight="1">
      <c r="A58" s="5"/>
      <c r="C58" s="144" t="s">
        <v>426</v>
      </c>
      <c r="D58" s="326">
        <f>D45+D49+D51+D53+D55+D57</f>
        <v>1371.8053774573691</v>
      </c>
      <c r="E58" s="326">
        <f t="shared" ref="E58:N58" si="18">E45+E49+E51+E53+E55+E57</f>
        <v>1860.4409035967014</v>
      </c>
      <c r="F58" s="326">
        <f t="shared" si="18"/>
        <v>2053.6216713927092</v>
      </c>
      <c r="G58" s="326">
        <f t="shared" si="18"/>
        <v>2218.2385676674994</v>
      </c>
      <c r="H58" s="326">
        <f t="shared" si="18"/>
        <v>2333.0452968591944</v>
      </c>
      <c r="I58" s="326">
        <f t="shared" si="18"/>
        <v>2450.5780134416091</v>
      </c>
      <c r="J58" s="326">
        <f t="shared" si="18"/>
        <v>2524.0953538448575</v>
      </c>
      <c r="K58" s="326">
        <f t="shared" si="18"/>
        <v>2599.8182144602038</v>
      </c>
      <c r="L58" s="326">
        <f t="shared" si="18"/>
        <v>2677.8127608940094</v>
      </c>
      <c r="M58" s="326">
        <f t="shared" si="18"/>
        <v>2758.1471437208293</v>
      </c>
      <c r="N58" s="326">
        <f t="shared" si="18"/>
        <v>2840.8915580324547</v>
      </c>
    </row>
    <row r="59" spans="1:14" ht="15" customHeight="1">
      <c r="A59" s="5"/>
      <c r="C59" s="144" t="s">
        <v>427</v>
      </c>
      <c r="D59" s="326">
        <f>D58*-$D$73</f>
        <v>-411.5416132372107</v>
      </c>
      <c r="E59" s="326">
        <f t="shared" ref="E59:N59" si="19">E58*-$D$73</f>
        <v>-558.13227107901037</v>
      </c>
      <c r="F59" s="326">
        <f t="shared" si="19"/>
        <v>-616.08650141781277</v>
      </c>
      <c r="G59" s="326">
        <f t="shared" si="19"/>
        <v>-665.47157030024982</v>
      </c>
      <c r="H59" s="326">
        <f t="shared" si="19"/>
        <v>-699.91358905775826</v>
      </c>
      <c r="I59" s="326">
        <f t="shared" si="19"/>
        <v>-735.17340403248272</v>
      </c>
      <c r="J59" s="326">
        <f t="shared" si="19"/>
        <v>-757.22860615345724</v>
      </c>
      <c r="K59" s="326">
        <f t="shared" si="19"/>
        <v>-779.94546433806113</v>
      </c>
      <c r="L59" s="326">
        <f t="shared" si="19"/>
        <v>-803.34382826820286</v>
      </c>
      <c r="M59" s="326">
        <f t="shared" si="19"/>
        <v>-827.44414311624871</v>
      </c>
      <c r="N59" s="326">
        <f t="shared" si="19"/>
        <v>-852.26746740973635</v>
      </c>
    </row>
    <row r="60" spans="1:14" ht="15" customHeight="1">
      <c r="C60" s="144" t="s">
        <v>388</v>
      </c>
      <c r="D60" s="326">
        <f>D58+D59</f>
        <v>960.26376422015846</v>
      </c>
      <c r="E60" s="326">
        <f t="shared" ref="E60:N60" si="20">E58+E59</f>
        <v>1302.308632517691</v>
      </c>
      <c r="F60" s="326">
        <f t="shared" si="20"/>
        <v>1437.5351699748965</v>
      </c>
      <c r="G60" s="326">
        <f t="shared" si="20"/>
        <v>1552.7669973672496</v>
      </c>
      <c r="H60" s="326">
        <f t="shared" si="20"/>
        <v>1633.1317078014363</v>
      </c>
      <c r="I60" s="326">
        <f t="shared" si="20"/>
        <v>1715.4046094091264</v>
      </c>
      <c r="J60" s="326">
        <f t="shared" si="20"/>
        <v>1766.8667476914002</v>
      </c>
      <c r="K60" s="326">
        <f t="shared" si="20"/>
        <v>1819.8727501221426</v>
      </c>
      <c r="L60" s="326">
        <f t="shared" si="20"/>
        <v>1874.4689326258067</v>
      </c>
      <c r="M60" s="326">
        <f t="shared" si="20"/>
        <v>1930.7030006045807</v>
      </c>
      <c r="N60" s="326">
        <f t="shared" si="20"/>
        <v>1988.6240906227183</v>
      </c>
    </row>
    <row r="61" spans="1:14" ht="15" customHeight="1">
      <c r="C61" s="143" t="s">
        <v>159</v>
      </c>
      <c r="D61" s="240"/>
      <c r="E61" s="209">
        <f>E60/D60-1</f>
        <v>0.35619887060438149</v>
      </c>
      <c r="F61" s="209">
        <f t="shared" ref="F61:N61" si="21">F60/E60-1</f>
        <v>0.10383601404513354</v>
      </c>
      <c r="G61" s="209">
        <f t="shared" si="21"/>
        <v>8.0159310046213017E-2</v>
      </c>
      <c r="H61" s="209">
        <f t="shared" si="21"/>
        <v>5.1755807903212103E-2</v>
      </c>
      <c r="I61" s="209">
        <f t="shared" si="21"/>
        <v>5.0377383045515645E-2</v>
      </c>
      <c r="J61" s="209">
        <f t="shared" si="21"/>
        <v>3.0000000000000027E-2</v>
      </c>
      <c r="K61" s="209">
        <f t="shared" si="21"/>
        <v>3.0000000000000249E-2</v>
      </c>
      <c r="L61" s="209">
        <f t="shared" si="21"/>
        <v>2.9999999999999805E-2</v>
      </c>
      <c r="M61" s="209">
        <f t="shared" si="21"/>
        <v>2.9999999999999805E-2</v>
      </c>
      <c r="N61" s="209">
        <f t="shared" si="21"/>
        <v>3.0000000000000027E-2</v>
      </c>
    </row>
    <row r="62" spans="1:14" ht="15" customHeight="1">
      <c r="C62" s="143" t="s">
        <v>428</v>
      </c>
      <c r="D62" s="331">
        <v>0</v>
      </c>
      <c r="E62" s="331">
        <v>0.5</v>
      </c>
      <c r="F62" s="331">
        <f t="shared" ref="F62:N62" si="22">E62+1</f>
        <v>1.5</v>
      </c>
      <c r="G62" s="331">
        <f t="shared" si="22"/>
        <v>2.5</v>
      </c>
      <c r="H62" s="331">
        <f t="shared" si="22"/>
        <v>3.5</v>
      </c>
      <c r="I62" s="331">
        <f t="shared" si="22"/>
        <v>4.5</v>
      </c>
      <c r="J62" s="331">
        <f t="shared" si="22"/>
        <v>5.5</v>
      </c>
      <c r="K62" s="331">
        <f t="shared" si="22"/>
        <v>6.5</v>
      </c>
      <c r="L62" s="331">
        <f t="shared" si="22"/>
        <v>7.5</v>
      </c>
      <c r="M62" s="331">
        <f t="shared" si="22"/>
        <v>8.5</v>
      </c>
      <c r="N62" s="331">
        <f t="shared" si="22"/>
        <v>9.5</v>
      </c>
    </row>
    <row r="63" spans="1:14" ht="15" customHeight="1">
      <c r="C63" s="143" t="s">
        <v>389</v>
      </c>
      <c r="D63" s="240"/>
      <c r="E63" s="216">
        <f>1/(1+$D$75)^E62</f>
        <v>0.96367918061462465</v>
      </c>
      <c r="F63" s="216">
        <f t="shared" ref="F63:N63" si="23">1/(1+$D$75)^F62</f>
        <v>0.89494723311164981</v>
      </c>
      <c r="G63" s="216">
        <f t="shared" si="23"/>
        <v>0.83111741559402852</v>
      </c>
      <c r="H63" s="216">
        <f t="shared" si="23"/>
        <v>0.77184009620545002</v>
      </c>
      <c r="I63" s="216">
        <f t="shared" si="23"/>
        <v>0.71679057968559623</v>
      </c>
      <c r="J63" s="216">
        <f t="shared" si="23"/>
        <v>0.66566732883134871</v>
      </c>
      <c r="K63" s="216">
        <f t="shared" si="23"/>
        <v>0.61819031280771608</v>
      </c>
      <c r="L63" s="216">
        <f t="shared" si="23"/>
        <v>0.57409947326125199</v>
      </c>
      <c r="M63" s="216">
        <f t="shared" si="23"/>
        <v>0.53315329983400073</v>
      </c>
      <c r="N63" s="216">
        <f t="shared" si="23"/>
        <v>0.49512750727526073</v>
      </c>
    </row>
    <row r="64" spans="1:14" ht="15" customHeight="1">
      <c r="C64" s="144" t="s">
        <v>429</v>
      </c>
      <c r="D64" s="332">
        <f>IF(D62&gt;0,D60*D63,0)</f>
        <v>0</v>
      </c>
      <c r="E64" s="332">
        <f t="shared" ref="E64:N64" si="24">IF(E62&gt;0,E60*E63,0)</f>
        <v>1255.0077158920008</v>
      </c>
      <c r="F64" s="332">
        <f t="shared" si="24"/>
        <v>1286.5181228697188</v>
      </c>
      <c r="G64" s="332">
        <f t="shared" si="24"/>
        <v>1290.5316938715682</v>
      </c>
      <c r="H64" s="332">
        <f t="shared" si="24"/>
        <v>1260.5165344656314</v>
      </c>
      <c r="I64" s="332">
        <f t="shared" si="24"/>
        <v>1229.5858643737115</v>
      </c>
      <c r="J64" s="332">
        <f t="shared" si="24"/>
        <v>1176.1454683366669</v>
      </c>
      <c r="K64" s="332">
        <f t="shared" si="24"/>
        <v>1125.0277046682459</v>
      </c>
      <c r="L64" s="332">
        <f t="shared" si="24"/>
        <v>1076.1316268650569</v>
      </c>
      <c r="M64" s="332">
        <f t="shared" si="24"/>
        <v>1029.3606757717389</v>
      </c>
      <c r="N64" s="332">
        <f t="shared" si="24"/>
        <v>984.6224888975587</v>
      </c>
    </row>
    <row r="65" spans="3:14">
      <c r="E65" s="296"/>
      <c r="F65" s="296"/>
      <c r="G65" s="296"/>
      <c r="H65" s="296"/>
      <c r="I65" s="296"/>
      <c r="J65" s="296"/>
      <c r="K65" s="296"/>
      <c r="L65" s="296"/>
      <c r="M65" s="296"/>
      <c r="N65" s="296"/>
    </row>
    <row r="66" spans="3:14" ht="18" customHeight="1">
      <c r="C66" s="2" t="s">
        <v>430</v>
      </c>
      <c r="D66" s="297"/>
      <c r="F66" s="2" t="s">
        <v>431</v>
      </c>
      <c r="G66" s="297"/>
      <c r="H66" s="297"/>
      <c r="I66" s="297"/>
    </row>
    <row r="67" spans="3:14" ht="18.75" customHeight="1">
      <c r="C67" s="143" t="s">
        <v>293</v>
      </c>
      <c r="D67" s="333">
        <v>0.03</v>
      </c>
      <c r="F67" s="143" t="s">
        <v>432</v>
      </c>
      <c r="G67" s="143"/>
      <c r="H67" s="143"/>
      <c r="I67" s="338">
        <f>SUM(D64:N64)</f>
        <v>11713.447896011898</v>
      </c>
    </row>
    <row r="68" spans="3:14" ht="18.75" customHeight="1">
      <c r="C68" s="143" t="s">
        <v>294</v>
      </c>
      <c r="D68" s="333">
        <v>3.5000000000000003E-2</v>
      </c>
      <c r="F68" s="143" t="s">
        <v>433</v>
      </c>
      <c r="G68" s="143"/>
      <c r="H68" s="143"/>
      <c r="I68" s="338">
        <f>N64/(D75-D67)</f>
        <v>21038.94207046066</v>
      </c>
    </row>
    <row r="69" spans="3:14" ht="18.75" customHeight="1">
      <c r="C69" s="143" t="s">
        <v>296</v>
      </c>
      <c r="D69" s="334">
        <v>0.9</v>
      </c>
      <c r="F69" s="144" t="s">
        <v>434</v>
      </c>
      <c r="G69" s="144"/>
      <c r="H69" s="144"/>
      <c r="I69" s="339">
        <f>I67+I68</f>
        <v>32752.389966472558</v>
      </c>
    </row>
    <row r="70" spans="3:14" ht="18.75" customHeight="1">
      <c r="C70" s="143" t="s">
        <v>295</v>
      </c>
      <c r="D70" s="333">
        <v>0.06</v>
      </c>
      <c r="F70" s="143" t="s">
        <v>435</v>
      </c>
      <c r="G70" s="143"/>
      <c r="H70" s="143"/>
      <c r="I70" s="338">
        <f>-BS!L66</f>
        <v>-1246.9992331566386</v>
      </c>
    </row>
    <row r="71" spans="3:14" ht="18.75" customHeight="1">
      <c r="C71" s="143" t="s">
        <v>297</v>
      </c>
      <c r="D71" s="335">
        <f>D68+(D69*D70)</f>
        <v>8.8999999999999996E-2</v>
      </c>
      <c r="F71" s="143" t="s">
        <v>436</v>
      </c>
      <c r="G71" s="143"/>
      <c r="H71" s="143"/>
      <c r="I71" s="338">
        <f>PL!L47*-Valuation!D34</f>
        <v>0</v>
      </c>
    </row>
    <row r="72" spans="3:14" ht="18.75" customHeight="1">
      <c r="C72" s="143" t="s">
        <v>298</v>
      </c>
      <c r="D72" s="333">
        <v>0.04</v>
      </c>
      <c r="F72" s="144" t="s">
        <v>437</v>
      </c>
      <c r="G72" s="144"/>
      <c r="H72" s="143"/>
      <c r="I72" s="339">
        <f>SUM(I69:I71)</f>
        <v>31505.390733315919</v>
      </c>
    </row>
    <row r="73" spans="3:14" ht="18.75" customHeight="1">
      <c r="C73" s="143" t="s">
        <v>299</v>
      </c>
      <c r="D73" s="333">
        <v>0.3</v>
      </c>
      <c r="F73" s="143" t="s">
        <v>438</v>
      </c>
      <c r="G73" s="143"/>
      <c r="H73" s="143"/>
      <c r="I73" s="338">
        <f>PL!L57</f>
        <v>1342</v>
      </c>
    </row>
    <row r="74" spans="3:14" ht="18.75" customHeight="1">
      <c r="C74" s="143" t="s">
        <v>302</v>
      </c>
      <c r="D74" s="333">
        <v>0.2</v>
      </c>
      <c r="F74" s="268" t="s">
        <v>439</v>
      </c>
      <c r="G74" s="268"/>
      <c r="H74" s="268"/>
      <c r="I74" s="298">
        <f>ROUND(I72/I73,0)</f>
        <v>23</v>
      </c>
    </row>
    <row r="75" spans="3:14" ht="18.75" customHeight="1">
      <c r="C75" s="144" t="s">
        <v>300</v>
      </c>
      <c r="D75" s="336">
        <f>((D74*(0.7)*D72)+((1-D74)*D71))</f>
        <v>7.6799999999999993E-2</v>
      </c>
    </row>
    <row r="76" spans="3:14" ht="18.75" customHeight="1">
      <c r="C76" s="144" t="s">
        <v>440</v>
      </c>
      <c r="D76" s="337">
        <f>Summary!F9</f>
        <v>21.76</v>
      </c>
    </row>
    <row r="82" spans="7:9">
      <c r="G82" s="299"/>
      <c r="H82" s="299"/>
      <c r="I82" s="299"/>
    </row>
  </sheetData>
  <conditionalFormatting sqref="C32">
    <cfRule type="expression" dxfId="0" priority="1">
      <formula>#REF!=1</formula>
    </cfRule>
  </conditionalFormatting>
  <printOptions horizontalCentered="1" verticalCentered="1"/>
  <pageMargins left="0.7" right="0.7" top="0.75" bottom="0.75" header="0.3" footer="0.3"/>
  <pageSetup paperSize="0" orientation="portrait" r:id="rId1"/>
  <customProperties>
    <customPr name="Qube.Worksheet.Visibility" r:id="rId2"/>
    <customPr name="QXL_SHEET_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FdsFormulaCache xmlns="urn:fdsformulacache" version="2" timestamp="1770616103"><![CDATA[{"186745^FE_VALUATION(PE,MEAN,ANNUAL_ROLL,2027,0,-8AY,W,'')":[16.627129,17.009947,16.941944,16.994848,16.699926,16.877005,17.002386,16.628813,16.844105,16.887354,16.780203,16.324474,16.938002,17.177713,17.563875,17.752375,17.769796,17.882025,18.055391,17.690233,17.77868,18.099009,18.062912,18.344618,18.195892,17.945179,17.656055,17.294315,17.374449,17.472206,17.135612,17.132385,16.880707,16.85426,16.950724,16.883785,16.686367,16.567833,16.43396,16.062923,16.034887,15.406097,15.048325,14.602518,14.465936,15.250133,15.141637,14.910673,15.190265,15.515085,15.883265,16.145515,15.859362,15.906108,15.977042,15.75466,15.663323,15.668462,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FdsFormulaCache>
</file>

<file path=customXml/item2.xml>��
</file>

<file path=customXml/itemProps1.xml><?xml version="1.0" encoding="utf-8"?>
<ds:datastoreItem xmlns:ds="http://schemas.openxmlformats.org/officeDocument/2006/customXml" ds:itemID="{D31B03C0-BD91-4D6E-A5A4-6F19445C8CD3}">
  <ds:schemaRefs>
    <ds:schemaRef ds:uri="urn:fdsformulacache"/>
  </ds:schemaRefs>
</ds:datastoreItem>
</file>

<file path=customXml/itemProps2.xml><?xml version="1.0" encoding="utf-8"?>
<ds:datastoreItem xmlns:ds="http://schemas.openxmlformats.org/officeDocument/2006/customXml" ds:itemID="{AFEA37D1-111B-4705-8765-C3F3E9F14B0A}">
  <ds:schemaRefs>
    <ds:schemaRef ds:uri="http://www.w3.org/2001/XMLSchema"/>
    <ds:schemaRef ds:uri="Exchange-SubmissionSheetWrapper"/>
  </ds:schemaRefs>
</ds:datastoreItem>
</file>

<file path=docMetadata/LabelInfo.xml><?xml version="1.0" encoding="utf-8"?>
<clbl:labelList xmlns:clbl="http://schemas.microsoft.com/office/2020/mipLabelMetadata">
  <clbl:label id="{a64882d5-5c68-43ae-b974-91da18426e9b}" enabled="1" method="Standar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Summary</vt:lpstr>
      <vt:lpstr>Model</vt:lpstr>
      <vt:lpstr>PL</vt:lpstr>
      <vt:lpstr>CF</vt:lpstr>
      <vt:lpstr>BS</vt:lpstr>
      <vt:lpstr>Quarterly</vt:lpstr>
      <vt:lpstr>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Marks, Peter J [GIR]</dc:creator>
  <cp:lastModifiedBy>Haidar, Rayanne [GIR]</cp:lastModifiedBy>
  <cp:lastPrinted>2026-02-12T04:36:46Z</cp:lastPrinted>
  <dcterms:created xsi:type="dcterms:W3CDTF">2025-10-27T22:10:42Z</dcterms:created>
  <dcterms:modified xsi:type="dcterms:W3CDTF">2026-02-12T22:09:44Z</dcterms:modified>
</cp:coreProperties>
</file>