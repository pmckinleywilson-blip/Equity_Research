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iledav\AppData\Local\Research\ModelPublishing\SubmittedModels\"/>
    </mc:Choice>
  </mc:AlternateContent>
  <xr:revisionPtr revIDLastSave="0" documentId="8_{F8387979-27A2-4595-B649-14232D49158A}" xr6:coauthVersionLast="47" xr6:coauthVersionMax="47" xr10:uidLastSave="{00000000-0000-0000-0000-000000000000}"/>
  <bookViews>
    <workbookView xWindow="-120" yWindow="-120" windowWidth="51840" windowHeight="21120" xr2:uid="{6CDE7B86-9F26-485D-BF7E-4BABEB6FE699}"/>
  </bookViews>
  <sheets>
    <sheet name="ImportantDisclosures" sheetId="28" r:id="rId1"/>
    <sheet name="Fin Sum" sheetId="2" r:id="rId2"/>
    <sheet name="Model" sheetId="4" r:id="rId3"/>
    <sheet name="Segment" sheetId="9" r:id="rId4"/>
    <sheet name="DCF Tables" sheetId="6" r:id="rId5"/>
    <sheet name="IndexInformation" sheetId="29" r:id="rId6"/>
    <sheet name="ModPubIndex" sheetId="30" r:id="rId7"/>
    <sheet name="Macros" sheetId="8" state="veryHidden" r:id=""/>
  </sheets>
  <externalReferences>
    <externalReference r:id="rId8"/>
    <externalReference r:id="rId9"/>
    <externalReference r:id="rId10"/>
  </externalReferences>
  <definedNames>
    <definedName name="_xleta.SUM" hidden="1" xlm="1">#NAME?</definedName>
    <definedName name="africa">0</definedName>
    <definedName name="africaCountries">'[1]MW GEG'!$J$25:$J$26</definedName>
    <definedName name="allRegions">#REF!</definedName>
    <definedName name="americaRegion">#REF!</definedName>
    <definedName name="americas">0.97</definedName>
    <definedName name="americasStates">#REF!</definedName>
    <definedName name="AppVersion">"GEG-1.0"</definedName>
    <definedName name="asiaPacific">0.01</definedName>
    <definedName name="asiaPacificExJapan">0.01</definedName>
    <definedName name="asiaPacificExJapanCountries">'[1]MW GEG'!$J$32:$J$36</definedName>
    <definedName name="asiaPacificRegion">#REF!</definedName>
    <definedName name="asiaPacificStates">'[1]MW GEG'!$H$28:$H$31</definedName>
    <definedName name="australasia">0.01</definedName>
    <definedName name="B_CA_Oth_17">Model!$E$177</definedName>
    <definedName name="B_CA_Oth_18">Model!$H$177</definedName>
    <definedName name="B_CA_Oth_19">Model!$K$177</definedName>
    <definedName name="B_CA_Oth_20">Model!$N$177</definedName>
    <definedName name="B_CL_AP_17">Model!$E$203</definedName>
    <definedName name="B_CL_AP_18">Model!$H$203</definedName>
    <definedName name="B_CL_AP_19">Model!$K$203</definedName>
    <definedName name="B_CL_AP_20">[1]Model!$N$203</definedName>
    <definedName name="B_CL_Eent_17">Model!$E$215</definedName>
    <definedName name="B_CL_Eent_18">Model!$H$215</definedName>
    <definedName name="B_CL_Eent_19">Model!$K$215</definedName>
    <definedName name="B_CL_Eent_20">Model!$N$215</definedName>
    <definedName name="B_CL_IBDebt_17">Model!$E$210</definedName>
    <definedName name="B_CL_IBDebt_18">Model!$H$210</definedName>
    <definedName name="B_CL_IBDebt_19">Model!$K$210</definedName>
    <definedName name="B_CL_IBDebt_20">Model!$N$210</definedName>
    <definedName name="B_CL_OthProv_17">Model!$E$218</definedName>
    <definedName name="B_CL_OthProv_18">Model!$H$218</definedName>
    <definedName name="B_CL_OthProv_19">Model!$K$218</definedName>
    <definedName name="B_CL_OthProv_20">Model!$N$218</definedName>
    <definedName name="B_NA_17">Model!$E$234</definedName>
    <definedName name="B_NA_18">Model!$H$234</definedName>
    <definedName name="B_NA_19">Model!$K$234</definedName>
    <definedName name="B_NA_20">Model!$N$234</definedName>
    <definedName name="B_NCA_AR_17">Model!$E$185</definedName>
    <definedName name="B_NCA_AR_18">Model!$H$185</definedName>
    <definedName name="B_NCA_AR_19">Model!$K$185</definedName>
    <definedName name="B_NCA_AR_20">Model!$N$185</definedName>
    <definedName name="B_NCA_Brand_17">Model!$E$193</definedName>
    <definedName name="B_NCA_Brand_18">Model!$H$193</definedName>
    <definedName name="B_NCA_Brand_19">Model!$K$193</definedName>
    <definedName name="B_NCA_Brand_20">Model!$N$193</definedName>
    <definedName name="B_NCA_Cap_EE_17">Model!$E$198</definedName>
    <definedName name="B_NCA_Cap_EE_18">Model!$H$198</definedName>
    <definedName name="B_NCA_Cap_EE_19">Model!$K$198</definedName>
    <definedName name="B_NCA_Cap_EE_20">Model!$N$198</definedName>
    <definedName name="B_NCA_GW_17">Model!$E$192</definedName>
    <definedName name="B_NCA_GW_18">Model!$H$192</definedName>
    <definedName name="B_NCA_GW_19">Model!$K$192</definedName>
    <definedName name="B_NCA_GW_20">Model!$N$192</definedName>
    <definedName name="B_NCA_OthInt_17">Model!$E$194</definedName>
    <definedName name="B_NCA_OthInt_18">Model!$H$194</definedName>
    <definedName name="B_NCA_OthInt_19">Model!$K$194</definedName>
    <definedName name="B_NCA_OthInt_20">Model!$N$194</definedName>
    <definedName name="B_NCA_PPE_17">Model!$E$186</definedName>
    <definedName name="B_NCA_PPE_18">Model!$H$186</definedName>
    <definedName name="B_NCA_PPE_19">Model!$K$186</definedName>
    <definedName name="B_NCA_PPE_20">[1]Model!$N$186</definedName>
    <definedName name="B_NCL_DITL_17">Model!$E$225</definedName>
    <definedName name="B_NCL_DITL_18">Model!$H$225</definedName>
    <definedName name="B_NCL_DITL_19">Model!$K$225</definedName>
    <definedName name="B_NCL_DITL_20">Model!$N$225</definedName>
    <definedName name="B_NCL_Div_17">Model!$E$226</definedName>
    <definedName name="B_NCL_Div_18">Model!$H$226</definedName>
    <definedName name="B_NCL_Div_19">Model!$K$226</definedName>
    <definedName name="B_NCL_Div_20">Model!$N$226</definedName>
    <definedName name="B_NCL_IBDebt_17">Model!$E$221</definedName>
    <definedName name="B_NCL_IBDebt_18">Model!$H$221</definedName>
    <definedName name="B_NCL_IBDebt_19">Model!$K$221</definedName>
    <definedName name="B_NCL_IBDebt_20">Model!$N$221</definedName>
    <definedName name="B_NCL_OthProv_17">Model!$E$229</definedName>
    <definedName name="B_NCL_OthProv_18">Model!$H$229</definedName>
    <definedName name="B_NCL_OthProv_19">Model!$K$229</definedName>
    <definedName name="B_NCL_OthProv_20">Model!$N$229</definedName>
    <definedName name="B_SE_Min_17">Model!$E$245</definedName>
    <definedName name="B_SE_Min_18">Model!$H$245</definedName>
    <definedName name="B_SE_Min_19">Model!$K$245</definedName>
    <definedName name="B_SE_Min_20">Model!$N$245</definedName>
    <definedName name="B_SE_OE_17">Model!$E$237</definedName>
    <definedName name="B_SE_OE_18">Model!$H$237</definedName>
    <definedName name="B_SE_OE_19">Model!$K$237</definedName>
    <definedName name="B_SE_OE_20">Model!$N$237</definedName>
    <definedName name="B_SE_Res_17">Model!$E$238</definedName>
    <definedName name="B_SE_Res_18">Model!$H$238</definedName>
    <definedName name="B_SE_Res_19">Model!$K$238</definedName>
    <definedName name="B_SE_Res_20">Model!$N$238</definedName>
    <definedName name="B_SE_RP_17">Model!$E$243</definedName>
    <definedName name="B_SE_RP_18">Model!$H$243</definedName>
    <definedName name="B_SE_RP_19">Model!$K$243</definedName>
    <definedName name="B_SE_RP_20">Model!$N$243</definedName>
    <definedName name="B_TA_17">Model!$E$201</definedName>
    <definedName name="B_TA_18">Model!$H$201</definedName>
    <definedName name="B_TA_19">Model!$K$201</definedName>
    <definedName name="B_TA_20">Model!$N$201</definedName>
    <definedName name="B_TCA_17">Model!$E$183</definedName>
    <definedName name="B_TCA_18">Model!$H$183</definedName>
    <definedName name="B_TCA_19">Model!$K$183</definedName>
    <definedName name="B_TCA_20">Model!$N$183</definedName>
    <definedName name="B_TCL_17">Model!$E$219</definedName>
    <definedName name="B_TCL_18">Model!$H$219</definedName>
    <definedName name="B_TCL_19">Model!$K$219</definedName>
    <definedName name="B_TCL_20">Model!$N$219</definedName>
    <definedName name="B_TCP_17">Model!$E$214</definedName>
    <definedName name="B_TCP_18">Model!$H$214</definedName>
    <definedName name="B_TCP_19">Model!$K$214</definedName>
    <definedName name="B_TCP_20">Model!$N$214</definedName>
    <definedName name="B_TL_17">Model!$E$232</definedName>
    <definedName name="B_TL_18">Model!$H$232</definedName>
    <definedName name="B_TL_19">Model!$K$232</definedName>
    <definedName name="B_TL_20">Model!$N$232</definedName>
    <definedName name="B_TNCA_17">Model!$E$200</definedName>
    <definedName name="B_TNCA_18">Model!$H$200</definedName>
    <definedName name="B_TNCA_19">Model!$K$200</definedName>
    <definedName name="B_TNCA_20">Model!$N$200</definedName>
    <definedName name="B_TNCL_17">Model!$E$231</definedName>
    <definedName name="B_TNCL_18">Model!$H$231</definedName>
    <definedName name="B_TNCL_19">Model!$K$231</definedName>
    <definedName name="B_TNCL_20">Model!$N$231</definedName>
    <definedName name="B_TNCP_17">Model!$E$224</definedName>
    <definedName name="B_TNCP_18">Model!$H$224</definedName>
    <definedName name="B_TNCP_19">Model!$K$224</definedName>
    <definedName name="B_TNCP_20">Model!$N$224</definedName>
    <definedName name="B_TSHE_17">Model!$E$246</definedName>
    <definedName name="B_TSHE_18">Model!$H$246</definedName>
    <definedName name="B_TSHE_19">Model!$K$246</definedName>
    <definedName name="B_TSHE_20">Model!$N$246</definedName>
    <definedName name="BRICS">0</definedName>
    <definedName name="C_CashBP_17">Model!$E$163</definedName>
    <definedName name="C_CashBP_18">Model!$H$163</definedName>
    <definedName name="C_CashBP_19">Model!$K$163</definedName>
    <definedName name="C_CashBP_20">Model!$N$163</definedName>
    <definedName name="C_CashEP_17">Model!$E$165</definedName>
    <definedName name="C_CashEP_18">Model!$H$165</definedName>
    <definedName name="C_CashEP_19">Model!$K$165</definedName>
    <definedName name="C_CashEP_20">Model!$N$165</definedName>
    <definedName name="C_CashTx_Pd_17">Model!$E$123</definedName>
    <definedName name="C_CashTx_Pd_18">Model!$H$123</definedName>
    <definedName name="C_CashTx_Pd_19">Model!$K$123</definedName>
    <definedName name="C_CashTx_Pd_20">Model!$N$123</definedName>
    <definedName name="C_EqtyIssue_17">Model!$E$145</definedName>
    <definedName name="C_EqtyIssue_18">Model!$H$145</definedName>
    <definedName name="C_EqtyIssue_19">Model!$K$145</definedName>
    <definedName name="C_EqtyIssue_20">Model!$N$145</definedName>
    <definedName name="C_FXAdj_17">Model!$E$164</definedName>
    <definedName name="C_FXAdj_18">Model!$H$164</definedName>
    <definedName name="C_FXAdj_19">Model!$K$164</definedName>
    <definedName name="C_FXAdj_20">Model!$N$164</definedName>
    <definedName name="C_NetChgC_17">Model!$E$154</definedName>
    <definedName name="C_NetChgC_18">Model!$H$154</definedName>
    <definedName name="C_NetChgC_19">Model!$K$154</definedName>
    <definedName name="C_NetChgC_20">Model!$N$154</definedName>
    <definedName name="C_OtherF_17">Model!$E$151</definedName>
    <definedName name="C_OtherF_18">Model!$H$151</definedName>
    <definedName name="C_OtherF_19">Model!$K$151</definedName>
    <definedName name="C_OtherF_20">Model!$N$151</definedName>
    <definedName name="C_OtherOp_17">Model!$E$127</definedName>
    <definedName name="C_OtherOp_18">Model!$H$127</definedName>
    <definedName name="C_OtherOp_19">Model!$K$127</definedName>
    <definedName name="C_OtherOp_20">Model!$N$127</definedName>
    <definedName name="C_PrefDivP_17">Model!$E$147</definedName>
    <definedName name="C_PrefDivP_18">Model!$H$147</definedName>
    <definedName name="C_PrefDivP_19">Model!$K$147</definedName>
    <definedName name="C_PrefDivP_20">Model!$N$147</definedName>
    <definedName name="C_ProcBorr_17">Model!$E$149</definedName>
    <definedName name="C_ProcBorr_18">Model!$H$149</definedName>
    <definedName name="C_ProcBorr_19">Model!$K$149</definedName>
    <definedName name="C_ProcBorr_20">Model!$N$149</definedName>
    <definedName name="C_Prov_17">Model!$E$126</definedName>
    <definedName name="C_Prov_18">Model!$H$126</definedName>
    <definedName name="C_Prov_19">Model!$K$126</definedName>
    <definedName name="C_Prov_20">Model!$N$126</definedName>
    <definedName name="C_Rborr_17">Model!$E$150</definedName>
    <definedName name="C_Rborr_18">Model!$H$150</definedName>
    <definedName name="C_Rborr_19">Model!$K$150</definedName>
    <definedName name="C_Rborr_20">Model!$N$150</definedName>
    <definedName name="C_Tot_Fin_17">Model!$E$152</definedName>
    <definedName name="C_Tot_Fin_18">Model!$H$152</definedName>
    <definedName name="C_Tot_Fin_19">Model!$K$152</definedName>
    <definedName name="C_Tot_Fin_20">Model!$N$152</definedName>
    <definedName name="C_Tot_InvAct_17">Model!$E$143</definedName>
    <definedName name="C_Tot_InvAct_18">Model!$H$143</definedName>
    <definedName name="C_Tot_InvAct_19">Model!$K$143</definedName>
    <definedName name="C_Tot_InvAct_20">Model!$N$143</definedName>
    <definedName name="C_Tot_Op_17">Model!$E$128</definedName>
    <definedName name="C_Tot_Op_18">Model!$H$128</definedName>
    <definedName name="C_Tot_Op_19">Model!$K$128</definedName>
    <definedName name="C_Tot_Op_20">Model!$N$128</definedName>
    <definedName name="C_WC_17">Model!$E$125</definedName>
    <definedName name="C_WC_18">Model!$H$125</definedName>
    <definedName name="C_WC_19">Model!$K$125</definedName>
    <definedName name="C_WC_20">Model!$N$125</definedName>
    <definedName name="centralEasternEurope">0</definedName>
    <definedName name="centralEasternEuropeCountries">'[1]MW GEG'!$J$20:$J$21</definedName>
    <definedName name="china">0</definedName>
    <definedName name="consumerDemandExposure">'[1]MW GEG'!$F$63:$F$67</definedName>
    <definedName name="consumersExposure">'[1]MW GEG'!$F$60</definedName>
    <definedName name="countryList">"Country Mapping"</definedName>
    <definedName name="CS_Adj_WAC_17">Model!$E$284</definedName>
    <definedName name="CS_Adj_WAC_18">Model!$H$284</definedName>
    <definedName name="CS_Adj_WAC_19">Model!$K$284</definedName>
    <definedName name="CS_Adj_WAC_20">Model!$N$284</definedName>
    <definedName name="Curr_NPV">#REF!</definedName>
    <definedName name="Curr_NPV_Shr">#REF!</definedName>
    <definedName name="Curr_WACC">#REF!</definedName>
    <definedName name="D1_NAME" localSheetId="3">Segment!#REF!</definedName>
    <definedName name="D2_NAME" localSheetId="3">Segment!#REF!</definedName>
    <definedName name="D3_NAME" localSheetId="3">Segment!#REF!</definedName>
    <definedName name="Depreciation_Group">Segment!$B$190</definedName>
    <definedName name="developedEuropeExUK">0.02</definedName>
    <definedName name="developedEuropeExUKCountries">'[1]MW GEG'!$J$14:$J$18</definedName>
    <definedName name="domesticAndForeignExposure">'[1]MW GEG'!$F$54:$F$55</definedName>
    <definedName name="domesticCostExposure">'[1]MW GEG'!$F$76:$F$77</definedName>
    <definedName name="EEMEA">0</definedName>
    <definedName name="EFPO_17">Model!$E$280</definedName>
    <definedName name="EFPO_18">Model!$H$280</definedName>
    <definedName name="EFPO_19">Model!$K$280</definedName>
    <definedName name="EFPO_20">Model!$N$280</definedName>
    <definedName name="EFPOWA_17">Model!$E$283</definedName>
    <definedName name="EFPOWA_18">Model!$H$283</definedName>
    <definedName name="EFPOWA_19">Model!$K$283</definedName>
    <definedName name="EFPOWA_20">Model!$N$283</definedName>
    <definedName name="endDemandExposure">'[1]MW GEG'!$F$58:$F$60</definedName>
    <definedName name="europe">0.02</definedName>
    <definedName name="europeRegion">#REF!</definedName>
    <definedName name="europeStates">#REF!</definedName>
    <definedName name="india">0</definedName>
    <definedName name="instructions">#REF!</definedName>
    <definedName name="italy">0</definedName>
    <definedName name="japan">0</definedName>
    <definedName name="latinAmerica">0</definedName>
    <definedName name="latinAmericaCountries">'[1]MW GEG'!$J$42:$J$46</definedName>
    <definedName name="Linking_1">#REF!</definedName>
    <definedName name="Linking_10">#REF!</definedName>
    <definedName name="Linking_11">#REF!</definedName>
    <definedName name="Linking_12">#REF!</definedName>
    <definedName name="Linking_13">#REF!</definedName>
    <definedName name="Linking_14">#REF!</definedName>
    <definedName name="Linking_15">'Fin Sum'!$C$4:$P$53</definedName>
    <definedName name="Linking_16">#REF!</definedName>
    <definedName name="Linking_17">#REF!</definedName>
    <definedName name="Linking_18">#REF!</definedName>
    <definedName name="Linking_19">#REF!</definedName>
    <definedName name="Linking_2">#REF!</definedName>
    <definedName name="Linking_20">#REF!</definedName>
    <definedName name="Linking_21">#REF!</definedName>
    <definedName name="Linking_22">#REF!</definedName>
    <definedName name="Linking_23">'DCF Tables'!$B$4:$N$33</definedName>
    <definedName name="Linking_24">#REF!</definedName>
    <definedName name="Linking_25">#REF!</definedName>
    <definedName name="Linking_26">#REF!</definedName>
    <definedName name="Linking_27">#REF!</definedName>
    <definedName name="Linking_28">#REF!</definedName>
    <definedName name="Linking_29">#REF!</definedName>
    <definedName name="Linking_3">#REF!</definedName>
    <definedName name="Linking_30">#REF!</definedName>
    <definedName name="Linking_31">#REF!</definedName>
    <definedName name="Linking_32">#REF!</definedName>
    <definedName name="Linking_33">#REF!</definedName>
    <definedName name="Linking_34">#REF!</definedName>
    <definedName name="Linking_35">#REF!</definedName>
    <definedName name="Linking_36">#REF!</definedName>
    <definedName name="Linking_37">#REF!</definedName>
    <definedName name="Linking_38">#REF!</definedName>
    <definedName name="Linking_39">#REF!</definedName>
    <definedName name="Linking_4">#REF!</definedName>
    <definedName name="Linking_40">#REF!</definedName>
    <definedName name="Linking_41">#REF!</definedName>
    <definedName name="Linking_42">#REF!</definedName>
    <definedName name="Linking_43">#REF!</definedName>
    <definedName name="Linking_44">#REF!</definedName>
    <definedName name="Linking_45">#REF!</definedName>
    <definedName name="Linking_46">#REF!</definedName>
    <definedName name="Linking_47">#REF!</definedName>
    <definedName name="Linking_48">#REF!</definedName>
    <definedName name="Linking_49">#REF!</definedName>
    <definedName name="Linking_5">'[2]Financial Summary'!$C$10,'[2]Financial Summary'!$C$10:$AK$63</definedName>
    <definedName name="Linking_50">#REF!</definedName>
    <definedName name="Linking_51">#REF!</definedName>
    <definedName name="Linking_52">#REF!</definedName>
    <definedName name="Linking_53">#REF!</definedName>
    <definedName name="Linking_54">#REF!</definedName>
    <definedName name="Linking_55">#REF!</definedName>
    <definedName name="Linking_56">#REF!</definedName>
    <definedName name="Linking_57">#REF!</definedName>
    <definedName name="Linking_58">#REF!</definedName>
    <definedName name="Linking_59">#REF!</definedName>
    <definedName name="Linking_6">#REF!</definedName>
    <definedName name="Linking_60">#REF!</definedName>
    <definedName name="Linking_61">'DCF Tables'!$P$4:$R$10</definedName>
    <definedName name="Linking_62">'Fin Sum'!$C$4:$P$51</definedName>
    <definedName name="Linking_63">'DCF Tables'!$T$35:$AC$41</definedName>
    <definedName name="Linking_64">#REF!</definedName>
    <definedName name="Linking_65">#REF!</definedName>
    <definedName name="Linking_66">#REF!</definedName>
    <definedName name="Linking_67">'Fin Sum'!$C$4:$O$51</definedName>
    <definedName name="Linking_68">#REF!</definedName>
    <definedName name="Linking_69">'DCF Tables'!$B$4:$M$33</definedName>
    <definedName name="Linking_7">#REF!</definedName>
    <definedName name="Linking_71">#REF!</definedName>
    <definedName name="Linking_72">#REF!</definedName>
    <definedName name="Linking_75">#REF!</definedName>
    <definedName name="Linking_8">#REF!</definedName>
    <definedName name="Linking_9">#REF!</definedName>
    <definedName name="Linking_Range_10">#REF!</definedName>
    <definedName name="Linking_Range_14">#REF!</definedName>
    <definedName name="Linking_Range_15">#REF!</definedName>
    <definedName name="Linking_Range_16">#REF!</definedName>
    <definedName name="Linking_Range_17">#REF!</definedName>
    <definedName name="Linking_Range_18">#REF!</definedName>
    <definedName name="Linking_Range_19">#REF!</definedName>
    <definedName name="Linking_Range_2">#REF!</definedName>
    <definedName name="Linking_Range_20">#REF!</definedName>
    <definedName name="Linking_Range_21">#REF!</definedName>
    <definedName name="Linking_Range_22">#REF!</definedName>
    <definedName name="Linking_Range_23">#REF!</definedName>
    <definedName name="Linking_Range_24">#REF!</definedName>
    <definedName name="Linking_Range_25">#REF!</definedName>
    <definedName name="Linking_Range_26">#REF!</definedName>
    <definedName name="Linking_Range_3">#REF!</definedName>
    <definedName name="Linking_Range_30">#REF!</definedName>
    <definedName name="Linking_Range_32">#REF!</definedName>
    <definedName name="Linking_Range_33">#REF!</definedName>
    <definedName name="Linking_Range_34">#REF!</definedName>
    <definedName name="Linking_Range_38">#REF!</definedName>
    <definedName name="Linking_Range_39">#REF!</definedName>
    <definedName name="Linking_Range_40">#REF!</definedName>
    <definedName name="Linking_Range_41">#REF!</definedName>
    <definedName name="Linking_Range_48">#REF!</definedName>
    <definedName name="Linking_Range_49">#REF!</definedName>
    <definedName name="Linking_Range_5">#REF!</definedName>
    <definedName name="Linking_Range_53">#REF!</definedName>
    <definedName name="Linking_Range_54">#REF!</definedName>
    <definedName name="Linking_Range_55">#REF!</definedName>
    <definedName name="Linking_Range_56">#REF!</definedName>
    <definedName name="Linking_Range_6">#REF!</definedName>
    <definedName name="Linking_Range_7">#REF!</definedName>
    <definedName name="Linking_Range_80">[3]Charts!$A$864:$C$882</definedName>
    <definedName name="Linking_Range_81">[3]Charts!$A$884:$H$908</definedName>
    <definedName name="Linking_Range_82">[3]Charts!$A$911:$D$931</definedName>
    <definedName name="Linking_Range_83">[3]Charts!$A$884:$H$899</definedName>
    <definedName name="Linking_Range_88">[3]Charts!$A$1227:$H$1263</definedName>
    <definedName name="Linking_Range_89">[3]Charts!$A$1265:$D$1268</definedName>
    <definedName name="lstexchcodes">"Drop Down 22"</definedName>
    <definedName name="MExbrlDates">#REF!</definedName>
    <definedName name="middleEast">0</definedName>
    <definedName name="middleEastAfrica">0</definedName>
    <definedName name="middleEastAfricaRegion">#REF!</definedName>
    <definedName name="middleEastAfricaStates">'[1]MW GEG'!$H$23:$H$24</definedName>
    <definedName name="northAmerica">0.97</definedName>
    <definedName name="northAmericaCountries">'[1]MW GEG'!$J$39:$J$40</definedName>
    <definedName name="otherAfrica">0</definedName>
    <definedName name="otherAsiaPacific">0</definedName>
    <definedName name="otherCentralEasternEurope">0</definedName>
    <definedName name="otherDevelopedEurope">0</definedName>
    <definedName name="otherLATAM">0</definedName>
    <definedName name="PL_AG_17">Model!$E$65</definedName>
    <definedName name="PL_AG_18">Model!$H$65</definedName>
    <definedName name="PL_AG_19">Model!$K$65</definedName>
    <definedName name="PL_AG_20">Model!$N$65</definedName>
    <definedName name="PL_Amort_Brand_17">Model!$E$59</definedName>
    <definedName name="PL_Amort_Brand_18">Model!$H$59</definedName>
    <definedName name="PL_Amort_Brand_19">Model!$K$59</definedName>
    <definedName name="PL_Amort_Brand_20">Model!$N$59</definedName>
    <definedName name="PL_Amort_Other_17">Model!$E$60</definedName>
    <definedName name="PL_Amort_Other_18">Model!$H$60</definedName>
    <definedName name="PL_Amort_Other_19">Model!$K$60</definedName>
    <definedName name="PL_Amort_Other_20">Model!$N$60</definedName>
    <definedName name="PL_DEPN_17">Model!$E$49</definedName>
    <definedName name="PL_DEPN_18">Model!$H$49</definedName>
    <definedName name="PL_DEPN_19">Model!$K$49</definedName>
    <definedName name="PL_DEPN_20">Model!$N$49</definedName>
    <definedName name="PL_Div_Assoc_17">Model!$E$35</definedName>
    <definedName name="PL_Div_Assoc_18">Model!$H$35</definedName>
    <definedName name="PL_Div_Assoc_19">Model!$K$35</definedName>
    <definedName name="PL_Div_Assoc_20">Model!$N$35</definedName>
    <definedName name="PL_Div_Other_17">Model!$E$36</definedName>
    <definedName name="PL_Div_Other_18">Model!$H$36</definedName>
    <definedName name="PL_Div_Other_19">Model!$K$36</definedName>
    <definedName name="PL_Div_Other_20">Model!$N$36</definedName>
    <definedName name="PL_EBIT_17">Model!$E$67</definedName>
    <definedName name="PL_EBIT_18">Model!$H$67</definedName>
    <definedName name="PL_EBIT_19">Model!$K$67</definedName>
    <definedName name="PL_EBIT_20">Model!$N$67</definedName>
    <definedName name="PL_EBITDA_17">Model!$E$47</definedName>
    <definedName name="PL_EBITDA_18">Model!$H$47</definedName>
    <definedName name="PL_EBITDA_19">Model!$K$47</definedName>
    <definedName name="PL_EBITDA_20">Model!$N$47</definedName>
    <definedName name="PL_FX_17">Model!$E$37</definedName>
    <definedName name="PL_FX_18">Model!$H$37</definedName>
    <definedName name="PL_FX_19">Model!$K$37</definedName>
    <definedName name="PL_FX_20">Model!$N$37</definedName>
    <definedName name="PL_Int_Income_17">Model!$E$70</definedName>
    <definedName name="PL_Int_Income_18">Model!$H$70</definedName>
    <definedName name="PL_Int_Income_19">Model!$K$70</definedName>
    <definedName name="PL_Int_Income_20">Model!$N$70</definedName>
    <definedName name="PL_Int_Rev_17">Model!$E$34</definedName>
    <definedName name="PL_Int_Rev_18">Model!$H$34</definedName>
    <definedName name="PL_Int_Rev_19">Model!$K$34</definedName>
    <definedName name="PL_Int_Rev_20">Model!$N$34</definedName>
    <definedName name="PL_NEPS_17">Model!$E$12</definedName>
    <definedName name="PL_NEPS_18">Model!$H$12</definedName>
    <definedName name="PL_NEPS_19">Model!$K$12</definedName>
    <definedName name="PL_NEPS_20">Model!$N$12</definedName>
    <definedName name="PL_NPAT_att_17">Model!$E$79</definedName>
    <definedName name="PL_NPAT_att_18">Model!$H$79</definedName>
    <definedName name="PL_NPAT_att_19">Model!$K$79</definedName>
    <definedName name="PL_NPAT_att_20">Model!$N$79</definedName>
    <definedName name="PL_ODPS_17">Model!$E$24</definedName>
    <definedName name="PL_ODPS_18">Model!$H$24</definedName>
    <definedName name="PL_ODPS_19">Model!$K$24</definedName>
    <definedName name="PL_ODPS_20">Model!$N$24</definedName>
    <definedName name="PL_Oth_OpRev_17">Model!$E$31</definedName>
    <definedName name="PL_Oth_OpRev_18">Model!$H$31</definedName>
    <definedName name="PL_Oth_OpRev_19">Model!$K$31</definedName>
    <definedName name="PL_Oth_OpRev_20">Model!$N$31</definedName>
    <definedName name="PL_Other_Rev_17">Model!$E$33</definedName>
    <definedName name="PL_Other_Rev_18">Model!$H$33</definedName>
    <definedName name="PL_Other_Rev_19">Model!$K$33</definedName>
    <definedName name="PL_Other_Rev_20">Model!$N$33</definedName>
    <definedName name="PL_PTP_17">Model!$E$76</definedName>
    <definedName name="PL_PTP_18">Model!$H$76</definedName>
    <definedName name="PL_PTP_19">Model!$K$76</definedName>
    <definedName name="PL_PTP_20">Model!$N$76</definedName>
    <definedName name="PL_REPS_17">Model!$E$82</definedName>
    <definedName name="PL_REPS_18">Model!$H$82</definedName>
    <definedName name="PL_REPS_19">Model!$K$82</definedName>
    <definedName name="PL_REPS_20">Model!$N$82</definedName>
    <definedName name="PL_REPS_BA_17">Model!$E$14</definedName>
    <definedName name="PL_REPS_BA_18">Model!$H$14</definedName>
    <definedName name="PL_REPS_BA_19">Model!$K$14</definedName>
    <definedName name="PL_REPS_BA_20">Model!$N$14</definedName>
    <definedName name="PL_Rev_NCA_17">Model!$E$38</definedName>
    <definedName name="PL_Rev_NCA_18">Model!$H$38</definedName>
    <definedName name="PL_Rev_NCA_19">Model!$K$38</definedName>
    <definedName name="PL_Rev_NCA_20">Model!$N$38</definedName>
    <definedName name="PL_Sales_17">Model!$E$29</definedName>
    <definedName name="PL_Sales_18">Model!$H$29</definedName>
    <definedName name="PL_Sales_19">Model!$K$29</definedName>
    <definedName name="PL_Sales_20">Model!$N$29</definedName>
    <definedName name="PL_Tot_OE_17">Model!$E$40</definedName>
    <definedName name="PL_Tot_OE_18">Model!$H$40</definedName>
    <definedName name="PL_Tot_OE_19">Model!$K$40</definedName>
    <definedName name="PL_Tot_OE_20">Model!$N$40</definedName>
    <definedName name="PL_Tot_OpRev_17">Model!$E$32</definedName>
    <definedName name="PL_Tot_OpRev_18">Model!$H$32</definedName>
    <definedName name="PL_Tot_OpRev_19">Model!$K$32</definedName>
    <definedName name="PL_Tot_OpRev_20">Model!$N$32</definedName>
    <definedName name="PL_Total_Rev_17">Model!$E$39</definedName>
    <definedName name="PL_Total_Rev_18">Model!$H$39</definedName>
    <definedName name="PL_Total_Rev_19">Model!$K$39</definedName>
    <definedName name="PL_Total_Rev_20">Model!$N$39</definedName>
    <definedName name="regionalCostExposure">'[1]MW GEG'!$F$70:$F$74</definedName>
    <definedName name="rngContinentWiseValue">#REF!</definedName>
    <definedName name="rngCountryWiseValue">#REF!</definedName>
    <definedName name="rngStateWiseValue">#REF!</definedName>
    <definedName name="rngTotalRegionExposure">'[1]MW GEG'!$D$10</definedName>
    <definedName name="showVersionCheckMessage">1</definedName>
    <definedName name="socioEconomicRegion">#REF!</definedName>
    <definedName name="socioEconomicRegions">'[1]MW GEG'!$D$48:$D$51</definedName>
    <definedName name="spain">0</definedName>
    <definedName name="totalConsumerDemandExposure">0</definedName>
    <definedName name="totalDomesticCostExposure">#REF!</definedName>
    <definedName name="totalDomesticRevenueExposure">#REF!</definedName>
    <definedName name="totalEndDemandRevenueExposure">#REF!</definedName>
    <definedName name="totalRegionCostExposure">#REF!</definedName>
    <definedName name="totalRegionRevenueExposure">#REF!</definedName>
    <definedName name="V_WACC_00">#REF!</definedName>
    <definedName name="V_WACC_01">#REF!</definedName>
    <definedName name="V_WACC_02">#REF!</definedName>
    <definedName name="V_WACC_03">#REF!</definedName>
    <definedName name="V_WACC_04">#REF!</definedName>
    <definedName name="V_WACC_05">#REF!</definedName>
    <definedName name="V_WACC_06">#REF!</definedName>
    <definedName name="V_WACC_07">#REF!</definedName>
    <definedName name="V_WACC_08">#REF!</definedName>
    <definedName name="V_WACC_99">#REF!</definedName>
    <definedName name="ValidDateTable">#REF!</definedName>
    <definedName name="Valuation">#REF!</definedName>
    <definedName name="xbrl">Model!$F:$F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80" i="9" l="1"/>
  <c r="AF80" i="9" s="1"/>
  <c r="AF82" i="9"/>
  <c r="AE83" i="9"/>
  <c r="AF83" i="9"/>
  <c r="AE84" i="9"/>
  <c r="AF84" i="9" s="1"/>
  <c r="AE85" i="9"/>
  <c r="AF85" i="9" s="1"/>
  <c r="AE37" i="9"/>
  <c r="AE33" i="9" l="1"/>
  <c r="AH43" i="9"/>
  <c r="AE36" i="9"/>
  <c r="CO34" i="9" l="1"/>
  <c r="CP34" i="9"/>
  <c r="CP27" i="9"/>
  <c r="CP28" i="9" s="1"/>
  <c r="CP29" i="9" s="1"/>
  <c r="CO27" i="9"/>
  <c r="CN27" i="9"/>
  <c r="CM27" i="9"/>
  <c r="CL27" i="9"/>
  <c r="CK27" i="9"/>
  <c r="CJ27" i="9"/>
  <c r="CQ20" i="9"/>
  <c r="CN21" i="9"/>
  <c r="CO21" i="9"/>
  <c r="CP21" i="9"/>
  <c r="CQ21" i="9" s="1"/>
  <c r="AD214" i="9" l="1"/>
  <c r="BH170" i="4" l="1"/>
  <c r="BH173" i="4"/>
  <c r="BH174" i="4"/>
  <c r="BH175" i="4"/>
  <c r="BH176" i="4"/>
  <c r="BH179" i="4"/>
  <c r="BH180" i="4"/>
  <c r="BH181" i="4"/>
  <c r="BH184" i="4"/>
  <c r="BH187" i="4"/>
  <c r="BH188" i="4"/>
  <c r="BH189" i="4"/>
  <c r="BH190" i="4"/>
  <c r="BH192" i="4"/>
  <c r="BH193" i="4"/>
  <c r="BH194" i="4"/>
  <c r="BH195" i="4"/>
  <c r="BH196" i="4"/>
  <c r="BH202" i="4"/>
  <c r="BH205" i="4"/>
  <c r="BH206" i="4"/>
  <c r="BH207" i="4"/>
  <c r="BH208" i="4"/>
  <c r="BH209" i="4"/>
  <c r="BH213" i="4"/>
  <c r="BH220" i="4"/>
  <c r="BH233" i="4"/>
  <c r="BH235" i="4"/>
  <c r="BH236" i="4"/>
  <c r="BH239" i="4"/>
  <c r="BH240" i="4"/>
  <c r="AC150" i="4"/>
  <c r="AC164" i="4"/>
  <c r="AC214" i="9"/>
  <c r="AD148" i="4"/>
  <c r="AC198" i="4"/>
  <c r="AB198" i="4" s="1"/>
  <c r="BH198" i="4" s="1"/>
  <c r="AC197" i="4"/>
  <c r="AB197" i="4"/>
  <c r="BH197" i="4" s="1"/>
  <c r="AC237" i="4"/>
  <c r="AB191" i="4"/>
  <c r="BH191" i="4" s="1"/>
  <c r="X81" i="9"/>
  <c r="U78" i="9" s="1"/>
  <c r="AA81" i="9"/>
  <c r="X86" i="9"/>
  <c r="U83" i="9" s="1"/>
  <c r="AA86" i="9"/>
  <c r="AA87" i="9"/>
  <c r="AC148" i="4"/>
  <c r="W79" i="9" l="1"/>
  <c r="Z78" i="9"/>
  <c r="W85" i="9"/>
  <c r="Z83" i="9"/>
  <c r="U85" i="9"/>
  <c r="U80" i="9"/>
  <c r="AC191" i="4"/>
  <c r="Z82" i="9"/>
  <c r="W78" i="9"/>
  <c r="U79" i="9"/>
  <c r="W84" i="9"/>
  <c r="U84" i="9"/>
  <c r="Z79" i="9"/>
  <c r="Z84" i="9"/>
  <c r="W80" i="9"/>
  <c r="W82" i="9"/>
  <c r="U82" i="9"/>
  <c r="Z80" i="9"/>
  <c r="Z85" i="9"/>
  <c r="W83" i="9"/>
  <c r="AE148" i="4"/>
  <c r="AG148" i="4" s="1"/>
  <c r="AH148" i="4" s="1"/>
  <c r="AJ148" i="4" s="1"/>
  <c r="AA77" i="9"/>
  <c r="AC141" i="4"/>
  <c r="AC140" i="4"/>
  <c r="AB242" i="4"/>
  <c r="AA51" i="9"/>
  <c r="AA36" i="9"/>
  <c r="AC242" i="4" l="1"/>
  <c r="AD242" i="4" s="1"/>
  <c r="AE242" i="4" s="1"/>
  <c r="AF242" i="4" s="1"/>
  <c r="AG242" i="4" s="1"/>
  <c r="AH242" i="4" s="1"/>
  <c r="AI242" i="4" s="1"/>
  <c r="AJ242" i="4" s="1"/>
  <c r="AK242" i="4" s="1"/>
  <c r="AL242" i="4" s="1"/>
  <c r="AM242" i="4" s="1"/>
  <c r="AN242" i="4" s="1"/>
  <c r="AO242" i="4" s="1"/>
  <c r="AP242" i="4" s="1"/>
  <c r="AQ242" i="4" s="1"/>
  <c r="AR242" i="4" s="1"/>
  <c r="AS242" i="4" s="1"/>
  <c r="AT242" i="4" s="1"/>
  <c r="AU242" i="4" s="1"/>
  <c r="AV242" i="4" s="1"/>
  <c r="AW242" i="4" s="1"/>
  <c r="AX242" i="4" s="1"/>
  <c r="AY242" i="4" s="1"/>
  <c r="AZ242" i="4" s="1"/>
  <c r="BA242" i="4" s="1"/>
  <c r="BB242" i="4" s="1"/>
  <c r="BC242" i="4" s="1"/>
  <c r="BD242" i="4" s="1"/>
  <c r="BE242" i="4" s="1"/>
  <c r="BF242" i="4" s="1"/>
  <c r="BG242" i="4" s="1"/>
  <c r="BH242" i="4"/>
  <c r="AF148" i="4"/>
  <c r="AK148" i="4"/>
  <c r="AM148" i="4" s="1"/>
  <c r="AI148" i="4"/>
  <c r="AA238" i="4"/>
  <c r="AA226" i="4"/>
  <c r="AA210" i="4"/>
  <c r="AA199" i="4"/>
  <c r="AA121" i="4"/>
  <c r="AA264" i="4"/>
  <c r="AA221" i="4"/>
  <c r="AA203" i="4"/>
  <c r="AA185" i="4"/>
  <c r="AA177" i="4"/>
  <c r="AA183" i="4" s="1"/>
  <c r="AA162" i="4"/>
  <c r="AA159" i="4"/>
  <c r="AA158" i="4"/>
  <c r="AA144" i="4"/>
  <c r="AA197" i="9"/>
  <c r="AA35" i="9"/>
  <c r="AA154" i="9" s="1"/>
  <c r="AA183" i="9" s="1"/>
  <c r="AA20" i="9"/>
  <c r="AA25" i="9" s="1"/>
  <c r="AA244" i="9"/>
  <c r="AA221" i="9"/>
  <c r="AA202" i="9"/>
  <c r="AA168" i="9"/>
  <c r="AA175" i="9" s="1"/>
  <c r="AA162" i="9"/>
  <c r="AA153" i="9"/>
  <c r="AA182" i="9" s="1"/>
  <c r="AA152" i="9"/>
  <c r="AA181" i="9" s="1"/>
  <c r="AA144" i="9"/>
  <c r="AA129" i="9" s="1"/>
  <c r="AA141" i="9"/>
  <c r="AA140" i="9"/>
  <c r="AA139" i="9"/>
  <c r="AA130" i="9"/>
  <c r="AA116" i="9"/>
  <c r="AA120" i="9" s="1"/>
  <c r="AA111" i="9"/>
  <c r="AB111" i="9" s="1"/>
  <c r="AA110" i="9"/>
  <c r="AA101" i="9"/>
  <c r="AA96" i="9"/>
  <c r="AA67" i="9"/>
  <c r="AA73" i="9" s="1"/>
  <c r="AA66" i="9"/>
  <c r="AA72" i="9" s="1"/>
  <c r="AA59" i="9"/>
  <c r="AA48" i="9"/>
  <c r="AA42" i="9"/>
  <c r="AA41" i="9"/>
  <c r="AD59" i="9"/>
  <c r="AA6" i="9"/>
  <c r="AA8" i="9"/>
  <c r="AA10" i="9"/>
  <c r="AA14" i="9" s="1"/>
  <c r="AA45" i="9" l="1"/>
  <c r="AA164" i="9"/>
  <c r="AA68" i="9"/>
  <c r="AA74" i="9" s="1"/>
  <c r="AA37" i="9"/>
  <c r="AN148" i="4"/>
  <c r="AP148" i="4" s="1"/>
  <c r="AL148" i="4"/>
  <c r="AA61" i="9"/>
  <c r="AA112" i="9"/>
  <c r="AB112" i="9" s="1"/>
  <c r="AA254" i="4"/>
  <c r="AA255" i="4" s="1"/>
  <c r="AA200" i="4"/>
  <c r="AA201" i="4" s="1"/>
  <c r="AA219" i="4"/>
  <c r="AA231" i="4"/>
  <c r="AA97" i="9"/>
  <c r="AA98" i="9"/>
  <c r="AA125" i="9"/>
  <c r="AA126" i="9"/>
  <c r="AA105" i="9"/>
  <c r="AA54" i="9"/>
  <c r="AA151" i="9"/>
  <c r="AA159" i="9"/>
  <c r="AA188" i="9"/>
  <c r="AA192" i="9"/>
  <c r="AA194" i="9" s="1"/>
  <c r="AA180" i="9"/>
  <c r="AA124" i="9"/>
  <c r="AB124" i="9" s="1"/>
  <c r="AA172" i="9"/>
  <c r="AA174" i="9"/>
  <c r="AA176" i="9"/>
  <c r="AA88" i="9"/>
  <c r="AA17" i="9"/>
  <c r="AA150" i="9" s="1"/>
  <c r="AA179" i="9" s="1"/>
  <c r="AG59" i="9"/>
  <c r="AA163" i="9" l="1"/>
  <c r="AA165" i="9"/>
  <c r="AQ148" i="4"/>
  <c r="AS148" i="4" s="1"/>
  <c r="AO148" i="4"/>
  <c r="AA232" i="4"/>
  <c r="AA234" i="4" s="1"/>
  <c r="AA158" i="9"/>
  <c r="AA155" i="9"/>
  <c r="AA93" i="9"/>
  <c r="AA109" i="9"/>
  <c r="AA142" i="9"/>
  <c r="AA191" i="9"/>
  <c r="AA121" i="9"/>
  <c r="AA137" i="9"/>
  <c r="AA138" i="9"/>
  <c r="AA187" i="9"/>
  <c r="AA184" i="9"/>
  <c r="AA65" i="9"/>
  <c r="AA58" i="9"/>
  <c r="AA38" i="9"/>
  <c r="AA4" i="9"/>
  <c r="Z247" i="9"/>
  <c r="X247" i="9"/>
  <c r="W247" i="9"/>
  <c r="U247" i="9"/>
  <c r="BG244" i="9"/>
  <c r="BF244" i="9"/>
  <c r="BE244" i="9"/>
  <c r="BD244" i="9"/>
  <c r="BC244" i="9"/>
  <c r="BB244" i="9"/>
  <c r="BA244" i="9"/>
  <c r="AZ244" i="9"/>
  <c r="AY244" i="9"/>
  <c r="AX244" i="9"/>
  <c r="AW244" i="9"/>
  <c r="AV244" i="9"/>
  <c r="AU244" i="9"/>
  <c r="AT244" i="9"/>
  <c r="AS244" i="9"/>
  <c r="AR244" i="9"/>
  <c r="AQ244" i="9"/>
  <c r="AP244" i="9"/>
  <c r="AO244" i="9"/>
  <c r="AN244" i="9"/>
  <c r="AM244" i="9"/>
  <c r="AL244" i="9"/>
  <c r="AK244" i="9"/>
  <c r="AJ244" i="9"/>
  <c r="AI244" i="9"/>
  <c r="AH244" i="9"/>
  <c r="AG244" i="9"/>
  <c r="AF244" i="9"/>
  <c r="AE244" i="9"/>
  <c r="AD244" i="9"/>
  <c r="AC244" i="9"/>
  <c r="AB244" i="9"/>
  <c r="Z244" i="9"/>
  <c r="Y244" i="9"/>
  <c r="X244" i="9"/>
  <c r="W244" i="9"/>
  <c r="V244" i="9"/>
  <c r="T244" i="9"/>
  <c r="S244" i="9"/>
  <c r="R244" i="9"/>
  <c r="Q244" i="9"/>
  <c r="P244" i="9"/>
  <c r="O244" i="9"/>
  <c r="N244" i="9"/>
  <c r="M244" i="9"/>
  <c r="L244" i="9"/>
  <c r="K244" i="9"/>
  <c r="J244" i="9"/>
  <c r="I244" i="9"/>
  <c r="AG242" i="9"/>
  <c r="Z221" i="9"/>
  <c r="AA222" i="9" s="1"/>
  <c r="X221" i="9"/>
  <c r="W221" i="9"/>
  <c r="U221" i="9"/>
  <c r="T221" i="9"/>
  <c r="R221" i="9"/>
  <c r="Q221" i="9"/>
  <c r="O221" i="9"/>
  <c r="N221" i="9"/>
  <c r="L221" i="9"/>
  <c r="K221" i="9"/>
  <c r="I221" i="9"/>
  <c r="H221" i="9"/>
  <c r="F221" i="9"/>
  <c r="E221" i="9"/>
  <c r="Z217" i="9"/>
  <c r="X217" i="9"/>
  <c r="W217" i="9"/>
  <c r="T217" i="9"/>
  <c r="R217" i="9"/>
  <c r="Q217" i="9"/>
  <c r="O217" i="9"/>
  <c r="N217" i="9"/>
  <c r="L217" i="9"/>
  <c r="K217" i="9"/>
  <c r="I217" i="9"/>
  <c r="H217" i="9"/>
  <c r="F217" i="9"/>
  <c r="E217" i="9"/>
  <c r="Z215" i="9"/>
  <c r="X215" i="9"/>
  <c r="W215" i="9"/>
  <c r="U215" i="9"/>
  <c r="T215" i="9"/>
  <c r="R215" i="9"/>
  <c r="Q215" i="9"/>
  <c r="O215" i="9"/>
  <c r="O214" i="9" s="1"/>
  <c r="N215" i="9"/>
  <c r="N214" i="9" s="1"/>
  <c r="L215" i="9"/>
  <c r="L214" i="9" s="1"/>
  <c r="K215" i="9"/>
  <c r="I215" i="9"/>
  <c r="I214" i="9" s="1"/>
  <c r="H215" i="9"/>
  <c r="H214" i="9" s="1"/>
  <c r="F215" i="9"/>
  <c r="F214" i="9" s="1"/>
  <c r="E215" i="9"/>
  <c r="Z212" i="9"/>
  <c r="X212" i="9"/>
  <c r="W212" i="9"/>
  <c r="U212" i="9"/>
  <c r="T58" i="4"/>
  <c r="R58" i="4"/>
  <c r="Q165" i="9"/>
  <c r="N165" i="9"/>
  <c r="K165" i="9"/>
  <c r="F165" i="9"/>
  <c r="E165" i="9"/>
  <c r="Z351" i="4"/>
  <c r="X351" i="4"/>
  <c r="W351" i="4"/>
  <c r="U351" i="4"/>
  <c r="Z350" i="4"/>
  <c r="X350" i="4"/>
  <c r="W350" i="4"/>
  <c r="U350" i="4"/>
  <c r="H294" i="4"/>
  <c r="K294" i="4" s="1"/>
  <c r="N294" i="4" s="1"/>
  <c r="Q294" i="4" s="1"/>
  <c r="T294" i="4" s="1"/>
  <c r="W294" i="4" s="1"/>
  <c r="Z294" i="4" s="1"/>
  <c r="AC294" i="4" s="1"/>
  <c r="AF294" i="4" s="1"/>
  <c r="AI294" i="4" s="1"/>
  <c r="AL294" i="4" s="1"/>
  <c r="AO294" i="4" s="1"/>
  <c r="AR294" i="4" s="1"/>
  <c r="AU294" i="4" s="1"/>
  <c r="AX294" i="4" s="1"/>
  <c r="BA294" i="4" s="1"/>
  <c r="BD294" i="4" s="1"/>
  <c r="BG294" i="4" s="1"/>
  <c r="Z77" i="4"/>
  <c r="X77" i="4"/>
  <c r="X305" i="4" s="1"/>
  <c r="W77" i="4"/>
  <c r="W305" i="4" s="1"/>
  <c r="U77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W74" i="4"/>
  <c r="U74" i="4"/>
  <c r="Z71" i="4"/>
  <c r="X71" i="4"/>
  <c r="W71" i="4"/>
  <c r="U71" i="4"/>
  <c r="T71" i="4"/>
  <c r="R71" i="4"/>
  <c r="Q71" i="4"/>
  <c r="O71" i="4"/>
  <c r="N71" i="4"/>
  <c r="L71" i="4"/>
  <c r="K71" i="4"/>
  <c r="I71" i="4"/>
  <c r="H71" i="4"/>
  <c r="F71" i="4"/>
  <c r="E71" i="4"/>
  <c r="Z70" i="4"/>
  <c r="Z34" i="4" s="1"/>
  <c r="X70" i="4"/>
  <c r="W70" i="4"/>
  <c r="W34" i="4" s="1"/>
  <c r="U70" i="4"/>
  <c r="U34" i="4" s="1"/>
  <c r="T70" i="4"/>
  <c r="T34" i="4" s="1"/>
  <c r="R70" i="4"/>
  <c r="Q70" i="4"/>
  <c r="O70" i="4"/>
  <c r="O34" i="4" s="1"/>
  <c r="N70" i="4"/>
  <c r="L70" i="4"/>
  <c r="K70" i="4"/>
  <c r="K34" i="4" s="1"/>
  <c r="I70" i="4"/>
  <c r="I34" i="4" s="1"/>
  <c r="H70" i="4"/>
  <c r="F70" i="4"/>
  <c r="E70" i="4"/>
  <c r="E34" i="4" s="1"/>
  <c r="AW65" i="4"/>
  <c r="F49" i="4"/>
  <c r="F122" i="4" s="1"/>
  <c r="T44" i="4"/>
  <c r="Q44" i="4"/>
  <c r="O44" i="4"/>
  <c r="N44" i="4"/>
  <c r="L44" i="4"/>
  <c r="K44" i="4"/>
  <c r="I44" i="4"/>
  <c r="H44" i="4"/>
  <c r="F44" i="4"/>
  <c r="E44" i="4"/>
  <c r="T43" i="4"/>
  <c r="Q43" i="4"/>
  <c r="O43" i="4"/>
  <c r="N43" i="4"/>
  <c r="L43" i="4"/>
  <c r="K43" i="4"/>
  <c r="I43" i="4"/>
  <c r="H43" i="4"/>
  <c r="F43" i="4"/>
  <c r="E43" i="4"/>
  <c r="T42" i="4"/>
  <c r="Q42" i="4"/>
  <c r="O42" i="4"/>
  <c r="N42" i="4"/>
  <c r="L42" i="4"/>
  <c r="K42" i="4"/>
  <c r="I42" i="4"/>
  <c r="H42" i="4"/>
  <c r="F42" i="4"/>
  <c r="E42" i="4"/>
  <c r="Q41" i="4"/>
  <c r="O41" i="4"/>
  <c r="N41" i="4"/>
  <c r="L41" i="4"/>
  <c r="K41" i="4"/>
  <c r="I41" i="4"/>
  <c r="H41" i="4"/>
  <c r="F41" i="4"/>
  <c r="E41" i="4"/>
  <c r="Q29" i="4"/>
  <c r="Q32" i="4" s="1"/>
  <c r="O29" i="4"/>
  <c r="N29" i="4"/>
  <c r="N32" i="4" s="1"/>
  <c r="L29" i="4"/>
  <c r="K29" i="4"/>
  <c r="K32" i="4" s="1"/>
  <c r="I29" i="4"/>
  <c r="I263" i="4" s="1"/>
  <c r="H29" i="4"/>
  <c r="F29" i="4"/>
  <c r="E29" i="4"/>
  <c r="E108" i="4" s="1"/>
  <c r="R49" i="4"/>
  <c r="O166" i="9"/>
  <c r="N163" i="9"/>
  <c r="E163" i="9"/>
  <c r="AH248" i="9"/>
  <c r="AJ248" i="9" s="1"/>
  <c r="AK248" i="9" s="1"/>
  <c r="AM248" i="9" s="1"/>
  <c r="AN248" i="9" s="1"/>
  <c r="AP248" i="9" s="1"/>
  <c r="AQ248" i="9" s="1"/>
  <c r="AS248" i="9" s="1"/>
  <c r="AT248" i="9" s="1"/>
  <c r="AV248" i="9" s="1"/>
  <c r="AW248" i="9" s="1"/>
  <c r="AY248" i="9" s="1"/>
  <c r="AZ248" i="9" s="1"/>
  <c r="BB248" i="9" s="1"/>
  <c r="BC248" i="9" s="1"/>
  <c r="BE248" i="9" s="1"/>
  <c r="BF248" i="9" s="1"/>
  <c r="Z229" i="9"/>
  <c r="W229" i="9"/>
  <c r="AC227" i="9"/>
  <c r="AF227" i="9" s="1"/>
  <c r="AI227" i="9" s="1"/>
  <c r="AL227" i="9" s="1"/>
  <c r="AO227" i="9" s="1"/>
  <c r="Z227" i="9"/>
  <c r="Z226" i="9"/>
  <c r="AC226" i="9" s="1"/>
  <c r="AF226" i="9" s="1"/>
  <c r="W226" i="9"/>
  <c r="AF225" i="9"/>
  <c r="Z225" i="9"/>
  <c r="W225" i="9"/>
  <c r="AO223" i="9"/>
  <c r="AP223" i="9" s="1"/>
  <c r="AQ223" i="9" s="1"/>
  <c r="AR223" i="9" s="1"/>
  <c r="AS223" i="9" s="1"/>
  <c r="AT223" i="9" s="1"/>
  <c r="AU223" i="9" s="1"/>
  <c r="AV223" i="9" s="1"/>
  <c r="AW223" i="9" s="1"/>
  <c r="AX223" i="9" s="1"/>
  <c r="AY223" i="9" s="1"/>
  <c r="AZ223" i="9" s="1"/>
  <c r="BA223" i="9" s="1"/>
  <c r="BB223" i="9" s="1"/>
  <c r="BC223" i="9" s="1"/>
  <c r="BD223" i="9" s="1"/>
  <c r="BE223" i="9" s="1"/>
  <c r="BF223" i="9" s="1"/>
  <c r="BG223" i="9" s="1"/>
  <c r="AC223" i="9"/>
  <c r="AD223" i="9" s="1"/>
  <c r="AE223" i="9" s="1"/>
  <c r="AF223" i="9" s="1"/>
  <c r="AG223" i="9" s="1"/>
  <c r="AH223" i="9" s="1"/>
  <c r="AI223" i="9" s="1"/>
  <c r="AJ223" i="9" s="1"/>
  <c r="AK223" i="9" s="1"/>
  <c r="AL223" i="9" s="1"/>
  <c r="AM223" i="9" s="1"/>
  <c r="AE214" i="9"/>
  <c r="AF214" i="9" s="1"/>
  <c r="AG214" i="9" s="1"/>
  <c r="AH214" i="9" s="1"/>
  <c r="AI214" i="9" s="1"/>
  <c r="AJ214" i="9" s="1"/>
  <c r="AK214" i="9" s="1"/>
  <c r="AL214" i="9" s="1"/>
  <c r="AM214" i="9" s="1"/>
  <c r="AN214" i="9" s="1"/>
  <c r="Q214" i="9"/>
  <c r="K214" i="9"/>
  <c r="E214" i="9"/>
  <c r="S212" i="9"/>
  <c r="P212" i="9"/>
  <c r="M212" i="9"/>
  <c r="J212" i="9"/>
  <c r="G212" i="9"/>
  <c r="AH211" i="9"/>
  <c r="AI211" i="9" s="1"/>
  <c r="AJ211" i="9" s="1"/>
  <c r="AK211" i="9" s="1"/>
  <c r="AL211" i="9" s="1"/>
  <c r="AM211" i="9" s="1"/>
  <c r="AN211" i="9" s="1"/>
  <c r="AO211" i="9" s="1"/>
  <c r="AP211" i="9" s="1"/>
  <c r="AQ211" i="9" s="1"/>
  <c r="AR211" i="9" s="1"/>
  <c r="AS211" i="9" s="1"/>
  <c r="AT211" i="9" s="1"/>
  <c r="AU211" i="9" s="1"/>
  <c r="AV211" i="9" s="1"/>
  <c r="AW211" i="9" s="1"/>
  <c r="AX211" i="9" s="1"/>
  <c r="AY211" i="9" s="1"/>
  <c r="AZ211" i="9" s="1"/>
  <c r="BA211" i="9" s="1"/>
  <c r="BB211" i="9" s="1"/>
  <c r="BC211" i="9" s="1"/>
  <c r="BD211" i="9" s="1"/>
  <c r="BE211" i="9" s="1"/>
  <c r="BF211" i="9" s="1"/>
  <c r="BG211" i="9" s="1"/>
  <c r="Q211" i="9"/>
  <c r="O211" i="9"/>
  <c r="N211" i="9"/>
  <c r="L211" i="9"/>
  <c r="K211" i="9"/>
  <c r="I211" i="9"/>
  <c r="H211" i="9"/>
  <c r="F211" i="9"/>
  <c r="E211" i="9"/>
  <c r="Y206" i="9"/>
  <c r="Y77" i="4" s="1"/>
  <c r="V206" i="9"/>
  <c r="V77" i="4" s="1"/>
  <c r="S206" i="9"/>
  <c r="P206" i="9"/>
  <c r="M206" i="9"/>
  <c r="J206" i="9"/>
  <c r="G206" i="9"/>
  <c r="Z202" i="9"/>
  <c r="X202" i="9"/>
  <c r="W202" i="9"/>
  <c r="U202" i="9"/>
  <c r="T202" i="9"/>
  <c r="R202" i="9"/>
  <c r="Q202" i="9"/>
  <c r="O202" i="9"/>
  <c r="N202" i="9"/>
  <c r="L202" i="9"/>
  <c r="K202" i="9"/>
  <c r="I202" i="9"/>
  <c r="H202" i="9"/>
  <c r="F202" i="9"/>
  <c r="E202" i="9"/>
  <c r="Y201" i="9"/>
  <c r="V201" i="9"/>
  <c r="S201" i="9"/>
  <c r="P201" i="9"/>
  <c r="M201" i="9"/>
  <c r="J201" i="9"/>
  <c r="G201" i="9"/>
  <c r="Y200" i="9"/>
  <c r="V200" i="9"/>
  <c r="S200" i="9"/>
  <c r="P200" i="9"/>
  <c r="M200" i="9"/>
  <c r="J200" i="9"/>
  <c r="G200" i="9"/>
  <c r="Z197" i="9"/>
  <c r="X197" i="9"/>
  <c r="X74" i="4" s="1"/>
  <c r="V197" i="9"/>
  <c r="V74" i="4" s="1"/>
  <c r="T197" i="9"/>
  <c r="R197" i="9"/>
  <c r="Q197" i="9"/>
  <c r="O197" i="9"/>
  <c r="N197" i="9"/>
  <c r="L197" i="9"/>
  <c r="J197" i="9"/>
  <c r="G197" i="9"/>
  <c r="Q191" i="9"/>
  <c r="O191" i="9"/>
  <c r="N191" i="9"/>
  <c r="L191" i="9"/>
  <c r="K191" i="9"/>
  <c r="I191" i="9"/>
  <c r="H191" i="9"/>
  <c r="F191" i="9"/>
  <c r="E191" i="9"/>
  <c r="AC176" i="9"/>
  <c r="AD176" i="9" s="1"/>
  <c r="AE176" i="9" s="1"/>
  <c r="AF176" i="9" s="1"/>
  <c r="AG176" i="9" s="1"/>
  <c r="AH176" i="9" s="1"/>
  <c r="AI176" i="9" s="1"/>
  <c r="AJ176" i="9" s="1"/>
  <c r="AK176" i="9" s="1"/>
  <c r="AL176" i="9" s="1"/>
  <c r="AM176" i="9" s="1"/>
  <c r="AN176" i="9" s="1"/>
  <c r="AO176" i="9" s="1"/>
  <c r="AP176" i="9" s="1"/>
  <c r="AQ176" i="9" s="1"/>
  <c r="AR176" i="9" s="1"/>
  <c r="AS176" i="9" s="1"/>
  <c r="AT176" i="9" s="1"/>
  <c r="AU176" i="9" s="1"/>
  <c r="AV176" i="9" s="1"/>
  <c r="AW176" i="9" s="1"/>
  <c r="AX176" i="9" s="1"/>
  <c r="AY176" i="9" s="1"/>
  <c r="AZ176" i="9" s="1"/>
  <c r="BA176" i="9" s="1"/>
  <c r="BB176" i="9" s="1"/>
  <c r="BC176" i="9" s="1"/>
  <c r="BD176" i="9" s="1"/>
  <c r="BE176" i="9" s="1"/>
  <c r="BF176" i="9" s="1"/>
  <c r="BG176" i="9" s="1"/>
  <c r="AC175" i="9"/>
  <c r="AD175" i="9" s="1"/>
  <c r="AE175" i="9" s="1"/>
  <c r="AF175" i="9" s="1"/>
  <c r="AG175" i="9" s="1"/>
  <c r="AH175" i="9" s="1"/>
  <c r="AI175" i="9" s="1"/>
  <c r="AJ175" i="9" s="1"/>
  <c r="AK175" i="9" s="1"/>
  <c r="AL175" i="9" s="1"/>
  <c r="AM175" i="9" s="1"/>
  <c r="AN175" i="9" s="1"/>
  <c r="AO175" i="9" s="1"/>
  <c r="AP175" i="9" s="1"/>
  <c r="AQ175" i="9" s="1"/>
  <c r="AR175" i="9" s="1"/>
  <c r="AS175" i="9" s="1"/>
  <c r="AT175" i="9" s="1"/>
  <c r="AU175" i="9" s="1"/>
  <c r="AV175" i="9" s="1"/>
  <c r="AW175" i="9" s="1"/>
  <c r="AX175" i="9" s="1"/>
  <c r="AY175" i="9" s="1"/>
  <c r="AZ175" i="9" s="1"/>
  <c r="BA175" i="9" s="1"/>
  <c r="BB175" i="9" s="1"/>
  <c r="BC175" i="9" s="1"/>
  <c r="BD175" i="9" s="1"/>
  <c r="BE175" i="9" s="1"/>
  <c r="BF175" i="9" s="1"/>
  <c r="BG175" i="9" s="1"/>
  <c r="AC174" i="9"/>
  <c r="AD174" i="9" s="1"/>
  <c r="AE174" i="9" s="1"/>
  <c r="AF174" i="9" s="1"/>
  <c r="AG174" i="9" s="1"/>
  <c r="AH174" i="9" s="1"/>
  <c r="AI174" i="9" s="1"/>
  <c r="AJ174" i="9" s="1"/>
  <c r="AK174" i="9" s="1"/>
  <c r="AL174" i="9" s="1"/>
  <c r="AM174" i="9" s="1"/>
  <c r="AN174" i="9" s="1"/>
  <c r="AO174" i="9" s="1"/>
  <c r="AP174" i="9" s="1"/>
  <c r="AQ174" i="9" s="1"/>
  <c r="AR174" i="9" s="1"/>
  <c r="AS174" i="9" s="1"/>
  <c r="AT174" i="9" s="1"/>
  <c r="AU174" i="9" s="1"/>
  <c r="AV174" i="9" s="1"/>
  <c r="AW174" i="9" s="1"/>
  <c r="AX174" i="9" s="1"/>
  <c r="AY174" i="9" s="1"/>
  <c r="AZ174" i="9" s="1"/>
  <c r="BA174" i="9" s="1"/>
  <c r="BB174" i="9" s="1"/>
  <c r="BC174" i="9" s="1"/>
  <c r="BD174" i="9" s="1"/>
  <c r="BE174" i="9" s="1"/>
  <c r="BF174" i="9" s="1"/>
  <c r="BG174" i="9" s="1"/>
  <c r="Y171" i="9"/>
  <c r="V171" i="9"/>
  <c r="R171" i="9"/>
  <c r="S171" i="9" s="1"/>
  <c r="Y170" i="9"/>
  <c r="V170" i="9"/>
  <c r="S170" i="9"/>
  <c r="Y169" i="9"/>
  <c r="V169" i="9"/>
  <c r="R169" i="9"/>
  <c r="Z168" i="9"/>
  <c r="Z172" i="9" s="1"/>
  <c r="X168" i="9"/>
  <c r="X172" i="9" s="1"/>
  <c r="W168" i="9"/>
  <c r="U168" i="9"/>
  <c r="T168" i="9"/>
  <c r="T172" i="9" s="1"/>
  <c r="P168" i="9"/>
  <c r="M168" i="9"/>
  <c r="J168" i="9"/>
  <c r="G168" i="9"/>
  <c r="BJ167" i="9"/>
  <c r="BJ168" i="9" s="1"/>
  <c r="BJ169" i="9" s="1"/>
  <c r="BJ170" i="9" s="1"/>
  <c r="BP166" i="9"/>
  <c r="I166" i="9"/>
  <c r="I165" i="9"/>
  <c r="O165" i="9"/>
  <c r="H165" i="9"/>
  <c r="AD163" i="9"/>
  <c r="AE163" i="9" s="1"/>
  <c r="I163" i="9"/>
  <c r="Z162" i="9"/>
  <c r="X162" i="9"/>
  <c r="W162" i="9"/>
  <c r="U162" i="9"/>
  <c r="F163" i="9"/>
  <c r="BM160" i="9"/>
  <c r="BM159" i="9"/>
  <c r="BM158" i="9"/>
  <c r="BJ158" i="9"/>
  <c r="BJ159" i="9" s="1"/>
  <c r="BJ160" i="9" s="1"/>
  <c r="BM157" i="9"/>
  <c r="BK157" i="9"/>
  <c r="BM166" i="9" s="1"/>
  <c r="BM167" i="9" s="1"/>
  <c r="BM168" i="9" s="1"/>
  <c r="BM169" i="9" s="1"/>
  <c r="BM170" i="9" s="1"/>
  <c r="Z154" i="9"/>
  <c r="Z183" i="9" s="1"/>
  <c r="X154" i="9"/>
  <c r="X183" i="9" s="1"/>
  <c r="W154" i="9"/>
  <c r="W183" i="9" s="1"/>
  <c r="U154" i="9"/>
  <c r="U183" i="9" s="1"/>
  <c r="R154" i="9"/>
  <c r="Z153" i="9"/>
  <c r="Z182" i="9" s="1"/>
  <c r="X153" i="9"/>
  <c r="X182" i="9" s="1"/>
  <c r="W153" i="9"/>
  <c r="W182" i="9" s="1"/>
  <c r="U153" i="9"/>
  <c r="U182" i="9" s="1"/>
  <c r="R153" i="9"/>
  <c r="R182" i="9" s="1"/>
  <c r="Z152" i="9"/>
  <c r="Z181" i="9" s="1"/>
  <c r="X152" i="9"/>
  <c r="W152" i="9"/>
  <c r="U152" i="9"/>
  <c r="U181" i="9" s="1"/>
  <c r="R152" i="9"/>
  <c r="Y147" i="9"/>
  <c r="V147" i="9"/>
  <c r="Y146" i="9"/>
  <c r="V146" i="9"/>
  <c r="Y145" i="9"/>
  <c r="V145" i="9"/>
  <c r="Z144" i="9"/>
  <c r="Z129" i="9" s="1"/>
  <c r="X144" i="9"/>
  <c r="X129" i="9" s="1"/>
  <c r="W144" i="9"/>
  <c r="W129" i="9" s="1"/>
  <c r="U144" i="9"/>
  <c r="U129" i="9" s="1"/>
  <c r="AS143" i="9"/>
  <c r="AV143" i="9" s="1"/>
  <c r="AY143" i="9" s="1"/>
  <c r="BB143" i="9" s="1"/>
  <c r="BE143" i="9" s="1"/>
  <c r="AE142" i="9"/>
  <c r="AC142" i="9"/>
  <c r="BN141" i="9"/>
  <c r="BN143" i="9" s="1"/>
  <c r="BN144" i="9" s="1"/>
  <c r="AC141" i="9"/>
  <c r="Z141" i="9"/>
  <c r="X141" i="9"/>
  <c r="W141" i="9"/>
  <c r="U141" i="9"/>
  <c r="AC140" i="9"/>
  <c r="AD140" i="9" s="1"/>
  <c r="AE140" i="9" s="1"/>
  <c r="AF140" i="9" s="1"/>
  <c r="AG140" i="9" s="1"/>
  <c r="AH140" i="9" s="1"/>
  <c r="AI140" i="9" s="1"/>
  <c r="AJ140" i="9" s="1"/>
  <c r="AK140" i="9" s="1"/>
  <c r="AL140" i="9" s="1"/>
  <c r="AM140" i="9" s="1"/>
  <c r="AN140" i="9" s="1"/>
  <c r="AO140" i="9" s="1"/>
  <c r="AP140" i="9" s="1"/>
  <c r="AQ140" i="9" s="1"/>
  <c r="AR140" i="9" s="1"/>
  <c r="AS140" i="9" s="1"/>
  <c r="AT140" i="9" s="1"/>
  <c r="AU140" i="9" s="1"/>
  <c r="AV140" i="9" s="1"/>
  <c r="AW140" i="9" s="1"/>
  <c r="AX140" i="9" s="1"/>
  <c r="AY140" i="9" s="1"/>
  <c r="AZ140" i="9" s="1"/>
  <c r="BA140" i="9" s="1"/>
  <c r="BB140" i="9" s="1"/>
  <c r="BC140" i="9" s="1"/>
  <c r="BD140" i="9" s="1"/>
  <c r="BE140" i="9" s="1"/>
  <c r="BF140" i="9" s="1"/>
  <c r="BG140" i="9" s="1"/>
  <c r="Z140" i="9"/>
  <c r="X140" i="9"/>
  <c r="W140" i="9"/>
  <c r="U140" i="9"/>
  <c r="AC139" i="9"/>
  <c r="Z139" i="9"/>
  <c r="X139" i="9"/>
  <c r="W139" i="9"/>
  <c r="U139" i="9"/>
  <c r="Y134" i="9"/>
  <c r="V134" i="9"/>
  <c r="Y133" i="9"/>
  <c r="V133" i="9"/>
  <c r="Y132" i="9"/>
  <c r="V132" i="9"/>
  <c r="Y131" i="9"/>
  <c r="V131" i="9"/>
  <c r="Z130" i="9"/>
  <c r="X130" i="9"/>
  <c r="W130" i="9"/>
  <c r="T131" i="9" s="1"/>
  <c r="S131" i="9" s="1"/>
  <c r="U130" i="9"/>
  <c r="Q129" i="9"/>
  <c r="Q150" i="9" s="1"/>
  <c r="Q179" i="9" s="1"/>
  <c r="Q193" i="9" s="1"/>
  <c r="P129" i="9"/>
  <c r="O129" i="9"/>
  <c r="O150" i="9" s="1"/>
  <c r="O179" i="9" s="1"/>
  <c r="O193" i="9" s="1"/>
  <c r="N129" i="9"/>
  <c r="N150" i="9" s="1"/>
  <c r="N179" i="9" s="1"/>
  <c r="N193" i="9" s="1"/>
  <c r="M129" i="9"/>
  <c r="L129" i="9"/>
  <c r="L150" i="9" s="1"/>
  <c r="L179" i="9" s="1"/>
  <c r="L193" i="9" s="1"/>
  <c r="K129" i="9"/>
  <c r="K150" i="9" s="1"/>
  <c r="K179" i="9" s="1"/>
  <c r="K193" i="9" s="1"/>
  <c r="J129" i="9"/>
  <c r="I129" i="9"/>
  <c r="I150" i="9" s="1"/>
  <c r="I179" i="9" s="1"/>
  <c r="H129" i="9"/>
  <c r="H150" i="9" s="1"/>
  <c r="H179" i="9" s="1"/>
  <c r="H193" i="9" s="1"/>
  <c r="G129" i="9"/>
  <c r="F129" i="9"/>
  <c r="F150" i="9" s="1"/>
  <c r="F179" i="9" s="1"/>
  <c r="F193" i="9" s="1"/>
  <c r="E129" i="9"/>
  <c r="E150" i="9" s="1"/>
  <c r="E179" i="9" s="1"/>
  <c r="E193" i="9" s="1"/>
  <c r="AS125" i="9"/>
  <c r="AQ125" i="9"/>
  <c r="AR125" i="9" s="1"/>
  <c r="AN125" i="9"/>
  <c r="AO125" i="9" s="1"/>
  <c r="AC125" i="9"/>
  <c r="AD125" i="9" s="1"/>
  <c r="AK124" i="9"/>
  <c r="AL124" i="9" s="1"/>
  <c r="AM124" i="9" s="1"/>
  <c r="AH124" i="9"/>
  <c r="AE124" i="9"/>
  <c r="AC124" i="9"/>
  <c r="AM122" i="9"/>
  <c r="AP122" i="9" s="1"/>
  <c r="AS122" i="9" s="1"/>
  <c r="AV122" i="9" s="1"/>
  <c r="AY122" i="9" s="1"/>
  <c r="BB122" i="9" s="1"/>
  <c r="BE122" i="9" s="1"/>
  <c r="AC121" i="9"/>
  <c r="AD121" i="9" s="1"/>
  <c r="AE121" i="9" s="1"/>
  <c r="AF121" i="9" s="1"/>
  <c r="AG121" i="9" s="1"/>
  <c r="AH121" i="9" s="1"/>
  <c r="AJ121" i="9" s="1"/>
  <c r="AK121" i="9" s="1"/>
  <c r="AL121" i="9" s="1"/>
  <c r="Y119" i="9"/>
  <c r="V119" i="9"/>
  <c r="Y118" i="9"/>
  <c r="V118" i="9"/>
  <c r="Y117" i="9"/>
  <c r="V117" i="9"/>
  <c r="Z116" i="9"/>
  <c r="Z44" i="4" s="1"/>
  <c r="X116" i="9"/>
  <c r="X44" i="4" s="1"/>
  <c r="W116" i="9"/>
  <c r="W44" i="4" s="1"/>
  <c r="U116" i="9"/>
  <c r="U44" i="4" s="1"/>
  <c r="S116" i="9"/>
  <c r="R116" i="9"/>
  <c r="R44" i="4" s="1"/>
  <c r="P116" i="9"/>
  <c r="M116" i="9"/>
  <c r="J116" i="9"/>
  <c r="G116" i="9"/>
  <c r="AS113" i="9"/>
  <c r="AV113" i="9" s="1"/>
  <c r="AY113" i="9" s="1"/>
  <c r="BB113" i="9" s="1"/>
  <c r="BE113" i="9" s="1"/>
  <c r="AD112" i="9"/>
  <c r="AE112" i="9" s="1"/>
  <c r="AG112" i="9" s="1"/>
  <c r="AH112" i="9" s="1"/>
  <c r="AJ112" i="9" s="1"/>
  <c r="AK112" i="9" s="1"/>
  <c r="AM112" i="9" s="1"/>
  <c r="AN112" i="9" s="1"/>
  <c r="AP112" i="9" s="1"/>
  <c r="AQ112" i="9" s="1"/>
  <c r="AS112" i="9" s="1"/>
  <c r="AT112" i="9" s="1"/>
  <c r="AV112" i="9" s="1"/>
  <c r="AW112" i="9" s="1"/>
  <c r="AY112" i="9" s="1"/>
  <c r="AZ112" i="9" s="1"/>
  <c r="BB112" i="9" s="1"/>
  <c r="BC112" i="9" s="1"/>
  <c r="BE112" i="9" s="1"/>
  <c r="BF112" i="9" s="1"/>
  <c r="Z112" i="9"/>
  <c r="X112" i="9"/>
  <c r="W112" i="9"/>
  <c r="U112" i="9"/>
  <c r="AN111" i="9"/>
  <c r="AP111" i="9" s="1"/>
  <c r="AQ111" i="9" s="1"/>
  <c r="AS111" i="9" s="1"/>
  <c r="AT111" i="9" s="1"/>
  <c r="AV111" i="9" s="1"/>
  <c r="AW111" i="9" s="1"/>
  <c r="AY111" i="9" s="1"/>
  <c r="AZ111" i="9" s="1"/>
  <c r="BB111" i="9" s="1"/>
  <c r="BC111" i="9" s="1"/>
  <c r="BE111" i="9" s="1"/>
  <c r="BF111" i="9" s="1"/>
  <c r="AD111" i="9"/>
  <c r="AE111" i="9" s="1"/>
  <c r="AG111" i="9" s="1"/>
  <c r="AH111" i="9" s="1"/>
  <c r="AJ111" i="9" s="1"/>
  <c r="AK111" i="9" s="1"/>
  <c r="Z111" i="9"/>
  <c r="X111" i="9"/>
  <c r="W111" i="9"/>
  <c r="U111" i="9"/>
  <c r="AK110" i="9"/>
  <c r="AH110" i="9"/>
  <c r="Z110" i="9"/>
  <c r="X110" i="9"/>
  <c r="W110" i="9"/>
  <c r="U110" i="9"/>
  <c r="Y104" i="9"/>
  <c r="V104" i="9"/>
  <c r="Y103" i="9"/>
  <c r="Y102" i="9"/>
  <c r="V102" i="9"/>
  <c r="Z101" i="9"/>
  <c r="X101" i="9"/>
  <c r="W101" i="9"/>
  <c r="U101" i="9"/>
  <c r="U43" i="4" s="1"/>
  <c r="R101" i="9"/>
  <c r="R43" i="4" s="1"/>
  <c r="P101" i="9"/>
  <c r="M101" i="9"/>
  <c r="J101" i="9"/>
  <c r="G101" i="9"/>
  <c r="AW97" i="9"/>
  <c r="AY97" i="9" s="1"/>
  <c r="AZ97" i="9" s="1"/>
  <c r="BB97" i="9" s="1"/>
  <c r="BC97" i="9" s="1"/>
  <c r="BE97" i="9" s="1"/>
  <c r="BF97" i="9" s="1"/>
  <c r="AT97" i="9"/>
  <c r="AQ97" i="9"/>
  <c r="AH97" i="9"/>
  <c r="AJ97" i="9" s="1"/>
  <c r="AK97" i="9" s="1"/>
  <c r="AM97" i="9" s="1"/>
  <c r="AN97" i="9" s="1"/>
  <c r="AV96" i="9"/>
  <c r="AW96" i="9" s="1"/>
  <c r="AY96" i="9" s="1"/>
  <c r="AZ96" i="9" s="1"/>
  <c r="BB96" i="9" s="1"/>
  <c r="BC96" i="9" s="1"/>
  <c r="BE96" i="9" s="1"/>
  <c r="BF96" i="9" s="1"/>
  <c r="AS96" i="9"/>
  <c r="AT96" i="9" s="1"/>
  <c r="AP96" i="9"/>
  <c r="AQ96" i="9" s="1"/>
  <c r="AH96" i="9"/>
  <c r="AJ96" i="9" s="1"/>
  <c r="AK96" i="9" s="1"/>
  <c r="AM96" i="9" s="1"/>
  <c r="AN96" i="9" s="1"/>
  <c r="AS94" i="9"/>
  <c r="AV94" i="9" s="1"/>
  <c r="AY94" i="9" s="1"/>
  <c r="BB94" i="9" s="1"/>
  <c r="BE94" i="9" s="1"/>
  <c r="AH93" i="9"/>
  <c r="AI93" i="9" s="1"/>
  <c r="AE87" i="9"/>
  <c r="AF87" i="9" s="1"/>
  <c r="AB87" i="9"/>
  <c r="Y87" i="9"/>
  <c r="V87" i="9"/>
  <c r="AD86" i="9"/>
  <c r="Y86" i="9"/>
  <c r="V86" i="9"/>
  <c r="Y85" i="9"/>
  <c r="V85" i="9"/>
  <c r="Y84" i="9"/>
  <c r="V84" i="9"/>
  <c r="Y83" i="9"/>
  <c r="V83" i="9"/>
  <c r="Y82" i="9"/>
  <c r="V82" i="9"/>
  <c r="AD81" i="9"/>
  <c r="Y81" i="9"/>
  <c r="V81" i="9"/>
  <c r="AE79" i="9"/>
  <c r="AF79" i="9" s="1"/>
  <c r="AE78" i="9"/>
  <c r="Z77" i="9"/>
  <c r="Z42" i="4" s="1"/>
  <c r="X77" i="9"/>
  <c r="AA90" i="9" s="1"/>
  <c r="W77" i="9"/>
  <c r="T86" i="9" s="1"/>
  <c r="S86" i="9" s="1"/>
  <c r="U77" i="9"/>
  <c r="R77" i="9"/>
  <c r="R42" i="4" s="1"/>
  <c r="P77" i="9"/>
  <c r="M77" i="9"/>
  <c r="J77" i="9"/>
  <c r="G77" i="9"/>
  <c r="Z68" i="9"/>
  <c r="Z74" i="9" s="1"/>
  <c r="X68" i="9"/>
  <c r="X74" i="9" s="1"/>
  <c r="W68" i="9"/>
  <c r="W74" i="9" s="1"/>
  <c r="U68" i="9"/>
  <c r="U74" i="9" s="1"/>
  <c r="T68" i="9"/>
  <c r="Z67" i="9"/>
  <c r="Z73" i="9" s="1"/>
  <c r="X67" i="9"/>
  <c r="X73" i="9" s="1"/>
  <c r="W67" i="9"/>
  <c r="W73" i="9" s="1"/>
  <c r="U67" i="9"/>
  <c r="U73" i="9" s="1"/>
  <c r="T67" i="9"/>
  <c r="Z66" i="9"/>
  <c r="Z72" i="9" s="1"/>
  <c r="X66" i="9"/>
  <c r="X72" i="9" s="1"/>
  <c r="W66" i="9"/>
  <c r="W72" i="9" s="1"/>
  <c r="U66" i="9"/>
  <c r="U72" i="9" s="1"/>
  <c r="T66" i="9"/>
  <c r="T72" i="9" s="1"/>
  <c r="CD62" i="9"/>
  <c r="AS62" i="9"/>
  <c r="AV62" i="9" s="1"/>
  <c r="AY62" i="9" s="1"/>
  <c r="BB62" i="9" s="1"/>
  <c r="BE62" i="9" s="1"/>
  <c r="CD61" i="9"/>
  <c r="AB61" i="9"/>
  <c r="AD61" i="9" s="1"/>
  <c r="AE61" i="9" s="1"/>
  <c r="AG61" i="9" s="1"/>
  <c r="AH61" i="9" s="1"/>
  <c r="AJ61" i="9" s="1"/>
  <c r="AK61" i="9" s="1"/>
  <c r="AM61" i="9" s="1"/>
  <c r="AN61" i="9" s="1"/>
  <c r="AP61" i="9" s="1"/>
  <c r="AQ61" i="9" s="1"/>
  <c r="Z61" i="9"/>
  <c r="X61" i="9"/>
  <c r="W61" i="9"/>
  <c r="U61" i="9"/>
  <c r="T61" i="9"/>
  <c r="CF60" i="9"/>
  <c r="CE60" i="9"/>
  <c r="CD60" i="9"/>
  <c r="AK60" i="9"/>
  <c r="AM60" i="9" s="1"/>
  <c r="AN60" i="9" s="1"/>
  <c r="AP60" i="9" s="1"/>
  <c r="AQ60" i="9" s="1"/>
  <c r="AH59" i="9"/>
  <c r="AK59" i="9" s="1"/>
  <c r="AM59" i="9" s="1"/>
  <c r="AN59" i="9" s="1"/>
  <c r="AP59" i="9" s="1"/>
  <c r="AQ59" i="9" s="1"/>
  <c r="AE59" i="9"/>
  <c r="AB59" i="9"/>
  <c r="Z59" i="9"/>
  <c r="X59" i="9"/>
  <c r="W59" i="9"/>
  <c r="U59" i="9"/>
  <c r="T59" i="9"/>
  <c r="R59" i="9"/>
  <c r="CG58" i="9"/>
  <c r="CG62" i="9" s="1"/>
  <c r="AB53" i="9"/>
  <c r="AC53" i="9" s="1"/>
  <c r="Y51" i="9"/>
  <c r="V51" i="9"/>
  <c r="S51" i="9"/>
  <c r="AH50" i="9"/>
  <c r="AI50" i="9" s="1"/>
  <c r="AE50" i="9"/>
  <c r="AF50" i="9" s="1"/>
  <c r="AB50" i="9"/>
  <c r="AC50" i="9" s="1"/>
  <c r="Y50" i="9"/>
  <c r="V50" i="9"/>
  <c r="S50" i="9"/>
  <c r="Y49" i="9"/>
  <c r="V49" i="9"/>
  <c r="S49" i="9"/>
  <c r="Z48" i="9"/>
  <c r="Z41" i="4" s="1"/>
  <c r="X48" i="9"/>
  <c r="AA55" i="9" s="1"/>
  <c r="W48" i="9"/>
  <c r="U48" i="9"/>
  <c r="T48" i="9"/>
  <c r="R48" i="9"/>
  <c r="R41" i="4" s="1"/>
  <c r="P48" i="9"/>
  <c r="M48" i="9"/>
  <c r="J48" i="9"/>
  <c r="G48" i="9"/>
  <c r="Z45" i="9"/>
  <c r="X45" i="9"/>
  <c r="AA46" i="9" s="1"/>
  <c r="W45" i="9"/>
  <c r="U45" i="9"/>
  <c r="AJ43" i="9"/>
  <c r="AK43" i="9" s="1"/>
  <c r="AM43" i="9" s="1"/>
  <c r="AN43" i="9" s="1"/>
  <c r="AP43" i="9" s="1"/>
  <c r="AQ43" i="9" s="1"/>
  <c r="AS43" i="9" s="1"/>
  <c r="AT43" i="9" s="1"/>
  <c r="AV43" i="9" s="1"/>
  <c r="AW43" i="9" s="1"/>
  <c r="AY43" i="9" s="1"/>
  <c r="AZ43" i="9" s="1"/>
  <c r="BB43" i="9" s="1"/>
  <c r="BC43" i="9" s="1"/>
  <c r="BE43" i="9" s="1"/>
  <c r="BF43" i="9" s="1"/>
  <c r="AB42" i="9"/>
  <c r="AD42" i="9" s="1"/>
  <c r="AE42" i="9" s="1"/>
  <c r="AG42" i="9" s="1"/>
  <c r="AH42" i="9" s="1"/>
  <c r="AJ42" i="9" s="1"/>
  <c r="AK42" i="9" s="1"/>
  <c r="AM42" i="9" s="1"/>
  <c r="AN42" i="9" s="1"/>
  <c r="AP42" i="9" s="1"/>
  <c r="AQ42" i="9" s="1"/>
  <c r="AS42" i="9" s="1"/>
  <c r="AT42" i="9" s="1"/>
  <c r="AV42" i="9" s="1"/>
  <c r="AW42" i="9" s="1"/>
  <c r="AY42" i="9" s="1"/>
  <c r="AZ42" i="9" s="1"/>
  <c r="BB42" i="9" s="1"/>
  <c r="BC42" i="9" s="1"/>
  <c r="BE42" i="9" s="1"/>
  <c r="BF42" i="9" s="1"/>
  <c r="Z42" i="9"/>
  <c r="X42" i="9"/>
  <c r="W42" i="9"/>
  <c r="U42" i="9"/>
  <c r="CD41" i="9"/>
  <c r="CD44" i="9" s="1"/>
  <c r="Z41" i="9"/>
  <c r="X41" i="9"/>
  <c r="W41" i="9"/>
  <c r="U41" i="9"/>
  <c r="CE40" i="9"/>
  <c r="CE39" i="9"/>
  <c r="CD37" i="9"/>
  <c r="CD38" i="9" s="1"/>
  <c r="AC37" i="9"/>
  <c r="AG36" i="9"/>
  <c r="AC36" i="9"/>
  <c r="CR20" i="9" s="1"/>
  <c r="Y35" i="9"/>
  <c r="V35" i="9"/>
  <c r="S35" i="9"/>
  <c r="AG33" i="9"/>
  <c r="AC33" i="9"/>
  <c r="C32" i="9"/>
  <c r="Y29" i="9"/>
  <c r="Y351" i="4" s="1"/>
  <c r="V29" i="9"/>
  <c r="V351" i="4" s="1"/>
  <c r="S29" i="9"/>
  <c r="AS27" i="9"/>
  <c r="AV27" i="9" s="1"/>
  <c r="AY27" i="9" s="1"/>
  <c r="AQ27" i="9"/>
  <c r="AT27" i="9" s="1"/>
  <c r="AW27" i="9" s="1"/>
  <c r="AZ27" i="9" s="1"/>
  <c r="BC27" i="9" s="1"/>
  <c r="BF27" i="9" s="1"/>
  <c r="AH27" i="9"/>
  <c r="AK27" i="9" s="1"/>
  <c r="AN27" i="9" s="1"/>
  <c r="AG27" i="9"/>
  <c r="AJ27" i="9" s="1"/>
  <c r="X27" i="9"/>
  <c r="Y27" i="9" s="1"/>
  <c r="U27" i="9"/>
  <c r="V27" i="9" s="1"/>
  <c r="AD25" i="9"/>
  <c r="AG25" i="9" s="1"/>
  <c r="AC25" i="9"/>
  <c r="X25" i="9"/>
  <c r="U25" i="9"/>
  <c r="Y20" i="9"/>
  <c r="Y45" i="9" s="1"/>
  <c r="V20" i="9"/>
  <c r="V45" i="9" s="1"/>
  <c r="CD19" i="9"/>
  <c r="CD20" i="9" s="1"/>
  <c r="CC19" i="9"/>
  <c r="CC20" i="9" s="1"/>
  <c r="Y19" i="9"/>
  <c r="Y350" i="4" s="1"/>
  <c r="V19" i="9"/>
  <c r="V350" i="4" s="1"/>
  <c r="S19" i="9"/>
  <c r="CE18" i="9"/>
  <c r="Z17" i="9"/>
  <c r="Z4" i="9" s="1"/>
  <c r="X17" i="9"/>
  <c r="AA40" i="9" s="1"/>
  <c r="W17" i="9"/>
  <c r="W4" i="9" s="1"/>
  <c r="W12" i="9" s="1"/>
  <c r="U17" i="9"/>
  <c r="U29" i="4" s="1"/>
  <c r="U259" i="4" s="1"/>
  <c r="T17" i="9"/>
  <c r="T29" i="4" s="1"/>
  <c r="R17" i="9"/>
  <c r="R29" i="4" s="1"/>
  <c r="P17" i="9"/>
  <c r="P29" i="4" s="1"/>
  <c r="M17" i="9"/>
  <c r="M29" i="4" s="1"/>
  <c r="J17" i="9"/>
  <c r="G17" i="9"/>
  <c r="G29" i="4" s="1"/>
  <c r="G108" i="4" s="1"/>
  <c r="Z14" i="9"/>
  <c r="Y14" i="9"/>
  <c r="X14" i="9"/>
  <c r="W14" i="9"/>
  <c r="V14" i="9"/>
  <c r="U14" i="9"/>
  <c r="T12" i="9"/>
  <c r="R12" i="9"/>
  <c r="Q12" i="9"/>
  <c r="Q15" i="9" s="1"/>
  <c r="O12" i="9"/>
  <c r="O15" i="9" s="1"/>
  <c r="N12" i="9"/>
  <c r="N15" i="9" s="1"/>
  <c r="L12" i="9"/>
  <c r="L15" i="9" s="1"/>
  <c r="K12" i="9"/>
  <c r="K15" i="9" s="1"/>
  <c r="I12" i="9"/>
  <c r="I15" i="9" s="1"/>
  <c r="H12" i="9"/>
  <c r="H15" i="9" s="1"/>
  <c r="F12" i="9"/>
  <c r="F15" i="9" s="1"/>
  <c r="E12" i="9"/>
  <c r="E15" i="9" s="1"/>
  <c r="AB11" i="9"/>
  <c r="AD11" i="9" s="1"/>
  <c r="AE11" i="9" s="1"/>
  <c r="AG11" i="9" s="1"/>
  <c r="AH11" i="9" s="1"/>
  <c r="AJ11" i="9" s="1"/>
  <c r="AK11" i="9" s="1"/>
  <c r="AM11" i="9" s="1"/>
  <c r="AN11" i="9" s="1"/>
  <c r="AP11" i="9" s="1"/>
  <c r="AQ11" i="9" s="1"/>
  <c r="AS11" i="9" s="1"/>
  <c r="AT11" i="9" s="1"/>
  <c r="AV11" i="9" s="1"/>
  <c r="AW11" i="9" s="1"/>
  <c r="AY11" i="9" s="1"/>
  <c r="AZ11" i="9" s="1"/>
  <c r="BB11" i="9" s="1"/>
  <c r="BC11" i="9" s="1"/>
  <c r="BE11" i="9" s="1"/>
  <c r="BF11" i="9" s="1"/>
  <c r="Z11" i="9"/>
  <c r="Y11" i="9"/>
  <c r="X11" i="9"/>
  <c r="S10" i="9"/>
  <c r="P10" i="9"/>
  <c r="M10" i="9"/>
  <c r="J10" i="9"/>
  <c r="G10" i="9"/>
  <c r="AB9" i="9"/>
  <c r="AD9" i="9" s="1"/>
  <c r="AE9" i="9" s="1"/>
  <c r="AG9" i="9" s="1"/>
  <c r="AH9" i="9" s="1"/>
  <c r="AJ9" i="9" s="1"/>
  <c r="AK9" i="9" s="1"/>
  <c r="AM9" i="9" s="1"/>
  <c r="AN9" i="9" s="1"/>
  <c r="AP9" i="9" s="1"/>
  <c r="AQ9" i="9" s="1"/>
  <c r="AS9" i="9" s="1"/>
  <c r="AT9" i="9" s="1"/>
  <c r="AV9" i="9" s="1"/>
  <c r="AW9" i="9" s="1"/>
  <c r="AY9" i="9" s="1"/>
  <c r="AZ9" i="9" s="1"/>
  <c r="BB9" i="9" s="1"/>
  <c r="BC9" i="9" s="1"/>
  <c r="BE9" i="9" s="1"/>
  <c r="BF9" i="9" s="1"/>
  <c r="Z9" i="9"/>
  <c r="Y9" i="9"/>
  <c r="X9" i="9"/>
  <c r="S8" i="9"/>
  <c r="P8" i="9"/>
  <c r="M8" i="9"/>
  <c r="J8" i="9"/>
  <c r="G8" i="9"/>
  <c r="AB7" i="9"/>
  <c r="Z7" i="9"/>
  <c r="Y7" i="9"/>
  <c r="X7" i="9"/>
  <c r="S6" i="9"/>
  <c r="P6" i="9"/>
  <c r="M6" i="9"/>
  <c r="J6" i="9"/>
  <c r="G6" i="9"/>
  <c r="S4" i="9"/>
  <c r="P4" i="9"/>
  <c r="M4" i="9"/>
  <c r="J4" i="9"/>
  <c r="G4" i="9"/>
  <c r="BY2" i="9"/>
  <c r="BX2" i="9"/>
  <c r="BW2" i="9"/>
  <c r="BV2" i="9"/>
  <c r="BU2" i="9"/>
  <c r="BT2" i="9"/>
  <c r="BS2" i="9"/>
  <c r="BR2" i="9"/>
  <c r="BQ2" i="9"/>
  <c r="BP2" i="9"/>
  <c r="BO2" i="9"/>
  <c r="BN2" i="9"/>
  <c r="BM2" i="9"/>
  <c r="BL2" i="9"/>
  <c r="Q7" i="6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P324" i="4"/>
  <c r="AO324" i="4"/>
  <c r="AN324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O324" i="4"/>
  <c r="N324" i="4"/>
  <c r="M324" i="4"/>
  <c r="L324" i="4"/>
  <c r="K324" i="4"/>
  <c r="J324" i="4"/>
  <c r="I324" i="4"/>
  <c r="H324" i="4"/>
  <c r="G324" i="4"/>
  <c r="F324" i="4"/>
  <c r="E324" i="4"/>
  <c r="Z320" i="4"/>
  <c r="X320" i="4"/>
  <c r="W320" i="4"/>
  <c r="U320" i="4"/>
  <c r="T320" i="4"/>
  <c r="R320" i="4"/>
  <c r="Q320" i="4"/>
  <c r="O320" i="4"/>
  <c r="N320" i="4"/>
  <c r="L320" i="4"/>
  <c r="K320" i="4"/>
  <c r="I320" i="4"/>
  <c r="H320" i="4"/>
  <c r="T305" i="4"/>
  <c r="R305" i="4"/>
  <c r="Q305" i="4"/>
  <c r="O305" i="4"/>
  <c r="N305" i="4"/>
  <c r="L305" i="4"/>
  <c r="K305" i="4"/>
  <c r="I305" i="4"/>
  <c r="H305" i="4"/>
  <c r="F305" i="4"/>
  <c r="E305" i="4"/>
  <c r="T301" i="4"/>
  <c r="R301" i="4"/>
  <c r="Q301" i="4"/>
  <c r="O301" i="4"/>
  <c r="N301" i="4"/>
  <c r="D297" i="4"/>
  <c r="H293" i="4"/>
  <c r="K293" i="4" s="1"/>
  <c r="N293" i="4" s="1"/>
  <c r="Q293" i="4" s="1"/>
  <c r="T293" i="4" s="1"/>
  <c r="W293" i="4" s="1"/>
  <c r="Z293" i="4" s="1"/>
  <c r="AC293" i="4" s="1"/>
  <c r="AF293" i="4" s="1"/>
  <c r="AI293" i="4" s="1"/>
  <c r="AL293" i="4" s="1"/>
  <c r="AO293" i="4" s="1"/>
  <c r="AR293" i="4" s="1"/>
  <c r="AU293" i="4" s="1"/>
  <c r="AX293" i="4" s="1"/>
  <c r="BA293" i="4" s="1"/>
  <c r="BD293" i="4" s="1"/>
  <c r="BG293" i="4" s="1"/>
  <c r="F288" i="4"/>
  <c r="G288" i="4" s="1"/>
  <c r="H288" i="4" s="1"/>
  <c r="I288" i="4" s="1"/>
  <c r="J288" i="4" s="1"/>
  <c r="K288" i="4" s="1"/>
  <c r="L288" i="4" s="1"/>
  <c r="M288" i="4" s="1"/>
  <c r="N288" i="4" s="1"/>
  <c r="O288" i="4" s="1"/>
  <c r="P288" i="4" s="1"/>
  <c r="Q288" i="4" s="1"/>
  <c r="R288" i="4" s="1"/>
  <c r="S288" i="4" s="1"/>
  <c r="T288" i="4" s="1"/>
  <c r="U288" i="4" s="1"/>
  <c r="V288" i="4" s="1"/>
  <c r="W288" i="4" s="1"/>
  <c r="X288" i="4" s="1"/>
  <c r="Y288" i="4" s="1"/>
  <c r="Z288" i="4" s="1"/>
  <c r="AA288" i="4" s="1"/>
  <c r="AB288" i="4" s="1"/>
  <c r="AC288" i="4" s="1"/>
  <c r="AD288" i="4" s="1"/>
  <c r="AE288" i="4" s="1"/>
  <c r="AF288" i="4" s="1"/>
  <c r="AG288" i="4" s="1"/>
  <c r="AH288" i="4" s="1"/>
  <c r="AI288" i="4" s="1"/>
  <c r="AJ288" i="4" s="1"/>
  <c r="AK288" i="4" s="1"/>
  <c r="AL288" i="4" s="1"/>
  <c r="AM288" i="4" s="1"/>
  <c r="AN288" i="4" s="1"/>
  <c r="AO288" i="4" s="1"/>
  <c r="AP288" i="4" s="1"/>
  <c r="AQ288" i="4" s="1"/>
  <c r="AR288" i="4" s="1"/>
  <c r="AS288" i="4" s="1"/>
  <c r="AT288" i="4" s="1"/>
  <c r="AU288" i="4" s="1"/>
  <c r="AV288" i="4" s="1"/>
  <c r="AW288" i="4" s="1"/>
  <c r="AX288" i="4" s="1"/>
  <c r="AY288" i="4" s="1"/>
  <c r="AZ288" i="4" s="1"/>
  <c r="BA288" i="4" s="1"/>
  <c r="BB288" i="4" s="1"/>
  <c r="BC288" i="4" s="1"/>
  <c r="BD288" i="4" s="1"/>
  <c r="BE288" i="4" s="1"/>
  <c r="BF288" i="4" s="1"/>
  <c r="BG288" i="4" s="1"/>
  <c r="Z285" i="4"/>
  <c r="Z280" i="4" s="1"/>
  <c r="W285" i="4"/>
  <c r="T285" i="4"/>
  <c r="T273" i="4" s="1"/>
  <c r="T242" i="9" s="1"/>
  <c r="AA284" i="4"/>
  <c r="AC284" i="4" s="1"/>
  <c r="Y284" i="4"/>
  <c r="X284" i="4"/>
  <c r="X22" i="4" s="1"/>
  <c r="V284" i="4"/>
  <c r="U284" i="4"/>
  <c r="U22" i="4" s="1"/>
  <c r="R284" i="4"/>
  <c r="R22" i="4" s="1"/>
  <c r="N284" i="4"/>
  <c r="N22" i="4" s="1"/>
  <c r="L284" i="4"/>
  <c r="L22" i="4" s="1"/>
  <c r="K284" i="4"/>
  <c r="K22" i="4" s="1"/>
  <c r="I284" i="4"/>
  <c r="I22" i="4" s="1"/>
  <c r="H284" i="4"/>
  <c r="H22" i="4" s="1"/>
  <c r="E284" i="4"/>
  <c r="E22" i="4" s="1"/>
  <c r="AC283" i="4"/>
  <c r="AD283" i="4" s="1"/>
  <c r="AF283" i="4" s="1"/>
  <c r="AG283" i="4" s="1"/>
  <c r="AI283" i="4" s="1"/>
  <c r="AH283" i="4" s="1"/>
  <c r="Y283" i="4"/>
  <c r="X283" i="4"/>
  <c r="V283" i="4"/>
  <c r="S283" i="4"/>
  <c r="S284" i="4" s="1"/>
  <c r="P283" i="4"/>
  <c r="P284" i="4" s="1"/>
  <c r="O283" i="4"/>
  <c r="O284" i="4" s="1"/>
  <c r="O22" i="4" s="1"/>
  <c r="M283" i="4"/>
  <c r="M284" i="4" s="1"/>
  <c r="J283" i="4"/>
  <c r="J284" i="4" s="1"/>
  <c r="G283" i="4"/>
  <c r="G284" i="4" s="1"/>
  <c r="X280" i="4"/>
  <c r="U280" i="4"/>
  <c r="S280" i="4"/>
  <c r="R280" i="4"/>
  <c r="Q280" i="4"/>
  <c r="P280" i="4"/>
  <c r="O280" i="4"/>
  <c r="N280" i="4"/>
  <c r="M280" i="4"/>
  <c r="L280" i="4"/>
  <c r="K280" i="4"/>
  <c r="J280" i="4"/>
  <c r="I280" i="4"/>
  <c r="H280" i="4"/>
  <c r="G280" i="4"/>
  <c r="F280" i="4"/>
  <c r="E280" i="4"/>
  <c r="D278" i="4"/>
  <c r="AJ273" i="4"/>
  <c r="AJ242" i="9" s="1"/>
  <c r="AI273" i="4"/>
  <c r="AI24" i="4" s="1"/>
  <c r="U273" i="4"/>
  <c r="U24" i="4" s="1"/>
  <c r="S273" i="4"/>
  <c r="R273" i="4"/>
  <c r="R24" i="4" s="1"/>
  <c r="Q273" i="4"/>
  <c r="Q242" i="9" s="1"/>
  <c r="P273" i="4"/>
  <c r="P24" i="4" s="1"/>
  <c r="O273" i="4"/>
  <c r="O245" i="9" s="1"/>
  <c r="N273" i="4"/>
  <c r="M273" i="4"/>
  <c r="M24" i="4" s="1"/>
  <c r="L273" i="4"/>
  <c r="L24" i="4" s="1"/>
  <c r="K273" i="4"/>
  <c r="K242" i="9" s="1"/>
  <c r="J273" i="4"/>
  <c r="J24" i="4" s="1"/>
  <c r="I273" i="4"/>
  <c r="I24" i="4" s="1"/>
  <c r="H273" i="4"/>
  <c r="G273" i="4"/>
  <c r="F273" i="4"/>
  <c r="F24" i="4" s="1"/>
  <c r="E273" i="4"/>
  <c r="D272" i="4"/>
  <c r="Z264" i="4"/>
  <c r="X264" i="4"/>
  <c r="W264" i="4"/>
  <c r="U264" i="4"/>
  <c r="T264" i="4"/>
  <c r="R264" i="4"/>
  <c r="Q264" i="4"/>
  <c r="O264" i="4"/>
  <c r="N264" i="4"/>
  <c r="K264" i="4"/>
  <c r="I264" i="4"/>
  <c r="H264" i="4"/>
  <c r="F264" i="4"/>
  <c r="D250" i="4"/>
  <c r="Y243" i="4"/>
  <c r="V243" i="4"/>
  <c r="S243" i="4"/>
  <c r="P243" i="4"/>
  <c r="M243" i="4"/>
  <c r="J243" i="4"/>
  <c r="G243" i="4"/>
  <c r="Y242" i="4"/>
  <c r="V242" i="4"/>
  <c r="S242" i="4"/>
  <c r="P242" i="4"/>
  <c r="M242" i="4"/>
  <c r="J242" i="4"/>
  <c r="G242" i="4"/>
  <c r="Y241" i="4"/>
  <c r="V241" i="4"/>
  <c r="S241" i="4"/>
  <c r="P241" i="4"/>
  <c r="M241" i="4"/>
  <c r="J241" i="4"/>
  <c r="G241" i="4"/>
  <c r="S240" i="4"/>
  <c r="P240" i="4"/>
  <c r="M240" i="4"/>
  <c r="J240" i="4"/>
  <c r="G240" i="4"/>
  <c r="S239" i="4"/>
  <c r="P239" i="4"/>
  <c r="M239" i="4"/>
  <c r="J239" i="4"/>
  <c r="G239" i="4"/>
  <c r="Z238" i="4"/>
  <c r="AB241" i="4" s="1"/>
  <c r="BH241" i="4" s="1"/>
  <c r="W238" i="4"/>
  <c r="W244" i="4" s="1"/>
  <c r="W312" i="4" s="1"/>
  <c r="W314" i="4" s="1"/>
  <c r="U238" i="4"/>
  <c r="U244" i="4" s="1"/>
  <c r="T238" i="4"/>
  <c r="T244" i="4" s="1"/>
  <c r="R238" i="4"/>
  <c r="R244" i="4" s="1"/>
  <c r="Q238" i="4"/>
  <c r="Q244" i="4" s="1"/>
  <c r="O238" i="4"/>
  <c r="O244" i="4" s="1"/>
  <c r="O312" i="4" s="1"/>
  <c r="O314" i="4" s="1"/>
  <c r="N238" i="4"/>
  <c r="N244" i="4" s="1"/>
  <c r="L238" i="4"/>
  <c r="L244" i="4" s="1"/>
  <c r="K238" i="4"/>
  <c r="K244" i="4" s="1"/>
  <c r="I238" i="4"/>
  <c r="I244" i="4" s="1"/>
  <c r="I312" i="4" s="1"/>
  <c r="I314" i="4" s="1"/>
  <c r="H238" i="4"/>
  <c r="H244" i="4" s="1"/>
  <c r="H246" i="4" s="1"/>
  <c r="G246" i="4" s="1"/>
  <c r="F238" i="4"/>
  <c r="F244" i="4" s="1"/>
  <c r="E238" i="4"/>
  <c r="E244" i="4" s="1"/>
  <c r="E312" i="4" s="1"/>
  <c r="E314" i="4" s="1"/>
  <c r="Y237" i="4"/>
  <c r="V237" i="4"/>
  <c r="S237" i="4"/>
  <c r="P237" i="4"/>
  <c r="M237" i="4"/>
  <c r="J237" i="4"/>
  <c r="G237" i="4"/>
  <c r="Y230" i="4"/>
  <c r="V230" i="4"/>
  <c r="S230" i="4"/>
  <c r="P230" i="4"/>
  <c r="M230" i="4"/>
  <c r="J230" i="4"/>
  <c r="G230" i="4"/>
  <c r="AC229" i="4"/>
  <c r="Y229" i="4"/>
  <c r="V229" i="4"/>
  <c r="S229" i="4"/>
  <c r="P229" i="4"/>
  <c r="M229" i="4"/>
  <c r="J229" i="4"/>
  <c r="G229" i="4"/>
  <c r="AC228" i="4"/>
  <c r="Y228" i="4"/>
  <c r="V228" i="4"/>
  <c r="S228" i="4"/>
  <c r="P228" i="4"/>
  <c r="M228" i="4"/>
  <c r="J228" i="4"/>
  <c r="G228" i="4"/>
  <c r="AC227" i="4"/>
  <c r="Y227" i="4"/>
  <c r="V227" i="4"/>
  <c r="S227" i="4"/>
  <c r="P227" i="4"/>
  <c r="M227" i="4"/>
  <c r="J227" i="4"/>
  <c r="G227" i="4"/>
  <c r="AC226" i="4"/>
  <c r="AD226" i="4" s="1"/>
  <c r="AF226" i="4" s="1"/>
  <c r="AE226" i="4" s="1"/>
  <c r="Y226" i="4"/>
  <c r="V226" i="4"/>
  <c r="S226" i="4"/>
  <c r="P226" i="4"/>
  <c r="M226" i="4"/>
  <c r="J226" i="4"/>
  <c r="G226" i="4"/>
  <c r="Y225" i="4"/>
  <c r="V225" i="4"/>
  <c r="S225" i="4"/>
  <c r="P225" i="4"/>
  <c r="M225" i="4"/>
  <c r="J225" i="4"/>
  <c r="G225" i="4"/>
  <c r="Y224" i="4"/>
  <c r="V224" i="4"/>
  <c r="S224" i="4"/>
  <c r="P224" i="4"/>
  <c r="M224" i="4"/>
  <c r="J224" i="4"/>
  <c r="G224" i="4"/>
  <c r="AC223" i="4"/>
  <c r="Y223" i="4"/>
  <c r="V223" i="4"/>
  <c r="S223" i="4"/>
  <c r="P223" i="4"/>
  <c r="M223" i="4"/>
  <c r="J223" i="4"/>
  <c r="G223" i="4"/>
  <c r="AC222" i="4"/>
  <c r="AB222" i="4" s="1"/>
  <c r="BH222" i="4" s="1"/>
  <c r="Y222" i="4"/>
  <c r="V222" i="4"/>
  <c r="S222" i="4"/>
  <c r="P222" i="4"/>
  <c r="M222" i="4"/>
  <c r="J222" i="4"/>
  <c r="G222" i="4"/>
  <c r="Z221" i="4"/>
  <c r="Z231" i="4" s="1"/>
  <c r="X221" i="4"/>
  <c r="X254" i="4" s="1"/>
  <c r="X255" i="4" s="1"/>
  <c r="W221" i="4"/>
  <c r="U221" i="4"/>
  <c r="U231" i="4" s="1"/>
  <c r="T221" i="4"/>
  <c r="R221" i="4"/>
  <c r="Q221" i="4"/>
  <c r="O221" i="4"/>
  <c r="N221" i="4"/>
  <c r="L221" i="4"/>
  <c r="L231" i="4" s="1"/>
  <c r="K221" i="4"/>
  <c r="I221" i="4"/>
  <c r="I231" i="4" s="1"/>
  <c r="H221" i="4"/>
  <c r="F221" i="4"/>
  <c r="E221" i="4"/>
  <c r="E231" i="4" s="1"/>
  <c r="Y218" i="4"/>
  <c r="V218" i="4"/>
  <c r="S218" i="4"/>
  <c r="P218" i="4"/>
  <c r="M218" i="4"/>
  <c r="J218" i="4"/>
  <c r="G218" i="4"/>
  <c r="AC217" i="4"/>
  <c r="AB217" i="4" s="1"/>
  <c r="BH217" i="4" s="1"/>
  <c r="Y217" i="4"/>
  <c r="V217" i="4"/>
  <c r="S217" i="4"/>
  <c r="P217" i="4"/>
  <c r="M217" i="4"/>
  <c r="J217" i="4"/>
  <c r="G217" i="4"/>
  <c r="AC216" i="4"/>
  <c r="AB216" i="4" s="1"/>
  <c r="BH216" i="4" s="1"/>
  <c r="Y216" i="4"/>
  <c r="V216" i="4"/>
  <c r="S216" i="4"/>
  <c r="P216" i="4"/>
  <c r="M216" i="4"/>
  <c r="J216" i="4"/>
  <c r="G216" i="4"/>
  <c r="AC215" i="4"/>
  <c r="Y215" i="4"/>
  <c r="V215" i="4"/>
  <c r="S215" i="4"/>
  <c r="P215" i="4"/>
  <c r="M215" i="4"/>
  <c r="J215" i="4"/>
  <c r="G215" i="4"/>
  <c r="AC214" i="4"/>
  <c r="Y214" i="4"/>
  <c r="V214" i="4"/>
  <c r="S214" i="4"/>
  <c r="P214" i="4"/>
  <c r="M214" i="4"/>
  <c r="J214" i="4"/>
  <c r="G214" i="4"/>
  <c r="AC212" i="4"/>
  <c r="AB212" i="4" s="1"/>
  <c r="BH212" i="4" s="1"/>
  <c r="Y212" i="4"/>
  <c r="V212" i="4"/>
  <c r="S212" i="4"/>
  <c r="P212" i="4"/>
  <c r="M212" i="4"/>
  <c r="J212" i="4"/>
  <c r="G212" i="4"/>
  <c r="Y211" i="4"/>
  <c r="V211" i="4"/>
  <c r="S211" i="4"/>
  <c r="P211" i="4"/>
  <c r="M211" i="4"/>
  <c r="J211" i="4"/>
  <c r="G211" i="4"/>
  <c r="Z210" i="4"/>
  <c r="W210" i="4"/>
  <c r="U210" i="4"/>
  <c r="T210" i="4"/>
  <c r="R210" i="4"/>
  <c r="R219" i="4" s="1"/>
  <c r="R317" i="4" s="1"/>
  <c r="Q210" i="4"/>
  <c r="P210" i="4" s="1"/>
  <c r="O210" i="4"/>
  <c r="N210" i="4"/>
  <c r="N219" i="4" s="1"/>
  <c r="N317" i="4" s="1"/>
  <c r="L210" i="4"/>
  <c r="K210" i="4"/>
  <c r="I210" i="4"/>
  <c r="H210" i="4"/>
  <c r="G210" i="4" s="1"/>
  <c r="F210" i="4"/>
  <c r="E210" i="4"/>
  <c r="J209" i="4"/>
  <c r="G209" i="4"/>
  <c r="J208" i="4"/>
  <c r="G208" i="4"/>
  <c r="J207" i="4"/>
  <c r="G207" i="4"/>
  <c r="J206" i="4"/>
  <c r="G206" i="4"/>
  <c r="J205" i="4"/>
  <c r="G205" i="4"/>
  <c r="J204" i="4"/>
  <c r="G204" i="4"/>
  <c r="Z203" i="4"/>
  <c r="X203" i="4"/>
  <c r="W203" i="4"/>
  <c r="U203" i="4"/>
  <c r="S203" i="4"/>
  <c r="P203" i="4"/>
  <c r="L203" i="4"/>
  <c r="K203" i="4"/>
  <c r="N125" i="4" s="1"/>
  <c r="I203" i="4"/>
  <c r="I301" i="4" s="1"/>
  <c r="H203" i="4"/>
  <c r="F203" i="4"/>
  <c r="F301" i="4" s="1"/>
  <c r="E203" i="4"/>
  <c r="U200" i="4"/>
  <c r="T200" i="4"/>
  <c r="R200" i="4"/>
  <c r="Q200" i="4"/>
  <c r="O200" i="4"/>
  <c r="N200" i="4"/>
  <c r="L200" i="4"/>
  <c r="K200" i="4"/>
  <c r="I200" i="4"/>
  <c r="H200" i="4"/>
  <c r="Z199" i="4"/>
  <c r="W199" i="4"/>
  <c r="V199" i="4" s="1"/>
  <c r="S199" i="4"/>
  <c r="P199" i="4"/>
  <c r="M199" i="4"/>
  <c r="J199" i="4"/>
  <c r="G199" i="4"/>
  <c r="AF198" i="4"/>
  <c r="AG198" i="4" s="1"/>
  <c r="Y198" i="4"/>
  <c r="V198" i="4"/>
  <c r="S198" i="4"/>
  <c r="P198" i="4"/>
  <c r="M198" i="4"/>
  <c r="J198" i="4"/>
  <c r="G198" i="4"/>
  <c r="Y197" i="4"/>
  <c r="V197" i="4"/>
  <c r="S197" i="4"/>
  <c r="P197" i="4"/>
  <c r="G197" i="4"/>
  <c r="Y191" i="4"/>
  <c r="V191" i="4"/>
  <c r="S191" i="4"/>
  <c r="P191" i="4"/>
  <c r="M191" i="4"/>
  <c r="J191" i="4"/>
  <c r="G191" i="4"/>
  <c r="F191" i="4"/>
  <c r="Y186" i="4"/>
  <c r="Y320" i="4" s="1"/>
  <c r="V186" i="4"/>
  <c r="V320" i="4" s="1"/>
  <c r="S186" i="4"/>
  <c r="P186" i="4"/>
  <c r="P320" i="4" s="1"/>
  <c r="M320" i="4"/>
  <c r="J186" i="4"/>
  <c r="J320" i="4" s="1"/>
  <c r="G186" i="4"/>
  <c r="G320" i="4" s="1"/>
  <c r="AC185" i="4"/>
  <c r="Y185" i="4"/>
  <c r="X185" i="4"/>
  <c r="X200" i="4" s="1"/>
  <c r="V185" i="4"/>
  <c r="S185" i="4"/>
  <c r="P185" i="4"/>
  <c r="M185" i="4"/>
  <c r="J185" i="4"/>
  <c r="G185" i="4"/>
  <c r="T183" i="4"/>
  <c r="R183" i="4"/>
  <c r="Q183" i="4"/>
  <c r="Q316" i="4" s="1"/>
  <c r="O183" i="4"/>
  <c r="N183" i="4"/>
  <c r="K183" i="4"/>
  <c r="I183" i="4"/>
  <c r="I316" i="4" s="1"/>
  <c r="H183" i="4"/>
  <c r="H316" i="4" s="1"/>
  <c r="F183" i="4"/>
  <c r="E183" i="4"/>
  <c r="E316" i="4" s="1"/>
  <c r="AC182" i="4"/>
  <c r="AB182" i="4" s="1"/>
  <c r="BH182" i="4" s="1"/>
  <c r="Y182" i="4"/>
  <c r="V182" i="4"/>
  <c r="S182" i="4"/>
  <c r="P182" i="4"/>
  <c r="M182" i="4"/>
  <c r="J182" i="4"/>
  <c r="G182" i="4"/>
  <c r="T181" i="4"/>
  <c r="S181" i="4" s="1"/>
  <c r="R181" i="4"/>
  <c r="Q181" i="4"/>
  <c r="P181" i="4" s="1"/>
  <c r="O181" i="4"/>
  <c r="N181" i="4"/>
  <c r="M181" i="4" s="1"/>
  <c r="L181" i="4"/>
  <c r="K181" i="4"/>
  <c r="J181" i="4" s="1"/>
  <c r="I181" i="4"/>
  <c r="H181" i="4"/>
  <c r="G181" i="4" s="1"/>
  <c r="F181" i="4"/>
  <c r="E181" i="4"/>
  <c r="S180" i="4"/>
  <c r="P180" i="4"/>
  <c r="M180" i="4"/>
  <c r="J180" i="4"/>
  <c r="G180" i="4"/>
  <c r="S179" i="4"/>
  <c r="P179" i="4"/>
  <c r="M179" i="4"/>
  <c r="J179" i="4"/>
  <c r="G179" i="4"/>
  <c r="AB178" i="4"/>
  <c r="Y178" i="4"/>
  <c r="V178" i="4"/>
  <c r="Z177" i="4"/>
  <c r="Z183" i="4" s="1"/>
  <c r="Z316" i="4" s="1"/>
  <c r="X177" i="4"/>
  <c r="X183" i="4" s="1"/>
  <c r="X316" i="4" s="1"/>
  <c r="W177" i="4"/>
  <c r="S177" i="4"/>
  <c r="P177" i="4"/>
  <c r="M177" i="4"/>
  <c r="J177" i="4"/>
  <c r="G177" i="4"/>
  <c r="T176" i="4"/>
  <c r="S176" i="4" s="1"/>
  <c r="R176" i="4"/>
  <c r="Q176" i="4"/>
  <c r="P176" i="4" s="1"/>
  <c r="O176" i="4"/>
  <c r="N176" i="4"/>
  <c r="M176" i="4" s="1"/>
  <c r="K176" i="4"/>
  <c r="J176" i="4" s="1"/>
  <c r="I176" i="4"/>
  <c r="H176" i="4"/>
  <c r="G176" i="4" s="1"/>
  <c r="F176" i="4"/>
  <c r="E176" i="4"/>
  <c r="S175" i="4"/>
  <c r="P175" i="4"/>
  <c r="M175" i="4"/>
  <c r="J175" i="4"/>
  <c r="G175" i="4"/>
  <c r="S174" i="4"/>
  <c r="P174" i="4"/>
  <c r="M174" i="4"/>
  <c r="J174" i="4"/>
  <c r="G174" i="4"/>
  <c r="S173" i="4"/>
  <c r="P173" i="4"/>
  <c r="M173" i="4"/>
  <c r="J173" i="4"/>
  <c r="G173" i="4"/>
  <c r="Y172" i="4"/>
  <c r="V172" i="4"/>
  <c r="V264" i="4" s="1"/>
  <c r="S172" i="4"/>
  <c r="P172" i="4"/>
  <c r="P264" i="4" s="1"/>
  <c r="M172" i="4"/>
  <c r="L172" i="4"/>
  <c r="J172" i="4"/>
  <c r="J264" i="4" s="1"/>
  <c r="G172" i="4"/>
  <c r="Y171" i="4"/>
  <c r="V171" i="4"/>
  <c r="S171" i="4"/>
  <c r="P171" i="4"/>
  <c r="M171" i="4"/>
  <c r="J171" i="4"/>
  <c r="G171" i="4"/>
  <c r="S170" i="4"/>
  <c r="P170" i="4"/>
  <c r="M170" i="4"/>
  <c r="J170" i="4"/>
  <c r="G170" i="4"/>
  <c r="Y169" i="4"/>
  <c r="Y217" i="9" s="1"/>
  <c r="V169" i="4"/>
  <c r="V217" i="9" s="1"/>
  <c r="U169" i="4"/>
  <c r="U217" i="9" s="1"/>
  <c r="S169" i="4"/>
  <c r="S217" i="9" s="1"/>
  <c r="P169" i="4"/>
  <c r="P217" i="9" s="1"/>
  <c r="M169" i="4"/>
  <c r="M217" i="9" s="1"/>
  <c r="J169" i="4"/>
  <c r="J217" i="9" s="1"/>
  <c r="G169" i="4"/>
  <c r="G217" i="9" s="1"/>
  <c r="D167" i="4"/>
  <c r="Y164" i="4"/>
  <c r="V164" i="4"/>
  <c r="P164" i="4"/>
  <c r="M164" i="4"/>
  <c r="J164" i="4"/>
  <c r="G164" i="4"/>
  <c r="W163" i="4"/>
  <c r="Z162" i="4"/>
  <c r="X162" i="4"/>
  <c r="W162" i="4"/>
  <c r="U162" i="4"/>
  <c r="T162" i="4"/>
  <c r="R162" i="4"/>
  <c r="Q162" i="4"/>
  <c r="O162" i="4"/>
  <c r="N162" i="4"/>
  <c r="L162" i="4"/>
  <c r="K162" i="4"/>
  <c r="I162" i="4"/>
  <c r="H162" i="4"/>
  <c r="F162" i="4"/>
  <c r="E162" i="4"/>
  <c r="W160" i="4"/>
  <c r="U160" i="4"/>
  <c r="T160" i="4"/>
  <c r="R160" i="4"/>
  <c r="Q160" i="4"/>
  <c r="O160" i="4"/>
  <c r="N160" i="4"/>
  <c r="L160" i="4"/>
  <c r="K160" i="4"/>
  <c r="I160" i="4"/>
  <c r="H160" i="4"/>
  <c r="F160" i="4"/>
  <c r="E160" i="4"/>
  <c r="Z159" i="4"/>
  <c r="X159" i="4"/>
  <c r="W159" i="4"/>
  <c r="U159" i="4"/>
  <c r="T159" i="4"/>
  <c r="R159" i="4"/>
  <c r="Q159" i="4"/>
  <c r="O159" i="4"/>
  <c r="N159" i="4"/>
  <c r="L159" i="4"/>
  <c r="K159" i="4"/>
  <c r="I159" i="4"/>
  <c r="H159" i="4"/>
  <c r="F159" i="4"/>
  <c r="E159" i="4"/>
  <c r="Z158" i="4"/>
  <c r="X158" i="4"/>
  <c r="W158" i="4"/>
  <c r="U158" i="4"/>
  <c r="T158" i="4"/>
  <c r="R158" i="4"/>
  <c r="Q158" i="4"/>
  <c r="O158" i="4"/>
  <c r="N158" i="4"/>
  <c r="L158" i="4"/>
  <c r="K158" i="4"/>
  <c r="I158" i="4"/>
  <c r="H158" i="4"/>
  <c r="F158" i="4"/>
  <c r="E158" i="4"/>
  <c r="Y151" i="4"/>
  <c r="V151" i="4"/>
  <c r="S151" i="4"/>
  <c r="P151" i="4"/>
  <c r="M151" i="4"/>
  <c r="J151" i="4"/>
  <c r="G151" i="4"/>
  <c r="BF150" i="4"/>
  <c r="BC150" i="4"/>
  <c r="AZ150" i="4"/>
  <c r="AW150" i="4"/>
  <c r="AT150" i="4"/>
  <c r="AQ150" i="4"/>
  <c r="AN150" i="4"/>
  <c r="AK150" i="4"/>
  <c r="Y150" i="4"/>
  <c r="V150" i="4"/>
  <c r="S150" i="4"/>
  <c r="P150" i="4"/>
  <c r="M150" i="4"/>
  <c r="J150" i="4"/>
  <c r="G150" i="4"/>
  <c r="Y149" i="4"/>
  <c r="V149" i="4"/>
  <c r="S149" i="4"/>
  <c r="P149" i="4"/>
  <c r="M149" i="4"/>
  <c r="J149" i="4"/>
  <c r="G149" i="4"/>
  <c r="Y148" i="4"/>
  <c r="V148" i="4"/>
  <c r="S148" i="4"/>
  <c r="P148" i="4"/>
  <c r="M148" i="4"/>
  <c r="J148" i="4"/>
  <c r="G148" i="4"/>
  <c r="V147" i="4"/>
  <c r="S147" i="4"/>
  <c r="P147" i="4"/>
  <c r="M147" i="4"/>
  <c r="J147" i="4"/>
  <c r="G147" i="4"/>
  <c r="BF145" i="4"/>
  <c r="BG145" i="4" s="1"/>
  <c r="BG144" i="4" s="1"/>
  <c r="BC145" i="4"/>
  <c r="BD145" i="4" s="1"/>
  <c r="BD144" i="4" s="1"/>
  <c r="AZ145" i="4"/>
  <c r="BA145" i="4" s="1"/>
  <c r="BA144" i="4" s="1"/>
  <c r="AW145" i="4"/>
  <c r="AX145" i="4" s="1"/>
  <c r="AX144" i="4" s="1"/>
  <c r="AT145" i="4"/>
  <c r="AU145" i="4" s="1"/>
  <c r="AU144" i="4" s="1"/>
  <c r="AQ145" i="4"/>
  <c r="AR145" i="4" s="1"/>
  <c r="AR144" i="4" s="1"/>
  <c r="AN145" i="4"/>
  <c r="AO145" i="4" s="1"/>
  <c r="AO144" i="4" s="1"/>
  <c r="AK145" i="4"/>
  <c r="AL145" i="4" s="1"/>
  <c r="AL144" i="4" s="1"/>
  <c r="AH145" i="4"/>
  <c r="AI145" i="4" s="1"/>
  <c r="AI144" i="4" s="1"/>
  <c r="AE145" i="4"/>
  <c r="AF145" i="4" s="1"/>
  <c r="AF144" i="4" s="1"/>
  <c r="AC145" i="4"/>
  <c r="AC144" i="4" s="1"/>
  <c r="AB144" i="4" s="1"/>
  <c r="Y145" i="4"/>
  <c r="V145" i="4"/>
  <c r="S145" i="4"/>
  <c r="P145" i="4"/>
  <c r="M145" i="4"/>
  <c r="J145" i="4"/>
  <c r="G145" i="4"/>
  <c r="BE144" i="4"/>
  <c r="BB144" i="4"/>
  <c r="AY144" i="4"/>
  <c r="AV144" i="4"/>
  <c r="AS144" i="4"/>
  <c r="AP144" i="4"/>
  <c r="AM144" i="4"/>
  <c r="AJ144" i="4"/>
  <c r="AG144" i="4"/>
  <c r="AD144" i="4"/>
  <c r="Z144" i="4"/>
  <c r="X144" i="4"/>
  <c r="W144" i="4"/>
  <c r="W152" i="4" s="1"/>
  <c r="U144" i="4"/>
  <c r="U152" i="4" s="1"/>
  <c r="T144" i="4"/>
  <c r="R144" i="4"/>
  <c r="R152" i="4" s="1"/>
  <c r="Q144" i="4"/>
  <c r="Q152" i="4" s="1"/>
  <c r="O144" i="4"/>
  <c r="O152" i="4" s="1"/>
  <c r="N144" i="4"/>
  <c r="N152" i="4" s="1"/>
  <c r="L144" i="4"/>
  <c r="L152" i="4" s="1"/>
  <c r="K144" i="4"/>
  <c r="I144" i="4"/>
  <c r="I152" i="4" s="1"/>
  <c r="H144" i="4"/>
  <c r="H152" i="4" s="1"/>
  <c r="F144" i="4"/>
  <c r="F152" i="4" s="1"/>
  <c r="E144" i="4"/>
  <c r="E152" i="4" s="1"/>
  <c r="U143" i="4"/>
  <c r="T143" i="4"/>
  <c r="R143" i="4"/>
  <c r="Q143" i="4"/>
  <c r="O143" i="4"/>
  <c r="N143" i="4"/>
  <c r="L143" i="4"/>
  <c r="K143" i="4"/>
  <c r="I143" i="4"/>
  <c r="H143" i="4"/>
  <c r="F143" i="4"/>
  <c r="E143" i="4"/>
  <c r="Y142" i="4"/>
  <c r="V142" i="4"/>
  <c r="Y141" i="4"/>
  <c r="V141" i="4"/>
  <c r="Y140" i="4"/>
  <c r="V140" i="4"/>
  <c r="S140" i="4"/>
  <c r="P140" i="4"/>
  <c r="M140" i="4"/>
  <c r="J140" i="4"/>
  <c r="G140" i="4"/>
  <c r="V139" i="4"/>
  <c r="S139" i="4"/>
  <c r="P139" i="4"/>
  <c r="M139" i="4"/>
  <c r="J139" i="4"/>
  <c r="G139" i="4"/>
  <c r="V138" i="4"/>
  <c r="W138" i="4" s="1"/>
  <c r="S138" i="4"/>
  <c r="P138" i="4"/>
  <c r="M138" i="4"/>
  <c r="J138" i="4"/>
  <c r="G138" i="4"/>
  <c r="Q137" i="4"/>
  <c r="O137" i="4"/>
  <c r="N137" i="4"/>
  <c r="L137" i="4"/>
  <c r="K137" i="4"/>
  <c r="I137" i="4"/>
  <c r="H137" i="4"/>
  <c r="F137" i="4"/>
  <c r="E137" i="4"/>
  <c r="Y131" i="4"/>
  <c r="Y215" i="9" s="1"/>
  <c r="V131" i="4"/>
  <c r="V215" i="9" s="1"/>
  <c r="S131" i="4"/>
  <c r="S215" i="9" s="1"/>
  <c r="P131" i="4"/>
  <c r="P215" i="9" s="1"/>
  <c r="M131" i="4"/>
  <c r="M215" i="9" s="1"/>
  <c r="J131" i="4"/>
  <c r="J215" i="9" s="1"/>
  <c r="G131" i="4"/>
  <c r="Y130" i="4"/>
  <c r="V130" i="4"/>
  <c r="S130" i="4"/>
  <c r="P130" i="4"/>
  <c r="M130" i="4"/>
  <c r="J130" i="4"/>
  <c r="G130" i="4"/>
  <c r="Y129" i="4"/>
  <c r="Y212" i="9" s="1"/>
  <c r="V129" i="4"/>
  <c r="S129" i="4"/>
  <c r="P129" i="4"/>
  <c r="M129" i="4"/>
  <c r="M159" i="4" s="1"/>
  <c r="J129" i="4"/>
  <c r="G129" i="4"/>
  <c r="G159" i="4" s="1"/>
  <c r="Y127" i="4"/>
  <c r="Y247" i="9" s="1"/>
  <c r="V127" i="4"/>
  <c r="V247" i="9" s="1"/>
  <c r="T126" i="4"/>
  <c r="R126" i="4"/>
  <c r="Q126" i="4"/>
  <c r="O126" i="4"/>
  <c r="N126" i="4"/>
  <c r="L126" i="4"/>
  <c r="K126" i="4"/>
  <c r="I126" i="4"/>
  <c r="H126" i="4"/>
  <c r="F126" i="4"/>
  <c r="T125" i="4"/>
  <c r="R125" i="4"/>
  <c r="Q125" i="4"/>
  <c r="O125" i="4"/>
  <c r="Y123" i="4"/>
  <c r="V123" i="4"/>
  <c r="S123" i="4"/>
  <c r="P123" i="4"/>
  <c r="M123" i="4"/>
  <c r="J123" i="4"/>
  <c r="G123" i="4"/>
  <c r="Z121" i="4"/>
  <c r="X121" i="4"/>
  <c r="W121" i="4"/>
  <c r="U121" i="4"/>
  <c r="D119" i="4"/>
  <c r="D92" i="4"/>
  <c r="BF89" i="4"/>
  <c r="BC89" i="4"/>
  <c r="AZ89" i="4"/>
  <c r="AW89" i="4"/>
  <c r="AT89" i="4"/>
  <c r="AQ89" i="4"/>
  <c r="AN89" i="4"/>
  <c r="AK89" i="4"/>
  <c r="AH89" i="4"/>
  <c r="AE89" i="4"/>
  <c r="AB89" i="4"/>
  <c r="Y89" i="4"/>
  <c r="V89" i="4"/>
  <c r="S89" i="4"/>
  <c r="P89" i="4"/>
  <c r="M89" i="4"/>
  <c r="J89" i="4"/>
  <c r="G89" i="4"/>
  <c r="U88" i="4"/>
  <c r="T88" i="4"/>
  <c r="R88" i="4"/>
  <c r="Q88" i="4"/>
  <c r="O88" i="4"/>
  <c r="N88" i="4"/>
  <c r="L88" i="4"/>
  <c r="K88" i="4"/>
  <c r="I88" i="4"/>
  <c r="H88" i="4"/>
  <c r="F88" i="4"/>
  <c r="E88" i="4"/>
  <c r="S82" i="4"/>
  <c r="S12" i="4" s="1"/>
  <c r="P82" i="4"/>
  <c r="P12" i="4" s="1"/>
  <c r="P16" i="4" s="1"/>
  <c r="M82" i="4"/>
  <c r="M12" i="4" s="1"/>
  <c r="J82" i="4"/>
  <c r="J12" i="4" s="1"/>
  <c r="J16" i="4" s="1"/>
  <c r="G82" i="4"/>
  <c r="G12" i="4" s="1"/>
  <c r="BF80" i="4"/>
  <c r="BC80" i="4"/>
  <c r="AZ80" i="4"/>
  <c r="AW80" i="4"/>
  <c r="AT80" i="4"/>
  <c r="AQ80" i="4"/>
  <c r="AN80" i="4"/>
  <c r="AK80" i="4"/>
  <c r="AH80" i="4"/>
  <c r="AE80" i="4"/>
  <c r="AB80" i="4"/>
  <c r="Y80" i="4"/>
  <c r="V80" i="4"/>
  <c r="S80" i="4"/>
  <c r="P80" i="4"/>
  <c r="M80" i="4"/>
  <c r="J80" i="4"/>
  <c r="G80" i="4"/>
  <c r="T79" i="4"/>
  <c r="R79" i="4"/>
  <c r="R10" i="4" s="1"/>
  <c r="Q79" i="4"/>
  <c r="O79" i="4"/>
  <c r="O81" i="4" s="1"/>
  <c r="O11" i="4" s="1"/>
  <c r="N79" i="4"/>
  <c r="N10" i="4" s="1"/>
  <c r="L79" i="4"/>
  <c r="K79" i="4"/>
  <c r="K81" i="4" s="1"/>
  <c r="K11" i="4" s="1"/>
  <c r="I79" i="4"/>
  <c r="H79" i="4"/>
  <c r="H10" i="4" s="1"/>
  <c r="F79" i="4"/>
  <c r="F10" i="4" s="1"/>
  <c r="E79" i="4"/>
  <c r="T78" i="4"/>
  <c r="R78" i="4"/>
  <c r="Q78" i="4"/>
  <c r="O78" i="4"/>
  <c r="N78" i="4"/>
  <c r="L78" i="4"/>
  <c r="K78" i="4"/>
  <c r="I78" i="4"/>
  <c r="H78" i="4"/>
  <c r="F78" i="4"/>
  <c r="E78" i="4"/>
  <c r="U305" i="4"/>
  <c r="S77" i="4"/>
  <c r="S305" i="4" s="1"/>
  <c r="P77" i="4"/>
  <c r="P305" i="4" s="1"/>
  <c r="M77" i="4"/>
  <c r="M305" i="4" s="1"/>
  <c r="J77" i="4"/>
  <c r="J305" i="4" s="1"/>
  <c r="G77" i="4"/>
  <c r="G305" i="4" s="1"/>
  <c r="S76" i="4"/>
  <c r="P76" i="4"/>
  <c r="M76" i="4"/>
  <c r="J76" i="4"/>
  <c r="G76" i="4"/>
  <c r="S73" i="4"/>
  <c r="P73" i="4"/>
  <c r="M73" i="4"/>
  <c r="J73" i="4"/>
  <c r="G73" i="4"/>
  <c r="R34" i="4"/>
  <c r="S62" i="4"/>
  <c r="P62" i="4"/>
  <c r="M62" i="4"/>
  <c r="J62" i="4"/>
  <c r="G62" i="4"/>
  <c r="Q58" i="4"/>
  <c r="O58" i="4"/>
  <c r="N58" i="4"/>
  <c r="L58" i="4"/>
  <c r="K58" i="4"/>
  <c r="I58" i="4"/>
  <c r="H58" i="4"/>
  <c r="G58" i="4" s="1"/>
  <c r="E58" i="4"/>
  <c r="Q49" i="4"/>
  <c r="O49" i="4"/>
  <c r="N49" i="4"/>
  <c r="L49" i="4"/>
  <c r="K49" i="4"/>
  <c r="I49" i="4"/>
  <c r="I8" i="4" s="1"/>
  <c r="H49" i="4"/>
  <c r="E49" i="4"/>
  <c r="X34" i="4"/>
  <c r="L34" i="4"/>
  <c r="BF31" i="4"/>
  <c r="BC31" i="4"/>
  <c r="AZ31" i="4"/>
  <c r="AW31" i="4"/>
  <c r="AT31" i="4"/>
  <c r="AQ31" i="4"/>
  <c r="AN31" i="4"/>
  <c r="AK31" i="4"/>
  <c r="AH31" i="4"/>
  <c r="AE31" i="4"/>
  <c r="AB31" i="4"/>
  <c r="Y31" i="4"/>
  <c r="V31" i="4"/>
  <c r="S31" i="4"/>
  <c r="P31" i="4"/>
  <c r="M31" i="4"/>
  <c r="J31" i="4"/>
  <c r="G31" i="4"/>
  <c r="D28" i="4"/>
  <c r="AG24" i="4"/>
  <c r="Z22" i="4"/>
  <c r="W22" i="4"/>
  <c r="T22" i="4"/>
  <c r="Q22" i="4"/>
  <c r="T12" i="4"/>
  <c r="R12" i="4"/>
  <c r="R16" i="4" s="1"/>
  <c r="Q12" i="4"/>
  <c r="Q16" i="4" s="1"/>
  <c r="O12" i="4"/>
  <c r="O14" i="4" s="1"/>
  <c r="N12" i="4"/>
  <c r="N16" i="4" s="1"/>
  <c r="L12" i="4"/>
  <c r="L16" i="4" s="1"/>
  <c r="K12" i="4"/>
  <c r="K16" i="4" s="1"/>
  <c r="I12" i="4"/>
  <c r="I16" i="4" s="1"/>
  <c r="H12" i="4"/>
  <c r="H16" i="4" s="1"/>
  <c r="F12" i="4"/>
  <c r="F16" i="4" s="1"/>
  <c r="E12" i="4"/>
  <c r="E14" i="4" s="1"/>
  <c r="D9" i="4"/>
  <c r="G7" i="4"/>
  <c r="I7" i="4" s="1"/>
  <c r="J7" i="4" s="1"/>
  <c r="BG5" i="4"/>
  <c r="BG4" i="4" s="1"/>
  <c r="BF5" i="4"/>
  <c r="BF4" i="4" s="1"/>
  <c r="BE5" i="4"/>
  <c r="BE4" i="4" s="1"/>
  <c r="BD5" i="4"/>
  <c r="BC5" i="4"/>
  <c r="BC4" i="4" s="1"/>
  <c r="BB5" i="4"/>
  <c r="BA5" i="4"/>
  <c r="BA4" i="4" s="1"/>
  <c r="AZ5" i="4"/>
  <c r="AZ4" i="4" s="1"/>
  <c r="AY5" i="4"/>
  <c r="AY4" i="4" s="1"/>
  <c r="AX5" i="4"/>
  <c r="AW5" i="4"/>
  <c r="AW4" i="4" s="1"/>
  <c r="AV5" i="4"/>
  <c r="AV4" i="4" s="1"/>
  <c r="AU5" i="4"/>
  <c r="AU4" i="4" s="1"/>
  <c r="AT5" i="4"/>
  <c r="AT4" i="4" s="1"/>
  <c r="AS5" i="4"/>
  <c r="AR5" i="4"/>
  <c r="AQ5" i="4"/>
  <c r="AQ4" i="4" s="1"/>
  <c r="AP5" i="4"/>
  <c r="AO5" i="4"/>
  <c r="AO4" i="4" s="1"/>
  <c r="AN5" i="4"/>
  <c r="AN4" i="4" s="1"/>
  <c r="AM5" i="4"/>
  <c r="AM4" i="4" s="1"/>
  <c r="AM9" i="4" s="1"/>
  <c r="AL5" i="4"/>
  <c r="AK5" i="4"/>
  <c r="AK4" i="4" s="1"/>
  <c r="AJ5" i="4"/>
  <c r="AJ4" i="4" s="1"/>
  <c r="AI5" i="4"/>
  <c r="AI4" i="4" s="1"/>
  <c r="AH5" i="4"/>
  <c r="AH4" i="4" s="1"/>
  <c r="AG5" i="4"/>
  <c r="AG4" i="4" s="1"/>
  <c r="AF5" i="4"/>
  <c r="AF4" i="4" s="1"/>
  <c r="AE5" i="4"/>
  <c r="AE4" i="4" s="1"/>
  <c r="AD5" i="4"/>
  <c r="AC5" i="4"/>
  <c r="AB5" i="4"/>
  <c r="AB4" i="4" s="1"/>
  <c r="AA5" i="4"/>
  <c r="Z5" i="4"/>
  <c r="Y5" i="4"/>
  <c r="Y4" i="4" s="1"/>
  <c r="X5" i="4"/>
  <c r="X245" i="4" s="1"/>
  <c r="W5" i="4"/>
  <c r="W245" i="4" s="1"/>
  <c r="V245" i="4" s="1"/>
  <c r="V5" i="4"/>
  <c r="V4" i="4" s="1"/>
  <c r="U5" i="4"/>
  <c r="U4" i="4" s="1"/>
  <c r="T5" i="4"/>
  <c r="T4" i="4" s="1"/>
  <c r="S5" i="4"/>
  <c r="S4" i="4" s="1"/>
  <c r="R5" i="4"/>
  <c r="R4" i="4" s="1"/>
  <c r="Q5" i="4"/>
  <c r="Q4" i="4" s="1"/>
  <c r="P5" i="4"/>
  <c r="P4" i="4" s="1"/>
  <c r="O5" i="4"/>
  <c r="O4" i="4" s="1"/>
  <c r="N5" i="4"/>
  <c r="N4" i="4" s="1"/>
  <c r="M5" i="4"/>
  <c r="M4" i="4" s="1"/>
  <c r="L5" i="4"/>
  <c r="L4" i="4" s="1"/>
  <c r="K5" i="4"/>
  <c r="K4" i="4" s="1"/>
  <c r="J5" i="4"/>
  <c r="J4" i="4" s="1"/>
  <c r="J28" i="4" s="1"/>
  <c r="I5" i="4"/>
  <c r="I4" i="4" s="1"/>
  <c r="H5" i="4"/>
  <c r="H4" i="4" s="1"/>
  <c r="G5" i="4"/>
  <c r="G4" i="4" s="1"/>
  <c r="F5" i="4"/>
  <c r="F4" i="4" s="1"/>
  <c r="E5" i="4"/>
  <c r="E4" i="4" s="1"/>
  <c r="B2" i="4"/>
  <c r="B1" i="4"/>
  <c r="Z69" i="4" l="1"/>
  <c r="V221" i="4"/>
  <c r="M70" i="4"/>
  <c r="K166" i="9"/>
  <c r="M111" i="4"/>
  <c r="AD139" i="9"/>
  <c r="AE139" i="9" s="1"/>
  <c r="AF139" i="9" s="1"/>
  <c r="AG139" i="9" s="1"/>
  <c r="AH139" i="9" s="1"/>
  <c r="AI139" i="9" s="1"/>
  <c r="AJ139" i="9" s="1"/>
  <c r="AK139" i="9" s="1"/>
  <c r="AL139" i="9" s="1"/>
  <c r="AM139" i="9" s="1"/>
  <c r="AN139" i="9" s="1"/>
  <c r="AO139" i="9" s="1"/>
  <c r="AP139" i="9" s="1"/>
  <c r="AQ139" i="9" s="1"/>
  <c r="AR139" i="9" s="1"/>
  <c r="AS139" i="9" s="1"/>
  <c r="AT139" i="9" s="1"/>
  <c r="AU139" i="9" s="1"/>
  <c r="AV139" i="9" s="1"/>
  <c r="AW139" i="9" s="1"/>
  <c r="AX139" i="9" s="1"/>
  <c r="AY139" i="9" s="1"/>
  <c r="AZ139" i="9" s="1"/>
  <c r="BA139" i="9" s="1"/>
  <c r="BB139" i="9" s="1"/>
  <c r="BC139" i="9" s="1"/>
  <c r="BD139" i="9" s="1"/>
  <c r="BE139" i="9" s="1"/>
  <c r="BF139" i="9" s="1"/>
  <c r="BG139" i="9" s="1"/>
  <c r="G38" i="4"/>
  <c r="M43" i="4"/>
  <c r="AH35" i="4"/>
  <c r="BC37" i="4"/>
  <c r="AW38" i="4"/>
  <c r="AE65" i="4"/>
  <c r="L106" i="4"/>
  <c r="AT35" i="4"/>
  <c r="M37" i="4"/>
  <c r="S37" i="4"/>
  <c r="K30" i="4"/>
  <c r="V35" i="4"/>
  <c r="BF35" i="4"/>
  <c r="G37" i="4"/>
  <c r="AE37" i="4"/>
  <c r="AQ37" i="4"/>
  <c r="P41" i="4"/>
  <c r="P36" i="4"/>
  <c r="AH36" i="4"/>
  <c r="AT36" i="4"/>
  <c r="M38" i="4"/>
  <c r="Y38" i="4"/>
  <c r="AK38" i="4"/>
  <c r="J42" i="4"/>
  <c r="P42" i="4"/>
  <c r="K94" i="4"/>
  <c r="J44" i="4"/>
  <c r="AG142" i="9"/>
  <c r="AH142" i="9" s="1"/>
  <c r="AI142" i="9" s="1"/>
  <c r="AJ142" i="9" s="1"/>
  <c r="AK142" i="9" s="1"/>
  <c r="AL142" i="9" s="1"/>
  <c r="AM142" i="9" s="1"/>
  <c r="AN142" i="9" s="1"/>
  <c r="AB228" i="4"/>
  <c r="BH228" i="4" s="1"/>
  <c r="AD228" i="4"/>
  <c r="Z163" i="9"/>
  <c r="W49" i="4"/>
  <c r="W163" i="9"/>
  <c r="Z305" i="4"/>
  <c r="AR148" i="4"/>
  <c r="X163" i="9"/>
  <c r="Y305" i="4"/>
  <c r="F74" i="4"/>
  <c r="AW35" i="4"/>
  <c r="J37" i="4"/>
  <c r="AH37" i="4"/>
  <c r="AD214" i="4"/>
  <c r="AF214" i="4" s="1"/>
  <c r="AC178" i="4"/>
  <c r="AC177" i="4" s="1"/>
  <c r="AB177" i="4" s="1"/>
  <c r="BH177" i="4" s="1"/>
  <c r="BH178" i="4"/>
  <c r="AB185" i="4"/>
  <c r="BH185" i="4" s="1"/>
  <c r="AT148" i="4"/>
  <c r="AV148" i="4" s="1"/>
  <c r="AE36" i="4"/>
  <c r="BC36" i="4"/>
  <c r="AB38" i="4"/>
  <c r="AN38" i="4"/>
  <c r="G42" i="4"/>
  <c r="P43" i="4"/>
  <c r="M44" i="4"/>
  <c r="J65" i="4"/>
  <c r="V65" i="4"/>
  <c r="AH65" i="4"/>
  <c r="AT65" i="4"/>
  <c r="BF65" i="4"/>
  <c r="P71" i="4"/>
  <c r="V44" i="4"/>
  <c r="L166" i="9"/>
  <c r="O33" i="4"/>
  <c r="O307" i="4" s="1"/>
  <c r="K122" i="4"/>
  <c r="Q259" i="4"/>
  <c r="E261" i="4"/>
  <c r="E260" i="4"/>
  <c r="P117" i="4"/>
  <c r="Q260" i="4"/>
  <c r="Q266" i="4"/>
  <c r="L165" i="9"/>
  <c r="E106" i="4"/>
  <c r="Q263" i="4"/>
  <c r="E32" i="4"/>
  <c r="E262" i="4"/>
  <c r="AA4" i="4"/>
  <c r="AA297" i="4" s="1"/>
  <c r="F117" i="4"/>
  <c r="J36" i="4"/>
  <c r="V36" i="4"/>
  <c r="BF36" i="4"/>
  <c r="S38" i="4"/>
  <c r="AE38" i="4"/>
  <c r="AQ38" i="4"/>
  <c r="BC38" i="4"/>
  <c r="S71" i="4"/>
  <c r="P126" i="4"/>
  <c r="H74" i="4"/>
  <c r="S35" i="4"/>
  <c r="M36" i="4"/>
  <c r="AK36" i="4"/>
  <c r="AW36" i="4"/>
  <c r="AB37" i="4"/>
  <c r="AZ37" i="4"/>
  <c r="J38" i="4"/>
  <c r="BF38" i="4"/>
  <c r="P65" i="4"/>
  <c r="H69" i="4"/>
  <c r="H306" i="4" s="1"/>
  <c r="J71" i="4"/>
  <c r="U69" i="4"/>
  <c r="Z301" i="4"/>
  <c r="AA125" i="4"/>
  <c r="X43" i="4"/>
  <c r="AA106" i="9"/>
  <c r="X29" i="4"/>
  <c r="X94" i="4" s="1"/>
  <c r="X150" i="9"/>
  <c r="AA244" i="4"/>
  <c r="AA157" i="9"/>
  <c r="AA71" i="9"/>
  <c r="AA69" i="9"/>
  <c r="AA12" i="9"/>
  <c r="AB10" i="9"/>
  <c r="AE10" i="9" s="1"/>
  <c r="AH10" i="9" s="1"/>
  <c r="P35" i="4"/>
  <c r="AB35" i="4"/>
  <c r="AN35" i="4"/>
  <c r="AZ35" i="4"/>
  <c r="J41" i="4"/>
  <c r="L30" i="4"/>
  <c r="T33" i="4"/>
  <c r="T307" i="4" s="1"/>
  <c r="T69" i="4"/>
  <c r="T121" i="4" s="1"/>
  <c r="I106" i="4"/>
  <c r="CC22" i="9"/>
  <c r="CE22" i="9" s="1"/>
  <c r="CE26" i="9" s="1"/>
  <c r="CG26" i="9" s="1"/>
  <c r="I69" i="4"/>
  <c r="I306" i="4" s="1"/>
  <c r="K10" i="4"/>
  <c r="H34" i="4"/>
  <c r="H33" i="4" s="1"/>
  <c r="W222" i="9"/>
  <c r="L94" i="4"/>
  <c r="Y44" i="4"/>
  <c r="W228" i="9"/>
  <c r="U33" i="4"/>
  <c r="I108" i="4"/>
  <c r="I260" i="4"/>
  <c r="I267" i="4"/>
  <c r="Z33" i="4"/>
  <c r="M108" i="4"/>
  <c r="Y116" i="9"/>
  <c r="Y120" i="9" s="1"/>
  <c r="Z222" i="9"/>
  <c r="O122" i="4"/>
  <c r="R69" i="4"/>
  <c r="R121" i="4" s="1"/>
  <c r="V116" i="9"/>
  <c r="V120" i="9" s="1"/>
  <c r="R166" i="9"/>
  <c r="R15" i="9"/>
  <c r="I32" i="4"/>
  <c r="J32" i="4" s="1"/>
  <c r="X33" i="4"/>
  <c r="J126" i="4"/>
  <c r="Q166" i="9"/>
  <c r="Q196" i="9" s="1"/>
  <c r="Q198" i="9" s="1"/>
  <c r="Q204" i="9" s="1"/>
  <c r="Q208" i="9" s="1"/>
  <c r="E69" i="4"/>
  <c r="E306" i="4" s="1"/>
  <c r="P70" i="4"/>
  <c r="V144" i="9"/>
  <c r="V129" i="9" s="1"/>
  <c r="P30" i="4"/>
  <c r="AH37" i="9"/>
  <c r="AK37" i="9" s="1"/>
  <c r="AN37" i="9" s="1"/>
  <c r="AQ37" i="9" s="1"/>
  <c r="AT37" i="9" s="1"/>
  <c r="AW37" i="9" s="1"/>
  <c r="AZ37" i="9" s="1"/>
  <c r="BC37" i="9" s="1"/>
  <c r="BF37" i="9" s="1"/>
  <c r="AJ24" i="4"/>
  <c r="S126" i="4"/>
  <c r="R183" i="9"/>
  <c r="N74" i="4"/>
  <c r="Y35" i="4"/>
  <c r="AK35" i="4"/>
  <c r="G36" i="4"/>
  <c r="L74" i="4"/>
  <c r="Y36" i="4"/>
  <c r="AQ36" i="4"/>
  <c r="K74" i="4"/>
  <c r="P37" i="4"/>
  <c r="V37" i="4"/>
  <c r="AN37" i="4"/>
  <c r="AT37" i="4"/>
  <c r="BF37" i="4"/>
  <c r="P38" i="4"/>
  <c r="AZ38" i="4"/>
  <c r="M41" i="4"/>
  <c r="M42" i="4"/>
  <c r="G44" i="4"/>
  <c r="T201" i="4"/>
  <c r="S201" i="4" s="1"/>
  <c r="AS60" i="9"/>
  <c r="AT60" i="9" s="1"/>
  <c r="AV60" i="9" s="1"/>
  <c r="AW60" i="9" s="1"/>
  <c r="AY60" i="9" s="1"/>
  <c r="AZ60" i="9" s="1"/>
  <c r="BB60" i="9" s="1"/>
  <c r="BC60" i="9" s="1"/>
  <c r="BE60" i="9" s="1"/>
  <c r="BF60" i="9" s="1"/>
  <c r="L196" i="9"/>
  <c r="L198" i="9" s="1"/>
  <c r="L204" i="9" s="1"/>
  <c r="L208" i="9" s="1"/>
  <c r="H24" i="4"/>
  <c r="M158" i="4"/>
  <c r="J160" i="4"/>
  <c r="P238" i="4"/>
  <c r="P244" i="4" s="1"/>
  <c r="P312" i="4" s="1"/>
  <c r="P314" i="4" s="1"/>
  <c r="M238" i="4"/>
  <c r="M244" i="4" s="1"/>
  <c r="M312" i="4" s="1"/>
  <c r="M314" i="4" s="1"/>
  <c r="Y238" i="4"/>
  <c r="Y244" i="4" s="1"/>
  <c r="Y312" i="4" s="1"/>
  <c r="Y314" i="4" s="1"/>
  <c r="T280" i="4"/>
  <c r="X4" i="9"/>
  <c r="X12" i="9" s="1"/>
  <c r="X15" i="9" s="1"/>
  <c r="Z54" i="9"/>
  <c r="AI121" i="9"/>
  <c r="G65" i="4"/>
  <c r="M65" i="4"/>
  <c r="R122" i="4"/>
  <c r="Y65" i="4"/>
  <c r="AK65" i="4"/>
  <c r="AQ65" i="4"/>
  <c r="BC65" i="4"/>
  <c r="W33" i="4"/>
  <c r="F69" i="4"/>
  <c r="F121" i="4" s="1"/>
  <c r="L69" i="4"/>
  <c r="L121" i="4" s="1"/>
  <c r="S44" i="4"/>
  <c r="P88" i="4"/>
  <c r="Y162" i="9"/>
  <c r="Y49" i="4" s="1"/>
  <c r="T24" i="4"/>
  <c r="P260" i="4"/>
  <c r="E161" i="4"/>
  <c r="K109" i="4"/>
  <c r="BC144" i="4"/>
  <c r="V218" i="9"/>
  <c r="V219" i="9" s="1"/>
  <c r="J221" i="9"/>
  <c r="V221" i="9"/>
  <c r="V222" i="9" s="1"/>
  <c r="E166" i="9"/>
  <c r="E196" i="9" s="1"/>
  <c r="M26" i="4"/>
  <c r="F154" i="4"/>
  <c r="Q231" i="4"/>
  <c r="P221" i="4"/>
  <c r="R109" i="4" s="1"/>
  <c r="O10" i="4"/>
  <c r="U262" i="4"/>
  <c r="S65" i="4"/>
  <c r="G71" i="4"/>
  <c r="T106" i="4"/>
  <c r="T10" i="4"/>
  <c r="BL62" i="9" s="1"/>
  <c r="E254" i="4"/>
  <c r="E255" i="4" s="1"/>
  <c r="H109" i="4"/>
  <c r="N242" i="9"/>
  <c r="N243" i="9" s="1"/>
  <c r="N24" i="4"/>
  <c r="J163" i="9"/>
  <c r="H166" i="9"/>
  <c r="H196" i="9" s="1"/>
  <c r="Y218" i="9"/>
  <c r="Y219" i="9" s="1"/>
  <c r="F254" i="4"/>
  <c r="F255" i="4" s="1"/>
  <c r="M263" i="4"/>
  <c r="I266" i="4"/>
  <c r="AS61" i="9"/>
  <c r="AT61" i="9" s="1"/>
  <c r="AV61" i="9" s="1"/>
  <c r="AW61" i="9" s="1"/>
  <c r="AY61" i="9" s="1"/>
  <c r="AZ61" i="9" s="1"/>
  <c r="BB61" i="9" s="1"/>
  <c r="BC61" i="9" s="1"/>
  <c r="BE61" i="9" s="1"/>
  <c r="BF61" i="9" s="1"/>
  <c r="P197" i="9"/>
  <c r="I33" i="4"/>
  <c r="I307" i="4" s="1"/>
  <c r="R33" i="4"/>
  <c r="R307" i="4" s="1"/>
  <c r="G221" i="9"/>
  <c r="S221" i="9"/>
  <c r="W273" i="4"/>
  <c r="W242" i="9" s="1"/>
  <c r="AE283" i="4"/>
  <c r="AJ36" i="9"/>
  <c r="AM36" i="9" s="1"/>
  <c r="AP36" i="9" s="1"/>
  <c r="AS59" i="9"/>
  <c r="AT59" i="9" s="1"/>
  <c r="AV59" i="9" s="1"/>
  <c r="AW59" i="9" s="1"/>
  <c r="AY59" i="9" s="1"/>
  <c r="AZ59" i="9" s="1"/>
  <c r="BB59" i="9" s="1"/>
  <c r="BC59" i="9" s="1"/>
  <c r="BE59" i="9" s="1"/>
  <c r="BF59" i="9" s="1"/>
  <c r="S42" i="4"/>
  <c r="Q24" i="4"/>
  <c r="M267" i="4"/>
  <c r="M261" i="4"/>
  <c r="M262" i="4"/>
  <c r="AB226" i="4"/>
  <c r="BH226" i="4" s="1"/>
  <c r="U266" i="4"/>
  <c r="U4" i="9"/>
  <c r="U12" i="9" s="1"/>
  <c r="U15" i="9" s="1"/>
  <c r="CE19" i="9"/>
  <c r="S48" i="9"/>
  <c r="Y101" i="9"/>
  <c r="Y105" i="9" s="1"/>
  <c r="AW144" i="4"/>
  <c r="E24" i="4"/>
  <c r="P79" i="4"/>
  <c r="P270" i="4" s="1"/>
  <c r="P159" i="4"/>
  <c r="AT144" i="4"/>
  <c r="V160" i="4"/>
  <c r="AD185" i="4"/>
  <c r="I219" i="4"/>
  <c r="I232" i="4" s="1"/>
  <c r="M210" i="4"/>
  <c r="M219" i="4" s="1"/>
  <c r="M317" i="4" s="1"/>
  <c r="Z254" i="4"/>
  <c r="Z255" i="4" s="1"/>
  <c r="AE25" i="9"/>
  <c r="AH25" i="9" s="1"/>
  <c r="AK25" i="9" s="1"/>
  <c r="AN25" i="9" s="1"/>
  <c r="AQ25" i="9" s="1"/>
  <c r="AT25" i="9" s="1"/>
  <c r="AW25" i="9" s="1"/>
  <c r="AZ25" i="9" s="1"/>
  <c r="BC25" i="9" s="1"/>
  <c r="BF25" i="9" s="1"/>
  <c r="V78" i="9"/>
  <c r="AJ93" i="9"/>
  <c r="AK93" i="9" s="1"/>
  <c r="AL93" i="9" s="1"/>
  <c r="AM93" i="9" s="1"/>
  <c r="AN93" i="9" s="1"/>
  <c r="AO93" i="9" s="1"/>
  <c r="AP93" i="9" s="1"/>
  <c r="AQ93" i="9" s="1"/>
  <c r="AR93" i="9" s="1"/>
  <c r="AS93" i="9" s="1"/>
  <c r="AT93" i="9" s="1"/>
  <c r="AU93" i="9" s="1"/>
  <c r="AV93" i="9" s="1"/>
  <c r="AW93" i="9" s="1"/>
  <c r="AX93" i="9" s="1"/>
  <c r="AY93" i="9" s="1"/>
  <c r="AZ93" i="9" s="1"/>
  <c r="BA93" i="9" s="1"/>
  <c r="BB93" i="9" s="1"/>
  <c r="BC93" i="9" s="1"/>
  <c r="BD93" i="9" s="1"/>
  <c r="BE93" i="9" s="1"/>
  <c r="BF93" i="9" s="1"/>
  <c r="BG93" i="9" s="1"/>
  <c r="Z98" i="9"/>
  <c r="P165" i="9"/>
  <c r="Z228" i="9"/>
  <c r="I10" i="4"/>
  <c r="P58" i="4"/>
  <c r="Z109" i="4"/>
  <c r="V121" i="4"/>
  <c r="M144" i="4"/>
  <c r="M152" i="4" s="1"/>
  <c r="Y144" i="4"/>
  <c r="Q161" i="4"/>
  <c r="V158" i="4"/>
  <c r="G160" i="4"/>
  <c r="S160" i="4"/>
  <c r="AD216" i="4"/>
  <c r="AF216" i="4" s="1"/>
  <c r="AE216" i="4" s="1"/>
  <c r="O246" i="4"/>
  <c r="O251" i="4" s="1"/>
  <c r="V77" i="9"/>
  <c r="V352" i="4" s="1"/>
  <c r="U88" i="9"/>
  <c r="AE141" i="9"/>
  <c r="AG141" i="9" s="1"/>
  <c r="AH141" i="9" s="1"/>
  <c r="AF142" i="9"/>
  <c r="X174" i="9"/>
  <c r="J165" i="9"/>
  <c r="S28" i="4"/>
  <c r="G92" i="4"/>
  <c r="AY9" i="4"/>
  <c r="AY287" i="4" s="1"/>
  <c r="W200" i="4"/>
  <c r="T316" i="4"/>
  <c r="V48" i="9"/>
  <c r="V55" i="9" s="1"/>
  <c r="X105" i="9"/>
  <c r="W183" i="4"/>
  <c r="W316" i="4" s="1"/>
  <c r="V177" i="4"/>
  <c r="V183" i="4" s="1"/>
  <c r="V316" i="4" s="1"/>
  <c r="AD223" i="4"/>
  <c r="AF223" i="4" s="1"/>
  <c r="AE223" i="4" s="1"/>
  <c r="AB223" i="4"/>
  <c r="AE86" i="9"/>
  <c r="AF86" i="9" s="1"/>
  <c r="U90" i="9"/>
  <c r="AT125" i="9"/>
  <c r="AU125" i="9" s="1"/>
  <c r="AV125" i="9"/>
  <c r="AW125" i="9" s="1"/>
  <c r="AX125" i="9" s="1"/>
  <c r="I161" i="4"/>
  <c r="W219" i="4"/>
  <c r="W317" i="4" s="1"/>
  <c r="X125" i="4"/>
  <c r="AF37" i="9"/>
  <c r="AG37" i="9"/>
  <c r="AD35" i="9"/>
  <c r="AD104" i="9" s="1"/>
  <c r="R168" i="9"/>
  <c r="R172" i="9" s="1"/>
  <c r="S169" i="9"/>
  <c r="S168" i="9" s="1"/>
  <c r="S172" i="9" s="1"/>
  <c r="E81" i="4"/>
  <c r="E11" i="4" s="1"/>
  <c r="J137" i="4"/>
  <c r="H154" i="4"/>
  <c r="AN144" i="4"/>
  <c r="AK144" i="4"/>
  <c r="I201" i="4"/>
  <c r="AD212" i="4"/>
  <c r="AF212" i="4" s="1"/>
  <c r="AE212" i="4" s="1"/>
  <c r="J12" i="9"/>
  <c r="J15" i="9" s="1"/>
  <c r="AC126" i="9"/>
  <c r="G88" i="4"/>
  <c r="E154" i="4"/>
  <c r="E165" i="4" s="1"/>
  <c r="E166" i="4" s="1"/>
  <c r="J144" i="4"/>
  <c r="J152" i="4" s="1"/>
  <c r="O161" i="4"/>
  <c r="P160" i="4"/>
  <c r="Q201" i="4"/>
  <c r="P201" i="4" s="1"/>
  <c r="K243" i="9"/>
  <c r="V168" i="9"/>
  <c r="V174" i="9" s="1"/>
  <c r="E87" i="4"/>
  <c r="E90" i="4" s="1"/>
  <c r="H86" i="4" s="1"/>
  <c r="H87" i="4" s="1"/>
  <c r="H90" i="4" s="1"/>
  <c r="I86" i="4" s="1"/>
  <c r="I87" i="4" s="1"/>
  <c r="I90" i="4" s="1"/>
  <c r="J86" i="4" s="1"/>
  <c r="J88" i="4"/>
  <c r="V143" i="4"/>
  <c r="Q154" i="4"/>
  <c r="Q165" i="4" s="1"/>
  <c r="Q166" i="4" s="1"/>
  <c r="AD182" i="4"/>
  <c r="AF182" i="4" s="1"/>
  <c r="AG182" i="4" s="1"/>
  <c r="AI182" i="4" s="1"/>
  <c r="H201" i="4"/>
  <c r="G201" i="4" s="1"/>
  <c r="Y203" i="4"/>
  <c r="Y204" i="4" s="1"/>
  <c r="P221" i="9"/>
  <c r="I246" i="4"/>
  <c r="I253" i="4" s="1"/>
  <c r="X46" i="9"/>
  <c r="V101" i="9"/>
  <c r="V105" i="9" s="1"/>
  <c r="X126" i="9"/>
  <c r="R181" i="9"/>
  <c r="M202" i="9"/>
  <c r="Y71" i="4"/>
  <c r="CE41" i="9"/>
  <c r="AM287" i="4"/>
  <c r="AM2" i="9"/>
  <c r="AM190" i="9" s="1"/>
  <c r="AU28" i="4"/>
  <c r="BG92" i="4"/>
  <c r="BG167" i="4"/>
  <c r="AW167" i="4"/>
  <c r="AW92" i="4"/>
  <c r="AI119" i="4"/>
  <c r="G137" i="4"/>
  <c r="G215" i="9"/>
  <c r="G214" i="9" s="1"/>
  <c r="K231" i="4"/>
  <c r="J221" i="4"/>
  <c r="J231" i="4" s="1"/>
  <c r="U265" i="4"/>
  <c r="K270" i="4"/>
  <c r="T245" i="9"/>
  <c r="S245" i="9" s="1"/>
  <c r="S242" i="9"/>
  <c r="S243" i="9" s="1"/>
  <c r="AB6" i="9"/>
  <c r="AC6" i="9" s="1"/>
  <c r="AC7" i="9" s="1"/>
  <c r="AD7" i="9"/>
  <c r="W55" i="9"/>
  <c r="W41" i="4"/>
  <c r="W43" i="4"/>
  <c r="V43" i="4" s="1"/>
  <c r="T104" i="9"/>
  <c r="W105" i="9"/>
  <c r="T102" i="9"/>
  <c r="S102" i="9" s="1"/>
  <c r="W106" i="9"/>
  <c r="W175" i="9"/>
  <c r="W174" i="9"/>
  <c r="W172" i="9"/>
  <c r="Y197" i="9"/>
  <c r="Y74" i="4" s="1"/>
  <c r="Z74" i="4"/>
  <c r="P202" i="9"/>
  <c r="T49" i="4"/>
  <c r="T122" i="4" s="1"/>
  <c r="T166" i="9"/>
  <c r="O242" i="9"/>
  <c r="O243" i="9" s="1"/>
  <c r="AT28" i="4"/>
  <c r="P92" i="4"/>
  <c r="AE167" i="4"/>
  <c r="G9" i="4"/>
  <c r="S9" i="4"/>
  <c r="AI9" i="4"/>
  <c r="BC9" i="4"/>
  <c r="M14" i="4"/>
  <c r="M277" i="4" s="1"/>
  <c r="E16" i="4"/>
  <c r="F28" i="4"/>
  <c r="V28" i="4"/>
  <c r="AY28" i="4"/>
  <c r="J49" i="4"/>
  <c r="BC92" i="4"/>
  <c r="T99" i="4"/>
  <c r="G119" i="4"/>
  <c r="AY119" i="4"/>
  <c r="S143" i="4"/>
  <c r="P137" i="4"/>
  <c r="I154" i="4"/>
  <c r="AZ144" i="4"/>
  <c r="Y159" i="4"/>
  <c r="K152" i="4"/>
  <c r="K154" i="4" s="1"/>
  <c r="U167" i="4"/>
  <c r="U183" i="4"/>
  <c r="U316" i="4" s="1"/>
  <c r="P200" i="4"/>
  <c r="AD217" i="4"/>
  <c r="AF217" i="4" s="1"/>
  <c r="AE217" i="4" s="1"/>
  <c r="AD227" i="4"/>
  <c r="AF227" i="4" s="1"/>
  <c r="AE227" i="4" s="1"/>
  <c r="AB227" i="4"/>
  <c r="BH227" i="4" s="1"/>
  <c r="Z244" i="4"/>
  <c r="Z312" i="4" s="1"/>
  <c r="Z314" i="4" s="1"/>
  <c r="M259" i="4"/>
  <c r="CD63" i="9"/>
  <c r="AJ250" i="4"/>
  <c r="AQ119" i="4"/>
  <c r="BE92" i="4"/>
  <c r="I92" i="4"/>
  <c r="Q28" i="4"/>
  <c r="W4" i="4"/>
  <c r="BM63" i="9" s="1"/>
  <c r="AK92" i="4"/>
  <c r="J9" i="4"/>
  <c r="BF9" i="4"/>
  <c r="N14" i="4"/>
  <c r="N277" i="4" s="1"/>
  <c r="M16" i="4"/>
  <c r="BF28" i="4"/>
  <c r="J58" i="4"/>
  <c r="Q109" i="4"/>
  <c r="P78" i="4"/>
  <c r="AG92" i="4"/>
  <c r="U108" i="4"/>
  <c r="N109" i="4"/>
  <c r="V119" i="4"/>
  <c r="Y121" i="4"/>
  <c r="P125" i="4"/>
  <c r="G126" i="4"/>
  <c r="J143" i="4"/>
  <c r="V159" i="4"/>
  <c r="V212" i="9"/>
  <c r="M137" i="4"/>
  <c r="G143" i="4"/>
  <c r="O154" i="4"/>
  <c r="U154" i="4"/>
  <c r="U165" i="4" s="1"/>
  <c r="V163" i="4" s="1"/>
  <c r="AQ144" i="4"/>
  <c r="K161" i="4"/>
  <c r="Y199" i="4"/>
  <c r="Y200" i="4" s="1"/>
  <c r="Z200" i="4"/>
  <c r="Z201" i="4" s="1"/>
  <c r="AB199" i="4"/>
  <c r="AC211" i="4"/>
  <c r="AB211" i="4" s="1"/>
  <c r="AB215" i="4"/>
  <c r="BH215" i="4" s="1"/>
  <c r="AD215" i="4"/>
  <c r="AF215" i="4" s="1"/>
  <c r="AD229" i="4"/>
  <c r="AF229" i="4" s="1"/>
  <c r="AE229" i="4" s="1"/>
  <c r="AB229" i="4"/>
  <c r="BH229" i="4" s="1"/>
  <c r="K312" i="4"/>
  <c r="K314" i="4" s="1"/>
  <c r="K246" i="4"/>
  <c r="J246" i="4" s="1"/>
  <c r="U263" i="4"/>
  <c r="I242" i="9"/>
  <c r="I243" i="9" s="1"/>
  <c r="I245" i="9"/>
  <c r="M242" i="9"/>
  <c r="M243" i="9" s="1"/>
  <c r="N245" i="9"/>
  <c r="M245" i="9" s="1"/>
  <c r="Q243" i="9"/>
  <c r="O196" i="9"/>
  <c r="O67" i="4" s="1"/>
  <c r="X164" i="9"/>
  <c r="X49" i="4"/>
  <c r="W176" i="9"/>
  <c r="J167" i="4"/>
  <c r="N119" i="4"/>
  <c r="Z4" i="4"/>
  <c r="Z272" i="4" s="1"/>
  <c r="Z245" i="4"/>
  <c r="Y245" i="4" s="1"/>
  <c r="D287" i="4"/>
  <c r="R9" i="4"/>
  <c r="AH9" i="4"/>
  <c r="I14" i="4"/>
  <c r="I277" i="4" s="1"/>
  <c r="Q14" i="4"/>
  <c r="Q277" i="4" s="1"/>
  <c r="K167" i="4"/>
  <c r="AM167" i="4"/>
  <c r="AV250" i="4"/>
  <c r="BA272" i="4"/>
  <c r="BA297" i="4"/>
  <c r="N9" i="4"/>
  <c r="AT9" i="4"/>
  <c r="O277" i="4"/>
  <c r="G24" i="4"/>
  <c r="K24" i="4"/>
  <c r="O24" i="4"/>
  <c r="S24" i="4"/>
  <c r="R26" i="4"/>
  <c r="N28" i="4"/>
  <c r="AI28" i="4"/>
  <c r="U32" i="4"/>
  <c r="M58" i="4"/>
  <c r="S34" i="4"/>
  <c r="S78" i="4"/>
  <c r="G78" i="4"/>
  <c r="Q99" i="4"/>
  <c r="Q81" i="4"/>
  <c r="P81" i="4" s="1"/>
  <c r="P11" i="4" s="1"/>
  <c r="M88" i="4"/>
  <c r="E92" i="4"/>
  <c r="AV92" i="4"/>
  <c r="M143" i="4"/>
  <c r="P143" i="4"/>
  <c r="AH144" i="4"/>
  <c r="L161" i="4"/>
  <c r="J159" i="4"/>
  <c r="M160" i="4"/>
  <c r="J183" i="4"/>
  <c r="J316" i="4" s="1"/>
  <c r="T231" i="4"/>
  <c r="S221" i="4"/>
  <c r="S231" i="4" s="1"/>
  <c r="R246" i="4"/>
  <c r="R251" i="4" s="1"/>
  <c r="R312" i="4"/>
  <c r="R314" i="4" s="1"/>
  <c r="I254" i="4"/>
  <c r="I255" i="4" s="1"/>
  <c r="AI242" i="9"/>
  <c r="AL273" i="4"/>
  <c r="J29" i="4"/>
  <c r="J238" i="9" s="1"/>
  <c r="J234" i="9" s="1"/>
  <c r="Y17" i="9"/>
  <c r="Y214" i="9" s="1"/>
  <c r="T103" i="9"/>
  <c r="AE144" i="4"/>
  <c r="J158" i="4"/>
  <c r="S158" i="4"/>
  <c r="X201" i="4"/>
  <c r="G203" i="4"/>
  <c r="G219" i="4" s="1"/>
  <c r="G317" i="4" s="1"/>
  <c r="Q265" i="4"/>
  <c r="L245" i="9"/>
  <c r="L242" i="9"/>
  <c r="L243" i="9" s="1"/>
  <c r="Q245" i="9"/>
  <c r="P245" i="9" s="1"/>
  <c r="P242" i="9"/>
  <c r="P243" i="9" s="1"/>
  <c r="X273" i="4"/>
  <c r="AA273" i="4" s="1"/>
  <c r="U245" i="9"/>
  <c r="U242" i="9"/>
  <c r="Z5" i="9"/>
  <c r="AB8" i="9"/>
  <c r="AD10" i="9"/>
  <c r="AG10" i="9" s="1"/>
  <c r="M239" i="9"/>
  <c r="M235" i="9" s="1"/>
  <c r="Z40" i="9"/>
  <c r="Z29" i="4"/>
  <c r="Z267" i="4" s="1"/>
  <c r="AH33" i="9"/>
  <c r="AK33" i="9" s="1"/>
  <c r="AN33" i="9" s="1"/>
  <c r="AQ33" i="9" s="1"/>
  <c r="AT33" i="9" s="1"/>
  <c r="AW33" i="9" s="1"/>
  <c r="AZ33" i="9" s="1"/>
  <c r="BC33" i="9" s="1"/>
  <c r="BF33" i="9" s="1"/>
  <c r="AB52" i="9"/>
  <c r="AB51" i="9" s="1"/>
  <c r="T54" i="9"/>
  <c r="T41" i="4"/>
  <c r="S41" i="4" s="1"/>
  <c r="X55" i="9"/>
  <c r="X41" i="4"/>
  <c r="Y41" i="4" s="1"/>
  <c r="CF62" i="9"/>
  <c r="CF63" i="9" s="1"/>
  <c r="W97" i="9"/>
  <c r="W352" i="4"/>
  <c r="W42" i="4"/>
  <c r="Z151" i="9"/>
  <c r="Z155" i="9" s="1"/>
  <c r="X176" i="9"/>
  <c r="S197" i="9"/>
  <c r="Y202" i="9"/>
  <c r="M12" i="9"/>
  <c r="M15" i="9" s="1"/>
  <c r="W58" i="9"/>
  <c r="W29" i="4"/>
  <c r="W108" i="4" s="1"/>
  <c r="Y25" i="9"/>
  <c r="Z25" i="9" s="1"/>
  <c r="U54" i="9"/>
  <c r="U41" i="4"/>
  <c r="X352" i="4"/>
  <c r="X42" i="4"/>
  <c r="Y42" i="4" s="1"/>
  <c r="I193" i="9"/>
  <c r="I196" i="9" s="1"/>
  <c r="Y144" i="9"/>
  <c r="Y129" i="9" s="1"/>
  <c r="U164" i="9"/>
  <c r="U58" i="4" s="1"/>
  <c r="U49" i="4"/>
  <c r="Z164" i="9"/>
  <c r="Z165" i="9" s="1"/>
  <c r="Z49" i="4"/>
  <c r="V70" i="4"/>
  <c r="J202" i="9"/>
  <c r="V202" i="9"/>
  <c r="V71" i="4"/>
  <c r="AC229" i="9"/>
  <c r="AC201" i="9" s="1"/>
  <c r="M165" i="9"/>
  <c r="Z352" i="4"/>
  <c r="G183" i="4"/>
  <c r="G316" i="4" s="1"/>
  <c r="J203" i="4"/>
  <c r="J301" i="4" s="1"/>
  <c r="M221" i="9"/>
  <c r="Y221" i="9"/>
  <c r="Y222" i="9" s="1"/>
  <c r="J242" i="9"/>
  <c r="J243" i="9" s="1"/>
  <c r="K245" i="9"/>
  <c r="J245" i="9" s="1"/>
  <c r="R245" i="9"/>
  <c r="R242" i="9"/>
  <c r="R243" i="9" s="1"/>
  <c r="AM273" i="4"/>
  <c r="AM242" i="9" s="1"/>
  <c r="AB283" i="4"/>
  <c r="T243" i="9"/>
  <c r="G12" i="9"/>
  <c r="G15" i="9" s="1"/>
  <c r="S12" i="9"/>
  <c r="P12" i="9"/>
  <c r="P15" i="9" s="1"/>
  <c r="Z12" i="9"/>
  <c r="Z15" i="9" s="1"/>
  <c r="U42" i="4"/>
  <c r="U352" i="4"/>
  <c r="T81" i="9"/>
  <c r="W88" i="9"/>
  <c r="W96" i="9"/>
  <c r="W98" i="9"/>
  <c r="Z105" i="9"/>
  <c r="Z43" i="4"/>
  <c r="X120" i="9"/>
  <c r="M197" i="9"/>
  <c r="Y70" i="4"/>
  <c r="G165" i="9"/>
  <c r="S58" i="4"/>
  <c r="P163" i="9"/>
  <c r="BL63" i="9"/>
  <c r="K196" i="9"/>
  <c r="AA70" i="4"/>
  <c r="AA34" i="4" s="1"/>
  <c r="AA33" i="4" s="1"/>
  <c r="Z46" i="9"/>
  <c r="N240" i="9"/>
  <c r="N236" i="9" s="1"/>
  <c r="N239" i="9"/>
  <c r="N235" i="9" s="1"/>
  <c r="N238" i="9"/>
  <c r="N234" i="9" s="1"/>
  <c r="R238" i="9"/>
  <c r="R234" i="9" s="1"/>
  <c r="R240" i="9"/>
  <c r="R236" i="9" s="1"/>
  <c r="R239" i="9"/>
  <c r="R235" i="9" s="1"/>
  <c r="K239" i="9"/>
  <c r="K235" i="9" s="1"/>
  <c r="K238" i="9"/>
  <c r="K234" i="9" s="1"/>
  <c r="K240" i="9"/>
  <c r="K236" i="9" s="1"/>
  <c r="O239" i="9"/>
  <c r="O235" i="9" s="1"/>
  <c r="O238" i="9"/>
  <c r="O234" i="9" s="1"/>
  <c r="O240" i="9"/>
  <c r="O236" i="9" s="1"/>
  <c r="L238" i="9"/>
  <c r="L234" i="9" s="1"/>
  <c r="L240" i="9"/>
  <c r="L236" i="9" s="1"/>
  <c r="L239" i="9"/>
  <c r="L235" i="9" s="1"/>
  <c r="P239" i="9"/>
  <c r="P235" i="9" s="1"/>
  <c r="P238" i="9"/>
  <c r="P234" i="9" s="1"/>
  <c r="P240" i="9"/>
  <c r="P236" i="9" s="1"/>
  <c r="T240" i="9"/>
  <c r="T236" i="9" s="1"/>
  <c r="T239" i="9"/>
  <c r="T235" i="9" s="1"/>
  <c r="T238" i="9"/>
  <c r="T234" i="9" s="1"/>
  <c r="I240" i="9"/>
  <c r="I236" i="9" s="1"/>
  <c r="I238" i="9"/>
  <c r="I234" i="9" s="1"/>
  <c r="I239" i="9"/>
  <c r="I235" i="9" s="1"/>
  <c r="M240" i="9"/>
  <c r="M236" i="9" s="1"/>
  <c r="M238" i="9"/>
  <c r="M234" i="9" s="1"/>
  <c r="Q240" i="9"/>
  <c r="Q236" i="9" s="1"/>
  <c r="Q238" i="9"/>
  <c r="Q234" i="9" s="1"/>
  <c r="Q239" i="9"/>
  <c r="Q235" i="9" s="1"/>
  <c r="U240" i="9"/>
  <c r="U236" i="9" s="1"/>
  <c r="U238" i="9"/>
  <c r="U234" i="9" s="1"/>
  <c r="U239" i="9"/>
  <c r="U235" i="9" s="1"/>
  <c r="AJ25" i="9"/>
  <c r="BB27" i="9"/>
  <c r="CE20" i="9"/>
  <c r="AM27" i="9"/>
  <c r="AJ33" i="9"/>
  <c r="M214" i="9"/>
  <c r="M211" i="9"/>
  <c r="M191" i="9"/>
  <c r="M150" i="9"/>
  <c r="M179" i="9" s="1"/>
  <c r="M193" i="9" s="1"/>
  <c r="T214" i="9"/>
  <c r="T211" i="9"/>
  <c r="T191" i="9"/>
  <c r="T165" i="9"/>
  <c r="T150" i="9"/>
  <c r="T179" i="9" s="1"/>
  <c r="T193" i="9" s="1"/>
  <c r="T109" i="9"/>
  <c r="T65" i="9"/>
  <c r="X214" i="9"/>
  <c r="X191" i="9"/>
  <c r="X142" i="9"/>
  <c r="X109" i="9"/>
  <c r="X65" i="9"/>
  <c r="X40" i="9"/>
  <c r="Y154" i="9"/>
  <c r="Y183" i="9" s="1"/>
  <c r="Y68" i="9"/>
  <c r="Y74" i="9" s="1"/>
  <c r="W38" i="9"/>
  <c r="R58" i="9"/>
  <c r="S59" i="9"/>
  <c r="U55" i="9"/>
  <c r="AD8" i="9"/>
  <c r="P214" i="9"/>
  <c r="P191" i="9"/>
  <c r="P150" i="9"/>
  <c r="P179" i="9" s="1"/>
  <c r="P193" i="9" s="1"/>
  <c r="U214" i="9"/>
  <c r="U191" i="9"/>
  <c r="U150" i="9"/>
  <c r="U142" i="9"/>
  <c r="U40" i="9"/>
  <c r="U65" i="9"/>
  <c r="V152" i="9"/>
  <c r="V66" i="9"/>
  <c r="V72" i="9" s="1"/>
  <c r="V25" i="9"/>
  <c r="W25" i="9" s="1"/>
  <c r="X38" i="9"/>
  <c r="W15" i="9"/>
  <c r="G211" i="9"/>
  <c r="G191" i="9"/>
  <c r="G150" i="9"/>
  <c r="G179" i="9" s="1"/>
  <c r="G193" i="9" s="1"/>
  <c r="R211" i="9"/>
  <c r="R191" i="9"/>
  <c r="V17" i="9"/>
  <c r="Z211" i="9"/>
  <c r="Z191" i="9"/>
  <c r="Z150" i="9"/>
  <c r="Z142" i="9"/>
  <c r="Z65" i="9"/>
  <c r="Z38" i="9"/>
  <c r="Y152" i="9"/>
  <c r="Y139" i="9"/>
  <c r="Y110" i="9"/>
  <c r="Y41" i="9"/>
  <c r="Y66" i="9"/>
  <c r="Y72" i="9" s="1"/>
  <c r="Y46" i="9"/>
  <c r="V153" i="9"/>
  <c r="V182" i="9" s="1"/>
  <c r="V67" i="9"/>
  <c r="V73" i="9" s="1"/>
  <c r="V111" i="9"/>
  <c r="V42" i="9"/>
  <c r="AB35" i="9"/>
  <c r="AC35" i="9"/>
  <c r="T38" i="9"/>
  <c r="Y59" i="9"/>
  <c r="Y48" i="9"/>
  <c r="Z93" i="9"/>
  <c r="T15" i="9"/>
  <c r="J211" i="9"/>
  <c r="J191" i="9"/>
  <c r="J150" i="9"/>
  <c r="J179" i="9" s="1"/>
  <c r="J193" i="9" s="1"/>
  <c r="S17" i="9"/>
  <c r="S29" i="4" s="1"/>
  <c r="S238" i="9" s="1"/>
  <c r="S234" i="9" s="1"/>
  <c r="W248" i="9"/>
  <c r="W214" i="9"/>
  <c r="W211" i="9"/>
  <c r="W191" i="9"/>
  <c r="W150" i="9"/>
  <c r="W142" i="9"/>
  <c r="W109" i="9"/>
  <c r="W65" i="9"/>
  <c r="W40" i="9"/>
  <c r="W93" i="9"/>
  <c r="Y153" i="9"/>
  <c r="Y182" i="9" s="1"/>
  <c r="Y111" i="9"/>
  <c r="Y67" i="9"/>
  <c r="Y73" i="9" s="1"/>
  <c r="V154" i="9"/>
  <c r="V183" i="9" s="1"/>
  <c r="V112" i="9"/>
  <c r="V68" i="9"/>
  <c r="V74" i="9" s="1"/>
  <c r="U38" i="9"/>
  <c r="V41" i="9"/>
  <c r="Y42" i="9"/>
  <c r="Z58" i="9"/>
  <c r="Z55" i="9"/>
  <c r="V61" i="9"/>
  <c r="V59" i="9"/>
  <c r="X97" i="9"/>
  <c r="X90" i="9"/>
  <c r="X98" i="9"/>
  <c r="X93" i="9"/>
  <c r="AE81" i="9"/>
  <c r="AF78" i="9"/>
  <c r="Y80" i="9"/>
  <c r="Y61" i="9"/>
  <c r="W54" i="9"/>
  <c r="T58" i="9"/>
  <c r="X58" i="9"/>
  <c r="U98" i="9"/>
  <c r="U93" i="9"/>
  <c r="U96" i="9"/>
  <c r="V80" i="9"/>
  <c r="Y77" i="9"/>
  <c r="AD77" i="9"/>
  <c r="AD96" i="9" s="1"/>
  <c r="Y78" i="9"/>
  <c r="V79" i="9"/>
  <c r="X88" i="9"/>
  <c r="V110" i="9"/>
  <c r="Y112" i="9"/>
  <c r="X54" i="9"/>
  <c r="U58" i="9"/>
  <c r="CG60" i="9"/>
  <c r="Z96" i="9"/>
  <c r="Z88" i="9"/>
  <c r="Z97" i="9"/>
  <c r="AC87" i="9"/>
  <c r="Z90" i="9"/>
  <c r="U105" i="9"/>
  <c r="U109" i="9"/>
  <c r="U106" i="9"/>
  <c r="U121" i="9"/>
  <c r="CD43" i="9"/>
  <c r="CE43" i="9" s="1"/>
  <c r="Y79" i="9"/>
  <c r="X96" i="9"/>
  <c r="U97" i="9"/>
  <c r="X106" i="9"/>
  <c r="Z124" i="9"/>
  <c r="Z126" i="9"/>
  <c r="Z125" i="9"/>
  <c r="Z120" i="9"/>
  <c r="Z121" i="9"/>
  <c r="AM126" i="9"/>
  <c r="AN124" i="9"/>
  <c r="AD126" i="9"/>
  <c r="AE125" i="9"/>
  <c r="AF125" i="9" s="1"/>
  <c r="AG125" i="9" s="1"/>
  <c r="X137" i="9"/>
  <c r="X138" i="9"/>
  <c r="V139" i="9"/>
  <c r="W126" i="9"/>
  <c r="W125" i="9"/>
  <c r="W120" i="9"/>
  <c r="W121" i="9"/>
  <c r="AM121" i="9"/>
  <c r="AN121" i="9" s="1"/>
  <c r="AB126" i="9"/>
  <c r="Z137" i="9"/>
  <c r="Z138" i="9"/>
  <c r="Y141" i="9"/>
  <c r="T87" i="9"/>
  <c r="W90" i="9"/>
  <c r="Z106" i="9"/>
  <c r="Z109" i="9"/>
  <c r="X121" i="9"/>
  <c r="X124" i="9"/>
  <c r="AI124" i="9"/>
  <c r="X125" i="9"/>
  <c r="U137" i="9"/>
  <c r="U138" i="9"/>
  <c r="V140" i="9"/>
  <c r="U124" i="9"/>
  <c r="U126" i="9"/>
  <c r="U125" i="9"/>
  <c r="U120" i="9"/>
  <c r="W124" i="9"/>
  <c r="W137" i="9"/>
  <c r="W138" i="9"/>
  <c r="Y140" i="9"/>
  <c r="X181" i="9"/>
  <c r="X151" i="9"/>
  <c r="X159" i="9"/>
  <c r="Y130" i="9"/>
  <c r="V141" i="9"/>
  <c r="V130" i="9"/>
  <c r="T132" i="9"/>
  <c r="S132" i="9" s="1"/>
  <c r="AG163" i="9"/>
  <c r="AF124" i="9"/>
  <c r="T133" i="9"/>
  <c r="S133" i="9" s="1"/>
  <c r="U151" i="9"/>
  <c r="W181" i="9"/>
  <c r="W151" i="9"/>
  <c r="W159" i="9"/>
  <c r="H163" i="9"/>
  <c r="L163" i="9"/>
  <c r="T163" i="9"/>
  <c r="AD165" i="9"/>
  <c r="Q163" i="9"/>
  <c r="U163" i="9"/>
  <c r="F166" i="9"/>
  <c r="F196" i="9" s="1"/>
  <c r="N166" i="9"/>
  <c r="N196" i="9" s="1"/>
  <c r="U192" i="9"/>
  <c r="U188" i="9"/>
  <c r="U180" i="9"/>
  <c r="BN157" i="9"/>
  <c r="U159" i="9"/>
  <c r="V162" i="9"/>
  <c r="R163" i="9"/>
  <c r="R165" i="9"/>
  <c r="W164" i="9"/>
  <c r="U176" i="9"/>
  <c r="U175" i="9"/>
  <c r="U174" i="9"/>
  <c r="U172" i="9"/>
  <c r="Y168" i="9"/>
  <c r="Y172" i="9" s="1"/>
  <c r="Z192" i="9"/>
  <c r="Z180" i="9"/>
  <c r="Z188" i="9"/>
  <c r="BK158" i="9"/>
  <c r="Z159" i="9"/>
  <c r="K163" i="9"/>
  <c r="O163" i="9"/>
  <c r="Z176" i="9"/>
  <c r="Z175" i="9"/>
  <c r="Z174" i="9"/>
  <c r="X175" i="9"/>
  <c r="U211" i="9"/>
  <c r="G202" i="9"/>
  <c r="S202" i="9"/>
  <c r="AP214" i="9"/>
  <c r="AQ214" i="9" s="1"/>
  <c r="AR214" i="9" s="1"/>
  <c r="AS214" i="9" s="1"/>
  <c r="AT214" i="9" s="1"/>
  <c r="AU214" i="9" s="1"/>
  <c r="AV214" i="9" s="1"/>
  <c r="AW214" i="9" s="1"/>
  <c r="AX214" i="9" s="1"/>
  <c r="AY214" i="9" s="1"/>
  <c r="AZ214" i="9" s="1"/>
  <c r="BA214" i="9" s="1"/>
  <c r="BB214" i="9" s="1"/>
  <c r="BC214" i="9" s="1"/>
  <c r="BD214" i="9" s="1"/>
  <c r="BE214" i="9" s="1"/>
  <c r="BF214" i="9" s="1"/>
  <c r="BG214" i="9" s="1"/>
  <c r="AO214" i="9"/>
  <c r="X211" i="9"/>
  <c r="W218" i="9"/>
  <c r="W219" i="9" s="1"/>
  <c r="U218" i="9"/>
  <c r="U219" i="9" s="1"/>
  <c r="P211" i="9"/>
  <c r="J214" i="9"/>
  <c r="R214" i="9"/>
  <c r="Z214" i="9"/>
  <c r="Z218" i="9"/>
  <c r="Z219" i="9" s="1"/>
  <c r="X218" i="9"/>
  <c r="X219" i="9" s="1"/>
  <c r="U222" i="9"/>
  <c r="AF229" i="9"/>
  <c r="AF201" i="9" s="1"/>
  <c r="AI226" i="9"/>
  <c r="Z248" i="9"/>
  <c r="X222" i="9"/>
  <c r="X248" i="9"/>
  <c r="U248" i="9"/>
  <c r="G14" i="4"/>
  <c r="G277" i="4" s="1"/>
  <c r="G16" i="4"/>
  <c r="S16" i="4"/>
  <c r="S26" i="4"/>
  <c r="S14" i="4"/>
  <c r="S277" i="4" s="1"/>
  <c r="H278" i="4"/>
  <c r="H250" i="4"/>
  <c r="H167" i="4"/>
  <c r="H28" i="4"/>
  <c r="H297" i="4"/>
  <c r="H92" i="4"/>
  <c r="H272" i="4"/>
  <c r="H9" i="4"/>
  <c r="H119" i="4"/>
  <c r="L278" i="4"/>
  <c r="L297" i="4"/>
  <c r="L272" i="4"/>
  <c r="L167" i="4"/>
  <c r="L28" i="4"/>
  <c r="L250" i="4"/>
  <c r="L119" i="4"/>
  <c r="L92" i="4"/>
  <c r="L9" i="4"/>
  <c r="AB278" i="4"/>
  <c r="AB297" i="4"/>
  <c r="AB272" i="4"/>
  <c r="AB167" i="4"/>
  <c r="AB28" i="4"/>
  <c r="AB250" i="4"/>
  <c r="AB92" i="4"/>
  <c r="AB9" i="4"/>
  <c r="AB119" i="4"/>
  <c r="AN278" i="4"/>
  <c r="AN250" i="4"/>
  <c r="AN167" i="4"/>
  <c r="AN297" i="4"/>
  <c r="AN28" i="4"/>
  <c r="AN272" i="4"/>
  <c r="AN119" i="4"/>
  <c r="AN92" i="4"/>
  <c r="AN9" i="4"/>
  <c r="L7" i="4"/>
  <c r="M7" i="4" s="1"/>
  <c r="K7" i="4"/>
  <c r="M250" i="4"/>
  <c r="M119" i="4"/>
  <c r="M278" i="4"/>
  <c r="M272" i="4"/>
  <c r="M9" i="4"/>
  <c r="M297" i="4"/>
  <c r="M167" i="4"/>
  <c r="M92" i="4"/>
  <c r="M28" i="4"/>
  <c r="Y278" i="4"/>
  <c r="Y119" i="4"/>
  <c r="Y250" i="4"/>
  <c r="Y167" i="4"/>
  <c r="Y9" i="4"/>
  <c r="Y272" i="4"/>
  <c r="Y297" i="4"/>
  <c r="AO119" i="4"/>
  <c r="AO278" i="4"/>
  <c r="AO272" i="4"/>
  <c r="AO167" i="4"/>
  <c r="AO9" i="4"/>
  <c r="AO250" i="4"/>
  <c r="AO297" i="4"/>
  <c r="AZ278" i="4"/>
  <c r="AZ297" i="4"/>
  <c r="AZ167" i="4"/>
  <c r="AZ119" i="4"/>
  <c r="AZ28" i="4"/>
  <c r="AZ250" i="4"/>
  <c r="AZ272" i="4"/>
  <c r="R267" i="4"/>
  <c r="R265" i="4"/>
  <c r="R263" i="4"/>
  <c r="R259" i="4"/>
  <c r="R260" i="4"/>
  <c r="R111" i="4"/>
  <c r="R268" i="4"/>
  <c r="R262" i="4"/>
  <c r="R117" i="4"/>
  <c r="R94" i="4"/>
  <c r="R261" i="4"/>
  <c r="V305" i="4"/>
  <c r="F283" i="4"/>
  <c r="F284" i="4" s="1"/>
  <c r="F22" i="4" s="1"/>
  <c r="F81" i="4"/>
  <c r="F11" i="4" s="1"/>
  <c r="L81" i="4"/>
  <c r="L11" i="4" s="1"/>
  <c r="AO92" i="4"/>
  <c r="Q94" i="4"/>
  <c r="E122" i="4"/>
  <c r="P183" i="4"/>
  <c r="P316" i="4" s="1"/>
  <c r="I250" i="4"/>
  <c r="J14" i="4"/>
  <c r="J277" i="4" s="1"/>
  <c r="I26" i="4"/>
  <c r="AK28" i="4"/>
  <c r="BA28" i="4"/>
  <c r="K260" i="4"/>
  <c r="K266" i="4"/>
  <c r="K262" i="4"/>
  <c r="K108" i="4"/>
  <c r="K263" i="4"/>
  <c r="K259" i="4"/>
  <c r="K267" i="4"/>
  <c r="K265" i="4"/>
  <c r="I117" i="4"/>
  <c r="K33" i="4"/>
  <c r="K39" i="4" s="1"/>
  <c r="AT38" i="4"/>
  <c r="J43" i="4"/>
  <c r="AZ65" i="4"/>
  <c r="H270" i="4"/>
  <c r="H106" i="4"/>
  <c r="G79" i="4"/>
  <c r="H99" i="4"/>
  <c r="M79" i="4"/>
  <c r="T152" i="4"/>
  <c r="T154" i="4" s="1"/>
  <c r="T165" i="4" s="1"/>
  <c r="S144" i="4"/>
  <c r="S152" i="4" s="1"/>
  <c r="O316" i="4"/>
  <c r="O201" i="4"/>
  <c r="L327" i="4"/>
  <c r="L254" i="4"/>
  <c r="W231" i="4"/>
  <c r="O231" i="4"/>
  <c r="AG297" i="4"/>
  <c r="AG278" i="4"/>
  <c r="AG272" i="4"/>
  <c r="AG119" i="4"/>
  <c r="AG9" i="4"/>
  <c r="AG250" i="4"/>
  <c r="AG167" i="4"/>
  <c r="BC297" i="4"/>
  <c r="BC272" i="4"/>
  <c r="BC250" i="4"/>
  <c r="BC278" i="4"/>
  <c r="BC119" i="4"/>
  <c r="J26" i="4"/>
  <c r="K28" i="4"/>
  <c r="AG28" i="4"/>
  <c r="H265" i="4"/>
  <c r="H263" i="4"/>
  <c r="H260" i="4"/>
  <c r="H108" i="4"/>
  <c r="H267" i="4"/>
  <c r="H32" i="4"/>
  <c r="H262" i="4"/>
  <c r="H259" i="4"/>
  <c r="T268" i="4"/>
  <c r="T261" i="4"/>
  <c r="T262" i="4"/>
  <c r="T259" i="4"/>
  <c r="T108" i="4"/>
  <c r="T263" i="4"/>
  <c r="T32" i="4"/>
  <c r="T267" i="4"/>
  <c r="T260" i="4"/>
  <c r="T265" i="4"/>
  <c r="T94" i="4"/>
  <c r="H30" i="4"/>
  <c r="J34" i="4"/>
  <c r="I74" i="4"/>
  <c r="Q74" i="4"/>
  <c r="AQ35" i="4"/>
  <c r="S36" i="4"/>
  <c r="AN36" i="4"/>
  <c r="AK37" i="4"/>
  <c r="AH38" i="4"/>
  <c r="G41" i="4"/>
  <c r="S43" i="4"/>
  <c r="P44" i="4"/>
  <c r="G49" i="4"/>
  <c r="P49" i="4"/>
  <c r="I270" i="4"/>
  <c r="I81" i="4"/>
  <c r="I11" i="4" s="1"/>
  <c r="J79" i="4"/>
  <c r="H81" i="4"/>
  <c r="H11" i="4" s="1"/>
  <c r="AE92" i="4"/>
  <c r="AZ92" i="4"/>
  <c r="U94" i="4"/>
  <c r="R108" i="4"/>
  <c r="T109" i="4"/>
  <c r="G144" i="4"/>
  <c r="G152" i="4" s="1"/>
  <c r="L154" i="4"/>
  <c r="P144" i="4"/>
  <c r="P152" i="4" s="1"/>
  <c r="BF144" i="4"/>
  <c r="Y177" i="4"/>
  <c r="Y183" i="4" s="1"/>
  <c r="Y316" i="4" s="1"/>
  <c r="AD197" i="4"/>
  <c r="AF197" i="4"/>
  <c r="L261" i="4"/>
  <c r="L219" i="4"/>
  <c r="L125" i="4"/>
  <c r="M125" i="4" s="1"/>
  <c r="M268" i="4"/>
  <c r="U301" i="4"/>
  <c r="U219" i="4"/>
  <c r="U125" i="4"/>
  <c r="U261" i="4"/>
  <c r="U268" i="4"/>
  <c r="H327" i="4"/>
  <c r="H251" i="4"/>
  <c r="H252" i="4"/>
  <c r="H254" i="4"/>
  <c r="Q327" i="4"/>
  <c r="Q254" i="4"/>
  <c r="Q219" i="4"/>
  <c r="I297" i="4"/>
  <c r="I119" i="4"/>
  <c r="I167" i="4"/>
  <c r="I9" i="4"/>
  <c r="I278" i="4"/>
  <c r="I272" i="4"/>
  <c r="O297" i="4"/>
  <c r="O278" i="4"/>
  <c r="O250" i="4"/>
  <c r="O119" i="4"/>
  <c r="O272" i="4"/>
  <c r="O167" i="4"/>
  <c r="T278" i="4"/>
  <c r="T167" i="4"/>
  <c r="T297" i="4"/>
  <c r="T272" i="4"/>
  <c r="T119" i="4"/>
  <c r="T28" i="4"/>
  <c r="T250" i="4"/>
  <c r="AE297" i="4"/>
  <c r="AE278" i="4"/>
  <c r="AE250" i="4"/>
  <c r="AE119" i="4"/>
  <c r="AE272" i="4"/>
  <c r="AJ278" i="4"/>
  <c r="AJ167" i="4"/>
  <c r="AJ119" i="4"/>
  <c r="AJ28" i="4"/>
  <c r="AJ297" i="4"/>
  <c r="AJ272" i="4"/>
  <c r="AU297" i="4"/>
  <c r="AU278" i="4"/>
  <c r="AU250" i="4"/>
  <c r="AU119" i="4"/>
  <c r="AU272" i="4"/>
  <c r="BE272" i="4"/>
  <c r="BE119" i="4"/>
  <c r="BE297" i="4"/>
  <c r="BE167" i="4"/>
  <c r="BE9" i="4"/>
  <c r="BE278" i="4"/>
  <c r="BE250" i="4"/>
  <c r="I28" i="4"/>
  <c r="Y28" i="4"/>
  <c r="AO28" i="4"/>
  <c r="BE28" i="4"/>
  <c r="F267" i="4"/>
  <c r="F265" i="4"/>
  <c r="F263" i="4"/>
  <c r="F259" i="4"/>
  <c r="F260" i="4"/>
  <c r="F108" i="4"/>
  <c r="F262" i="4"/>
  <c r="F266" i="4"/>
  <c r="I94" i="4"/>
  <c r="N267" i="4"/>
  <c r="N265" i="4"/>
  <c r="N263" i="4"/>
  <c r="N259" i="4"/>
  <c r="N260" i="4"/>
  <c r="N94" i="4"/>
  <c r="N261" i="4"/>
  <c r="N262" i="4"/>
  <c r="N268" i="4"/>
  <c r="F32" i="4"/>
  <c r="N122" i="4"/>
  <c r="M49" i="4"/>
  <c r="F34" i="4"/>
  <c r="F33" i="4" s="1"/>
  <c r="F307" i="4" s="1"/>
  <c r="G70" i="4"/>
  <c r="O74" i="4"/>
  <c r="L270" i="4"/>
  <c r="O99" i="4"/>
  <c r="T92" i="4"/>
  <c r="L99" i="4"/>
  <c r="F106" i="4"/>
  <c r="N108" i="4"/>
  <c r="G158" i="4"/>
  <c r="H161" i="4"/>
  <c r="T327" i="4"/>
  <c r="T219" i="4"/>
  <c r="T254" i="4"/>
  <c r="S210" i="4"/>
  <c r="AC225" i="4"/>
  <c r="AB238" i="4"/>
  <c r="BH238" i="4" s="1"/>
  <c r="AC241" i="4"/>
  <c r="F270" i="4"/>
  <c r="E278" i="4"/>
  <c r="E119" i="4"/>
  <c r="E272" i="4"/>
  <c r="E9" i="4"/>
  <c r="E250" i="4"/>
  <c r="E297" i="4"/>
  <c r="E167" i="4"/>
  <c r="K297" i="4"/>
  <c r="K250" i="4"/>
  <c r="K278" i="4"/>
  <c r="K272" i="4"/>
  <c r="K119" i="4"/>
  <c r="P278" i="4"/>
  <c r="P297" i="4"/>
  <c r="P167" i="4"/>
  <c r="P28" i="4"/>
  <c r="P272" i="4"/>
  <c r="P250" i="4"/>
  <c r="U278" i="4"/>
  <c r="U119" i="4"/>
  <c r="U9" i="4"/>
  <c r="U250" i="4"/>
  <c r="U272" i="4"/>
  <c r="U297" i="4"/>
  <c r="AF278" i="4"/>
  <c r="AF167" i="4"/>
  <c r="AF250" i="4"/>
  <c r="AF28" i="4"/>
  <c r="AF272" i="4"/>
  <c r="AF297" i="4"/>
  <c r="AF119" i="4"/>
  <c r="AK278" i="4"/>
  <c r="AK297" i="4"/>
  <c r="AK119" i="4"/>
  <c r="AK9" i="4"/>
  <c r="AK272" i="4"/>
  <c r="AK250" i="4"/>
  <c r="AK167" i="4"/>
  <c r="AQ297" i="4"/>
  <c r="AQ250" i="4"/>
  <c r="AQ272" i="4"/>
  <c r="AQ278" i="4"/>
  <c r="AQ167" i="4"/>
  <c r="AV278" i="4"/>
  <c r="AV167" i="4"/>
  <c r="AV297" i="4"/>
  <c r="AV272" i="4"/>
  <c r="AV28" i="4"/>
  <c r="AV119" i="4"/>
  <c r="BA278" i="4"/>
  <c r="BA119" i="4"/>
  <c r="BA250" i="4"/>
  <c r="BA9" i="4"/>
  <c r="BA167" i="4"/>
  <c r="BG297" i="4"/>
  <c r="BG272" i="4"/>
  <c r="BG250" i="4"/>
  <c r="BG278" i="4"/>
  <c r="L10" i="4"/>
  <c r="N26" i="4"/>
  <c r="E28" i="4"/>
  <c r="O28" i="4"/>
  <c r="U28" i="4"/>
  <c r="AE28" i="4"/>
  <c r="G117" i="4"/>
  <c r="G111" i="4"/>
  <c r="G259" i="4"/>
  <c r="I111" i="4"/>
  <c r="G262" i="4"/>
  <c r="O260" i="4"/>
  <c r="O262" i="4"/>
  <c r="O259" i="4"/>
  <c r="O267" i="4"/>
  <c r="O261" i="4"/>
  <c r="O111" i="4"/>
  <c r="O265" i="4"/>
  <c r="O268" i="4"/>
  <c r="O263" i="4"/>
  <c r="O266" i="4"/>
  <c r="O94" i="4"/>
  <c r="R30" i="4"/>
  <c r="R32" i="4"/>
  <c r="Y34" i="4"/>
  <c r="G35" i="4"/>
  <c r="BC35" i="4"/>
  <c r="AZ36" i="4"/>
  <c r="AW37" i="4"/>
  <c r="W109" i="4"/>
  <c r="M78" i="4"/>
  <c r="Q270" i="4"/>
  <c r="Q106" i="4"/>
  <c r="O92" i="4"/>
  <c r="U92" i="4"/>
  <c r="AJ92" i="4"/>
  <c r="AQ92" i="4"/>
  <c r="O108" i="4"/>
  <c r="W143" i="4"/>
  <c r="X138" i="4"/>
  <c r="AU167" i="4"/>
  <c r="U327" i="4"/>
  <c r="U254" i="4"/>
  <c r="G297" i="4"/>
  <c r="G250" i="4"/>
  <c r="G272" i="4"/>
  <c r="G278" i="4"/>
  <c r="G167" i="4"/>
  <c r="Q297" i="4"/>
  <c r="Q272" i="4"/>
  <c r="Q119" i="4"/>
  <c r="Q250" i="4"/>
  <c r="Q9" i="4"/>
  <c r="Q278" i="4"/>
  <c r="Q167" i="4"/>
  <c r="AM297" i="4"/>
  <c r="AM250" i="4"/>
  <c r="AM278" i="4"/>
  <c r="AM272" i="4"/>
  <c r="AM119" i="4"/>
  <c r="AR4" i="4"/>
  <c r="AW297" i="4"/>
  <c r="AW272" i="4"/>
  <c r="AW119" i="4"/>
  <c r="AW9" i="4"/>
  <c r="AW278" i="4"/>
  <c r="AW250" i="4"/>
  <c r="H7" i="4"/>
  <c r="O9" i="4"/>
  <c r="T9" i="4"/>
  <c r="AE9" i="4"/>
  <c r="AJ9" i="4"/>
  <c r="AU9" i="4"/>
  <c r="AZ9" i="4"/>
  <c r="Q10" i="4"/>
  <c r="F14" i="4"/>
  <c r="F277" i="4" s="1"/>
  <c r="K14" i="4"/>
  <c r="K277" i="4" s="1"/>
  <c r="O26" i="4"/>
  <c r="AQ28" i="4"/>
  <c r="AW28" i="4"/>
  <c r="BG28" i="4"/>
  <c r="L267" i="4"/>
  <c r="L108" i="4"/>
  <c r="L263" i="4"/>
  <c r="L259" i="4"/>
  <c r="L32" i="4"/>
  <c r="M32" i="4" s="1"/>
  <c r="L260" i="4"/>
  <c r="L262" i="4"/>
  <c r="L117" i="4"/>
  <c r="P108" i="4"/>
  <c r="P265" i="4"/>
  <c r="P262" i="4"/>
  <c r="P259" i="4"/>
  <c r="P111" i="4"/>
  <c r="N30" i="4"/>
  <c r="L33" i="4"/>
  <c r="L307" i="4" s="1"/>
  <c r="E33" i="4"/>
  <c r="M35" i="4"/>
  <c r="S297" i="4"/>
  <c r="S250" i="4"/>
  <c r="S167" i="4"/>
  <c r="S278" i="4"/>
  <c r="S272" i="4"/>
  <c r="S119" i="4"/>
  <c r="S92" i="4"/>
  <c r="X4" i="4"/>
  <c r="AC4" i="4"/>
  <c r="AI297" i="4"/>
  <c r="AI250" i="4"/>
  <c r="AI272" i="4"/>
  <c r="AI167" i="4"/>
  <c r="AI278" i="4"/>
  <c r="AI92" i="4"/>
  <c r="AS4" i="4"/>
  <c r="AY297" i="4"/>
  <c r="AY272" i="4"/>
  <c r="AY250" i="4"/>
  <c r="AY167" i="4"/>
  <c r="AY278" i="4"/>
  <c r="AY92" i="4"/>
  <c r="BD4" i="4"/>
  <c r="F297" i="4"/>
  <c r="F272" i="4"/>
  <c r="F92" i="4"/>
  <c r="F250" i="4"/>
  <c r="F278" i="4"/>
  <c r="F167" i="4"/>
  <c r="F119" i="4"/>
  <c r="J278" i="4"/>
  <c r="J272" i="4"/>
  <c r="J297" i="4"/>
  <c r="J250" i="4"/>
  <c r="J119" i="4"/>
  <c r="J92" i="4"/>
  <c r="N272" i="4"/>
  <c r="N167" i="4"/>
  <c r="N92" i="4"/>
  <c r="N250" i="4"/>
  <c r="N278" i="4"/>
  <c r="N297" i="4"/>
  <c r="R272" i="4"/>
  <c r="R278" i="4"/>
  <c r="R250" i="4"/>
  <c r="R92" i="4"/>
  <c r="R297" i="4"/>
  <c r="R119" i="4"/>
  <c r="V297" i="4"/>
  <c r="V272" i="4"/>
  <c r="V278" i="4"/>
  <c r="V92" i="4"/>
  <c r="V250" i="4"/>
  <c r="V167" i="4"/>
  <c r="AD4" i="4"/>
  <c r="AH272" i="4"/>
  <c r="AH250" i="4"/>
  <c r="AH92" i="4"/>
  <c r="AH278" i="4"/>
  <c r="AH297" i="4"/>
  <c r="AH167" i="4"/>
  <c r="AH119" i="4"/>
  <c r="AL4" i="4"/>
  <c r="AP4" i="4"/>
  <c r="AT272" i="4"/>
  <c r="AT278" i="4"/>
  <c r="AT250" i="4"/>
  <c r="AT167" i="4"/>
  <c r="AT92" i="4"/>
  <c r="AT297" i="4"/>
  <c r="AT119" i="4"/>
  <c r="AX4" i="4"/>
  <c r="BB4" i="4"/>
  <c r="BF278" i="4"/>
  <c r="BF297" i="4"/>
  <c r="BF272" i="4"/>
  <c r="BF119" i="4"/>
  <c r="BF92" i="4"/>
  <c r="BF250" i="4"/>
  <c r="BF167" i="4"/>
  <c r="F9" i="4"/>
  <c r="K9" i="4"/>
  <c r="P9" i="4"/>
  <c r="V9" i="4"/>
  <c r="AF9" i="4"/>
  <c r="AQ9" i="4"/>
  <c r="AV9" i="4"/>
  <c r="BG9" i="4"/>
  <c r="H26" i="4"/>
  <c r="H14" i="4"/>
  <c r="H277" i="4" s="1"/>
  <c r="L26" i="4"/>
  <c r="L14" i="4"/>
  <c r="L277" i="4" s="1"/>
  <c r="P26" i="4"/>
  <c r="P14" i="4"/>
  <c r="P277" i="4" s="1"/>
  <c r="T26" i="4"/>
  <c r="T14" i="4"/>
  <c r="R14" i="4"/>
  <c r="R277" i="4" s="1"/>
  <c r="O16" i="4"/>
  <c r="T16" i="4"/>
  <c r="K26" i="4"/>
  <c r="Q26" i="4"/>
  <c r="G28" i="4"/>
  <c r="R28" i="4"/>
  <c r="AH28" i="4"/>
  <c r="AM28" i="4"/>
  <c r="BC28" i="4"/>
  <c r="O30" i="4"/>
  <c r="T30" i="4"/>
  <c r="O32" i="4"/>
  <c r="Q34" i="4"/>
  <c r="V34" i="4"/>
  <c r="E74" i="4"/>
  <c r="J35" i="4"/>
  <c r="R74" i="4"/>
  <c r="AE35" i="4"/>
  <c r="AB36" i="4"/>
  <c r="Y37" i="4"/>
  <c r="V38" i="4"/>
  <c r="G43" i="4"/>
  <c r="AN65" i="4"/>
  <c r="Q69" i="4"/>
  <c r="X69" i="4"/>
  <c r="Y69" i="4" s="1"/>
  <c r="J70" i="4"/>
  <c r="N34" i="4"/>
  <c r="N69" i="4"/>
  <c r="S70" i="4"/>
  <c r="W69" i="4"/>
  <c r="T74" i="4"/>
  <c r="T270" i="4"/>
  <c r="S79" i="4"/>
  <c r="T81" i="4"/>
  <c r="K92" i="4"/>
  <c r="Q92" i="4"/>
  <c r="Y92" i="4"/>
  <c r="AF92" i="4"/>
  <c r="AM92" i="4"/>
  <c r="AU92" i="4"/>
  <c r="BA92" i="4"/>
  <c r="H94" i="4"/>
  <c r="P94" i="4"/>
  <c r="I99" i="4"/>
  <c r="N106" i="4"/>
  <c r="O117" i="4"/>
  <c r="P119" i="4"/>
  <c r="BG119" i="4"/>
  <c r="Q122" i="4"/>
  <c r="V152" i="4"/>
  <c r="F161" i="4"/>
  <c r="P158" i="4"/>
  <c r="U161" i="4"/>
  <c r="Y158" i="4"/>
  <c r="R167" i="4"/>
  <c r="BC167" i="4"/>
  <c r="F316" i="4"/>
  <c r="V200" i="4"/>
  <c r="H301" i="4"/>
  <c r="H261" i="4"/>
  <c r="K268" i="4"/>
  <c r="H219" i="4"/>
  <c r="K125" i="4"/>
  <c r="I268" i="4"/>
  <c r="I125" i="4"/>
  <c r="H125" i="4"/>
  <c r="W125" i="4"/>
  <c r="W301" i="4"/>
  <c r="V203" i="4"/>
  <c r="V301" i="4" s="1"/>
  <c r="Z125" i="4"/>
  <c r="Z327" i="4"/>
  <c r="Y210" i="4"/>
  <c r="L246" i="4"/>
  <c r="L253" i="4" s="1"/>
  <c r="L312" i="4"/>
  <c r="L314" i="4" s="1"/>
  <c r="I122" i="4"/>
  <c r="I55" i="4"/>
  <c r="AB65" i="4"/>
  <c r="K69" i="4"/>
  <c r="O69" i="4"/>
  <c r="M71" i="4"/>
  <c r="N99" i="4"/>
  <c r="N81" i="4"/>
  <c r="N270" i="4"/>
  <c r="R99" i="4"/>
  <c r="R106" i="4"/>
  <c r="R81" i="4"/>
  <c r="R11" i="4" s="1"/>
  <c r="R270" i="4"/>
  <c r="S88" i="4"/>
  <c r="S125" i="4"/>
  <c r="R154" i="4"/>
  <c r="W161" i="4"/>
  <c r="T161" i="4"/>
  <c r="M260" i="4"/>
  <c r="M301" i="4"/>
  <c r="M264" i="4"/>
  <c r="M266" i="4" s="1"/>
  <c r="Y264" i="4"/>
  <c r="M183" i="4"/>
  <c r="M316" i="4" s="1"/>
  <c r="R316" i="4"/>
  <c r="R318" i="4" s="1"/>
  <c r="R201" i="4"/>
  <c r="J200" i="4"/>
  <c r="S320" i="4"/>
  <c r="S200" i="4"/>
  <c r="AD198" i="4"/>
  <c r="G200" i="4"/>
  <c r="E301" i="4"/>
  <c r="H268" i="4"/>
  <c r="F268" i="4"/>
  <c r="E219" i="4"/>
  <c r="P268" i="4"/>
  <c r="P261" i="4"/>
  <c r="P219" i="4"/>
  <c r="P317" i="4" s="1"/>
  <c r="G263" i="4"/>
  <c r="AG226" i="4"/>
  <c r="AI226" i="4" s="1"/>
  <c r="U312" i="4"/>
  <c r="U314" i="4" s="1"/>
  <c r="U246" i="4"/>
  <c r="U253" i="4" s="1"/>
  <c r="J238" i="4"/>
  <c r="J244" i="4" s="1"/>
  <c r="J312" i="4" s="1"/>
  <c r="J314" i="4" s="1"/>
  <c r="V238" i="4"/>
  <c r="V244" i="4" s="1"/>
  <c r="S159" i="4"/>
  <c r="AE198" i="4"/>
  <c r="AI198" i="4"/>
  <c r="K254" i="4"/>
  <c r="K327" i="4"/>
  <c r="J210" i="4"/>
  <c r="K219" i="4"/>
  <c r="O254" i="4"/>
  <c r="O219" i="4"/>
  <c r="O327" i="4"/>
  <c r="AB214" i="4"/>
  <c r="BH214" i="4" s="1"/>
  <c r="Q312" i="4"/>
  <c r="Q314" i="4" s="1"/>
  <c r="Q246" i="4"/>
  <c r="P246" i="4" s="1"/>
  <c r="P301" i="4"/>
  <c r="K316" i="4"/>
  <c r="K201" i="4"/>
  <c r="M200" i="4"/>
  <c r="AF185" i="4"/>
  <c r="F261" i="4"/>
  <c r="F125" i="4"/>
  <c r="F219" i="4"/>
  <c r="H231" i="4"/>
  <c r="H253" i="4"/>
  <c r="G221" i="4"/>
  <c r="G327" i="4" s="1"/>
  <c r="T312" i="4"/>
  <c r="T314" i="4" s="1"/>
  <c r="T246" i="4"/>
  <c r="S246" i="4" s="1"/>
  <c r="F246" i="4"/>
  <c r="F253" i="4" s="1"/>
  <c r="F312" i="4"/>
  <c r="F314" i="4" s="1"/>
  <c r="N266" i="4"/>
  <c r="S264" i="4"/>
  <c r="W280" i="4"/>
  <c r="V285" i="4"/>
  <c r="V280" i="4" s="1"/>
  <c r="M221" i="4"/>
  <c r="R254" i="4"/>
  <c r="R231" i="4"/>
  <c r="R232" i="4" s="1"/>
  <c r="V231" i="4"/>
  <c r="Y221" i="4"/>
  <c r="P263" i="4"/>
  <c r="N231" i="4"/>
  <c r="N232" i="4" s="1"/>
  <c r="M232" i="4" s="1"/>
  <c r="N254" i="4"/>
  <c r="P267" i="4"/>
  <c r="S301" i="4"/>
  <c r="T266" i="4"/>
  <c r="E277" i="4"/>
  <c r="F231" i="4"/>
  <c r="F327" i="4"/>
  <c r="AC221" i="4"/>
  <c r="AD222" i="4"/>
  <c r="AC224" i="4"/>
  <c r="AC126" i="4" s="1"/>
  <c r="E246" i="4"/>
  <c r="H312" i="4"/>
  <c r="H314" i="4" s="1"/>
  <c r="AB284" i="4"/>
  <c r="AD284" i="4"/>
  <c r="AF284" i="4" s="1"/>
  <c r="I262" i="4"/>
  <c r="I259" i="4"/>
  <c r="M117" i="4"/>
  <c r="Q262" i="4"/>
  <c r="Q268" i="4"/>
  <c r="Q267" i="4"/>
  <c r="Q261" i="4"/>
  <c r="I30" i="4"/>
  <c r="Q30" i="4"/>
  <c r="U30" i="4"/>
  <c r="H122" i="4"/>
  <c r="G122" i="4" s="1"/>
  <c r="L122" i="4"/>
  <c r="J78" i="4"/>
  <c r="K106" i="4"/>
  <c r="O270" i="4"/>
  <c r="O106" i="4"/>
  <c r="K99" i="4"/>
  <c r="Q108" i="4"/>
  <c r="M126" i="4"/>
  <c r="V144" i="4"/>
  <c r="N154" i="4"/>
  <c r="N161" i="4"/>
  <c r="R161" i="4"/>
  <c r="G267" i="4"/>
  <c r="G260" i="4"/>
  <c r="G264" i="4"/>
  <c r="G266" i="4" s="1"/>
  <c r="P266" i="4"/>
  <c r="N316" i="4"/>
  <c r="N318" i="4" s="1"/>
  <c r="N201" i="4"/>
  <c r="S183" i="4"/>
  <c r="S316" i="4" s="1"/>
  <c r="E327" i="4"/>
  <c r="W327" i="4"/>
  <c r="W254" i="4"/>
  <c r="V210" i="4"/>
  <c r="Z219" i="4"/>
  <c r="X327" i="4"/>
  <c r="X231" i="4"/>
  <c r="N312" i="4"/>
  <c r="N314" i="4" s="1"/>
  <c r="N246" i="4"/>
  <c r="M246" i="4" s="1"/>
  <c r="W246" i="4"/>
  <c r="W253" i="4" s="1"/>
  <c r="E259" i="4"/>
  <c r="U260" i="4"/>
  <c r="I261" i="4"/>
  <c r="E263" i="4"/>
  <c r="H266" i="4"/>
  <c r="R266" i="4"/>
  <c r="I265" i="4"/>
  <c r="U267" i="4"/>
  <c r="AJ283" i="4"/>
  <c r="AL283" i="4" s="1"/>
  <c r="I327" i="4"/>
  <c r="L301" i="4"/>
  <c r="L264" i="4"/>
  <c r="L266" i="4" s="1"/>
  <c r="L183" i="4"/>
  <c r="L268" i="4"/>
  <c r="X301" i="4"/>
  <c r="N327" i="4"/>
  <c r="R327" i="4"/>
  <c r="X219" i="4"/>
  <c r="G238" i="4"/>
  <c r="G244" i="4" s="1"/>
  <c r="S238" i="4"/>
  <c r="S244" i="4" s="1"/>
  <c r="K261" i="4"/>
  <c r="Y285" i="4"/>
  <c r="Y280" i="4" s="1"/>
  <c r="AA285" i="4"/>
  <c r="K301" i="4"/>
  <c r="W318" i="4" l="1"/>
  <c r="P122" i="4"/>
  <c r="I121" i="4"/>
  <c r="J327" i="4"/>
  <c r="E121" i="4"/>
  <c r="U201" i="4"/>
  <c r="AG229" i="4"/>
  <c r="AI229" i="4" s="1"/>
  <c r="AJ229" i="4" s="1"/>
  <c r="AL229" i="4" s="1"/>
  <c r="Z261" i="4"/>
  <c r="AD178" i="4"/>
  <c r="AD177" i="4" s="1"/>
  <c r="P99" i="4"/>
  <c r="X267" i="4"/>
  <c r="AG212" i="4"/>
  <c r="AI212" i="4" s="1"/>
  <c r="AJ212" i="4" s="1"/>
  <c r="AL212" i="4" s="1"/>
  <c r="AA28" i="4"/>
  <c r="J260" i="4"/>
  <c r="J265" i="4"/>
  <c r="R116" i="4"/>
  <c r="M74" i="4"/>
  <c r="L306" i="4"/>
  <c r="L308" i="4" s="1"/>
  <c r="H121" i="4"/>
  <c r="G74" i="4"/>
  <c r="T306" i="4"/>
  <c r="T308" i="4" s="1"/>
  <c r="J267" i="4"/>
  <c r="AA9" i="4"/>
  <c r="AA2" i="9" s="1"/>
  <c r="AA190" i="9" s="1"/>
  <c r="X239" i="9"/>
  <c r="X235" i="9" s="1"/>
  <c r="X274" i="4"/>
  <c r="X245" i="9" s="1"/>
  <c r="R252" i="4"/>
  <c r="X108" i="4"/>
  <c r="Z278" i="4"/>
  <c r="M161" i="4"/>
  <c r="Y246" i="4"/>
  <c r="Y253" i="4" s="1"/>
  <c r="R192" i="9"/>
  <c r="AO142" i="9"/>
  <c r="AP142" i="9"/>
  <c r="AQ142" i="9" s="1"/>
  <c r="AR142" i="9" s="1"/>
  <c r="Y301" i="4"/>
  <c r="W272" i="4"/>
  <c r="G261" i="4"/>
  <c r="R180" i="9"/>
  <c r="R184" i="9" s="1"/>
  <c r="AC245" i="4"/>
  <c r="AB245" i="4" s="1"/>
  <c r="R253" i="4"/>
  <c r="K251" i="4"/>
  <c r="V175" i="9"/>
  <c r="P251" i="4"/>
  <c r="S33" i="4"/>
  <c r="S307" i="4" s="1"/>
  <c r="X259" i="4"/>
  <c r="X238" i="9"/>
  <c r="X234" i="9" s="1"/>
  <c r="P231" i="4"/>
  <c r="Z266" i="4"/>
  <c r="X266" i="4"/>
  <c r="Z268" i="4"/>
  <c r="R163" i="4"/>
  <c r="R165" i="4" s="1"/>
  <c r="X30" i="4"/>
  <c r="X32" i="4"/>
  <c r="X39" i="4" s="1"/>
  <c r="X263" i="4"/>
  <c r="Y254" i="4"/>
  <c r="Y255" i="4" s="1"/>
  <c r="AA278" i="4"/>
  <c r="P327" i="4"/>
  <c r="Y248" i="9"/>
  <c r="V124" i="9"/>
  <c r="V54" i="9"/>
  <c r="X240" i="9"/>
  <c r="X236" i="9" s="1"/>
  <c r="T152" i="9"/>
  <c r="T181" i="9" s="1"/>
  <c r="AA92" i="4"/>
  <c r="P74" i="4"/>
  <c r="Y33" i="4"/>
  <c r="X260" i="4"/>
  <c r="AA119" i="4"/>
  <c r="Y125" i="9"/>
  <c r="J263" i="4"/>
  <c r="X261" i="4"/>
  <c r="M327" i="4"/>
  <c r="J266" i="4"/>
  <c r="J122" i="4"/>
  <c r="X268" i="4"/>
  <c r="O39" i="4"/>
  <c r="Z297" i="4"/>
  <c r="X262" i="4"/>
  <c r="X265" i="4"/>
  <c r="R39" i="4"/>
  <c r="AG216" i="4"/>
  <c r="AI216" i="4" s="1"/>
  <c r="AJ216" i="4" s="1"/>
  <c r="AL216" i="4" s="1"/>
  <c r="S74" i="4"/>
  <c r="F306" i="4"/>
  <c r="Y124" i="9"/>
  <c r="Y38" i="9"/>
  <c r="AC10" i="9"/>
  <c r="AC11" i="9" s="1"/>
  <c r="AF10" i="9"/>
  <c r="Y163" i="9"/>
  <c r="G69" i="4"/>
  <c r="G121" i="4" s="1"/>
  <c r="P109" i="4"/>
  <c r="I308" i="4"/>
  <c r="I251" i="4"/>
  <c r="X58" i="4"/>
  <c r="X122" i="4" s="1"/>
  <c r="X165" i="9"/>
  <c r="AC199" i="4"/>
  <c r="AD199" i="4" s="1"/>
  <c r="AE199" i="4" s="1"/>
  <c r="AF199" i="4" s="1"/>
  <c r="AG199" i="4" s="1"/>
  <c r="AH199" i="4" s="1"/>
  <c r="AI199" i="4" s="1"/>
  <c r="AJ199" i="4" s="1"/>
  <c r="AK199" i="4" s="1"/>
  <c r="AL199" i="4" s="1"/>
  <c r="AM199" i="4" s="1"/>
  <c r="AN199" i="4" s="1"/>
  <c r="AO199" i="4" s="1"/>
  <c r="AP199" i="4" s="1"/>
  <c r="AQ199" i="4" s="1"/>
  <c r="AR199" i="4" s="1"/>
  <c r="AS199" i="4" s="1"/>
  <c r="AT199" i="4" s="1"/>
  <c r="AU199" i="4" s="1"/>
  <c r="AV199" i="4" s="1"/>
  <c r="AW199" i="4" s="1"/>
  <c r="AX199" i="4" s="1"/>
  <c r="AY199" i="4" s="1"/>
  <c r="AZ199" i="4" s="1"/>
  <c r="BA199" i="4" s="1"/>
  <c r="BB199" i="4" s="1"/>
  <c r="BC199" i="4" s="1"/>
  <c r="BD199" i="4" s="1"/>
  <c r="BE199" i="4" s="1"/>
  <c r="BF199" i="4" s="1"/>
  <c r="BG199" i="4" s="1"/>
  <c r="BH199" i="4"/>
  <c r="S122" i="4"/>
  <c r="I252" i="4"/>
  <c r="L111" i="4"/>
  <c r="J262" i="4"/>
  <c r="AE182" i="4"/>
  <c r="J94" i="4"/>
  <c r="V96" i="9"/>
  <c r="V98" i="9"/>
  <c r="T110" i="9"/>
  <c r="T196" i="9"/>
  <c r="T198" i="9" s="1"/>
  <c r="T204" i="9" s="1"/>
  <c r="T208" i="9" s="1"/>
  <c r="J239" i="9"/>
  <c r="J235" i="9" s="1"/>
  <c r="V88" i="9"/>
  <c r="AY2" i="9"/>
  <c r="AY190" i="9" s="1"/>
  <c r="R306" i="4"/>
  <c r="R308" i="4" s="1"/>
  <c r="AB221" i="9"/>
  <c r="AB222" i="9" s="1"/>
  <c r="BH211" i="4"/>
  <c r="M30" i="4"/>
  <c r="J108" i="4"/>
  <c r="F86" i="4"/>
  <c r="F87" i="4" s="1"/>
  <c r="F90" i="4" s="1"/>
  <c r="G86" i="4" s="1"/>
  <c r="G87" i="4" s="1"/>
  <c r="G90" i="4" s="1"/>
  <c r="V93" i="9"/>
  <c r="J74" i="4"/>
  <c r="AC210" i="4"/>
  <c r="N44" i="2" s="1"/>
  <c r="J259" i="4"/>
  <c r="Z246" i="4"/>
  <c r="Z253" i="4" s="1"/>
  <c r="Y125" i="4"/>
  <c r="J111" i="4"/>
  <c r="J30" i="4"/>
  <c r="M94" i="4"/>
  <c r="S69" i="4"/>
  <c r="S306" i="4" s="1"/>
  <c r="J117" i="4"/>
  <c r="W58" i="4"/>
  <c r="W122" i="4" s="1"/>
  <c r="L15" i="2" s="1"/>
  <c r="W165" i="9"/>
  <c r="V49" i="4"/>
  <c r="V163" i="9"/>
  <c r="L23" i="2"/>
  <c r="Y43" i="4"/>
  <c r="Y126" i="9"/>
  <c r="AB221" i="4"/>
  <c r="BH221" i="4" s="1"/>
  <c r="BH223" i="4"/>
  <c r="AW148" i="4"/>
  <c r="AY148" i="4" s="1"/>
  <c r="AU148" i="4"/>
  <c r="V97" i="9"/>
  <c r="L20" i="2"/>
  <c r="L43" i="2"/>
  <c r="L35" i="2"/>
  <c r="AA5" i="9"/>
  <c r="V126" i="9"/>
  <c r="V125" i="9"/>
  <c r="S81" i="9"/>
  <c r="S152" i="9" s="1"/>
  <c r="S181" i="9" s="1"/>
  <c r="F163" i="4"/>
  <c r="F165" i="4" s="1"/>
  <c r="F166" i="4" s="1"/>
  <c r="AI37" i="9"/>
  <c r="AP273" i="4"/>
  <c r="AP242" i="9" s="1"/>
  <c r="Z273" i="4"/>
  <c r="AC273" i="4" s="1"/>
  <c r="AC242" i="9" s="1"/>
  <c r="W274" i="4"/>
  <c r="W88" i="4" s="1"/>
  <c r="V88" i="4" s="1"/>
  <c r="AA242" i="9"/>
  <c r="AA245" i="4"/>
  <c r="AA246" i="4" s="1"/>
  <c r="AA167" i="4"/>
  <c r="AA272" i="4"/>
  <c r="AA250" i="4"/>
  <c r="AG223" i="4"/>
  <c r="AI223" i="4" s="1"/>
  <c r="AJ223" i="4" s="1"/>
  <c r="AL223" i="4" s="1"/>
  <c r="AA186" i="9"/>
  <c r="AA193" i="9"/>
  <c r="AA196" i="9" s="1"/>
  <c r="AA198" i="9" s="1"/>
  <c r="AA204" i="9" s="1"/>
  <c r="AD133" i="9"/>
  <c r="AA15" i="9"/>
  <c r="AA13" i="9"/>
  <c r="AG35" i="9"/>
  <c r="AG51" i="9" s="1"/>
  <c r="AI25" i="9"/>
  <c r="AC231" i="9"/>
  <c r="AD231" i="9" s="1"/>
  <c r="AE231" i="9" s="1"/>
  <c r="AF231" i="9" s="1"/>
  <c r="AG231" i="9" s="1"/>
  <c r="AH231" i="9" s="1"/>
  <c r="AI231" i="9" s="1"/>
  <c r="AJ231" i="9" s="1"/>
  <c r="AK231" i="9" s="1"/>
  <c r="AL231" i="9" s="1"/>
  <c r="AM231" i="9" s="1"/>
  <c r="AN231" i="9" s="1"/>
  <c r="AO231" i="9" s="1"/>
  <c r="AP231" i="9" s="1"/>
  <c r="AQ231" i="9" s="1"/>
  <c r="AR231" i="9" s="1"/>
  <c r="AS231" i="9" s="1"/>
  <c r="AT231" i="9" s="1"/>
  <c r="AU231" i="9" s="1"/>
  <c r="AV231" i="9" s="1"/>
  <c r="AW231" i="9" s="1"/>
  <c r="AX231" i="9" s="1"/>
  <c r="AY231" i="9" s="1"/>
  <c r="AZ231" i="9" s="1"/>
  <c r="BA231" i="9" s="1"/>
  <c r="BB231" i="9" s="1"/>
  <c r="BC231" i="9" s="1"/>
  <c r="BD231" i="9" s="1"/>
  <c r="BE231" i="9" s="1"/>
  <c r="BF231" i="9" s="1"/>
  <c r="BG231" i="9" s="1"/>
  <c r="S260" i="4"/>
  <c r="V33" i="4"/>
  <c r="L41" i="2"/>
  <c r="J166" i="9"/>
  <c r="J196" i="9" s="1"/>
  <c r="J198" i="9" s="1"/>
  <c r="J204" i="9" s="1"/>
  <c r="J208" i="9" s="1"/>
  <c r="S108" i="4"/>
  <c r="S117" i="4"/>
  <c r="S111" i="4"/>
  <c r="S30" i="4"/>
  <c r="S261" i="4"/>
  <c r="U39" i="4"/>
  <c r="L67" i="4"/>
  <c r="L84" i="4" s="1"/>
  <c r="S94" i="4"/>
  <c r="S268" i="4"/>
  <c r="S214" i="9"/>
  <c r="S267" i="4"/>
  <c r="AJ37" i="9"/>
  <c r="AJ35" i="9" s="1"/>
  <c r="AJ51" i="9" s="1"/>
  <c r="AJ68" i="9" s="1"/>
  <c r="AJ74" i="9" s="1"/>
  <c r="S266" i="4"/>
  <c r="AG217" i="4"/>
  <c r="AI217" i="4" s="1"/>
  <c r="AJ217" i="4" s="1"/>
  <c r="AL217" i="4" s="1"/>
  <c r="I317" i="4"/>
  <c r="I318" i="4" s="1"/>
  <c r="S263" i="4"/>
  <c r="H163" i="4"/>
  <c r="H165" i="4" s="1"/>
  <c r="G165" i="4" s="1"/>
  <c r="G166" i="4" s="1"/>
  <c r="U111" i="4"/>
  <c r="S262" i="4"/>
  <c r="AF33" i="9"/>
  <c r="AC51" i="9"/>
  <c r="AC61" i="9" s="1"/>
  <c r="E186" i="4"/>
  <c r="E200" i="4" s="1"/>
  <c r="E201" i="4" s="1"/>
  <c r="O198" i="9"/>
  <c r="O204" i="9" s="1"/>
  <c r="O208" i="9" s="1"/>
  <c r="W24" i="4"/>
  <c r="X13" i="9"/>
  <c r="S163" i="9"/>
  <c r="H198" i="9"/>
  <c r="H204" i="9" s="1"/>
  <c r="H208" i="9" s="1"/>
  <c r="H67" i="4"/>
  <c r="H105" i="4" s="1"/>
  <c r="AM24" i="4"/>
  <c r="W265" i="4"/>
  <c r="Y176" i="9"/>
  <c r="G166" i="9"/>
  <c r="G196" i="9" s="1"/>
  <c r="J161" i="4"/>
  <c r="V161" i="4"/>
  <c r="J261" i="4"/>
  <c r="V172" i="9"/>
  <c r="Z158" i="9"/>
  <c r="Z13" i="9"/>
  <c r="W261" i="4"/>
  <c r="V176" i="9"/>
  <c r="CE44" i="9"/>
  <c r="CE47" i="9" s="1"/>
  <c r="AI33" i="9"/>
  <c r="V42" i="4"/>
  <c r="G318" i="4"/>
  <c r="Y109" i="9"/>
  <c r="O271" i="4"/>
  <c r="O105" i="4"/>
  <c r="O63" i="4"/>
  <c r="O56" i="4" s="1"/>
  <c r="O120" i="4"/>
  <c r="K86" i="4"/>
  <c r="K87" i="4" s="1"/>
  <c r="K90" i="4" s="1"/>
  <c r="L86" i="4" s="1"/>
  <c r="L87" i="4" s="1"/>
  <c r="L90" i="4" s="1"/>
  <c r="M86" i="4" s="1"/>
  <c r="M87" i="4" s="1"/>
  <c r="M90" i="4" s="1"/>
  <c r="AC52" i="9"/>
  <c r="O269" i="4"/>
  <c r="AG227" i="4"/>
  <c r="AI227" i="4" s="1"/>
  <c r="AH227" i="4" s="1"/>
  <c r="K253" i="4"/>
  <c r="P165" i="4"/>
  <c r="P166" i="4" s="1"/>
  <c r="Z167" i="4"/>
  <c r="Z119" i="4"/>
  <c r="G163" i="9"/>
  <c r="U165" i="9"/>
  <c r="AF141" i="9"/>
  <c r="Y106" i="9"/>
  <c r="AD51" i="9"/>
  <c r="AD68" i="9" s="1"/>
  <c r="AD74" i="9" s="1"/>
  <c r="Q67" i="4"/>
  <c r="O118" i="4" s="1"/>
  <c r="K252" i="4"/>
  <c r="O257" i="4"/>
  <c r="Z92" i="4"/>
  <c r="W232" i="4"/>
  <c r="V232" i="4" s="1"/>
  <c r="G268" i="4"/>
  <c r="P161" i="4"/>
  <c r="Z250" i="4"/>
  <c r="G301" i="4"/>
  <c r="AE126" i="9"/>
  <c r="P166" i="9"/>
  <c r="P196" i="9" s="1"/>
  <c r="I39" i="4"/>
  <c r="J39" i="4" s="1"/>
  <c r="O252" i="4"/>
  <c r="AD142" i="4"/>
  <c r="W268" i="4"/>
  <c r="W28" i="4"/>
  <c r="Q11" i="4"/>
  <c r="W250" i="4"/>
  <c r="W30" i="4"/>
  <c r="P106" i="4"/>
  <c r="Z262" i="4"/>
  <c r="W263" i="4"/>
  <c r="U117" i="4"/>
  <c r="W267" i="4"/>
  <c r="Y137" i="9"/>
  <c r="Y142" i="9"/>
  <c r="AF25" i="9"/>
  <c r="W240" i="9"/>
  <c r="W236" i="9" s="1"/>
  <c r="Z240" i="9"/>
  <c r="Z236" i="9" s="1"/>
  <c r="J240" i="9"/>
  <c r="J236" i="9" s="1"/>
  <c r="L16" i="2"/>
  <c r="L37" i="2"/>
  <c r="L27" i="2"/>
  <c r="L51" i="2"/>
  <c r="L44" i="2"/>
  <c r="O253" i="4"/>
  <c r="W266" i="4"/>
  <c r="S161" i="4"/>
  <c r="W201" i="4"/>
  <c r="V201" i="4" s="1"/>
  <c r="L18" i="2"/>
  <c r="U166" i="4"/>
  <c r="Z30" i="4"/>
  <c r="W167" i="4"/>
  <c r="W297" i="4"/>
  <c r="L25" i="2"/>
  <c r="G161" i="4"/>
  <c r="Z259" i="4"/>
  <c r="W259" i="4"/>
  <c r="W260" i="4"/>
  <c r="J268" i="4"/>
  <c r="P116" i="4"/>
  <c r="Y121" i="9"/>
  <c r="Y211" i="9"/>
  <c r="W238" i="9"/>
  <c r="W234" i="9" s="1"/>
  <c r="L17" i="2"/>
  <c r="L26" i="2"/>
  <c r="L38" i="2"/>
  <c r="L48" i="2"/>
  <c r="L29" i="2"/>
  <c r="L49" i="2"/>
  <c r="S253" i="4"/>
  <c r="W94" i="4"/>
  <c r="W278" i="4"/>
  <c r="W32" i="4"/>
  <c r="W39" i="4" s="1"/>
  <c r="Z108" i="4"/>
  <c r="W262" i="4"/>
  <c r="P10" i="4"/>
  <c r="S129" i="9"/>
  <c r="Y138" i="9"/>
  <c r="R150" i="9"/>
  <c r="R179" i="9" s="1"/>
  <c r="R193" i="9" s="1"/>
  <c r="R196" i="9" s="1"/>
  <c r="R198" i="9" s="1"/>
  <c r="R204" i="9" s="1"/>
  <c r="R208" i="9" s="1"/>
  <c r="X5" i="9"/>
  <c r="W239" i="9"/>
  <c r="W235" i="9" s="1"/>
  <c r="L22" i="2"/>
  <c r="L34" i="2"/>
  <c r="L39" i="2"/>
  <c r="L21" i="2"/>
  <c r="L33" i="2"/>
  <c r="L45" i="2"/>
  <c r="AY125" i="9"/>
  <c r="L251" i="4"/>
  <c r="S239" i="9"/>
  <c r="S235" i="9" s="1"/>
  <c r="M39" i="2"/>
  <c r="M51" i="2"/>
  <c r="Y327" i="4"/>
  <c r="U251" i="4"/>
  <c r="V138" i="9"/>
  <c r="V109" i="9"/>
  <c r="M37" i="2"/>
  <c r="M41" i="2"/>
  <c r="L252" i="4"/>
  <c r="V248" i="9"/>
  <c r="V214" i="9"/>
  <c r="V121" i="9"/>
  <c r="M23" i="2"/>
  <c r="U122" i="4"/>
  <c r="V137" i="9"/>
  <c r="G125" i="4"/>
  <c r="L265" i="4"/>
  <c r="S240" i="9"/>
  <c r="S236" i="9" s="1"/>
  <c r="N48" i="2"/>
  <c r="I321" i="4"/>
  <c r="I234" i="4"/>
  <c r="I248" i="4" s="1"/>
  <c r="E287" i="4"/>
  <c r="E2" i="9"/>
  <c r="D23" i="2"/>
  <c r="T112" i="9"/>
  <c r="S104" i="9"/>
  <c r="T105" i="9"/>
  <c r="AE7" i="9"/>
  <c r="AD6" i="9"/>
  <c r="BG287" i="4"/>
  <c r="BG2" i="9"/>
  <c r="F287" i="4"/>
  <c r="F2" i="9"/>
  <c r="F190" i="9" s="1"/>
  <c r="AU287" i="4"/>
  <c r="AU2" i="9"/>
  <c r="O287" i="4"/>
  <c r="O2" i="9"/>
  <c r="O190" i="9" s="1"/>
  <c r="AW287" i="4"/>
  <c r="AW2" i="9"/>
  <c r="AW190" i="9" s="1"/>
  <c r="I109" i="4"/>
  <c r="W154" i="4"/>
  <c r="Y96" i="9"/>
  <c r="Y352" i="4"/>
  <c r="P27" i="2"/>
  <c r="X117" i="4"/>
  <c r="Z238" i="9"/>
  <c r="Z234" i="9" s="1"/>
  <c r="Z265" i="4"/>
  <c r="Z94" i="4"/>
  <c r="Z263" i="4"/>
  <c r="Z260" i="4"/>
  <c r="Z32" i="4"/>
  <c r="Y32" i="4" s="1"/>
  <c r="Z239" i="9"/>
  <c r="Z235" i="9" s="1"/>
  <c r="AC8" i="9"/>
  <c r="AC9" i="9" s="1"/>
  <c r="AE8" i="9"/>
  <c r="AH8" i="9" s="1"/>
  <c r="AK8" i="9" s="1"/>
  <c r="AN8" i="9" s="1"/>
  <c r="AQ8" i="9" s="1"/>
  <c r="AT8" i="9" s="1"/>
  <c r="AW8" i="9" s="1"/>
  <c r="AZ8" i="9" s="1"/>
  <c r="BC8" i="9" s="1"/>
  <c r="BF8" i="9" s="1"/>
  <c r="S287" i="4"/>
  <c r="S2" i="9"/>
  <c r="S190" i="9" s="1"/>
  <c r="K287" i="4"/>
  <c r="K2" i="9"/>
  <c r="K190" i="9" s="1"/>
  <c r="AZ287" i="4"/>
  <c r="AZ2" i="9"/>
  <c r="AZ190" i="9" s="1"/>
  <c r="AK287" i="4"/>
  <c r="AK2" i="9"/>
  <c r="AK190" i="9" s="1"/>
  <c r="M166" i="9"/>
  <c r="M196" i="9" s="1"/>
  <c r="M163" i="9"/>
  <c r="BE287" i="4"/>
  <c r="BE2" i="9"/>
  <c r="BE190" i="9" s="1"/>
  <c r="I287" i="4"/>
  <c r="I2" i="9"/>
  <c r="I190" i="9" s="1"/>
  <c r="M252" i="4"/>
  <c r="AO287" i="4"/>
  <c r="AO2" i="9"/>
  <c r="M287" i="4"/>
  <c r="M2" i="9"/>
  <c r="M190" i="9" s="1"/>
  <c r="AE215" i="4"/>
  <c r="AG215" i="4"/>
  <c r="AI215" i="4" s="1"/>
  <c r="J287" i="4"/>
  <c r="J2" i="9"/>
  <c r="J190" i="9" s="1"/>
  <c r="AF287" i="4"/>
  <c r="AF2" i="9"/>
  <c r="T287" i="4"/>
  <c r="T2" i="9"/>
  <c r="T190" i="9" s="1"/>
  <c r="T277" i="4"/>
  <c r="P253" i="4"/>
  <c r="E253" i="4"/>
  <c r="E252" i="4"/>
  <c r="U287" i="4"/>
  <c r="U2" i="9"/>
  <c r="U190" i="9" s="1"/>
  <c r="AG287" i="4"/>
  <c r="AG2" i="9"/>
  <c r="AG190" i="9" s="1"/>
  <c r="AB287" i="4"/>
  <c r="AB2" i="9"/>
  <c r="AB190" i="9" s="1"/>
  <c r="L287" i="4"/>
  <c r="L2" i="9"/>
  <c r="L190" i="9" s="1"/>
  <c r="Y164" i="9"/>
  <c r="Y165" i="9" s="1"/>
  <c r="Z58" i="4"/>
  <c r="Z122" i="4" s="1"/>
  <c r="M18" i="2"/>
  <c r="M17" i="2"/>
  <c r="M45" i="2"/>
  <c r="O23" i="2"/>
  <c r="M38" i="2"/>
  <c r="P23" i="2"/>
  <c r="M44" i="2"/>
  <c r="M49" i="2"/>
  <c r="BN63" i="9"/>
  <c r="S49" i="4"/>
  <c r="S166" i="9"/>
  <c r="I198" i="9"/>
  <c r="I204" i="9" s="1"/>
  <c r="I208" i="9" s="1"/>
  <c r="I67" i="4"/>
  <c r="AH287" i="4"/>
  <c r="AH2" i="9"/>
  <c r="AH190" i="9" s="1"/>
  <c r="G287" i="4"/>
  <c r="G2" i="9"/>
  <c r="G190" i="9" s="1"/>
  <c r="X88" i="4"/>
  <c r="X147" i="4" s="1"/>
  <c r="X160" i="4" s="1"/>
  <c r="X161" i="4" s="1"/>
  <c r="V125" i="4"/>
  <c r="AV287" i="4"/>
  <c r="AV2" i="9"/>
  <c r="AV190" i="9" s="1"/>
  <c r="V287" i="4"/>
  <c r="V2" i="9"/>
  <c r="V190" i="9" s="1"/>
  <c r="AJ287" i="4"/>
  <c r="AJ2" i="9"/>
  <c r="AJ190" i="9" s="1"/>
  <c r="Q287" i="4"/>
  <c r="Q2" i="9"/>
  <c r="Q190" i="9" s="1"/>
  <c r="AF71" i="4"/>
  <c r="Y150" i="9"/>
  <c r="Y157" i="9" s="1"/>
  <c r="M21" i="2"/>
  <c r="M22" i="2"/>
  <c r="M26" i="2"/>
  <c r="M33" i="2"/>
  <c r="M20" i="2"/>
  <c r="M43" i="2"/>
  <c r="M48" i="2"/>
  <c r="BN64" i="9"/>
  <c r="H292" i="4"/>
  <c r="K292" i="4" s="1"/>
  <c r="N292" i="4" s="1"/>
  <c r="Q292" i="4" s="1"/>
  <c r="T292" i="4" s="1"/>
  <c r="W292" i="4" s="1"/>
  <c r="Z292" i="4" s="1"/>
  <c r="AC292" i="4" s="1"/>
  <c r="AF292" i="4" s="1"/>
  <c r="AI292" i="4" s="1"/>
  <c r="AL292" i="4" s="1"/>
  <c r="AO292" i="4" s="1"/>
  <c r="AR292" i="4" s="1"/>
  <c r="AU292" i="4" s="1"/>
  <c r="AX292" i="4" s="1"/>
  <c r="BA292" i="4" s="1"/>
  <c r="BD292" i="4" s="1"/>
  <c r="BG292" i="4" s="1"/>
  <c r="T111" i="9"/>
  <c r="S103" i="9"/>
  <c r="S153" i="9" s="1"/>
  <c r="S182" i="9" s="1"/>
  <c r="Y29" i="4"/>
  <c r="Y266" i="4" s="1"/>
  <c r="Y4" i="9"/>
  <c r="Y12" i="9" s="1"/>
  <c r="Y15" i="9" s="1"/>
  <c r="AO273" i="4"/>
  <c r="AL242" i="9"/>
  <c r="AL24" i="4"/>
  <c r="AT287" i="4"/>
  <c r="AT2" i="9"/>
  <c r="AT190" i="9" s="1"/>
  <c r="R287" i="4"/>
  <c r="R2" i="9"/>
  <c r="R190" i="9" s="1"/>
  <c r="Z9" i="4"/>
  <c r="Z28" i="4"/>
  <c r="AC221" i="9"/>
  <c r="AD211" i="4"/>
  <c r="BC287" i="4"/>
  <c r="BC2" i="9"/>
  <c r="BC190" i="9" s="1"/>
  <c r="V41" i="4"/>
  <c r="S259" i="4"/>
  <c r="J125" i="4"/>
  <c r="AQ287" i="4"/>
  <c r="AQ2" i="9"/>
  <c r="AQ190" i="9" s="1"/>
  <c r="P287" i="4"/>
  <c r="P2" i="9"/>
  <c r="P190" i="9" s="1"/>
  <c r="AE287" i="4"/>
  <c r="AE2" i="9"/>
  <c r="AE190" i="9" s="1"/>
  <c r="U252" i="4"/>
  <c r="BA287" i="4"/>
  <c r="BA2" i="9"/>
  <c r="Y287" i="4"/>
  <c r="Y2" i="9"/>
  <c r="Y190" i="9" s="1"/>
  <c r="AN287" i="4"/>
  <c r="AN2" i="9"/>
  <c r="AN190" i="9" s="1"/>
  <c r="H287" i="4"/>
  <c r="H2" i="9"/>
  <c r="H190" i="9" s="1"/>
  <c r="AF126" i="9"/>
  <c r="AA352" i="4"/>
  <c r="AA42" i="4"/>
  <c r="AD42" i="4"/>
  <c r="AD352" i="4"/>
  <c r="V58" i="9"/>
  <c r="V29" i="4"/>
  <c r="V240" i="9" s="1"/>
  <c r="V236" i="9" s="1"/>
  <c r="N27" i="2"/>
  <c r="O27" i="2"/>
  <c r="M16" i="2"/>
  <c r="M34" i="2"/>
  <c r="M27" i="2"/>
  <c r="M35" i="2"/>
  <c r="AC71" i="4"/>
  <c r="AB201" i="9"/>
  <c r="X242" i="9"/>
  <c r="X24" i="4"/>
  <c r="N287" i="4"/>
  <c r="N2" i="9"/>
  <c r="N190" i="9" s="1"/>
  <c r="BF287" i="4"/>
  <c r="BF2" i="9"/>
  <c r="BF190" i="9" s="1"/>
  <c r="W92" i="4"/>
  <c r="W119" i="4"/>
  <c r="W9" i="4"/>
  <c r="AI287" i="4"/>
  <c r="AI2" i="9"/>
  <c r="F198" i="9"/>
  <c r="F204" i="9" s="1"/>
  <c r="F208" i="9" s="1"/>
  <c r="F67" i="4"/>
  <c r="N198" i="9"/>
  <c r="N204" i="9" s="1"/>
  <c r="N208" i="9" s="1"/>
  <c r="N67" i="4"/>
  <c r="N257" i="4" s="1"/>
  <c r="E198" i="9"/>
  <c r="E204" i="9" s="1"/>
  <c r="E208" i="9" s="1"/>
  <c r="E67" i="4"/>
  <c r="K198" i="9"/>
  <c r="K204" i="9" s="1"/>
  <c r="K208" i="9" s="1"/>
  <c r="K67" i="4"/>
  <c r="K257" i="4" s="1"/>
  <c r="O84" i="4"/>
  <c r="O68" i="4"/>
  <c r="W158" i="9"/>
  <c r="W155" i="9"/>
  <c r="M318" i="4"/>
  <c r="Z184" i="9"/>
  <c r="Z187" i="9"/>
  <c r="V164" i="9"/>
  <c r="Y174" i="9"/>
  <c r="Y175" i="9"/>
  <c r="W188" i="9"/>
  <c r="W192" i="9"/>
  <c r="W180" i="9"/>
  <c r="AH163" i="9"/>
  <c r="AJ141" i="9"/>
  <c r="AK141" i="9" s="1"/>
  <c r="AI141" i="9"/>
  <c r="T154" i="9"/>
  <c r="T183" i="9" s="1"/>
  <c r="S87" i="9"/>
  <c r="AO124" i="9"/>
  <c r="AN126" i="9"/>
  <c r="AE77" i="9"/>
  <c r="AE352" i="4" s="1"/>
  <c r="W179" i="9"/>
  <c r="W157" i="9"/>
  <c r="Z179" i="9"/>
  <c r="Z157" i="9"/>
  <c r="Y40" i="9"/>
  <c r="X71" i="9"/>
  <c r="X353" i="4" s="1"/>
  <c r="X69" i="9"/>
  <c r="AS36" i="9"/>
  <c r="AK10" i="9"/>
  <c r="BE27" i="9"/>
  <c r="AI229" i="9"/>
  <c r="AI201" i="9" s="1"/>
  <c r="AL226" i="9"/>
  <c r="U187" i="9"/>
  <c r="U184" i="9"/>
  <c r="U158" i="9"/>
  <c r="U155" i="9"/>
  <c r="X158" i="9"/>
  <c r="X155" i="9"/>
  <c r="T88" i="9"/>
  <c r="T153" i="9"/>
  <c r="T182" i="9" s="1"/>
  <c r="Y98" i="9"/>
  <c r="AD88" i="9"/>
  <c r="AD97" i="9"/>
  <c r="AD98" i="9"/>
  <c r="AD90" i="9"/>
  <c r="W71" i="9"/>
  <c r="W69" i="9"/>
  <c r="S211" i="9"/>
  <c r="S191" i="9"/>
  <c r="S165" i="9"/>
  <c r="S15" i="9"/>
  <c r="S58" i="9"/>
  <c r="Y181" i="9"/>
  <c r="Y159" i="9"/>
  <c r="Y151" i="9"/>
  <c r="Y65" i="9"/>
  <c r="U179" i="9"/>
  <c r="U157" i="9"/>
  <c r="AM33" i="9"/>
  <c r="AL33" i="9"/>
  <c r="AD201" i="9"/>
  <c r="AE201" i="9" s="1"/>
  <c r="BK159" i="9"/>
  <c r="BN158" i="9"/>
  <c r="X192" i="9"/>
  <c r="X188" i="9"/>
  <c r="X180" i="9"/>
  <c r="AP121" i="9"/>
  <c r="AQ121" i="9" s="1"/>
  <c r="AO121" i="9"/>
  <c r="AG126" i="9"/>
  <c r="AH125" i="9"/>
  <c r="AF81" i="9"/>
  <c r="Y93" i="9"/>
  <c r="Y88" i="9"/>
  <c r="Y97" i="9"/>
  <c r="Y90" i="9"/>
  <c r="AH36" i="9"/>
  <c r="AE35" i="9"/>
  <c r="AF36" i="9"/>
  <c r="AF35" i="9" s="1"/>
  <c r="AB133" i="9"/>
  <c r="AB104" i="9"/>
  <c r="AB68" i="9"/>
  <c r="AB74" i="9" s="1"/>
  <c r="Z71" i="9"/>
  <c r="Z69" i="9"/>
  <c r="U69" i="9"/>
  <c r="U71" i="9"/>
  <c r="U353" i="4" s="1"/>
  <c r="AG8" i="9"/>
  <c r="T69" i="9"/>
  <c r="T71" i="9"/>
  <c r="AM25" i="9"/>
  <c r="AL25" i="9"/>
  <c r="AI10" i="9"/>
  <c r="AJ10" i="9"/>
  <c r="AE165" i="9"/>
  <c r="CH60" i="9"/>
  <c r="CG63" i="9"/>
  <c r="Y54" i="9"/>
  <c r="Y58" i="9"/>
  <c r="Y55" i="9"/>
  <c r="V211" i="9"/>
  <c r="V191" i="9"/>
  <c r="V150" i="9"/>
  <c r="V142" i="9"/>
  <c r="V65" i="9"/>
  <c r="V38" i="9"/>
  <c r="V40" i="9"/>
  <c r="V4" i="9"/>
  <c r="V181" i="9"/>
  <c r="V159" i="9"/>
  <c r="V151" i="9"/>
  <c r="Y191" i="9"/>
  <c r="X179" i="9"/>
  <c r="X157" i="9"/>
  <c r="CE29" i="9"/>
  <c r="CE27" i="9"/>
  <c r="CE28" i="9"/>
  <c r="CE25" i="9"/>
  <c r="S312" i="4"/>
  <c r="S314" i="4" s="1"/>
  <c r="G312" i="4"/>
  <c r="G314" i="4" s="1"/>
  <c r="Z317" i="4"/>
  <c r="Z318" i="4" s="1"/>
  <c r="Z232" i="4"/>
  <c r="Y232" i="4" s="1"/>
  <c r="AA24" i="4"/>
  <c r="AD273" i="4"/>
  <c r="AD242" i="9" s="1"/>
  <c r="N255" i="4"/>
  <c r="M254" i="4"/>
  <c r="O255" i="4"/>
  <c r="J252" i="4"/>
  <c r="J251" i="4"/>
  <c r="F252" i="4"/>
  <c r="N11" i="4"/>
  <c r="M81" i="4"/>
  <c r="M11" i="4" s="1"/>
  <c r="K306" i="4"/>
  <c r="K121" i="4"/>
  <c r="J69" i="4"/>
  <c r="J55" i="4"/>
  <c r="Y201" i="4"/>
  <c r="T11" i="4"/>
  <c r="S81" i="4"/>
  <c r="S11" i="4" s="1"/>
  <c r="V69" i="4"/>
  <c r="Q121" i="4"/>
  <c r="Q306" i="4"/>
  <c r="P69" i="4"/>
  <c r="Q33" i="4"/>
  <c r="P34" i="4"/>
  <c r="BB297" i="4"/>
  <c r="BB278" i="4"/>
  <c r="BB92" i="4"/>
  <c r="BB272" i="4"/>
  <c r="BB167" i="4"/>
  <c r="BB250" i="4"/>
  <c r="BB119" i="4"/>
  <c r="BB9" i="4"/>
  <c r="BB28" i="4"/>
  <c r="BD278" i="4"/>
  <c r="BD272" i="4"/>
  <c r="BD250" i="4"/>
  <c r="BD167" i="4"/>
  <c r="BD28" i="4"/>
  <c r="BD297" i="4"/>
  <c r="BD92" i="4"/>
  <c r="BD119" i="4"/>
  <c r="BD9" i="4"/>
  <c r="E307" i="4"/>
  <c r="E308" i="4" s="1"/>
  <c r="E39" i="4"/>
  <c r="G163" i="4"/>
  <c r="G265" i="4"/>
  <c r="T255" i="4"/>
  <c r="BL64" i="9" s="1"/>
  <c r="S254" i="4"/>
  <c r="Q232" i="4"/>
  <c r="Q317" i="4"/>
  <c r="Q318" i="4" s="1"/>
  <c r="Q252" i="4"/>
  <c r="U317" i="4"/>
  <c r="U318" i="4" s="1"/>
  <c r="U232" i="4"/>
  <c r="J270" i="4"/>
  <c r="J99" i="4"/>
  <c r="J116" i="4"/>
  <c r="J106" i="4"/>
  <c r="J10" i="4"/>
  <c r="S32" i="4"/>
  <c r="T39" i="4"/>
  <c r="P252" i="4"/>
  <c r="N7" i="4"/>
  <c r="O7" i="4"/>
  <c r="P7" i="4" s="1"/>
  <c r="AC285" i="4"/>
  <c r="AA280" i="4"/>
  <c r="F251" i="4"/>
  <c r="L316" i="4"/>
  <c r="L201" i="4"/>
  <c r="AM283" i="4"/>
  <c r="AO283" i="4" s="1"/>
  <c r="AK283" i="4"/>
  <c r="AD224" i="4"/>
  <c r="AB224" i="4"/>
  <c r="BH224" i="4" s="1"/>
  <c r="R255" i="4"/>
  <c r="N252" i="4"/>
  <c r="AI185" i="4"/>
  <c r="AE185" i="4"/>
  <c r="AG185" i="4"/>
  <c r="K317" i="4"/>
  <c r="K318" i="4" s="1"/>
  <c r="K232" i="4"/>
  <c r="J232" i="4" s="1"/>
  <c r="AH226" i="4"/>
  <c r="AJ226" i="4"/>
  <c r="AL226" i="4" s="1"/>
  <c r="E317" i="4"/>
  <c r="E318" i="4" s="1"/>
  <c r="E232" i="4"/>
  <c r="AF142" i="4"/>
  <c r="V109" i="4"/>
  <c r="V204" i="4"/>
  <c r="V219" i="4"/>
  <c r="V317" i="4" s="1"/>
  <c r="V318" i="4" s="1"/>
  <c r="S116" i="4"/>
  <c r="S106" i="4"/>
  <c r="S10" i="4"/>
  <c r="S270" i="4"/>
  <c r="S99" i="4"/>
  <c r="L109" i="4"/>
  <c r="H307" i="4"/>
  <c r="H308" i="4" s="1"/>
  <c r="G33" i="4"/>
  <c r="G307" i="4" s="1"/>
  <c r="AR278" i="4"/>
  <c r="AR297" i="4"/>
  <c r="AR272" i="4"/>
  <c r="AR167" i="4"/>
  <c r="AR28" i="4"/>
  <c r="AR250" i="4"/>
  <c r="AR119" i="4"/>
  <c r="AR92" i="4"/>
  <c r="AR9" i="4"/>
  <c r="U255" i="4"/>
  <c r="AD225" i="4"/>
  <c r="AF225" i="4" s="1"/>
  <c r="AB225" i="4"/>
  <c r="BH225" i="4" s="1"/>
  <c r="T317" i="4"/>
  <c r="T318" i="4" s="1"/>
  <c r="T232" i="4"/>
  <c r="Q253" i="4"/>
  <c r="H255" i="4"/>
  <c r="G254" i="4"/>
  <c r="L317" i="4"/>
  <c r="L232" i="4"/>
  <c r="AE197" i="4"/>
  <c r="AI197" i="4"/>
  <c r="AG197" i="4"/>
  <c r="H39" i="4"/>
  <c r="G32" i="4"/>
  <c r="W252" i="4"/>
  <c r="J253" i="4"/>
  <c r="AE214" i="4"/>
  <c r="AG214" i="4"/>
  <c r="G116" i="4"/>
  <c r="G106" i="4"/>
  <c r="G10" i="4"/>
  <c r="G270" i="4"/>
  <c r="G81" i="4"/>
  <c r="G11" i="4" s="1"/>
  <c r="K307" i="4"/>
  <c r="J33" i="4"/>
  <c r="J307" i="4" s="1"/>
  <c r="AJ182" i="4"/>
  <c r="AL182" i="4" s="1"/>
  <c r="AH182" i="4"/>
  <c r="G34" i="4"/>
  <c r="F308" i="4"/>
  <c r="X317" i="4"/>
  <c r="X318" i="4" s="1"/>
  <c r="X232" i="4"/>
  <c r="E251" i="4"/>
  <c r="V254" i="4"/>
  <c r="W255" i="4"/>
  <c r="BM64" i="9" s="1"/>
  <c r="AE284" i="4"/>
  <c r="AG284" i="4"/>
  <c r="AI284" i="4" s="1"/>
  <c r="AD221" i="4"/>
  <c r="AF222" i="4"/>
  <c r="Y231" i="4"/>
  <c r="M253" i="4"/>
  <c r="M231" i="4"/>
  <c r="G253" i="4"/>
  <c r="G231" i="4"/>
  <c r="F317" i="4"/>
  <c r="F318" i="4" s="1"/>
  <c r="F232" i="4"/>
  <c r="J201" i="4"/>
  <c r="AB149" i="4"/>
  <c r="O317" i="4"/>
  <c r="O318" i="4" s="1"/>
  <c r="O232" i="4"/>
  <c r="O321" i="4" s="1"/>
  <c r="AL198" i="4"/>
  <c r="AH198" i="4"/>
  <c r="AJ198" i="4"/>
  <c r="AE178" i="4"/>
  <c r="AF178" i="4" s="1"/>
  <c r="M109" i="4"/>
  <c r="Y219" i="4"/>
  <c r="Y317" i="4" s="1"/>
  <c r="Y318" i="4" s="1"/>
  <c r="Y109" i="4"/>
  <c r="J219" i="4"/>
  <c r="J317" i="4" s="1"/>
  <c r="J318" i="4" s="1"/>
  <c r="H317" i="4"/>
  <c r="H318" i="4" s="1"/>
  <c r="H232" i="4"/>
  <c r="N306" i="4"/>
  <c r="N121" i="4"/>
  <c r="M69" i="4"/>
  <c r="AX272" i="4"/>
  <c r="AX250" i="4"/>
  <c r="AX278" i="4"/>
  <c r="AX92" i="4"/>
  <c r="AX297" i="4"/>
  <c r="AX167" i="4"/>
  <c r="AX28" i="4"/>
  <c r="AX119" i="4"/>
  <c r="AX9" i="4"/>
  <c r="AP278" i="4"/>
  <c r="AP272" i="4"/>
  <c r="AP119" i="4"/>
  <c r="AP92" i="4"/>
  <c r="AP250" i="4"/>
  <c r="AP297" i="4"/>
  <c r="AP167" i="4"/>
  <c r="AP9" i="4"/>
  <c r="AP28" i="4"/>
  <c r="AC250" i="4"/>
  <c r="AC119" i="4"/>
  <c r="AC297" i="4"/>
  <c r="AC9" i="4"/>
  <c r="AC278" i="4"/>
  <c r="AC272" i="4"/>
  <c r="AC167" i="4"/>
  <c r="AC92" i="4"/>
  <c r="AC28" i="4"/>
  <c r="G251" i="4"/>
  <c r="Y138" i="4"/>
  <c r="X143" i="4"/>
  <c r="O109" i="4"/>
  <c r="AD241" i="4"/>
  <c r="AC238" i="4"/>
  <c r="AB151" i="4" s="1"/>
  <c r="S251" i="4"/>
  <c r="S327" i="4"/>
  <c r="S219" i="4"/>
  <c r="S317" i="4" s="1"/>
  <c r="S318" i="4" s="1"/>
  <c r="S252" i="4"/>
  <c r="U109" i="4"/>
  <c r="T252" i="4"/>
  <c r="L116" i="4"/>
  <c r="M122" i="4"/>
  <c r="F39" i="4"/>
  <c r="Q251" i="4"/>
  <c r="I116" i="4"/>
  <c r="X109" i="4"/>
  <c r="W251" i="4"/>
  <c r="T166" i="4"/>
  <c r="S165" i="4"/>
  <c r="S166" i="4" s="1"/>
  <c r="S109" i="4"/>
  <c r="S265" i="4"/>
  <c r="P32" i="4"/>
  <c r="J109" i="4"/>
  <c r="G109" i="4"/>
  <c r="J87" i="4"/>
  <c r="J90" i="4" s="1"/>
  <c r="N234" i="4"/>
  <c r="N321" i="4"/>
  <c r="N323" i="4" s="1"/>
  <c r="N326" i="4" s="1"/>
  <c r="N329" i="4" s="1"/>
  <c r="M201" i="4"/>
  <c r="M321" i="4" s="1"/>
  <c r="M265" i="4"/>
  <c r="N251" i="4"/>
  <c r="N253" i="4"/>
  <c r="V327" i="4"/>
  <c r="J254" i="4"/>
  <c r="K255" i="4"/>
  <c r="V312" i="4"/>
  <c r="V314" i="4" s="1"/>
  <c r="V246" i="4"/>
  <c r="V251" i="4" s="1"/>
  <c r="R321" i="4"/>
  <c r="R323" i="4" s="1"/>
  <c r="R326" i="4" s="1"/>
  <c r="R329" i="4" s="1"/>
  <c r="R234" i="4"/>
  <c r="R248" i="4" s="1"/>
  <c r="O306" i="4"/>
  <c r="O308" i="4" s="1"/>
  <c r="O121" i="4"/>
  <c r="J81" i="4"/>
  <c r="J11" i="4" s="1"/>
  <c r="N33" i="4"/>
  <c r="M34" i="4"/>
  <c r="AL297" i="4"/>
  <c r="AL272" i="4"/>
  <c r="AL250" i="4"/>
  <c r="AL92" i="4"/>
  <c r="AL278" i="4"/>
  <c r="AL167" i="4"/>
  <c r="AL9" i="4"/>
  <c r="AL28" i="4"/>
  <c r="AL119" i="4"/>
  <c r="AD272" i="4"/>
  <c r="AD297" i="4"/>
  <c r="AD278" i="4"/>
  <c r="AD167" i="4"/>
  <c r="AD92" i="4"/>
  <c r="AD250" i="4"/>
  <c r="AD119" i="4"/>
  <c r="AD28" i="4"/>
  <c r="AD9" i="4"/>
  <c r="AS297" i="4"/>
  <c r="AS250" i="4"/>
  <c r="AS119" i="4"/>
  <c r="AS9" i="4"/>
  <c r="AS272" i="4"/>
  <c r="AS278" i="4"/>
  <c r="AS167" i="4"/>
  <c r="AS92" i="4"/>
  <c r="AS28" i="4"/>
  <c r="X278" i="4"/>
  <c r="X297" i="4"/>
  <c r="X250" i="4"/>
  <c r="X167" i="4"/>
  <c r="X28" i="4"/>
  <c r="X272" i="4"/>
  <c r="X119" i="4"/>
  <c r="X92" i="4"/>
  <c r="X9" i="4"/>
  <c r="L39" i="4"/>
  <c r="G252" i="4"/>
  <c r="T253" i="4"/>
  <c r="T251" i="4"/>
  <c r="P254" i="4"/>
  <c r="Q255" i="4"/>
  <c r="M251" i="4"/>
  <c r="L255" i="4"/>
  <c r="M116" i="4"/>
  <c r="M106" i="4"/>
  <c r="M270" i="4"/>
  <c r="O116" i="4"/>
  <c r="M10" i="4"/>
  <c r="M99" i="4"/>
  <c r="P318" i="4"/>
  <c r="AD237" i="4"/>
  <c r="AF237" i="4"/>
  <c r="O48" i="2" s="1"/>
  <c r="AB237" i="4"/>
  <c r="BH237" i="4" s="1"/>
  <c r="H84" i="4" l="1"/>
  <c r="AS142" i="9"/>
  <c r="AT142" i="9" s="1"/>
  <c r="U321" i="4"/>
  <c r="U323" i="4" s="1"/>
  <c r="U326" i="4" s="1"/>
  <c r="U329" i="4" s="1"/>
  <c r="H98" i="4"/>
  <c r="H68" i="4"/>
  <c r="AA287" i="4"/>
  <c r="S154" i="9"/>
  <c r="S183" i="9" s="1"/>
  <c r="S192" i="9" s="1"/>
  <c r="R67" i="4"/>
  <c r="R269" i="4" s="1"/>
  <c r="AH216" i="4"/>
  <c r="AH229" i="4"/>
  <c r="G306" i="4"/>
  <c r="G308" i="4" s="1"/>
  <c r="AC109" i="4"/>
  <c r="AS273" i="4"/>
  <c r="AS242" i="9" s="1"/>
  <c r="H63" i="4"/>
  <c r="H64" i="4" s="1"/>
  <c r="AB210" i="4"/>
  <c r="BH210" i="4" s="1"/>
  <c r="AP24" i="4"/>
  <c r="Z252" i="4"/>
  <c r="F36" i="2" s="1"/>
  <c r="L105" i="4"/>
  <c r="Z251" i="4"/>
  <c r="V122" i="4"/>
  <c r="H166" i="4"/>
  <c r="AH212" i="4"/>
  <c r="T67" i="4"/>
  <c r="BL61" i="9" s="1"/>
  <c r="AJ227" i="4"/>
  <c r="AL227" i="4" s="1"/>
  <c r="V32" i="4"/>
  <c r="Q68" i="4"/>
  <c r="Y252" i="4"/>
  <c r="H269" i="4"/>
  <c r="O64" i="4"/>
  <c r="O124" i="4"/>
  <c r="O127" i="4" s="1"/>
  <c r="AF11" i="9"/>
  <c r="Z24" i="4"/>
  <c r="AF245" i="4"/>
  <c r="AI245" i="4" s="1"/>
  <c r="Z242" i="9"/>
  <c r="AD245" i="4"/>
  <c r="AH223" i="4"/>
  <c r="Y251" i="4"/>
  <c r="S121" i="4"/>
  <c r="L68" i="4"/>
  <c r="I323" i="4"/>
  <c r="I326" i="4" s="1"/>
  <c r="I329" i="4" s="1"/>
  <c r="L63" i="4"/>
  <c r="O97" i="4" s="1"/>
  <c r="E320" i="4"/>
  <c r="O98" i="4"/>
  <c r="O104" i="4"/>
  <c r="E234" i="4"/>
  <c r="E248" i="4" s="1"/>
  <c r="H120" i="4"/>
  <c r="H124" i="4" s="1"/>
  <c r="H127" i="4" s="1"/>
  <c r="V166" i="9"/>
  <c r="V165" i="9"/>
  <c r="AZ148" i="4"/>
  <c r="BB148" i="4" s="1"/>
  <c r="AX148" i="4"/>
  <c r="AH217" i="4"/>
  <c r="Z39" i="4"/>
  <c r="Y39" i="4" s="1"/>
  <c r="V274" i="4"/>
  <c r="V273" i="4" s="1"/>
  <c r="AC24" i="4"/>
  <c r="V39" i="4"/>
  <c r="AF273" i="4"/>
  <c r="AF242" i="9" s="1"/>
  <c r="Z274" i="4"/>
  <c r="Y274" i="4" s="1"/>
  <c r="K163" i="4"/>
  <c r="K165" i="4" s="1"/>
  <c r="L163" i="4" s="1"/>
  <c r="L165" i="4" s="1"/>
  <c r="I163" i="4"/>
  <c r="I165" i="4" s="1"/>
  <c r="I166" i="4" s="1"/>
  <c r="N86" i="4"/>
  <c r="N87" i="4" s="1"/>
  <c r="N90" i="4" s="1"/>
  <c r="Q86" i="4" s="1"/>
  <c r="Q87" i="4" s="1"/>
  <c r="Q90" i="4" s="1"/>
  <c r="S308" i="4"/>
  <c r="W321" i="4"/>
  <c r="W323" i="4" s="1"/>
  <c r="W326" i="4" s="1"/>
  <c r="W329" i="4" s="1"/>
  <c r="Q120" i="4"/>
  <c r="Q124" i="4" s="1"/>
  <c r="Q127" i="4" s="1"/>
  <c r="Q84" i="4"/>
  <c r="AE142" i="4"/>
  <c r="Q269" i="4"/>
  <c r="W234" i="4"/>
  <c r="W248" i="4" s="1"/>
  <c r="Y265" i="4"/>
  <c r="AA274" i="4"/>
  <c r="AA245" i="9" s="1"/>
  <c r="Q257" i="4"/>
  <c r="Q105" i="4"/>
  <c r="AA252" i="4"/>
  <c r="AA253" i="4"/>
  <c r="AA251" i="4"/>
  <c r="AA248" i="4"/>
  <c r="AG133" i="9"/>
  <c r="AG104" i="9"/>
  <c r="AA231" i="9"/>
  <c r="AA208" i="9"/>
  <c r="AL37" i="9"/>
  <c r="AJ104" i="9"/>
  <c r="AC68" i="9"/>
  <c r="AC74" i="9" s="1"/>
  <c r="AM37" i="9"/>
  <c r="AM35" i="9" s="1"/>
  <c r="AG68" i="9"/>
  <c r="AG74" i="9" s="1"/>
  <c r="Y179" i="9"/>
  <c r="Y193" i="9" s="1"/>
  <c r="L257" i="4"/>
  <c r="L271" i="4"/>
  <c r="L120" i="4"/>
  <c r="L124" i="4" s="1"/>
  <c r="L127" i="4" s="1"/>
  <c r="V261" i="4"/>
  <c r="M323" i="4"/>
  <c r="M326" i="4" s="1"/>
  <c r="M329" i="4" s="1"/>
  <c r="G198" i="9"/>
  <c r="G204" i="9" s="1"/>
  <c r="G208" i="9" s="1"/>
  <c r="G67" i="4"/>
  <c r="G115" i="4" s="1"/>
  <c r="K234" i="4"/>
  <c r="K248" i="4" s="1"/>
  <c r="AG142" i="4"/>
  <c r="X152" i="4"/>
  <c r="X154" i="4" s="1"/>
  <c r="H257" i="4"/>
  <c r="H271" i="4"/>
  <c r="AF8" i="9"/>
  <c r="AF9" i="9" s="1"/>
  <c r="J67" i="4"/>
  <c r="J271" i="4" s="1"/>
  <c r="P198" i="9"/>
  <c r="P204" i="9" s="1"/>
  <c r="P208" i="9" s="1"/>
  <c r="P67" i="4"/>
  <c r="P269" i="4" s="1"/>
  <c r="V268" i="4"/>
  <c r="AC104" i="9"/>
  <c r="AC112" i="9" s="1"/>
  <c r="Q63" i="4"/>
  <c r="Q271" i="4"/>
  <c r="S101" i="9"/>
  <c r="V106" i="9" s="1"/>
  <c r="L47" i="2"/>
  <c r="F35" i="2"/>
  <c r="AZ125" i="9"/>
  <c r="BA125" i="9" s="1"/>
  <c r="BB125" i="9"/>
  <c r="Z321" i="4"/>
  <c r="Z323" i="4" s="1"/>
  <c r="Z326" i="4" s="1"/>
  <c r="Z329" i="4" s="1"/>
  <c r="AF77" i="9"/>
  <c r="AF97" i="9" s="1"/>
  <c r="AE96" i="9"/>
  <c r="E35" i="2"/>
  <c r="BL28" i="9"/>
  <c r="M15" i="2"/>
  <c r="Y122" i="4"/>
  <c r="AB71" i="4"/>
  <c r="V253" i="4"/>
  <c r="U234" i="4"/>
  <c r="U248" i="4" s="1"/>
  <c r="AE71" i="4"/>
  <c r="I120" i="4"/>
  <c r="I124" i="4" s="1"/>
  <c r="I127" i="4" s="1"/>
  <c r="I68" i="4"/>
  <c r="I63" i="4"/>
  <c r="I257" i="4"/>
  <c r="I105" i="4"/>
  <c r="I84" i="4"/>
  <c r="I271" i="4"/>
  <c r="I269" i="4"/>
  <c r="AU190" i="9"/>
  <c r="BG190" i="9"/>
  <c r="X287" i="4"/>
  <c r="X2" i="9"/>
  <c r="X190" i="9" s="1"/>
  <c r="AC287" i="4"/>
  <c r="AC2" i="9"/>
  <c r="K321" i="4"/>
  <c r="K323" i="4" s="1"/>
  <c r="K326" i="4" s="1"/>
  <c r="K329" i="4" s="1"/>
  <c r="E321" i="4"/>
  <c r="BB287" i="4"/>
  <c r="BB2" i="9"/>
  <c r="BB190" i="9" s="1"/>
  <c r="D13" i="2"/>
  <c r="M47" i="2"/>
  <c r="V111" i="4"/>
  <c r="V260" i="4"/>
  <c r="V30" i="4"/>
  <c r="V262" i="4"/>
  <c r="V239" i="9"/>
  <c r="V235" i="9" s="1"/>
  <c r="V108" i="4"/>
  <c r="V117" i="4"/>
  <c r="V263" i="4"/>
  <c r="V266" i="4"/>
  <c r="V267" i="4"/>
  <c r="V259" i="4"/>
  <c r="V238" i="9"/>
  <c r="V234" i="9" s="1"/>
  <c r="V94" i="4"/>
  <c r="V265" i="4"/>
  <c r="X111" i="4"/>
  <c r="E36" i="2"/>
  <c r="Y58" i="4"/>
  <c r="Y166" i="9"/>
  <c r="AO190" i="9"/>
  <c r="Z353" i="4"/>
  <c r="AI71" i="4"/>
  <c r="AA71" i="4"/>
  <c r="AC222" i="9"/>
  <c r="Y111" i="4"/>
  <c r="Y108" i="4"/>
  <c r="Y263" i="4"/>
  <c r="Y30" i="4"/>
  <c r="Y259" i="4"/>
  <c r="Y240" i="9"/>
  <c r="Y236" i="9" s="1"/>
  <c r="Y260" i="4"/>
  <c r="Y268" i="4"/>
  <c r="Y238" i="9"/>
  <c r="Y234" i="9" s="1"/>
  <c r="Y261" i="4"/>
  <c r="Y117" i="4"/>
  <c r="Y267" i="4"/>
  <c r="Y239" i="9"/>
  <c r="Y235" i="9" s="1"/>
  <c r="Y94" i="4"/>
  <c r="Y262" i="4"/>
  <c r="N26" i="2"/>
  <c r="AL287" i="4"/>
  <c r="AL2" i="9"/>
  <c r="V252" i="4"/>
  <c r="T151" i="9"/>
  <c r="T155" i="9" s="1"/>
  <c r="S77" i="9"/>
  <c r="V90" i="9" s="1"/>
  <c r="BL54" i="9"/>
  <c r="L98" i="4"/>
  <c r="Z287" i="4"/>
  <c r="Z2" i="9"/>
  <c r="Z190" i="9" s="1"/>
  <c r="AO242" i="9"/>
  <c r="AO24" i="4"/>
  <c r="AR273" i="4"/>
  <c r="D16" i="2"/>
  <c r="L30" i="2"/>
  <c r="W165" i="4"/>
  <c r="D48" i="2"/>
  <c r="D40" i="2"/>
  <c r="D20" i="2"/>
  <c r="D5" i="2"/>
  <c r="D50" i="2"/>
  <c r="D41" i="2"/>
  <c r="D17" i="2"/>
  <c r="D10" i="2"/>
  <c r="D7" i="2"/>
  <c r="D43" i="2"/>
  <c r="D15" i="2"/>
  <c r="D11" i="2"/>
  <c r="D9" i="2"/>
  <c r="D47" i="2"/>
  <c r="D18" i="2"/>
  <c r="D12" i="2"/>
  <c r="BL19" i="9"/>
  <c r="BL29" i="9"/>
  <c r="BL21" i="9"/>
  <c r="BL26" i="9"/>
  <c r="BL20" i="9"/>
  <c r="BL24" i="9"/>
  <c r="BL51" i="9"/>
  <c r="BL23" i="9"/>
  <c r="BL31" i="9"/>
  <c r="BL38" i="9"/>
  <c r="BL34" i="9"/>
  <c r="BL36" i="9"/>
  <c r="BL18" i="9"/>
  <c r="BL25" i="9"/>
  <c r="BL35" i="9"/>
  <c r="E190" i="9"/>
  <c r="AR287" i="4"/>
  <c r="AR2" i="9"/>
  <c r="L318" i="4"/>
  <c r="BA190" i="9"/>
  <c r="AS287" i="4"/>
  <c r="AS2" i="9"/>
  <c r="AS190" i="9" s="1"/>
  <c r="AD287" i="4"/>
  <c r="AD2" i="9"/>
  <c r="AD190" i="9" s="1"/>
  <c r="AP287" i="4"/>
  <c r="AP2" i="9"/>
  <c r="AP190" i="9" s="1"/>
  <c r="AX287" i="4"/>
  <c r="AX2" i="9"/>
  <c r="BD287" i="4"/>
  <c r="BD2" i="9"/>
  <c r="Z234" i="4"/>
  <c r="Y234" i="4" s="1"/>
  <c r="Y248" i="4" s="1"/>
  <c r="AD71" i="4"/>
  <c r="W353" i="4"/>
  <c r="BL53" i="9"/>
  <c r="V58" i="4"/>
  <c r="F186" i="4"/>
  <c r="AI190" i="9"/>
  <c r="W287" i="4"/>
  <c r="W2" i="9"/>
  <c r="BM51" i="9" s="1"/>
  <c r="AD221" i="9"/>
  <c r="AD222" i="9" s="1"/>
  <c r="AF211" i="4"/>
  <c r="AD210" i="4"/>
  <c r="AF190" i="9"/>
  <c r="AG7" i="9"/>
  <c r="AH7" i="9" s="1"/>
  <c r="AJ7" i="9" s="1"/>
  <c r="AK7" i="9" s="1"/>
  <c r="AM7" i="9" s="1"/>
  <c r="AN7" i="9" s="1"/>
  <c r="AP7" i="9" s="1"/>
  <c r="AQ7" i="9" s="1"/>
  <c r="AS7" i="9" s="1"/>
  <c r="AT7" i="9" s="1"/>
  <c r="AV7" i="9" s="1"/>
  <c r="AW7" i="9" s="1"/>
  <c r="AY7" i="9" s="1"/>
  <c r="AZ7" i="9" s="1"/>
  <c r="BB7" i="9" s="1"/>
  <c r="BC7" i="9" s="1"/>
  <c r="BE7" i="9" s="1"/>
  <c r="BF7" i="9" s="1"/>
  <c r="AE6" i="9"/>
  <c r="E84" i="4"/>
  <c r="E105" i="4"/>
  <c r="E68" i="4"/>
  <c r="E120" i="4"/>
  <c r="E124" i="4" s="1"/>
  <c r="E127" i="4" s="1"/>
  <c r="E63" i="4"/>
  <c r="E257" i="4"/>
  <c r="N84" i="4"/>
  <c r="N271" i="4"/>
  <c r="N98" i="4"/>
  <c r="N269" i="4"/>
  <c r="N68" i="4"/>
  <c r="L118" i="4"/>
  <c r="N63" i="4"/>
  <c r="Q98" i="4"/>
  <c r="N120" i="4"/>
  <c r="N124" i="4" s="1"/>
  <c r="N127" i="4" s="1"/>
  <c r="N105" i="4"/>
  <c r="M198" i="9"/>
  <c r="M204" i="9" s="1"/>
  <c r="M208" i="9" s="1"/>
  <c r="M67" i="4"/>
  <c r="L104" i="4"/>
  <c r="F84" i="4"/>
  <c r="F120" i="4"/>
  <c r="F124" i="4" s="1"/>
  <c r="F127" i="4" s="1"/>
  <c r="F105" i="4"/>
  <c r="F118" i="4"/>
  <c r="I98" i="4"/>
  <c r="F68" i="4"/>
  <c r="F63" i="4"/>
  <c r="F271" i="4"/>
  <c r="F257" i="4"/>
  <c r="R120" i="4"/>
  <c r="R124" i="4" s="1"/>
  <c r="R127" i="4" s="1"/>
  <c r="R105" i="4"/>
  <c r="K84" i="4"/>
  <c r="K105" i="4"/>
  <c r="K120" i="4"/>
  <c r="K124" i="4" s="1"/>
  <c r="K127" i="4" s="1"/>
  <c r="K269" i="4"/>
  <c r="K68" i="4"/>
  <c r="K271" i="4"/>
  <c r="K63" i="4"/>
  <c r="I118" i="4"/>
  <c r="K98" i="4"/>
  <c r="CE30" i="9"/>
  <c r="X193" i="9"/>
  <c r="X196" i="9" s="1"/>
  <c r="X186" i="9"/>
  <c r="X354" i="4" s="1"/>
  <c r="V71" i="9"/>
  <c r="V353" i="4" s="1"/>
  <c r="V69" i="9"/>
  <c r="AM10" i="9"/>
  <c r="AL10" i="9"/>
  <c r="AO25" i="9"/>
  <c r="AP25" i="9"/>
  <c r="AC133" i="9"/>
  <c r="AK36" i="9"/>
  <c r="AH35" i="9"/>
  <c r="AI36" i="9"/>
  <c r="AI35" i="9" s="1"/>
  <c r="AU142" i="9"/>
  <c r="AV142" i="9"/>
  <c r="AW142" i="9" s="1"/>
  <c r="AO226" i="9"/>
  <c r="AO229" i="9" s="1"/>
  <c r="AO201" i="9" s="1"/>
  <c r="AL229" i="9"/>
  <c r="AL201" i="9" s="1"/>
  <c r="AV36" i="9"/>
  <c r="AE88" i="9"/>
  <c r="AE98" i="9"/>
  <c r="AG98" i="9" s="1"/>
  <c r="AH98" i="9" s="1"/>
  <c r="AJ98" i="9" s="1"/>
  <c r="AK98" i="9" s="1"/>
  <c r="AM98" i="9" s="1"/>
  <c r="AN98" i="9" s="1"/>
  <c r="AP98" i="9" s="1"/>
  <c r="AQ98" i="9" s="1"/>
  <c r="AS98" i="9" s="1"/>
  <c r="AT98" i="9" s="1"/>
  <c r="AV98" i="9" s="1"/>
  <c r="AW98" i="9" s="1"/>
  <c r="AY98" i="9" s="1"/>
  <c r="AZ98" i="9" s="1"/>
  <c r="BB98" i="9" s="1"/>
  <c r="BC98" i="9" s="1"/>
  <c r="BE98" i="9" s="1"/>
  <c r="BF98" i="9" s="1"/>
  <c r="AE97" i="9"/>
  <c r="V192" i="9"/>
  <c r="V180" i="9"/>
  <c r="V188" i="9"/>
  <c r="V12" i="9"/>
  <c r="Y5" i="9"/>
  <c r="AI11" i="9"/>
  <c r="BK160" i="9"/>
  <c r="BN159" i="9"/>
  <c r="AO33" i="9"/>
  <c r="AP33" i="9"/>
  <c r="U193" i="9"/>
  <c r="U196" i="9" s="1"/>
  <c r="U186" i="9"/>
  <c r="U354" i="4" s="1"/>
  <c r="Y192" i="9"/>
  <c r="Y188" i="9"/>
  <c r="Y180" i="9"/>
  <c r="AG201" i="9"/>
  <c r="AN10" i="9"/>
  <c r="W193" i="9"/>
  <c r="W196" i="9" s="1"/>
  <c r="W186" i="9"/>
  <c r="W354" i="4" s="1"/>
  <c r="AJ163" i="9"/>
  <c r="AJ133" i="9"/>
  <c r="V179" i="9"/>
  <c r="V157" i="9"/>
  <c r="AJ8" i="9"/>
  <c r="AI8" i="9"/>
  <c r="AS121" i="9"/>
  <c r="AT121" i="9" s="1"/>
  <c r="AR121" i="9"/>
  <c r="Y69" i="9"/>
  <c r="Y71" i="9"/>
  <c r="Y353" i="4" s="1"/>
  <c r="Z193" i="9"/>
  <c r="Z196" i="9" s="1"/>
  <c r="Z186" i="9"/>
  <c r="Z354" i="4" s="1"/>
  <c r="W184" i="9"/>
  <c r="W187" i="9"/>
  <c r="V155" i="9"/>
  <c r="V158" i="9"/>
  <c r="T192" i="9"/>
  <c r="T180" i="9"/>
  <c r="T184" i="9" s="1"/>
  <c r="BL52" i="9"/>
  <c r="AG165" i="9"/>
  <c r="AE133" i="9"/>
  <c r="AF133" i="9" s="1"/>
  <c r="AE104" i="9"/>
  <c r="AF104" i="9" s="1"/>
  <c r="AF112" i="9" s="1"/>
  <c r="AE51" i="9"/>
  <c r="AF51" i="9" s="1"/>
  <c r="AF61" i="9" s="1"/>
  <c r="AI125" i="9"/>
  <c r="AH126" i="9"/>
  <c r="X187" i="9"/>
  <c r="X184" i="9"/>
  <c r="Y158" i="9"/>
  <c r="Y155" i="9"/>
  <c r="AP124" i="9"/>
  <c r="AO126" i="9"/>
  <c r="AM141" i="9"/>
  <c r="AN141" i="9" s="1"/>
  <c r="AL141" i="9"/>
  <c r="O323" i="4"/>
  <c r="O326" i="4" s="1"/>
  <c r="O329" i="4" s="1"/>
  <c r="AJ215" i="4"/>
  <c r="AH215" i="4"/>
  <c r="AO198" i="4"/>
  <c r="AM198" i="4"/>
  <c r="AK198" i="4"/>
  <c r="J321" i="4"/>
  <c r="J323" i="4" s="1"/>
  <c r="J326" i="4" s="1"/>
  <c r="J329" i="4" s="1"/>
  <c r="AL197" i="4"/>
  <c r="AH197" i="4"/>
  <c r="AJ197" i="4"/>
  <c r="AK227" i="4"/>
  <c r="AM227" i="4"/>
  <c r="AO227" i="4" s="1"/>
  <c r="AK229" i="4"/>
  <c r="AM229" i="4"/>
  <c r="AO229" i="4" s="1"/>
  <c r="AK223" i="4"/>
  <c r="AM223" i="4"/>
  <c r="AO223" i="4" s="1"/>
  <c r="M306" i="4"/>
  <c r="M121" i="4"/>
  <c r="V321" i="4"/>
  <c r="V323" i="4" s="1"/>
  <c r="V326" i="4" s="1"/>
  <c r="V329" i="4" s="1"/>
  <c r="AK226" i="4"/>
  <c r="AM226" i="4"/>
  <c r="AO226" i="4" s="1"/>
  <c r="AG178" i="4"/>
  <c r="AF177" i="4"/>
  <c r="AJ284" i="4"/>
  <c r="AH284" i="4"/>
  <c r="AM182" i="4"/>
  <c r="AO182" i="4" s="1"/>
  <c r="AK182" i="4"/>
  <c r="S232" i="4"/>
  <c r="S321" i="4" s="1"/>
  <c r="S323" i="4" s="1"/>
  <c r="S326" i="4" s="1"/>
  <c r="S329" i="4" s="1"/>
  <c r="T234" i="4"/>
  <c r="T321" i="4"/>
  <c r="T323" i="4" s="1"/>
  <c r="T326" i="4" s="1"/>
  <c r="T329" i="4" s="1"/>
  <c r="AM217" i="4"/>
  <c r="AO217" i="4" s="1"/>
  <c r="AK217" i="4"/>
  <c r="AJ185" i="4"/>
  <c r="AL185" i="4"/>
  <c r="AH185" i="4"/>
  <c r="AP283" i="4"/>
  <c r="AR283" i="4" s="1"/>
  <c r="AN283" i="4"/>
  <c r="Q307" i="4"/>
  <c r="Q308" i="4" s="1"/>
  <c r="P33" i="4"/>
  <c r="P307" i="4" s="1"/>
  <c r="Q39" i="4"/>
  <c r="J306" i="4"/>
  <c r="J308" i="4" s="1"/>
  <c r="J121" i="4"/>
  <c r="AD24" i="4"/>
  <c r="AG222" i="4"/>
  <c r="AE222" i="4"/>
  <c r="AE221" i="4" s="1"/>
  <c r="AF221" i="4"/>
  <c r="G255" i="4"/>
  <c r="K308" i="4"/>
  <c r="M255" i="4"/>
  <c r="P255" i="4"/>
  <c r="N307" i="4"/>
  <c r="N308" i="4" s="1"/>
  <c r="M33" i="4"/>
  <c r="M307" i="4" s="1"/>
  <c r="N39" i="4"/>
  <c r="AI142" i="4"/>
  <c r="X321" i="4"/>
  <c r="X323" i="4" s="1"/>
  <c r="X326" i="4" s="1"/>
  <c r="X329" i="4" s="1"/>
  <c r="X234" i="4"/>
  <c r="G39" i="4"/>
  <c r="AG225" i="4"/>
  <c r="AI225" i="4" s="1"/>
  <c r="AE225" i="4"/>
  <c r="AF224" i="4"/>
  <c r="AD126" i="4"/>
  <c r="R7" i="4"/>
  <c r="S7" i="4" s="1"/>
  <c r="Q7" i="4"/>
  <c r="S39" i="4"/>
  <c r="P306" i="4"/>
  <c r="P121" i="4"/>
  <c r="R166" i="4"/>
  <c r="S163" i="4"/>
  <c r="Y321" i="4"/>
  <c r="Y323" i="4" s="1"/>
  <c r="Y326" i="4" s="1"/>
  <c r="Y329" i="4" s="1"/>
  <c r="AI237" i="4"/>
  <c r="P48" i="2" s="1"/>
  <c r="AG237" i="4"/>
  <c r="AE237" i="4"/>
  <c r="O234" i="4"/>
  <c r="O248" i="4" s="1"/>
  <c r="J255" i="4"/>
  <c r="M234" i="4"/>
  <c r="M248" i="4" s="1"/>
  <c r="N248" i="4"/>
  <c r="AD238" i="4"/>
  <c r="AE241" i="4"/>
  <c r="O304" i="4"/>
  <c r="O309" i="4" s="1"/>
  <c r="O57" i="4"/>
  <c r="O47" i="4"/>
  <c r="O103" i="4"/>
  <c r="AM216" i="4"/>
  <c r="AO216" i="4" s="1"/>
  <c r="AK216" i="4"/>
  <c r="Z138" i="4"/>
  <c r="AA138" i="4" s="1"/>
  <c r="AA143" i="4" s="1"/>
  <c r="Y143" i="4"/>
  <c r="G232" i="4"/>
  <c r="G321" i="4" s="1"/>
  <c r="G323" i="4" s="1"/>
  <c r="G326" i="4" s="1"/>
  <c r="G329" i="4" s="1"/>
  <c r="H321" i="4"/>
  <c r="H323" i="4" s="1"/>
  <c r="H326" i="4" s="1"/>
  <c r="H329" i="4" s="1"/>
  <c r="H234" i="4"/>
  <c r="V255" i="4"/>
  <c r="AI214" i="4"/>
  <c r="L321" i="4"/>
  <c r="L234" i="4"/>
  <c r="L248" i="4" s="1"/>
  <c r="L269" i="4"/>
  <c r="AC280" i="4"/>
  <c r="AC274" i="4" s="1"/>
  <c r="AB285" i="4"/>
  <c r="AB280" i="4" s="1"/>
  <c r="AD285" i="4"/>
  <c r="P232" i="4"/>
  <c r="P321" i="4" s="1"/>
  <c r="P323" i="4" s="1"/>
  <c r="P326" i="4" s="1"/>
  <c r="P329" i="4" s="1"/>
  <c r="Q234" i="4"/>
  <c r="Q321" i="4"/>
  <c r="Q323" i="4" s="1"/>
  <c r="Q326" i="4" s="1"/>
  <c r="Q329" i="4" s="1"/>
  <c r="S255" i="4"/>
  <c r="AM212" i="4"/>
  <c r="AO212" i="4" s="1"/>
  <c r="AK212" i="4"/>
  <c r="H104" i="4" l="1"/>
  <c r="P127" i="4"/>
  <c r="S180" i="9"/>
  <c r="S184" i="9" s="1"/>
  <c r="J165" i="4"/>
  <c r="J166" i="4" s="1"/>
  <c r="R68" i="4"/>
  <c r="R271" i="4"/>
  <c r="R257" i="4"/>
  <c r="R84" i="4"/>
  <c r="R63" i="4"/>
  <c r="R98" i="4"/>
  <c r="J120" i="4"/>
  <c r="J124" i="4" s="1"/>
  <c r="T120" i="4"/>
  <c r="T124" i="4" s="1"/>
  <c r="T127" i="4" s="1"/>
  <c r="S127" i="4" s="1"/>
  <c r="T98" i="4"/>
  <c r="H56" i="4"/>
  <c r="H47" i="4" s="1"/>
  <c r="T63" i="4"/>
  <c r="T64" i="4" s="1"/>
  <c r="AB109" i="4"/>
  <c r="AS24" i="4"/>
  <c r="J163" i="4"/>
  <c r="AV273" i="4"/>
  <c r="AV242" i="9" s="1"/>
  <c r="AP37" i="9"/>
  <c r="AR37" i="9" s="1"/>
  <c r="AF24" i="4"/>
  <c r="R118" i="4"/>
  <c r="M127" i="4"/>
  <c r="T269" i="4"/>
  <c r="T271" i="4"/>
  <c r="T105" i="4"/>
  <c r="T257" i="4"/>
  <c r="T84" i="4"/>
  <c r="T68" i="4"/>
  <c r="E323" i="4"/>
  <c r="E326" i="4" s="1"/>
  <c r="E329" i="4" s="1"/>
  <c r="N163" i="4"/>
  <c r="N165" i="4" s="1"/>
  <c r="N166" i="4" s="1"/>
  <c r="AO37" i="9"/>
  <c r="J118" i="4"/>
  <c r="J115" i="4"/>
  <c r="J234" i="4"/>
  <c r="J248" i="4" s="1"/>
  <c r="K166" i="4"/>
  <c r="J257" i="4"/>
  <c r="J269" i="4"/>
  <c r="J68" i="4"/>
  <c r="J105" i="4"/>
  <c r="L64" i="4"/>
  <c r="L97" i="4"/>
  <c r="L115" i="4"/>
  <c r="J84" i="4"/>
  <c r="L56" i="4"/>
  <c r="O96" i="4" s="1"/>
  <c r="AE245" i="4"/>
  <c r="AG245" i="4"/>
  <c r="G127" i="4"/>
  <c r="G120" i="4"/>
  <c r="G124" i="4" s="1"/>
  <c r="O86" i="4"/>
  <c r="O87" i="4" s="1"/>
  <c r="O90" i="4" s="1"/>
  <c r="P86" i="4" s="1"/>
  <c r="P87" i="4" s="1"/>
  <c r="P90" i="4" s="1"/>
  <c r="AI9" i="9"/>
  <c r="BC148" i="4"/>
  <c r="BE148" i="4" s="1"/>
  <c r="BA148" i="4"/>
  <c r="Z248" i="4"/>
  <c r="Z88" i="4"/>
  <c r="Z147" i="4" s="1"/>
  <c r="Y196" i="9"/>
  <c r="Y198" i="9" s="1"/>
  <c r="Y204" i="9" s="1"/>
  <c r="Y231" i="9" s="1"/>
  <c r="Y186" i="9"/>
  <c r="Y354" i="4" s="1"/>
  <c r="G271" i="4"/>
  <c r="P115" i="4"/>
  <c r="J127" i="4"/>
  <c r="V234" i="4"/>
  <c r="V248" i="4" s="1"/>
  <c r="P105" i="4"/>
  <c r="G105" i="4"/>
  <c r="G84" i="4"/>
  <c r="AF42" i="4"/>
  <c r="AE42" i="4" s="1"/>
  <c r="AA88" i="4"/>
  <c r="AA147" i="4" s="1"/>
  <c r="P120" i="4"/>
  <c r="P124" i="4" s="1"/>
  <c r="P128" i="4" s="1"/>
  <c r="P257" i="4"/>
  <c r="AF98" i="9"/>
  <c r="P118" i="4"/>
  <c r="I115" i="4"/>
  <c r="AF352" i="4"/>
  <c r="G68" i="4"/>
  <c r="P84" i="4"/>
  <c r="G257" i="4"/>
  <c r="J98" i="4"/>
  <c r="P271" i="4"/>
  <c r="P98" i="4"/>
  <c r="AF88" i="9"/>
  <c r="P68" i="4"/>
  <c r="G118" i="4"/>
  <c r="R115" i="4"/>
  <c r="L323" i="4"/>
  <c r="L326" i="4" s="1"/>
  <c r="L329" i="4" s="1"/>
  <c r="M257" i="4"/>
  <c r="M269" i="4"/>
  <c r="BO26" i="9"/>
  <c r="AH142" i="4"/>
  <c r="S150" i="9"/>
  <c r="S179" i="9" s="1"/>
  <c r="S193" i="9" s="1"/>
  <c r="S196" i="9" s="1"/>
  <c r="S67" i="4" s="1"/>
  <c r="BO31" i="9"/>
  <c r="AD109" i="4"/>
  <c r="BN38" i="9"/>
  <c r="BN51" i="9"/>
  <c r="AH245" i="4"/>
  <c r="AL245" i="4"/>
  <c r="AJ245" i="4"/>
  <c r="Q64" i="4"/>
  <c r="Q104" i="4"/>
  <c r="P63" i="4"/>
  <c r="Q56" i="4"/>
  <c r="BM54" i="9"/>
  <c r="BM26" i="9"/>
  <c r="BM38" i="9"/>
  <c r="BM53" i="9"/>
  <c r="L5" i="2"/>
  <c r="BC125" i="9"/>
  <c r="BD125" i="9" s="1"/>
  <c r="BE125" i="9"/>
  <c r="BF125" i="9" s="1"/>
  <c r="BG125" i="9" s="1"/>
  <c r="BN21" i="9"/>
  <c r="BN29" i="9"/>
  <c r="E40" i="2"/>
  <c r="F20" i="2"/>
  <c r="BN18" i="9"/>
  <c r="BM28" i="9"/>
  <c r="BN24" i="9"/>
  <c r="BN20" i="9"/>
  <c r="BN54" i="9"/>
  <c r="BM20" i="9"/>
  <c r="E43" i="2"/>
  <c r="E7" i="2"/>
  <c r="F43" i="2"/>
  <c r="F41" i="2"/>
  <c r="F48" i="2"/>
  <c r="F11" i="2"/>
  <c r="AJ142" i="4"/>
  <c r="BN53" i="9"/>
  <c r="E16" i="2"/>
  <c r="AF96" i="9"/>
  <c r="D42" i="2"/>
  <c r="BL43" i="9"/>
  <c r="BL42" i="9"/>
  <c r="BL44" i="9"/>
  <c r="D19" i="2"/>
  <c r="D21" i="2" s="1"/>
  <c r="BL58" i="9"/>
  <c r="D44" i="2"/>
  <c r="D51" i="2"/>
  <c r="AL71" i="4"/>
  <c r="AR190" i="9"/>
  <c r="V242" i="9"/>
  <c r="W245" i="9"/>
  <c r="V245" i="9" s="1"/>
  <c r="Z198" i="9"/>
  <c r="Z204" i="9" s="1"/>
  <c r="Z208" i="9" s="1"/>
  <c r="Z67" i="4"/>
  <c r="AG71" i="4"/>
  <c r="AO71" i="4"/>
  <c r="AD21" i="9"/>
  <c r="AE21" i="9" s="1"/>
  <c r="AD149" i="4"/>
  <c r="AD150" i="4"/>
  <c r="W190" i="9"/>
  <c r="BO21" i="9"/>
  <c r="BM52" i="9"/>
  <c r="AG31" i="9"/>
  <c r="BD190" i="9"/>
  <c r="BM34" i="9"/>
  <c r="BM19" i="9"/>
  <c r="BM36" i="9"/>
  <c r="BL47" i="9"/>
  <c r="BL56" i="9"/>
  <c r="BN31" i="9"/>
  <c r="BM29" i="9"/>
  <c r="BM18" i="9"/>
  <c r="BM56" i="9" s="1"/>
  <c r="F17" i="2"/>
  <c r="F7" i="2"/>
  <c r="F13" i="2"/>
  <c r="E48" i="2"/>
  <c r="F5" i="2"/>
  <c r="H9" i="2"/>
  <c r="F16" i="2"/>
  <c r="F40" i="2"/>
  <c r="D8" i="2"/>
  <c r="E11" i="2"/>
  <c r="H17" i="2"/>
  <c r="F47" i="2"/>
  <c r="E13" i="2"/>
  <c r="D49" i="2"/>
  <c r="Z163" i="4"/>
  <c r="W166" i="4"/>
  <c r="X163" i="4"/>
  <c r="X165" i="4" s="1"/>
  <c r="Y163" i="4" s="1"/>
  <c r="AJ31" i="9"/>
  <c r="AK31" i="9" s="1"/>
  <c r="AJ24" i="9"/>
  <c r="AK24" i="9" s="1"/>
  <c r="AL190" i="9"/>
  <c r="AA109" i="4"/>
  <c r="AA69" i="4"/>
  <c r="AB21" i="9"/>
  <c r="AC190" i="9"/>
  <c r="I56" i="4"/>
  <c r="I64" i="4"/>
  <c r="I104" i="4"/>
  <c r="AD24" i="9"/>
  <c r="AE24" i="9" s="1"/>
  <c r="AG21" i="9"/>
  <c r="AH21" i="9" s="1"/>
  <c r="AX190" i="9"/>
  <c r="BL57" i="9"/>
  <c r="BP34" i="9"/>
  <c r="AF221" i="9"/>
  <c r="AF210" i="4"/>
  <c r="AF150" i="4" s="1"/>
  <c r="AE211" i="4"/>
  <c r="AE221" i="9" s="1"/>
  <c r="AE222" i="9" s="1"/>
  <c r="AG211" i="4"/>
  <c r="BN34" i="9"/>
  <c r="BN23" i="9"/>
  <c r="BM21" i="9"/>
  <c r="BN36" i="9"/>
  <c r="F10" i="2"/>
  <c r="L6" i="2"/>
  <c r="E20" i="2"/>
  <c r="E5" i="2"/>
  <c r="E6" i="2" s="1"/>
  <c r="M6" i="2"/>
  <c r="G17" i="2"/>
  <c r="M7" i="2"/>
  <c r="F12" i="2"/>
  <c r="F18" i="2"/>
  <c r="F9" i="2"/>
  <c r="F15" i="2"/>
  <c r="E50" i="2"/>
  <c r="BN28" i="9"/>
  <c r="I17" i="2"/>
  <c r="AG6" i="9"/>
  <c r="V24" i="4"/>
  <c r="Y273" i="4"/>
  <c r="Y24" i="4" s="1"/>
  <c r="BP21" i="9"/>
  <c r="W198" i="9"/>
  <c r="W204" i="9" s="1"/>
  <c r="W208" i="9" s="1"/>
  <c r="W67" i="4"/>
  <c r="U198" i="9"/>
  <c r="U204" i="9" s="1"/>
  <c r="U231" i="9" s="1"/>
  <c r="U67" i="4"/>
  <c r="X198" i="9"/>
  <c r="X204" i="9" s="1"/>
  <c r="X208" i="9" s="1"/>
  <c r="X67" i="4"/>
  <c r="AH6" i="9"/>
  <c r="AK6" i="9" s="1"/>
  <c r="AN6" i="9" s="1"/>
  <c r="AQ6" i="9" s="1"/>
  <c r="AT6" i="9" s="1"/>
  <c r="AW6" i="9" s="1"/>
  <c r="AZ6" i="9" s="1"/>
  <c r="BC6" i="9" s="1"/>
  <c r="BF6" i="9" s="1"/>
  <c r="AD31" i="9"/>
  <c r="AG24" i="9"/>
  <c r="AH24" i="9" s="1"/>
  <c r="F320" i="4"/>
  <c r="F200" i="4"/>
  <c r="F201" i="4" s="1"/>
  <c r="BN26" i="9"/>
  <c r="BM25" i="9"/>
  <c r="BM24" i="9"/>
  <c r="BM31" i="9"/>
  <c r="BN19" i="9"/>
  <c r="BN35" i="9"/>
  <c r="BM35" i="9"/>
  <c r="BN52" i="9"/>
  <c r="BN25" i="9"/>
  <c r="F50" i="2"/>
  <c r="L7" i="2"/>
  <c r="E12" i="2"/>
  <c r="E18" i="2"/>
  <c r="E47" i="2"/>
  <c r="E9" i="2"/>
  <c r="E15" i="2"/>
  <c r="M5" i="2"/>
  <c r="E10" i="2"/>
  <c r="E17" i="2"/>
  <c r="E41" i="2"/>
  <c r="AF6" i="9"/>
  <c r="AF7" i="9" s="1"/>
  <c r="AR242" i="9"/>
  <c r="AR24" i="4"/>
  <c r="AU273" i="4"/>
  <c r="D14" i="2"/>
  <c r="BM23" i="9"/>
  <c r="M84" i="4"/>
  <c r="M105" i="4"/>
  <c r="M68" i="4"/>
  <c r="M115" i="4"/>
  <c r="M98" i="4"/>
  <c r="M120" i="4"/>
  <c r="M124" i="4" s="1"/>
  <c r="O115" i="4"/>
  <c r="M118" i="4"/>
  <c r="M271" i="4"/>
  <c r="N64" i="4"/>
  <c r="Q97" i="4"/>
  <c r="N97" i="4"/>
  <c r="M63" i="4"/>
  <c r="N104" i="4"/>
  <c r="N56" i="4"/>
  <c r="K56" i="4"/>
  <c r="K104" i="4"/>
  <c r="K97" i="4"/>
  <c r="K64" i="4"/>
  <c r="J63" i="4"/>
  <c r="R104" i="4"/>
  <c r="R97" i="4"/>
  <c r="R64" i="4"/>
  <c r="R56" i="4"/>
  <c r="I97" i="4"/>
  <c r="F56" i="4"/>
  <c r="G63" i="4"/>
  <c r="F64" i="4"/>
  <c r="F104" i="4"/>
  <c r="E104" i="4"/>
  <c r="E64" i="4"/>
  <c r="E56" i="4"/>
  <c r="H97" i="4"/>
  <c r="AB22" i="9"/>
  <c r="AP126" i="9"/>
  <c r="AS124" i="9"/>
  <c r="AQ124" i="9"/>
  <c r="AE68" i="9"/>
  <c r="AE74" i="9" s="1"/>
  <c r="AH165" i="9"/>
  <c r="AK163" i="9"/>
  <c r="Y187" i="9"/>
  <c r="Y184" i="9"/>
  <c r="BK161" i="9"/>
  <c r="BK162" i="9" s="1"/>
  <c r="BN160" i="9"/>
  <c r="V184" i="9"/>
  <c r="V187" i="9"/>
  <c r="AY142" i="9"/>
  <c r="AZ142" i="9" s="1"/>
  <c r="AX142" i="9"/>
  <c r="AI43" i="9"/>
  <c r="BQ21" i="9"/>
  <c r="AM133" i="9"/>
  <c r="AM51" i="9"/>
  <c r="AM104" i="9"/>
  <c r="AF68" i="9"/>
  <c r="AQ10" i="9"/>
  <c r="AH133" i="9"/>
  <c r="AI133" i="9" s="1"/>
  <c r="AH104" i="9"/>
  <c r="AI104" i="9" s="1"/>
  <c r="AI112" i="9" s="1"/>
  <c r="AH51" i="9"/>
  <c r="AI51" i="9" s="1"/>
  <c r="AI61" i="9" s="1"/>
  <c r="AS25" i="9"/>
  <c r="AR25" i="9"/>
  <c r="AP10" i="9"/>
  <c r="AO10" i="9"/>
  <c r="AM8" i="9"/>
  <c r="AL8" i="9"/>
  <c r="AL9" i="9" s="1"/>
  <c r="V193" i="9"/>
  <c r="V196" i="9" s="1"/>
  <c r="V186" i="9"/>
  <c r="V354" i="4" s="1"/>
  <c r="Y13" i="9"/>
  <c r="V15" i="9"/>
  <c r="AY36" i="9"/>
  <c r="AJ201" i="9"/>
  <c r="AK201" i="9" s="1"/>
  <c r="AK35" i="9"/>
  <c r="AN36" i="9"/>
  <c r="AL36" i="9"/>
  <c r="AL35" i="9" s="1"/>
  <c r="AS33" i="9"/>
  <c r="AR33" i="9"/>
  <c r="AO141" i="9"/>
  <c r="AP141" i="9"/>
  <c r="AQ141" i="9" s="1"/>
  <c r="AJ125" i="9"/>
  <c r="AI126" i="9"/>
  <c r="AV121" i="9"/>
  <c r="AW121" i="9" s="1"/>
  <c r="AU121" i="9"/>
  <c r="AH201" i="9"/>
  <c r="AM201" i="9"/>
  <c r="AL11" i="9"/>
  <c r="AP212" i="4"/>
  <c r="AR212" i="4" s="1"/>
  <c r="AN212" i="4"/>
  <c r="AG224" i="4"/>
  <c r="AE224" i="4"/>
  <c r="AF126" i="4"/>
  <c r="AE126" i="4" s="1"/>
  <c r="P39" i="4"/>
  <c r="AP217" i="4"/>
  <c r="AR217" i="4" s="1"/>
  <c r="AN217" i="4"/>
  <c r="S234" i="4"/>
  <c r="S248" i="4" s="1"/>
  <c r="T248" i="4"/>
  <c r="AL284" i="4"/>
  <c r="AN223" i="4"/>
  <c r="AP223" i="4"/>
  <c r="AR223" i="4" s="1"/>
  <c r="AN227" i="4"/>
  <c r="AP227" i="4"/>
  <c r="AR227" i="4" s="1"/>
  <c r="AF285" i="4"/>
  <c r="AD280" i="4"/>
  <c r="AD274" i="4" s="1"/>
  <c r="AJ214" i="4"/>
  <c r="AH214" i="4"/>
  <c r="G234" i="4"/>
  <c r="G248" i="4" s="1"/>
  <c r="H248" i="4"/>
  <c r="AN216" i="4"/>
  <c r="AP216" i="4"/>
  <c r="AR216" i="4" s="1"/>
  <c r="AB274" i="4"/>
  <c r="AC88" i="4"/>
  <c r="AM185" i="4"/>
  <c r="AK185" i="4"/>
  <c r="AO185" i="4"/>
  <c r="T86" i="4"/>
  <c r="T87" i="4" s="1"/>
  <c r="T90" i="4" s="1"/>
  <c r="R86" i="4"/>
  <c r="R87" i="4" s="1"/>
  <c r="R90" i="4" s="1"/>
  <c r="S86" i="4" s="1"/>
  <c r="S87" i="4" s="1"/>
  <c r="S90" i="4" s="1"/>
  <c r="AE177" i="4"/>
  <c r="AO197" i="4"/>
  <c r="AM197" i="4"/>
  <c r="AK197" i="4"/>
  <c r="AL142" i="4"/>
  <c r="Q248" i="4"/>
  <c r="P234" i="4"/>
  <c r="P248" i="4" s="1"/>
  <c r="L166" i="4"/>
  <c r="M163" i="4"/>
  <c r="X243" i="4"/>
  <c r="X244" i="4" s="1"/>
  <c r="AP182" i="4"/>
  <c r="AR182" i="4" s="1"/>
  <c r="AN182" i="4"/>
  <c r="AL237" i="4"/>
  <c r="AH237" i="4"/>
  <c r="AJ237" i="4"/>
  <c r="AJ225" i="4"/>
  <c r="AL225" i="4" s="1"/>
  <c r="AH225" i="4"/>
  <c r="M39" i="4"/>
  <c r="AS283" i="4"/>
  <c r="AU283" i="4" s="1"/>
  <c r="AQ283" i="4"/>
  <c r="O102" i="4"/>
  <c r="O48" i="4"/>
  <c r="O45" i="4"/>
  <c r="O40" i="4" s="1"/>
  <c r="O331" i="4"/>
  <c r="AF241" i="4"/>
  <c r="AE238" i="4"/>
  <c r="T7" i="4"/>
  <c r="U7" i="4"/>
  <c r="V7" i="4" s="1"/>
  <c r="Z143" i="4"/>
  <c r="P308" i="4"/>
  <c r="AG221" i="4"/>
  <c r="AI222" i="4"/>
  <c r="AH178" i="4"/>
  <c r="AI178" i="4" s="1"/>
  <c r="AG177" i="4"/>
  <c r="AN226" i="4"/>
  <c r="AP226" i="4"/>
  <c r="AR226" i="4" s="1"/>
  <c r="M308" i="4"/>
  <c r="AN229" i="4"/>
  <c r="AP229" i="4"/>
  <c r="AR229" i="4" s="1"/>
  <c r="AP198" i="4"/>
  <c r="AN198" i="4"/>
  <c r="AR198" i="4"/>
  <c r="AL215" i="4"/>
  <c r="H304" i="4" l="1"/>
  <c r="H309" i="4" s="1"/>
  <c r="H331" i="4" s="1"/>
  <c r="H57" i="4"/>
  <c r="H96" i="4"/>
  <c r="T97" i="4"/>
  <c r="M165" i="4"/>
  <c r="M166" i="4" s="1"/>
  <c r="AS37" i="9"/>
  <c r="AV37" i="9" s="1"/>
  <c r="O163" i="4"/>
  <c r="O165" i="4" s="1"/>
  <c r="O166" i="4" s="1"/>
  <c r="H103" i="4"/>
  <c r="L47" i="4"/>
  <c r="O95" i="4" s="1"/>
  <c r="L57" i="4"/>
  <c r="AY273" i="4"/>
  <c r="AY242" i="9" s="1"/>
  <c r="AP35" i="9"/>
  <c r="AP104" i="9" s="1"/>
  <c r="AV24" i="4"/>
  <c r="S63" i="4"/>
  <c r="S64" i="4" s="1"/>
  <c r="T56" i="4"/>
  <c r="T96" i="4" s="1"/>
  <c r="S120" i="4"/>
  <c r="S124" i="4" s="1"/>
  <c r="S128" i="4" s="1"/>
  <c r="S162" i="4" s="1"/>
  <c r="T104" i="4"/>
  <c r="L103" i="4"/>
  <c r="L304" i="4"/>
  <c r="L309" i="4" s="1"/>
  <c r="L331" i="4" s="1"/>
  <c r="Y67" i="4"/>
  <c r="Y84" i="4" s="1"/>
  <c r="S198" i="9"/>
  <c r="S204" i="9" s="1"/>
  <c r="S208" i="9" s="1"/>
  <c r="G128" i="4"/>
  <c r="G154" i="4" s="1"/>
  <c r="AK142" i="4"/>
  <c r="M128" i="4"/>
  <c r="M22" i="4" s="1"/>
  <c r="Y88" i="4"/>
  <c r="J128" i="4"/>
  <c r="J162" i="4" s="1"/>
  <c r="BD148" i="4"/>
  <c r="BF148" i="4"/>
  <c r="BG148" i="4" s="1"/>
  <c r="X166" i="4"/>
  <c r="Y208" i="9"/>
  <c r="M8" i="2" s="1"/>
  <c r="W231" i="9"/>
  <c r="Z231" i="9"/>
  <c r="AA160" i="4"/>
  <c r="AA161" i="4" s="1"/>
  <c r="AA152" i="4"/>
  <c r="AA154" i="4" s="1"/>
  <c r="E51" i="2"/>
  <c r="BN42" i="9"/>
  <c r="BN44" i="9"/>
  <c r="AE150" i="4"/>
  <c r="X231" i="9"/>
  <c r="E49" i="2"/>
  <c r="BN58" i="9"/>
  <c r="BN56" i="9"/>
  <c r="E42" i="2"/>
  <c r="BN43" i="9"/>
  <c r="E44" i="2"/>
  <c r="BN59" i="9"/>
  <c r="BM58" i="9"/>
  <c r="F49" i="2"/>
  <c r="BM59" i="9"/>
  <c r="F28" i="2"/>
  <c r="BN47" i="9"/>
  <c r="Q304" i="4"/>
  <c r="Q309" i="4" s="1"/>
  <c r="Q331" i="4" s="1"/>
  <c r="Q47" i="4"/>
  <c r="Q57" i="4"/>
  <c r="Q103" i="4"/>
  <c r="P56" i="4"/>
  <c r="R113" i="4" s="1"/>
  <c r="P114" i="4"/>
  <c r="P104" i="4"/>
  <c r="P64" i="4"/>
  <c r="AK245" i="4"/>
  <c r="AM245" i="4"/>
  <c r="AO245" i="4"/>
  <c r="R114" i="4"/>
  <c r="U84" i="4"/>
  <c r="AO142" i="4"/>
  <c r="AH68" i="9"/>
  <c r="AH74" i="9" s="1"/>
  <c r="AM142" i="4"/>
  <c r="W84" i="4"/>
  <c r="M10" i="2"/>
  <c r="F19" i="2"/>
  <c r="F21" i="2" s="1"/>
  <c r="BM47" i="9"/>
  <c r="BM57" i="9"/>
  <c r="BM42" i="9"/>
  <c r="E3" i="2"/>
  <c r="E19" i="2"/>
  <c r="E21" i="2" s="1"/>
  <c r="L8" i="2"/>
  <c r="L11" i="2"/>
  <c r="L9" i="2"/>
  <c r="X63" i="4"/>
  <c r="X105" i="4"/>
  <c r="X120" i="4"/>
  <c r="X124" i="4" s="1"/>
  <c r="X126" i="4" s="1"/>
  <c r="X98" i="4"/>
  <c r="X68" i="4"/>
  <c r="X257" i="4"/>
  <c r="X118" i="4"/>
  <c r="X269" i="4"/>
  <c r="X76" i="4"/>
  <c r="M9" i="2"/>
  <c r="M11" i="2"/>
  <c r="O44" i="2"/>
  <c r="AF149" i="4"/>
  <c r="AF109" i="4"/>
  <c r="AE210" i="4"/>
  <c r="AE109" i="4" s="1"/>
  <c r="E28" i="2"/>
  <c r="AG29" i="9"/>
  <c r="AH31" i="9"/>
  <c r="AH29" i="9" s="1"/>
  <c r="Z105" i="4"/>
  <c r="Z257" i="4"/>
  <c r="Z98" i="4"/>
  <c r="Z63" i="4"/>
  <c r="Z271" i="4"/>
  <c r="Z68" i="4"/>
  <c r="Z120" i="4"/>
  <c r="Z76" i="4"/>
  <c r="Z269" i="4"/>
  <c r="F32" i="2" s="1"/>
  <c r="M14" i="2"/>
  <c r="BN61" i="9"/>
  <c r="AH71" i="4"/>
  <c r="Y242" i="9"/>
  <c r="Z245" i="9"/>
  <c r="Y245" i="9" s="1"/>
  <c r="E8" i="2"/>
  <c r="AF222" i="9"/>
  <c r="I304" i="4"/>
  <c r="I309" i="4" s="1"/>
  <c r="I331" i="4" s="1"/>
  <c r="I57" i="4"/>
  <c r="I103" i="4"/>
  <c r="I47" i="4"/>
  <c r="E14" i="2"/>
  <c r="F14" i="2"/>
  <c r="F42" i="2"/>
  <c r="AB273" i="4"/>
  <c r="AB24" i="4" s="1"/>
  <c r="AJ71" i="4"/>
  <c r="V198" i="9"/>
  <c r="V204" i="9" s="1"/>
  <c r="V208" i="9" s="1"/>
  <c r="V67" i="4"/>
  <c r="V98" i="4" s="1"/>
  <c r="U208" i="9"/>
  <c r="L96" i="4"/>
  <c r="AU242" i="9"/>
  <c r="AU24" i="4"/>
  <c r="AX273" i="4"/>
  <c r="Z152" i="4"/>
  <c r="M29" i="2" s="1"/>
  <c r="Z160" i="4"/>
  <c r="Y147" i="4"/>
  <c r="Y152" i="4" s="1"/>
  <c r="BN57" i="9"/>
  <c r="F234" i="4"/>
  <c r="F248" i="4" s="1"/>
  <c r="F269" i="4"/>
  <c r="F321" i="4"/>
  <c r="F323" i="4" s="1"/>
  <c r="F326" i="4" s="1"/>
  <c r="F329" i="4" s="1"/>
  <c r="G269" i="4"/>
  <c r="U120" i="4"/>
  <c r="U124" i="4" s="1"/>
  <c r="U126" i="4" s="1"/>
  <c r="U68" i="4"/>
  <c r="U105" i="4"/>
  <c r="U63" i="4"/>
  <c r="U118" i="4"/>
  <c r="U271" i="4"/>
  <c r="U76" i="4"/>
  <c r="U257" i="4"/>
  <c r="U269" i="4"/>
  <c r="U98" i="4"/>
  <c r="W120" i="4"/>
  <c r="BM61" i="9"/>
  <c r="L14" i="2"/>
  <c r="W105" i="4"/>
  <c r="W68" i="4"/>
  <c r="W63" i="4"/>
  <c r="W271" i="4"/>
  <c r="W257" i="4"/>
  <c r="W269" i="4"/>
  <c r="E32" i="2" s="1"/>
  <c r="W76" i="4"/>
  <c r="W98" i="4"/>
  <c r="AG221" i="9"/>
  <c r="AI211" i="4"/>
  <c r="AG210" i="4"/>
  <c r="AG150" i="4" s="1"/>
  <c r="F44" i="2"/>
  <c r="AB24" i="9"/>
  <c r="BM44" i="9"/>
  <c r="AM71" i="4"/>
  <c r="F6" i="2"/>
  <c r="F8" i="2"/>
  <c r="F3" i="2"/>
  <c r="AD88" i="4"/>
  <c r="AD147" i="4" s="1"/>
  <c r="AD160" i="4" s="1"/>
  <c r="AD245" i="9"/>
  <c r="E26" i="2"/>
  <c r="Y76" i="4"/>
  <c r="Y78" i="4" s="1"/>
  <c r="M25" i="2"/>
  <c r="AN201" i="9"/>
  <c r="AK71" i="4"/>
  <c r="E27" i="2"/>
  <c r="E29" i="2"/>
  <c r="F51" i="2"/>
  <c r="BM43" i="9"/>
  <c r="AD29" i="9"/>
  <c r="AE31" i="9"/>
  <c r="AE29" i="9" s="1"/>
  <c r="X84" i="4"/>
  <c r="AJ6" i="9"/>
  <c r="AI6" i="9"/>
  <c r="AI7" i="9" s="1"/>
  <c r="F26" i="2"/>
  <c r="F29" i="2"/>
  <c r="F27" i="2"/>
  <c r="Z84" i="4"/>
  <c r="L10" i="2"/>
  <c r="F103" i="4"/>
  <c r="I96" i="4"/>
  <c r="F47" i="4"/>
  <c r="G56" i="4"/>
  <c r="F57" i="4"/>
  <c r="F304" i="4"/>
  <c r="F309" i="4" s="1"/>
  <c r="S84" i="4"/>
  <c r="S68" i="4"/>
  <c r="S105" i="4"/>
  <c r="S115" i="4"/>
  <c r="U115" i="4"/>
  <c r="S269" i="4"/>
  <c r="S118" i="4"/>
  <c r="S98" i="4"/>
  <c r="S271" i="4"/>
  <c r="S257" i="4"/>
  <c r="N304" i="4"/>
  <c r="N309" i="4" s="1"/>
  <c r="N331" i="4" s="1"/>
  <c r="N103" i="4"/>
  <c r="N96" i="4"/>
  <c r="N57" i="4"/>
  <c r="Q96" i="4"/>
  <c r="N47" i="4"/>
  <c r="M56" i="4"/>
  <c r="E57" i="4"/>
  <c r="E304" i="4"/>
  <c r="E309" i="4" s="1"/>
  <c r="E331" i="4" s="1"/>
  <c r="E103" i="4"/>
  <c r="E47" i="4"/>
  <c r="H95" i="4" s="1"/>
  <c r="R103" i="4"/>
  <c r="R304" i="4"/>
  <c r="R309" i="4" s="1"/>
  <c r="R331" i="4" s="1"/>
  <c r="R47" i="4"/>
  <c r="R96" i="4"/>
  <c r="R57" i="4"/>
  <c r="J104" i="4"/>
  <c r="J64" i="4"/>
  <c r="J114" i="4"/>
  <c r="L114" i="4"/>
  <c r="J97" i="4"/>
  <c r="K47" i="4"/>
  <c r="K304" i="4"/>
  <c r="K309" i="4" s="1"/>
  <c r="K331" i="4" s="1"/>
  <c r="K96" i="4"/>
  <c r="K103" i="4"/>
  <c r="J56" i="4"/>
  <c r="K57" i="4"/>
  <c r="O114" i="4"/>
  <c r="M104" i="4"/>
  <c r="M97" i="4"/>
  <c r="M114" i="4"/>
  <c r="P97" i="4"/>
  <c r="M64" i="4"/>
  <c r="I114" i="4"/>
  <c r="G114" i="4"/>
  <c r="G104" i="4"/>
  <c r="G64" i="4"/>
  <c r="H45" i="4"/>
  <c r="H40" i="4" s="1"/>
  <c r="H48" i="4"/>
  <c r="H102" i="4"/>
  <c r="AS141" i="9"/>
  <c r="AT141" i="9" s="1"/>
  <c r="AR141" i="9"/>
  <c r="AP133" i="9"/>
  <c r="AS10" i="9"/>
  <c r="AR10" i="9"/>
  <c r="AF74" i="9"/>
  <c r="BP31" i="9" s="1"/>
  <c r="BP26" i="9"/>
  <c r="BK166" i="9"/>
  <c r="BK163" i="9"/>
  <c r="AV33" i="9"/>
  <c r="AU33" i="9"/>
  <c r="AL43" i="9"/>
  <c r="BR21" i="9"/>
  <c r="BB36" i="9"/>
  <c r="AT10" i="9"/>
  <c r="AJ165" i="9"/>
  <c r="AQ126" i="9"/>
  <c r="AR124" i="9"/>
  <c r="AR126" i="9" s="1"/>
  <c r="AX121" i="9"/>
  <c r="AY121" i="9"/>
  <c r="AZ121" i="9" s="1"/>
  <c r="AQ36" i="9"/>
  <c r="AN35" i="9"/>
  <c r="AO36" i="9"/>
  <c r="AO35" i="9" s="1"/>
  <c r="AS35" i="9"/>
  <c r="AO11" i="9"/>
  <c r="AV25" i="9"/>
  <c r="AU25" i="9"/>
  <c r="BA142" i="9"/>
  <c r="BB142" i="9"/>
  <c r="BC142" i="9" s="1"/>
  <c r="AM163" i="9"/>
  <c r="AT124" i="9"/>
  <c r="AS126" i="9"/>
  <c r="AV124" i="9"/>
  <c r="AJ126" i="9"/>
  <c r="AK125" i="9"/>
  <c r="AK133" i="9"/>
  <c r="AL133" i="9" s="1"/>
  <c r="AK104" i="9"/>
  <c r="AL104" i="9" s="1"/>
  <c r="AL112" i="9" s="1"/>
  <c r="AK51" i="9"/>
  <c r="AL51" i="9" s="1"/>
  <c r="AL61" i="9" s="1"/>
  <c r="AP8" i="9"/>
  <c r="AO8" i="9"/>
  <c r="AO9" i="9" s="1"/>
  <c r="AM68" i="9"/>
  <c r="AM74" i="9" s="1"/>
  <c r="AI68" i="9"/>
  <c r="AU198" i="4"/>
  <c r="AQ198" i="4"/>
  <c r="AS198" i="4"/>
  <c r="X7" i="4"/>
  <c r="Y7" i="4" s="1"/>
  <c r="W7" i="4"/>
  <c r="AF238" i="4"/>
  <c r="AG241" i="4"/>
  <c r="X312" i="4"/>
  <c r="X314" i="4" s="1"/>
  <c r="X246" i="4"/>
  <c r="X271" i="4"/>
  <c r="AQ216" i="4"/>
  <c r="AS216" i="4"/>
  <c r="AU216" i="4" s="1"/>
  <c r="AL214" i="4"/>
  <c r="AI221" i="4"/>
  <c r="AH222" i="4"/>
  <c r="AH221" i="4" s="1"/>
  <c r="AL222" i="4"/>
  <c r="AJ222" i="4"/>
  <c r="AB138" i="4"/>
  <c r="AT283" i="4"/>
  <c r="AV283" i="4"/>
  <c r="AX283" i="4" s="1"/>
  <c r="AQ182" i="4"/>
  <c r="AS182" i="4"/>
  <c r="AU182" i="4" s="1"/>
  <c r="AP197" i="4"/>
  <c r="AR197" i="4"/>
  <c r="AN197" i="4"/>
  <c r="AP185" i="4"/>
  <c r="AR185" i="4"/>
  <c r="AN185" i="4"/>
  <c r="BB273" i="4"/>
  <c r="BB242" i="9" s="1"/>
  <c r="AS223" i="4"/>
  <c r="AU223" i="4" s="1"/>
  <c r="AQ223" i="4"/>
  <c r="AM284" i="4"/>
  <c r="AK284" i="4"/>
  <c r="AQ217" i="4"/>
  <c r="AS217" i="4"/>
  <c r="AU217" i="4" s="1"/>
  <c r="AI224" i="4"/>
  <c r="AG126" i="4"/>
  <c r="AQ212" i="4"/>
  <c r="AS212" i="4"/>
  <c r="AU212" i="4" s="1"/>
  <c r="AM215" i="4"/>
  <c r="AK215" i="4"/>
  <c r="AS229" i="4"/>
  <c r="AU229" i="4" s="1"/>
  <c r="AQ229" i="4"/>
  <c r="AK225" i="4"/>
  <c r="AM225" i="4"/>
  <c r="AO225" i="4" s="1"/>
  <c r="AM237" i="4"/>
  <c r="AK237" i="4"/>
  <c r="AO237" i="4"/>
  <c r="AG285" i="4"/>
  <c r="AF280" i="4"/>
  <c r="AF274" i="4" s="1"/>
  <c r="AE285" i="4"/>
  <c r="AE280" i="4" s="1"/>
  <c r="AS226" i="4"/>
  <c r="AU226" i="4" s="1"/>
  <c r="AQ226" i="4"/>
  <c r="AJ178" i="4"/>
  <c r="AI177" i="4"/>
  <c r="U86" i="4"/>
  <c r="W86" i="4"/>
  <c r="P162" i="4"/>
  <c r="P22" i="4"/>
  <c r="P154" i="4"/>
  <c r="AC147" i="4"/>
  <c r="AB88" i="4"/>
  <c r="AS227" i="4"/>
  <c r="AU227" i="4" s="1"/>
  <c r="AQ227" i="4"/>
  <c r="S97" i="4" l="1"/>
  <c r="S104" i="4"/>
  <c r="S114" i="4"/>
  <c r="AU37" i="9"/>
  <c r="AP51" i="9"/>
  <c r="AP68" i="9" s="1"/>
  <c r="AP74" i="9" s="1"/>
  <c r="AY24" i="4"/>
  <c r="T47" i="4"/>
  <c r="T102" i="4" s="1"/>
  <c r="P163" i="4"/>
  <c r="S56" i="4"/>
  <c r="S96" i="4" s="1"/>
  <c r="T57" i="4"/>
  <c r="T103" i="4"/>
  <c r="T304" i="4"/>
  <c r="T309" i="4" s="1"/>
  <c r="T331" i="4" s="1"/>
  <c r="L102" i="4"/>
  <c r="L45" i="4"/>
  <c r="L40" i="4" s="1"/>
  <c r="L48" i="4"/>
  <c r="L95" i="4"/>
  <c r="M154" i="4"/>
  <c r="Y118" i="4"/>
  <c r="Y271" i="4"/>
  <c r="Y257" i="4"/>
  <c r="Y115" i="4"/>
  <c r="Y269" i="4"/>
  <c r="Y105" i="4"/>
  <c r="Y68" i="4"/>
  <c r="G22" i="4"/>
  <c r="G162" i="4"/>
  <c r="M162" i="4"/>
  <c r="J154" i="4"/>
  <c r="J22" i="4"/>
  <c r="X79" i="4"/>
  <c r="X106" i="4" s="1"/>
  <c r="X78" i="4"/>
  <c r="Z79" i="4"/>
  <c r="Z10" i="4" s="1"/>
  <c r="BN62" i="9" s="1"/>
  <c r="Z78" i="4"/>
  <c r="W79" i="4"/>
  <c r="W87" i="4" s="1"/>
  <c r="W90" i="4" s="1"/>
  <c r="W78" i="4"/>
  <c r="AN142" i="4"/>
  <c r="S22" i="4"/>
  <c r="S154" i="4"/>
  <c r="AR245" i="4"/>
  <c r="AP245" i="4"/>
  <c r="AN245" i="4"/>
  <c r="Q45" i="4"/>
  <c r="Q40" i="4" s="1"/>
  <c r="P40" i="4" s="1"/>
  <c r="P47" i="4"/>
  <c r="R112" i="4" s="1"/>
  <c r="Q102" i="4"/>
  <c r="Q48" i="4"/>
  <c r="P57" i="4"/>
  <c r="P113" i="4"/>
  <c r="P304" i="4"/>
  <c r="P309" i="4" s="1"/>
  <c r="P331" i="4" s="1"/>
  <c r="P103" i="4"/>
  <c r="AG149" i="4"/>
  <c r="V231" i="9"/>
  <c r="AB31" i="9"/>
  <c r="AB29" i="9" s="1"/>
  <c r="Y307" i="4"/>
  <c r="Y306" i="4"/>
  <c r="V63" i="4"/>
  <c r="X114" i="4" s="1"/>
  <c r="W56" i="4"/>
  <c r="W104" i="4"/>
  <c r="W64" i="4"/>
  <c r="W97" i="4"/>
  <c r="U64" i="4"/>
  <c r="U56" i="4"/>
  <c r="U104" i="4"/>
  <c r="U97" i="4"/>
  <c r="AB242" i="9"/>
  <c r="AC245" i="9"/>
  <c r="AB245" i="9" s="1"/>
  <c r="Z104" i="4"/>
  <c r="Z64" i="4"/>
  <c r="Y63" i="4"/>
  <c r="Z97" i="4"/>
  <c r="Z56" i="4"/>
  <c r="AE273" i="4"/>
  <c r="AE242" i="9" s="1"/>
  <c r="V120" i="4"/>
  <c r="V124" i="4" s="1"/>
  <c r="W124" i="4"/>
  <c r="W126" i="4" s="1"/>
  <c r="V126" i="4" s="1"/>
  <c r="U78" i="4"/>
  <c r="U79" i="4"/>
  <c r="AX242" i="9"/>
  <c r="BA273" i="4"/>
  <c r="AX24" i="4"/>
  <c r="F30" i="2"/>
  <c r="AE351" i="4"/>
  <c r="AE103" i="9"/>
  <c r="AE132" i="9"/>
  <c r="AE67" i="9"/>
  <c r="AE73" i="9" s="1"/>
  <c r="AG351" i="4"/>
  <c r="AG67" i="9"/>
  <c r="AG73" i="9" s="1"/>
  <c r="AG103" i="9"/>
  <c r="AI29" i="9"/>
  <c r="AG132" i="9"/>
  <c r="AE149" i="4"/>
  <c r="O26" i="2"/>
  <c r="AD22" i="9"/>
  <c r="AE22" i="9" s="1"/>
  <c r="AL6" i="9"/>
  <c r="AL7" i="9" s="1"/>
  <c r="AM6" i="9"/>
  <c r="V115" i="4"/>
  <c r="V105" i="4"/>
  <c r="V118" i="4"/>
  <c r="V68" i="4"/>
  <c r="V271" i="4"/>
  <c r="V269" i="4"/>
  <c r="V257" i="4"/>
  <c r="V76" i="4"/>
  <c r="V78" i="4" s="1"/>
  <c r="X115" i="4"/>
  <c r="U114" i="4"/>
  <c r="F331" i="4"/>
  <c r="AN71" i="4"/>
  <c r="Y98" i="4"/>
  <c r="AG222" i="9"/>
  <c r="Z124" i="4"/>
  <c r="Z126" i="4" s="1"/>
  <c r="Y126" i="4" s="1"/>
  <c r="Y120" i="4"/>
  <c r="Y124" i="4" s="1"/>
  <c r="AH351" i="4"/>
  <c r="AH67" i="9"/>
  <c r="AH73" i="9" s="1"/>
  <c r="AH132" i="9"/>
  <c r="AH103" i="9"/>
  <c r="AP142" i="4"/>
  <c r="AD351" i="4"/>
  <c r="AF29" i="9"/>
  <c r="AD132" i="9"/>
  <c r="AD67" i="9"/>
  <c r="AD73" i="9" s="1"/>
  <c r="AD103" i="9"/>
  <c r="Z154" i="4"/>
  <c r="AA351" i="4"/>
  <c r="AI221" i="9"/>
  <c r="AH211" i="4"/>
  <c r="AH221" i="9" s="1"/>
  <c r="AH222" i="9" s="1"/>
  <c r="AJ211" i="4"/>
  <c r="AI210" i="4"/>
  <c r="AI150" i="4" s="1"/>
  <c r="AH150" i="4" s="1"/>
  <c r="Y160" i="4"/>
  <c r="Y161" i="4" s="1"/>
  <c r="Z161" i="4"/>
  <c r="V84" i="4"/>
  <c r="I45" i="4"/>
  <c r="I40" i="4" s="1"/>
  <c r="I48" i="4"/>
  <c r="I102" i="4"/>
  <c r="E30" i="2"/>
  <c r="X64" i="4"/>
  <c r="X56" i="4"/>
  <c r="X97" i="4"/>
  <c r="X104" i="4"/>
  <c r="AG109" i="4"/>
  <c r="J113" i="4"/>
  <c r="J57" i="4"/>
  <c r="J47" i="4"/>
  <c r="J103" i="4"/>
  <c r="J304" i="4"/>
  <c r="J309" i="4" s="1"/>
  <c r="J331" i="4" s="1"/>
  <c r="J96" i="4"/>
  <c r="L113" i="4"/>
  <c r="K95" i="4"/>
  <c r="K45" i="4"/>
  <c r="K40" i="4" s="1"/>
  <c r="K102" i="4"/>
  <c r="K48" i="4"/>
  <c r="R102" i="4"/>
  <c r="R95" i="4"/>
  <c r="R45" i="4"/>
  <c r="R40" i="4" s="1"/>
  <c r="R48" i="4"/>
  <c r="O113" i="4"/>
  <c r="M103" i="4"/>
  <c r="P96" i="4"/>
  <c r="M304" i="4"/>
  <c r="M309" i="4" s="1"/>
  <c r="M331" i="4" s="1"/>
  <c r="M57" i="4"/>
  <c r="M113" i="4"/>
  <c r="M96" i="4"/>
  <c r="E48" i="4"/>
  <c r="E102" i="4"/>
  <c r="E45" i="4"/>
  <c r="E40" i="4" s="1"/>
  <c r="N95" i="4"/>
  <c r="M47" i="4"/>
  <c r="Q95" i="4"/>
  <c r="N48" i="4"/>
  <c r="N45" i="4"/>
  <c r="N40" i="4" s="1"/>
  <c r="N102" i="4"/>
  <c r="G103" i="4"/>
  <c r="G113" i="4"/>
  <c r="G57" i="4"/>
  <c r="G304" i="4"/>
  <c r="G309" i="4" s="1"/>
  <c r="G331" i="4" s="1"/>
  <c r="I113" i="4"/>
  <c r="S103" i="4"/>
  <c r="I95" i="4"/>
  <c r="F102" i="4"/>
  <c r="G47" i="4"/>
  <c r="F45" i="4"/>
  <c r="F40" i="4" s="1"/>
  <c r="G40" i="4" s="1"/>
  <c r="F48" i="4"/>
  <c r="AL125" i="9"/>
  <c r="AL126" i="9" s="1"/>
  <c r="AK126" i="9"/>
  <c r="AN163" i="9"/>
  <c r="AY37" i="9"/>
  <c r="AX37" i="9"/>
  <c r="AV35" i="9"/>
  <c r="AO43" i="9"/>
  <c r="BS21" i="9"/>
  <c r="AU10" i="9"/>
  <c r="AV10" i="9"/>
  <c r="AV141" i="9"/>
  <c r="AW141" i="9" s="1"/>
  <c r="AU141" i="9"/>
  <c r="AT126" i="9"/>
  <c r="AU124" i="9"/>
  <c r="AU126" i="9" s="1"/>
  <c r="BL166" i="9"/>
  <c r="BM172" i="9" s="1"/>
  <c r="BN172" i="9" s="1"/>
  <c r="AK68" i="9"/>
  <c r="AK74" i="9" s="1"/>
  <c r="BB121" i="9"/>
  <c r="BC121" i="9" s="1"/>
  <c r="BA121" i="9"/>
  <c r="AL68" i="9"/>
  <c r="AR11" i="9"/>
  <c r="AR8" i="9"/>
  <c r="AR9" i="9" s="1"/>
  <c r="AS8" i="9"/>
  <c r="BE142" i="9"/>
  <c r="BF142" i="9" s="1"/>
  <c r="BG142" i="9" s="1"/>
  <c r="BD142" i="9"/>
  <c r="AN133" i="9"/>
  <c r="AN104" i="9"/>
  <c r="AO104" i="9" s="1"/>
  <c r="AO112" i="9" s="1"/>
  <c r="AN51" i="9"/>
  <c r="AY25" i="9"/>
  <c r="AX25" i="9"/>
  <c r="AT36" i="9"/>
  <c r="AQ35" i="9"/>
  <c r="AR36" i="9"/>
  <c r="AR35" i="9" s="1"/>
  <c r="AI74" i="9"/>
  <c r="BQ31" i="9" s="1"/>
  <c r="BQ26" i="9"/>
  <c r="AW124" i="9"/>
  <c r="AY124" i="9"/>
  <c r="AV126" i="9"/>
  <c r="AS133" i="9"/>
  <c r="AS104" i="9"/>
  <c r="AS51" i="9"/>
  <c r="AS68" i="9" s="1"/>
  <c r="AS74" i="9" s="1"/>
  <c r="AK165" i="9"/>
  <c r="AW10" i="9"/>
  <c r="BE36" i="9"/>
  <c r="AY33" i="9"/>
  <c r="AX33" i="9"/>
  <c r="AC160" i="4"/>
  <c r="AC152" i="4"/>
  <c r="N29" i="2" s="1"/>
  <c r="AB152" i="4"/>
  <c r="AE274" i="4"/>
  <c r="AF88" i="4"/>
  <c r="AP237" i="4"/>
  <c r="AN237" i="4"/>
  <c r="AR237" i="4"/>
  <c r="AN225" i="4"/>
  <c r="AP225" i="4"/>
  <c r="AR225" i="4" s="1"/>
  <c r="AV212" i="4"/>
  <c r="AX212" i="4" s="1"/>
  <c r="AT212" i="4"/>
  <c r="AH224" i="4"/>
  <c r="AJ224" i="4"/>
  <c r="AI126" i="4"/>
  <c r="AH126" i="4" s="1"/>
  <c r="AT217" i="4"/>
  <c r="AV217" i="4"/>
  <c r="AX217" i="4" s="1"/>
  <c r="AK222" i="4"/>
  <c r="AK221" i="4" s="1"/>
  <c r="AJ221" i="4"/>
  <c r="AG280" i="4"/>
  <c r="AG274" i="4" s="1"/>
  <c r="AI285" i="4"/>
  <c r="AT223" i="4"/>
  <c r="AV223" i="4"/>
  <c r="AX223" i="4" s="1"/>
  <c r="AU185" i="4"/>
  <c r="AQ185" i="4"/>
  <c r="AS185" i="4"/>
  <c r="AU197" i="4"/>
  <c r="AS197" i="4"/>
  <c r="AQ197" i="4"/>
  <c r="AV182" i="4"/>
  <c r="AX182" i="4" s="1"/>
  <c r="AT182" i="4"/>
  <c r="AY283" i="4"/>
  <c r="BA283" i="4" s="1"/>
  <c r="AW283" i="4"/>
  <c r="AO222" i="4"/>
  <c r="AL221" i="4"/>
  <c r="AM222" i="4"/>
  <c r="AT216" i="4"/>
  <c r="AV216" i="4"/>
  <c r="AX216" i="4" s="1"/>
  <c r="Z7" i="4"/>
  <c r="AA7" i="4"/>
  <c r="AB7" i="4" s="1"/>
  <c r="AT227" i="4"/>
  <c r="AV227" i="4"/>
  <c r="AX227" i="4" s="1"/>
  <c r="AH177" i="4"/>
  <c r="AT226" i="4"/>
  <c r="AV226" i="4"/>
  <c r="AX226" i="4" s="1"/>
  <c r="AO215" i="4"/>
  <c r="AM214" i="4"/>
  <c r="AK214" i="4"/>
  <c r="AH241" i="4"/>
  <c r="AG238" i="4"/>
  <c r="AX198" i="4"/>
  <c r="AT198" i="4"/>
  <c r="AV198" i="4"/>
  <c r="AK178" i="4"/>
  <c r="AL178" i="4" s="1"/>
  <c r="AJ177" i="4"/>
  <c r="AR142" i="4"/>
  <c r="AT229" i="4"/>
  <c r="AV229" i="4"/>
  <c r="AX229" i="4" s="1"/>
  <c r="AO284" i="4"/>
  <c r="BE273" i="4"/>
  <c r="BE242" i="9" s="1"/>
  <c r="BB24" i="4"/>
  <c r="AC138" i="4"/>
  <c r="X252" i="4"/>
  <c r="X253" i="4"/>
  <c r="X251" i="4"/>
  <c r="X248" i="4"/>
  <c r="S47" i="4" l="1"/>
  <c r="T95" i="4"/>
  <c r="T45" i="4"/>
  <c r="T40" i="4" s="1"/>
  <c r="S40" i="4" s="1"/>
  <c r="T256" i="4"/>
  <c r="T48" i="4"/>
  <c r="S113" i="4"/>
  <c r="S57" i="4"/>
  <c r="S304" i="4"/>
  <c r="S309" i="4" s="1"/>
  <c r="S331" i="4" s="1"/>
  <c r="U113" i="4"/>
  <c r="M40" i="4"/>
  <c r="Z270" i="4"/>
  <c r="F33" i="2" s="1"/>
  <c r="Z106" i="4"/>
  <c r="Z81" i="4"/>
  <c r="X81" i="4"/>
  <c r="X82" i="4" s="1"/>
  <c r="X12" i="4" s="1"/>
  <c r="AC29" i="9"/>
  <c r="BO20" i="9" s="1"/>
  <c r="Y79" i="4"/>
  <c r="Y270" i="4" s="1"/>
  <c r="W81" i="4"/>
  <c r="W82" i="4" s="1"/>
  <c r="W12" i="4" s="1"/>
  <c r="Z86" i="4"/>
  <c r="Z87" i="4" s="1"/>
  <c r="Z90" i="4" s="1"/>
  <c r="AC86" i="4" s="1"/>
  <c r="X86" i="4"/>
  <c r="X87" i="4" s="1"/>
  <c r="X90" i="4" s="1"/>
  <c r="Y86" i="4" s="1"/>
  <c r="W10" i="4"/>
  <c r="BM62" i="9" s="1"/>
  <c r="X270" i="4"/>
  <c r="Z99" i="4"/>
  <c r="W106" i="4"/>
  <c r="W270" i="4"/>
  <c r="E33" i="2" s="1"/>
  <c r="X10" i="4"/>
  <c r="X99" i="4"/>
  <c r="W99" i="4"/>
  <c r="AJ30" i="9"/>
  <c r="AJ29" i="9" s="1"/>
  <c r="AJ50" i="9" s="1"/>
  <c r="AJ67" i="9" s="1"/>
  <c r="AJ73" i="9" s="1"/>
  <c r="Z306" i="4"/>
  <c r="Z307" i="4"/>
  <c r="W307" i="4"/>
  <c r="W306" i="4"/>
  <c r="AB103" i="9"/>
  <c r="AC103" i="9" s="1"/>
  <c r="AH273" i="4"/>
  <c r="AH242" i="9" s="1"/>
  <c r="AE24" i="4"/>
  <c r="AQ142" i="4"/>
  <c r="U87" i="4"/>
  <c r="U90" i="4" s="1"/>
  <c r="V86" i="4" s="1"/>
  <c r="AB132" i="9"/>
  <c r="AC132" i="9" s="1"/>
  <c r="AB351" i="4"/>
  <c r="V79" i="4"/>
  <c r="V116" i="4" s="1"/>
  <c r="Y308" i="4"/>
  <c r="P112" i="4"/>
  <c r="P102" i="4"/>
  <c r="P45" i="4"/>
  <c r="P48" i="4"/>
  <c r="AS245" i="4"/>
  <c r="AU245" i="4"/>
  <c r="AQ245" i="4"/>
  <c r="AS142" i="4"/>
  <c r="J40" i="4"/>
  <c r="AF245" i="9"/>
  <c r="AE245" i="9" s="1"/>
  <c r="AB67" i="9"/>
  <c r="AB73" i="9" s="1"/>
  <c r="AF103" i="9"/>
  <c r="AF111" i="9" s="1"/>
  <c r="AI222" i="9"/>
  <c r="Y128" i="4"/>
  <c r="AI103" i="9"/>
  <c r="AI111" i="9" s="1"/>
  <c r="U10" i="4"/>
  <c r="U270" i="4"/>
  <c r="U106" i="4"/>
  <c r="U99" i="4"/>
  <c r="U81" i="4"/>
  <c r="U116" i="4"/>
  <c r="X96" i="4"/>
  <c r="U103" i="4"/>
  <c r="U304" i="4"/>
  <c r="U57" i="4"/>
  <c r="U47" i="4"/>
  <c r="U112" i="4" s="1"/>
  <c r="U96" i="4"/>
  <c r="V307" i="4"/>
  <c r="V306" i="4"/>
  <c r="X304" i="4"/>
  <c r="X47" i="4"/>
  <c r="X57" i="4"/>
  <c r="X103" i="4"/>
  <c r="P44" i="2"/>
  <c r="AH210" i="4"/>
  <c r="AI109" i="4"/>
  <c r="AI149" i="4"/>
  <c r="U306" i="4"/>
  <c r="U307" i="4"/>
  <c r="Z96" i="4"/>
  <c r="Z57" i="4"/>
  <c r="Z304" i="4"/>
  <c r="Y56" i="4"/>
  <c r="Z103" i="4"/>
  <c r="Z47" i="4"/>
  <c r="Z11" i="4"/>
  <c r="Z82" i="4"/>
  <c r="Z12" i="4" s="1"/>
  <c r="W304" i="4"/>
  <c r="W47" i="4"/>
  <c r="W103" i="4"/>
  <c r="V56" i="4"/>
  <c r="X113" i="4" s="1"/>
  <c r="W57" i="4"/>
  <c r="W96" i="4"/>
  <c r="AG88" i="4"/>
  <c r="AG147" i="4" s="1"/>
  <c r="AG160" i="4" s="1"/>
  <c r="AG245" i="9"/>
  <c r="AG22" i="9"/>
  <c r="AH22" i="9" s="1"/>
  <c r="Z165" i="4"/>
  <c r="AA163" i="4" s="1"/>
  <c r="AA165" i="4" s="1"/>
  <c r="AA166" i="4" s="1"/>
  <c r="M30" i="2"/>
  <c r="H47" i="2"/>
  <c r="BP20" i="9"/>
  <c r="AF67" i="9"/>
  <c r="AF351" i="4"/>
  <c r="BQ20" i="9"/>
  <c r="AI67" i="9"/>
  <c r="AI351" i="4"/>
  <c r="AI42" i="9"/>
  <c r="I47" i="2"/>
  <c r="Y114" i="4"/>
  <c r="Y64" i="4"/>
  <c r="Y104" i="4"/>
  <c r="Y97" i="4"/>
  <c r="AJ221" i="9"/>
  <c r="AJ222" i="9" s="1"/>
  <c r="AL211" i="4"/>
  <c r="AJ210" i="4"/>
  <c r="AJ149" i="4" s="1"/>
  <c r="AF132" i="9"/>
  <c r="AO6" i="9"/>
  <c r="AO7" i="9" s="1"/>
  <c r="AP6" i="9"/>
  <c r="AI132" i="9"/>
  <c r="BA242" i="9"/>
  <c r="BD273" i="4"/>
  <c r="BA24" i="4"/>
  <c r="V128" i="4"/>
  <c r="V64" i="4"/>
  <c r="V104" i="4"/>
  <c r="V114" i="4"/>
  <c r="V97" i="4"/>
  <c r="S45" i="4"/>
  <c r="S48" i="4"/>
  <c r="S95" i="4"/>
  <c r="S112" i="4"/>
  <c r="S102" i="4"/>
  <c r="O112" i="4"/>
  <c r="M112" i="4"/>
  <c r="M48" i="4"/>
  <c r="M95" i="4"/>
  <c r="M45" i="4"/>
  <c r="M102" i="4"/>
  <c r="P95" i="4"/>
  <c r="AE23" i="9"/>
  <c r="J95" i="4"/>
  <c r="L112" i="4"/>
  <c r="J48" i="4"/>
  <c r="J112" i="4"/>
  <c r="J45" i="4"/>
  <c r="J102" i="4"/>
  <c r="G45" i="4"/>
  <c r="G112" i="4"/>
  <c r="G102" i="4"/>
  <c r="G48" i="4"/>
  <c r="I112" i="4"/>
  <c r="AB23" i="9"/>
  <c r="AZ10" i="9"/>
  <c r="AR43" i="9"/>
  <c r="BT21" i="9"/>
  <c r="AO133" i="9"/>
  <c r="BE121" i="9"/>
  <c r="BF121" i="9" s="1"/>
  <c r="BG121" i="9" s="1"/>
  <c r="BD121" i="9"/>
  <c r="AU11" i="9"/>
  <c r="AV133" i="9"/>
  <c r="AV104" i="9"/>
  <c r="AV51" i="9"/>
  <c r="AQ133" i="9"/>
  <c r="AR133" i="9" s="1"/>
  <c r="AQ104" i="9"/>
  <c r="AR104" i="9" s="1"/>
  <c r="AR112" i="9" s="1"/>
  <c r="AQ51" i="9"/>
  <c r="AR51" i="9" s="1"/>
  <c r="AR61" i="9" s="1"/>
  <c r="BA25" i="9"/>
  <c r="BB25" i="9"/>
  <c r="AO51" i="9"/>
  <c r="AV8" i="9"/>
  <c r="AU8" i="9"/>
  <c r="AU9" i="9" s="1"/>
  <c r="AY141" i="9"/>
  <c r="AZ141" i="9" s="1"/>
  <c r="AX141" i="9"/>
  <c r="AW36" i="9"/>
  <c r="AT35" i="9"/>
  <c r="AU36" i="9"/>
  <c r="AU35" i="9" s="1"/>
  <c r="BB37" i="9"/>
  <c r="BA37" i="9"/>
  <c r="AY35" i="9"/>
  <c r="AP163" i="9"/>
  <c r="AY126" i="9"/>
  <c r="BB124" i="9"/>
  <c r="AZ124" i="9"/>
  <c r="AN68" i="9"/>
  <c r="AN74" i="9" s="1"/>
  <c r="BA33" i="9"/>
  <c r="BB33" i="9"/>
  <c r="AM165" i="9"/>
  <c r="AX124" i="9"/>
  <c r="AX126" i="9" s="1"/>
  <c r="AW126" i="9"/>
  <c r="AL74" i="9"/>
  <c r="BR31" i="9" s="1"/>
  <c r="BR26" i="9"/>
  <c r="BN166" i="9"/>
  <c r="BK167" i="9" s="1"/>
  <c r="AY10" i="9"/>
  <c r="AX10" i="9"/>
  <c r="AN284" i="4"/>
  <c r="AP284" i="4"/>
  <c r="AW198" i="4"/>
  <c r="AY198" i="4"/>
  <c r="BA198" i="4"/>
  <c r="AD7" i="4"/>
  <c r="AE7" i="4" s="1"/>
  <c r="AC7" i="4"/>
  <c r="AO221" i="4"/>
  <c r="AP222" i="4"/>
  <c r="AR222" i="4"/>
  <c r="AY217" i="4"/>
  <c r="BA217" i="4" s="1"/>
  <c r="AW217" i="4"/>
  <c r="AS225" i="4"/>
  <c r="AU225" i="4" s="1"/>
  <c r="AQ225" i="4"/>
  <c r="AD138" i="4"/>
  <c r="AW229" i="4"/>
  <c r="AY229" i="4"/>
  <c r="BA229" i="4" s="1"/>
  <c r="AL177" i="4"/>
  <c r="AM178" i="4"/>
  <c r="AO214" i="4"/>
  <c r="AW223" i="4"/>
  <c r="AY223" i="4"/>
  <c r="BA223" i="4" s="1"/>
  <c r="AB160" i="4"/>
  <c r="BE24" i="4"/>
  <c r="AW227" i="4"/>
  <c r="AY227" i="4"/>
  <c r="BA227" i="4" s="1"/>
  <c r="AY216" i="4"/>
  <c r="BA216" i="4" s="1"/>
  <c r="AW216" i="4"/>
  <c r="AN222" i="4"/>
  <c r="AN221" i="4" s="1"/>
  <c r="AM221" i="4"/>
  <c r="BB283" i="4"/>
  <c r="BD283" i="4" s="1"/>
  <c r="AZ283" i="4"/>
  <c r="AX197" i="4"/>
  <c r="AT197" i="4"/>
  <c r="AV197" i="4"/>
  <c r="AU142" i="4"/>
  <c r="AT142" i="4" s="1"/>
  <c r="AV185" i="4"/>
  <c r="AX185" i="4"/>
  <c r="AT185" i="4"/>
  <c r="AS237" i="4"/>
  <c r="AU237" i="4"/>
  <c r="AQ237" i="4"/>
  <c r="AF147" i="4"/>
  <c r="AE88" i="4"/>
  <c r="AA86" i="4"/>
  <c r="AH238" i="4"/>
  <c r="AI241" i="4"/>
  <c r="AP215" i="4"/>
  <c r="AN215" i="4"/>
  <c r="AW226" i="4"/>
  <c r="AY226" i="4"/>
  <c r="BA226" i="4" s="1"/>
  <c r="AY182" i="4"/>
  <c r="BA182" i="4" s="1"/>
  <c r="AW182" i="4"/>
  <c r="AH285" i="4"/>
  <c r="AH280" i="4" s="1"/>
  <c r="AI280" i="4"/>
  <c r="AI274" i="4" s="1"/>
  <c r="AJ285" i="4"/>
  <c r="AL224" i="4"/>
  <c r="AJ126" i="4"/>
  <c r="AY212" i="4"/>
  <c r="BA212" i="4" s="1"/>
  <c r="AW212" i="4"/>
  <c r="Y106" i="4" l="1"/>
  <c r="Y116" i="4"/>
  <c r="Y81" i="4"/>
  <c r="Y11" i="4" s="1"/>
  <c r="G47" i="2"/>
  <c r="X11" i="4"/>
  <c r="AC42" i="9"/>
  <c r="AF42" i="9"/>
  <c r="AC67" i="9"/>
  <c r="AC73" i="9" s="1"/>
  <c r="AK30" i="9"/>
  <c r="AK29" i="9" s="1"/>
  <c r="AL29" i="9" s="1"/>
  <c r="AL42" i="9" s="1"/>
  <c r="AC111" i="9"/>
  <c r="AC351" i="4"/>
  <c r="W11" i="4"/>
  <c r="Y10" i="4"/>
  <c r="Y87" i="4"/>
  <c r="Y90" i="4" s="1"/>
  <c r="AJ132" i="9"/>
  <c r="AJ351" i="4"/>
  <c r="AJ103" i="9"/>
  <c r="W308" i="4"/>
  <c r="W309" i="4" s="1"/>
  <c r="W331" i="4" s="1"/>
  <c r="Z308" i="4"/>
  <c r="Z309" i="4" s="1"/>
  <c r="Z331" i="4" s="1"/>
  <c r="AI245" i="9"/>
  <c r="AH24" i="4"/>
  <c r="AK273" i="4"/>
  <c r="AK242" i="9" s="1"/>
  <c r="V106" i="4"/>
  <c r="X116" i="4"/>
  <c r="V87" i="4"/>
  <c r="V90" i="4" s="1"/>
  <c r="AM30" i="9"/>
  <c r="AN30" i="9" s="1"/>
  <c r="V99" i="4"/>
  <c r="V270" i="4"/>
  <c r="Y99" i="4"/>
  <c r="V10" i="4"/>
  <c r="AT245" i="4"/>
  <c r="AV245" i="4"/>
  <c r="AX245" i="4"/>
  <c r="U308" i="4"/>
  <c r="U309" i="4" s="1"/>
  <c r="U331" i="4" s="1"/>
  <c r="U82" i="4"/>
  <c r="U12" i="4" s="1"/>
  <c r="X26" i="4" s="1"/>
  <c r="U11" i="4"/>
  <c r="I48" i="2"/>
  <c r="AI73" i="9"/>
  <c r="BQ25" i="9"/>
  <c r="AH149" i="4"/>
  <c r="P26" i="2"/>
  <c r="V81" i="4"/>
  <c r="V308" i="4"/>
  <c r="V154" i="4"/>
  <c r="V165" i="4" s="1"/>
  <c r="V166" i="4" s="1"/>
  <c r="V162" i="4"/>
  <c r="V22" i="4"/>
  <c r="AR6" i="9"/>
  <c r="AR7" i="9" s="1"/>
  <c r="AS6" i="9"/>
  <c r="H48" i="2"/>
  <c r="AF73" i="9"/>
  <c r="BP25" i="9"/>
  <c r="Z166" i="4"/>
  <c r="AC163" i="4"/>
  <c r="Y165" i="4"/>
  <c r="Y166" i="4" s="1"/>
  <c r="W256" i="4"/>
  <c r="V47" i="4"/>
  <c r="X112" i="4" s="1"/>
  <c r="W45" i="4"/>
  <c r="W40" i="4" s="1"/>
  <c r="W102" i="4"/>
  <c r="W48" i="4"/>
  <c r="W95" i="4"/>
  <c r="Z95" i="4"/>
  <c r="Z256" i="4"/>
  <c r="Z102" i="4"/>
  <c r="Y47" i="4"/>
  <c r="Z48" i="4"/>
  <c r="Z45" i="4"/>
  <c r="Z40" i="4" s="1"/>
  <c r="AV142" i="4"/>
  <c r="AJ22" i="9"/>
  <c r="AK22" i="9" s="1"/>
  <c r="BD242" i="9"/>
  <c r="BD24" i="4"/>
  <c r="BG273" i="4"/>
  <c r="V57" i="4"/>
  <c r="V103" i="4"/>
  <c r="V304" i="4"/>
  <c r="V113" i="4"/>
  <c r="V96" i="4"/>
  <c r="Z14" i="4"/>
  <c r="Z243" i="9"/>
  <c r="Z16" i="4"/>
  <c r="Z26" i="4"/>
  <c r="Y57" i="4"/>
  <c r="Y304" i="4"/>
  <c r="Y309" i="4" s="1"/>
  <c r="Y331" i="4" s="1"/>
  <c r="Y113" i="4"/>
  <c r="Y103" i="4"/>
  <c r="Y96" i="4"/>
  <c r="X306" i="4"/>
  <c r="X307" i="4"/>
  <c r="X95" i="4"/>
  <c r="U256" i="4"/>
  <c r="U48" i="4"/>
  <c r="U45" i="4"/>
  <c r="U40" i="4" s="1"/>
  <c r="U102" i="4"/>
  <c r="U95" i="4"/>
  <c r="X243" i="9"/>
  <c r="X14" i="4"/>
  <c r="X16" i="4"/>
  <c r="Y22" i="4"/>
  <c r="Y162" i="4"/>
  <c r="Y154" i="4"/>
  <c r="AL221" i="9"/>
  <c r="AK211" i="4"/>
  <c r="AK221" i="9" s="1"/>
  <c r="AK222" i="9" s="1"/>
  <c r="AL210" i="4"/>
  <c r="AM211" i="4"/>
  <c r="AH109" i="4"/>
  <c r="AJ109" i="4"/>
  <c r="W243" i="9"/>
  <c r="W26" i="4"/>
  <c r="W14" i="4"/>
  <c r="W16" i="4"/>
  <c r="X256" i="4"/>
  <c r="X45" i="4"/>
  <c r="X40" i="4" s="1"/>
  <c r="X48" i="4"/>
  <c r="X102" i="4"/>
  <c r="Y82" i="4"/>
  <c r="Y12" i="4" s="1"/>
  <c r="AX11" i="9"/>
  <c r="BA124" i="9"/>
  <c r="BA126" i="9" s="1"/>
  <c r="AZ126" i="9"/>
  <c r="BE37" i="9"/>
  <c r="BD37" i="9"/>
  <c r="BB35" i="9"/>
  <c r="AO61" i="9"/>
  <c r="AO68" i="9"/>
  <c r="AQ68" i="9"/>
  <c r="AQ74" i="9" s="1"/>
  <c r="AR68" i="9"/>
  <c r="BE33" i="9"/>
  <c r="BG33" i="9" s="1"/>
  <c r="BD33" i="9"/>
  <c r="BB126" i="9"/>
  <c r="BE124" i="9"/>
  <c r="BC124" i="9"/>
  <c r="AQ163" i="9"/>
  <c r="AU43" i="9"/>
  <c r="BU21" i="9"/>
  <c r="BB10" i="9"/>
  <c r="BA10" i="9"/>
  <c r="BL167" i="9"/>
  <c r="BM173" i="9" s="1"/>
  <c r="BN173" i="9" s="1"/>
  <c r="AY133" i="9"/>
  <c r="AY51" i="9"/>
  <c r="AY68" i="9" s="1"/>
  <c r="AY74" i="9" s="1"/>
  <c r="AY104" i="9"/>
  <c r="AT133" i="9"/>
  <c r="AU133" i="9" s="1"/>
  <c r="AT104" i="9"/>
  <c r="AU104" i="9" s="1"/>
  <c r="AU112" i="9" s="1"/>
  <c r="AT51" i="9"/>
  <c r="AU51" i="9" s="1"/>
  <c r="AU61" i="9" s="1"/>
  <c r="BA141" i="9"/>
  <c r="BB141" i="9"/>
  <c r="BC141" i="9" s="1"/>
  <c r="AY8" i="9"/>
  <c r="AX8" i="9"/>
  <c r="AX9" i="9" s="1"/>
  <c r="BE25" i="9"/>
  <c r="BD25" i="9"/>
  <c r="BC10" i="9"/>
  <c r="AN165" i="9"/>
  <c r="AW35" i="9"/>
  <c r="AZ36" i="9"/>
  <c r="AX36" i="9"/>
  <c r="AX35" i="9" s="1"/>
  <c r="AV68" i="9"/>
  <c r="AV74" i="9" s="1"/>
  <c r="BB212" i="4"/>
  <c r="BD212" i="4" s="1"/>
  <c r="AZ212" i="4"/>
  <c r="AL285" i="4"/>
  <c r="AJ280" i="4"/>
  <c r="AJ274" i="4" s="1"/>
  <c r="AR215" i="4"/>
  <c r="AE147" i="4"/>
  <c r="AF160" i="4"/>
  <c r="AZ229" i="4"/>
  <c r="BB229" i="4"/>
  <c r="BD229" i="4" s="1"/>
  <c r="BB217" i="4"/>
  <c r="BD217" i="4" s="1"/>
  <c r="AZ217" i="4"/>
  <c r="AR284" i="4"/>
  <c r="AH274" i="4"/>
  <c r="AI88" i="4"/>
  <c r="BB182" i="4"/>
  <c r="BD182" i="4" s="1"/>
  <c r="AZ182" i="4"/>
  <c r="BB226" i="4"/>
  <c r="BD226" i="4" s="1"/>
  <c r="AZ226" i="4"/>
  <c r="AI238" i="4"/>
  <c r="AJ241" i="4"/>
  <c r="BC283" i="4"/>
  <c r="BE283" i="4"/>
  <c r="BG283" i="4" s="1"/>
  <c r="BF283" i="4" s="1"/>
  <c r="BB216" i="4"/>
  <c r="BD216" i="4" s="1"/>
  <c r="AZ216" i="4"/>
  <c r="AZ223" i="4"/>
  <c r="BB223" i="4"/>
  <c r="BD223" i="4" s="1"/>
  <c r="AK24" i="4"/>
  <c r="AK224" i="4"/>
  <c r="AM224" i="4"/>
  <c r="AL126" i="4"/>
  <c r="AK126" i="4" s="1"/>
  <c r="AX237" i="4"/>
  <c r="AT237" i="4"/>
  <c r="AV237" i="4"/>
  <c r="AY185" i="4"/>
  <c r="BA185" i="4"/>
  <c r="AW185" i="4"/>
  <c r="AZ227" i="4"/>
  <c r="BB227" i="4"/>
  <c r="BD227" i="4" s="1"/>
  <c r="AN178" i="4"/>
  <c r="AO178" i="4" s="1"/>
  <c r="AM177" i="4"/>
  <c r="AT225" i="4"/>
  <c r="AV225" i="4"/>
  <c r="AX225" i="4" s="1"/>
  <c r="AS222" i="4"/>
  <c r="AR221" i="4"/>
  <c r="AU222" i="4"/>
  <c r="AG7" i="4"/>
  <c r="AH7" i="4" s="1"/>
  <c r="AF7" i="4"/>
  <c r="BA197" i="4"/>
  <c r="AY197" i="4"/>
  <c r="AW197" i="4"/>
  <c r="AX142" i="4"/>
  <c r="AN214" i="4"/>
  <c r="AP214" i="4"/>
  <c r="AK177" i="4"/>
  <c r="AE138" i="4"/>
  <c r="AQ222" i="4"/>
  <c r="AQ221" i="4" s="1"/>
  <c r="AP221" i="4"/>
  <c r="BB198" i="4"/>
  <c r="AZ198" i="4"/>
  <c r="BD198" i="4"/>
  <c r="AK50" i="9" l="1"/>
  <c r="AK67" i="9" s="1"/>
  <c r="AK73" i="9" s="1"/>
  <c r="AK351" i="4"/>
  <c r="AK132" i="9"/>
  <c r="AL132" i="9" s="1"/>
  <c r="G48" i="2"/>
  <c r="BO25" i="9"/>
  <c r="AH245" i="9"/>
  <c r="AN273" i="4"/>
  <c r="AN242" i="9" s="1"/>
  <c r="AK103" i="9"/>
  <c r="AL103" i="9" s="1"/>
  <c r="AL111" i="9" s="1"/>
  <c r="BR20" i="9"/>
  <c r="AL351" i="4"/>
  <c r="AW142" i="4"/>
  <c r="AP30" i="9"/>
  <c r="AQ30" i="9" s="1"/>
  <c r="V309" i="4"/>
  <c r="V331" i="4" s="1"/>
  <c r="AY245" i="4"/>
  <c r="AW245" i="4"/>
  <c r="BA245" i="4"/>
  <c r="BN167" i="9"/>
  <c r="BK168" i="9" s="1"/>
  <c r="BL168" i="9" s="1"/>
  <c r="BM174" i="9" s="1"/>
  <c r="BN174" i="9" s="1"/>
  <c r="Y40" i="4"/>
  <c r="AY142" i="4"/>
  <c r="AJ88" i="4"/>
  <c r="AJ147" i="4" s="1"/>
  <c r="AJ160" i="4" s="1"/>
  <c r="AJ245" i="9"/>
  <c r="AL222" i="9"/>
  <c r="X308" i="4"/>
  <c r="X309" i="4" s="1"/>
  <c r="X331" i="4" s="1"/>
  <c r="AL50" i="9"/>
  <c r="AL60" i="9" s="1"/>
  <c r="Y243" i="9"/>
  <c r="Y14" i="4"/>
  <c r="Y16" i="4"/>
  <c r="AM221" i="9"/>
  <c r="AM210" i="4"/>
  <c r="AM149" i="4" s="1"/>
  <c r="AO211" i="4"/>
  <c r="BG242" i="9"/>
  <c r="BG24" i="4"/>
  <c r="Y48" i="4"/>
  <c r="Y45" i="4"/>
  <c r="Y95" i="4"/>
  <c r="Y112" i="4"/>
  <c r="Y256" i="4"/>
  <c r="Y102" i="4"/>
  <c r="V40" i="4"/>
  <c r="AV6" i="9"/>
  <c r="AU6" i="9"/>
  <c r="AU7" i="9" s="1"/>
  <c r="E23" i="2"/>
  <c r="W277" i="4"/>
  <c r="AM22" i="9"/>
  <c r="AN22" i="9" s="1"/>
  <c r="AL109" i="4"/>
  <c r="AL149" i="4"/>
  <c r="AK149" i="4" s="1"/>
  <c r="AK210" i="4"/>
  <c r="X277" i="4"/>
  <c r="F23" i="2"/>
  <c r="Z277" i="4"/>
  <c r="V112" i="4"/>
  <c r="V256" i="4"/>
  <c r="V48" i="4"/>
  <c r="V102" i="4"/>
  <c r="V45" i="4"/>
  <c r="V95" i="4"/>
  <c r="V11" i="4"/>
  <c r="V82" i="4"/>
  <c r="V12" i="4" s="1"/>
  <c r="Y26" i="4" s="1"/>
  <c r="U16" i="4"/>
  <c r="U243" i="9"/>
  <c r="U26" i="4"/>
  <c r="U14" i="4"/>
  <c r="AG23" i="9"/>
  <c r="AH23" i="9" s="1"/>
  <c r="BG37" i="9"/>
  <c r="BE35" i="9"/>
  <c r="AX43" i="9"/>
  <c r="BV21" i="9"/>
  <c r="AP165" i="9"/>
  <c r="BB8" i="9"/>
  <c r="BA8" i="9"/>
  <c r="BA9" i="9" s="1"/>
  <c r="BE141" i="9"/>
  <c r="BF141" i="9" s="1"/>
  <c r="BG141" i="9" s="1"/>
  <c r="BD141" i="9"/>
  <c r="BA11" i="9"/>
  <c r="BC36" i="9"/>
  <c r="AZ35" i="9"/>
  <c r="BA36" i="9"/>
  <c r="BA35" i="9" s="1"/>
  <c r="BF10" i="9"/>
  <c r="AT68" i="9"/>
  <c r="AT74" i="9" s="1"/>
  <c r="AU68" i="9"/>
  <c r="BC126" i="9"/>
  <c r="BD124" i="9"/>
  <c r="BD126" i="9" s="1"/>
  <c r="AO74" i="9"/>
  <c r="BS31" i="9" s="1"/>
  <c r="BS26" i="9"/>
  <c r="BB133" i="9"/>
  <c r="BB104" i="9"/>
  <c r="BB51" i="9"/>
  <c r="BB68" i="9" s="1"/>
  <c r="BB74" i="9" s="1"/>
  <c r="AW133" i="9"/>
  <c r="AX133" i="9" s="1"/>
  <c r="AW104" i="9"/>
  <c r="AX104" i="9" s="1"/>
  <c r="AX112" i="9" s="1"/>
  <c r="AW51" i="9"/>
  <c r="AX51" i="9" s="1"/>
  <c r="AX61" i="9" s="1"/>
  <c r="BG25" i="9"/>
  <c r="BE10" i="9"/>
  <c r="BD10" i="9"/>
  <c r="AS163" i="9"/>
  <c r="BF124" i="9"/>
  <c r="BE126" i="9"/>
  <c r="AR74" i="9"/>
  <c r="BT31" i="9" s="1"/>
  <c r="BT26" i="9"/>
  <c r="BE198" i="4"/>
  <c r="BG198" i="4"/>
  <c r="BF198" i="4" s="1"/>
  <c r="BC198" i="4"/>
  <c r="AE160" i="4"/>
  <c r="AJ7" i="4"/>
  <c r="AK7" i="4" s="1"/>
  <c r="AI7" i="4"/>
  <c r="AW225" i="4"/>
  <c r="AY225" i="4"/>
  <c r="BA225" i="4" s="1"/>
  <c r="BE227" i="4"/>
  <c r="BG227" i="4" s="1"/>
  <c r="BF227" i="4" s="1"/>
  <c r="BC227" i="4"/>
  <c r="BC216" i="4"/>
  <c r="BE216" i="4"/>
  <c r="BG216" i="4" s="1"/>
  <c r="BF216" i="4" s="1"/>
  <c r="BC182" i="4"/>
  <c r="BE182" i="4"/>
  <c r="BG182" i="4" s="1"/>
  <c r="BF182" i="4" s="1"/>
  <c r="BE229" i="4"/>
  <c r="BG229" i="4" s="1"/>
  <c r="BF229" i="4" s="1"/>
  <c r="BC229" i="4"/>
  <c r="AK285" i="4"/>
  <c r="AK280" i="4" s="1"/>
  <c r="AL280" i="4"/>
  <c r="AL274" i="4" s="1"/>
  <c r="AL245" i="9" s="1"/>
  <c r="AM285" i="4"/>
  <c r="BC212" i="4"/>
  <c r="BE212" i="4"/>
  <c r="BG212" i="4" s="1"/>
  <c r="BF212" i="4" s="1"/>
  <c r="AV222" i="4"/>
  <c r="AU221" i="4"/>
  <c r="BD185" i="4"/>
  <c r="BB185" i="4"/>
  <c r="AZ185" i="4"/>
  <c r="BB197" i="4"/>
  <c r="AZ197" i="4"/>
  <c r="BD197" i="4"/>
  <c r="BA142" i="4"/>
  <c r="AS221" i="4"/>
  <c r="AT222" i="4"/>
  <c r="AT221" i="4" s="1"/>
  <c r="AP178" i="4"/>
  <c r="AO177" i="4"/>
  <c r="AO224" i="4"/>
  <c r="AM126" i="4"/>
  <c r="BE223" i="4"/>
  <c r="BG223" i="4" s="1"/>
  <c r="BF223" i="4" s="1"/>
  <c r="BC223" i="4"/>
  <c r="BE226" i="4"/>
  <c r="BG226" i="4" s="1"/>
  <c r="BC226" i="4"/>
  <c r="AI147" i="4"/>
  <c r="AH88" i="4"/>
  <c r="AF138" i="4"/>
  <c r="AR214" i="4"/>
  <c r="AY237" i="4"/>
  <c r="BA237" i="4"/>
  <c r="AW237" i="4"/>
  <c r="AJ238" i="4"/>
  <c r="AK241" i="4"/>
  <c r="AQ284" i="4"/>
  <c r="AS284" i="4"/>
  <c r="BC217" i="4"/>
  <c r="BE217" i="4"/>
  <c r="BG217" i="4" s="1"/>
  <c r="BF217" i="4" s="1"/>
  <c r="AQ215" i="4"/>
  <c r="AS215" i="4"/>
  <c r="AN24" i="4" l="1"/>
  <c r="AQ273" i="4"/>
  <c r="AQ242" i="9" s="1"/>
  <c r="AS30" i="9"/>
  <c r="AT30" i="9" s="1"/>
  <c r="AZ142" i="4"/>
  <c r="BB142" i="4"/>
  <c r="BB245" i="4"/>
  <c r="BD245" i="4"/>
  <c r="AZ245" i="4"/>
  <c r="BD142" i="4"/>
  <c r="AW68" i="9"/>
  <c r="AW74" i="9" s="1"/>
  <c r="AO221" i="9"/>
  <c r="AP211" i="4"/>
  <c r="AO210" i="4"/>
  <c r="AN211" i="4"/>
  <c r="AN221" i="9" s="1"/>
  <c r="AN222" i="9" s="1"/>
  <c r="Y277" i="4"/>
  <c r="AK109" i="4"/>
  <c r="AM109" i="4"/>
  <c r="AL67" i="9"/>
  <c r="AL73" i="9" s="1"/>
  <c r="BR30" i="9" s="1"/>
  <c r="U277" i="4"/>
  <c r="AY6" i="9"/>
  <c r="AX6" i="9"/>
  <c r="AX7" i="9" s="1"/>
  <c r="AM222" i="9"/>
  <c r="AP22" i="9"/>
  <c r="AQ22" i="9" s="1"/>
  <c r="V26" i="4"/>
  <c r="V14" i="4"/>
  <c r="V16" i="4"/>
  <c r="V243" i="9"/>
  <c r="AJ21" i="9"/>
  <c r="AK21" i="9" s="1"/>
  <c r="AJ23" i="9"/>
  <c r="AK23" i="9" s="1"/>
  <c r="BF126" i="9"/>
  <c r="BG124" i="9"/>
  <c r="BG126" i="9" s="1"/>
  <c r="BF36" i="9"/>
  <c r="BC35" i="9"/>
  <c r="BD36" i="9"/>
  <c r="BD35" i="9" s="1"/>
  <c r="BD8" i="9"/>
  <c r="BD9" i="9" s="1"/>
  <c r="BE8" i="9"/>
  <c r="BG8" i="9" s="1"/>
  <c r="AQ165" i="9"/>
  <c r="AT163" i="9"/>
  <c r="BE133" i="9"/>
  <c r="BE104" i="9"/>
  <c r="BE51" i="9"/>
  <c r="BE68" i="9" s="1"/>
  <c r="BE74" i="9" s="1"/>
  <c r="BG10" i="9"/>
  <c r="BN168" i="9"/>
  <c r="BK169" i="9" s="1"/>
  <c r="BA43" i="9"/>
  <c r="BW21" i="9"/>
  <c r="AX68" i="9"/>
  <c r="BD11" i="9"/>
  <c r="AU74" i="9"/>
  <c r="BU31" i="9" s="1"/>
  <c r="BU26" i="9"/>
  <c r="AZ133" i="9"/>
  <c r="BA133" i="9" s="1"/>
  <c r="AZ104" i="9"/>
  <c r="BA104" i="9" s="1"/>
  <c r="BA112" i="9" s="1"/>
  <c r="AZ51" i="9"/>
  <c r="BA51" i="9" s="1"/>
  <c r="BA61" i="9" s="1"/>
  <c r="AU284" i="4"/>
  <c r="AN224" i="4"/>
  <c r="AP224" i="4"/>
  <c r="AO126" i="4"/>
  <c r="AN126" i="4" s="1"/>
  <c r="AZ225" i="4"/>
  <c r="BB225" i="4"/>
  <c r="BD225" i="4" s="1"/>
  <c r="AX222" i="4"/>
  <c r="AV221" i="4"/>
  <c r="AO285" i="4"/>
  <c r="AM280" i="4"/>
  <c r="AM274" i="4" s="1"/>
  <c r="AU215" i="4"/>
  <c r="AL241" i="4"/>
  <c r="AK238" i="4"/>
  <c r="AQ214" i="4"/>
  <c r="AS214" i="4"/>
  <c r="BF226" i="4"/>
  <c r="AN177" i="4"/>
  <c r="BG185" i="4"/>
  <c r="BC185" i="4"/>
  <c r="BE185" i="4"/>
  <c r="BB237" i="4"/>
  <c r="BD237" i="4"/>
  <c r="AZ237" i="4"/>
  <c r="AG138" i="4"/>
  <c r="AI160" i="4"/>
  <c r="AH147" i="4"/>
  <c r="AP177" i="4"/>
  <c r="AQ178" i="4"/>
  <c r="AR178" i="4" s="1"/>
  <c r="BE197" i="4"/>
  <c r="BC197" i="4"/>
  <c r="BG197" i="4"/>
  <c r="BF197" i="4" s="1"/>
  <c r="AK274" i="4"/>
  <c r="AK245" i="9" s="1"/>
  <c r="AL88" i="4"/>
  <c r="AT273" i="4"/>
  <c r="AT242" i="9" s="1"/>
  <c r="AQ24" i="4"/>
  <c r="AL7" i="4"/>
  <c r="AM7" i="4"/>
  <c r="AN7" i="4" s="1"/>
  <c r="BC142" i="4" l="1"/>
  <c r="AV30" i="9"/>
  <c r="AW30" i="9" s="1"/>
  <c r="BE142" i="4"/>
  <c r="AZ68" i="9"/>
  <c r="AZ74" i="9" s="1"/>
  <c r="BC245" i="4"/>
  <c r="BG245" i="4"/>
  <c r="BF245" i="4" s="1"/>
  <c r="BE245" i="4"/>
  <c r="BG9" i="9"/>
  <c r="AM24" i="9"/>
  <c r="AN24" i="9" s="1"/>
  <c r="BR25" i="9"/>
  <c r="AS22" i="9"/>
  <c r="AT22" i="9" s="1"/>
  <c r="V277" i="4"/>
  <c r="AP221" i="9"/>
  <c r="AP222" i="9" s="1"/>
  <c r="AP201" i="9" s="1"/>
  <c r="AR211" i="4"/>
  <c r="AP210" i="4"/>
  <c r="AP149" i="4" s="1"/>
  <c r="AO222" i="9"/>
  <c r="BA6" i="9"/>
  <c r="BA7" i="9" s="1"/>
  <c r="BB6" i="9"/>
  <c r="BG142" i="4"/>
  <c r="AM88" i="4"/>
  <c r="AM147" i="4" s="1"/>
  <c r="AM160" i="4" s="1"/>
  <c r="AM245" i="9"/>
  <c r="AO149" i="4"/>
  <c r="AN149" i="4" s="1"/>
  <c r="AO109" i="4"/>
  <c r="AN210" i="4"/>
  <c r="AN109" i="4" s="1"/>
  <c r="AM23" i="9"/>
  <c r="AN23" i="9" s="1"/>
  <c r="AM21" i="9"/>
  <c r="AN21" i="9" s="1"/>
  <c r="AX74" i="9"/>
  <c r="BV31" i="9" s="1"/>
  <c r="BV26" i="9"/>
  <c r="AV163" i="9"/>
  <c r="AS165" i="9"/>
  <c r="BD43" i="9"/>
  <c r="BX21" i="9"/>
  <c r="BG11" i="9"/>
  <c r="BC133" i="9"/>
  <c r="BD133" i="9" s="1"/>
  <c r="BC51" i="9"/>
  <c r="BD51" i="9" s="1"/>
  <c r="BD61" i="9" s="1"/>
  <c r="BC104" i="9"/>
  <c r="BD104" i="9" s="1"/>
  <c r="BD112" i="9" s="1"/>
  <c r="BL169" i="9"/>
  <c r="BM175" i="9" s="1"/>
  <c r="BN175" i="9" s="1"/>
  <c r="BF35" i="9"/>
  <c r="BG36" i="9"/>
  <c r="BG35" i="9" s="1"/>
  <c r="BA68" i="9"/>
  <c r="AS178" i="4"/>
  <c r="AR177" i="4"/>
  <c r="AH138" i="4"/>
  <c r="BF185" i="4"/>
  <c r="AR224" i="4"/>
  <c r="AP126" i="4"/>
  <c r="AP7" i="4"/>
  <c r="AQ7" i="4" s="1"/>
  <c r="AO7" i="4"/>
  <c r="AW273" i="4"/>
  <c r="AW242" i="9" s="1"/>
  <c r="AT24" i="4"/>
  <c r="AL238" i="4"/>
  <c r="AM241" i="4"/>
  <c r="AO280" i="4"/>
  <c r="AO274" i="4" s="1"/>
  <c r="AO245" i="9" s="1"/>
  <c r="AN285" i="4"/>
  <c r="AN280" i="4" s="1"/>
  <c r="AP285" i="4"/>
  <c r="AV284" i="4"/>
  <c r="AT284" i="4"/>
  <c r="BE237" i="4"/>
  <c r="BG237" i="4"/>
  <c r="BC237" i="4"/>
  <c r="AV215" i="4"/>
  <c r="AT215" i="4"/>
  <c r="AU214" i="4"/>
  <c r="AW222" i="4"/>
  <c r="AW221" i="4" s="1"/>
  <c r="AY222" i="4"/>
  <c r="AX221" i="4"/>
  <c r="AL147" i="4"/>
  <c r="AK88" i="4"/>
  <c r="AH160" i="4"/>
  <c r="BE225" i="4"/>
  <c r="BG225" i="4" s="1"/>
  <c r="BF225" i="4" s="1"/>
  <c r="BC225" i="4"/>
  <c r="AY30" i="9" l="1"/>
  <c r="AZ30" i="9" s="1"/>
  <c r="BF142" i="4"/>
  <c r="BN169" i="9"/>
  <c r="BK170" i="9" s="1"/>
  <c r="BL170" i="9" s="1"/>
  <c r="BM176" i="9" s="1"/>
  <c r="BN176" i="9" s="1"/>
  <c r="BD6" i="9"/>
  <c r="BD7" i="9" s="1"/>
  <c r="BE6" i="9"/>
  <c r="BG6" i="9" s="1"/>
  <c r="AR221" i="9"/>
  <c r="AS211" i="4"/>
  <c r="AQ211" i="4"/>
  <c r="AQ221" i="9" s="1"/>
  <c r="AQ222" i="9" s="1"/>
  <c r="AQ201" i="9" s="1"/>
  <c r="AR210" i="4"/>
  <c r="AV22" i="9"/>
  <c r="AW22" i="9" s="1"/>
  <c r="AP71" i="4"/>
  <c r="AP109" i="4" s="1"/>
  <c r="AP21" i="9"/>
  <c r="AQ21" i="9" s="1"/>
  <c r="AP23" i="9"/>
  <c r="AQ23" i="9" s="1"/>
  <c r="BG43" i="9"/>
  <c r="BY21" i="9"/>
  <c r="BD68" i="9"/>
  <c r="AW163" i="9"/>
  <c r="BA74" i="9"/>
  <c r="BW31" i="9" s="1"/>
  <c r="BW26" i="9"/>
  <c r="BF133" i="9"/>
  <c r="BG133" i="9" s="1"/>
  <c r="BF104" i="9"/>
  <c r="BG104" i="9" s="1"/>
  <c r="BG112" i="9" s="1"/>
  <c r="BF51" i="9"/>
  <c r="BG51" i="9" s="1"/>
  <c r="BG61" i="9" s="1"/>
  <c r="BC68" i="9"/>
  <c r="BC74" i="9" s="1"/>
  <c r="AT165" i="9"/>
  <c r="AI138" i="4"/>
  <c r="AT214" i="4"/>
  <c r="AV214" i="4"/>
  <c r="AR7" i="4"/>
  <c r="AS7" i="4"/>
  <c r="AT7" i="4" s="1"/>
  <c r="AS224" i="4"/>
  <c r="AQ224" i="4"/>
  <c r="AR126" i="4"/>
  <c r="AQ126" i="4" s="1"/>
  <c r="AQ177" i="4"/>
  <c r="BA222" i="4"/>
  <c r="AY221" i="4"/>
  <c r="AP280" i="4"/>
  <c r="AP274" i="4" s="1"/>
  <c r="AR285" i="4"/>
  <c r="AT178" i="4"/>
  <c r="AU178" i="4" s="1"/>
  <c r="AS177" i="4"/>
  <c r="BF237" i="4"/>
  <c r="AX284" i="4"/>
  <c r="AN274" i="4"/>
  <c r="AN245" i="9" s="1"/>
  <c r="AO88" i="4"/>
  <c r="AK147" i="4"/>
  <c r="AL160" i="4"/>
  <c r="AN241" i="4"/>
  <c r="AM238" i="4"/>
  <c r="AX215" i="4"/>
  <c r="AZ273" i="4"/>
  <c r="AZ242" i="9" s="1"/>
  <c r="AW24" i="4"/>
  <c r="BB30" i="9" l="1"/>
  <c r="BC30" i="9" s="1"/>
  <c r="BE30" i="9"/>
  <c r="BF30" i="9" s="1"/>
  <c r="AQ71" i="4"/>
  <c r="AR201" i="9"/>
  <c r="BF68" i="9"/>
  <c r="BF74" i="9" s="1"/>
  <c r="AS221" i="9"/>
  <c r="AS210" i="4"/>
  <c r="AS149" i="4" s="1"/>
  <c r="AU211" i="4"/>
  <c r="AR222" i="9"/>
  <c r="AP88" i="4"/>
  <c r="AP147" i="4" s="1"/>
  <c r="AP160" i="4" s="1"/>
  <c r="AP245" i="9"/>
  <c r="AY22" i="9"/>
  <c r="AZ22" i="9" s="1"/>
  <c r="AQ210" i="4"/>
  <c r="AR149" i="4"/>
  <c r="AQ149" i="4" s="1"/>
  <c r="BG7" i="9"/>
  <c r="AS21" i="9"/>
  <c r="AT21" i="9" s="1"/>
  <c r="AS23" i="9"/>
  <c r="AT23" i="9" s="1"/>
  <c r="CR19" i="9"/>
  <c r="CQ19" i="9" s="1"/>
  <c r="BG68" i="9"/>
  <c r="AY163" i="9"/>
  <c r="AV165" i="9"/>
  <c r="BN170" i="9"/>
  <c r="BD74" i="9"/>
  <c r="BX31" i="9" s="1"/>
  <c r="BX26" i="9"/>
  <c r="AK160" i="4"/>
  <c r="AN88" i="4"/>
  <c r="AO147" i="4"/>
  <c r="BC273" i="4"/>
  <c r="BC242" i="9" s="1"/>
  <c r="AZ24" i="4"/>
  <c r="AN238" i="4"/>
  <c r="AO241" i="4"/>
  <c r="AS285" i="4"/>
  <c r="AQ285" i="4"/>
  <c r="AQ280" i="4" s="1"/>
  <c r="AR280" i="4"/>
  <c r="AR274" i="4" s="1"/>
  <c r="AR245" i="9" s="1"/>
  <c r="BA221" i="4"/>
  <c r="AZ222" i="4"/>
  <c r="AZ221" i="4" s="1"/>
  <c r="BB222" i="4"/>
  <c r="AY215" i="4"/>
  <c r="AW215" i="4"/>
  <c r="AU224" i="4"/>
  <c r="AS126" i="4"/>
  <c r="AX214" i="4"/>
  <c r="AJ138" i="4"/>
  <c r="AY284" i="4"/>
  <c r="AW284" i="4"/>
  <c r="AV178" i="4"/>
  <c r="AU177" i="4"/>
  <c r="AU7" i="4"/>
  <c r="AV7" i="4"/>
  <c r="AW7" i="4" s="1"/>
  <c r="AA27" i="9" l="1"/>
  <c r="AB27" i="9" s="1"/>
  <c r="AC28" i="9"/>
  <c r="AQ109" i="4"/>
  <c r="BB22" i="9"/>
  <c r="BC22" i="9" s="1"/>
  <c r="AS222" i="9"/>
  <c r="AS201" i="9" s="1"/>
  <c r="AR71" i="4"/>
  <c r="AR109" i="4" s="1"/>
  <c r="AU221" i="9"/>
  <c r="AU210" i="4"/>
  <c r="AT211" i="4"/>
  <c r="AT221" i="9" s="1"/>
  <c r="AT222" i="9" s="1"/>
  <c r="AT201" i="9" s="1"/>
  <c r="AV211" i="4"/>
  <c r="BE22" i="9"/>
  <c r="BF22" i="9" s="1"/>
  <c r="AP24" i="9"/>
  <c r="AQ24" i="9" s="1"/>
  <c r="AM31" i="9"/>
  <c r="AM29" i="9" s="1"/>
  <c r="AV21" i="9"/>
  <c r="AW21" i="9" s="1"/>
  <c r="AV23" i="9"/>
  <c r="AW23" i="9" s="1"/>
  <c r="AZ163" i="9"/>
  <c r="AW165" i="9"/>
  <c r="BG74" i="9"/>
  <c r="BY31" i="9" s="1"/>
  <c r="BY26" i="9"/>
  <c r="AW178" i="4"/>
  <c r="AX178" i="4" s="1"/>
  <c r="AV177" i="4"/>
  <c r="BD222" i="4"/>
  <c r="BB221" i="4"/>
  <c r="BC24" i="4"/>
  <c r="BF273" i="4"/>
  <c r="BF242" i="9" s="1"/>
  <c r="AY214" i="4"/>
  <c r="AW214" i="4"/>
  <c r="AS280" i="4"/>
  <c r="AS274" i="4" s="1"/>
  <c r="AU285" i="4"/>
  <c r="AO160" i="4"/>
  <c r="AN147" i="4"/>
  <c r="AX7" i="4"/>
  <c r="AY7" i="4"/>
  <c r="AZ7" i="4" s="1"/>
  <c r="AT224" i="4"/>
  <c r="AV224" i="4"/>
  <c r="AU126" i="4"/>
  <c r="AT126" i="4" s="1"/>
  <c r="AP241" i="4"/>
  <c r="AO238" i="4"/>
  <c r="AT177" i="4"/>
  <c r="BA284" i="4"/>
  <c r="AK138" i="4"/>
  <c r="BA215" i="4"/>
  <c r="AQ274" i="4"/>
  <c r="AQ245" i="9" s="1"/>
  <c r="AR88" i="4"/>
  <c r="AS88" i="4" l="1"/>
  <c r="AS147" i="4" s="1"/>
  <c r="AS160" i="4" s="1"/>
  <c r="AS245" i="9"/>
  <c r="AV221" i="9"/>
  <c r="AV222" i="9" s="1"/>
  <c r="AV201" i="9" s="1"/>
  <c r="AV210" i="4"/>
  <c r="AV149" i="4" s="1"/>
  <c r="AX211" i="4"/>
  <c r="AS71" i="4"/>
  <c r="AS109" i="4" s="1"/>
  <c r="AU201" i="9"/>
  <c r="AT210" i="4"/>
  <c r="AU149" i="4"/>
  <c r="AT149" i="4" s="1"/>
  <c r="AT71" i="4"/>
  <c r="AU222" i="9"/>
  <c r="AF28" i="9"/>
  <c r="AN31" i="9"/>
  <c r="AN29" i="9" s="1"/>
  <c r="AO29" i="9" s="1"/>
  <c r="AM351" i="4"/>
  <c r="AM132" i="9"/>
  <c r="AM103" i="9"/>
  <c r="AM50" i="9"/>
  <c r="AM67" i="9" s="1"/>
  <c r="AM73" i="9" s="1"/>
  <c r="AC45" i="9"/>
  <c r="AC46" i="9" s="1"/>
  <c r="AB20" i="9"/>
  <c r="AY23" i="9"/>
  <c r="AZ23" i="9" s="1"/>
  <c r="AY21" i="9"/>
  <c r="AZ21" i="9" s="1"/>
  <c r="BB163" i="9"/>
  <c r="AY165" i="9"/>
  <c r="AV285" i="4"/>
  <c r="AT285" i="4"/>
  <c r="AT280" i="4" s="1"/>
  <c r="AU280" i="4"/>
  <c r="AU274" i="4" s="1"/>
  <c r="AU245" i="9" s="1"/>
  <c r="BE222" i="4"/>
  <c r="BD221" i="4"/>
  <c r="BC222" i="4"/>
  <c r="BC221" i="4" s="1"/>
  <c r="AQ88" i="4"/>
  <c r="AR147" i="4"/>
  <c r="BB284" i="4"/>
  <c r="AZ284" i="4"/>
  <c r="AQ241" i="4"/>
  <c r="AP238" i="4"/>
  <c r="AX224" i="4"/>
  <c r="AV126" i="4"/>
  <c r="BB7" i="4"/>
  <c r="BC7" i="4" s="1"/>
  <c r="BA7" i="4"/>
  <c r="BF24" i="4"/>
  <c r="AY178" i="4"/>
  <c r="AX177" i="4"/>
  <c r="BA214" i="4"/>
  <c r="BB215" i="4"/>
  <c r="AZ215" i="4"/>
  <c r="AL138" i="4"/>
  <c r="AN160" i="4"/>
  <c r="AT109" i="4" l="1"/>
  <c r="AU71" i="4"/>
  <c r="AU109" i="4" s="1"/>
  <c r="AV71" i="4"/>
  <c r="AV109" i="4" s="1"/>
  <c r="AX221" i="9"/>
  <c r="AW211" i="4"/>
  <c r="AW221" i="9" s="1"/>
  <c r="AW222" i="9" s="1"/>
  <c r="AW201" i="9" s="1"/>
  <c r="AX210" i="4"/>
  <c r="AY211" i="4"/>
  <c r="AB45" i="9"/>
  <c r="AB46" i="9" s="1"/>
  <c r="AB19" i="9"/>
  <c r="AI28" i="9"/>
  <c r="BE21" i="9"/>
  <c r="BB23" i="9"/>
  <c r="BC23" i="9" s="1"/>
  <c r="BE23" i="9"/>
  <c r="BF23" i="9" s="1"/>
  <c r="AO351" i="4"/>
  <c r="BS20" i="9"/>
  <c r="AO42" i="9"/>
  <c r="AD20" i="9"/>
  <c r="AE20" i="9" s="1"/>
  <c r="AF45" i="9"/>
  <c r="AF46" i="9" s="1"/>
  <c r="BB21" i="9"/>
  <c r="AS24" i="9"/>
  <c r="AT24" i="9" s="1"/>
  <c r="AP31" i="9"/>
  <c r="AN351" i="4"/>
  <c r="AN50" i="9"/>
  <c r="AO50" i="9" s="1"/>
  <c r="AN103" i="9"/>
  <c r="AO103" i="9" s="1"/>
  <c r="AO111" i="9" s="1"/>
  <c r="AN132" i="9"/>
  <c r="AO132" i="9" s="1"/>
  <c r="AZ165" i="9"/>
  <c r="BC163" i="9"/>
  <c r="BB214" i="4"/>
  <c r="AZ214" i="4"/>
  <c r="AY177" i="4"/>
  <c r="AZ178" i="4"/>
  <c r="BA178" i="4" s="1"/>
  <c r="BD284" i="4"/>
  <c r="AM138" i="4"/>
  <c r="AR241" i="4"/>
  <c r="AQ238" i="4"/>
  <c r="AQ147" i="4"/>
  <c r="AR160" i="4"/>
  <c r="AV280" i="4"/>
  <c r="AV274" i="4" s="1"/>
  <c r="AX285" i="4"/>
  <c r="BD215" i="4"/>
  <c r="AW224" i="4"/>
  <c r="AY224" i="4"/>
  <c r="AX126" i="4"/>
  <c r="AW126" i="4" s="1"/>
  <c r="BE221" i="4"/>
  <c r="BG222" i="4"/>
  <c r="AW177" i="4"/>
  <c r="BE7" i="4"/>
  <c r="BF7" i="4" s="1"/>
  <c r="BG7" i="4" s="1"/>
  <c r="BD7" i="4"/>
  <c r="AU88" i="4"/>
  <c r="AT274" i="4"/>
  <c r="AT245" i="9" s="1"/>
  <c r="AN67" i="9" l="1"/>
  <c r="AN73" i="9" s="1"/>
  <c r="AW71" i="4"/>
  <c r="AX201" i="9"/>
  <c r="AV88" i="4"/>
  <c r="AV147" i="4" s="1"/>
  <c r="AV160" i="4" s="1"/>
  <c r="AV245" i="9"/>
  <c r="AW210" i="4"/>
  <c r="AX149" i="4"/>
  <c r="AW149" i="4" s="1"/>
  <c r="AX222" i="9"/>
  <c r="AY221" i="9"/>
  <c r="AY222" i="9" s="1"/>
  <c r="AY201" i="9" s="1"/>
  <c r="BA211" i="4"/>
  <c r="AY210" i="4"/>
  <c r="AY149" i="4" s="1"/>
  <c r="AO60" i="9"/>
  <c r="AO67" i="9"/>
  <c r="AE19" i="9"/>
  <c r="AE45" i="9"/>
  <c r="AE46" i="9" s="1"/>
  <c r="AO45" i="9"/>
  <c r="AM20" i="9"/>
  <c r="AA350" i="4"/>
  <c r="AC19" i="9"/>
  <c r="BB24" i="9"/>
  <c r="BC24" i="9" s="1"/>
  <c r="AD19" i="9"/>
  <c r="AD45" i="9"/>
  <c r="AD46" i="9" s="1"/>
  <c r="AB350" i="4"/>
  <c r="AB131" i="9"/>
  <c r="AB130" i="9" s="1"/>
  <c r="AB102" i="9"/>
  <c r="AB101" i="9" s="1"/>
  <c r="AB17" i="9"/>
  <c r="AB49" i="9"/>
  <c r="AB48" i="9" s="1"/>
  <c r="AB41" i="9"/>
  <c r="AQ31" i="9"/>
  <c r="BC21" i="9"/>
  <c r="BF21" i="9"/>
  <c r="AI45" i="9"/>
  <c r="AI46" i="9" s="1"/>
  <c r="AG20" i="9"/>
  <c r="AH20" i="9" s="1"/>
  <c r="BB165" i="9"/>
  <c r="BE163" i="9"/>
  <c r="BD214" i="4"/>
  <c r="AQ160" i="4"/>
  <c r="AW285" i="4"/>
  <c r="AW280" i="4" s="1"/>
  <c r="AX280" i="4"/>
  <c r="AX274" i="4" s="1"/>
  <c r="AX245" i="9" s="1"/>
  <c r="AY285" i="4"/>
  <c r="BB178" i="4"/>
  <c r="BA177" i="4"/>
  <c r="AR238" i="4"/>
  <c r="AS241" i="4"/>
  <c r="BG221" i="4"/>
  <c r="BF222" i="4"/>
  <c r="BF221" i="4" s="1"/>
  <c r="AU147" i="4"/>
  <c r="AT88" i="4"/>
  <c r="BA224" i="4"/>
  <c r="AY126" i="4"/>
  <c r="BC215" i="4"/>
  <c r="BE215" i="4"/>
  <c r="AN138" i="4"/>
  <c r="BC284" i="4"/>
  <c r="BE284" i="4"/>
  <c r="AB215" i="9" l="1"/>
  <c r="AB248" i="9"/>
  <c r="AB66" i="9"/>
  <c r="AB72" i="9" s="1"/>
  <c r="AY71" i="4"/>
  <c r="AY109" i="4" s="1"/>
  <c r="AX71" i="4"/>
  <c r="AX109" i="4" s="1"/>
  <c r="BA221" i="9"/>
  <c r="BB211" i="4"/>
  <c r="AZ211" i="4"/>
  <c r="AZ221" i="9" s="1"/>
  <c r="AZ222" i="9" s="1"/>
  <c r="AZ201" i="9" s="1"/>
  <c r="BA210" i="4"/>
  <c r="AW109" i="4"/>
  <c r="AH45" i="9"/>
  <c r="AH46" i="9" s="1"/>
  <c r="AH19" i="9"/>
  <c r="AB58" i="9"/>
  <c r="AB55" i="9"/>
  <c r="AB54" i="9"/>
  <c r="AB138" i="9"/>
  <c r="AD350" i="4"/>
  <c r="AD49" i="9"/>
  <c r="AD41" i="9"/>
  <c r="AD131" i="9"/>
  <c r="AD17" i="9"/>
  <c r="AD40" i="9" s="1"/>
  <c r="AD102" i="9"/>
  <c r="AF19" i="9"/>
  <c r="AC49" i="9"/>
  <c r="AC66" i="9" s="1"/>
  <c r="AE350" i="4"/>
  <c r="AE102" i="9"/>
  <c r="AE101" i="9" s="1"/>
  <c r="AE49" i="9"/>
  <c r="AE48" i="9" s="1"/>
  <c r="AE41" i="9"/>
  <c r="AE131" i="9"/>
  <c r="AE130" i="9" s="1"/>
  <c r="AE17" i="9"/>
  <c r="AB29" i="4"/>
  <c r="O5" i="2"/>
  <c r="AB191" i="9"/>
  <c r="AB116" i="9"/>
  <c r="AB4" i="9"/>
  <c r="AB40" i="9"/>
  <c r="AB164" i="9"/>
  <c r="AB58" i="4" s="1"/>
  <c r="AB162" i="9"/>
  <c r="AB65" i="9"/>
  <c r="AB134" i="9"/>
  <c r="AB38" i="9"/>
  <c r="AA29" i="4"/>
  <c r="N5" i="2"/>
  <c r="AC350" i="4"/>
  <c r="G40" i="2"/>
  <c r="G49" i="2" s="1"/>
  <c r="AC17" i="9"/>
  <c r="BO19" i="9"/>
  <c r="AC41" i="9"/>
  <c r="AV24" i="9"/>
  <c r="AW24" i="9" s="1"/>
  <c r="AS31" i="9"/>
  <c r="AT31" i="9" s="1"/>
  <c r="AB109" i="9"/>
  <c r="AB106" i="9"/>
  <c r="AB105" i="9"/>
  <c r="AC131" i="9"/>
  <c r="AC102" i="9"/>
  <c r="AC110" i="9" s="1"/>
  <c r="AO73" i="9"/>
  <c r="BS30" i="9" s="1"/>
  <c r="BS25" i="9"/>
  <c r="AJ20" i="9"/>
  <c r="AL45" i="9"/>
  <c r="AL46" i="9" s="1"/>
  <c r="AG45" i="9"/>
  <c r="AG46" i="9" s="1"/>
  <c r="AG19" i="9"/>
  <c r="AN20" i="9"/>
  <c r="AM45" i="9"/>
  <c r="AM19" i="9"/>
  <c r="BF163" i="9"/>
  <c r="BC165" i="9"/>
  <c r="BG284" i="4"/>
  <c r="BC214" i="4"/>
  <c r="BE214" i="4"/>
  <c r="AT241" i="4"/>
  <c r="AS238" i="4"/>
  <c r="AZ177" i="4"/>
  <c r="BA285" i="4"/>
  <c r="AY280" i="4"/>
  <c r="AY274" i="4" s="1"/>
  <c r="AO138" i="4"/>
  <c r="BG215" i="4"/>
  <c r="BF215" i="4" s="1"/>
  <c r="BB224" i="4"/>
  <c r="AZ224" i="4"/>
  <c r="BA126" i="4"/>
  <c r="AZ126" i="4" s="1"/>
  <c r="AU160" i="4"/>
  <c r="AT147" i="4"/>
  <c r="BC178" i="4"/>
  <c r="BD178" i="4" s="1"/>
  <c r="BB177" i="4"/>
  <c r="AW274" i="4"/>
  <c r="AW245" i="9" s="1"/>
  <c r="AX88" i="4"/>
  <c r="CS30" i="9" l="1"/>
  <c r="CR22" i="9"/>
  <c r="AA259" i="4"/>
  <c r="AA267" i="4"/>
  <c r="AA263" i="4"/>
  <c r="AA262" i="4"/>
  <c r="AA260" i="4"/>
  <c r="AA261" i="4"/>
  <c r="AA265" i="4"/>
  <c r="AA266" i="4"/>
  <c r="AA268" i="4"/>
  <c r="AE66" i="9"/>
  <c r="AE72" i="9" s="1"/>
  <c r="AB129" i="9"/>
  <c r="AB137" i="9" s="1"/>
  <c r="BA149" i="4"/>
  <c r="AZ149" i="4" s="1"/>
  <c r="AZ210" i="4"/>
  <c r="AZ71" i="4"/>
  <c r="BB221" i="9"/>
  <c r="BB222" i="9" s="1"/>
  <c r="BB201" i="9" s="1"/>
  <c r="BD211" i="4"/>
  <c r="BB210" i="4"/>
  <c r="BB149" i="4" s="1"/>
  <c r="BA201" i="9"/>
  <c r="AY88" i="4"/>
  <c r="AY147" i="4" s="1"/>
  <c r="AY160" i="4" s="1"/>
  <c r="AY245" i="9"/>
  <c r="BA222" i="9"/>
  <c r="AN45" i="9"/>
  <c r="AN19" i="9"/>
  <c r="AO19" i="9" s="1"/>
  <c r="AC130" i="9"/>
  <c r="AC138" i="9" s="1"/>
  <c r="AA44" i="4"/>
  <c r="AC116" i="9"/>
  <c r="AB30" i="4"/>
  <c r="AB108" i="4"/>
  <c r="AB111" i="4"/>
  <c r="AB94" i="4"/>
  <c r="AB262" i="4"/>
  <c r="AB263" i="4"/>
  <c r="AE29" i="4"/>
  <c r="AE247" i="9"/>
  <c r="AE127" i="4" s="1"/>
  <c r="AE65" i="9"/>
  <c r="AE162" i="9"/>
  <c r="AE191" i="9"/>
  <c r="AE38" i="9"/>
  <c r="AE164" i="9"/>
  <c r="AE134" i="9"/>
  <c r="AE129" i="9" s="1"/>
  <c r="AE137" i="9" s="1"/>
  <c r="AE40" i="9"/>
  <c r="AE93" i="9"/>
  <c r="AE116" i="9"/>
  <c r="AE4" i="9"/>
  <c r="AE106" i="9"/>
  <c r="AE105" i="9"/>
  <c r="AE109" i="9"/>
  <c r="AC59" i="9"/>
  <c r="AC48" i="9"/>
  <c r="AC191" i="9" s="1"/>
  <c r="AD101" i="9"/>
  <c r="AF102" i="9"/>
  <c r="AF110" i="9" s="1"/>
  <c r="AD66" i="9"/>
  <c r="AD72" i="9" s="1"/>
  <c r="AF49" i="9"/>
  <c r="AF66" i="9" s="1"/>
  <c r="AD48" i="9"/>
  <c r="AD65" i="9" s="1"/>
  <c r="AG350" i="4"/>
  <c r="AG102" i="9"/>
  <c r="AG17" i="9"/>
  <c r="AG49" i="9"/>
  <c r="AG41" i="9"/>
  <c r="AG131" i="9"/>
  <c r="AI19" i="9"/>
  <c r="AJ45" i="9"/>
  <c r="AJ46" i="9" s="1"/>
  <c r="AJ19" i="9"/>
  <c r="AM41" i="9" s="1"/>
  <c r="AA49" i="4"/>
  <c r="AC162" i="9"/>
  <c r="O6" i="2"/>
  <c r="AB69" i="9"/>
  <c r="AB71" i="9"/>
  <c r="AB353" i="4" s="1"/>
  <c r="AE138" i="9"/>
  <c r="AD29" i="4"/>
  <c r="P5" i="2"/>
  <c r="AD38" i="9"/>
  <c r="AD164" i="9"/>
  <c r="AD58" i="4" s="1"/>
  <c r="AD247" i="9"/>
  <c r="AD134" i="9"/>
  <c r="AD4" i="9"/>
  <c r="AD5" i="9" s="1"/>
  <c r="AD162" i="9"/>
  <c r="AD215" i="9"/>
  <c r="AD131" i="4" s="1"/>
  <c r="AD116" i="9"/>
  <c r="AD93" i="9"/>
  <c r="AP20" i="9"/>
  <c r="AR45" i="9"/>
  <c r="AR46" i="9" s="1"/>
  <c r="AM350" i="4"/>
  <c r="AM131" i="9"/>
  <c r="AM17" i="9"/>
  <c r="AM49" i="9"/>
  <c r="AM66" i="9" s="1"/>
  <c r="AM72" i="9" s="1"/>
  <c r="AA43" i="4"/>
  <c r="AC101" i="9"/>
  <c r="AC29" i="4"/>
  <c r="AB117" i="4" s="1"/>
  <c r="W37" i="6"/>
  <c r="G5" i="2"/>
  <c r="N10" i="2" s="1"/>
  <c r="AC38" i="9"/>
  <c r="BO18" i="9"/>
  <c r="AC40" i="9"/>
  <c r="N6" i="2"/>
  <c r="AA353" i="4"/>
  <c r="AC164" i="9"/>
  <c r="AA58" i="4"/>
  <c r="AB49" i="4"/>
  <c r="AB122" i="4" s="1"/>
  <c r="AB166" i="9"/>
  <c r="AB5" i="9"/>
  <c r="AB12" i="9"/>
  <c r="AB13" i="9" s="1"/>
  <c r="AO46" i="9"/>
  <c r="AD130" i="9"/>
  <c r="AF131" i="9"/>
  <c r="AH350" i="4"/>
  <c r="AH102" i="9"/>
  <c r="AH101" i="9" s="1"/>
  <c r="AH41" i="9"/>
  <c r="AH17" i="9"/>
  <c r="AH131" i="9"/>
  <c r="AH130" i="9" s="1"/>
  <c r="AH49" i="9"/>
  <c r="AH48" i="9" s="1"/>
  <c r="AK20" i="9"/>
  <c r="G41" i="2"/>
  <c r="G42" i="2" s="1"/>
  <c r="AC72" i="9"/>
  <c r="BO29" i="9" s="1"/>
  <c r="BO24" i="9"/>
  <c r="AC4" i="9"/>
  <c r="AC134" i="9"/>
  <c r="AA32" i="4"/>
  <c r="AA30" i="4"/>
  <c r="AA94" i="4"/>
  <c r="AA111" i="4"/>
  <c r="AA108" i="4"/>
  <c r="AB119" i="9"/>
  <c r="AB154" i="9" s="1"/>
  <c r="AB117" i="9"/>
  <c r="AB118" i="9"/>
  <c r="AE55" i="9"/>
  <c r="AE54" i="9"/>
  <c r="AE58" i="9"/>
  <c r="AA41" i="4"/>
  <c r="AF350" i="4"/>
  <c r="H40" i="2"/>
  <c r="H49" i="2" s="1"/>
  <c r="BP19" i="9"/>
  <c r="AF41" i="9"/>
  <c r="AF17" i="9"/>
  <c r="BE165" i="9"/>
  <c r="AX147" i="4"/>
  <c r="AW88" i="4"/>
  <c r="AP138" i="4"/>
  <c r="AT238" i="4"/>
  <c r="AU241" i="4"/>
  <c r="BG214" i="4"/>
  <c r="BA280" i="4"/>
  <c r="BA274" i="4" s="1"/>
  <c r="BA245" i="9" s="1"/>
  <c r="BB285" i="4"/>
  <c r="AZ285" i="4"/>
  <c r="AZ280" i="4" s="1"/>
  <c r="BF284" i="4"/>
  <c r="BE178" i="4"/>
  <c r="BD177" i="4"/>
  <c r="AT160" i="4"/>
  <c r="BD224" i="4"/>
  <c r="BB126" i="4"/>
  <c r="CR21" i="9" l="1"/>
  <c r="CR30" i="9" s="1"/>
  <c r="CQ30" i="9" s="1"/>
  <c r="CQ31" i="9" s="1"/>
  <c r="CQ22" i="9"/>
  <c r="AC65" i="9"/>
  <c r="AC71" i="9" s="1"/>
  <c r="AA122" i="4"/>
  <c r="AC122" i="4" s="1"/>
  <c r="AZ109" i="4"/>
  <c r="AH66" i="9"/>
  <c r="AH72" i="9" s="1"/>
  <c r="AA117" i="4"/>
  <c r="BD221" i="9"/>
  <c r="BC211" i="4"/>
  <c r="BC221" i="9" s="1"/>
  <c r="BC222" i="9" s="1"/>
  <c r="BC201" i="9" s="1"/>
  <c r="BE211" i="4"/>
  <c r="BD210" i="4"/>
  <c r="AM46" i="9"/>
  <c r="BB71" i="4"/>
  <c r="BB109" i="4" s="1"/>
  <c r="BA71" i="4"/>
  <c r="BA109" i="4" s="1"/>
  <c r="AO350" i="4"/>
  <c r="BS19" i="9"/>
  <c r="AO17" i="9"/>
  <c r="AP45" i="9"/>
  <c r="AP46" i="9" s="1"/>
  <c r="AD111" i="4"/>
  <c r="AD262" i="4"/>
  <c r="AD30" i="4"/>
  <c r="AD32" i="4"/>
  <c r="AD108" i="4"/>
  <c r="AD94" i="4"/>
  <c r="AD263" i="4"/>
  <c r="N7" i="2"/>
  <c r="G7" i="2"/>
  <c r="G6" i="2"/>
  <c r="AC43" i="4"/>
  <c r="AB43" i="4" s="1"/>
  <c r="G10" i="2"/>
  <c r="G27" i="2" s="1"/>
  <c r="BO35" i="9"/>
  <c r="BO43" i="9" s="1"/>
  <c r="AC105" i="9"/>
  <c r="AC109" i="9"/>
  <c r="AC106" i="9"/>
  <c r="AM48" i="9"/>
  <c r="AM65" i="9" s="1"/>
  <c r="AF4" i="9"/>
  <c r="AD12" i="9"/>
  <c r="AD13" i="9" s="1"/>
  <c r="AG66" i="9"/>
  <c r="AG72" i="9" s="1"/>
  <c r="AG48" i="9"/>
  <c r="AG65" i="9" s="1"/>
  <c r="AI49" i="9"/>
  <c r="AI66" i="9" s="1"/>
  <c r="AD41" i="4"/>
  <c r="AD58" i="9"/>
  <c r="AD55" i="9"/>
  <c r="AD54" i="9"/>
  <c r="AD43" i="4"/>
  <c r="AF101" i="9"/>
  <c r="AD109" i="9"/>
  <c r="AD105" i="9"/>
  <c r="AE119" i="9"/>
  <c r="AE154" i="9" s="1"/>
  <c r="AE118" i="9"/>
  <c r="AE153" i="9" s="1"/>
  <c r="AE117" i="9"/>
  <c r="AE152" i="9" s="1"/>
  <c r="AF164" i="9"/>
  <c r="AE58" i="4"/>
  <c r="AE69" i="9"/>
  <c r="AE71" i="9"/>
  <c r="AE353" i="4" s="1"/>
  <c r="AC44" i="4"/>
  <c r="AB44" i="4" s="1"/>
  <c r="G11" i="2"/>
  <c r="G28" i="2" s="1"/>
  <c r="BO36" i="9"/>
  <c r="BO44" i="9" s="1"/>
  <c r="AF29" i="4"/>
  <c r="AE117" i="4" s="1"/>
  <c r="Z37" i="6"/>
  <c r="H5" i="2"/>
  <c r="P10" i="2" s="1"/>
  <c r="AF215" i="9"/>
  <c r="BP18" i="9"/>
  <c r="BP42" i="9" s="1"/>
  <c r="AF93" i="9"/>
  <c r="AF40" i="9"/>
  <c r="AF38" i="9"/>
  <c r="AA39" i="4"/>
  <c r="AH29" i="4"/>
  <c r="AH65" i="9"/>
  <c r="AH40" i="9"/>
  <c r="AH4" i="9"/>
  <c r="AH116" i="9"/>
  <c r="AH191" i="9"/>
  <c r="AH38" i="9"/>
  <c r="AH162" i="9"/>
  <c r="AH247" i="9"/>
  <c r="AH127" i="4" s="1"/>
  <c r="AH134" i="9"/>
  <c r="AH129" i="9" s="1"/>
  <c r="AH137" i="9" s="1"/>
  <c r="AH77" i="9"/>
  <c r="AH164" i="9"/>
  <c r="AD44" i="4"/>
  <c r="AD117" i="9"/>
  <c r="AF116" i="9"/>
  <c r="AD118" i="9"/>
  <c r="AD119" i="9"/>
  <c r="AE12" i="9"/>
  <c r="AE13" i="9" s="1"/>
  <c r="AE5" i="9"/>
  <c r="AE49" i="4"/>
  <c r="AE166" i="9"/>
  <c r="AE168" i="9" s="1"/>
  <c r="AC119" i="9"/>
  <c r="AC154" i="9" s="1"/>
  <c r="AN350" i="4"/>
  <c r="AN131" i="9"/>
  <c r="AN130" i="9" s="1"/>
  <c r="AN49" i="9"/>
  <c r="AN48" i="9" s="1"/>
  <c r="AN17" i="9"/>
  <c r="AV31" i="9"/>
  <c r="AW31" i="9" s="1"/>
  <c r="AS20" i="9"/>
  <c r="AU45" i="9"/>
  <c r="AU46" i="9" s="1"/>
  <c r="O10" i="2"/>
  <c r="AC12" i="9"/>
  <c r="AC13" i="9" s="1"/>
  <c r="AC5" i="9"/>
  <c r="AH55" i="9"/>
  <c r="AH54" i="9"/>
  <c r="AH58" i="9"/>
  <c r="AF130" i="9"/>
  <c r="AF138" i="9" s="1"/>
  <c r="AD129" i="9"/>
  <c r="AD150" i="9" s="1"/>
  <c r="AD138" i="9"/>
  <c r="AB168" i="9"/>
  <c r="AC165" i="9"/>
  <c r="AC58" i="4"/>
  <c r="CG29" i="9"/>
  <c r="AD106" i="9"/>
  <c r="AM29" i="4"/>
  <c r="AM212" i="9"/>
  <c r="AM129" i="4" s="1"/>
  <c r="AM38" i="9"/>
  <c r="AM134" i="9"/>
  <c r="AM247" i="9"/>
  <c r="AM127" i="4" s="1"/>
  <c r="AM77" i="9"/>
  <c r="AM4" i="9"/>
  <c r="AM215" i="9"/>
  <c r="AM131" i="4" s="1"/>
  <c r="AM116" i="9"/>
  <c r="AM162" i="9"/>
  <c r="AM164" i="9"/>
  <c r="AD49" i="4"/>
  <c r="AD122" i="4" s="1"/>
  <c r="AF162" i="9"/>
  <c r="AD166" i="9"/>
  <c r="AD168" i="9" s="1"/>
  <c r="AF134" i="9"/>
  <c r="AD191" i="9"/>
  <c r="AI350" i="4"/>
  <c r="I40" i="2"/>
  <c r="I49" i="2" s="1"/>
  <c r="AI41" i="9"/>
  <c r="AI17" i="9"/>
  <c r="BQ19" i="9"/>
  <c r="AG164" i="9"/>
  <c r="AG58" i="4" s="1"/>
  <c r="AG29" i="4"/>
  <c r="AG215" i="9"/>
  <c r="AG131" i="4" s="1"/>
  <c r="AG116" i="9"/>
  <c r="AG4" i="9"/>
  <c r="AG77" i="9"/>
  <c r="AG162" i="9"/>
  <c r="AG40" i="9"/>
  <c r="AG247" i="9"/>
  <c r="AG134" i="9"/>
  <c r="AG38" i="9"/>
  <c r="AG212" i="9"/>
  <c r="AG129" i="4" s="1"/>
  <c r="AF59" i="9"/>
  <c r="AF48" i="9"/>
  <c r="AF191" i="9" s="1"/>
  <c r="AC41" i="4"/>
  <c r="AB41" i="4" s="1"/>
  <c r="AC54" i="9"/>
  <c r="AC58" i="9"/>
  <c r="AC55" i="9"/>
  <c r="AC118" i="9"/>
  <c r="AY24" i="9"/>
  <c r="AZ24" i="9" s="1"/>
  <c r="H41" i="2"/>
  <c r="H42" i="2" s="1"/>
  <c r="AF72" i="9"/>
  <c r="BP29" i="9" s="1"/>
  <c r="BP24" i="9"/>
  <c r="AB120" i="9"/>
  <c r="AK45" i="9"/>
  <c r="AK46" i="9" s="1"/>
  <c r="AK19" i="9"/>
  <c r="AH138" i="9"/>
  <c r="AH109" i="9"/>
  <c r="AH106" i="9"/>
  <c r="AH105" i="9"/>
  <c r="AC32" i="4"/>
  <c r="AC108" i="4"/>
  <c r="AC30" i="4"/>
  <c r="AC94" i="4"/>
  <c r="AC262" i="4"/>
  <c r="AC263" i="4"/>
  <c r="AM130" i="9"/>
  <c r="AQ20" i="9"/>
  <c r="AQ45" i="9" s="1"/>
  <c r="AQ46" i="9" s="1"/>
  <c r="P6" i="2"/>
  <c r="AD71" i="9"/>
  <c r="AD353" i="4" s="1"/>
  <c r="AD69" i="9"/>
  <c r="AD127" i="4"/>
  <c r="AF127" i="4" s="1"/>
  <c r="AF247" i="9"/>
  <c r="AF248" i="9" s="1"/>
  <c r="AC49" i="4"/>
  <c r="AC166" i="9"/>
  <c r="AC163" i="9"/>
  <c r="AJ350" i="4"/>
  <c r="AJ49" i="9"/>
  <c r="AJ17" i="9"/>
  <c r="AJ41" i="9"/>
  <c r="AJ102" i="9"/>
  <c r="AJ131" i="9"/>
  <c r="AG130" i="9"/>
  <c r="AI131" i="9"/>
  <c r="AG101" i="9"/>
  <c r="AI102" i="9"/>
  <c r="AI110" i="9" s="1"/>
  <c r="AE150" i="9"/>
  <c r="AE108" i="4"/>
  <c r="AE94" i="4"/>
  <c r="AE111" i="4"/>
  <c r="AE30" i="4"/>
  <c r="AE262" i="4"/>
  <c r="AE263" i="4"/>
  <c r="AC117" i="9"/>
  <c r="AC129" i="9"/>
  <c r="BF165" i="9"/>
  <c r="BE224" i="4"/>
  <c r="BC224" i="4"/>
  <c r="BD126" i="4"/>
  <c r="BC126" i="4" s="1"/>
  <c r="BC177" i="4"/>
  <c r="AV241" i="4"/>
  <c r="AU238" i="4"/>
  <c r="BF178" i="4"/>
  <c r="BG178" i="4" s="1"/>
  <c r="BG177" i="4" s="1"/>
  <c r="BF177" i="4" s="1"/>
  <c r="BE177" i="4"/>
  <c r="BD285" i="4"/>
  <c r="BB280" i="4"/>
  <c r="BB274" i="4" s="1"/>
  <c r="AZ274" i="4"/>
  <c r="AZ245" i="9" s="1"/>
  <c r="BA88" i="4"/>
  <c r="BF214" i="4"/>
  <c r="AQ138" i="4"/>
  <c r="AX160" i="4"/>
  <c r="AW147" i="4"/>
  <c r="CR27" i="9" l="1"/>
  <c r="CQ27" i="9" s="1"/>
  <c r="CT27" i="9" s="1"/>
  <c r="CR28" i="9"/>
  <c r="CQ28" i="9" s="1"/>
  <c r="CT28" i="9" s="1"/>
  <c r="CR29" i="9"/>
  <c r="CQ29" i="9" s="1"/>
  <c r="CT29" i="9" s="1"/>
  <c r="BO23" i="9"/>
  <c r="AC69" i="9"/>
  <c r="AG191" i="9"/>
  <c r="AM191" i="9"/>
  <c r="AD120" i="9"/>
  <c r="BB88" i="4"/>
  <c r="BB147" i="4" s="1"/>
  <c r="BB160" i="4" s="1"/>
  <c r="BB245" i="9"/>
  <c r="BD149" i="4"/>
  <c r="BC149" i="4" s="1"/>
  <c r="BC210" i="4"/>
  <c r="AN66" i="9"/>
  <c r="AN72" i="9" s="1"/>
  <c r="BE221" i="9"/>
  <c r="BE222" i="9" s="1"/>
  <c r="BE201" i="9" s="1"/>
  <c r="BE210" i="4"/>
  <c r="BE149" i="4" s="1"/>
  <c r="BG211" i="4"/>
  <c r="BC71" i="4"/>
  <c r="AI134" i="9"/>
  <c r="AO131" i="9"/>
  <c r="AH150" i="9"/>
  <c r="AH157" i="9" s="1"/>
  <c r="BD201" i="9"/>
  <c r="BD222" i="9"/>
  <c r="G12" i="2"/>
  <c r="G29" i="2" s="1"/>
  <c r="G30" i="2" s="1"/>
  <c r="AC137" i="9"/>
  <c r="BO38" i="9"/>
  <c r="BO47" i="9" s="1"/>
  <c r="AE179" i="9"/>
  <c r="AE157" i="9"/>
  <c r="AG138" i="9"/>
  <c r="AI130" i="9"/>
  <c r="AI138" i="9" s="1"/>
  <c r="AG129" i="9"/>
  <c r="AJ130" i="9"/>
  <c r="AJ48" i="9"/>
  <c r="AM55" i="9" s="1"/>
  <c r="AE228" i="4"/>
  <c r="AK350" i="4"/>
  <c r="AK49" i="9"/>
  <c r="AK48" i="9" s="1"/>
  <c r="AN55" i="9" s="1"/>
  <c r="AK131" i="9"/>
  <c r="AK130" i="9" s="1"/>
  <c r="AK41" i="9"/>
  <c r="AK102" i="9"/>
  <c r="AK101" i="9" s="1"/>
  <c r="AK17" i="9"/>
  <c r="AN40" i="9" s="1"/>
  <c r="AG49" i="4"/>
  <c r="AG122" i="4" s="1"/>
  <c r="AI162" i="9"/>
  <c r="AG166" i="9"/>
  <c r="AG168" i="9" s="1"/>
  <c r="I41" i="2"/>
  <c r="I42" i="2" s="1"/>
  <c r="AI72" i="9"/>
  <c r="BQ29" i="9" s="1"/>
  <c r="BQ24" i="9"/>
  <c r="P7" i="2"/>
  <c r="AD157" i="9"/>
  <c r="AD179" i="9"/>
  <c r="AM49" i="4"/>
  <c r="AM166" i="9"/>
  <c r="AM168" i="9" s="1"/>
  <c r="AM12" i="9"/>
  <c r="AN54" i="9"/>
  <c r="AN58" i="9"/>
  <c r="AF117" i="9"/>
  <c r="AF152" i="9" s="1"/>
  <c r="AD152" i="9"/>
  <c r="AH119" i="9"/>
  <c r="AH117" i="9"/>
  <c r="AH118" i="9"/>
  <c r="AH30" i="4"/>
  <c r="AH94" i="4"/>
  <c r="AH108" i="4"/>
  <c r="AH111" i="4"/>
  <c r="AH262" i="4"/>
  <c r="AH263" i="4"/>
  <c r="H26" i="2"/>
  <c r="H6" i="2"/>
  <c r="AC120" i="9"/>
  <c r="AF165" i="9"/>
  <c r="AF58" i="4"/>
  <c r="AO49" i="9"/>
  <c r="BO28" i="9"/>
  <c r="AC353" i="4"/>
  <c r="AA354" i="4"/>
  <c r="AV20" i="9"/>
  <c r="AX45" i="9"/>
  <c r="AX46" i="9" s="1"/>
  <c r="AJ101" i="9"/>
  <c r="AM138" i="9"/>
  <c r="AM129" i="9"/>
  <c r="AO130" i="9"/>
  <c r="AO138" i="9" s="1"/>
  <c r="AG69" i="9"/>
  <c r="AG71" i="9"/>
  <c r="AG353" i="4" s="1"/>
  <c r="AI247" i="9"/>
  <c r="AI248" i="9" s="1"/>
  <c r="AG127" i="4"/>
  <c r="AI127" i="4" s="1"/>
  <c r="AG42" i="4"/>
  <c r="AG352" i="4"/>
  <c r="AI77" i="9"/>
  <c r="AG81" i="9"/>
  <c r="AG90" i="9"/>
  <c r="AG86" i="9"/>
  <c r="AG87" i="9"/>
  <c r="AG32" i="4"/>
  <c r="AG94" i="4"/>
  <c r="AG111" i="4"/>
  <c r="AG30" i="4"/>
  <c r="AG108" i="4"/>
  <c r="AG262" i="4"/>
  <c r="AG263" i="4"/>
  <c r="AD170" i="9"/>
  <c r="AD171" i="9"/>
  <c r="AD169" i="9"/>
  <c r="AM71" i="9"/>
  <c r="AM353" i="4" s="1"/>
  <c r="AM69" i="9"/>
  <c r="AM352" i="4"/>
  <c r="AM42" i="4"/>
  <c r="AM87" i="9"/>
  <c r="AM81" i="9"/>
  <c r="AM86" i="9"/>
  <c r="AS45" i="9"/>
  <c r="AS46" i="9" s="1"/>
  <c r="AN138" i="9"/>
  <c r="AD154" i="9"/>
  <c r="AF119" i="9"/>
  <c r="AF154" i="9" s="1"/>
  <c r="AI164" i="9"/>
  <c r="AH58" i="4"/>
  <c r="AH49" i="4"/>
  <c r="AH166" i="9"/>
  <c r="AH168" i="9" s="1"/>
  <c r="AH5" i="9"/>
  <c r="AH12" i="9"/>
  <c r="AH13" i="9" s="1"/>
  <c r="AE120" i="9"/>
  <c r="AI48" i="9"/>
  <c r="AI191" i="9" s="1"/>
  <c r="AI59" i="9"/>
  <c r="AF12" i="9"/>
  <c r="AF13" i="9" s="1"/>
  <c r="AF5" i="9"/>
  <c r="AM41" i="4"/>
  <c r="AM54" i="9"/>
  <c r="AM58" i="9"/>
  <c r="N9" i="2"/>
  <c r="AG43" i="4"/>
  <c r="AG106" i="9"/>
  <c r="AG105" i="9"/>
  <c r="AI101" i="9"/>
  <c r="AG109" i="9"/>
  <c r="AJ66" i="9"/>
  <c r="AJ72" i="9" s="1"/>
  <c r="AF65" i="9"/>
  <c r="AF41" i="4"/>
  <c r="AE41" i="4" s="1"/>
  <c r="AF54" i="9"/>
  <c r="AF58" i="9"/>
  <c r="AF55" i="9"/>
  <c r="AG159" i="4"/>
  <c r="AG143" i="4"/>
  <c r="AG12" i="9"/>
  <c r="AG13" i="9" s="1"/>
  <c r="AI4" i="9"/>
  <c r="AG5" i="9"/>
  <c r="AC37" i="6"/>
  <c r="AI29" i="4"/>
  <c r="AG117" i="4" s="1"/>
  <c r="I5" i="2"/>
  <c r="I6" i="2" s="1"/>
  <c r="AI215" i="9"/>
  <c r="AI40" i="9"/>
  <c r="BQ18" i="9"/>
  <c r="AI212" i="9"/>
  <c r="AI38" i="9"/>
  <c r="AF49" i="4"/>
  <c r="AF166" i="9"/>
  <c r="AF163" i="9"/>
  <c r="AM58" i="4"/>
  <c r="AM44" i="4"/>
  <c r="AM119" i="9"/>
  <c r="AM118" i="9"/>
  <c r="AM117" i="9"/>
  <c r="AM159" i="4"/>
  <c r="AM143" i="4"/>
  <c r="AB171" i="9"/>
  <c r="AB183" i="9" s="1"/>
  <c r="AB170" i="9"/>
  <c r="AB169" i="9"/>
  <c r="AD137" i="9"/>
  <c r="AF129" i="9"/>
  <c r="AF150" i="9" s="1"/>
  <c r="AN29" i="4"/>
  <c r="AN134" i="9"/>
  <c r="AO134" i="9" s="1"/>
  <c r="AN116" i="9"/>
  <c r="AN77" i="9"/>
  <c r="AN38" i="9"/>
  <c r="AN4" i="9"/>
  <c r="AO4" i="9" s="1"/>
  <c r="AN162" i="9"/>
  <c r="AN49" i="4" s="1"/>
  <c r="AN247" i="9"/>
  <c r="AN65" i="9"/>
  <c r="AN191" i="9"/>
  <c r="AN164" i="9"/>
  <c r="AE170" i="9"/>
  <c r="AE182" i="9" s="1"/>
  <c r="AE169" i="9"/>
  <c r="AE181" i="9" s="1"/>
  <c r="AE171" i="9"/>
  <c r="AD153" i="9"/>
  <c r="AF118" i="9"/>
  <c r="AF153" i="9" s="1"/>
  <c r="AH352" i="4"/>
  <c r="AH81" i="9"/>
  <c r="AH86" i="9"/>
  <c r="AH90" i="9"/>
  <c r="AH87" i="9"/>
  <c r="AE215" i="9"/>
  <c r="AE131" i="4" s="1"/>
  <c r="AF131" i="4"/>
  <c r="AF30" i="4"/>
  <c r="AF94" i="4"/>
  <c r="AF32" i="4"/>
  <c r="AF108" i="4"/>
  <c r="AF262" i="4"/>
  <c r="AF263" i="4"/>
  <c r="AE159" i="9"/>
  <c r="AE151" i="9"/>
  <c r="AG41" i="4"/>
  <c r="AG54" i="9"/>
  <c r="AG58" i="9"/>
  <c r="AG55" i="9"/>
  <c r="G8" i="2"/>
  <c r="AD117" i="4"/>
  <c r="AL19" i="9"/>
  <c r="AJ29" i="4"/>
  <c r="AM30" i="4" s="1"/>
  <c r="AJ247" i="9"/>
  <c r="AJ116" i="9"/>
  <c r="AJ4" i="9"/>
  <c r="AJ162" i="9"/>
  <c r="AJ215" i="9"/>
  <c r="AJ131" i="4" s="1"/>
  <c r="AJ40" i="9"/>
  <c r="AJ212" i="9"/>
  <c r="AJ129" i="4" s="1"/>
  <c r="AJ77" i="9"/>
  <c r="AM90" i="9" s="1"/>
  <c r="AJ134" i="9"/>
  <c r="AJ38" i="9"/>
  <c r="AJ164" i="9"/>
  <c r="AC168" i="9"/>
  <c r="G16" i="2"/>
  <c r="AB32" i="4"/>
  <c r="AG44" i="4"/>
  <c r="AI116" i="9"/>
  <c r="AG119" i="9"/>
  <c r="AG117" i="9"/>
  <c r="AG118" i="9"/>
  <c r="AM40" i="9"/>
  <c r="AM32" i="4"/>
  <c r="AM108" i="4"/>
  <c r="AM262" i="4"/>
  <c r="AM263" i="4"/>
  <c r="AT20" i="9"/>
  <c r="AT45" i="9" s="1"/>
  <c r="AT46" i="9" s="1"/>
  <c r="AN41" i="9"/>
  <c r="AF44" i="4"/>
  <c r="AE44" i="4" s="1"/>
  <c r="H11" i="2"/>
  <c r="H28" i="2" s="1"/>
  <c r="BP36" i="9"/>
  <c r="BP44" i="9" s="1"/>
  <c r="AH69" i="9"/>
  <c r="AH71" i="9"/>
  <c r="AH353" i="4" s="1"/>
  <c r="AN46" i="9"/>
  <c r="AF43" i="4"/>
  <c r="AE43" i="4" s="1"/>
  <c r="H10" i="2"/>
  <c r="H27" i="2" s="1"/>
  <c r="AF105" i="9"/>
  <c r="AF109" i="9"/>
  <c r="AF106" i="9"/>
  <c r="BP35" i="9"/>
  <c r="BP43" i="9" s="1"/>
  <c r="AO29" i="4"/>
  <c r="AO38" i="9"/>
  <c r="AO215" i="9"/>
  <c r="BS18" i="9"/>
  <c r="AO212" i="9"/>
  <c r="BE285" i="4"/>
  <c r="BC285" i="4"/>
  <c r="BC280" i="4" s="1"/>
  <c r="BD280" i="4"/>
  <c r="BD274" i="4" s="1"/>
  <c r="BD245" i="9" s="1"/>
  <c r="AR138" i="4"/>
  <c r="AV238" i="4"/>
  <c r="AW241" i="4"/>
  <c r="AW160" i="4"/>
  <c r="BG224" i="4"/>
  <c r="BE126" i="4"/>
  <c r="BA147" i="4"/>
  <c r="AZ88" i="4"/>
  <c r="W38" i="6" l="1"/>
  <c r="AH154" i="9"/>
  <c r="AH179" i="9"/>
  <c r="AH186" i="9" s="1"/>
  <c r="AH354" i="4" s="1"/>
  <c r="AI119" i="9"/>
  <c r="AC171" i="9"/>
  <c r="AJ191" i="9"/>
  <c r="AF122" i="4"/>
  <c r="AE122" i="4" s="1"/>
  <c r="AM94" i="4"/>
  <c r="AI65" i="9"/>
  <c r="AI71" i="9" s="1"/>
  <c r="AL102" i="9"/>
  <c r="AL110" i="9" s="1"/>
  <c r="AM110" i="9" s="1"/>
  <c r="AJ65" i="9"/>
  <c r="AJ71" i="9" s="1"/>
  <c r="AJ353" i="4" s="1"/>
  <c r="AH120" i="9"/>
  <c r="AC170" i="9"/>
  <c r="AG88" i="9"/>
  <c r="AI118" i="9"/>
  <c r="AM88" i="9"/>
  <c r="BE71" i="4"/>
  <c r="BE109" i="4" s="1"/>
  <c r="AF120" i="9"/>
  <c r="AI117" i="9"/>
  <c r="AD182" i="9"/>
  <c r="AM120" i="9"/>
  <c r="AK66" i="9"/>
  <c r="AK72" i="9" s="1"/>
  <c r="BD71" i="4"/>
  <c r="BD109" i="4" s="1"/>
  <c r="BC109" i="4"/>
  <c r="BG221" i="9"/>
  <c r="BG222" i="9" s="1"/>
  <c r="BG210" i="4"/>
  <c r="BF211" i="4"/>
  <c r="BF221" i="9" s="1"/>
  <c r="BF222" i="9" s="1"/>
  <c r="BF201" i="9" s="1"/>
  <c r="AO12" i="9"/>
  <c r="BB31" i="9"/>
  <c r="AN212" i="9"/>
  <c r="AN129" i="4" s="1"/>
  <c r="AO129" i="4"/>
  <c r="AJ127" i="4"/>
  <c r="AE32" i="4"/>
  <c r="AQ26" i="9"/>
  <c r="AQ19" i="9" s="1"/>
  <c r="AH152" i="9"/>
  <c r="AN166" i="9"/>
  <c r="AN168" i="9" s="1"/>
  <c r="AN58" i="4"/>
  <c r="AO247" i="9"/>
  <c r="AO248" i="9" s="1"/>
  <c r="AN127" i="4"/>
  <c r="AO127" i="4" s="1"/>
  <c r="AN352" i="4"/>
  <c r="AN86" i="9"/>
  <c r="AO86" i="9" s="1"/>
  <c r="AN87" i="9"/>
  <c r="AO87" i="9" s="1"/>
  <c r="AN81" i="9"/>
  <c r="AO81" i="9" s="1"/>
  <c r="AN117" i="4"/>
  <c r="AN108" i="4"/>
  <c r="AN111" i="4"/>
  <c r="AN262" i="4"/>
  <c r="AN263" i="4"/>
  <c r="AH212" i="9"/>
  <c r="AH129" i="4" s="1"/>
  <c r="AI129" i="4"/>
  <c r="AD183" i="9"/>
  <c r="AO77" i="9"/>
  <c r="AF170" i="9"/>
  <c r="AF182" i="9" s="1"/>
  <c r="AI87" i="9"/>
  <c r="AG154" i="9"/>
  <c r="AI42" i="4"/>
  <c r="AH42" i="4" s="1"/>
  <c r="AI352" i="4"/>
  <c r="I9" i="2"/>
  <c r="I26" i="2" s="1"/>
  <c r="AI90" i="9"/>
  <c r="BQ34" i="9"/>
  <c r="BQ42" i="9" s="1"/>
  <c r="AJ43" i="4"/>
  <c r="AJ109" i="9"/>
  <c r="AJ106" i="9"/>
  <c r="AJ105" i="9"/>
  <c r="AL101" i="9"/>
  <c r="AV45" i="9"/>
  <c r="AV46" i="9" s="1"/>
  <c r="AA67" i="4"/>
  <c r="AO59" i="9"/>
  <c r="AO48" i="9"/>
  <c r="AO66" i="9"/>
  <c r="AM169" i="9"/>
  <c r="AM170" i="9"/>
  <c r="AM171" i="9"/>
  <c r="AI49" i="4"/>
  <c r="AI166" i="9"/>
  <c r="AI163" i="9"/>
  <c r="AK138" i="9"/>
  <c r="AF228" i="4"/>
  <c r="AJ41" i="4"/>
  <c r="AJ55" i="9"/>
  <c r="AJ54" i="9"/>
  <c r="AJ58" i="9"/>
  <c r="AY31" i="9"/>
  <c r="AN215" i="9"/>
  <c r="AN131" i="4" s="1"/>
  <c r="AO131" i="4"/>
  <c r="AO32" i="4"/>
  <c r="AO108" i="4"/>
  <c r="AO262" i="4"/>
  <c r="AO263" i="4"/>
  <c r="AC169" i="9"/>
  <c r="AM117" i="4"/>
  <c r="AJ352" i="4"/>
  <c r="AJ42" i="4"/>
  <c r="AJ87" i="9"/>
  <c r="AJ90" i="9"/>
  <c r="AJ81" i="9"/>
  <c r="AJ86" i="9"/>
  <c r="AJ49" i="4"/>
  <c r="AJ166" i="9"/>
  <c r="AJ168" i="9" s="1"/>
  <c r="AJ30" i="4"/>
  <c r="AJ108" i="4"/>
  <c r="AJ94" i="4"/>
  <c r="AJ32" i="4"/>
  <c r="AJ111" i="4"/>
  <c r="AJ262" i="4"/>
  <c r="AJ263" i="4"/>
  <c r="AE155" i="9"/>
  <c r="AE158" i="9"/>
  <c r="AH88" i="9"/>
  <c r="AE172" i="9"/>
  <c r="AN119" i="9"/>
  <c r="AO119" i="9" s="1"/>
  <c r="AN118" i="9"/>
  <c r="AO118" i="9" s="1"/>
  <c r="AN117" i="9"/>
  <c r="AO117" i="9" s="1"/>
  <c r="AB172" i="9"/>
  <c r="AO116" i="9"/>
  <c r="AI32" i="4"/>
  <c r="AI108" i="4"/>
  <c r="AI30" i="4"/>
  <c r="AI94" i="4"/>
  <c r="AI262" i="4"/>
  <c r="AI263" i="4"/>
  <c r="AI12" i="9"/>
  <c r="AI13" i="9" s="1"/>
  <c r="AI5" i="9"/>
  <c r="Z38" i="6"/>
  <c r="AM154" i="9"/>
  <c r="AG153" i="9"/>
  <c r="AI86" i="9"/>
  <c r="AI153" i="9" s="1"/>
  <c r="AP32" i="9"/>
  <c r="AM137" i="9"/>
  <c r="AW20" i="9"/>
  <c r="AO162" i="9"/>
  <c r="P9" i="2"/>
  <c r="AK29" i="4"/>
  <c r="AN94" i="4" s="1"/>
  <c r="AK247" i="9"/>
  <c r="AK127" i="4" s="1"/>
  <c r="AK77" i="9"/>
  <c r="AN90" i="9" s="1"/>
  <c r="AK134" i="9"/>
  <c r="AL134" i="9" s="1"/>
  <c r="AK4" i="9"/>
  <c r="AL4" i="9" s="1"/>
  <c r="AO5" i="9" s="1"/>
  <c r="AK162" i="9"/>
  <c r="AK49" i="4" s="1"/>
  <c r="AK116" i="9"/>
  <c r="AL116" i="9" s="1"/>
  <c r="AK38" i="9"/>
  <c r="AK40" i="9"/>
  <c r="AK164" i="9"/>
  <c r="AL164" i="9" s="1"/>
  <c r="AK65" i="9"/>
  <c r="AK191" i="9"/>
  <c r="AK54" i="9"/>
  <c r="AK58" i="9"/>
  <c r="AK55" i="9"/>
  <c r="N15" i="2"/>
  <c r="AL130" i="9"/>
  <c r="AJ129" i="9"/>
  <c r="AJ138" i="9"/>
  <c r="BA45" i="9"/>
  <c r="BA46" i="9" s="1"/>
  <c r="AY20" i="9"/>
  <c r="AZ20" i="9" s="1"/>
  <c r="AZ45" i="9" s="1"/>
  <c r="AF157" i="9"/>
  <c r="AG120" i="9"/>
  <c r="AI44" i="4"/>
  <c r="AH44" i="4" s="1"/>
  <c r="I11" i="2"/>
  <c r="I28" i="2" s="1"/>
  <c r="BQ36" i="9"/>
  <c r="BQ44" i="9" s="1"/>
  <c r="AJ58" i="4"/>
  <c r="AJ159" i="4"/>
  <c r="AJ143" i="4"/>
  <c r="AJ5" i="9"/>
  <c r="AJ12" i="9"/>
  <c r="AJ13" i="9" s="1"/>
  <c r="AL350" i="4"/>
  <c r="AL41" i="9"/>
  <c r="BR19" i="9"/>
  <c r="AL17" i="9"/>
  <c r="AO41" i="9"/>
  <c r="O22" i="2"/>
  <c r="AE188" i="9"/>
  <c r="AN12" i="9"/>
  <c r="H12" i="2"/>
  <c r="H29" i="2" s="1"/>
  <c r="H30" i="2" s="1"/>
  <c r="AF137" i="9"/>
  <c r="BP38" i="9"/>
  <c r="BP47" i="9" s="1"/>
  <c r="AF168" i="9"/>
  <c r="H16" i="2"/>
  <c r="H7" i="2"/>
  <c r="AF69" i="9"/>
  <c r="AF71" i="9"/>
  <c r="BP23" i="9"/>
  <c r="AI43" i="4"/>
  <c r="AH43" i="4" s="1"/>
  <c r="I10" i="2"/>
  <c r="I27" i="2" s="1"/>
  <c r="AI105" i="9"/>
  <c r="BQ35" i="9"/>
  <c r="BQ43" i="9" s="1"/>
  <c r="AI109" i="9"/>
  <c r="AI106" i="9"/>
  <c r="AI165" i="9"/>
  <c r="AI58" i="4"/>
  <c r="AV32" i="9"/>
  <c r="AM153" i="9"/>
  <c r="AD172" i="9"/>
  <c r="AF169" i="9"/>
  <c r="AF181" i="9" s="1"/>
  <c r="AH117" i="4"/>
  <c r="AD151" i="9"/>
  <c r="AD181" i="9"/>
  <c r="AD159" i="9"/>
  <c r="AM5" i="9"/>
  <c r="AM122" i="4"/>
  <c r="AK109" i="9"/>
  <c r="AK106" i="9"/>
  <c r="AK105" i="9"/>
  <c r="AL131" i="9"/>
  <c r="AJ44" i="4"/>
  <c r="AJ118" i="9"/>
  <c r="AJ119" i="9"/>
  <c r="AJ117" i="9"/>
  <c r="AQ32" i="9"/>
  <c r="AQ29" i="9" s="1"/>
  <c r="AH153" i="9"/>
  <c r="AN71" i="9"/>
  <c r="AN353" i="4" s="1"/>
  <c r="AN69" i="9"/>
  <c r="AO164" i="9"/>
  <c r="AH215" i="9"/>
  <c r="AH131" i="4" s="1"/>
  <c r="AI131" i="4"/>
  <c r="AI41" i="4"/>
  <c r="AH41" i="4" s="1"/>
  <c r="AC38" i="6"/>
  <c r="AI54" i="9"/>
  <c r="AI58" i="9"/>
  <c r="AI55" i="9"/>
  <c r="AH171" i="9"/>
  <c r="AH169" i="9"/>
  <c r="AH170" i="9"/>
  <c r="AN129" i="9"/>
  <c r="AN137" i="9" s="1"/>
  <c r="AV26" i="9"/>
  <c r="AV19" i="9" s="1"/>
  <c r="AF171" i="9"/>
  <c r="AF183" i="9" s="1"/>
  <c r="AI81" i="9"/>
  <c r="AP26" i="9"/>
  <c r="AG152" i="9"/>
  <c r="AE183" i="9"/>
  <c r="AE180" i="9" s="1"/>
  <c r="AF151" i="9"/>
  <c r="AF159" i="9"/>
  <c r="AD193" i="9"/>
  <c r="AD196" i="9" s="1"/>
  <c r="AD186" i="9"/>
  <c r="AD354" i="4" s="1"/>
  <c r="AG171" i="9"/>
  <c r="AG169" i="9"/>
  <c r="AG170" i="9"/>
  <c r="AL49" i="9"/>
  <c r="AG137" i="9"/>
  <c r="AI129" i="9"/>
  <c r="AI150" i="9" s="1"/>
  <c r="AE186" i="9"/>
  <c r="AE354" i="4" s="1"/>
  <c r="AE193" i="9"/>
  <c r="AE196" i="9" s="1"/>
  <c r="AG150" i="9"/>
  <c r="BE280" i="4"/>
  <c r="BE274" i="4" s="1"/>
  <c r="BG285" i="4"/>
  <c r="AX241" i="4"/>
  <c r="AW238" i="4"/>
  <c r="AS138" i="4"/>
  <c r="BA160" i="4"/>
  <c r="AZ147" i="4"/>
  <c r="BF224" i="4"/>
  <c r="BG126" i="4"/>
  <c r="BF126" i="4" s="1"/>
  <c r="BC274" i="4"/>
  <c r="BC245" i="9" s="1"/>
  <c r="BD88" i="4"/>
  <c r="AH183" i="9" l="1"/>
  <c r="AC183" i="9"/>
  <c r="BO54" i="9" s="1"/>
  <c r="BO59" i="9" s="1"/>
  <c r="AA84" i="4"/>
  <c r="AA257" i="4"/>
  <c r="AA120" i="4"/>
  <c r="AA269" i="4"/>
  <c r="AA271" i="4"/>
  <c r="AH193" i="9"/>
  <c r="AH196" i="9" s="1"/>
  <c r="AH67" i="4" s="1"/>
  <c r="I7" i="2"/>
  <c r="I8" i="2" s="1"/>
  <c r="AO96" i="9"/>
  <c r="AM182" i="9"/>
  <c r="BQ23" i="9"/>
  <c r="AI69" i="9"/>
  <c r="O15" i="2"/>
  <c r="AJ69" i="9"/>
  <c r="AI120" i="9"/>
  <c r="AC172" i="9"/>
  <c r="AM172" i="9"/>
  <c r="AM13" i="9"/>
  <c r="AN5" i="9"/>
  <c r="BF71" i="4"/>
  <c r="BG201" i="9"/>
  <c r="BE20" i="9"/>
  <c r="BG45" i="9"/>
  <c r="BH45" i="9" s="1"/>
  <c r="AJ88" i="9"/>
  <c r="AI169" i="9"/>
  <c r="BE88" i="4"/>
  <c r="BE147" i="4" s="1"/>
  <c r="BE245" i="9"/>
  <c r="AI171" i="9"/>
  <c r="BF210" i="4"/>
  <c r="BG149" i="4"/>
  <c r="BF149" i="4" s="1"/>
  <c r="AE184" i="9"/>
  <c r="AE187" i="9"/>
  <c r="AV350" i="4"/>
  <c r="AV131" i="9"/>
  <c r="AV49" i="9"/>
  <c r="AV66" i="9" s="1"/>
  <c r="AV72" i="9" s="1"/>
  <c r="AI157" i="9"/>
  <c r="AE198" i="9"/>
  <c r="AE67" i="4"/>
  <c r="AE84" i="4" s="1"/>
  <c r="H43" i="2"/>
  <c r="H44" i="2" s="1"/>
  <c r="BP52" i="9"/>
  <c r="BP57" i="9" s="1"/>
  <c r="AF192" i="9"/>
  <c r="AF188" i="9"/>
  <c r="AF180" i="9"/>
  <c r="AN110" i="9"/>
  <c r="AM102" i="9"/>
  <c r="AG151" i="9"/>
  <c r="AG181" i="9"/>
  <c r="AG159" i="9"/>
  <c r="P22" i="2"/>
  <c r="AJ120" i="9"/>
  <c r="AF172" i="9"/>
  <c r="AV29" i="9"/>
  <c r="AE192" i="9"/>
  <c r="AY45" i="9"/>
  <c r="AY46" i="9" s="1"/>
  <c r="AJ137" i="9"/>
  <c r="AJ150" i="9"/>
  <c r="AK166" i="9"/>
  <c r="AK168" i="9" s="1"/>
  <c r="AK58" i="4"/>
  <c r="AO49" i="4"/>
  <c r="AO163" i="9"/>
  <c r="AO166" i="9"/>
  <c r="AR32" i="9"/>
  <c r="AP29" i="9"/>
  <c r="AO98" i="9"/>
  <c r="AO154" i="9"/>
  <c r="AH32" i="4"/>
  <c r="AJ154" i="9"/>
  <c r="AG228" i="4"/>
  <c r="BS24" i="9"/>
  <c r="AO72" i="9"/>
  <c r="BS29" i="9" s="1"/>
  <c r="AI159" i="4"/>
  <c r="P21" i="2"/>
  <c r="AI143" i="4"/>
  <c r="AW32" i="9"/>
  <c r="AW29" i="9" s="1"/>
  <c r="AN153" i="9"/>
  <c r="AL247" i="9"/>
  <c r="AL248" i="9" s="1"/>
  <c r="AO159" i="4"/>
  <c r="AO143" i="4"/>
  <c r="BD45" i="9"/>
  <c r="BB20" i="9"/>
  <c r="AI88" i="9"/>
  <c r="AI96" i="9"/>
  <c r="AI152" i="9"/>
  <c r="BP54" i="9"/>
  <c r="BP59" i="9" s="1"/>
  <c r="AG179" i="9"/>
  <c r="AG157" i="9"/>
  <c r="AL66" i="9"/>
  <c r="AL59" i="9"/>
  <c r="AL48" i="9"/>
  <c r="AL65" i="9" s="1"/>
  <c r="AG172" i="9"/>
  <c r="AH172" i="9"/>
  <c r="BQ28" i="9"/>
  <c r="AI353" i="4"/>
  <c r="I12" i="2"/>
  <c r="I29" i="2" s="1"/>
  <c r="I30" i="2" s="1"/>
  <c r="AI137" i="9"/>
  <c r="BQ38" i="9"/>
  <c r="BQ47" i="9" s="1"/>
  <c r="AI170" i="9"/>
  <c r="AD198" i="9"/>
  <c r="AD67" i="4"/>
  <c r="AF155" i="9"/>
  <c r="AF158" i="9"/>
  <c r="AR26" i="9"/>
  <c r="AP19" i="9"/>
  <c r="AO58" i="4"/>
  <c r="AO165" i="9"/>
  <c r="AH182" i="9"/>
  <c r="H8" i="2"/>
  <c r="AL29" i="4"/>
  <c r="AK117" i="4" s="1"/>
  <c r="AL212" i="9"/>
  <c r="AL38" i="9"/>
  <c r="AL215" i="9"/>
  <c r="AL40" i="9"/>
  <c r="BR18" i="9"/>
  <c r="AO40" i="9"/>
  <c r="AL138" i="9"/>
  <c r="AK5" i="9"/>
  <c r="AK12" i="9"/>
  <c r="AK13" i="9" s="1"/>
  <c r="AK108" i="4"/>
  <c r="AK111" i="4"/>
  <c r="AK94" i="4"/>
  <c r="AK30" i="4"/>
  <c r="AK262" i="4"/>
  <c r="AK263" i="4"/>
  <c r="AM111" i="4"/>
  <c r="AW45" i="9"/>
  <c r="AW46" i="9" s="1"/>
  <c r="AI97" i="9"/>
  <c r="AM183" i="9"/>
  <c r="AO44" i="4"/>
  <c r="AN44" i="4" s="1"/>
  <c r="AO120" i="9"/>
  <c r="BS36" i="9"/>
  <c r="BS44" i="9" s="1"/>
  <c r="AJ169" i="9"/>
  <c r="AJ171" i="9"/>
  <c r="AJ170" i="9"/>
  <c r="AJ153" i="9"/>
  <c r="AS32" i="9"/>
  <c r="AL77" i="9"/>
  <c r="AO90" i="9" s="1"/>
  <c r="AN32" i="4"/>
  <c r="AZ31" i="9"/>
  <c r="AI168" i="9"/>
  <c r="AI179" i="9" s="1"/>
  <c r="I16" i="2"/>
  <c r="AA98" i="4"/>
  <c r="AA68" i="4"/>
  <c r="AA63" i="4"/>
  <c r="AA105" i="4"/>
  <c r="AA115" i="4"/>
  <c r="AA76" i="4"/>
  <c r="AH159" i="4"/>
  <c r="AH143" i="4"/>
  <c r="AN88" i="9"/>
  <c r="AW26" i="9"/>
  <c r="AW19" i="9" s="1"/>
  <c r="AN171" i="9"/>
  <c r="AO171" i="9" s="1"/>
  <c r="AN169" i="9"/>
  <c r="AN170" i="9"/>
  <c r="AL127" i="4"/>
  <c r="AN159" i="4"/>
  <c r="AN143" i="4"/>
  <c r="AQ351" i="4"/>
  <c r="AQ103" i="9"/>
  <c r="AQ50" i="9"/>
  <c r="AQ67" i="9" s="1"/>
  <c r="AQ73" i="9" s="1"/>
  <c r="AQ132" i="9"/>
  <c r="AL44" i="4"/>
  <c r="AK44" i="4" s="1"/>
  <c r="BR36" i="9"/>
  <c r="AD192" i="9"/>
  <c r="AD180" i="9"/>
  <c r="AD188" i="9"/>
  <c r="BP53" i="9"/>
  <c r="BP58" i="9" s="1"/>
  <c r="H50" i="2"/>
  <c r="H51" i="2" s="1"/>
  <c r="AL12" i="9"/>
  <c r="AL13" i="9" s="1"/>
  <c r="AL5" i="9"/>
  <c r="AF179" i="9"/>
  <c r="AO129" i="9"/>
  <c r="AG182" i="9"/>
  <c r="AL162" i="9"/>
  <c r="AS26" i="9"/>
  <c r="AJ152" i="9"/>
  <c r="AK129" i="9"/>
  <c r="AI122" i="4"/>
  <c r="AO41" i="4"/>
  <c r="AO58" i="9"/>
  <c r="AO54" i="9"/>
  <c r="AO65" i="9"/>
  <c r="AO191" i="9"/>
  <c r="AL43" i="4"/>
  <c r="AK43" i="4" s="1"/>
  <c r="AL109" i="9"/>
  <c r="AL106" i="9"/>
  <c r="BR35" i="9"/>
  <c r="AL105" i="9"/>
  <c r="AG183" i="9"/>
  <c r="AO42" i="4"/>
  <c r="AN42" i="4" s="1"/>
  <c r="AO352" i="4"/>
  <c r="BS34" i="9"/>
  <c r="BS42" i="9" s="1"/>
  <c r="AN30" i="4"/>
  <c r="AH181" i="9"/>
  <c r="AH159" i="9"/>
  <c r="AH151" i="9"/>
  <c r="BE24" i="9"/>
  <c r="AD158" i="9"/>
  <c r="AD155" i="9"/>
  <c r="AO88" i="9"/>
  <c r="AO97" i="9"/>
  <c r="AO153" i="9"/>
  <c r="BP28" i="9"/>
  <c r="AF353" i="4"/>
  <c r="AL165" i="9"/>
  <c r="AL58" i="4"/>
  <c r="AK69" i="9"/>
  <c r="AK71" i="9"/>
  <c r="AK353" i="4" s="1"/>
  <c r="AK118" i="9"/>
  <c r="AL118" i="9" s="1"/>
  <c r="AK119" i="9"/>
  <c r="AL119" i="9" s="1"/>
  <c r="AK117" i="9"/>
  <c r="AL117" i="9" s="1"/>
  <c r="AK352" i="4"/>
  <c r="AK87" i="9"/>
  <c r="AK81" i="9"/>
  <c r="AK86" i="9"/>
  <c r="AK90" i="9"/>
  <c r="AN120" i="9"/>
  <c r="AJ122" i="4"/>
  <c r="AI154" i="9"/>
  <c r="AI98" i="9"/>
  <c r="AN154" i="9"/>
  <c r="AQ350" i="4"/>
  <c r="AQ49" i="9"/>
  <c r="AQ66" i="9" s="1"/>
  <c r="AQ72" i="9" s="1"/>
  <c r="AQ41" i="9"/>
  <c r="AQ131" i="9"/>
  <c r="AQ17" i="9"/>
  <c r="BC31" i="9"/>
  <c r="BC88" i="4"/>
  <c r="BD147" i="4"/>
  <c r="AZ160" i="4"/>
  <c r="BE160" i="4"/>
  <c r="AY241" i="4"/>
  <c r="AX238" i="4"/>
  <c r="AT138" i="4"/>
  <c r="BG280" i="4"/>
  <c r="BG274" i="4" s="1"/>
  <c r="BG245" i="9" s="1"/>
  <c r="BF285" i="4"/>
  <c r="BF280" i="4" s="1"/>
  <c r="AA124" i="4" l="1"/>
  <c r="AA126" i="4" s="1"/>
  <c r="AN182" i="9"/>
  <c r="AH198" i="9"/>
  <c r="AI183" i="9"/>
  <c r="AZ46" i="9"/>
  <c r="AQ130" i="9"/>
  <c r="AQ138" i="9" s="1"/>
  <c r="AJ172" i="9"/>
  <c r="BR43" i="9"/>
  <c r="BR44" i="9"/>
  <c r="AO55" i="9"/>
  <c r="AJ182" i="9"/>
  <c r="BF20" i="9"/>
  <c r="BF45" i="9" s="1"/>
  <c r="BE45" i="9"/>
  <c r="BG71" i="4"/>
  <c r="BG109" i="4" s="1"/>
  <c r="BF109" i="4"/>
  <c r="AN183" i="9"/>
  <c r="AK120" i="9"/>
  <c r="AQ48" i="9"/>
  <c r="AQ58" i="9" s="1"/>
  <c r="AI193" i="9"/>
  <c r="AI186" i="9"/>
  <c r="AI354" i="4" s="1"/>
  <c r="BQ51" i="9"/>
  <c r="BQ56" i="9" s="1"/>
  <c r="AW350" i="4"/>
  <c r="AW49" i="9"/>
  <c r="AW66" i="9" s="1"/>
  <c r="AW72" i="9" s="1"/>
  <c r="AW131" i="9"/>
  <c r="AX131" i="9" s="1"/>
  <c r="AW17" i="9"/>
  <c r="AX19" i="9"/>
  <c r="AQ29" i="4"/>
  <c r="AQ134" i="9"/>
  <c r="AQ40" i="9"/>
  <c r="AQ162" i="9"/>
  <c r="AQ49" i="4" s="1"/>
  <c r="AQ247" i="9"/>
  <c r="AQ127" i="4" s="1"/>
  <c r="AQ77" i="9"/>
  <c r="AQ4" i="9"/>
  <c r="AQ38" i="9"/>
  <c r="AQ116" i="9"/>
  <c r="AQ164" i="9"/>
  <c r="N8" i="2"/>
  <c r="AK153" i="9"/>
  <c r="AT32" i="9"/>
  <c r="AT29" i="9" s="1"/>
  <c r="AN41" i="4"/>
  <c r="AS19" i="9"/>
  <c r="AL69" i="9"/>
  <c r="BR23" i="9"/>
  <c r="AL71" i="9"/>
  <c r="AN13" i="9"/>
  <c r="AD120" i="4"/>
  <c r="AD68" i="4"/>
  <c r="AD63" i="4"/>
  <c r="AD105" i="4"/>
  <c r="AD98" i="4"/>
  <c r="AL41" i="4"/>
  <c r="AK41" i="4" s="1"/>
  <c r="AL58" i="9"/>
  <c r="AL55" i="9"/>
  <c r="AL54" i="9"/>
  <c r="AG193" i="9"/>
  <c r="AG196" i="9" s="1"/>
  <c r="AG186" i="9"/>
  <c r="AG354" i="4" s="1"/>
  <c r="AI159" i="9"/>
  <c r="AI181" i="9"/>
  <c r="AI151" i="9"/>
  <c r="BB45" i="9"/>
  <c r="AW351" i="4"/>
  <c r="AW50" i="9"/>
  <c r="AW67" i="9" s="1"/>
  <c r="AW73" i="9" s="1"/>
  <c r="AW132" i="9"/>
  <c r="AW103" i="9"/>
  <c r="AJ179" i="9"/>
  <c r="AJ157" i="9"/>
  <c r="AM101" i="9"/>
  <c r="AM152" i="9"/>
  <c r="AE68" i="4"/>
  <c r="AE105" i="4"/>
  <c r="AE115" i="4"/>
  <c r="AA77" i="4"/>
  <c r="AT26" i="9"/>
  <c r="AT19" i="9" s="1"/>
  <c r="AK152" i="9"/>
  <c r="AL120" i="9"/>
  <c r="AH158" i="9"/>
  <c r="AH155" i="9"/>
  <c r="AH122" i="4"/>
  <c r="P15" i="2"/>
  <c r="AL81" i="9"/>
  <c r="AO137" i="9"/>
  <c r="BS38" i="9"/>
  <c r="BS47" i="9" s="1"/>
  <c r="AF186" i="9"/>
  <c r="AF354" i="4" s="1"/>
  <c r="BP51" i="9"/>
  <c r="BP56" i="9" s="1"/>
  <c r="AF193" i="9"/>
  <c r="AD187" i="9"/>
  <c r="AD184" i="9"/>
  <c r="AA64" i="4"/>
  <c r="AA56" i="4"/>
  <c r="AA97" i="4"/>
  <c r="AA104" i="4"/>
  <c r="AA114" i="4"/>
  <c r="AL86" i="9"/>
  <c r="AK215" i="9"/>
  <c r="AK131" i="4" s="1"/>
  <c r="AL131" i="4"/>
  <c r="AX26" i="9"/>
  <c r="P25" i="2"/>
  <c r="AP351" i="4"/>
  <c r="AP50" i="9"/>
  <c r="AR50" i="9" s="1"/>
  <c r="AP132" i="9"/>
  <c r="AR132" i="9" s="1"/>
  <c r="AR29" i="9"/>
  <c r="AP103" i="9"/>
  <c r="AR103" i="9" s="1"/>
  <c r="AO122" i="4"/>
  <c r="AV351" i="4"/>
  <c r="AV132" i="9"/>
  <c r="AV130" i="9" s="1"/>
  <c r="AV103" i="9"/>
  <c r="AV50" i="9"/>
  <c r="AV48" i="9" s="1"/>
  <c r="AX29" i="9"/>
  <c r="AP110" i="9"/>
  <c r="AQ110" i="9" s="1"/>
  <c r="AN102" i="9"/>
  <c r="AO102" i="9" s="1"/>
  <c r="AH105" i="4"/>
  <c r="AH98" i="4"/>
  <c r="AH68" i="4"/>
  <c r="AL87" i="9"/>
  <c r="AK154" i="9"/>
  <c r="AK137" i="9"/>
  <c r="AK150" i="9"/>
  <c r="AL49" i="4"/>
  <c r="AL122" i="4" s="1"/>
  <c r="AL163" i="9"/>
  <c r="AL166" i="9"/>
  <c r="AI172" i="9"/>
  <c r="AL352" i="4"/>
  <c r="AL42" i="4"/>
  <c r="AK42" i="4" s="1"/>
  <c r="AL90" i="9"/>
  <c r="BR34" i="9"/>
  <c r="BR42" i="9" s="1"/>
  <c r="BR24" i="9"/>
  <c r="AL72" i="9"/>
  <c r="BR29" i="9" s="1"/>
  <c r="BD46" i="9"/>
  <c r="BG46" i="9"/>
  <c r="AH228" i="4"/>
  <c r="AI228" i="4"/>
  <c r="AJ183" i="9"/>
  <c r="AL129" i="9"/>
  <c r="AX32" i="9"/>
  <c r="AG192" i="9"/>
  <c r="AG188" i="9"/>
  <c r="AG180" i="9"/>
  <c r="AF187" i="9"/>
  <c r="AF184" i="9"/>
  <c r="AV17" i="9"/>
  <c r="AH84" i="4"/>
  <c r="AK88" i="9"/>
  <c r="BF24" i="9"/>
  <c r="AO13" i="9"/>
  <c r="AH180" i="9"/>
  <c r="AH188" i="9"/>
  <c r="AH192" i="9"/>
  <c r="AO71" i="9"/>
  <c r="BS23" i="9"/>
  <c r="AO69" i="9"/>
  <c r="AJ159" i="9"/>
  <c r="AJ151" i="9"/>
  <c r="AJ181" i="9"/>
  <c r="Z39" i="6"/>
  <c r="AN172" i="9"/>
  <c r="AO169" i="9"/>
  <c r="AS29" i="9"/>
  <c r="AI182" i="9"/>
  <c r="AL191" i="9"/>
  <c r="AK212" i="9"/>
  <c r="AK129" i="4" s="1"/>
  <c r="AL129" i="4"/>
  <c r="AL108" i="4"/>
  <c r="AL30" i="4"/>
  <c r="AL32" i="4"/>
  <c r="AL94" i="4"/>
  <c r="AL262" i="4"/>
  <c r="AL263" i="4"/>
  <c r="AO30" i="4"/>
  <c r="AO94" i="4"/>
  <c r="AJ117" i="4"/>
  <c r="AP350" i="4"/>
  <c r="AP17" i="9"/>
  <c r="AR19" i="9"/>
  <c r="AP49" i="9"/>
  <c r="AP66" i="9" s="1"/>
  <c r="AP72" i="9" s="1"/>
  <c r="AP131" i="9"/>
  <c r="AP41" i="9"/>
  <c r="AD84" i="4"/>
  <c r="BC20" i="9"/>
  <c r="BC45" i="9" s="1"/>
  <c r="AO170" i="9"/>
  <c r="AO182" i="9" s="1"/>
  <c r="AO183" i="9"/>
  <c r="AO168" i="9"/>
  <c r="AK171" i="9"/>
  <c r="AL171" i="9" s="1"/>
  <c r="AK169" i="9"/>
  <c r="AL169" i="9" s="1"/>
  <c r="AK170" i="9"/>
  <c r="AL170" i="9" s="1"/>
  <c r="AG158" i="9"/>
  <c r="AG155" i="9"/>
  <c r="AU138" i="4"/>
  <c r="AY238" i="4"/>
  <c r="AZ241" i="4"/>
  <c r="BC147" i="4"/>
  <c r="BD160" i="4"/>
  <c r="BG88" i="4"/>
  <c r="BF274" i="4"/>
  <c r="BF245" i="9" s="1"/>
  <c r="AA79" i="4" l="1"/>
  <c r="AA270" i="4" s="1"/>
  <c r="AA78" i="4"/>
  <c r="BQ54" i="9"/>
  <c r="BQ59" i="9" s="1"/>
  <c r="AQ129" i="9"/>
  <c r="AQ137" i="9" s="1"/>
  <c r="AP102" i="9"/>
  <c r="AP101" i="9" s="1"/>
  <c r="AQ54" i="9"/>
  <c r="AQ65" i="9"/>
  <c r="AQ71" i="9" s="1"/>
  <c r="AQ353" i="4" s="1"/>
  <c r="AK183" i="9"/>
  <c r="AX49" i="9"/>
  <c r="AX66" i="9" s="1"/>
  <c r="AJ180" i="9"/>
  <c r="AJ187" i="9" s="1"/>
  <c r="AU32" i="9"/>
  <c r="AR60" i="9"/>
  <c r="AP67" i="9"/>
  <c r="AP73" i="9" s="1"/>
  <c r="AQ55" i="9"/>
  <c r="AQ191" i="9"/>
  <c r="AU26" i="9"/>
  <c r="AV138" i="9"/>
  <c r="BS54" i="9"/>
  <c r="BS59" i="9" s="1"/>
  <c r="BC46" i="9"/>
  <c r="BF46" i="9"/>
  <c r="AP29" i="4"/>
  <c r="AQ111" i="4" s="1"/>
  <c r="AP134" i="9"/>
  <c r="AR134" i="9" s="1"/>
  <c r="AP4" i="9"/>
  <c r="AP247" i="9"/>
  <c r="AP116" i="9"/>
  <c r="AP40" i="9"/>
  <c r="AP212" i="9"/>
  <c r="AP129" i="4" s="1"/>
  <c r="AP77" i="9"/>
  <c r="AP162" i="9"/>
  <c r="AP215" i="9"/>
  <c r="AP131" i="4" s="1"/>
  <c r="AP38" i="9"/>
  <c r="AP164" i="9"/>
  <c r="BQ53" i="9"/>
  <c r="BQ58" i="9" s="1"/>
  <c r="I50" i="2"/>
  <c r="I51" i="2" s="1"/>
  <c r="AJ158" i="9"/>
  <c r="AJ155" i="9"/>
  <c r="AV29" i="4"/>
  <c r="AV212" i="9"/>
  <c r="AV129" i="4" s="1"/>
  <c r="AV159" i="4" s="1"/>
  <c r="AV38" i="9"/>
  <c r="AV191" i="9"/>
  <c r="AV77" i="9"/>
  <c r="AV134" i="9"/>
  <c r="AV129" i="9" s="1"/>
  <c r="AV215" i="9"/>
  <c r="AV131" i="4" s="1"/>
  <c r="AV116" i="9"/>
  <c r="AV4" i="9"/>
  <c r="AV247" i="9"/>
  <c r="AV127" i="4" s="1"/>
  <c r="AV65" i="9"/>
  <c r="AV162" i="9"/>
  <c r="AV164" i="9"/>
  <c r="BR38" i="9"/>
  <c r="BR47" i="9" s="1"/>
  <c r="AL137" i="9"/>
  <c r="AX351" i="4"/>
  <c r="BV20" i="9"/>
  <c r="AL97" i="9"/>
  <c r="AL153" i="9"/>
  <c r="AL182" i="9" s="1"/>
  <c r="AV41" i="4"/>
  <c r="AV54" i="9"/>
  <c r="AV58" i="9"/>
  <c r="AO110" i="9"/>
  <c r="AO152" i="9"/>
  <c r="AO181" i="9" s="1"/>
  <c r="AX132" i="9"/>
  <c r="BB46" i="9"/>
  <c r="BE46" i="9"/>
  <c r="AK182" i="9"/>
  <c r="AQ166" i="9"/>
  <c r="AQ168" i="9" s="1"/>
  <c r="AQ58" i="4"/>
  <c r="AQ12" i="9"/>
  <c r="AQ13" i="9" s="1"/>
  <c r="AQ5" i="9"/>
  <c r="AX350" i="4"/>
  <c r="BV19" i="9"/>
  <c r="AX17" i="9"/>
  <c r="AR49" i="9"/>
  <c r="AR66" i="9" s="1"/>
  <c r="AP48" i="9"/>
  <c r="AL159" i="4"/>
  <c r="AL143" i="4"/>
  <c r="AH184" i="9"/>
  <c r="AH187" i="9"/>
  <c r="AL168" i="9"/>
  <c r="AN101" i="9"/>
  <c r="AO101" i="9" s="1"/>
  <c r="AN152" i="9"/>
  <c r="AV67" i="9"/>
  <c r="AV73" i="9" s="1"/>
  <c r="AR111" i="9"/>
  <c r="AA103" i="4"/>
  <c r="AA113" i="4"/>
  <c r="AA57" i="4"/>
  <c r="AA304" i="4"/>
  <c r="AA47" i="4"/>
  <c r="AA256" i="4" s="1"/>
  <c r="AA96" i="4"/>
  <c r="AL88" i="9"/>
  <c r="AL96" i="9"/>
  <c r="AL152" i="9"/>
  <c r="AK159" i="9"/>
  <c r="AK151" i="9"/>
  <c r="AK181" i="9"/>
  <c r="AA305" i="4"/>
  <c r="AM43" i="4"/>
  <c r="AM105" i="9"/>
  <c r="AM109" i="9"/>
  <c r="AM106" i="9"/>
  <c r="AM150" i="9"/>
  <c r="AJ193" i="9"/>
  <c r="AJ196" i="9" s="1"/>
  <c r="AJ186" i="9"/>
  <c r="AJ354" i="4" s="1"/>
  <c r="AX50" i="9"/>
  <c r="AX60" i="9" s="1"/>
  <c r="BR28" i="9"/>
  <c r="AL353" i="4"/>
  <c r="AQ119" i="9"/>
  <c r="AQ118" i="9"/>
  <c r="AQ117" i="9"/>
  <c r="AW130" i="9"/>
  <c r="BE31" i="9"/>
  <c r="BF31" i="9" s="1"/>
  <c r="AR131" i="9"/>
  <c r="AP130" i="9"/>
  <c r="AG184" i="9"/>
  <c r="AG187" i="9"/>
  <c r="AK179" i="9"/>
  <c r="AK157" i="9"/>
  <c r="AS351" i="4"/>
  <c r="AS132" i="9"/>
  <c r="AS50" i="9"/>
  <c r="AS103" i="9"/>
  <c r="AU29" i="9"/>
  <c r="AX42" i="9" s="1"/>
  <c r="AS110" i="9"/>
  <c r="AT110" i="9" s="1"/>
  <c r="AV110" i="9" s="1"/>
  <c r="AQ102" i="9"/>
  <c r="AQ101" i="9" s="1"/>
  <c r="AN122" i="4"/>
  <c r="AR351" i="4"/>
  <c r="BT20" i="9"/>
  <c r="AR67" i="9"/>
  <c r="AR42" i="9"/>
  <c r="AF196" i="9"/>
  <c r="H15" i="2"/>
  <c r="AT350" i="4"/>
  <c r="AT131" i="9"/>
  <c r="AT17" i="9"/>
  <c r="AW40" i="9" s="1"/>
  <c r="AT49" i="9"/>
  <c r="AT41" i="9"/>
  <c r="AI158" i="9"/>
  <c r="AI155" i="9"/>
  <c r="AG198" i="9"/>
  <c r="AG67" i="4"/>
  <c r="AG84" i="4" s="1"/>
  <c r="AQ352" i="4"/>
  <c r="AQ86" i="9"/>
  <c r="AQ87" i="9"/>
  <c r="AQ90" i="9"/>
  <c r="AQ81" i="9"/>
  <c r="AW29" i="4"/>
  <c r="AW77" i="9"/>
  <c r="AW4" i="9"/>
  <c r="AW134" i="9"/>
  <c r="AW247" i="9"/>
  <c r="AW116" i="9"/>
  <c r="AW38" i="9"/>
  <c r="AW162" i="9"/>
  <c r="AW49" i="4" s="1"/>
  <c r="AW164" i="9"/>
  <c r="AW41" i="9"/>
  <c r="AR350" i="4"/>
  <c r="AR17" i="9"/>
  <c r="AR41" i="9"/>
  <c r="BT19" i="9"/>
  <c r="AK32" i="4"/>
  <c r="AK159" i="4"/>
  <c r="AK143" i="4"/>
  <c r="AK172" i="9"/>
  <c r="AO172" i="9"/>
  <c r="BS53" i="9"/>
  <c r="BS58" i="9" s="1"/>
  <c r="AJ188" i="9"/>
  <c r="AJ192" i="9"/>
  <c r="BS28" i="9"/>
  <c r="AO353" i="4"/>
  <c r="AJ228" i="4"/>
  <c r="AK122" i="4"/>
  <c r="AL154" i="9"/>
  <c r="AL183" i="9" s="1"/>
  <c r="AL98" i="9"/>
  <c r="AL150" i="9"/>
  <c r="AC39" i="6"/>
  <c r="AM159" i="9"/>
  <c r="AM151" i="9"/>
  <c r="AM181" i="9"/>
  <c r="AX103" i="9"/>
  <c r="AX111" i="9" s="1"/>
  <c r="I43" i="2"/>
  <c r="I44" i="2" s="1"/>
  <c r="AI180" i="9"/>
  <c r="AI192" i="9"/>
  <c r="BQ52" i="9"/>
  <c r="BQ57" i="9" s="1"/>
  <c r="AI188" i="9"/>
  <c r="AD97" i="4"/>
  <c r="AD104" i="4"/>
  <c r="AD56" i="4"/>
  <c r="AD64" i="4"/>
  <c r="AS350" i="4"/>
  <c r="AS49" i="9"/>
  <c r="AS66" i="9" s="1"/>
  <c r="AS72" i="9" s="1"/>
  <c r="AS41" i="9"/>
  <c r="AS131" i="9"/>
  <c r="AU19" i="9"/>
  <c r="AS17" i="9"/>
  <c r="AV41" i="9"/>
  <c r="AT351" i="4"/>
  <c r="AT132" i="9"/>
  <c r="AT103" i="9"/>
  <c r="AT50" i="9"/>
  <c r="AT67" i="9" s="1"/>
  <c r="AT73" i="9" s="1"/>
  <c r="AQ30" i="4"/>
  <c r="AQ94" i="4"/>
  <c r="AQ108" i="4"/>
  <c r="AQ262" i="4"/>
  <c r="AQ263" i="4"/>
  <c r="AW48" i="9"/>
  <c r="AI196" i="9"/>
  <c r="I15" i="2"/>
  <c r="AZ238" i="4"/>
  <c r="BA241" i="4"/>
  <c r="AV138" i="4"/>
  <c r="BG147" i="4"/>
  <c r="BF88" i="4"/>
  <c r="BC160" i="4"/>
  <c r="AA99" i="4" l="1"/>
  <c r="AA81" i="4"/>
  <c r="AA106" i="4"/>
  <c r="AA87" i="4"/>
  <c r="AA90" i="4" s="1"/>
  <c r="AB86" i="4" s="1"/>
  <c r="AA116" i="4"/>
  <c r="AA10" i="4"/>
  <c r="AA306" i="4"/>
  <c r="AA307" i="4"/>
  <c r="AQ150" i="9"/>
  <c r="AQ157" i="9" s="1"/>
  <c r="AX59" i="9"/>
  <c r="AQ69" i="9"/>
  <c r="AJ184" i="9"/>
  <c r="AX48" i="9"/>
  <c r="AQ88" i="9"/>
  <c r="AU103" i="9"/>
  <c r="AU111" i="9" s="1"/>
  <c r="AT130" i="9"/>
  <c r="AT138" i="9" s="1"/>
  <c r="AV137" i="9"/>
  <c r="AU350" i="4"/>
  <c r="AU17" i="9"/>
  <c r="AX40" i="9" s="1"/>
  <c r="BU19" i="9"/>
  <c r="AU41" i="9"/>
  <c r="AD47" i="4"/>
  <c r="AD96" i="4"/>
  <c r="AD103" i="4"/>
  <c r="AD304" i="4"/>
  <c r="AD57" i="4"/>
  <c r="AR72" i="9"/>
  <c r="BT29" i="9" s="1"/>
  <c r="BT24" i="9"/>
  <c r="AM179" i="9"/>
  <c r="AM157" i="9"/>
  <c r="AK188" i="9"/>
  <c r="AK180" i="9"/>
  <c r="AK192" i="9"/>
  <c r="AN106" i="9"/>
  <c r="AN109" i="9"/>
  <c r="AN105" i="9"/>
  <c r="AN150" i="9"/>
  <c r="AQ170" i="9"/>
  <c r="AQ171" i="9"/>
  <c r="AQ169" i="9"/>
  <c r="AI198" i="9"/>
  <c r="AI67" i="4"/>
  <c r="AI84" i="4" s="1"/>
  <c r="I13" i="2"/>
  <c r="AS102" i="9"/>
  <c r="AU49" i="9"/>
  <c r="AS48" i="9"/>
  <c r="AS65" i="9" s="1"/>
  <c r="AM188" i="9"/>
  <c r="AM192" i="9"/>
  <c r="AM180" i="9"/>
  <c r="AL157" i="9"/>
  <c r="AL179" i="9"/>
  <c r="AL228" i="4"/>
  <c r="AX247" i="9"/>
  <c r="AX248" i="9" s="1"/>
  <c r="AW127" i="4"/>
  <c r="AX127" i="4" s="1"/>
  <c r="AW108" i="4"/>
  <c r="AW111" i="4"/>
  <c r="AW262" i="4"/>
  <c r="AW263" i="4"/>
  <c r="AQ154" i="9"/>
  <c r="AT66" i="9"/>
  <c r="AT72" i="9" s="1"/>
  <c r="AT48" i="9"/>
  <c r="AT191" i="9" s="1"/>
  <c r="AF198" i="9"/>
  <c r="AF67" i="4"/>
  <c r="AF84" i="4" s="1"/>
  <c r="H13" i="2"/>
  <c r="BT25" i="9"/>
  <c r="AR73" i="9"/>
  <c r="BT30" i="9" s="1"/>
  <c r="AU50" i="9"/>
  <c r="AU60" i="9" s="1"/>
  <c r="AK155" i="9"/>
  <c r="AK158" i="9"/>
  <c r="AR102" i="9"/>
  <c r="AR110" i="9" s="1"/>
  <c r="BV24" i="9"/>
  <c r="AX72" i="9"/>
  <c r="BV29" i="9" s="1"/>
  <c r="AO159" i="9"/>
  <c r="AO151" i="9"/>
  <c r="AX67" i="9"/>
  <c r="AV49" i="4"/>
  <c r="AX162" i="9"/>
  <c r="AV166" i="9"/>
  <c r="AV168" i="9" s="1"/>
  <c r="AV44" i="4"/>
  <c r="AV117" i="9"/>
  <c r="AV118" i="9"/>
  <c r="AV119" i="9"/>
  <c r="AX116" i="9"/>
  <c r="AV352" i="4"/>
  <c r="AV42" i="4"/>
  <c r="AV86" i="9"/>
  <c r="AV81" i="9"/>
  <c r="AV87" i="9"/>
  <c r="AX77" i="9"/>
  <c r="AV108" i="4"/>
  <c r="AV32" i="4"/>
  <c r="AV262" i="4"/>
  <c r="AV263" i="4"/>
  <c r="AP58" i="4"/>
  <c r="AR164" i="9"/>
  <c r="AP352" i="4"/>
  <c r="AP42" i="4"/>
  <c r="AP86" i="9"/>
  <c r="AP81" i="9"/>
  <c r="AP87" i="9"/>
  <c r="AR77" i="9"/>
  <c r="AP90" i="9"/>
  <c r="AR247" i="9"/>
  <c r="AR248" i="9" s="1"/>
  <c r="AP127" i="4"/>
  <c r="AR127" i="4" s="1"/>
  <c r="AW191" i="9"/>
  <c r="AW54" i="9"/>
  <c r="AW58" i="9"/>
  <c r="AS130" i="9"/>
  <c r="AU131" i="9"/>
  <c r="AM155" i="9"/>
  <c r="AM158" i="9"/>
  <c r="AA82" i="4"/>
  <c r="AA12" i="4" s="1"/>
  <c r="AA243" i="9" s="1"/>
  <c r="AA11" i="4"/>
  <c r="AW166" i="9"/>
  <c r="AW168" i="9" s="1"/>
  <c r="AW58" i="4"/>
  <c r="AW119" i="9"/>
  <c r="AW117" i="9"/>
  <c r="AW118" i="9"/>
  <c r="AX134" i="9"/>
  <c r="AZ32" i="9"/>
  <c r="AZ29" i="9" s="1"/>
  <c r="AQ153" i="9"/>
  <c r="AT102" i="9"/>
  <c r="AT101" i="9" s="1"/>
  <c r="AS67" i="9"/>
  <c r="AS73" i="9" s="1"/>
  <c r="AU132" i="9"/>
  <c r="AR130" i="9"/>
  <c r="AR138" i="9" s="1"/>
  <c r="AP129" i="9"/>
  <c r="AP150" i="9" s="1"/>
  <c r="AP138" i="9"/>
  <c r="AQ120" i="9"/>
  <c r="AL172" i="9"/>
  <c r="AP41" i="4"/>
  <c r="AP58" i="9"/>
  <c r="AP55" i="9"/>
  <c r="AP54" i="9"/>
  <c r="AV69" i="9"/>
  <c r="AV71" i="9"/>
  <c r="AV353" i="4" s="1"/>
  <c r="AP191" i="9"/>
  <c r="AP159" i="4"/>
  <c r="AP143" i="4"/>
  <c r="AR4" i="9"/>
  <c r="AP5" i="9"/>
  <c r="AP12" i="9"/>
  <c r="AP13" i="9" s="1"/>
  <c r="AW352" i="4"/>
  <c r="AW81" i="9"/>
  <c r="AW87" i="9"/>
  <c r="AW86" i="9"/>
  <c r="AW110" i="9"/>
  <c r="AV102" i="9"/>
  <c r="AO43" i="4"/>
  <c r="BS35" i="9"/>
  <c r="BS43" i="9" s="1"/>
  <c r="AO109" i="9"/>
  <c r="AO105" i="9"/>
  <c r="AO106" i="9"/>
  <c r="AO150" i="9"/>
  <c r="AL151" i="9"/>
  <c r="AL181" i="9"/>
  <c r="AL159" i="9"/>
  <c r="AA112" i="4"/>
  <c r="AA48" i="4"/>
  <c r="AA95" i="4"/>
  <c r="AA102" i="4"/>
  <c r="AA45" i="4"/>
  <c r="AA40" i="4" s="1"/>
  <c r="AO188" i="9"/>
  <c r="AO180" i="9"/>
  <c r="BS52" i="9"/>
  <c r="BS57" i="9" s="1"/>
  <c r="AO192" i="9"/>
  <c r="AP43" i="4"/>
  <c r="AP109" i="9"/>
  <c r="AP106" i="9"/>
  <c r="AP105" i="9"/>
  <c r="AR101" i="9"/>
  <c r="AX29" i="4"/>
  <c r="AV117" i="4" s="1"/>
  <c r="AX212" i="9"/>
  <c r="BV18" i="9"/>
  <c r="AX215" i="9"/>
  <c r="AX38" i="9"/>
  <c r="AV58" i="4"/>
  <c r="AX164" i="9"/>
  <c r="AV12" i="9"/>
  <c r="AX4" i="9"/>
  <c r="AP49" i="4"/>
  <c r="AP166" i="9"/>
  <c r="AP168" i="9" s="1"/>
  <c r="AR162" i="9"/>
  <c r="AP44" i="4"/>
  <c r="AP117" i="9"/>
  <c r="AR117" i="9" s="1"/>
  <c r="AR116" i="9"/>
  <c r="AP118" i="9"/>
  <c r="AR118" i="9" s="1"/>
  <c r="AP119" i="9"/>
  <c r="AR119" i="9" s="1"/>
  <c r="AP108" i="4"/>
  <c r="AP94" i="4"/>
  <c r="AP32" i="4"/>
  <c r="AP111" i="4"/>
  <c r="AP30" i="4"/>
  <c r="AP262" i="4"/>
  <c r="AP263" i="4"/>
  <c r="AS29" i="4"/>
  <c r="AV94" i="4" s="1"/>
  <c r="AS162" i="9"/>
  <c r="AS212" i="9"/>
  <c r="AS129" i="4" s="1"/>
  <c r="AS77" i="9"/>
  <c r="AV90" i="9" s="1"/>
  <c r="AS247" i="9"/>
  <c r="AS134" i="9"/>
  <c r="AS38" i="9"/>
  <c r="AS4" i="9"/>
  <c r="AS215" i="9"/>
  <c r="AS131" i="4" s="1"/>
  <c r="AS40" i="9"/>
  <c r="AS116" i="9"/>
  <c r="AS164" i="9"/>
  <c r="AI184" i="9"/>
  <c r="AI187" i="9"/>
  <c r="AA312" i="4"/>
  <c r="AA314" i="4" s="1"/>
  <c r="BR54" i="9"/>
  <c r="BR59" i="9" s="1"/>
  <c r="AR29" i="4"/>
  <c r="AP117" i="4" s="1"/>
  <c r="AR215" i="9"/>
  <c r="BT18" i="9"/>
  <c r="AR212" i="9"/>
  <c r="AR38" i="9"/>
  <c r="AR40" i="9"/>
  <c r="AW65" i="9"/>
  <c r="AW12" i="9"/>
  <c r="AZ26" i="9"/>
  <c r="AZ19" i="9" s="1"/>
  <c r="AQ152" i="9"/>
  <c r="AG63" i="4"/>
  <c r="AG120" i="4"/>
  <c r="AG105" i="4"/>
  <c r="AG68" i="4"/>
  <c r="AG98" i="4"/>
  <c r="AG115" i="4"/>
  <c r="AH115" i="4"/>
  <c r="AT29" i="4"/>
  <c r="AW30" i="4" s="1"/>
  <c r="AT116" i="9"/>
  <c r="AT40" i="9"/>
  <c r="AT77" i="9"/>
  <c r="AW90" i="9" s="1"/>
  <c r="AT247" i="9"/>
  <c r="AT127" i="4" s="1"/>
  <c r="AT38" i="9"/>
  <c r="AT134" i="9"/>
  <c r="AT4" i="9"/>
  <c r="AW5" i="9" s="1"/>
  <c r="AT162" i="9"/>
  <c r="AT49" i="4" s="1"/>
  <c r="AT164" i="9"/>
  <c r="AQ105" i="9"/>
  <c r="AQ109" i="9"/>
  <c r="AQ106" i="9"/>
  <c r="AU351" i="4"/>
  <c r="AU42" i="9"/>
  <c r="BU20" i="9"/>
  <c r="AK193" i="9"/>
  <c r="AK196" i="9" s="1"/>
  <c r="AK186" i="9"/>
  <c r="AK354" i="4" s="1"/>
  <c r="AW129" i="9"/>
  <c r="AW137" i="9" s="1"/>
  <c r="AW138" i="9"/>
  <c r="AJ198" i="9"/>
  <c r="AJ67" i="4"/>
  <c r="AN159" i="9"/>
  <c r="AN151" i="9"/>
  <c r="AN181" i="9"/>
  <c r="AR59" i="9"/>
  <c r="AR48" i="9"/>
  <c r="AX41" i="9"/>
  <c r="BR53" i="9"/>
  <c r="BR58" i="9" s="1"/>
  <c r="AV40" i="9"/>
  <c r="AP65" i="9"/>
  <c r="AX130" i="9"/>
  <c r="AX138" i="9" s="1"/>
  <c r="AW138" i="4"/>
  <c r="AV143" i="4"/>
  <c r="BB241" i="4"/>
  <c r="BA238" i="4"/>
  <c r="BF147" i="4"/>
  <c r="BG160" i="4"/>
  <c r="AA308" i="4" l="1"/>
  <c r="AA309" i="4" s="1"/>
  <c r="AQ179" i="9"/>
  <c r="AQ186" i="9" s="1"/>
  <c r="AQ354" i="4" s="1"/>
  <c r="AX65" i="9"/>
  <c r="AX71" i="9" s="1"/>
  <c r="AX58" i="9"/>
  <c r="AT129" i="9"/>
  <c r="AT137" i="9" s="1"/>
  <c r="AX54" i="9"/>
  <c r="AX191" i="9"/>
  <c r="AX41" i="4"/>
  <c r="AW41" i="4" s="1"/>
  <c r="AU67" i="9"/>
  <c r="AU73" i="9" s="1"/>
  <c r="BU30" i="9" s="1"/>
  <c r="AP122" i="4"/>
  <c r="AX119" i="9"/>
  <c r="AQ172" i="9"/>
  <c r="AX118" i="9"/>
  <c r="AV88" i="9"/>
  <c r="AW154" i="9"/>
  <c r="AV120" i="9"/>
  <c r="AT65" i="9"/>
  <c r="AT69" i="9" s="1"/>
  <c r="AG118" i="4"/>
  <c r="AQ183" i="9"/>
  <c r="AV111" i="4"/>
  <c r="AW55" i="9"/>
  <c r="AS44" i="4"/>
  <c r="AS119" i="9"/>
  <c r="AS117" i="9"/>
  <c r="AS118" i="9"/>
  <c r="AU116" i="9"/>
  <c r="AS159" i="4"/>
  <c r="AS143" i="4"/>
  <c r="AP179" i="9"/>
  <c r="AP157" i="9"/>
  <c r="AX58" i="4"/>
  <c r="AX165" i="9"/>
  <c r="AW212" i="9"/>
  <c r="AW129" i="4" s="1"/>
  <c r="AW159" i="4" s="1"/>
  <c r="AX129" i="4"/>
  <c r="AR43" i="4"/>
  <c r="AQ43" i="4" s="1"/>
  <c r="BT35" i="9"/>
  <c r="BT43" i="9" s="1"/>
  <c r="AR105" i="9"/>
  <c r="AR109" i="9"/>
  <c r="AR106" i="9"/>
  <c r="AN43" i="4"/>
  <c r="AA16" i="4"/>
  <c r="AA14" i="4"/>
  <c r="AA26" i="4"/>
  <c r="AS129" i="9"/>
  <c r="AS138" i="9"/>
  <c r="AU130" i="9"/>
  <c r="AU138" i="9" s="1"/>
  <c r="AR352" i="4"/>
  <c r="AR42" i="4"/>
  <c r="AQ42" i="4" s="1"/>
  <c r="AR90" i="9"/>
  <c r="BT34" i="9"/>
  <c r="BT42" i="9" s="1"/>
  <c r="AX352" i="4"/>
  <c r="AX42" i="4"/>
  <c r="AW42" i="4" s="1"/>
  <c r="BV34" i="9"/>
  <c r="BV42" i="9" s="1"/>
  <c r="BE32" i="9"/>
  <c r="AX86" i="9"/>
  <c r="AV153" i="9"/>
  <c r="AX44" i="4"/>
  <c r="AW44" i="4" s="1"/>
  <c r="BV36" i="9"/>
  <c r="BV44" i="9" s="1"/>
  <c r="AV122" i="4"/>
  <c r="AW117" i="4"/>
  <c r="AW94" i="4"/>
  <c r="AU59" i="9"/>
  <c r="AU48" i="9"/>
  <c r="AU65" i="9" s="1"/>
  <c r="AN157" i="9"/>
  <c r="AN179" i="9"/>
  <c r="AM193" i="9"/>
  <c r="AM196" i="9" s="1"/>
  <c r="AM186" i="9"/>
  <c r="AM354" i="4" s="1"/>
  <c r="AD48" i="4"/>
  <c r="AD102" i="4"/>
  <c r="AD95" i="4"/>
  <c r="AD45" i="4"/>
  <c r="AD40" i="4" s="1"/>
  <c r="AM184" i="9"/>
  <c r="AM187" i="9"/>
  <c r="AS101" i="9"/>
  <c r="AU102" i="9"/>
  <c r="AU110" i="9" s="1"/>
  <c r="AK187" i="9"/>
  <c r="AK184" i="9"/>
  <c r="AU29" i="4"/>
  <c r="AS117" i="4" s="1"/>
  <c r="AU40" i="9"/>
  <c r="AU215" i="9"/>
  <c r="BU18" i="9"/>
  <c r="AU212" i="9"/>
  <c r="AU38" i="9"/>
  <c r="AX129" i="9"/>
  <c r="AT105" i="9"/>
  <c r="AT109" i="9"/>
  <c r="AT106" i="9"/>
  <c r="AR87" i="9"/>
  <c r="AP154" i="9"/>
  <c r="AU247" i="9"/>
  <c r="AU248" i="9" s="1"/>
  <c r="AS127" i="4"/>
  <c r="AU127" i="4" s="1"/>
  <c r="AV101" i="9"/>
  <c r="BF26" i="9"/>
  <c r="BF19" i="9" s="1"/>
  <c r="AR5" i="9"/>
  <c r="AR12" i="9"/>
  <c r="AR13" i="9" s="1"/>
  <c r="AP137" i="9"/>
  <c r="AR129" i="9"/>
  <c r="AX117" i="9"/>
  <c r="AW171" i="9"/>
  <c r="AW169" i="9"/>
  <c r="AW170" i="9"/>
  <c r="AP88" i="9"/>
  <c r="AR81" i="9"/>
  <c r="AY26" i="9"/>
  <c r="AP152" i="9"/>
  <c r="AR165" i="9"/>
  <c r="AR58" i="4"/>
  <c r="AV154" i="9"/>
  <c r="AX87" i="9"/>
  <c r="AV171" i="9"/>
  <c r="AV169" i="9"/>
  <c r="AV170" i="9"/>
  <c r="AO155" i="9"/>
  <c r="AO158" i="9"/>
  <c r="H14" i="2"/>
  <c r="P11" i="2"/>
  <c r="H3" i="2"/>
  <c r="AT55" i="9"/>
  <c r="AT54" i="9"/>
  <c r="AT58" i="9"/>
  <c r="I14" i="2"/>
  <c r="I3" i="2"/>
  <c r="AQ182" i="9"/>
  <c r="AU66" i="9"/>
  <c r="AR41" i="4"/>
  <c r="AQ41" i="4" s="1"/>
  <c r="AR58" i="9"/>
  <c r="AR55" i="9"/>
  <c r="AR54" i="9"/>
  <c r="AR65" i="9"/>
  <c r="AJ120" i="4"/>
  <c r="AJ68" i="4"/>
  <c r="AJ63" i="4"/>
  <c r="AJ98" i="4"/>
  <c r="AJ115" i="4"/>
  <c r="AJ105" i="4"/>
  <c r="AT118" i="9"/>
  <c r="AT119" i="9"/>
  <c r="AT117" i="9"/>
  <c r="AQ181" i="9"/>
  <c r="AQ151" i="9"/>
  <c r="AQ159" i="9"/>
  <c r="AW71" i="9"/>
  <c r="AW353" i="4" s="1"/>
  <c r="AW69" i="9"/>
  <c r="AQ215" i="9"/>
  <c r="AQ131" i="4" s="1"/>
  <c r="AR131" i="4"/>
  <c r="AS58" i="4"/>
  <c r="AU164" i="9"/>
  <c r="AU134" i="9"/>
  <c r="AS49" i="4"/>
  <c r="AU162" i="9"/>
  <c r="AS166" i="9"/>
  <c r="AS168" i="9" s="1"/>
  <c r="AR49" i="4"/>
  <c r="AR166" i="9"/>
  <c r="AR163" i="9"/>
  <c r="AX12" i="9"/>
  <c r="AL180" i="9"/>
  <c r="AL188" i="9"/>
  <c r="AL192" i="9"/>
  <c r="BR52" i="9"/>
  <c r="BR57" i="9" s="1"/>
  <c r="AX73" i="9"/>
  <c r="BV30" i="9" s="1"/>
  <c r="BV25" i="9"/>
  <c r="AP71" i="9"/>
  <c r="AP353" i="4" s="1"/>
  <c r="AP69" i="9"/>
  <c r="AN180" i="9"/>
  <c r="AN192" i="9"/>
  <c r="AN188" i="9"/>
  <c r="AJ84" i="4"/>
  <c r="AT166" i="9"/>
  <c r="AT168" i="9" s="1"/>
  <c r="AT58" i="4"/>
  <c r="AT94" i="4"/>
  <c r="AT111" i="4"/>
  <c r="AT30" i="4"/>
  <c r="AT108" i="4"/>
  <c r="AT262" i="4"/>
  <c r="AT263" i="4"/>
  <c r="AZ350" i="4"/>
  <c r="AZ131" i="9"/>
  <c r="AZ17" i="9"/>
  <c r="AZ49" i="9"/>
  <c r="AZ66" i="9" s="1"/>
  <c r="AZ72" i="9" s="1"/>
  <c r="AZ41" i="9"/>
  <c r="AS32" i="4"/>
  <c r="AS108" i="4"/>
  <c r="AS30" i="4"/>
  <c r="AS94" i="4"/>
  <c r="AS111" i="4"/>
  <c r="AS262" i="4"/>
  <c r="AS263" i="4"/>
  <c r="AR44" i="4"/>
  <c r="AQ44" i="4" s="1"/>
  <c r="BT36" i="9"/>
  <c r="BT44" i="9" s="1"/>
  <c r="AR120" i="9"/>
  <c r="AP171" i="9"/>
  <c r="AR171" i="9" s="1"/>
  <c r="AP169" i="9"/>
  <c r="AR169" i="9" s="1"/>
  <c r="AP170" i="9"/>
  <c r="AR170" i="9" s="1"/>
  <c r="AW215" i="9"/>
  <c r="AW131" i="4" s="1"/>
  <c r="AX131" i="4"/>
  <c r="AX32" i="4"/>
  <c r="AX108" i="4"/>
  <c r="AX262" i="4"/>
  <c r="AX263" i="4"/>
  <c r="AL155" i="9"/>
  <c r="AL158" i="9"/>
  <c r="AN158" i="9"/>
  <c r="AN155" i="9"/>
  <c r="AK198" i="9"/>
  <c r="AK67" i="4"/>
  <c r="AK84" i="4" s="1"/>
  <c r="AT5" i="9"/>
  <c r="AT12" i="9"/>
  <c r="AT13" i="9" s="1"/>
  <c r="AT352" i="4"/>
  <c r="AT87" i="9"/>
  <c r="AT90" i="9"/>
  <c r="AT81" i="9"/>
  <c r="AT86" i="9"/>
  <c r="AG56" i="4"/>
  <c r="AG64" i="4"/>
  <c r="AG104" i="4"/>
  <c r="AG97" i="4"/>
  <c r="AR191" i="9"/>
  <c r="AQ212" i="9"/>
  <c r="AQ129" i="4" s="1"/>
  <c r="AR129" i="4"/>
  <c r="AR30" i="4"/>
  <c r="AR32" i="4"/>
  <c r="AR108" i="4"/>
  <c r="AR94" i="4"/>
  <c r="AR262" i="4"/>
  <c r="AR263" i="4"/>
  <c r="AQ117" i="4"/>
  <c r="AS71" i="9"/>
  <c r="AS353" i="4" s="1"/>
  <c r="AS69" i="9"/>
  <c r="AU4" i="9"/>
  <c r="AS5" i="9"/>
  <c r="AS12" i="9"/>
  <c r="AS13" i="9" s="1"/>
  <c r="AS352" i="4"/>
  <c r="AS42" i="4"/>
  <c r="AS86" i="9"/>
  <c r="AS81" i="9"/>
  <c r="AU77" i="9"/>
  <c r="AS90" i="9"/>
  <c r="AS87" i="9"/>
  <c r="AP120" i="9"/>
  <c r="AV5" i="9"/>
  <c r="AO187" i="9"/>
  <c r="AO184" i="9"/>
  <c r="AO179" i="9"/>
  <c r="AO157" i="9"/>
  <c r="AY110" i="9"/>
  <c r="AZ110" i="9" s="1"/>
  <c r="BB110" i="9" s="1"/>
  <c r="BC110" i="9" s="1"/>
  <c r="BE110" i="9" s="1"/>
  <c r="BF110" i="9" s="1"/>
  <c r="AW102" i="9"/>
  <c r="AW101" i="9" s="1"/>
  <c r="AW88" i="9"/>
  <c r="BF32" i="9"/>
  <c r="BF29" i="9" s="1"/>
  <c r="AW153" i="9"/>
  <c r="AZ351" i="4"/>
  <c r="AZ103" i="9"/>
  <c r="AZ132" i="9"/>
  <c r="AZ50" i="9"/>
  <c r="AZ67" i="9" s="1"/>
  <c r="AZ73" i="9" s="1"/>
  <c r="AW120" i="9"/>
  <c r="AR86" i="9"/>
  <c r="AY32" i="9"/>
  <c r="AP153" i="9"/>
  <c r="AV30" i="4"/>
  <c r="BE26" i="9"/>
  <c r="AX81" i="9"/>
  <c r="AV152" i="9"/>
  <c r="AX49" i="4"/>
  <c r="AX163" i="9"/>
  <c r="AX166" i="9"/>
  <c r="AF63" i="4"/>
  <c r="AF105" i="4"/>
  <c r="AF120" i="4"/>
  <c r="O14" i="2"/>
  <c r="BP61" i="9"/>
  <c r="AF68" i="4"/>
  <c r="AD118" i="4"/>
  <c r="AE118" i="4"/>
  <c r="AM228" i="4"/>
  <c r="AK228" i="4"/>
  <c r="AL193" i="9"/>
  <c r="AL196" i="9" s="1"/>
  <c r="AL186" i="9"/>
  <c r="AL354" i="4" s="1"/>
  <c r="BR51" i="9"/>
  <c r="BR56" i="9" s="1"/>
  <c r="AS191" i="9"/>
  <c r="AS41" i="4"/>
  <c r="AS58" i="9"/>
  <c r="AS55" i="9"/>
  <c r="AS54" i="9"/>
  <c r="AV55" i="9"/>
  <c r="AI98" i="4"/>
  <c r="AI68" i="4"/>
  <c r="AI105" i="4"/>
  <c r="BQ61" i="9"/>
  <c r="P14" i="2"/>
  <c r="AI63" i="4"/>
  <c r="AI120" i="4"/>
  <c r="AH118" i="4"/>
  <c r="BF160" i="4"/>
  <c r="AX138" i="4"/>
  <c r="BB238" i="4"/>
  <c r="BC241" i="4"/>
  <c r="AA277" i="4" l="1"/>
  <c r="AQ193" i="9"/>
  <c r="AQ196" i="9" s="1"/>
  <c r="AQ67" i="4" s="1"/>
  <c r="BV23" i="9"/>
  <c r="AX69" i="9"/>
  <c r="AT150" i="9"/>
  <c r="AT179" i="9" s="1"/>
  <c r="AT154" i="9"/>
  <c r="BU25" i="9"/>
  <c r="AX120" i="9"/>
  <c r="AW143" i="4"/>
  <c r="AW183" i="9"/>
  <c r="AV172" i="9"/>
  <c r="AT71" i="9"/>
  <c r="AT353" i="4" s="1"/>
  <c r="AX122" i="4"/>
  <c r="AP182" i="9"/>
  <c r="AX30" i="4"/>
  <c r="AR88" i="9"/>
  <c r="AW13" i="9"/>
  <c r="AT117" i="4"/>
  <c r="AX94" i="4"/>
  <c r="AX170" i="9"/>
  <c r="AV183" i="9"/>
  <c r="AS120" i="9"/>
  <c r="AV13" i="9"/>
  <c r="AX169" i="9"/>
  <c r="AV151" i="9"/>
  <c r="AV159" i="9"/>
  <c r="AV181" i="9"/>
  <c r="BA32" i="9"/>
  <c r="AY29" i="9"/>
  <c r="AW106" i="9"/>
  <c r="AW105" i="9"/>
  <c r="AW109" i="9"/>
  <c r="AY109" i="9" s="1"/>
  <c r="AW150" i="9"/>
  <c r="AU42" i="4"/>
  <c r="AT42" i="4" s="1"/>
  <c r="AU352" i="4"/>
  <c r="AU90" i="9"/>
  <c r="BU34" i="9"/>
  <c r="BU42" i="9" s="1"/>
  <c r="AR159" i="4"/>
  <c r="AR143" i="4"/>
  <c r="AG304" i="4"/>
  <c r="AG57" i="4"/>
  <c r="AG96" i="4"/>
  <c r="AG103" i="4"/>
  <c r="AG47" i="4"/>
  <c r="AZ130" i="9"/>
  <c r="AT170" i="9"/>
  <c r="AT171" i="9"/>
  <c r="AT169" i="9"/>
  <c r="AN187" i="9"/>
  <c r="AN184" i="9"/>
  <c r="AS122" i="4"/>
  <c r="AT120" i="9"/>
  <c r="AJ97" i="4"/>
  <c r="AJ104" i="4"/>
  <c r="AJ56" i="4"/>
  <c r="AJ64" i="4"/>
  <c r="AR71" i="9"/>
  <c r="BT23" i="9"/>
  <c r="AR69" i="9"/>
  <c r="AP151" i="9"/>
  <c r="AP181" i="9"/>
  <c r="AP159" i="9"/>
  <c r="AW172" i="9"/>
  <c r="AW152" i="9"/>
  <c r="AW181" i="9" s="1"/>
  <c r="AU71" i="9"/>
  <c r="BU23" i="9"/>
  <c r="AU69" i="9"/>
  <c r="AT215" i="9"/>
  <c r="AT131" i="4" s="1"/>
  <c r="AU131" i="4"/>
  <c r="AU94" i="4"/>
  <c r="AU32" i="4"/>
  <c r="AU108" i="4"/>
  <c r="AU30" i="4"/>
  <c r="AU262" i="4"/>
  <c r="AU263" i="4"/>
  <c r="AX97" i="9"/>
  <c r="AX153" i="9"/>
  <c r="AX90" i="9"/>
  <c r="AU129" i="9"/>
  <c r="AS137" i="9"/>
  <c r="AF64" i="4"/>
  <c r="AF56" i="4"/>
  <c r="AF104" i="4"/>
  <c r="AE63" i="4"/>
  <c r="AU12" i="9"/>
  <c r="AU13" i="9" s="1"/>
  <c r="AU5" i="9"/>
  <c r="AI97" i="4"/>
  <c r="AI104" i="4"/>
  <c r="AH63" i="4"/>
  <c r="AJ114" i="4" s="1"/>
  <c r="AI56" i="4"/>
  <c r="AI64" i="4"/>
  <c r="AL198" i="9"/>
  <c r="AL67" i="4"/>
  <c r="AL84" i="4" s="1"/>
  <c r="AO228" i="4"/>
  <c r="AE120" i="4"/>
  <c r="AX168" i="9"/>
  <c r="AX96" i="9"/>
  <c r="AR97" i="9"/>
  <c r="AR153" i="9"/>
  <c r="AR182" i="9" s="1"/>
  <c r="AU81" i="9"/>
  <c r="BB26" i="9"/>
  <c r="AS152" i="9"/>
  <c r="AQ159" i="4"/>
  <c r="AQ143" i="4"/>
  <c r="BC32" i="9"/>
  <c r="BC29" i="9" s="1"/>
  <c r="AT153" i="9"/>
  <c r="AW32" i="4"/>
  <c r="AP172" i="9"/>
  <c r="AZ102" i="9"/>
  <c r="AZ101" i="9" s="1"/>
  <c r="AL184" i="9"/>
  <c r="AL187" i="9"/>
  <c r="AR168" i="9"/>
  <c r="AQ155" i="9"/>
  <c r="AQ158" i="9"/>
  <c r="BA26" i="9"/>
  <c r="AY19" i="9"/>
  <c r="AW182" i="9"/>
  <c r="BV28" i="9"/>
  <c r="AX353" i="4"/>
  <c r="BF350" i="4"/>
  <c r="BF102" i="9"/>
  <c r="BF49" i="9"/>
  <c r="BF66" i="9" s="1"/>
  <c r="BF72" i="9" s="1"/>
  <c r="BF131" i="9"/>
  <c r="BF17" i="9"/>
  <c r="AU191" i="9"/>
  <c r="AU41" i="4"/>
  <c r="AT41" i="4" s="1"/>
  <c r="AU55" i="9"/>
  <c r="AU54" i="9"/>
  <c r="AU58" i="9"/>
  <c r="AX55" i="9"/>
  <c r="BG32" i="9"/>
  <c r="BE29" i="9"/>
  <c r="AU44" i="4"/>
  <c r="AT44" i="4" s="1"/>
  <c r="BU36" i="9"/>
  <c r="BU44" i="9" s="1"/>
  <c r="AU119" i="9"/>
  <c r="AH120" i="4"/>
  <c r="BS51" i="9"/>
  <c r="BS56" i="9" s="1"/>
  <c r="AO193" i="9"/>
  <c r="AO196" i="9" s="1"/>
  <c r="AO186" i="9"/>
  <c r="AO354" i="4" s="1"/>
  <c r="BG26" i="9"/>
  <c r="BE19" i="9"/>
  <c r="BF351" i="4"/>
  <c r="BF50" i="9"/>
  <c r="BF67" i="9" s="1"/>
  <c r="BF73" i="9" s="1"/>
  <c r="BF132" i="9"/>
  <c r="BF103" i="9"/>
  <c r="AS88" i="9"/>
  <c r="AU87" i="9"/>
  <c r="AS154" i="9"/>
  <c r="BB32" i="9"/>
  <c r="AU86" i="9"/>
  <c r="AS153" i="9"/>
  <c r="AQ32" i="4"/>
  <c r="AT88" i="9"/>
  <c r="BC26" i="9"/>
  <c r="BC19" i="9" s="1"/>
  <c r="BF41" i="9" s="1"/>
  <c r="AT152" i="9"/>
  <c r="AK105" i="4"/>
  <c r="AK68" i="4"/>
  <c r="AK115" i="4"/>
  <c r="AK98" i="4"/>
  <c r="AZ48" i="9"/>
  <c r="AZ191" i="9" s="1"/>
  <c r="AX5" i="9"/>
  <c r="AR122" i="4"/>
  <c r="AS170" i="9"/>
  <c r="AS171" i="9"/>
  <c r="AS169" i="9"/>
  <c r="AU58" i="4"/>
  <c r="AU165" i="9"/>
  <c r="AQ180" i="9"/>
  <c r="AQ192" i="9"/>
  <c r="AQ188" i="9"/>
  <c r="AX171" i="9"/>
  <c r="AR96" i="9"/>
  <c r="AR152" i="9"/>
  <c r="AR150" i="9"/>
  <c r="AR137" i="9"/>
  <c r="BT38" i="9"/>
  <c r="BT47" i="9" s="1"/>
  <c r="AX102" i="9"/>
  <c r="AX110" i="9" s="1"/>
  <c r="AP183" i="9"/>
  <c r="AT212" i="9"/>
  <c r="AT129" i="4" s="1"/>
  <c r="AU129" i="4"/>
  <c r="AM198" i="9"/>
  <c r="AM67" i="4"/>
  <c r="AM84" i="4" s="1"/>
  <c r="AX88" i="9"/>
  <c r="AX159" i="4"/>
  <c r="AU118" i="9"/>
  <c r="AZ29" i="4"/>
  <c r="AZ134" i="9"/>
  <c r="AZ40" i="9"/>
  <c r="AZ4" i="9"/>
  <c r="AZ116" i="9"/>
  <c r="AZ77" i="9"/>
  <c r="AZ247" i="9"/>
  <c r="AZ127" i="4" s="1"/>
  <c r="AZ38" i="9"/>
  <c r="AZ162" i="9"/>
  <c r="AZ49" i="4" s="1"/>
  <c r="AZ164" i="9"/>
  <c r="AU49" i="4"/>
  <c r="AU163" i="9"/>
  <c r="AU166" i="9"/>
  <c r="AU72" i="9"/>
  <c r="BU29" i="9" s="1"/>
  <c r="BU24" i="9"/>
  <c r="AX154" i="9"/>
  <c r="AX98" i="9"/>
  <c r="AV43" i="4"/>
  <c r="AV105" i="9"/>
  <c r="AV109" i="9"/>
  <c r="AV106" i="9"/>
  <c r="AX101" i="9"/>
  <c r="AV150" i="9"/>
  <c r="AR154" i="9"/>
  <c r="AR183" i="9" s="1"/>
  <c r="AR98" i="9"/>
  <c r="AX137" i="9"/>
  <c r="BV38" i="9"/>
  <c r="BV47" i="9" s="1"/>
  <c r="AS43" i="4"/>
  <c r="AU101" i="9"/>
  <c r="AS109" i="9"/>
  <c r="AS106" i="9"/>
  <c r="AS105" i="9"/>
  <c r="AS150" i="9"/>
  <c r="AN186" i="9"/>
  <c r="AN354" i="4" s="1"/>
  <c r="AN193" i="9"/>
  <c r="AN196" i="9" s="1"/>
  <c r="AV182" i="9"/>
  <c r="AP193" i="9"/>
  <c r="AP196" i="9" s="1"/>
  <c r="AP186" i="9"/>
  <c r="AP354" i="4" s="1"/>
  <c r="AU117" i="9"/>
  <c r="BC238" i="4"/>
  <c r="BD241" i="4"/>
  <c r="AX143" i="4"/>
  <c r="AY138" i="4"/>
  <c r="AT157" i="9" l="1"/>
  <c r="AQ198" i="9"/>
  <c r="AT183" i="9"/>
  <c r="AK118" i="4"/>
  <c r="AU169" i="9"/>
  <c r="AW122" i="4"/>
  <c r="AU170" i="9"/>
  <c r="AZ65" i="9"/>
  <c r="AZ69" i="9" s="1"/>
  <c r="AX13" i="9"/>
  <c r="AX182" i="9"/>
  <c r="AR172" i="9"/>
  <c r="AS182" i="9"/>
  <c r="AT172" i="9"/>
  <c r="AZ166" i="9"/>
  <c r="AZ168" i="9" s="1"/>
  <c r="AZ58" i="4"/>
  <c r="AN198" i="9"/>
  <c r="AN67" i="4"/>
  <c r="AN84" i="4" s="1"/>
  <c r="AZ5" i="9"/>
  <c r="AZ12" i="9"/>
  <c r="AZ13" i="9" s="1"/>
  <c r="AQ105" i="4"/>
  <c r="AQ68" i="4"/>
  <c r="AQ184" i="9"/>
  <c r="AQ187" i="9"/>
  <c r="AS172" i="9"/>
  <c r="AU171" i="9"/>
  <c r="AZ55" i="9"/>
  <c r="AZ54" i="9"/>
  <c r="AZ58" i="9"/>
  <c r="BD32" i="9"/>
  <c r="BB29" i="9"/>
  <c r="AO198" i="9"/>
  <c r="AO67" i="4"/>
  <c r="AO84" i="4" s="1"/>
  <c r="BE351" i="4"/>
  <c r="BE103" i="9"/>
  <c r="BG103" i="9" s="1"/>
  <c r="BE132" i="9"/>
  <c r="BG132" i="9" s="1"/>
  <c r="BE50" i="9"/>
  <c r="BE67" i="9" s="1"/>
  <c r="BE73" i="9" s="1"/>
  <c r="BG29" i="9"/>
  <c r="BF29" i="4"/>
  <c r="BF247" i="9"/>
  <c r="BF116" i="9"/>
  <c r="BF77" i="9"/>
  <c r="BF4" i="9"/>
  <c r="BF134" i="9"/>
  <c r="BF38" i="9"/>
  <c r="BF162" i="9"/>
  <c r="BF49" i="4" s="1"/>
  <c r="BF164" i="9"/>
  <c r="BF101" i="9"/>
  <c r="AS159" i="9"/>
  <c r="AS151" i="9"/>
  <c r="AS181" i="9"/>
  <c r="AX172" i="9"/>
  <c r="AE104" i="4"/>
  <c r="AE114" i="4"/>
  <c r="AE64" i="4"/>
  <c r="AG114" i="4"/>
  <c r="AP180" i="9"/>
  <c r="AP192" i="9"/>
  <c r="AP188" i="9"/>
  <c r="AJ47" i="4"/>
  <c r="AJ304" i="4"/>
  <c r="AJ103" i="4"/>
  <c r="AJ57" i="4"/>
  <c r="AJ96" i="4"/>
  <c r="AT182" i="9"/>
  <c r="AW157" i="9"/>
  <c r="AW179" i="9"/>
  <c r="AY351" i="4"/>
  <c r="AY50" i="9"/>
  <c r="BA50" i="9" s="1"/>
  <c r="AY132" i="9"/>
  <c r="BA132" i="9" s="1"/>
  <c r="BA29" i="9"/>
  <c r="AY103" i="9"/>
  <c r="BA103" i="9" s="1"/>
  <c r="AV158" i="9"/>
  <c r="AV155" i="9"/>
  <c r="AW188" i="9"/>
  <c r="AW180" i="9"/>
  <c r="AW192" i="9"/>
  <c r="BT54" i="9"/>
  <c r="BT59" i="9" s="1"/>
  <c r="AU168" i="9"/>
  <c r="AZ118" i="9"/>
  <c r="AZ117" i="9"/>
  <c r="AZ119" i="9"/>
  <c r="AP198" i="9"/>
  <c r="AP67" i="4"/>
  <c r="AQ115" i="4" s="1"/>
  <c r="AV157" i="9"/>
  <c r="AV179" i="9"/>
  <c r="AU122" i="4"/>
  <c r="AQ84" i="4"/>
  <c r="AR157" i="9"/>
  <c r="AR179" i="9"/>
  <c r="AX183" i="9"/>
  <c r="AS183" i="9"/>
  <c r="BF130" i="9"/>
  <c r="BC351" i="4"/>
  <c r="BC103" i="9"/>
  <c r="BC50" i="9"/>
  <c r="BC67" i="9" s="1"/>
  <c r="BC73" i="9" s="1"/>
  <c r="BC132" i="9"/>
  <c r="BD26" i="9"/>
  <c r="BB19" i="9"/>
  <c r="BE41" i="9" s="1"/>
  <c r="AX152" i="9"/>
  <c r="AN228" i="4"/>
  <c r="AP228" i="4"/>
  <c r="AU150" i="9"/>
  <c r="AU137" i="9"/>
  <c r="BU38" i="9"/>
  <c r="BU47" i="9" s="1"/>
  <c r="BU28" i="9"/>
  <c r="AU353" i="4"/>
  <c r="AW151" i="9"/>
  <c r="AW159" i="9"/>
  <c r="AP158" i="9"/>
  <c r="AP155" i="9"/>
  <c r="BT28" i="9"/>
  <c r="AR353" i="4"/>
  <c r="AZ129" i="9"/>
  <c r="AZ137" i="9" s="1"/>
  <c r="AZ138" i="9"/>
  <c r="AS157" i="9"/>
  <c r="AS179" i="9"/>
  <c r="AT159" i="9"/>
  <c r="AT151" i="9"/>
  <c r="AU98" i="9"/>
  <c r="AU154" i="9"/>
  <c r="BE350" i="4"/>
  <c r="BE131" i="9"/>
  <c r="BE102" i="9"/>
  <c r="BE49" i="9"/>
  <c r="BE17" i="9"/>
  <c r="BG19" i="9"/>
  <c r="AY350" i="4"/>
  <c r="AY102" i="9"/>
  <c r="BA19" i="9"/>
  <c r="AY49" i="9"/>
  <c r="AY41" i="9"/>
  <c r="AY131" i="9"/>
  <c r="AY17" i="9"/>
  <c r="AZ105" i="9"/>
  <c r="AZ106" i="9"/>
  <c r="AU96" i="9"/>
  <c r="AU152" i="9"/>
  <c r="AI47" i="4"/>
  <c r="AI96" i="4"/>
  <c r="AI57" i="4"/>
  <c r="AH56" i="4"/>
  <c r="AI103" i="4"/>
  <c r="AI304" i="4"/>
  <c r="AT181" i="9"/>
  <c r="AG102" i="4"/>
  <c r="AG48" i="4"/>
  <c r="AG45" i="4"/>
  <c r="AG40" i="4" s="1"/>
  <c r="AG95" i="4"/>
  <c r="AU88" i="9"/>
  <c r="AV192" i="9"/>
  <c r="AV188" i="9"/>
  <c r="AV180" i="9"/>
  <c r="AU43" i="4"/>
  <c r="AT43" i="4" s="1"/>
  <c r="AU106" i="9"/>
  <c r="AU105" i="9"/>
  <c r="BU35" i="9"/>
  <c r="BU43" i="9" s="1"/>
  <c r="AU109" i="9"/>
  <c r="AX43" i="4"/>
  <c r="AW43" i="4" s="1"/>
  <c r="AX106" i="9"/>
  <c r="BV35" i="9"/>
  <c r="BV43" i="9" s="1"/>
  <c r="AX105" i="9"/>
  <c r="AX109" i="9"/>
  <c r="AZ109" i="9" s="1"/>
  <c r="BB109" i="9" s="1"/>
  <c r="AX150" i="9"/>
  <c r="AZ352" i="4"/>
  <c r="AZ81" i="9"/>
  <c r="AZ90" i="9"/>
  <c r="AZ86" i="9"/>
  <c r="AZ87" i="9"/>
  <c r="AU159" i="4"/>
  <c r="AU143" i="4"/>
  <c r="AZ108" i="4"/>
  <c r="AZ30" i="4"/>
  <c r="AZ94" i="4"/>
  <c r="AZ262" i="4"/>
  <c r="AZ263" i="4"/>
  <c r="AU120" i="9"/>
  <c r="AM115" i="4"/>
  <c r="AM63" i="4"/>
  <c r="AM105" i="4"/>
  <c r="AM98" i="4"/>
  <c r="AM120" i="4"/>
  <c r="AM68" i="4"/>
  <c r="AT159" i="4"/>
  <c r="AT143" i="4"/>
  <c r="AR159" i="9"/>
  <c r="AR181" i="9"/>
  <c r="AR151" i="9"/>
  <c r="AQ122" i="4"/>
  <c r="BC350" i="4"/>
  <c r="BC131" i="9"/>
  <c r="BC17" i="9"/>
  <c r="BC102" i="9"/>
  <c r="BC49" i="9"/>
  <c r="BC41" i="9"/>
  <c r="AU97" i="9"/>
  <c r="AU153" i="9"/>
  <c r="BF48" i="9"/>
  <c r="BT53" i="9"/>
  <c r="BT58" i="9" s="1"/>
  <c r="BR61" i="9"/>
  <c r="AL98" i="4"/>
  <c r="AL68" i="4"/>
  <c r="AL120" i="4"/>
  <c r="AL105" i="4"/>
  <c r="AL63" i="4"/>
  <c r="AJ118" i="4"/>
  <c r="AH104" i="4"/>
  <c r="AH114" i="4"/>
  <c r="AH97" i="4"/>
  <c r="AH64" i="4"/>
  <c r="AF103" i="4"/>
  <c r="AF47" i="4"/>
  <c r="AF57" i="4"/>
  <c r="AF304" i="4"/>
  <c r="AE56" i="4"/>
  <c r="AT32" i="4"/>
  <c r="AT186" i="9"/>
  <c r="AT354" i="4" s="1"/>
  <c r="AT193" i="9"/>
  <c r="AT196" i="9" s="1"/>
  <c r="BD238" i="4"/>
  <c r="BE241" i="4"/>
  <c r="AZ138" i="4"/>
  <c r="AU182" i="9" l="1"/>
  <c r="BU53" i="9" s="1"/>
  <c r="BU58" i="9" s="1"/>
  <c r="AU181" i="9"/>
  <c r="AU188" i="9" s="1"/>
  <c r="BG50" i="9"/>
  <c r="BG60" i="9" s="1"/>
  <c r="AM118" i="4"/>
  <c r="BV53" i="9"/>
  <c r="BV58" i="9" s="1"/>
  <c r="AQ98" i="4"/>
  <c r="AZ71" i="9"/>
  <c r="AZ353" i="4" s="1"/>
  <c r="AY67" i="9"/>
  <c r="AY73" i="9" s="1"/>
  <c r="BG111" i="9"/>
  <c r="BC130" i="9"/>
  <c r="BC138" i="9" s="1"/>
  <c r="AZ153" i="9"/>
  <c r="BC101" i="9"/>
  <c r="BC105" i="9" s="1"/>
  <c r="AZ152" i="9"/>
  <c r="AP84" i="4"/>
  <c r="BC48" i="9"/>
  <c r="BF55" i="9" s="1"/>
  <c r="AZ154" i="9"/>
  <c r="AE57" i="4"/>
  <c r="AE304" i="4"/>
  <c r="AE103" i="4"/>
  <c r="AE113" i="4"/>
  <c r="AG113" i="4"/>
  <c r="AF48" i="4"/>
  <c r="AF102" i="4"/>
  <c r="AE47" i="4"/>
  <c r="AF45" i="4"/>
  <c r="AF40" i="4" s="1"/>
  <c r="AE40" i="4" s="1"/>
  <c r="BF54" i="9"/>
  <c r="BF58" i="9"/>
  <c r="AX157" i="9"/>
  <c r="AX179" i="9"/>
  <c r="AT198" i="9"/>
  <c r="AT67" i="4"/>
  <c r="AT84" i="4" s="1"/>
  <c r="BC66" i="9"/>
  <c r="BC72" i="9" s="1"/>
  <c r="BC29" i="4"/>
  <c r="BF30" i="4" s="1"/>
  <c r="BC38" i="9"/>
  <c r="BC77" i="9"/>
  <c r="BF90" i="9" s="1"/>
  <c r="BC40" i="9"/>
  <c r="BC247" i="9"/>
  <c r="BC127" i="4" s="1"/>
  <c r="BC116" i="9"/>
  <c r="BC4" i="9"/>
  <c r="BF5" i="9" s="1"/>
  <c r="BC134" i="9"/>
  <c r="BC162" i="9"/>
  <c r="BC164" i="9"/>
  <c r="AZ88" i="9"/>
  <c r="AV187" i="9"/>
  <c r="AV184" i="9"/>
  <c r="AH96" i="4"/>
  <c r="AH103" i="4"/>
  <c r="AH113" i="4"/>
  <c r="AH304" i="4"/>
  <c r="AH57" i="4"/>
  <c r="AU151" i="9"/>
  <c r="AU159" i="9"/>
  <c r="AY66" i="9"/>
  <c r="AY72" i="9" s="1"/>
  <c r="AY48" i="9"/>
  <c r="AY65" i="9" s="1"/>
  <c r="BA49" i="9"/>
  <c r="BA66" i="9" s="1"/>
  <c r="BE130" i="9"/>
  <c r="BG131" i="9"/>
  <c r="AR228" i="4"/>
  <c r="BV54" i="9"/>
  <c r="BV59" i="9" s="1"/>
  <c r="BA351" i="4"/>
  <c r="BA42" i="9"/>
  <c r="BW20" i="9"/>
  <c r="BA67" i="9"/>
  <c r="AJ113" i="4"/>
  <c r="AP187" i="9"/>
  <c r="AP184" i="9"/>
  <c r="BF65" i="9"/>
  <c r="BF119" i="9"/>
  <c r="BF117" i="9"/>
  <c r="BF118" i="9"/>
  <c r="AN98" i="4"/>
  <c r="AN68" i="4"/>
  <c r="AN105" i="4"/>
  <c r="AN118" i="4"/>
  <c r="AN115" i="4"/>
  <c r="AK120" i="4"/>
  <c r="AY162" i="9"/>
  <c r="AY29" i="4"/>
  <c r="AY134" i="9"/>
  <c r="BA134" i="9" s="1"/>
  <c r="AY38" i="9"/>
  <c r="AY247" i="9"/>
  <c r="AY77" i="9"/>
  <c r="AY40" i="9"/>
  <c r="AY212" i="9"/>
  <c r="AY129" i="4" s="1"/>
  <c r="AY215" i="9"/>
  <c r="AY131" i="4" s="1"/>
  <c r="AY116" i="9"/>
  <c r="AY4" i="9"/>
  <c r="AY164" i="9"/>
  <c r="BA350" i="4"/>
  <c r="BW19" i="9"/>
  <c r="BA17" i="9"/>
  <c r="BA41" i="9"/>
  <c r="BE48" i="9"/>
  <c r="BE191" i="9" s="1"/>
  <c r="BG49" i="9"/>
  <c r="BG66" i="9" s="1"/>
  <c r="AT155" i="9"/>
  <c r="AT158" i="9"/>
  <c r="AU157" i="9"/>
  <c r="AU179" i="9"/>
  <c r="AR193" i="9"/>
  <c r="AR196" i="9" s="1"/>
  <c r="AR186" i="9"/>
  <c r="AR354" i="4" s="1"/>
  <c r="BT51" i="9"/>
  <c r="BT56" i="9" s="1"/>
  <c r="AT122" i="4"/>
  <c r="AW193" i="9"/>
  <c r="AW196" i="9" s="1"/>
  <c r="AW186" i="9"/>
  <c r="AW354" i="4" s="1"/>
  <c r="AJ102" i="4"/>
  <c r="AJ95" i="4"/>
  <c r="AJ48" i="4"/>
  <c r="AJ45" i="4"/>
  <c r="AJ40" i="4" s="1"/>
  <c r="BF352" i="4"/>
  <c r="BF87" i="9"/>
  <c r="BF81" i="9"/>
  <c r="BF86" i="9"/>
  <c r="BF127" i="4"/>
  <c r="AT180" i="9"/>
  <c r="AT192" i="9"/>
  <c r="AT188" i="9"/>
  <c r="AY130" i="9"/>
  <c r="BA131" i="9"/>
  <c r="BA102" i="9"/>
  <c r="BA110" i="9" s="1"/>
  <c r="AY101" i="9"/>
  <c r="BG350" i="4"/>
  <c r="BG17" i="9"/>
  <c r="BY19" i="9"/>
  <c r="BE101" i="9"/>
  <c r="BG102" i="9"/>
  <c r="BG110" i="9" s="1"/>
  <c r="AX151" i="9"/>
  <c r="AX159" i="9"/>
  <c r="AX181" i="9"/>
  <c r="AV193" i="9"/>
  <c r="AV196" i="9" s="1"/>
  <c r="AV186" i="9"/>
  <c r="AV354" i="4" s="1"/>
  <c r="AU172" i="9"/>
  <c r="AS180" i="9"/>
  <c r="AS192" i="9"/>
  <c r="AS188" i="9"/>
  <c r="BF105" i="9"/>
  <c r="BF191" i="9"/>
  <c r="BF108" i="4"/>
  <c r="BF262" i="4"/>
  <c r="BF263" i="4"/>
  <c r="AO68" i="4"/>
  <c r="AO63" i="4"/>
  <c r="AN63" i="4" s="1"/>
  <c r="AO120" i="4"/>
  <c r="BS61" i="9"/>
  <c r="AO98" i="4"/>
  <c r="AO105" i="4"/>
  <c r="BB351" i="4"/>
  <c r="BD29" i="9"/>
  <c r="BG42" i="9" s="1"/>
  <c r="BB103" i="9"/>
  <c r="BD103" i="9" s="1"/>
  <c r="BB50" i="9"/>
  <c r="BD50" i="9" s="1"/>
  <c r="BB132" i="9"/>
  <c r="BD132" i="9" s="1"/>
  <c r="AR158" i="9"/>
  <c r="AR155" i="9"/>
  <c r="AL56" i="4"/>
  <c r="AL97" i="4"/>
  <c r="AL64" i="4"/>
  <c r="AL104" i="4"/>
  <c r="AK63" i="4"/>
  <c r="AR188" i="9"/>
  <c r="AR180" i="9"/>
  <c r="BT52" i="9"/>
  <c r="BT57" i="9" s="1"/>
  <c r="AR192" i="9"/>
  <c r="AM64" i="4"/>
  <c r="AM56" i="4"/>
  <c r="AM97" i="4"/>
  <c r="AM104" i="4"/>
  <c r="AI95" i="4"/>
  <c r="AI102" i="4"/>
  <c r="AI48" i="4"/>
  <c r="AH47" i="4"/>
  <c r="AI45" i="4"/>
  <c r="AI40" i="4" s="1"/>
  <c r="AH40" i="4" s="1"/>
  <c r="BE29" i="4"/>
  <c r="BF111" i="4" s="1"/>
  <c r="BE215" i="9"/>
  <c r="BE131" i="4" s="1"/>
  <c r="BE116" i="9"/>
  <c r="BE38" i="9"/>
  <c r="BE212" i="9"/>
  <c r="BE129" i="4" s="1"/>
  <c r="BE159" i="4" s="1"/>
  <c r="BE4" i="9"/>
  <c r="BE247" i="9"/>
  <c r="BE127" i="4" s="1"/>
  <c r="BE134" i="9"/>
  <c r="BG134" i="9" s="1"/>
  <c r="BE77" i="9"/>
  <c r="BE162" i="9"/>
  <c r="BE164" i="9"/>
  <c r="BE66" i="9"/>
  <c r="BE72" i="9" s="1"/>
  <c r="AS186" i="9"/>
  <c r="AS354" i="4" s="1"/>
  <c r="AS193" i="9"/>
  <c r="AS196" i="9" s="1"/>
  <c r="AW158" i="9"/>
  <c r="AW155" i="9"/>
  <c r="BB350" i="4"/>
  <c r="BB17" i="9"/>
  <c r="BB49" i="9"/>
  <c r="BB66" i="9" s="1"/>
  <c r="BB72" i="9" s="1"/>
  <c r="BB131" i="9"/>
  <c r="BB41" i="9"/>
  <c r="BB102" i="9"/>
  <c r="BD19" i="9"/>
  <c r="BG41" i="9" s="1"/>
  <c r="BF138" i="9"/>
  <c r="BF129" i="9"/>
  <c r="AP115" i="4"/>
  <c r="AP63" i="4"/>
  <c r="AP105" i="4"/>
  <c r="AP120" i="4"/>
  <c r="AP98" i="4"/>
  <c r="AP68" i="4"/>
  <c r="AZ120" i="9"/>
  <c r="AW187" i="9"/>
  <c r="AW184" i="9"/>
  <c r="BA111" i="9"/>
  <c r="BA60" i="9"/>
  <c r="AS158" i="9"/>
  <c r="AS155" i="9"/>
  <c r="BF166" i="9"/>
  <c r="BF168" i="9" s="1"/>
  <c r="BF58" i="4"/>
  <c r="BF12" i="9"/>
  <c r="BF40" i="9"/>
  <c r="BG351" i="4"/>
  <c r="BY20" i="9"/>
  <c r="AU183" i="9"/>
  <c r="AZ171" i="9"/>
  <c r="AZ170" i="9"/>
  <c r="AZ169" i="9"/>
  <c r="AZ150" i="9"/>
  <c r="BF241" i="4"/>
  <c r="BE238" i="4"/>
  <c r="BA138" i="4"/>
  <c r="BF94" i="4" l="1"/>
  <c r="BU52" i="9"/>
  <c r="BU57" i="9" s="1"/>
  <c r="BG67" i="9"/>
  <c r="BG73" i="9" s="1"/>
  <c r="BY30" i="9" s="1"/>
  <c r="AZ182" i="9"/>
  <c r="BC54" i="9"/>
  <c r="BB67" i="9"/>
  <c r="BB73" i="9" s="1"/>
  <c r="BC129" i="9"/>
  <c r="BC137" i="9" s="1"/>
  <c r="BE65" i="9"/>
  <c r="BE69" i="9" s="1"/>
  <c r="BF106" i="9"/>
  <c r="BF154" i="9"/>
  <c r="BC106" i="9"/>
  <c r="AZ181" i="9"/>
  <c r="AZ188" i="9" s="1"/>
  <c r="BG127" i="4"/>
  <c r="AZ151" i="9"/>
  <c r="AZ155" i="9" s="1"/>
  <c r="AZ159" i="9"/>
  <c r="AZ183" i="9"/>
  <c r="BF152" i="9"/>
  <c r="BF159" i="9" s="1"/>
  <c r="BC55" i="9"/>
  <c r="BC65" i="9"/>
  <c r="BC69" i="9" s="1"/>
  <c r="AZ172" i="9"/>
  <c r="BC58" i="9"/>
  <c r="BF153" i="9"/>
  <c r="BC191" i="9"/>
  <c r="BU54" i="9"/>
  <c r="BU59" i="9" s="1"/>
  <c r="BE58" i="4"/>
  <c r="BG164" i="9"/>
  <c r="BE44" i="4"/>
  <c r="BE118" i="9"/>
  <c r="BG118" i="9" s="1"/>
  <c r="BE119" i="9"/>
  <c r="BG119" i="9" s="1"/>
  <c r="BE117" i="9"/>
  <c r="BG117" i="9" s="1"/>
  <c r="BG116" i="9"/>
  <c r="AH102" i="4"/>
  <c r="AH48" i="4"/>
  <c r="AH112" i="4"/>
  <c r="AH95" i="4"/>
  <c r="AH45" i="4"/>
  <c r="AM304" i="4"/>
  <c r="AM103" i="4"/>
  <c r="AM47" i="4"/>
  <c r="AM96" i="4"/>
  <c r="AM57" i="4"/>
  <c r="AK114" i="4"/>
  <c r="AK97" i="4"/>
  <c r="AK64" i="4"/>
  <c r="AK104" i="4"/>
  <c r="BG29" i="4"/>
  <c r="BE117" i="4" s="1"/>
  <c r="BG212" i="9"/>
  <c r="BY18" i="9"/>
  <c r="BG215" i="9"/>
  <c r="BG38" i="9"/>
  <c r="AY129" i="9"/>
  <c r="AY150" i="9" s="1"/>
  <c r="AY138" i="9"/>
  <c r="BA130" i="9"/>
  <c r="BA138" i="9" s="1"/>
  <c r="AT184" i="9"/>
  <c r="AT187" i="9"/>
  <c r="AW198" i="9"/>
  <c r="AW67" i="4"/>
  <c r="AW84" i="4" s="1"/>
  <c r="AY58" i="4"/>
  <c r="BA164" i="9"/>
  <c r="AY159" i="4"/>
  <c r="AY143" i="4"/>
  <c r="AY69" i="9"/>
  <c r="AY71" i="9"/>
  <c r="AY353" i="4" s="1"/>
  <c r="AY49" i="4"/>
  <c r="BA162" i="9"/>
  <c r="AY166" i="9"/>
  <c r="AY168" i="9" s="1"/>
  <c r="AS228" i="4"/>
  <c r="AQ228" i="4"/>
  <c r="AU158" i="9"/>
  <c r="AU155" i="9"/>
  <c r="BC166" i="9"/>
  <c r="BC168" i="9" s="1"/>
  <c r="BC58" i="4"/>
  <c r="BC5" i="9"/>
  <c r="BC12" i="9"/>
  <c r="BC13" i="9" s="1"/>
  <c r="BC352" i="4"/>
  <c r="BC87" i="9"/>
  <c r="BC86" i="9"/>
  <c r="BC90" i="9"/>
  <c r="BC81" i="9"/>
  <c r="BC30" i="4"/>
  <c r="BC94" i="4"/>
  <c r="BC108" i="4"/>
  <c r="BC262" i="4"/>
  <c r="BC263" i="4"/>
  <c r="BF170" i="9"/>
  <c r="BF171" i="9"/>
  <c r="BF169" i="9"/>
  <c r="BE12" i="9"/>
  <c r="BG4" i="9"/>
  <c r="AL96" i="4"/>
  <c r="AK56" i="4"/>
  <c r="AL47" i="4"/>
  <c r="AL304" i="4"/>
  <c r="AL103" i="4"/>
  <c r="AL57" i="4"/>
  <c r="BD131" i="9"/>
  <c r="BB130" i="9"/>
  <c r="AS198" i="9"/>
  <c r="AS67" i="4"/>
  <c r="AS84" i="4" s="1"/>
  <c r="BE49" i="4"/>
  <c r="BG162" i="9"/>
  <c r="BE166" i="9"/>
  <c r="BE168" i="9" s="1"/>
  <c r="BE42" i="4"/>
  <c r="BE352" i="4"/>
  <c r="BE81" i="9"/>
  <c r="BE86" i="9"/>
  <c r="BE87" i="9"/>
  <c r="BG77" i="9"/>
  <c r="AM114" i="4"/>
  <c r="BD60" i="9"/>
  <c r="AN120" i="4"/>
  <c r="AX158" i="9"/>
  <c r="AX155" i="9"/>
  <c r="BE43" i="4"/>
  <c r="BE105" i="9"/>
  <c r="BG101" i="9"/>
  <c r="AY43" i="4"/>
  <c r="AY106" i="9"/>
  <c r="AY105" i="9"/>
  <c r="BA101" i="9"/>
  <c r="BW24" i="9"/>
  <c r="BA72" i="9"/>
  <c r="BW29" i="9" s="1"/>
  <c r="AY5" i="9"/>
  <c r="BA4" i="9"/>
  <c r="AY12" i="9"/>
  <c r="AY13" i="9" s="1"/>
  <c r="AU180" i="9"/>
  <c r="BE129" i="9"/>
  <c r="BE138" i="9"/>
  <c r="BG130" i="9"/>
  <c r="BG138" i="9" s="1"/>
  <c r="BC49" i="4"/>
  <c r="BC118" i="9"/>
  <c r="BC117" i="9"/>
  <c r="BC119" i="9"/>
  <c r="BV51" i="9"/>
  <c r="BV56" i="9" s="1"/>
  <c r="AX193" i="9"/>
  <c r="AX196" i="9" s="1"/>
  <c r="AX186" i="9"/>
  <c r="AX354" i="4" s="1"/>
  <c r="BF150" i="9"/>
  <c r="BF137" i="9"/>
  <c r="BD350" i="4"/>
  <c r="BD17" i="9"/>
  <c r="BG40" i="9" s="1"/>
  <c r="BX19" i="9"/>
  <c r="BD41" i="9"/>
  <c r="BD49" i="9"/>
  <c r="BD66" i="9" s="1"/>
  <c r="BB48" i="9"/>
  <c r="BE55" i="9" s="1"/>
  <c r="BE108" i="4"/>
  <c r="BE111" i="4"/>
  <c r="BE32" i="4"/>
  <c r="BE262" i="4"/>
  <c r="BE263" i="4"/>
  <c r="AN104" i="4"/>
  <c r="AN64" i="4"/>
  <c r="AN114" i="4"/>
  <c r="AN97" i="4"/>
  <c r="AR184" i="9"/>
  <c r="AR187" i="9"/>
  <c r="BD111" i="9"/>
  <c r="AO56" i="4"/>
  <c r="AO104" i="4"/>
  <c r="AO64" i="4"/>
  <c r="AO97" i="4"/>
  <c r="AV198" i="9"/>
  <c r="AV67" i="4"/>
  <c r="AV84" i="4" s="1"/>
  <c r="BG72" i="9"/>
  <c r="BY29" i="9" s="1"/>
  <c r="BY24" i="9"/>
  <c r="BG247" i="9"/>
  <c r="BG248" i="9" s="1"/>
  <c r="AR198" i="9"/>
  <c r="AR67" i="4"/>
  <c r="BG59" i="9"/>
  <c r="BG48" i="9"/>
  <c r="AY44" i="4"/>
  <c r="AY119" i="9"/>
  <c r="BA119" i="9" s="1"/>
  <c r="AY118" i="9"/>
  <c r="BA118" i="9" s="1"/>
  <c r="AY117" i="9"/>
  <c r="BA117" i="9" s="1"/>
  <c r="BA116" i="9"/>
  <c r="AY352" i="4"/>
  <c r="AY42" i="4"/>
  <c r="AY86" i="9"/>
  <c r="BA77" i="9"/>
  <c r="AY87" i="9"/>
  <c r="AY90" i="9"/>
  <c r="AY81" i="9"/>
  <c r="AU192" i="9"/>
  <c r="BA73" i="9"/>
  <c r="BW30" i="9" s="1"/>
  <c r="BW25" i="9"/>
  <c r="BA48" i="9"/>
  <c r="BA65" i="9" s="1"/>
  <c r="BA59" i="9"/>
  <c r="AZ157" i="9"/>
  <c r="AZ179" i="9"/>
  <c r="AP97" i="4"/>
  <c r="AP64" i="4"/>
  <c r="AP114" i="4"/>
  <c r="AP104" i="4"/>
  <c r="AP56" i="4"/>
  <c r="BB101" i="9"/>
  <c r="BD102" i="9"/>
  <c r="BD110" i="9" s="1"/>
  <c r="BB29" i="4"/>
  <c r="BC111" i="4" s="1"/>
  <c r="BB212" i="9"/>
  <c r="BB129" i="4" s="1"/>
  <c r="BB159" i="4" s="1"/>
  <c r="BB40" i="9"/>
  <c r="BB215" i="9"/>
  <c r="BB131" i="4" s="1"/>
  <c r="BB4" i="9"/>
  <c r="BB134" i="9"/>
  <c r="BD134" i="9" s="1"/>
  <c r="BB38" i="9"/>
  <c r="BB116" i="9"/>
  <c r="BB247" i="9"/>
  <c r="BB77" i="9"/>
  <c r="BB162" i="9"/>
  <c r="BB164" i="9"/>
  <c r="BE40" i="9"/>
  <c r="BD351" i="4"/>
  <c r="BX20" i="9"/>
  <c r="BD67" i="9"/>
  <c r="BD42" i="9"/>
  <c r="AS184" i="9"/>
  <c r="AS187" i="9"/>
  <c r="AX188" i="9"/>
  <c r="BV52" i="9"/>
  <c r="BV57" i="9" s="1"/>
  <c r="AX192" i="9"/>
  <c r="AX180" i="9"/>
  <c r="BF88" i="9"/>
  <c r="AJ112" i="4"/>
  <c r="AU193" i="9"/>
  <c r="AU196" i="9" s="1"/>
  <c r="AU186" i="9"/>
  <c r="AU354" i="4" s="1"/>
  <c r="BU51" i="9"/>
  <c r="BU56" i="9" s="1"/>
  <c r="BE41" i="4"/>
  <c r="BE54" i="9"/>
  <c r="BE58" i="9"/>
  <c r="BA29" i="4"/>
  <c r="AY117" i="4" s="1"/>
  <c r="BA40" i="9"/>
  <c r="BA38" i="9"/>
  <c r="BA215" i="9"/>
  <c r="BW18" i="9"/>
  <c r="BA212" i="9"/>
  <c r="BA247" i="9"/>
  <c r="BA248" i="9" s="1"/>
  <c r="AY127" i="4"/>
  <c r="BA127" i="4" s="1"/>
  <c r="AY111" i="4"/>
  <c r="AY108" i="4"/>
  <c r="AY94" i="4"/>
  <c r="AY32" i="4"/>
  <c r="AY30" i="4"/>
  <c r="AY262" i="4"/>
  <c r="AY263" i="4"/>
  <c r="AZ111" i="4"/>
  <c r="BF120" i="9"/>
  <c r="BF69" i="9"/>
  <c r="BF71" i="9"/>
  <c r="BF353" i="4" s="1"/>
  <c r="AY191" i="9"/>
  <c r="AY41" i="4"/>
  <c r="AY55" i="9"/>
  <c r="AY54" i="9"/>
  <c r="AY58" i="9"/>
  <c r="AT98" i="4"/>
  <c r="AT68" i="4"/>
  <c r="AT105" i="4"/>
  <c r="AE102" i="4"/>
  <c r="AE48" i="4"/>
  <c r="AE112" i="4"/>
  <c r="AE45" i="4"/>
  <c r="AG112" i="4"/>
  <c r="BG241" i="4"/>
  <c r="BG238" i="4" s="1"/>
  <c r="BF238" i="4"/>
  <c r="BB138" i="4"/>
  <c r="BY25" i="9" l="1"/>
  <c r="AZ180" i="9"/>
  <c r="AZ184" i="9" s="1"/>
  <c r="BE71" i="9"/>
  <c r="BE353" i="4" s="1"/>
  <c r="BF13" i="9"/>
  <c r="BC150" i="9"/>
  <c r="BC179" i="9" s="1"/>
  <c r="AZ158" i="9"/>
  <c r="BC71" i="9"/>
  <c r="BC353" i="4" s="1"/>
  <c r="BF183" i="9"/>
  <c r="AY122" i="4"/>
  <c r="BB191" i="9"/>
  <c r="BB65" i="9"/>
  <c r="BB71" i="9" s="1"/>
  <c r="BB353" i="4" s="1"/>
  <c r="BF181" i="9"/>
  <c r="BF188" i="9" s="1"/>
  <c r="AZ192" i="9"/>
  <c r="BF151" i="9"/>
  <c r="BF158" i="9" s="1"/>
  <c r="BC88" i="9"/>
  <c r="BE122" i="4"/>
  <c r="BF182" i="9"/>
  <c r="BE120" i="9"/>
  <c r="AT115" i="4"/>
  <c r="BD73" i="9"/>
  <c r="BX30" i="9" s="1"/>
  <c r="BX25" i="9"/>
  <c r="BB352" i="4"/>
  <c r="BB42" i="4"/>
  <c r="BD77" i="9"/>
  <c r="BG90" i="9" s="1"/>
  <c r="BB87" i="9"/>
  <c r="BB81" i="9"/>
  <c r="BB86" i="9"/>
  <c r="BB90" i="9"/>
  <c r="BA191" i="9"/>
  <c r="BA41" i="4"/>
  <c r="AZ41" i="4" s="1"/>
  <c r="BA54" i="9"/>
  <c r="BA58" i="9"/>
  <c r="BA55" i="9"/>
  <c r="BA42" i="4"/>
  <c r="AZ42" i="4" s="1"/>
  <c r="BA352" i="4"/>
  <c r="BW34" i="9"/>
  <c r="BW42" i="9" s="1"/>
  <c r="BA90" i="9"/>
  <c r="AY120" i="9"/>
  <c r="AR63" i="4"/>
  <c r="AR98" i="4"/>
  <c r="AR68" i="4"/>
  <c r="AR120" i="4"/>
  <c r="BT61" i="9"/>
  <c r="AR105" i="4"/>
  <c r="AQ118" i="4"/>
  <c r="AP118" i="4"/>
  <c r="BE94" i="4"/>
  <c r="BB41" i="4"/>
  <c r="BB55" i="9"/>
  <c r="BB54" i="9"/>
  <c r="BB58" i="9"/>
  <c r="BC120" i="9"/>
  <c r="BE154" i="9"/>
  <c r="BG87" i="9"/>
  <c r="BB129" i="9"/>
  <c r="BB138" i="9"/>
  <c r="BD130" i="9"/>
  <c r="BD138" i="9" s="1"/>
  <c r="AK103" i="4"/>
  <c r="AK96" i="4"/>
  <c r="AK113" i="4"/>
  <c r="AK57" i="4"/>
  <c r="AK304" i="4"/>
  <c r="BA58" i="4"/>
  <c r="BA165" i="9"/>
  <c r="BF212" i="9"/>
  <c r="BF129" i="4" s="1"/>
  <c r="BF159" i="4" s="1"/>
  <c r="BG129" i="4"/>
  <c r="AM113" i="4"/>
  <c r="AZ212" i="9"/>
  <c r="AZ129" i="4" s="1"/>
  <c r="BA129" i="4"/>
  <c r="BB49" i="4"/>
  <c r="BB166" i="9"/>
  <c r="BB168" i="9" s="1"/>
  <c r="BB30" i="4"/>
  <c r="BB94" i="4"/>
  <c r="BB32" i="4"/>
  <c r="BB111" i="4"/>
  <c r="BB108" i="4"/>
  <c r="BB262" i="4"/>
  <c r="BB263" i="4"/>
  <c r="AZ186" i="9"/>
  <c r="AZ354" i="4" s="1"/>
  <c r="AZ193" i="9"/>
  <c r="AZ196" i="9" s="1"/>
  <c r="BA87" i="9"/>
  <c r="AY154" i="9"/>
  <c r="AY179" i="9"/>
  <c r="AY157" i="9"/>
  <c r="AZ215" i="9"/>
  <c r="AZ131" i="4" s="1"/>
  <c r="BA131" i="4"/>
  <c r="AU198" i="9"/>
  <c r="AU67" i="4"/>
  <c r="AS118" i="4" s="1"/>
  <c r="AX184" i="9"/>
  <c r="AX187" i="9"/>
  <c r="BB58" i="4"/>
  <c r="BD164" i="9"/>
  <c r="BB43" i="4"/>
  <c r="BB106" i="9"/>
  <c r="BB105" i="9"/>
  <c r="BD101" i="9"/>
  <c r="BG106" i="9" s="1"/>
  <c r="AY88" i="9"/>
  <c r="BA81" i="9"/>
  <c r="AY152" i="9"/>
  <c r="BA86" i="9"/>
  <c r="AY153" i="9"/>
  <c r="BA44" i="4"/>
  <c r="AZ44" i="4" s="1"/>
  <c r="BW36" i="9"/>
  <c r="BW44" i="9" s="1"/>
  <c r="BA120" i="9"/>
  <c r="AR84" i="4"/>
  <c r="AV98" i="4"/>
  <c r="AV63" i="4"/>
  <c r="AV68" i="4"/>
  <c r="AV105" i="4"/>
  <c r="AV115" i="4"/>
  <c r="AV120" i="4"/>
  <c r="BE30" i="4"/>
  <c r="BD59" i="9"/>
  <c r="BD48" i="9"/>
  <c r="BD191" i="9" s="1"/>
  <c r="BD29" i="4"/>
  <c r="BG30" i="4" s="1"/>
  <c r="BD40" i="9"/>
  <c r="BD215" i="9"/>
  <c r="BX18" i="9"/>
  <c r="BD212" i="9"/>
  <c r="BD38" i="9"/>
  <c r="AU187" i="9"/>
  <c r="AU184" i="9"/>
  <c r="BE90" i="9"/>
  <c r="BG12" i="9"/>
  <c r="BF172" i="9"/>
  <c r="BC153" i="9"/>
  <c r="AU228" i="4"/>
  <c r="AY169" i="9"/>
  <c r="BA169" i="9" s="1"/>
  <c r="AY170" i="9"/>
  <c r="BA170" i="9" s="1"/>
  <c r="AY171" i="9"/>
  <c r="BA171" i="9" s="1"/>
  <c r="BA129" i="9"/>
  <c r="AY137" i="9"/>
  <c r="BG58" i="4"/>
  <c r="BG165" i="9"/>
  <c r="BW23" i="9"/>
  <c r="BA69" i="9"/>
  <c r="BA71" i="9"/>
  <c r="BA108" i="4"/>
  <c r="BA32" i="4"/>
  <c r="BA94" i="4"/>
  <c r="BA30" i="4"/>
  <c r="BA262" i="4"/>
  <c r="BA263" i="4"/>
  <c r="AZ117" i="4"/>
  <c r="BD247" i="9"/>
  <c r="BD248" i="9" s="1"/>
  <c r="BB127" i="4"/>
  <c r="BD127" i="4" s="1"/>
  <c r="BB5" i="9"/>
  <c r="BD4" i="9"/>
  <c r="BB12" i="9"/>
  <c r="BB13" i="9" s="1"/>
  <c r="AP47" i="4"/>
  <c r="AP103" i="4"/>
  <c r="AP304" i="4"/>
  <c r="AP96" i="4"/>
  <c r="AP57" i="4"/>
  <c r="BG41" i="4"/>
  <c r="BF41" i="4" s="1"/>
  <c r="BG54" i="9"/>
  <c r="BG58" i="9"/>
  <c r="BD72" i="9"/>
  <c r="BX29" i="9" s="1"/>
  <c r="BX24" i="9"/>
  <c r="BF157" i="9"/>
  <c r="BF179" i="9"/>
  <c r="BE137" i="9"/>
  <c r="BG129" i="9"/>
  <c r="BE150" i="9"/>
  <c r="BA43" i="4"/>
  <c r="AZ43" i="4" s="1"/>
  <c r="BA109" i="9"/>
  <c r="BC109" i="9" s="1"/>
  <c r="BE109" i="9" s="1"/>
  <c r="BG109" i="9" s="1"/>
  <c r="BA106" i="9"/>
  <c r="BW35" i="9"/>
  <c r="BW43" i="9" s="1"/>
  <c r="BA105" i="9"/>
  <c r="BG43" i="4"/>
  <c r="BF43" i="4" s="1"/>
  <c r="BY35" i="9"/>
  <c r="BY43" i="9" s="1"/>
  <c r="BG105" i="9"/>
  <c r="BG86" i="9"/>
  <c r="BE153" i="9"/>
  <c r="BE170" i="9"/>
  <c r="BG170" i="9" s="1"/>
  <c r="BE171" i="9"/>
  <c r="BG171" i="9" s="1"/>
  <c r="BE169" i="9"/>
  <c r="BG169" i="9" s="1"/>
  <c r="AS68" i="4"/>
  <c r="AS105" i="4"/>
  <c r="AS63" i="4"/>
  <c r="AS120" i="4"/>
  <c r="AS98" i="4"/>
  <c r="AS115" i="4"/>
  <c r="BC154" i="9"/>
  <c r="BA49" i="4"/>
  <c r="BA163" i="9"/>
  <c r="BA166" i="9"/>
  <c r="BG191" i="9"/>
  <c r="BF215" i="9"/>
  <c r="BF131" i="4" s="1"/>
  <c r="BG131" i="4"/>
  <c r="BB44" i="4"/>
  <c r="BB117" i="9"/>
  <c r="BD117" i="9" s="1"/>
  <c r="BB118" i="9"/>
  <c r="BD118" i="9" s="1"/>
  <c r="BD116" i="9"/>
  <c r="BB119" i="9"/>
  <c r="BD119" i="9" s="1"/>
  <c r="AO57" i="4"/>
  <c r="AO47" i="4"/>
  <c r="AO103" i="4"/>
  <c r="AO304" i="4"/>
  <c r="AN56" i="4"/>
  <c r="AP113" i="4" s="1"/>
  <c r="AO96" i="4"/>
  <c r="AX198" i="9"/>
  <c r="AX67" i="4"/>
  <c r="AW118" i="4" s="1"/>
  <c r="BD162" i="9"/>
  <c r="BA5" i="9"/>
  <c r="BA12" i="9"/>
  <c r="BA13" i="9" s="1"/>
  <c r="BE106" i="9"/>
  <c r="BG42" i="4"/>
  <c r="BF42" i="4" s="1"/>
  <c r="BG352" i="4"/>
  <c r="BY34" i="9"/>
  <c r="BY42" i="9" s="1"/>
  <c r="BE88" i="9"/>
  <c r="BG81" i="9"/>
  <c r="BE152" i="9"/>
  <c r="BG49" i="4"/>
  <c r="BG163" i="9"/>
  <c r="BG166" i="9"/>
  <c r="AL95" i="4"/>
  <c r="AL102" i="4"/>
  <c r="AL48" i="4"/>
  <c r="AK47" i="4"/>
  <c r="AM112" i="4" s="1"/>
  <c r="AL45" i="4"/>
  <c r="AL40" i="4" s="1"/>
  <c r="AK40" i="4" s="1"/>
  <c r="BE5" i="9"/>
  <c r="BC152" i="9"/>
  <c r="BC171" i="9"/>
  <c r="BC170" i="9"/>
  <c r="BC169" i="9"/>
  <c r="AW98" i="4"/>
  <c r="AW115" i="4"/>
  <c r="AW105" i="4"/>
  <c r="AW68" i="4"/>
  <c r="BG65" i="9"/>
  <c r="BG32" i="4"/>
  <c r="BG108" i="4"/>
  <c r="BG262" i="4"/>
  <c r="BG263" i="4"/>
  <c r="BF117" i="4"/>
  <c r="AM102" i="4"/>
  <c r="AM95" i="4"/>
  <c r="AM48" i="4"/>
  <c r="AM45" i="4"/>
  <c r="AM40" i="4" s="1"/>
  <c r="BG44" i="4"/>
  <c r="BF44" i="4" s="1"/>
  <c r="BG120" i="9"/>
  <c r="BY36" i="9"/>
  <c r="BY44" i="9" s="1"/>
  <c r="BC138" i="4"/>
  <c r="BB143" i="4"/>
  <c r="BF155" i="9" l="1"/>
  <c r="AZ187" i="9"/>
  <c r="BE13" i="9"/>
  <c r="BF192" i="9"/>
  <c r="BG55" i="9"/>
  <c r="BC157" i="9"/>
  <c r="BF180" i="9"/>
  <c r="BF184" i="9" s="1"/>
  <c r="BB69" i="9"/>
  <c r="BG94" i="4"/>
  <c r="BG122" i="4"/>
  <c r="BC183" i="9"/>
  <c r="BC172" i="9"/>
  <c r="BC182" i="9"/>
  <c r="BG88" i="9"/>
  <c r="AX84" i="4"/>
  <c r="BA88" i="9"/>
  <c r="BC151" i="9"/>
  <c r="BC159" i="9"/>
  <c r="BD44" i="4"/>
  <c r="BC44" i="4" s="1"/>
  <c r="BD120" i="9"/>
  <c r="BX36" i="9"/>
  <c r="BX44" i="9" s="1"/>
  <c r="AZ32" i="4"/>
  <c r="BA137" i="9"/>
  <c r="BW38" i="9"/>
  <c r="BW47" i="9" s="1"/>
  <c r="BA150" i="9"/>
  <c r="BD65" i="9"/>
  <c r="BD108" i="4"/>
  <c r="BD30" i="4"/>
  <c r="BD94" i="4"/>
  <c r="BD32" i="4"/>
  <c r="BD262" i="4"/>
  <c r="BD263" i="4"/>
  <c r="BC117" i="4"/>
  <c r="AV118" i="4"/>
  <c r="BA97" i="9"/>
  <c r="BA153" i="9"/>
  <c r="BA182" i="9" s="1"/>
  <c r="AY193" i="9"/>
  <c r="AY196" i="9" s="1"/>
  <c r="AY186" i="9"/>
  <c r="AY354" i="4" s="1"/>
  <c r="AY183" i="9"/>
  <c r="AZ198" i="9"/>
  <c r="AZ67" i="4"/>
  <c r="BB117" i="4"/>
  <c r="BA159" i="4"/>
  <c r="BA143" i="4"/>
  <c r="BG159" i="4"/>
  <c r="BD352" i="4"/>
  <c r="BD42" i="4"/>
  <c r="BC42" i="4" s="1"/>
  <c r="BD90" i="9"/>
  <c r="BX34" i="9"/>
  <c r="BX42" i="9" s="1"/>
  <c r="BC181" i="9"/>
  <c r="BF32" i="4"/>
  <c r="AK48" i="4"/>
  <c r="AK112" i="4"/>
  <c r="AK95" i="4"/>
  <c r="AK102" i="4"/>
  <c r="AK45" i="4"/>
  <c r="BE159" i="9"/>
  <c r="BE151" i="9"/>
  <c r="BE181" i="9"/>
  <c r="BD49" i="4"/>
  <c r="BD163" i="9"/>
  <c r="BD166" i="9"/>
  <c r="BA122" i="4"/>
  <c r="AS56" i="4"/>
  <c r="AS64" i="4"/>
  <c r="AS104" i="4"/>
  <c r="AS97" i="4"/>
  <c r="BE172" i="9"/>
  <c r="BE182" i="9"/>
  <c r="BF193" i="9"/>
  <c r="BF196" i="9" s="1"/>
  <c r="BF186" i="9"/>
  <c r="BF354" i="4" s="1"/>
  <c r="AP102" i="4"/>
  <c r="AP95" i="4"/>
  <c r="AP48" i="4"/>
  <c r="AP45" i="4"/>
  <c r="AP40" i="4" s="1"/>
  <c r="BW28" i="9"/>
  <c r="BA353" i="4"/>
  <c r="AY172" i="9"/>
  <c r="BC215" i="9"/>
  <c r="BC131" i="4" s="1"/>
  <c r="BD131" i="4"/>
  <c r="AY181" i="9"/>
  <c r="AY151" i="9"/>
  <c r="AY159" i="9"/>
  <c r="BA98" i="9"/>
  <c r="BA154" i="9"/>
  <c r="BA183" i="9" s="1"/>
  <c r="AZ159" i="4"/>
  <c r="AZ143" i="4"/>
  <c r="BG154" i="9"/>
  <c r="BG183" i="9" s="1"/>
  <c r="BG98" i="9"/>
  <c r="AR97" i="4"/>
  <c r="AR56" i="4"/>
  <c r="AQ63" i="4"/>
  <c r="AS114" i="4" s="1"/>
  <c r="AR64" i="4"/>
  <c r="AR104" i="4"/>
  <c r="BD86" i="9"/>
  <c r="BB153" i="9"/>
  <c r="BB88" i="9"/>
  <c r="BG69" i="9"/>
  <c r="BG71" i="9"/>
  <c r="BY23" i="9"/>
  <c r="BG168" i="9"/>
  <c r="BG96" i="9"/>
  <c r="BG152" i="9"/>
  <c r="BG181" i="9" s="1"/>
  <c r="AX98" i="4"/>
  <c r="AX68" i="4"/>
  <c r="BV61" i="9"/>
  <c r="AX105" i="4"/>
  <c r="AX63" i="4"/>
  <c r="AX120" i="4"/>
  <c r="AO48" i="4"/>
  <c r="AO102" i="4"/>
  <c r="AN47" i="4"/>
  <c r="AP112" i="4" s="1"/>
  <c r="AO95" i="4"/>
  <c r="AO45" i="4"/>
  <c r="AO40" i="4" s="1"/>
  <c r="AN40" i="4" s="1"/>
  <c r="BB120" i="9"/>
  <c r="BG97" i="9"/>
  <c r="BG153" i="9"/>
  <c r="BG182" i="9" s="1"/>
  <c r="BE157" i="9"/>
  <c r="BE179" i="9"/>
  <c r="BD41" i="4"/>
  <c r="BC41" i="4" s="1"/>
  <c r="BD55" i="9"/>
  <c r="BD54" i="9"/>
  <c r="BD58" i="9"/>
  <c r="BA96" i="9"/>
  <c r="BA152" i="9"/>
  <c r="BA181" i="9" s="1"/>
  <c r="AU120" i="4"/>
  <c r="AU68" i="4"/>
  <c r="AU105" i="4"/>
  <c r="BU61" i="9"/>
  <c r="AU98" i="4"/>
  <c r="AU63" i="4"/>
  <c r="AT118" i="4"/>
  <c r="BC186" i="9"/>
  <c r="BC354" i="4" s="1"/>
  <c r="BC193" i="9"/>
  <c r="BC196" i="9" s="1"/>
  <c r="BB171" i="9"/>
  <c r="BD171" i="9" s="1"/>
  <c r="BB169" i="9"/>
  <c r="BD169" i="9" s="1"/>
  <c r="BB170" i="9"/>
  <c r="BD170" i="9" s="1"/>
  <c r="BE183" i="9"/>
  <c r="AQ120" i="4"/>
  <c r="BD81" i="9"/>
  <c r="BB152" i="9"/>
  <c r="AN113" i="4"/>
  <c r="AN304" i="4"/>
  <c r="AN103" i="4"/>
  <c r="AN96" i="4"/>
  <c r="AN57" i="4"/>
  <c r="BA168" i="9"/>
  <c r="BG150" i="9"/>
  <c r="BG137" i="9"/>
  <c r="BY38" i="9"/>
  <c r="BY47" i="9" s="1"/>
  <c r="BD5" i="9"/>
  <c r="BD12" i="9"/>
  <c r="BD13" i="9" s="1"/>
  <c r="AT228" i="4"/>
  <c r="AV228" i="4"/>
  <c r="BG5" i="9"/>
  <c r="BC212" i="9"/>
  <c r="BC129" i="4" s="1"/>
  <c r="BC159" i="4" s="1"/>
  <c r="BD129" i="4"/>
  <c r="AV64" i="4"/>
  <c r="AV56" i="4"/>
  <c r="AV97" i="4"/>
  <c r="AV104" i="4"/>
  <c r="AY182" i="9"/>
  <c r="BD43" i="4"/>
  <c r="BC43" i="4" s="1"/>
  <c r="BD109" i="9"/>
  <c r="BF109" i="9" s="1"/>
  <c r="BD106" i="9"/>
  <c r="BX35" i="9"/>
  <c r="BX43" i="9" s="1"/>
  <c r="BD105" i="9"/>
  <c r="BD58" i="4"/>
  <c r="BD165" i="9"/>
  <c r="AU84" i="4"/>
  <c r="BB122" i="4"/>
  <c r="BB137" i="9"/>
  <c r="BD129" i="9"/>
  <c r="BD150" i="9" s="1"/>
  <c r="BD87" i="9"/>
  <c r="BB154" i="9"/>
  <c r="BB150" i="9"/>
  <c r="BD138" i="4"/>
  <c r="BF187" i="9" l="1"/>
  <c r="BF122" i="4"/>
  <c r="BD157" i="9"/>
  <c r="BG180" i="9"/>
  <c r="BY52" i="9"/>
  <c r="BY57" i="9" s="1"/>
  <c r="BG192" i="9"/>
  <c r="BG188" i="9"/>
  <c r="BY53" i="9"/>
  <c r="BY58" i="9" s="1"/>
  <c r="BA188" i="9"/>
  <c r="BA180" i="9"/>
  <c r="BW52" i="9"/>
  <c r="BW57" i="9" s="1"/>
  <c r="BA192" i="9"/>
  <c r="AX228" i="4"/>
  <c r="BG157" i="9"/>
  <c r="BG179" i="9"/>
  <c r="BD96" i="9"/>
  <c r="BD152" i="9"/>
  <c r="BD181" i="9" s="1"/>
  <c r="BB172" i="9"/>
  <c r="BC198" i="9"/>
  <c r="BC67" i="4"/>
  <c r="BC84" i="4" s="1"/>
  <c r="BG13" i="9"/>
  <c r="BY28" i="9"/>
  <c r="BG353" i="4"/>
  <c r="BD97" i="9"/>
  <c r="BD153" i="9"/>
  <c r="BD182" i="9" s="1"/>
  <c r="AZ122" i="4"/>
  <c r="BD168" i="9"/>
  <c r="BE158" i="9"/>
  <c r="BE155" i="9"/>
  <c r="BD98" i="9"/>
  <c r="BD154" i="9"/>
  <c r="BD183" i="9" s="1"/>
  <c r="BB157" i="9"/>
  <c r="BB179" i="9"/>
  <c r="AV96" i="4"/>
  <c r="AV103" i="4"/>
  <c r="AV47" i="4"/>
  <c r="AV57" i="4"/>
  <c r="AV304" i="4"/>
  <c r="BY54" i="9"/>
  <c r="BY59" i="9" s="1"/>
  <c r="BA172" i="9"/>
  <c r="AU97" i="4"/>
  <c r="AU64" i="4"/>
  <c r="AU104" i="4"/>
  <c r="AT63" i="4"/>
  <c r="AU56" i="4"/>
  <c r="BA151" i="9"/>
  <c r="BA159" i="9"/>
  <c r="BW54" i="9"/>
  <c r="BW59" i="9" s="1"/>
  <c r="AN112" i="4"/>
  <c r="AN48" i="4"/>
  <c r="AN95" i="4"/>
  <c r="AN102" i="4"/>
  <c r="AN45" i="4"/>
  <c r="AW120" i="4"/>
  <c r="AQ114" i="4"/>
  <c r="AQ97" i="4"/>
  <c r="AQ104" i="4"/>
  <c r="AQ64" i="4"/>
  <c r="BC180" i="9"/>
  <c r="BC188" i="9"/>
  <c r="BC192" i="9"/>
  <c r="BW53" i="9"/>
  <c r="BW58" i="9" s="1"/>
  <c r="BA157" i="9"/>
  <c r="BA179" i="9"/>
  <c r="BD137" i="9"/>
  <c r="BX38" i="9"/>
  <c r="BX47" i="9" s="1"/>
  <c r="BC143" i="4"/>
  <c r="BB183" i="9"/>
  <c r="BD159" i="4"/>
  <c r="BE186" i="9"/>
  <c r="BE354" i="4" s="1"/>
  <c r="BE193" i="9"/>
  <c r="BE196" i="9" s="1"/>
  <c r="BG172" i="9"/>
  <c r="AR57" i="4"/>
  <c r="AR304" i="4"/>
  <c r="AQ56" i="4"/>
  <c r="AS113" i="4" s="1"/>
  <c r="AR103" i="4"/>
  <c r="AR47" i="4"/>
  <c r="AR96" i="4"/>
  <c r="AY155" i="9"/>
  <c r="AY158" i="9"/>
  <c r="AS304" i="4"/>
  <c r="AS103" i="4"/>
  <c r="AS57" i="4"/>
  <c r="AS47" i="4"/>
  <c r="AS96" i="4"/>
  <c r="BD122" i="4"/>
  <c r="BD88" i="9"/>
  <c r="AZ68" i="4"/>
  <c r="AZ105" i="4"/>
  <c r="AZ98" i="4"/>
  <c r="BB159" i="9"/>
  <c r="BB151" i="9"/>
  <c r="BB181" i="9"/>
  <c r="AT120" i="4"/>
  <c r="AX104" i="4"/>
  <c r="AX64" i="4"/>
  <c r="AW63" i="4"/>
  <c r="AX97" i="4"/>
  <c r="AX56" i="4"/>
  <c r="BG151" i="9"/>
  <c r="BG159" i="9"/>
  <c r="BB182" i="9"/>
  <c r="AY180" i="9"/>
  <c r="AY188" i="9"/>
  <c r="AY192" i="9"/>
  <c r="BF198" i="9"/>
  <c r="BF67" i="4"/>
  <c r="BE192" i="9"/>
  <c r="BE180" i="9"/>
  <c r="BE188" i="9"/>
  <c r="AZ84" i="4"/>
  <c r="AY198" i="9"/>
  <c r="AY67" i="4"/>
  <c r="AZ115" i="4" s="1"/>
  <c r="BC32" i="4"/>
  <c r="BD71" i="9"/>
  <c r="BD69" i="9"/>
  <c r="BX23" i="9"/>
  <c r="BC158" i="9"/>
  <c r="BC155" i="9"/>
  <c r="BE138" i="4"/>
  <c r="BD143" i="4"/>
  <c r="AY84" i="4" l="1"/>
  <c r="BX54" i="9"/>
  <c r="BX59" i="9" s="1"/>
  <c r="BG158" i="9"/>
  <c r="BG155" i="9"/>
  <c r="AS102" i="4"/>
  <c r="AS48" i="4"/>
  <c r="AS95" i="4"/>
  <c r="AS45" i="4"/>
  <c r="AS40" i="4" s="1"/>
  <c r="AR48" i="4"/>
  <c r="AR95" i="4"/>
  <c r="AR102" i="4"/>
  <c r="AR45" i="4"/>
  <c r="AR40" i="4" s="1"/>
  <c r="AQ40" i="4" s="1"/>
  <c r="AQ47" i="4"/>
  <c r="AS112" i="4" s="1"/>
  <c r="BA193" i="9"/>
  <c r="BA196" i="9" s="1"/>
  <c r="BA186" i="9"/>
  <c r="BA354" i="4" s="1"/>
  <c r="BW51" i="9"/>
  <c r="BW56" i="9" s="1"/>
  <c r="BA158" i="9"/>
  <c r="BA155" i="9"/>
  <c r="AV48" i="4"/>
  <c r="AV102" i="4"/>
  <c r="AV95" i="4"/>
  <c r="AV45" i="4"/>
  <c r="AV40" i="4" s="1"/>
  <c r="BD172" i="9"/>
  <c r="AY184" i="9"/>
  <c r="AY187" i="9"/>
  <c r="AW64" i="4"/>
  <c r="AW104" i="4"/>
  <c r="AW114" i="4"/>
  <c r="AW97" i="4"/>
  <c r="BX28" i="9"/>
  <c r="BD353" i="4"/>
  <c r="AY63" i="4"/>
  <c r="AY68" i="4"/>
  <c r="AY115" i="4"/>
  <c r="AY120" i="4"/>
  <c r="AY105" i="4"/>
  <c r="AY98" i="4"/>
  <c r="AX47" i="4"/>
  <c r="AX304" i="4"/>
  <c r="AW56" i="4"/>
  <c r="AX96" i="4"/>
  <c r="AX57" i="4"/>
  <c r="AX103" i="4"/>
  <c r="BC122" i="4"/>
  <c r="BD188" i="9"/>
  <c r="BD180" i="9"/>
  <c r="BX52" i="9"/>
  <c r="BX57" i="9" s="1"/>
  <c r="BD192" i="9"/>
  <c r="AU57" i="4"/>
  <c r="AU96" i="4"/>
  <c r="AU304" i="4"/>
  <c r="AT56" i="4"/>
  <c r="AU103" i="4"/>
  <c r="AU47" i="4"/>
  <c r="BF68" i="4"/>
  <c r="BF98" i="4"/>
  <c r="BF105" i="4"/>
  <c r="BB180" i="9"/>
  <c r="BB188" i="9"/>
  <c r="BB192" i="9"/>
  <c r="AQ304" i="4"/>
  <c r="AQ57" i="4"/>
  <c r="AQ113" i="4"/>
  <c r="AQ103" i="4"/>
  <c r="AQ96" i="4"/>
  <c r="AT97" i="4"/>
  <c r="AT104" i="4"/>
  <c r="AT114" i="4"/>
  <c r="AT64" i="4"/>
  <c r="AV114" i="4"/>
  <c r="BX53" i="9"/>
  <c r="BX58" i="9" s="1"/>
  <c r="BG193" i="9"/>
  <c r="BG196" i="9" s="1"/>
  <c r="BG186" i="9"/>
  <c r="BG354" i="4" s="1"/>
  <c r="BY51" i="9"/>
  <c r="BY56" i="9" s="1"/>
  <c r="BA184" i="9"/>
  <c r="BA187" i="9"/>
  <c r="BD179" i="9"/>
  <c r="BE184" i="9"/>
  <c r="BE187" i="9"/>
  <c r="BF84" i="4"/>
  <c r="BB155" i="9"/>
  <c r="BB158" i="9"/>
  <c r="BE198" i="9"/>
  <c r="BE67" i="4"/>
  <c r="BE84" i="4" s="1"/>
  <c r="BC184" i="9"/>
  <c r="BC187" i="9"/>
  <c r="BB186" i="9"/>
  <c r="BB354" i="4" s="1"/>
  <c r="BB193" i="9"/>
  <c r="BB196" i="9" s="1"/>
  <c r="BC98" i="4"/>
  <c r="BC68" i="4"/>
  <c r="BC105" i="4"/>
  <c r="BD151" i="9"/>
  <c r="BD159" i="9"/>
  <c r="AW228" i="4"/>
  <c r="AY228" i="4"/>
  <c r="BG184" i="9"/>
  <c r="BG187" i="9"/>
  <c r="BF138" i="4"/>
  <c r="BE143" i="4"/>
  <c r="BA228" i="4" l="1"/>
  <c r="BG198" i="9"/>
  <c r="BG67" i="4"/>
  <c r="BE118" i="4" s="1"/>
  <c r="BB187" i="9"/>
  <c r="BB184" i="9"/>
  <c r="BA198" i="9"/>
  <c r="BA67" i="4"/>
  <c r="BA84" i="4" s="1"/>
  <c r="BD155" i="9"/>
  <c r="BD158" i="9"/>
  <c r="BB198" i="9"/>
  <c r="BB67" i="4"/>
  <c r="BB84" i="4" s="1"/>
  <c r="BE68" i="4"/>
  <c r="BE120" i="4"/>
  <c r="BE63" i="4"/>
  <c r="BE115" i="4"/>
  <c r="BE105" i="4"/>
  <c r="BX51" i="9"/>
  <c r="BX56" i="9" s="1"/>
  <c r="BD193" i="9"/>
  <c r="BD196" i="9" s="1"/>
  <c r="BD186" i="9"/>
  <c r="BD354" i="4" s="1"/>
  <c r="BF115" i="4"/>
  <c r="AT304" i="4"/>
  <c r="AT113" i="4"/>
  <c r="AT103" i="4"/>
  <c r="AT96" i="4"/>
  <c r="AT57" i="4"/>
  <c r="AV113" i="4"/>
  <c r="BD187" i="9"/>
  <c r="BD184" i="9"/>
  <c r="AW113" i="4"/>
  <c r="AW103" i="4"/>
  <c r="AW304" i="4"/>
  <c r="AW57" i="4"/>
  <c r="AW96" i="4"/>
  <c r="AQ95" i="4"/>
  <c r="AQ112" i="4"/>
  <c r="AQ102" i="4"/>
  <c r="AQ48" i="4"/>
  <c r="AQ45" i="4"/>
  <c r="AU95" i="4"/>
  <c r="AU48" i="4"/>
  <c r="AT47" i="4"/>
  <c r="AU102" i="4"/>
  <c r="AU45" i="4"/>
  <c r="AU40" i="4" s="1"/>
  <c r="AT40" i="4" s="1"/>
  <c r="AX102" i="4"/>
  <c r="AX48" i="4"/>
  <c r="AX95" i="4"/>
  <c r="AW47" i="4"/>
  <c r="AX45" i="4"/>
  <c r="AX40" i="4" s="1"/>
  <c r="AW40" i="4" s="1"/>
  <c r="AY104" i="4"/>
  <c r="AY64" i="4"/>
  <c r="AY56" i="4"/>
  <c r="AY97" i="4"/>
  <c r="AY114" i="4"/>
  <c r="BG138" i="4"/>
  <c r="BG143" i="4" s="1"/>
  <c r="BF143" i="4"/>
  <c r="AW48" i="4" l="1"/>
  <c r="AW95" i="4"/>
  <c r="AW102" i="4"/>
  <c r="AW112" i="4"/>
  <c r="AW45" i="4"/>
  <c r="BD198" i="9"/>
  <c r="BD67" i="4"/>
  <c r="BD84" i="4" s="1"/>
  <c r="BE98" i="4"/>
  <c r="BE104" i="4"/>
  <c r="BE64" i="4"/>
  <c r="BE56" i="4"/>
  <c r="BG120" i="4"/>
  <c r="BG63" i="4"/>
  <c r="BY61" i="9"/>
  <c r="BG105" i="4"/>
  <c r="BG68" i="4"/>
  <c r="BF118" i="4"/>
  <c r="BB120" i="4"/>
  <c r="BB68" i="4"/>
  <c r="BB115" i="4"/>
  <c r="BB63" i="4"/>
  <c r="BB105" i="4"/>
  <c r="BB98" i="4"/>
  <c r="BC115" i="4"/>
  <c r="BG84" i="4"/>
  <c r="AY96" i="4"/>
  <c r="AY103" i="4"/>
  <c r="AY304" i="4"/>
  <c r="AY57" i="4"/>
  <c r="AY47" i="4"/>
  <c r="AY113" i="4"/>
  <c r="AT112" i="4"/>
  <c r="AT48" i="4"/>
  <c r="AT102" i="4"/>
  <c r="AT95" i="4"/>
  <c r="AT45" i="4"/>
  <c r="AV112" i="4"/>
  <c r="BA120" i="4"/>
  <c r="BA105" i="4"/>
  <c r="BA68" i="4"/>
  <c r="BW61" i="9"/>
  <c r="BA98" i="4"/>
  <c r="BA63" i="4"/>
  <c r="AZ118" i="4"/>
  <c r="AY118" i="4"/>
  <c r="BB228" i="4"/>
  <c r="AZ228" i="4"/>
  <c r="BB118" i="4" l="1"/>
  <c r="BG98" i="4"/>
  <c r="BB56" i="4"/>
  <c r="BB97" i="4"/>
  <c r="BB104" i="4"/>
  <c r="BB64" i="4"/>
  <c r="BG104" i="4"/>
  <c r="BG64" i="4"/>
  <c r="BF63" i="4"/>
  <c r="BG56" i="4"/>
  <c r="AZ120" i="4"/>
  <c r="BF120" i="4"/>
  <c r="BE97" i="4"/>
  <c r="BD228" i="4"/>
  <c r="BA104" i="4"/>
  <c r="BA64" i="4"/>
  <c r="BA97" i="4"/>
  <c r="BA56" i="4"/>
  <c r="AZ63" i="4"/>
  <c r="AY102" i="4"/>
  <c r="AY48" i="4"/>
  <c r="AY95" i="4"/>
  <c r="AY112" i="4"/>
  <c r="AY45" i="4"/>
  <c r="AY40" i="4" s="1"/>
  <c r="BE47" i="4"/>
  <c r="BE57" i="4"/>
  <c r="BE103" i="4"/>
  <c r="BE304" i="4"/>
  <c r="BD98" i="4"/>
  <c r="BD63" i="4"/>
  <c r="BG97" i="4" s="1"/>
  <c r="BD105" i="4"/>
  <c r="BX61" i="9"/>
  <c r="BD68" i="4"/>
  <c r="BD120" i="4"/>
  <c r="BC118" i="4"/>
  <c r="BE48" i="4" l="1"/>
  <c r="BE102" i="4"/>
  <c r="BE45" i="4"/>
  <c r="BE40" i="4" s="1"/>
  <c r="BC228" i="4"/>
  <c r="BE228" i="4"/>
  <c r="BD56" i="4"/>
  <c r="BG96" i="4" s="1"/>
  <c r="BD64" i="4"/>
  <c r="BD104" i="4"/>
  <c r="BD97" i="4"/>
  <c r="BC63" i="4"/>
  <c r="BF97" i="4" s="1"/>
  <c r="AZ97" i="4"/>
  <c r="AZ114" i="4"/>
  <c r="AZ64" i="4"/>
  <c r="AZ104" i="4"/>
  <c r="BG103" i="4"/>
  <c r="BG47" i="4"/>
  <c r="BG57" i="4"/>
  <c r="BG304" i="4"/>
  <c r="BF56" i="4"/>
  <c r="BE96" i="4"/>
  <c r="BB47" i="4"/>
  <c r="BE95" i="4" s="1"/>
  <c r="BB96" i="4"/>
  <c r="BB304" i="4"/>
  <c r="BB57" i="4"/>
  <c r="BB103" i="4"/>
  <c r="BC120" i="4"/>
  <c r="BA304" i="4"/>
  <c r="BA103" i="4"/>
  <c r="BA57" i="4"/>
  <c r="BA96" i="4"/>
  <c r="AZ56" i="4"/>
  <c r="BA47" i="4"/>
  <c r="BF104" i="4"/>
  <c r="BF64" i="4"/>
  <c r="BF114" i="4"/>
  <c r="BB114" i="4"/>
  <c r="BG228" i="4" l="1"/>
  <c r="AZ103" i="4"/>
  <c r="AZ57" i="4"/>
  <c r="AZ304" i="4"/>
  <c r="AZ113" i="4"/>
  <c r="AZ96" i="4"/>
  <c r="BB95" i="4"/>
  <c r="BB48" i="4"/>
  <c r="BB102" i="4"/>
  <c r="BB45" i="4"/>
  <c r="BB40" i="4" s="1"/>
  <c r="BF57" i="4"/>
  <c r="BF113" i="4"/>
  <c r="BF304" i="4"/>
  <c r="BF103" i="4"/>
  <c r="BF47" i="4"/>
  <c r="BG102" i="4"/>
  <c r="BG48" i="4"/>
  <c r="BG45" i="4"/>
  <c r="BG40" i="4" s="1"/>
  <c r="BF40" i="4" s="1"/>
  <c r="BC104" i="4"/>
  <c r="BC97" i="4"/>
  <c r="BC114" i="4"/>
  <c r="BC64" i="4"/>
  <c r="BE114" i="4"/>
  <c r="BD304" i="4"/>
  <c r="BD47" i="4"/>
  <c r="BG95" i="4" s="1"/>
  <c r="BD103" i="4"/>
  <c r="BD57" i="4"/>
  <c r="BD96" i="4"/>
  <c r="BC56" i="4"/>
  <c r="BA48" i="4"/>
  <c r="AZ47" i="4"/>
  <c r="BB112" i="4" s="1"/>
  <c r="BA102" i="4"/>
  <c r="BA95" i="4"/>
  <c r="BA45" i="4"/>
  <c r="BA40" i="4" s="1"/>
  <c r="AZ40" i="4" s="1"/>
  <c r="BB113" i="4"/>
  <c r="AZ48" i="4" l="1"/>
  <c r="AZ102" i="4"/>
  <c r="AZ95" i="4"/>
  <c r="AZ112" i="4"/>
  <c r="AZ45" i="4"/>
  <c r="BC113" i="4"/>
  <c r="BC304" i="4"/>
  <c r="BC57" i="4"/>
  <c r="BC103" i="4"/>
  <c r="BC96" i="4"/>
  <c r="BE113" i="4"/>
  <c r="BD102" i="4"/>
  <c r="BD48" i="4"/>
  <c r="BC47" i="4"/>
  <c r="BF95" i="4" s="1"/>
  <c r="BD95" i="4"/>
  <c r="BD45" i="4"/>
  <c r="BD40" i="4" s="1"/>
  <c r="BC40" i="4" s="1"/>
  <c r="BF96" i="4"/>
  <c r="BF102" i="4"/>
  <c r="BF48" i="4"/>
  <c r="BF112" i="4"/>
  <c r="BF45" i="4"/>
  <c r="BF228" i="4"/>
  <c r="BC102" i="4" l="1"/>
  <c r="BC95" i="4"/>
  <c r="BC112" i="4"/>
  <c r="BC48" i="4"/>
  <c r="BC45" i="4"/>
  <c r="BE112" i="4"/>
  <c r="L24" i="2" l="1"/>
  <c r="M46" i="2"/>
  <c r="M40" i="2"/>
  <c r="M50" i="2"/>
  <c r="M42" i="2"/>
  <c r="M36" i="2"/>
  <c r="L19" i="2"/>
  <c r="M19" i="2"/>
  <c r="P24" i="2"/>
  <c r="L40" i="2"/>
  <c r="M28" i="2"/>
  <c r="L46" i="2"/>
  <c r="L50" i="2"/>
  <c r="L42" i="2"/>
  <c r="L36" i="2"/>
  <c r="L28" i="2"/>
  <c r="N28" i="2"/>
  <c r="M24" i="2"/>
  <c r="AB78" i="9" l="1"/>
  <c r="AC78" i="9" s="1"/>
  <c r="AC79" i="9"/>
  <c r="AB80" i="9"/>
  <c r="AC80" i="9" s="1"/>
  <c r="AC82" i="9"/>
  <c r="AC83" i="9"/>
  <c r="AB84" i="9"/>
  <c r="AC84" i="9" s="1"/>
  <c r="AB85" i="9"/>
  <c r="AC85" i="9" s="1"/>
  <c r="AC211" i="9"/>
  <c r="AC215" i="9"/>
  <c r="AC219" i="9"/>
  <c r="AD219" i="9" s="1"/>
  <c r="AE219" i="9" s="1"/>
  <c r="AF219" i="9" s="1"/>
  <c r="AG219" i="9" s="1"/>
  <c r="AH219" i="9" s="1"/>
  <c r="AI219" i="9" s="1"/>
  <c r="AJ219" i="9" s="1"/>
  <c r="AK219" i="9" s="1"/>
  <c r="AL219" i="9" s="1"/>
  <c r="AM219" i="9" s="1"/>
  <c r="AN219" i="9" s="1"/>
  <c r="AO219" i="9" s="1"/>
  <c r="AP219" i="9" s="1"/>
  <c r="AQ219" i="9" s="1"/>
  <c r="AR219" i="9" s="1"/>
  <c r="AS219" i="9" s="1"/>
  <c r="AT219" i="9" s="1"/>
  <c r="AU219" i="9" s="1"/>
  <c r="AV219" i="9" s="1"/>
  <c r="AW219" i="9" s="1"/>
  <c r="AX219" i="9" s="1"/>
  <c r="AY219" i="9" s="1"/>
  <c r="AZ219" i="9" s="1"/>
  <c r="BA219" i="9" s="1"/>
  <c r="BB219" i="9" s="1"/>
  <c r="BC219" i="9" s="1"/>
  <c r="BD219" i="9" s="1"/>
  <c r="BE219" i="9" s="1"/>
  <c r="BF219" i="9" s="1"/>
  <c r="BG219" i="9" s="1"/>
  <c r="AC238" i="9"/>
  <c r="AC239" i="9"/>
  <c r="AC172" i="4" s="1"/>
  <c r="AC240" i="9"/>
  <c r="AC203" i="4" s="1"/>
  <c r="AD239" i="9" l="1"/>
  <c r="AD172" i="4" s="1"/>
  <c r="AD235" i="9" s="1"/>
  <c r="AB81" i="9"/>
  <c r="AC81" i="9" s="1"/>
  <c r="AD240" i="9"/>
  <c r="AD203" i="4" s="1"/>
  <c r="AD268" i="4" s="1"/>
  <c r="AB86" i="9"/>
  <c r="AB153" i="9" s="1"/>
  <c r="AB182" i="9" s="1"/>
  <c r="AC171" i="4"/>
  <c r="AD238" i="9"/>
  <c r="AC131" i="4"/>
  <c r="AC212" i="9"/>
  <c r="AB127" i="4"/>
  <c r="N43" i="2"/>
  <c r="AC261" i="4"/>
  <c r="AC204" i="4"/>
  <c r="AB203" i="4"/>
  <c r="BH203" i="4" s="1"/>
  <c r="AC268" i="4"/>
  <c r="N35" i="2"/>
  <c r="AC260" i="4"/>
  <c r="AC264" i="4"/>
  <c r="AB172" i="4"/>
  <c r="BH172" i="4" s="1"/>
  <c r="AC236" i="9"/>
  <c r="AC235" i="9"/>
  <c r="AE239" i="9" l="1"/>
  <c r="AF239" i="9" s="1"/>
  <c r="AD261" i="4"/>
  <c r="AD264" i="4"/>
  <c r="AD265" i="4" s="1"/>
  <c r="AD260" i="4"/>
  <c r="AB77" i="9"/>
  <c r="AB98" i="9" s="1"/>
  <c r="AC86" i="9"/>
  <c r="AD236" i="9"/>
  <c r="AD204" i="4"/>
  <c r="AE240" i="9"/>
  <c r="AF240" i="9" s="1"/>
  <c r="AG240" i="9" s="1"/>
  <c r="AB152" i="9"/>
  <c r="AB151" i="9" s="1"/>
  <c r="AD212" i="9"/>
  <c r="AD129" i="4" s="1"/>
  <c r="AE211" i="9"/>
  <c r="AF211" i="9" s="1"/>
  <c r="AF212" i="9" s="1"/>
  <c r="AC265" i="4"/>
  <c r="AC266" i="4"/>
  <c r="AC152" i="9"/>
  <c r="AC129" i="4"/>
  <c r="AC186" i="4" s="1"/>
  <c r="AC200" i="4" s="1"/>
  <c r="AB261" i="4"/>
  <c r="AB204" i="4"/>
  <c r="BH204" i="4" s="1"/>
  <c r="AD171" i="4"/>
  <c r="AD234" i="9" s="1"/>
  <c r="AE238" i="9"/>
  <c r="AF238" i="9" s="1"/>
  <c r="N22" i="2"/>
  <c r="AF172" i="4"/>
  <c r="AG239" i="9"/>
  <c r="AB260" i="4"/>
  <c r="N34" i="2"/>
  <c r="AB171" i="4"/>
  <c r="BH171" i="4" s="1"/>
  <c r="AC125" i="4"/>
  <c r="AC301" i="4"/>
  <c r="AC259" i="4"/>
  <c r="AC267" i="4"/>
  <c r="AC234" i="9"/>
  <c r="AD266" i="4" l="1"/>
  <c r="AF203" i="4"/>
  <c r="AF261" i="4" s="1"/>
  <c r="AC77" i="9"/>
  <c r="AC352" i="4" s="1"/>
  <c r="AB352" i="4"/>
  <c r="AB90" i="9"/>
  <c r="AB88" i="9"/>
  <c r="AB96" i="9"/>
  <c r="AB97" i="9"/>
  <c r="AC153" i="9"/>
  <c r="AC182" i="9" s="1"/>
  <c r="BO53" i="9" s="1"/>
  <c r="BO58" i="9" s="1"/>
  <c r="AB150" i="9"/>
  <c r="O7" i="2" s="1"/>
  <c r="O9" i="2" s="1"/>
  <c r="AE90" i="9"/>
  <c r="AB93" i="9"/>
  <c r="AB155" i="9"/>
  <c r="AB158" i="9"/>
  <c r="AD267" i="4"/>
  <c r="AB181" i="9"/>
  <c r="AB159" i="9"/>
  <c r="O35" i="2"/>
  <c r="AE172" i="4"/>
  <c r="AF260" i="4"/>
  <c r="AF235" i="9"/>
  <c r="AF264" i="4"/>
  <c r="AG203" i="4"/>
  <c r="AH240" i="9"/>
  <c r="AI240" i="9" s="1"/>
  <c r="N39" i="2"/>
  <c r="AD191" i="4"/>
  <c r="AF191" i="4"/>
  <c r="AF129" i="4"/>
  <c r="AE212" i="9"/>
  <c r="AE129" i="4" s="1"/>
  <c r="N18" i="2"/>
  <c r="AB301" i="4"/>
  <c r="AB259" i="4"/>
  <c r="AD143" i="4"/>
  <c r="AD159" i="4"/>
  <c r="AF171" i="4"/>
  <c r="AG238" i="9"/>
  <c r="AC181" i="9"/>
  <c r="AC159" i="9"/>
  <c r="AG172" i="4"/>
  <c r="AG264" i="4" s="1"/>
  <c r="AH239" i="9"/>
  <c r="AI239" i="9" s="1"/>
  <c r="AD125" i="4"/>
  <c r="AD259" i="4"/>
  <c r="AD301" i="4"/>
  <c r="N21" i="2"/>
  <c r="AC159" i="4"/>
  <c r="O43" i="2" l="1"/>
  <c r="AF204" i="4"/>
  <c r="AC90" i="9"/>
  <c r="G9" i="2"/>
  <c r="G26" i="2" s="1"/>
  <c r="AC98" i="9"/>
  <c r="AC88" i="9"/>
  <c r="AC42" i="4"/>
  <c r="AB42" i="4" s="1"/>
  <c r="AF90" i="9"/>
  <c r="AC150" i="9"/>
  <c r="AC157" i="9" s="1"/>
  <c r="AC97" i="9"/>
  <c r="AF268" i="4"/>
  <c r="AF236" i="9"/>
  <c r="AE203" i="4"/>
  <c r="AE261" i="4" s="1"/>
  <c r="AG268" i="4"/>
  <c r="AB179" i="9"/>
  <c r="AB193" i="9" s="1"/>
  <c r="AB196" i="9" s="1"/>
  <c r="AB198" i="9" s="1"/>
  <c r="AC151" i="9"/>
  <c r="AC158" i="9" s="1"/>
  <c r="BO34" i="9"/>
  <c r="BO42" i="9" s="1"/>
  <c r="AC93" i="9"/>
  <c r="AC96" i="9"/>
  <c r="G50" i="2"/>
  <c r="G51" i="2" s="1"/>
  <c r="AB157" i="9"/>
  <c r="AB188" i="9"/>
  <c r="AB192" i="9"/>
  <c r="AB180" i="9"/>
  <c r="AG266" i="4"/>
  <c r="AG265" i="4"/>
  <c r="O34" i="2"/>
  <c r="AF125" i="4"/>
  <c r="AE171" i="4"/>
  <c r="AF259" i="4"/>
  <c r="AF301" i="4"/>
  <c r="AF234" i="9"/>
  <c r="AF267" i="4"/>
  <c r="O39" i="2"/>
  <c r="AI191" i="4"/>
  <c r="AE191" i="4"/>
  <c r="AG191" i="4"/>
  <c r="AE159" i="4"/>
  <c r="AE143" i="4"/>
  <c r="AI203" i="4"/>
  <c r="AJ240" i="9"/>
  <c r="O21" i="2"/>
  <c r="AF159" i="4"/>
  <c r="AF143" i="4"/>
  <c r="AG204" i="4"/>
  <c r="AG261" i="4"/>
  <c r="G43" i="2"/>
  <c r="G44" i="2" s="1"/>
  <c r="AC180" i="9"/>
  <c r="BO52" i="9"/>
  <c r="BO57" i="9" s="1"/>
  <c r="AC188" i="9"/>
  <c r="AC192" i="9"/>
  <c r="AE260" i="4"/>
  <c r="AE235" i="9"/>
  <c r="AE264" i="4"/>
  <c r="AF266" i="4"/>
  <c r="AF265" i="4"/>
  <c r="AI172" i="4"/>
  <c r="AJ239" i="9"/>
  <c r="AG260" i="4"/>
  <c r="AG235" i="9"/>
  <c r="N38" i="2"/>
  <c r="AB186" i="4"/>
  <c r="BH186" i="4" s="1"/>
  <c r="AD186" i="4"/>
  <c r="N41" i="2"/>
  <c r="AF186" i="4"/>
  <c r="AC320" i="4"/>
  <c r="AG171" i="4"/>
  <c r="AG234" i="9" s="1"/>
  <c r="AH238" i="9"/>
  <c r="AI238" i="9" s="1"/>
  <c r="AG236" i="9"/>
  <c r="AC179" i="9" l="1"/>
  <c r="AE268" i="4"/>
  <c r="AE236" i="9"/>
  <c r="AE204" i="4"/>
  <c r="AB67" i="4"/>
  <c r="AB68" i="4" s="1"/>
  <c r="AC155" i="9"/>
  <c r="AB186" i="9"/>
  <c r="AB354" i="4" s="1"/>
  <c r="AB187" i="9"/>
  <c r="AB184" i="9"/>
  <c r="N40" i="2"/>
  <c r="O25" i="2"/>
  <c r="O24" i="2" s="1"/>
  <c r="P43" i="2"/>
  <c r="AI204" i="4"/>
  <c r="AH203" i="4"/>
  <c r="AI261" i="4"/>
  <c r="AI236" i="9"/>
  <c r="AI268" i="4"/>
  <c r="P39" i="2"/>
  <c r="AJ191" i="4"/>
  <c r="AL191" i="4"/>
  <c r="AH191" i="4"/>
  <c r="AG267" i="4"/>
  <c r="AE259" i="4"/>
  <c r="AE301" i="4"/>
  <c r="AE267" i="4"/>
  <c r="AE234" i="9"/>
  <c r="O18" i="2"/>
  <c r="AE125" i="4"/>
  <c r="AJ172" i="4"/>
  <c r="AJ235" i="9" s="1"/>
  <c r="AK239" i="9"/>
  <c r="AL239" i="9" s="1"/>
  <c r="O38" i="2"/>
  <c r="AE186" i="4"/>
  <c r="AI186" i="4"/>
  <c r="AF200" i="4"/>
  <c r="O41" i="2" s="1"/>
  <c r="AG186" i="4"/>
  <c r="AF320" i="4"/>
  <c r="P35" i="2"/>
  <c r="AH172" i="4"/>
  <c r="AI260" i="4"/>
  <c r="AI264" i="4"/>
  <c r="AI235" i="9"/>
  <c r="AD200" i="4"/>
  <c r="AD320" i="4"/>
  <c r="AB200" i="4"/>
  <c r="BH200" i="4" s="1"/>
  <c r="AB320" i="4"/>
  <c r="AE266" i="4"/>
  <c r="AE265" i="4"/>
  <c r="AI171" i="4"/>
  <c r="AJ238" i="9"/>
  <c r="AG125" i="4"/>
  <c r="AG259" i="4"/>
  <c r="AG301" i="4"/>
  <c r="AC187" i="9"/>
  <c r="AC184" i="9"/>
  <c r="AJ203" i="4"/>
  <c r="AJ268" i="4" s="1"/>
  <c r="AK240" i="9"/>
  <c r="AL240" i="9" s="1"/>
  <c r="BO51" i="9" l="1"/>
  <c r="BO56" i="9" s="1"/>
  <c r="AB98" i="4"/>
  <c r="AC193" i="9"/>
  <c r="AC186" i="9"/>
  <c r="AC354" i="4" s="1"/>
  <c r="AE98" i="4"/>
  <c r="AB84" i="4"/>
  <c r="AB105" i="4"/>
  <c r="AD115" i="4"/>
  <c r="AB120" i="4"/>
  <c r="AC120" i="4" s="1"/>
  <c r="AB115" i="4"/>
  <c r="AJ264" i="4"/>
  <c r="AJ265" i="4" s="1"/>
  <c r="O40" i="2"/>
  <c r="AG200" i="4"/>
  <c r="AG320" i="4"/>
  <c r="AK191" i="4"/>
  <c r="AM191" i="4"/>
  <c r="AO191" i="4"/>
  <c r="AE200" i="4"/>
  <c r="AE320" i="4"/>
  <c r="AJ236" i="9"/>
  <c r="AH260" i="4"/>
  <c r="AH264" i="4"/>
  <c r="AH235" i="9"/>
  <c r="AL172" i="4"/>
  <c r="AM239" i="9"/>
  <c r="P38" i="2"/>
  <c r="AJ186" i="4"/>
  <c r="AI200" i="4"/>
  <c r="P41" i="2" s="1"/>
  <c r="AL186" i="4"/>
  <c r="AH186" i="4"/>
  <c r="AI320" i="4"/>
  <c r="P34" i="2"/>
  <c r="AI125" i="4"/>
  <c r="AH171" i="4"/>
  <c r="AI301" i="4"/>
  <c r="AI259" i="4"/>
  <c r="AI234" i="9"/>
  <c r="AI267" i="4"/>
  <c r="AJ260" i="4"/>
  <c r="AJ261" i="4"/>
  <c r="AJ204" i="4"/>
  <c r="AJ171" i="4"/>
  <c r="AJ234" i="9" s="1"/>
  <c r="AK238" i="9"/>
  <c r="AL238" i="9" s="1"/>
  <c r="AL203" i="4"/>
  <c r="AM240" i="9"/>
  <c r="AI265" i="4"/>
  <c r="AI266" i="4"/>
  <c r="AH204" i="4"/>
  <c r="AH261" i="4"/>
  <c r="AH268" i="4"/>
  <c r="AH236" i="9"/>
  <c r="W39" i="6" l="1"/>
  <c r="AC196" i="9"/>
  <c r="G15" i="2"/>
  <c r="AJ266" i="4"/>
  <c r="P40" i="2"/>
  <c r="AL171" i="4"/>
  <c r="AM238" i="9"/>
  <c r="AM172" i="4"/>
  <c r="AM264" i="4" s="1"/>
  <c r="AN239" i="9"/>
  <c r="AO239" i="9" s="1"/>
  <c r="AJ125" i="4"/>
  <c r="AJ301" i="4"/>
  <c r="AJ259" i="4"/>
  <c r="AH200" i="4"/>
  <c r="AH320" i="4"/>
  <c r="AK172" i="4"/>
  <c r="AL260" i="4"/>
  <c r="AL264" i="4"/>
  <c r="AL235" i="9"/>
  <c r="AL261" i="4"/>
  <c r="AL204" i="4"/>
  <c r="AK203" i="4"/>
  <c r="AL268" i="4"/>
  <c r="AL236" i="9"/>
  <c r="AJ267" i="4"/>
  <c r="AR191" i="4"/>
  <c r="AP191" i="4"/>
  <c r="AN191" i="4"/>
  <c r="AK186" i="4"/>
  <c r="AM186" i="4"/>
  <c r="AO186" i="4"/>
  <c r="AL200" i="4"/>
  <c r="AL320" i="4"/>
  <c r="AH265" i="4"/>
  <c r="AH266" i="4"/>
  <c r="AJ200" i="4"/>
  <c r="AJ320" i="4"/>
  <c r="AH259" i="4"/>
  <c r="AH301" i="4"/>
  <c r="AH267" i="4"/>
  <c r="AH234" i="9"/>
  <c r="AM203" i="4"/>
  <c r="AM268" i="4" s="1"/>
  <c r="AN240" i="9"/>
  <c r="AO240" i="9" s="1"/>
  <c r="P18" i="2"/>
  <c r="AH125" i="4"/>
  <c r="G13" i="2" l="1"/>
  <c r="AC67" i="4"/>
  <c r="AC198" i="9"/>
  <c r="AM235" i="9"/>
  <c r="AL125" i="4"/>
  <c r="AL259" i="4"/>
  <c r="AK171" i="4"/>
  <c r="AL301" i="4"/>
  <c r="AL267" i="4"/>
  <c r="AL234" i="9"/>
  <c r="AM200" i="4"/>
  <c r="AM320" i="4"/>
  <c r="AM265" i="4"/>
  <c r="AM266" i="4"/>
  <c r="AQ191" i="4"/>
  <c r="AS191" i="4"/>
  <c r="AU191" i="4"/>
  <c r="AK260" i="4"/>
  <c r="AK264" i="4"/>
  <c r="AK235" i="9"/>
  <c r="AO172" i="4"/>
  <c r="AP239" i="9"/>
  <c r="AK200" i="4"/>
  <c r="AK320" i="4"/>
  <c r="AK261" i="4"/>
  <c r="AK204" i="4"/>
  <c r="AK268" i="4"/>
  <c r="AK236" i="9"/>
  <c r="AM260" i="4"/>
  <c r="AO203" i="4"/>
  <c r="AP240" i="9"/>
  <c r="AM204" i="4"/>
  <c r="AM261" i="4"/>
  <c r="AM236" i="9"/>
  <c r="AR186" i="4"/>
  <c r="AP186" i="4"/>
  <c r="AO200" i="4"/>
  <c r="AN186" i="4"/>
  <c r="AO320" i="4"/>
  <c r="AL265" i="4"/>
  <c r="AL266" i="4"/>
  <c r="AM171" i="4"/>
  <c r="AN238" i="9"/>
  <c r="AO238" i="9" s="1"/>
  <c r="AC84" i="4" l="1"/>
  <c r="AC68" i="4"/>
  <c r="AF98" i="4"/>
  <c r="AC105" i="4"/>
  <c r="AB118" i="4"/>
  <c r="AC63" i="4"/>
  <c r="AA118" i="4"/>
  <c r="AC98" i="4"/>
  <c r="BO61" i="9"/>
  <c r="N14" i="2"/>
  <c r="N11" i="2"/>
  <c r="G14" i="2"/>
  <c r="G3" i="2"/>
  <c r="O11" i="2"/>
  <c r="AM125" i="4"/>
  <c r="AM259" i="4"/>
  <c r="AM301" i="4"/>
  <c r="AN200" i="4"/>
  <c r="AN320" i="4"/>
  <c r="AM234" i="9"/>
  <c r="AM267" i="4"/>
  <c r="AO171" i="4"/>
  <c r="AP238" i="9"/>
  <c r="AP172" i="4"/>
  <c r="AP264" i="4" s="1"/>
  <c r="AQ239" i="9"/>
  <c r="AR239" i="9" s="1"/>
  <c r="AT191" i="4"/>
  <c r="AX191" i="4"/>
  <c r="AV191" i="4"/>
  <c r="AK301" i="4"/>
  <c r="AK259" i="4"/>
  <c r="AK267" i="4"/>
  <c r="AK234" i="9"/>
  <c r="AP200" i="4"/>
  <c r="AP320" i="4"/>
  <c r="AS186" i="4"/>
  <c r="AU186" i="4"/>
  <c r="AQ186" i="4"/>
  <c r="AR200" i="4"/>
  <c r="AR320" i="4"/>
  <c r="AK265" i="4"/>
  <c r="AK266" i="4"/>
  <c r="AN172" i="4"/>
  <c r="AO260" i="4"/>
  <c r="AO264" i="4"/>
  <c r="AO235" i="9"/>
  <c r="AP203" i="4"/>
  <c r="AP268" i="4" s="1"/>
  <c r="AQ240" i="9"/>
  <c r="AR240" i="9" s="1"/>
  <c r="AN203" i="4"/>
  <c r="AO204" i="4"/>
  <c r="AO261" i="4"/>
  <c r="AO268" i="4"/>
  <c r="AO236" i="9"/>
  <c r="AK125" i="4"/>
  <c r="AC97" i="4" l="1"/>
  <c r="AC64" i="4"/>
  <c r="AC56" i="4"/>
  <c r="AB63" i="4"/>
  <c r="AF97" i="4"/>
  <c r="AC104" i="4"/>
  <c r="AP236" i="9"/>
  <c r="AP235" i="9"/>
  <c r="AO125" i="4"/>
  <c r="AN171" i="4"/>
  <c r="AO259" i="4"/>
  <c r="AO301" i="4"/>
  <c r="AO267" i="4"/>
  <c r="AO234" i="9"/>
  <c r="AP265" i="4"/>
  <c r="AP266" i="4"/>
  <c r="AQ200" i="4"/>
  <c r="AQ320" i="4"/>
  <c r="AT186" i="4"/>
  <c r="AU200" i="4"/>
  <c r="AV186" i="4"/>
  <c r="AX186" i="4"/>
  <c r="AU320" i="4"/>
  <c r="AR203" i="4"/>
  <c r="AS240" i="9"/>
  <c r="AR172" i="4"/>
  <c r="AS239" i="9"/>
  <c r="AY191" i="4"/>
  <c r="AW191" i="4"/>
  <c r="BA191" i="4"/>
  <c r="AP260" i="4"/>
  <c r="AN204" i="4"/>
  <c r="AN261" i="4"/>
  <c r="AN268" i="4"/>
  <c r="AN236" i="9"/>
  <c r="AN260" i="4"/>
  <c r="AN264" i="4"/>
  <c r="AN235" i="9"/>
  <c r="AS200" i="4"/>
  <c r="AS320" i="4"/>
  <c r="AP204" i="4"/>
  <c r="AP261" i="4"/>
  <c r="AO266" i="4"/>
  <c r="AO265" i="4"/>
  <c r="AP171" i="4"/>
  <c r="AP234" i="9" s="1"/>
  <c r="AQ238" i="9"/>
  <c r="AR238" i="9" s="1"/>
  <c r="AB56" i="4" l="1"/>
  <c r="AF96" i="4"/>
  <c r="AC57" i="4"/>
  <c r="AC103" i="4"/>
  <c r="AC47" i="4"/>
  <c r="AC96" i="4"/>
  <c r="AC304" i="4"/>
  <c r="AB64" i="4"/>
  <c r="AE97" i="4"/>
  <c r="AB97" i="4"/>
  <c r="AB114" i="4"/>
  <c r="AB104" i="4"/>
  <c r="AD114" i="4"/>
  <c r="AP267" i="4"/>
  <c r="AT200" i="4"/>
  <c r="AT320" i="4"/>
  <c r="AN125" i="4"/>
  <c r="AV200" i="4"/>
  <c r="AV320" i="4"/>
  <c r="AZ191" i="4"/>
  <c r="BB191" i="4"/>
  <c r="BD191" i="4"/>
  <c r="AS203" i="4"/>
  <c r="AS236" i="9" s="1"/>
  <c r="AT240" i="9"/>
  <c r="AU240" i="9" s="1"/>
  <c r="AX200" i="4"/>
  <c r="BA186" i="4"/>
  <c r="AY186" i="4"/>
  <c r="AW186" i="4"/>
  <c r="AX320" i="4"/>
  <c r="AS172" i="4"/>
  <c r="AS235" i="9" s="1"/>
  <c r="AT239" i="9"/>
  <c r="AU239" i="9" s="1"/>
  <c r="AQ172" i="4"/>
  <c r="AR260" i="4"/>
  <c r="AR264" i="4"/>
  <c r="AR235" i="9"/>
  <c r="AN259" i="4"/>
  <c r="AN301" i="4"/>
  <c r="AN267" i="4"/>
  <c r="AN234" i="9"/>
  <c r="AR171" i="4"/>
  <c r="AS238" i="9"/>
  <c r="AP125" i="4"/>
  <c r="AP301" i="4"/>
  <c r="AP259" i="4"/>
  <c r="AN266" i="4"/>
  <c r="AN265" i="4"/>
  <c r="AQ203" i="4"/>
  <c r="AR261" i="4"/>
  <c r="AR204" i="4"/>
  <c r="AR268" i="4"/>
  <c r="AR236" i="9"/>
  <c r="AB113" i="4" l="1"/>
  <c r="AB304" i="4"/>
  <c r="AB96" i="4"/>
  <c r="AD113" i="4"/>
  <c r="AB57" i="4"/>
  <c r="AE96" i="4"/>
  <c r="AB103" i="4"/>
  <c r="AC45" i="4"/>
  <c r="AC40" i="4" s="1"/>
  <c r="AB40" i="4" s="1"/>
  <c r="AC95" i="4"/>
  <c r="AB47" i="4"/>
  <c r="AC102" i="4"/>
  <c r="AF95" i="4"/>
  <c r="AC48" i="4"/>
  <c r="AS264" i="4"/>
  <c r="AS266" i="4" s="1"/>
  <c r="AS268" i="4"/>
  <c r="BG191" i="4"/>
  <c r="BF191" i="4" s="1"/>
  <c r="BC191" i="4"/>
  <c r="BE191" i="4"/>
  <c r="AS171" i="4"/>
  <c r="AS234" i="9" s="1"/>
  <c r="AT238" i="9"/>
  <c r="AU238" i="9" s="1"/>
  <c r="AQ260" i="4"/>
  <c r="AQ235" i="9"/>
  <c r="AQ264" i="4"/>
  <c r="AZ186" i="4"/>
  <c r="BB186" i="4"/>
  <c r="BA200" i="4"/>
  <c r="BD186" i="4"/>
  <c r="BA320" i="4"/>
  <c r="AU172" i="4"/>
  <c r="AV239" i="9"/>
  <c r="AU203" i="4"/>
  <c r="AV240" i="9"/>
  <c r="AR125" i="4"/>
  <c r="AQ171" i="4"/>
  <c r="AR301" i="4"/>
  <c r="AR259" i="4"/>
  <c r="AR267" i="4"/>
  <c r="AR234" i="9"/>
  <c r="AW200" i="4"/>
  <c r="AW320" i="4"/>
  <c r="AQ204" i="4"/>
  <c r="AQ261" i="4"/>
  <c r="AQ236" i="9"/>
  <c r="AQ268" i="4"/>
  <c r="AY200" i="4"/>
  <c r="AY320" i="4"/>
  <c r="AR265" i="4"/>
  <c r="AR266" i="4"/>
  <c r="AS260" i="4"/>
  <c r="AS261" i="4"/>
  <c r="AS204" i="4"/>
  <c r="AB112" i="4" l="1"/>
  <c r="AB48" i="4"/>
  <c r="AB45" i="4"/>
  <c r="AB102" i="4"/>
  <c r="AE95" i="4"/>
  <c r="AB95" i="4"/>
  <c r="AD112" i="4"/>
  <c r="AS265" i="4"/>
  <c r="AV172" i="4"/>
  <c r="AV264" i="4" s="1"/>
  <c r="AW239" i="9"/>
  <c r="AX239" i="9" s="1"/>
  <c r="AQ265" i="4"/>
  <c r="AQ266" i="4"/>
  <c r="AT172" i="4"/>
  <c r="AU260" i="4"/>
  <c r="AU235" i="9"/>
  <c r="AU264" i="4"/>
  <c r="BC186" i="4"/>
  <c r="BG186" i="4"/>
  <c r="BE186" i="4"/>
  <c r="BD200" i="4"/>
  <c r="BD320" i="4"/>
  <c r="AQ301" i="4"/>
  <c r="AQ259" i="4"/>
  <c r="AQ234" i="9"/>
  <c r="AQ267" i="4"/>
  <c r="AQ125" i="4"/>
  <c r="BB200" i="4"/>
  <c r="BB320" i="4"/>
  <c r="AU171" i="4"/>
  <c r="AV238" i="9"/>
  <c r="AV203" i="4"/>
  <c r="AV268" i="4" s="1"/>
  <c r="AW240" i="9"/>
  <c r="AX240" i="9" s="1"/>
  <c r="AS125" i="4"/>
  <c r="AS301" i="4"/>
  <c r="AS259" i="4"/>
  <c r="AS267" i="4"/>
  <c r="AU204" i="4"/>
  <c r="AT203" i="4"/>
  <c r="AU261" i="4"/>
  <c r="AU236" i="9"/>
  <c r="AU268" i="4"/>
  <c r="AZ200" i="4"/>
  <c r="AZ320" i="4"/>
  <c r="AV235" i="9" l="1"/>
  <c r="AV236" i="9"/>
  <c r="AV266" i="4"/>
  <c r="AV265" i="4"/>
  <c r="BE200" i="4"/>
  <c r="BE320" i="4"/>
  <c r="BG200" i="4"/>
  <c r="BF186" i="4"/>
  <c r="BG320" i="4"/>
  <c r="BC200" i="4"/>
  <c r="BC320" i="4"/>
  <c r="AV171" i="4"/>
  <c r="AV234" i="9" s="1"/>
  <c r="AW238" i="9"/>
  <c r="AX238" i="9" s="1"/>
  <c r="AX203" i="4"/>
  <c r="AY240" i="9"/>
  <c r="AT260" i="4"/>
  <c r="AT264" i="4"/>
  <c r="AT235" i="9"/>
  <c r="AV204" i="4"/>
  <c r="AV261" i="4"/>
  <c r="AX172" i="4"/>
  <c r="AY239" i="9"/>
  <c r="AU266" i="4"/>
  <c r="AU265" i="4"/>
  <c r="AT204" i="4"/>
  <c r="AT261" i="4"/>
  <c r="AT236" i="9"/>
  <c r="AT268" i="4"/>
  <c r="AU125" i="4"/>
  <c r="AT171" i="4"/>
  <c r="AU259" i="4"/>
  <c r="AU301" i="4"/>
  <c r="AU234" i="9"/>
  <c r="AU267" i="4"/>
  <c r="AV260" i="4"/>
  <c r="AV267" i="4" l="1"/>
  <c r="AY172" i="4"/>
  <c r="AY264" i="4" s="1"/>
  <c r="AZ239" i="9"/>
  <c r="BA239" i="9" s="1"/>
  <c r="AW172" i="4"/>
  <c r="AX260" i="4"/>
  <c r="AX235" i="9"/>
  <c r="AX264" i="4"/>
  <c r="AT266" i="4"/>
  <c r="AT265" i="4"/>
  <c r="AY203" i="4"/>
  <c r="AY268" i="4" s="1"/>
  <c r="AZ240" i="9"/>
  <c r="BA240" i="9" s="1"/>
  <c r="BF200" i="4"/>
  <c r="BF320" i="4"/>
  <c r="AT259" i="4"/>
  <c r="AT301" i="4"/>
  <c r="AT267" i="4"/>
  <c r="AT234" i="9"/>
  <c r="AT125" i="4"/>
  <c r="AX171" i="4"/>
  <c r="AY238" i="9"/>
  <c r="AV125" i="4"/>
  <c r="AV259" i="4"/>
  <c r="AV301" i="4"/>
  <c r="AW203" i="4"/>
  <c r="AX204" i="4"/>
  <c r="AX261" i="4"/>
  <c r="AX268" i="4"/>
  <c r="AX236" i="9"/>
  <c r="AY235" i="9" l="1"/>
  <c r="AY236" i="9"/>
  <c r="AX125" i="4"/>
  <c r="AW171" i="4"/>
  <c r="AX259" i="4"/>
  <c r="AX301" i="4"/>
  <c r="AX234" i="9"/>
  <c r="AX267" i="4"/>
  <c r="AY265" i="4"/>
  <c r="AY266" i="4"/>
  <c r="AY171" i="4"/>
  <c r="AY234" i="9" s="1"/>
  <c r="AZ238" i="9"/>
  <c r="BA238" i="9" s="1"/>
  <c r="AW260" i="4"/>
  <c r="AW264" i="4"/>
  <c r="AW235" i="9"/>
  <c r="BA203" i="4"/>
  <c r="BB240" i="9"/>
  <c r="AX265" i="4"/>
  <c r="AX266" i="4"/>
  <c r="AY204" i="4"/>
  <c r="AY261" i="4"/>
  <c r="BA172" i="4"/>
  <c r="BB239" i="9"/>
  <c r="AW204" i="4"/>
  <c r="AW261" i="4"/>
  <c r="AW268" i="4"/>
  <c r="AW236" i="9"/>
  <c r="AY260" i="4"/>
  <c r="AW266" i="4" l="1"/>
  <c r="AW265" i="4"/>
  <c r="BB172" i="4"/>
  <c r="BC239" i="9"/>
  <c r="BD239" i="9" s="1"/>
  <c r="BA260" i="4"/>
  <c r="AZ172" i="4"/>
  <c r="BA264" i="4"/>
  <c r="BA235" i="9"/>
  <c r="AY125" i="4"/>
  <c r="AY259" i="4"/>
  <c r="AY301" i="4"/>
  <c r="BB203" i="4"/>
  <c r="BB268" i="4" s="1"/>
  <c r="BC240" i="9"/>
  <c r="BD240" i="9" s="1"/>
  <c r="BA171" i="4"/>
  <c r="BB238" i="9"/>
  <c r="AY267" i="4"/>
  <c r="BA261" i="4"/>
  <c r="BA204" i="4"/>
  <c r="AZ203" i="4"/>
  <c r="BA236" i="9"/>
  <c r="BA268" i="4"/>
  <c r="AW259" i="4"/>
  <c r="AW301" i="4"/>
  <c r="AW267" i="4"/>
  <c r="AW234" i="9"/>
  <c r="AW125" i="4"/>
  <c r="AZ261" i="4" l="1"/>
  <c r="AZ204" i="4"/>
  <c r="AZ268" i="4"/>
  <c r="AZ236" i="9"/>
  <c r="BB260" i="4"/>
  <c r="BB264" i="4"/>
  <c r="BD172" i="4"/>
  <c r="BE239" i="9"/>
  <c r="AZ260" i="4"/>
  <c r="AZ264" i="4"/>
  <c r="AZ235" i="9"/>
  <c r="AZ171" i="4"/>
  <c r="BA125" i="4"/>
  <c r="BA301" i="4"/>
  <c r="BA259" i="4"/>
  <c r="BA267" i="4"/>
  <c r="BA234" i="9"/>
  <c r="BD203" i="4"/>
  <c r="BE240" i="9"/>
  <c r="BA265" i="4"/>
  <c r="BA266" i="4"/>
  <c r="BB261" i="4"/>
  <c r="BB204" i="4"/>
  <c r="BB235" i="9"/>
  <c r="BB236" i="9"/>
  <c r="BB171" i="4"/>
  <c r="BB267" i="4" s="1"/>
  <c r="BC238" i="9"/>
  <c r="BD238" i="9" s="1"/>
  <c r="BB234" i="9" l="1"/>
  <c r="AZ301" i="4"/>
  <c r="AZ259" i="4"/>
  <c r="AZ267" i="4"/>
  <c r="AZ234" i="9"/>
  <c r="BE172" i="4"/>
  <c r="BF239" i="9"/>
  <c r="BG239" i="9" s="1"/>
  <c r="BG172" i="4" s="1"/>
  <c r="BE203" i="4"/>
  <c r="BE268" i="4" s="1"/>
  <c r="BF240" i="9"/>
  <c r="BG240" i="9" s="1"/>
  <c r="BG203" i="4" s="1"/>
  <c r="BG268" i="4" s="1"/>
  <c r="BC172" i="4"/>
  <c r="BD260" i="4"/>
  <c r="BD264" i="4"/>
  <c r="BD235" i="9"/>
  <c r="AZ265" i="4"/>
  <c r="AZ266" i="4"/>
  <c r="BD171" i="4"/>
  <c r="BE238" i="9"/>
  <c r="BB125" i="4"/>
  <c r="BB259" i="4"/>
  <c r="BB301" i="4"/>
  <c r="BD204" i="4"/>
  <c r="BC203" i="4"/>
  <c r="BD261" i="4"/>
  <c r="BD268" i="4"/>
  <c r="BD236" i="9"/>
  <c r="AZ125" i="4"/>
  <c r="BB266" i="4"/>
  <c r="BB265" i="4"/>
  <c r="BF172" i="4" l="1"/>
  <c r="BF260" i="4" s="1"/>
  <c r="BG260" i="4"/>
  <c r="BG264" i="4"/>
  <c r="BE260" i="4"/>
  <c r="BC260" i="4"/>
  <c r="BC264" i="4"/>
  <c r="BC235" i="9"/>
  <c r="BE235" i="9"/>
  <c r="BD125" i="4"/>
  <c r="BC171" i="4"/>
  <c r="BD259" i="4"/>
  <c r="BD301" i="4"/>
  <c r="BD267" i="4"/>
  <c r="BD234" i="9"/>
  <c r="BF203" i="4"/>
  <c r="BF268" i="4" s="1"/>
  <c r="BG204" i="4"/>
  <c r="BG261" i="4"/>
  <c r="BG235" i="9"/>
  <c r="BC204" i="4"/>
  <c r="BC261" i="4"/>
  <c r="BC268" i="4"/>
  <c r="BC236" i="9"/>
  <c r="BD266" i="4"/>
  <c r="BD265" i="4"/>
  <c r="BE204" i="4"/>
  <c r="BE261" i="4"/>
  <c r="BE236" i="9"/>
  <c r="BG236" i="9"/>
  <c r="BE171" i="4"/>
  <c r="BE234" i="9" s="1"/>
  <c r="BF238" i="9"/>
  <c r="BG238" i="9" s="1"/>
  <c r="BG171" i="4" s="1"/>
  <c r="BG267" i="4" s="1"/>
  <c r="BE264" i="4"/>
  <c r="BF235" i="9" l="1"/>
  <c r="BF264" i="4"/>
  <c r="BF265" i="4" s="1"/>
  <c r="BE266" i="4"/>
  <c r="BE265" i="4"/>
  <c r="BC266" i="4"/>
  <c r="BC265" i="4"/>
  <c r="BC125" i="4"/>
  <c r="BG265" i="4"/>
  <c r="BG266" i="4"/>
  <c r="BC259" i="4"/>
  <c r="BC301" i="4"/>
  <c r="BC234" i="9"/>
  <c r="BC267" i="4"/>
  <c r="BG125" i="4"/>
  <c r="BF171" i="4"/>
  <c r="BG259" i="4"/>
  <c r="BG301" i="4"/>
  <c r="BE125" i="4"/>
  <c r="BE259" i="4"/>
  <c r="BE301" i="4"/>
  <c r="BF204" i="4"/>
  <c r="BF261" i="4"/>
  <c r="BE267" i="4"/>
  <c r="BF236" i="9"/>
  <c r="BG234" i="9"/>
  <c r="BF266" i="4" l="1"/>
  <c r="BF259" i="4"/>
  <c r="BF301" i="4"/>
  <c r="BF267" i="4"/>
  <c r="BF125" i="4"/>
  <c r="BF234" i="9"/>
  <c r="AA22" i="4"/>
  <c r="AB125" i="4"/>
  <c r="AC127" i="4"/>
  <c r="AB163" i="4"/>
  <c r="AB218" i="4"/>
  <c r="AB264" i="4"/>
  <c r="AB266" i="4" s="1"/>
  <c r="AB267" i="4"/>
  <c r="AB268" i="4"/>
  <c r="AA301" i="4"/>
  <c r="AA316" i="4"/>
  <c r="AA317" i="4"/>
  <c r="AA320" i="4"/>
  <c r="AA321" i="4"/>
  <c r="AA327" i="4"/>
  <c r="AA212" i="9"/>
  <c r="AA211" i="9" s="1"/>
  <c r="AA215" i="9"/>
  <c r="AA214" i="9" s="1"/>
  <c r="AA217" i="9"/>
  <c r="AA218" i="9" s="1"/>
  <c r="AA219" i="9" s="1"/>
  <c r="AB234" i="9"/>
  <c r="AB235" i="9"/>
  <c r="AB236" i="9"/>
  <c r="AA238" i="9"/>
  <c r="AA234" i="9" s="1"/>
  <c r="AA239" i="9"/>
  <c r="AA235" i="9" s="1"/>
  <c r="AA240" i="9"/>
  <c r="AA236" i="9" s="1"/>
  <c r="AA247" i="9"/>
  <c r="AC218" i="4" l="1"/>
  <c r="N45" i="2" s="1"/>
  <c r="BH218" i="4"/>
  <c r="AB218" i="9"/>
  <c r="AB200" i="9" s="1"/>
  <c r="AB70" i="4" s="1"/>
  <c r="AB212" i="9"/>
  <c r="AB129" i="4" s="1"/>
  <c r="AB159" i="4" s="1"/>
  <c r="AB265" i="4"/>
  <c r="AB219" i="4"/>
  <c r="AA318" i="4"/>
  <c r="AA323" i="4" s="1"/>
  <c r="AA326" i="4" s="1"/>
  <c r="AA329" i="4" s="1"/>
  <c r="AA331" i="4" s="1"/>
  <c r="AC247" i="9"/>
  <c r="AC248" i="9" s="1"/>
  <c r="AA248" i="9"/>
  <c r="AB131" i="4"/>
  <c r="AB202" i="9" l="1"/>
  <c r="AC200" i="9"/>
  <c r="AC219" i="4"/>
  <c r="AC317" i="4" s="1"/>
  <c r="AD218" i="4"/>
  <c r="AE218" i="4" s="1"/>
  <c r="AB317" i="4"/>
  <c r="BH219" i="4"/>
  <c r="AB204" i="9"/>
  <c r="AC70" i="4" l="1"/>
  <c r="AC34" i="4" s="1"/>
  <c r="AC202" i="9"/>
  <c r="AD219" i="4"/>
  <c r="AD317" i="4" s="1"/>
  <c r="AE219" i="4"/>
  <c r="AE317" i="4" s="1"/>
  <c r="AF218" i="4"/>
  <c r="AB206" i="9"/>
  <c r="AC69" i="4" l="1"/>
  <c r="AC257" i="4" s="1"/>
  <c r="G18" i="2"/>
  <c r="G19" i="2" s="1"/>
  <c r="AC204" i="9"/>
  <c r="CE31" i="9"/>
  <c r="CE32" i="9" s="1"/>
  <c r="CE33" i="9" s="1"/>
  <c r="CE34" i="9" s="1"/>
  <c r="AB77" i="4"/>
  <c r="AB123" i="4" s="1"/>
  <c r="AC123" i="4" s="1"/>
  <c r="AC206" i="9"/>
  <c r="O45" i="2"/>
  <c r="AF219" i="4"/>
  <c r="AG218" i="4"/>
  <c r="AB69" i="4"/>
  <c r="AB121" i="4" s="1"/>
  <c r="AC121" i="4" s="1"/>
  <c r="AC76" i="4"/>
  <c r="AB34" i="4"/>
  <c r="AC33" i="4"/>
  <c r="AB208" i="9"/>
  <c r="AC208" i="9" l="1"/>
  <c r="AB33" i="4"/>
  <c r="AC39" i="4"/>
  <c r="AB39" i="4" s="1"/>
  <c r="AF317" i="4"/>
  <c r="N16" i="2"/>
  <c r="AB76" i="4"/>
  <c r="AB78" i="4" s="1"/>
  <c r="AB306" i="4" s="1"/>
  <c r="AB257" i="4"/>
  <c r="G20" i="2"/>
  <c r="G21" i="2" s="1"/>
  <c r="AC77" i="4"/>
  <c r="AC78" i="4" s="1"/>
  <c r="AC306" i="4" s="1"/>
  <c r="W40" i="6"/>
  <c r="O8" i="2"/>
  <c r="AI218" i="4"/>
  <c r="AG219" i="4"/>
  <c r="AB305" i="4"/>
  <c r="AC307" i="4" l="1"/>
  <c r="AG317" i="4"/>
  <c r="P45" i="2"/>
  <c r="AJ218" i="4"/>
  <c r="AH218" i="4"/>
  <c r="AH219" i="4" s="1"/>
  <c r="AH317" i="4" s="1"/>
  <c r="AI219" i="4"/>
  <c r="AB307" i="4"/>
  <c r="AB308" i="4" s="1"/>
  <c r="AB309" i="4" s="1"/>
  <c r="AC305" i="4"/>
  <c r="AC79" i="4"/>
  <c r="AC308" i="4" l="1"/>
  <c r="AC309" i="4" s="1"/>
  <c r="AI317" i="4"/>
  <c r="AJ219" i="4"/>
  <c r="AL218" i="4"/>
  <c r="AC10" i="4"/>
  <c r="BO62" i="9" s="1"/>
  <c r="AC81" i="4"/>
  <c r="AB79" i="4"/>
  <c r="AC106" i="4"/>
  <c r="AC87" i="4"/>
  <c r="AC90" i="4" s="1"/>
  <c r="AC99" i="4"/>
  <c r="AC243" i="4"/>
  <c r="AC270" i="4"/>
  <c r="G33" i="2" s="1"/>
  <c r="N17" i="2"/>
  <c r="AB124" i="4"/>
  <c r="AB128" i="4" s="1"/>
  <c r="AC124" i="4"/>
  <c r="AC128" i="4" s="1"/>
  <c r="N49" i="2" l="1"/>
  <c r="AB243" i="4"/>
  <c r="AC244" i="4"/>
  <c r="AD86" i="4"/>
  <c r="AF86" i="4"/>
  <c r="AB10" i="4"/>
  <c r="AB87" i="4"/>
  <c r="AB90" i="4" s="1"/>
  <c r="AB99" i="4"/>
  <c r="AB116" i="4"/>
  <c r="AB106" i="4"/>
  <c r="AB270" i="4"/>
  <c r="AK218" i="4"/>
  <c r="AK219" i="4" s="1"/>
  <c r="AK317" i="4" s="1"/>
  <c r="AL219" i="4"/>
  <c r="AM218" i="4"/>
  <c r="N20" i="2"/>
  <c r="N19" i="2" s="1"/>
  <c r="AC22" i="4"/>
  <c r="AC158" i="4"/>
  <c r="AC162" i="4"/>
  <c r="AJ317" i="4"/>
  <c r="AB22" i="4"/>
  <c r="AB162" i="4"/>
  <c r="AC82" i="4"/>
  <c r="AC12" i="4" s="1"/>
  <c r="AC11" i="4"/>
  <c r="AB81" i="4"/>
  <c r="AB244" i="4" l="1"/>
  <c r="AB312" i="4" s="1"/>
  <c r="AB314" i="4" s="1"/>
  <c r="BH243" i="4"/>
  <c r="AB158" i="4"/>
  <c r="AB161" i="4" s="1"/>
  <c r="AC161" i="4"/>
  <c r="AC26" i="4"/>
  <c r="AC16" i="4"/>
  <c r="AC14" i="4"/>
  <c r="AC243" i="9"/>
  <c r="N51" i="2"/>
  <c r="N50" i="2" s="1"/>
  <c r="AC246" i="4"/>
  <c r="AC251" i="4" s="1"/>
  <c r="AC312" i="4"/>
  <c r="AC314" i="4" s="1"/>
  <c r="BO63" i="9"/>
  <c r="AM219" i="4"/>
  <c r="AO218" i="4"/>
  <c r="AB11" i="4"/>
  <c r="AB82" i="4"/>
  <c r="AB12" i="4" s="1"/>
  <c r="AL317" i="4"/>
  <c r="AB246" i="4" l="1"/>
  <c r="AB251" i="4" s="1"/>
  <c r="AN218" i="4"/>
  <c r="AN219" i="4" s="1"/>
  <c r="AN317" i="4" s="1"/>
  <c r="AP218" i="4"/>
  <c r="AO219" i="4"/>
  <c r="AM317" i="4"/>
  <c r="AB26" i="4"/>
  <c r="AB14" i="4"/>
  <c r="AB16" i="4"/>
  <c r="AB243" i="9"/>
  <c r="G23" i="2"/>
  <c r="V41" i="6" s="1"/>
  <c r="W41" i="6" s="1"/>
  <c r="AC277" i="4"/>
  <c r="AB277" i="4" l="1"/>
  <c r="AO317" i="4"/>
  <c r="AR218" i="4"/>
  <c r="AP219" i="4"/>
  <c r="AR219" i="4" l="1"/>
  <c r="AS218" i="4"/>
  <c r="AQ218" i="4"/>
  <c r="AQ219" i="4" s="1"/>
  <c r="AQ317" i="4" s="1"/>
  <c r="AP317" i="4"/>
  <c r="AS219" i="4" l="1"/>
  <c r="AU218" i="4"/>
  <c r="AR317" i="4"/>
  <c r="AT218" i="4" l="1"/>
  <c r="AT219" i="4" s="1"/>
  <c r="AT317" i="4" s="1"/>
  <c r="AU219" i="4"/>
  <c r="AV218" i="4"/>
  <c r="AS317" i="4"/>
  <c r="AV219" i="4" l="1"/>
  <c r="AX218" i="4"/>
  <c r="AU317" i="4"/>
  <c r="AX219" i="4" l="1"/>
  <c r="AY218" i="4"/>
  <c r="AW218" i="4"/>
  <c r="AW219" i="4" s="1"/>
  <c r="AW317" i="4" s="1"/>
  <c r="AV317" i="4"/>
  <c r="BA218" i="4" l="1"/>
  <c r="AY219" i="4"/>
  <c r="AX317" i="4"/>
  <c r="AY317" i="4" l="1"/>
  <c r="AZ218" i="4"/>
  <c r="AZ219" i="4" s="1"/>
  <c r="AZ317" i="4" s="1"/>
  <c r="BA219" i="4"/>
  <c r="BB218" i="4"/>
  <c r="BB219" i="4" l="1"/>
  <c r="BD218" i="4"/>
  <c r="BA317" i="4"/>
  <c r="BC218" i="4" l="1"/>
  <c r="BC219" i="4" s="1"/>
  <c r="BC317" i="4" s="1"/>
  <c r="BD219" i="4"/>
  <c r="BE218" i="4"/>
  <c r="BB317" i="4"/>
  <c r="BG218" i="4" l="1"/>
  <c r="BE219" i="4"/>
  <c r="BD317" i="4"/>
  <c r="BE317" i="4" l="1"/>
  <c r="BF218" i="4"/>
  <c r="BF219" i="4" s="1"/>
  <c r="BF317" i="4" s="1"/>
  <c r="BG219" i="4"/>
  <c r="BG317" i="4" l="1"/>
  <c r="AC142" i="4"/>
  <c r="AB143" i="4" l="1"/>
  <c r="AB154" i="4" s="1"/>
  <c r="AC130" i="4"/>
  <c r="AC143" i="4" s="1"/>
  <c r="AC154" i="4" l="1"/>
  <c r="N25" i="2"/>
  <c r="N23" i="2"/>
  <c r="N24" i="2" l="1"/>
  <c r="AC165" i="4"/>
  <c r="N30" i="2"/>
  <c r="AF163" i="4" l="1"/>
  <c r="AD163" i="4"/>
  <c r="AB165" i="4"/>
  <c r="AC169" i="4"/>
  <c r="AC166" i="4" s="1"/>
  <c r="AB169" i="4" l="1"/>
  <c r="BH169" i="4" s="1"/>
  <c r="AC252" i="4"/>
  <c r="G36" i="2" s="1"/>
  <c r="N33" i="2"/>
  <c r="AC271" i="4"/>
  <c r="AC327" i="4"/>
  <c r="AC253" i="4"/>
  <c r="AC183" i="4"/>
  <c r="AC217" i="9"/>
  <c r="AC254" i="4"/>
  <c r="AC316" i="4" l="1"/>
  <c r="AC318" i="4" s="1"/>
  <c r="N37" i="2"/>
  <c r="AC201" i="4"/>
  <c r="AC230" i="4" s="1"/>
  <c r="AD218" i="9"/>
  <c r="AD200" i="9" s="1"/>
  <c r="AC218" i="9"/>
  <c r="AB252" i="4"/>
  <c r="AB253" i="4"/>
  <c r="AB183" i="4"/>
  <c r="AB271" i="4"/>
  <c r="AB217" i="9"/>
  <c r="AB327" i="4"/>
  <c r="AB254" i="4"/>
  <c r="AC255" i="4"/>
  <c r="AB166" i="4"/>
  <c r="AB230" i="4" l="1"/>
  <c r="AD230" i="4"/>
  <c r="AC231" i="4"/>
  <c r="AC232" i="4" s="1"/>
  <c r="AC321" i="4" s="1"/>
  <c r="AC323" i="4" s="1"/>
  <c r="AC326" i="4" s="1"/>
  <c r="AC329" i="4" s="1"/>
  <c r="AC331" i="4" s="1"/>
  <c r="AB316" i="4"/>
  <c r="AB318" i="4" s="1"/>
  <c r="BH183" i="4"/>
  <c r="BO64" i="9"/>
  <c r="AC256" i="4"/>
  <c r="G35" i="2"/>
  <c r="AD70" i="4"/>
  <c r="AD202" i="9"/>
  <c r="AD204" i="9" s="1"/>
  <c r="AB201" i="4"/>
  <c r="BH201" i="4" s="1"/>
  <c r="AC269" i="4"/>
  <c r="G32" i="2" s="1"/>
  <c r="N42" i="2"/>
  <c r="N36" i="2"/>
  <c r="AB255" i="4"/>
  <c r="AB256" i="4" s="1"/>
  <c r="N47" i="2" l="1"/>
  <c r="N46" i="2" s="1"/>
  <c r="AB232" i="4"/>
  <c r="BH232" i="4" s="1"/>
  <c r="AF230" i="4"/>
  <c r="AD151" i="4"/>
  <c r="AD152" i="4" s="1"/>
  <c r="AD231" i="4"/>
  <c r="AD232" i="4" s="1"/>
  <c r="AC234" i="4"/>
  <c r="AB234" i="4" s="1"/>
  <c r="BH230" i="4"/>
  <c r="AB231" i="4"/>
  <c r="BH231" i="4" s="1"/>
  <c r="AD206" i="9"/>
  <c r="AD208" i="9" s="1"/>
  <c r="P8" i="2" s="1"/>
  <c r="AB269" i="4"/>
  <c r="AD69" i="4"/>
  <c r="AD34" i="4"/>
  <c r="AD33" i="4" s="1"/>
  <c r="AC248" i="4" l="1"/>
  <c r="AB321" i="4"/>
  <c r="AB323" i="4" s="1"/>
  <c r="AB326" i="4" s="1"/>
  <c r="AB329" i="4" s="1"/>
  <c r="AB331" i="4" s="1"/>
  <c r="AE230" i="4"/>
  <c r="AE231" i="4" s="1"/>
  <c r="AG230" i="4"/>
  <c r="AF231" i="4"/>
  <c r="AF232" i="4" s="1"/>
  <c r="AF151" i="4"/>
  <c r="AB248" i="4"/>
  <c r="BH234" i="4"/>
  <c r="AD76" i="4"/>
  <c r="AD121" i="4"/>
  <c r="AD257" i="4"/>
  <c r="AD39" i="4"/>
  <c r="AD77" i="4"/>
  <c r="AD78" i="4" l="1"/>
  <c r="AD306" i="4" s="1"/>
  <c r="AF152" i="4"/>
  <c r="O29" i="2" s="1"/>
  <c r="O28" i="2" s="1"/>
  <c r="AE151" i="4"/>
  <c r="AE152" i="4" s="1"/>
  <c r="AE232" i="4"/>
  <c r="O47" i="2"/>
  <c r="O46" i="2" s="1"/>
  <c r="AI230" i="4"/>
  <c r="AG231" i="4"/>
  <c r="AG232" i="4" s="1"/>
  <c r="AG151" i="4"/>
  <c r="AG152" i="4" s="1"/>
  <c r="AD305" i="4"/>
  <c r="AD123" i="4"/>
  <c r="AD124" i="4" s="1"/>
  <c r="AD128" i="4" s="1"/>
  <c r="AD79" i="4"/>
  <c r="AD307" i="4" l="1"/>
  <c r="AD308" i="4" s="1"/>
  <c r="AD309" i="4" s="1"/>
  <c r="AH230" i="4"/>
  <c r="AH231" i="4" s="1"/>
  <c r="AJ230" i="4"/>
  <c r="AI151" i="4"/>
  <c r="AI231" i="4"/>
  <c r="AI232" i="4" s="1"/>
  <c r="AD106" i="4"/>
  <c r="AD81" i="4"/>
  <c r="AD116" i="4"/>
  <c r="AD10" i="4"/>
  <c r="AD87" i="4"/>
  <c r="AD90" i="4" s="1"/>
  <c r="AE86" i="4" s="1"/>
  <c r="AD243" i="4"/>
  <c r="AD244" i="4" s="1"/>
  <c r="AD99" i="4"/>
  <c r="AD270" i="4"/>
  <c r="AD158" i="4"/>
  <c r="AD161" i="4" s="1"/>
  <c r="AD162" i="4"/>
  <c r="AD22" i="4"/>
  <c r="AD154" i="4"/>
  <c r="AD165" i="4" s="1"/>
  <c r="AH232" i="4" l="1"/>
  <c r="P47" i="2"/>
  <c r="P46" i="2" s="1"/>
  <c r="AH151" i="4"/>
  <c r="AH152" i="4" s="1"/>
  <c r="AI152" i="4"/>
  <c r="P29" i="2" s="1"/>
  <c r="P28" i="2" s="1"/>
  <c r="AL230" i="4"/>
  <c r="AJ231" i="4"/>
  <c r="AJ232" i="4" s="1"/>
  <c r="AJ151" i="4"/>
  <c r="AJ152" i="4" s="1"/>
  <c r="AD312" i="4"/>
  <c r="AD314" i="4" s="1"/>
  <c r="AD246" i="4"/>
  <c r="AD251" i="4" s="1"/>
  <c r="AE163" i="4"/>
  <c r="AD169" i="4"/>
  <c r="AD271" i="4" s="1"/>
  <c r="AD11" i="4"/>
  <c r="AD82" i="4"/>
  <c r="AD12" i="4" s="1"/>
  <c r="AM230" i="4" l="1"/>
  <c r="AK230" i="4"/>
  <c r="AK231" i="4" s="1"/>
  <c r="AL231" i="4"/>
  <c r="AL232" i="4" s="1"/>
  <c r="AK232" i="4" s="1"/>
  <c r="AL151" i="4"/>
  <c r="AD166" i="4"/>
  <c r="AD183" i="4"/>
  <c r="AD254" i="4"/>
  <c r="AD327" i="4"/>
  <c r="AD252" i="4"/>
  <c r="AD217" i="9"/>
  <c r="AE218" i="9" s="1"/>
  <c r="AE200" i="9" s="1"/>
  <c r="AD253" i="4"/>
  <c r="AD26" i="4"/>
  <c r="AD243" i="9"/>
  <c r="AD14" i="4"/>
  <c r="AD16" i="4"/>
  <c r="AK151" i="4" l="1"/>
  <c r="AK152" i="4" s="1"/>
  <c r="AL152" i="4"/>
  <c r="AO230" i="4"/>
  <c r="AM151" i="4"/>
  <c r="AM152" i="4" s="1"/>
  <c r="AM231" i="4"/>
  <c r="AM232" i="4" s="1"/>
  <c r="AD277" i="4"/>
  <c r="AD255" i="4"/>
  <c r="AD256" i="4" s="1"/>
  <c r="AE202" i="9"/>
  <c r="AE204" i="9" s="1"/>
  <c r="AE70" i="4"/>
  <c r="AF200" i="9"/>
  <c r="AD316" i="4"/>
  <c r="AD318" i="4" s="1"/>
  <c r="AD201" i="4"/>
  <c r="AP230" i="4" l="1"/>
  <c r="AN230" i="4"/>
  <c r="AN231" i="4" s="1"/>
  <c r="AO151" i="4"/>
  <c r="AO231" i="4"/>
  <c r="AO232" i="4" s="1"/>
  <c r="AN232" i="4" s="1"/>
  <c r="AD321" i="4"/>
  <c r="AD323" i="4" s="1"/>
  <c r="AD326" i="4" s="1"/>
  <c r="AD329" i="4" s="1"/>
  <c r="AD331" i="4" s="1"/>
  <c r="AD234" i="4"/>
  <c r="AD248" i="4" s="1"/>
  <c r="AD269" i="4"/>
  <c r="AE206" i="9"/>
  <c r="AE208" i="9" s="1"/>
  <c r="AF70" i="4"/>
  <c r="AF202" i="9"/>
  <c r="AN151" i="4" l="1"/>
  <c r="AN152" i="4" s="1"/>
  <c r="AO152" i="4"/>
  <c r="AR230" i="4"/>
  <c r="AP231" i="4"/>
  <c r="AP232" i="4" s="1"/>
  <c r="AP151" i="4"/>
  <c r="AP152" i="4" s="1"/>
  <c r="AF34" i="4"/>
  <c r="AF69" i="4"/>
  <c r="H18" i="2"/>
  <c r="H19" i="2" s="1"/>
  <c r="AF204" i="9"/>
  <c r="AE77" i="4"/>
  <c r="AF206" i="9"/>
  <c r="AQ230" i="4" l="1"/>
  <c r="AQ231" i="4" s="1"/>
  <c r="AS230" i="4"/>
  <c r="AR231" i="4"/>
  <c r="AR232" i="4" s="1"/>
  <c r="AQ232" i="4" s="1"/>
  <c r="AR151" i="4"/>
  <c r="AF77" i="4"/>
  <c r="H20" i="2"/>
  <c r="H21" i="2" s="1"/>
  <c r="AE305" i="4"/>
  <c r="AE69" i="4"/>
  <c r="AF257" i="4"/>
  <c r="AF76" i="4"/>
  <c r="AF121" i="4"/>
  <c r="AF208" i="9"/>
  <c r="AE34" i="4"/>
  <c r="AF33" i="4"/>
  <c r="AQ151" i="4" l="1"/>
  <c r="AQ152" i="4" s="1"/>
  <c r="AR152" i="4"/>
  <c r="AU230" i="4"/>
  <c r="AS231" i="4"/>
  <c r="AS232" i="4" s="1"/>
  <c r="AS151" i="4"/>
  <c r="AS152" i="4" s="1"/>
  <c r="AF78" i="4"/>
  <c r="AF306" i="4" s="1"/>
  <c r="AF79" i="4"/>
  <c r="AF10" i="4" s="1"/>
  <c r="BP62" i="9" s="1"/>
  <c r="AE121" i="4"/>
  <c r="O16" i="2"/>
  <c r="AE257" i="4"/>
  <c r="AE76" i="4"/>
  <c r="AE33" i="4"/>
  <c r="AF39" i="4"/>
  <c r="AE39" i="4" s="1"/>
  <c r="AF305" i="4"/>
  <c r="AF123" i="4"/>
  <c r="AF124" i="4" s="1"/>
  <c r="AF128" i="4" s="1"/>
  <c r="Z40" i="6"/>
  <c r="AV230" i="4" l="1"/>
  <c r="AT230" i="4"/>
  <c r="AT231" i="4" s="1"/>
  <c r="AU231" i="4"/>
  <c r="AU232" i="4" s="1"/>
  <c r="AT232" i="4" s="1"/>
  <c r="AU151" i="4"/>
  <c r="AF87" i="4"/>
  <c r="AF90" i="4" s="1"/>
  <c r="AG86" i="4" s="1"/>
  <c r="AF307" i="4"/>
  <c r="AF308" i="4" s="1"/>
  <c r="AF309" i="4" s="1"/>
  <c r="AF270" i="4"/>
  <c r="H33" i="2" s="1"/>
  <c r="AF99" i="4"/>
  <c r="AE79" i="4"/>
  <c r="AE10" i="4" s="1"/>
  <c r="AF243" i="4"/>
  <c r="AE243" i="4" s="1"/>
  <c r="AE244" i="4" s="1"/>
  <c r="AF81" i="4"/>
  <c r="AF11" i="4" s="1"/>
  <c r="AE78" i="4"/>
  <c r="AE306" i="4" s="1"/>
  <c r="AF106" i="4"/>
  <c r="AE123" i="4"/>
  <c r="AE124" i="4" s="1"/>
  <c r="AE128" i="4" s="1"/>
  <c r="O17" i="2"/>
  <c r="AF154" i="4"/>
  <c r="AF158" i="4"/>
  <c r="O20" i="2"/>
  <c r="AF22" i="4"/>
  <c r="AF162" i="4"/>
  <c r="BP63" i="9" s="1"/>
  <c r="O49" i="2" l="1"/>
  <c r="AI86" i="4"/>
  <c r="AT151" i="4"/>
  <c r="AT152" i="4" s="1"/>
  <c r="AU152" i="4"/>
  <c r="AX230" i="4"/>
  <c r="AV231" i="4"/>
  <c r="AV232" i="4" s="1"/>
  <c r="AV151" i="4"/>
  <c r="AV152" i="4" s="1"/>
  <c r="AE270" i="4"/>
  <c r="AE99" i="4"/>
  <c r="AE87" i="4"/>
  <c r="AE90" i="4" s="1"/>
  <c r="AE106" i="4"/>
  <c r="AE116" i="4"/>
  <c r="AF82" i="4"/>
  <c r="AF12" i="4" s="1"/>
  <c r="AF243" i="9" s="1"/>
  <c r="AF244" i="4"/>
  <c r="AF246" i="4" s="1"/>
  <c r="AF251" i="4" s="1"/>
  <c r="AE81" i="4"/>
  <c r="AE11" i="4" s="1"/>
  <c r="AE307" i="4"/>
  <c r="AE308" i="4" s="1"/>
  <c r="AE309" i="4" s="1"/>
  <c r="O19" i="2"/>
  <c r="O30" i="2"/>
  <c r="AF165" i="4"/>
  <c r="AE162" i="4"/>
  <c r="AE154" i="4"/>
  <c r="AE22" i="4"/>
  <c r="AE312" i="4"/>
  <c r="AE314" i="4" s="1"/>
  <c r="AE246" i="4"/>
  <c r="AE251" i="4" s="1"/>
  <c r="D20" i="6"/>
  <c r="D22" i="6" s="1"/>
  <c r="AF161" i="4"/>
  <c r="AE158" i="4"/>
  <c r="AE161" i="4" s="1"/>
  <c r="AY230" i="4" l="1"/>
  <c r="AW230" i="4"/>
  <c r="AW231" i="4" s="1"/>
  <c r="AX231" i="4"/>
  <c r="AX232" i="4" s="1"/>
  <c r="AW232" i="4" s="1"/>
  <c r="AX151" i="4"/>
  <c r="AF16" i="4"/>
  <c r="AF26" i="4"/>
  <c r="O51" i="2"/>
  <c r="O50" i="2" s="1"/>
  <c r="AE82" i="4"/>
  <c r="AE12" i="4" s="1"/>
  <c r="AE26" i="4" s="1"/>
  <c r="AF14" i="4"/>
  <c r="AF277" i="4" s="1"/>
  <c r="AF312" i="4"/>
  <c r="AF314" i="4" s="1"/>
  <c r="AE165" i="4"/>
  <c r="AI163" i="4"/>
  <c r="AG163" i="4"/>
  <c r="AF169" i="4"/>
  <c r="AF166" i="4" s="1"/>
  <c r="AW151" i="4" l="1"/>
  <c r="AW152" i="4" s="1"/>
  <c r="AX152" i="4"/>
  <c r="BA230" i="4"/>
  <c r="AY231" i="4"/>
  <c r="AY232" i="4" s="1"/>
  <c r="AY151" i="4"/>
  <c r="AY152" i="4" s="1"/>
  <c r="H23" i="2"/>
  <c r="Y41" i="6" s="1"/>
  <c r="Z41" i="6" s="1"/>
  <c r="AE16" i="4"/>
  <c r="AE14" i="4"/>
  <c r="AE243" i="9"/>
  <c r="AE169" i="4"/>
  <c r="AF253" i="4"/>
  <c r="AF252" i="4"/>
  <c r="H36" i="2" s="1"/>
  <c r="AF217" i="9"/>
  <c r="AF254" i="4"/>
  <c r="AF327" i="4"/>
  <c r="AF183" i="4"/>
  <c r="O33" i="2"/>
  <c r="AF271" i="4"/>
  <c r="AE277" i="4" l="1"/>
  <c r="BB230" i="4"/>
  <c r="AZ230" i="4"/>
  <c r="AZ231" i="4" s="1"/>
  <c r="BA231" i="4"/>
  <c r="BA232" i="4" s="1"/>
  <c r="AZ232" i="4" s="1"/>
  <c r="BA151" i="4"/>
  <c r="AG218" i="9"/>
  <c r="AG200" i="9" s="1"/>
  <c r="AF218" i="9"/>
  <c r="AF316" i="4"/>
  <c r="AF318" i="4" s="1"/>
  <c r="O37" i="2"/>
  <c r="AF201" i="4"/>
  <c r="AE183" i="4"/>
  <c r="AE316" i="4" s="1"/>
  <c r="AE318" i="4" s="1"/>
  <c r="AE217" i="9"/>
  <c r="AE253" i="4"/>
  <c r="AE252" i="4"/>
  <c r="AE327" i="4"/>
  <c r="AE271" i="4"/>
  <c r="AE166" i="4"/>
  <c r="AF255" i="4"/>
  <c r="AE254" i="4"/>
  <c r="BA152" i="4" l="1"/>
  <c r="AZ151" i="4"/>
  <c r="AZ152" i="4" s="1"/>
  <c r="BD230" i="4"/>
  <c r="BB151" i="4"/>
  <c r="BB152" i="4" s="1"/>
  <c r="BB231" i="4"/>
  <c r="BB232" i="4" s="1"/>
  <c r="AE255" i="4"/>
  <c r="AE256" i="4" s="1"/>
  <c r="BP64" i="9"/>
  <c r="AF256" i="4"/>
  <c r="H35" i="2"/>
  <c r="AF321" i="4"/>
  <c r="AF323" i="4" s="1"/>
  <c r="AF326" i="4" s="1"/>
  <c r="AF329" i="4" s="1"/>
  <c r="AF331" i="4" s="1"/>
  <c r="AE201" i="4"/>
  <c r="AF234" i="4"/>
  <c r="AF269" i="4"/>
  <c r="H32" i="2" s="1"/>
  <c r="O42" i="2"/>
  <c r="O36" i="2"/>
  <c r="AG70" i="4"/>
  <c r="AG202" i="9"/>
  <c r="AG204" i="9" s="1"/>
  <c r="BE230" i="4" l="1"/>
  <c r="BC230" i="4"/>
  <c r="BC231" i="4" s="1"/>
  <c r="BD231" i="4"/>
  <c r="BD232" i="4" s="1"/>
  <c r="BC232" i="4" s="1"/>
  <c r="BD151" i="4"/>
  <c r="AF248" i="4"/>
  <c r="AE234" i="4"/>
  <c r="AE248" i="4" s="1"/>
  <c r="AG206" i="9"/>
  <c r="AG208" i="9" s="1"/>
  <c r="AE321" i="4"/>
  <c r="AE323" i="4" s="1"/>
  <c r="AE326" i="4" s="1"/>
  <c r="AE329" i="4" s="1"/>
  <c r="AE331" i="4" s="1"/>
  <c r="AE269" i="4"/>
  <c r="AG69" i="4"/>
  <c r="AG34" i="4"/>
  <c r="AG33" i="4" s="1"/>
  <c r="BC151" i="4" l="1"/>
  <c r="BC152" i="4" s="1"/>
  <c r="BD152" i="4"/>
  <c r="BG230" i="4"/>
  <c r="BE231" i="4"/>
  <c r="BE232" i="4" s="1"/>
  <c r="BE151" i="4"/>
  <c r="BE152" i="4" s="1"/>
  <c r="AG39" i="4"/>
  <c r="AG257" i="4"/>
  <c r="AG76" i="4"/>
  <c r="AG121" i="4"/>
  <c r="AG77" i="4"/>
  <c r="BF230" i="4" l="1"/>
  <c r="BF231" i="4" s="1"/>
  <c r="BG231" i="4"/>
  <c r="BG232" i="4" s="1"/>
  <c r="BF232" i="4" s="1"/>
  <c r="BG151" i="4"/>
  <c r="AG78" i="4"/>
  <c r="AG307" i="4" s="1"/>
  <c r="AG123" i="4"/>
  <c r="AG124" i="4" s="1"/>
  <c r="AG128" i="4" s="1"/>
  <c r="AG305" i="4"/>
  <c r="AG79" i="4"/>
  <c r="BG152" i="4" l="1"/>
  <c r="BF151" i="4"/>
  <c r="BF152" i="4" s="1"/>
  <c r="AG306" i="4"/>
  <c r="AG308" i="4" s="1"/>
  <c r="AG309" i="4" s="1"/>
  <c r="AG116" i="4"/>
  <c r="AG10" i="4"/>
  <c r="AG81" i="4"/>
  <c r="AG270" i="4"/>
  <c r="AG106" i="4"/>
  <c r="AG99" i="4"/>
  <c r="AG243" i="4"/>
  <c r="AG244" i="4" s="1"/>
  <c r="AG87" i="4"/>
  <c r="AG90" i="4" s="1"/>
  <c r="AH86" i="4" s="1"/>
  <c r="AG158" i="4"/>
  <c r="AG161" i="4" s="1"/>
  <c r="AG154" i="4"/>
  <c r="AG165" i="4" s="1"/>
  <c r="AG22" i="4"/>
  <c r="AG162" i="4"/>
  <c r="AG312" i="4" l="1"/>
  <c r="AG314" i="4" s="1"/>
  <c r="AG246" i="4"/>
  <c r="AG251" i="4" s="1"/>
  <c r="AG82" i="4"/>
  <c r="AG12" i="4" s="1"/>
  <c r="AG11" i="4"/>
  <c r="AH163" i="4"/>
  <c r="AG169" i="4"/>
  <c r="AG166" i="4" s="1"/>
  <c r="AG254" i="4" l="1"/>
  <c r="AG327" i="4"/>
  <c r="AG253" i="4"/>
  <c r="AG183" i="4"/>
  <c r="AG252" i="4"/>
  <c r="AG217" i="9"/>
  <c r="AH218" i="9" s="1"/>
  <c r="AH200" i="9" s="1"/>
  <c r="AG16" i="4"/>
  <c r="AG26" i="4"/>
  <c r="AG243" i="9"/>
  <c r="AG14" i="4"/>
  <c r="AG271" i="4"/>
  <c r="AG201" i="4" l="1"/>
  <c r="AG316" i="4"/>
  <c r="AG318" i="4" s="1"/>
  <c r="AG277" i="4"/>
  <c r="AH202" i="9"/>
  <c r="AH204" i="9" s="1"/>
  <c r="AH70" i="4"/>
  <c r="AI200" i="9"/>
  <c r="AG255" i="4"/>
  <c r="AG256" i="4" s="1"/>
  <c r="AI70" i="4" l="1"/>
  <c r="AI202" i="9"/>
  <c r="AH206" i="9"/>
  <c r="AH208" i="9" s="1"/>
  <c r="AG321" i="4"/>
  <c r="AG323" i="4" s="1"/>
  <c r="AG326" i="4" s="1"/>
  <c r="AG329" i="4" s="1"/>
  <c r="AG331" i="4" s="1"/>
  <c r="AG234" i="4"/>
  <c r="AG248" i="4" s="1"/>
  <c r="AG269" i="4"/>
  <c r="AI204" i="9" l="1"/>
  <c r="I18" i="2"/>
  <c r="I19" i="2" s="1"/>
  <c r="AI34" i="4"/>
  <c r="AI69" i="4"/>
  <c r="AH77" i="4"/>
  <c r="AI206" i="9"/>
  <c r="AI33" i="4" l="1"/>
  <c r="AH34" i="4"/>
  <c r="I20" i="2"/>
  <c r="I21" i="2" s="1"/>
  <c r="AI77" i="4"/>
  <c r="AH305" i="4"/>
  <c r="AH69" i="4"/>
  <c r="AI257" i="4"/>
  <c r="AI121" i="4"/>
  <c r="AI76" i="4"/>
  <c r="AI208" i="9"/>
  <c r="AI78" i="4" l="1"/>
  <c r="AI306" i="4" s="1"/>
  <c r="AI79" i="4"/>
  <c r="AI106" i="4" s="1"/>
  <c r="AC40" i="6"/>
  <c r="AH76" i="4"/>
  <c r="AH257" i="4"/>
  <c r="AH121" i="4"/>
  <c r="P16" i="2"/>
  <c r="AI123" i="4"/>
  <c r="AI305" i="4"/>
  <c r="AH33" i="4"/>
  <c r="AI39" i="4"/>
  <c r="AH39" i="4" s="1"/>
  <c r="AI307" i="4" l="1"/>
  <c r="AI308" i="4" s="1"/>
  <c r="AI309" i="4" s="1"/>
  <c r="AI81" i="4"/>
  <c r="AI82" i="4" s="1"/>
  <c r="AI12" i="4" s="1"/>
  <c r="AH79" i="4"/>
  <c r="AH10" i="4" s="1"/>
  <c r="AI243" i="4"/>
  <c r="AH243" i="4" s="1"/>
  <c r="AH244" i="4" s="1"/>
  <c r="AI10" i="4"/>
  <c r="BQ62" i="9" s="1"/>
  <c r="AI99" i="4"/>
  <c r="AI270" i="4"/>
  <c r="I33" i="2" s="1"/>
  <c r="AH78" i="4"/>
  <c r="AH306" i="4" s="1"/>
  <c r="AI87" i="4"/>
  <c r="AI90" i="4" s="1"/>
  <c r="AL86" i="4" s="1"/>
  <c r="P17" i="2"/>
  <c r="AH123" i="4"/>
  <c r="AH124" i="4" s="1"/>
  <c r="AH128" i="4" s="1"/>
  <c r="AI124" i="4"/>
  <c r="AI128" i="4" s="1"/>
  <c r="AI11" i="4" l="1"/>
  <c r="P49" i="2"/>
  <c r="AI244" i="4"/>
  <c r="AI312" i="4" s="1"/>
  <c r="AI314" i="4" s="1"/>
  <c r="AH87" i="4"/>
  <c r="AH90" i="4" s="1"/>
  <c r="AH116" i="4"/>
  <c r="AH99" i="4"/>
  <c r="AH81" i="4"/>
  <c r="AH11" i="4" s="1"/>
  <c r="AH270" i="4"/>
  <c r="AH106" i="4"/>
  <c r="AJ86" i="4"/>
  <c r="AH307" i="4"/>
  <c r="AH308" i="4" s="1"/>
  <c r="AH309" i="4" s="1"/>
  <c r="AH312" i="4"/>
  <c r="AH314" i="4" s="1"/>
  <c r="AH246" i="4"/>
  <c r="AH251" i="4" s="1"/>
  <c r="AH162" i="4"/>
  <c r="AH154" i="4"/>
  <c r="AH22" i="4"/>
  <c r="AI14" i="4"/>
  <c r="AI16" i="4"/>
  <c r="AI26" i="4"/>
  <c r="AI243" i="9"/>
  <c r="E20" i="6"/>
  <c r="E22" i="6" s="1"/>
  <c r="AI162" i="4"/>
  <c r="BQ63" i="9" s="1"/>
  <c r="AI22" i="4"/>
  <c r="AI154" i="4"/>
  <c r="P20" i="2"/>
  <c r="P19" i="2" s="1"/>
  <c r="AI158" i="4"/>
  <c r="AI246" i="4" l="1"/>
  <c r="AI251" i="4" s="1"/>
  <c r="P51" i="2"/>
  <c r="P50" i="2" s="1"/>
  <c r="AH82" i="4"/>
  <c r="AH12" i="4" s="1"/>
  <c r="AH14" i="4" s="1"/>
  <c r="P30" i="2"/>
  <c r="AI165" i="4"/>
  <c r="AH158" i="4"/>
  <c r="AH161" i="4" s="1"/>
  <c r="AI161" i="4"/>
  <c r="AI277" i="4"/>
  <c r="I23" i="2"/>
  <c r="AB41" i="6" s="1"/>
  <c r="AC41" i="6" s="1"/>
  <c r="AH26" i="4" l="1"/>
  <c r="AH243" i="9"/>
  <c r="AH16" i="4"/>
  <c r="AJ163" i="4"/>
  <c r="AL163" i="4"/>
  <c r="AI169" i="4"/>
  <c r="AI166" i="4" s="1"/>
  <c r="AH165" i="4"/>
  <c r="AH277" i="4"/>
  <c r="AI252" i="4" l="1"/>
  <c r="I36" i="2" s="1"/>
  <c r="AI217" i="9"/>
  <c r="AI253" i="4"/>
  <c r="AI183" i="4"/>
  <c r="AI254" i="4"/>
  <c r="AI327" i="4"/>
  <c r="P33" i="2"/>
  <c r="AI271" i="4"/>
  <c r="AH169" i="4"/>
  <c r="AH183" i="4" l="1"/>
  <c r="AH316" i="4" s="1"/>
  <c r="AH318" i="4" s="1"/>
  <c r="AH327" i="4"/>
  <c r="AH252" i="4"/>
  <c r="AH217" i="9"/>
  <c r="AH253" i="4"/>
  <c r="AH271" i="4"/>
  <c r="AI255" i="4"/>
  <c r="AH254" i="4"/>
  <c r="AH166" i="4"/>
  <c r="AI201" i="4"/>
  <c r="AI316" i="4"/>
  <c r="AI318" i="4" s="1"/>
  <c r="P37" i="2"/>
  <c r="AJ218" i="9"/>
  <c r="AJ200" i="9" s="1"/>
  <c r="AI218" i="9"/>
  <c r="AJ70" i="4" l="1"/>
  <c r="AJ202" i="9"/>
  <c r="AJ204" i="9" s="1"/>
  <c r="AI256" i="4"/>
  <c r="I35" i="2"/>
  <c r="BQ64" i="9"/>
  <c r="AH255" i="4"/>
  <c r="AH256" i="4" s="1"/>
  <c r="P42" i="2"/>
  <c r="P36" i="2"/>
  <c r="AI321" i="4"/>
  <c r="AI323" i="4" s="1"/>
  <c r="AI326" i="4" s="1"/>
  <c r="AI329" i="4" s="1"/>
  <c r="AI331" i="4" s="1"/>
  <c r="AI234" i="4"/>
  <c r="AH201" i="4"/>
  <c r="AI269" i="4"/>
  <c r="I32" i="2" s="1"/>
  <c r="AH321" i="4" l="1"/>
  <c r="AH323" i="4" s="1"/>
  <c r="AH326" i="4" s="1"/>
  <c r="AH329" i="4" s="1"/>
  <c r="AH331" i="4" s="1"/>
  <c r="AH269" i="4"/>
  <c r="AJ206" i="9"/>
  <c r="AJ208" i="9" s="1"/>
  <c r="AH234" i="4"/>
  <c r="AH248" i="4" s="1"/>
  <c r="AI248" i="4"/>
  <c r="AJ69" i="4"/>
  <c r="AJ34" i="4"/>
  <c r="AJ33" i="4" s="1"/>
  <c r="AJ77" i="4" l="1"/>
  <c r="AJ39" i="4"/>
  <c r="AJ257" i="4"/>
  <c r="AJ76" i="4"/>
  <c r="AJ121" i="4"/>
  <c r="AJ78" i="4" l="1"/>
  <c r="AJ79" i="4"/>
  <c r="AJ99" i="4" s="1"/>
  <c r="AJ305" i="4"/>
  <c r="AJ123" i="4"/>
  <c r="AJ124" i="4" s="1"/>
  <c r="AJ128" i="4" s="1"/>
  <c r="AJ306" i="4" l="1"/>
  <c r="AJ307" i="4"/>
  <c r="AJ87" i="4"/>
  <c r="AJ90" i="4" s="1"/>
  <c r="AK86" i="4" s="1"/>
  <c r="AJ270" i="4"/>
  <c r="AJ81" i="4"/>
  <c r="AJ11" i="4" s="1"/>
  <c r="AJ243" i="4"/>
  <c r="AJ244" i="4" s="1"/>
  <c r="AJ312" i="4" s="1"/>
  <c r="AJ314" i="4" s="1"/>
  <c r="AJ116" i="4"/>
  <c r="AJ10" i="4"/>
  <c r="AJ106" i="4"/>
  <c r="AJ22" i="4"/>
  <c r="AJ158" i="4"/>
  <c r="AJ161" i="4" s="1"/>
  <c r="AJ162" i="4"/>
  <c r="AJ154" i="4"/>
  <c r="AJ165" i="4" s="1"/>
  <c r="AJ82" i="4" l="1"/>
  <c r="AJ12" i="4" s="1"/>
  <c r="AJ246" i="4"/>
  <c r="AJ251" i="4" s="1"/>
  <c r="AJ308" i="4"/>
  <c r="AJ309" i="4" s="1"/>
  <c r="AK163" i="4"/>
  <c r="AJ169" i="4"/>
  <c r="AJ166" i="4" s="1"/>
  <c r="AJ26" i="4" l="1"/>
  <c r="AJ243" i="9"/>
  <c r="AJ16" i="4"/>
  <c r="AJ14" i="4"/>
  <c r="AJ253" i="4"/>
  <c r="AJ183" i="4"/>
  <c r="AJ217" i="9"/>
  <c r="AK218" i="9" s="1"/>
  <c r="AK200" i="9" s="1"/>
  <c r="AJ327" i="4"/>
  <c r="AJ254" i="4"/>
  <c r="AJ252" i="4"/>
  <c r="AJ271" i="4"/>
  <c r="AJ277" i="4" l="1"/>
  <c r="AK202" i="9"/>
  <c r="AK204" i="9" s="1"/>
  <c r="AK70" i="4"/>
  <c r="AL200" i="9"/>
  <c r="AJ316" i="4"/>
  <c r="AJ318" i="4" s="1"/>
  <c r="AJ201" i="4"/>
  <c r="AJ255" i="4"/>
  <c r="AJ256" i="4" s="1"/>
  <c r="AL70" i="4" l="1"/>
  <c r="AL202" i="9"/>
  <c r="AJ321" i="4"/>
  <c r="AJ323" i="4" s="1"/>
  <c r="AJ326" i="4" s="1"/>
  <c r="AJ329" i="4" s="1"/>
  <c r="AJ331" i="4" s="1"/>
  <c r="AJ234" i="4"/>
  <c r="AJ248" i="4" s="1"/>
  <c r="AJ269" i="4"/>
  <c r="AK206" i="9"/>
  <c r="AK208" i="9" s="1"/>
  <c r="AL204" i="9" l="1"/>
  <c r="AK77" i="4"/>
  <c r="AL206" i="9"/>
  <c r="AL34" i="4"/>
  <c r="AL69" i="4"/>
  <c r="AL77" i="4" l="1"/>
  <c r="AL121" i="4"/>
  <c r="AL76" i="4"/>
  <c r="AK69" i="4"/>
  <c r="AL257" i="4"/>
  <c r="AK305" i="4"/>
  <c r="AL33" i="4"/>
  <c r="AK34" i="4"/>
  <c r="AL208" i="9"/>
  <c r="AL78" i="4" l="1"/>
  <c r="AL306" i="4" s="1"/>
  <c r="AL79" i="4"/>
  <c r="AL81" i="4" s="1"/>
  <c r="AK121" i="4"/>
  <c r="AL39" i="4"/>
  <c r="AK39" i="4" s="1"/>
  <c r="AK33" i="4"/>
  <c r="AK257" i="4"/>
  <c r="AK76" i="4"/>
  <c r="AL123" i="4"/>
  <c r="AL305" i="4"/>
  <c r="AL307" i="4" l="1"/>
  <c r="AL308" i="4" s="1"/>
  <c r="AL309" i="4" s="1"/>
  <c r="AL243" i="4"/>
  <c r="AL244" i="4" s="1"/>
  <c r="AL99" i="4"/>
  <c r="AL106" i="4"/>
  <c r="AK78" i="4"/>
  <c r="AK306" i="4" s="1"/>
  <c r="AL87" i="4"/>
  <c r="AL90" i="4" s="1"/>
  <c r="AO86" i="4" s="1"/>
  <c r="AL10" i="4"/>
  <c r="BR62" i="9" s="1"/>
  <c r="AK79" i="4"/>
  <c r="AK10" i="4" s="1"/>
  <c r="AL270" i="4"/>
  <c r="AL82" i="4"/>
  <c r="AL12" i="4" s="1"/>
  <c r="AL11" i="4"/>
  <c r="AK81" i="4"/>
  <c r="AK123" i="4"/>
  <c r="AK124" i="4" s="1"/>
  <c r="AK128" i="4" s="1"/>
  <c r="AL124" i="4"/>
  <c r="AL128" i="4" s="1"/>
  <c r="AK307" i="4" l="1"/>
  <c r="AK308" i="4" s="1"/>
  <c r="AK309" i="4" s="1"/>
  <c r="AK243" i="4"/>
  <c r="AK244" i="4" s="1"/>
  <c r="AK312" i="4" s="1"/>
  <c r="AK314" i="4" s="1"/>
  <c r="AK270" i="4"/>
  <c r="AK99" i="4"/>
  <c r="AK116" i="4"/>
  <c r="AK87" i="4"/>
  <c r="AK90" i="4" s="1"/>
  <c r="AK106" i="4"/>
  <c r="AM86" i="4"/>
  <c r="AK154" i="4"/>
  <c r="AK162" i="4"/>
  <c r="AK22" i="4"/>
  <c r="AK82" i="4"/>
  <c r="AK12" i="4" s="1"/>
  <c r="AK11" i="4"/>
  <c r="AL158" i="4"/>
  <c r="AL162" i="4"/>
  <c r="BR63" i="9" s="1"/>
  <c r="AL154" i="4"/>
  <c r="AL165" i="4" s="1"/>
  <c r="AL22" i="4"/>
  <c r="AL246" i="4"/>
  <c r="AL251" i="4" s="1"/>
  <c r="AL312" i="4"/>
  <c r="AL314" i="4" s="1"/>
  <c r="AL16" i="4"/>
  <c r="AL14" i="4"/>
  <c r="AL243" i="9"/>
  <c r="AL26" i="4"/>
  <c r="F20" i="6"/>
  <c r="F22" i="6" s="1"/>
  <c r="AK246" i="4" l="1"/>
  <c r="AK251" i="4" s="1"/>
  <c r="AL277" i="4"/>
  <c r="AK243" i="9"/>
  <c r="AK14" i="4"/>
  <c r="AK16" i="4"/>
  <c r="AK26" i="4"/>
  <c r="AL161" i="4"/>
  <c r="AK158" i="4"/>
  <c r="AK161" i="4" s="1"/>
  <c r="AM163" i="4"/>
  <c r="AO163" i="4"/>
  <c r="AK165" i="4"/>
  <c r="AL169" i="4"/>
  <c r="AL217" i="9" l="1"/>
  <c r="AL327" i="4"/>
  <c r="AL253" i="4"/>
  <c r="AL252" i="4"/>
  <c r="AL183" i="4"/>
  <c r="AL254" i="4"/>
  <c r="AL271" i="4"/>
  <c r="AK277" i="4"/>
  <c r="AK169" i="4"/>
  <c r="AL166" i="4"/>
  <c r="AL201" i="4" l="1"/>
  <c r="AL316" i="4"/>
  <c r="AL318" i="4" s="1"/>
  <c r="AM218" i="9"/>
  <c r="AM200" i="9" s="1"/>
  <c r="AL218" i="9"/>
  <c r="AK217" i="9"/>
  <c r="AK327" i="4"/>
  <c r="AK183" i="4"/>
  <c r="AK316" i="4" s="1"/>
  <c r="AK318" i="4" s="1"/>
  <c r="AK253" i="4"/>
  <c r="AK252" i="4"/>
  <c r="AK271" i="4"/>
  <c r="AK254" i="4"/>
  <c r="AL255" i="4"/>
  <c r="AK166" i="4"/>
  <c r="AK255" i="4" l="1"/>
  <c r="AK256" i="4" s="1"/>
  <c r="AM70" i="4"/>
  <c r="AM202" i="9"/>
  <c r="AM204" i="9" s="1"/>
  <c r="BR64" i="9"/>
  <c r="AL256" i="4"/>
  <c r="AK201" i="4"/>
  <c r="AL321" i="4"/>
  <c r="AL323" i="4" s="1"/>
  <c r="AL326" i="4" s="1"/>
  <c r="AL329" i="4" s="1"/>
  <c r="AL331" i="4" s="1"/>
  <c r="AL234" i="4"/>
  <c r="AL269" i="4"/>
  <c r="AM206" i="9" l="1"/>
  <c r="AM208" i="9" s="1"/>
  <c r="AM69" i="4"/>
  <c r="AM34" i="4"/>
  <c r="AM33" i="4" s="1"/>
  <c r="AL248" i="4"/>
  <c r="AK234" i="4"/>
  <c r="AK248" i="4" s="1"/>
  <c r="AK321" i="4"/>
  <c r="AK323" i="4" s="1"/>
  <c r="AK326" i="4" s="1"/>
  <c r="AK329" i="4" s="1"/>
  <c r="AK331" i="4" s="1"/>
  <c r="AK269" i="4"/>
  <c r="AM39" i="4" l="1"/>
  <c r="AM257" i="4"/>
  <c r="AM121" i="4"/>
  <c r="AM76" i="4"/>
  <c r="AM77" i="4"/>
  <c r="AM78" i="4" l="1"/>
  <c r="AM305" i="4"/>
  <c r="AM123" i="4"/>
  <c r="AM124" i="4" s="1"/>
  <c r="AM128" i="4" s="1"/>
  <c r="AM79" i="4"/>
  <c r="AM307" i="4" l="1"/>
  <c r="AM306" i="4"/>
  <c r="AM154" i="4"/>
  <c r="AM165" i="4" s="1"/>
  <c r="AM162" i="4"/>
  <c r="AM158" i="4"/>
  <c r="AM161" i="4" s="1"/>
  <c r="AM22" i="4"/>
  <c r="AM106" i="4"/>
  <c r="AM81" i="4"/>
  <c r="AM116" i="4"/>
  <c r="AM99" i="4"/>
  <c r="AM270" i="4"/>
  <c r="AM10" i="4"/>
  <c r="AM243" i="4"/>
  <c r="AM244" i="4" s="1"/>
  <c r="AM87" i="4"/>
  <c r="AM90" i="4" s="1"/>
  <c r="AN86" i="4" s="1"/>
  <c r="AM308" i="4" l="1"/>
  <c r="AM309" i="4" s="1"/>
  <c r="AM11" i="4"/>
  <c r="AM82" i="4"/>
  <c r="AM12" i="4" s="1"/>
  <c r="AM312" i="4"/>
  <c r="AM314" i="4" s="1"/>
  <c r="AM246" i="4"/>
  <c r="AM251" i="4" s="1"/>
  <c r="AM169" i="4"/>
  <c r="AM271" i="4" s="1"/>
  <c r="AN163" i="4"/>
  <c r="AM166" i="4" l="1"/>
  <c r="AM252" i="4"/>
  <c r="AM183" i="4"/>
  <c r="AM254" i="4"/>
  <c r="AM253" i="4"/>
  <c r="AM217" i="9"/>
  <c r="AN218" i="9" s="1"/>
  <c r="AN200" i="9" s="1"/>
  <c r="AM327" i="4"/>
  <c r="AM26" i="4"/>
  <c r="AM14" i="4"/>
  <c r="AM16" i="4"/>
  <c r="AM243" i="9"/>
  <c r="AM316" i="4" l="1"/>
  <c r="AM318" i="4" s="1"/>
  <c r="AM201" i="4"/>
  <c r="AM255" i="4"/>
  <c r="AM256" i="4" s="1"/>
  <c r="AM277" i="4"/>
  <c r="AN202" i="9"/>
  <c r="AN204" i="9" s="1"/>
  <c r="AN70" i="4"/>
  <c r="AO200" i="9"/>
  <c r="AO70" i="4" l="1"/>
  <c r="AO202" i="9"/>
  <c r="AM321" i="4"/>
  <c r="AM323" i="4" s="1"/>
  <c r="AM326" i="4" s="1"/>
  <c r="AM329" i="4" s="1"/>
  <c r="AM331" i="4" s="1"/>
  <c r="AM234" i="4"/>
  <c r="AM248" i="4" s="1"/>
  <c r="AM269" i="4"/>
  <c r="AN206" i="9"/>
  <c r="AN77" i="4" l="1"/>
  <c r="AO206" i="9"/>
  <c r="AO204" i="9"/>
  <c r="AO34" i="4"/>
  <c r="AO69" i="4"/>
  <c r="AN208" i="9"/>
  <c r="AO257" i="4" l="1"/>
  <c r="AO121" i="4"/>
  <c r="AO76" i="4"/>
  <c r="AN69" i="4"/>
  <c r="AN34" i="4"/>
  <c r="AO33" i="4"/>
  <c r="AO208" i="9"/>
  <c r="AO77" i="4"/>
  <c r="AN305" i="4"/>
  <c r="AO78" i="4" l="1"/>
  <c r="AO306" i="4" s="1"/>
  <c r="AO79" i="4"/>
  <c r="AO99" i="4" s="1"/>
  <c r="AN33" i="4"/>
  <c r="AO39" i="4"/>
  <c r="AN39" i="4" s="1"/>
  <c r="AO123" i="4"/>
  <c r="AO124" i="4" s="1"/>
  <c r="AO128" i="4" s="1"/>
  <c r="AO305" i="4"/>
  <c r="AN76" i="4"/>
  <c r="AN257" i="4"/>
  <c r="AN121" i="4"/>
  <c r="AO87" i="4" l="1"/>
  <c r="AO90" i="4" s="1"/>
  <c r="AR86" i="4" s="1"/>
  <c r="AO270" i="4"/>
  <c r="AO81" i="4"/>
  <c r="AO82" i="4" s="1"/>
  <c r="AO12" i="4" s="1"/>
  <c r="AO307" i="4"/>
  <c r="AO308" i="4" s="1"/>
  <c r="AO309" i="4" s="1"/>
  <c r="AO10" i="4"/>
  <c r="BS62" i="9" s="1"/>
  <c r="AN78" i="4"/>
  <c r="AN306" i="4" s="1"/>
  <c r="AN79" i="4"/>
  <c r="AN99" i="4" s="1"/>
  <c r="AO106" i="4"/>
  <c r="AO243" i="4"/>
  <c r="AN243" i="4" s="1"/>
  <c r="AN244" i="4" s="1"/>
  <c r="AO162" i="4"/>
  <c r="BS63" i="9" s="1"/>
  <c r="AO154" i="4"/>
  <c r="AO165" i="4" s="1"/>
  <c r="AO158" i="4"/>
  <c r="AO22" i="4"/>
  <c r="AN123" i="4"/>
  <c r="AN124" i="4" s="1"/>
  <c r="AN128" i="4" s="1"/>
  <c r="AP86" i="4" l="1"/>
  <c r="AN81" i="4"/>
  <c r="AN82" i="4" s="1"/>
  <c r="AN12" i="4" s="1"/>
  <c r="AN10" i="4"/>
  <c r="AN106" i="4"/>
  <c r="AN116" i="4"/>
  <c r="AO11" i="4"/>
  <c r="AO244" i="4"/>
  <c r="AO312" i="4" s="1"/>
  <c r="AO314" i="4" s="1"/>
  <c r="AN87" i="4"/>
  <c r="AN90" i="4" s="1"/>
  <c r="AN270" i="4"/>
  <c r="AN307" i="4"/>
  <c r="AN308" i="4" s="1"/>
  <c r="AN309" i="4" s="1"/>
  <c r="AN22" i="4"/>
  <c r="AN154" i="4"/>
  <c r="AN162" i="4"/>
  <c r="G20" i="6"/>
  <c r="G22" i="6" s="1"/>
  <c r="AO161" i="4"/>
  <c r="AN158" i="4"/>
  <c r="AN161" i="4" s="1"/>
  <c r="AO14" i="4"/>
  <c r="AO243" i="9"/>
  <c r="AO26" i="4"/>
  <c r="AO16" i="4"/>
  <c r="AN246" i="4"/>
  <c r="AN251" i="4" s="1"/>
  <c r="AN312" i="4"/>
  <c r="AN314" i="4" s="1"/>
  <c r="AN165" i="4"/>
  <c r="AR163" i="4"/>
  <c r="AP163" i="4"/>
  <c r="AO169" i="4"/>
  <c r="AO166" i="4" s="1"/>
  <c r="AN11" i="4" l="1"/>
  <c r="AO246" i="4"/>
  <c r="AO251" i="4" s="1"/>
  <c r="AO217" i="9"/>
  <c r="AO327" i="4"/>
  <c r="AO183" i="4"/>
  <c r="AO254" i="4"/>
  <c r="AN169" i="4"/>
  <c r="AN166" i="4" s="1"/>
  <c r="AN243" i="9"/>
  <c r="AN14" i="4"/>
  <c r="AN16" i="4"/>
  <c r="AN26" i="4"/>
  <c r="AO277" i="4"/>
  <c r="AO271" i="4"/>
  <c r="AO252" i="4" l="1"/>
  <c r="AO253" i="4"/>
  <c r="AN254" i="4"/>
  <c r="AO255" i="4"/>
  <c r="AN277" i="4"/>
  <c r="AP218" i="9"/>
  <c r="AP200" i="9" s="1"/>
  <c r="AO218" i="9"/>
  <c r="AN327" i="4"/>
  <c r="AN183" i="4"/>
  <c r="AN316" i="4" s="1"/>
  <c r="AN318" i="4" s="1"/>
  <c r="AN252" i="4"/>
  <c r="AN217" i="9"/>
  <c r="AN253" i="4"/>
  <c r="AN271" i="4"/>
  <c r="AO201" i="4"/>
  <c r="AO316" i="4"/>
  <c r="AO318" i="4" s="1"/>
  <c r="AP70" i="4" l="1"/>
  <c r="AP202" i="9"/>
  <c r="AP204" i="9" s="1"/>
  <c r="AO256" i="4"/>
  <c r="BS64" i="9"/>
  <c r="AN255" i="4"/>
  <c r="AN256" i="4" s="1"/>
  <c r="AN201" i="4"/>
  <c r="AO321" i="4"/>
  <c r="AO323" i="4" s="1"/>
  <c r="AO326" i="4" s="1"/>
  <c r="AO329" i="4" s="1"/>
  <c r="AO331" i="4" s="1"/>
  <c r="AO234" i="4"/>
  <c r="AO269" i="4"/>
  <c r="AP69" i="4" l="1"/>
  <c r="AP34" i="4"/>
  <c r="AP33" i="4" s="1"/>
  <c r="AO248" i="4"/>
  <c r="AN234" i="4"/>
  <c r="AN248" i="4" s="1"/>
  <c r="AN321" i="4"/>
  <c r="AN323" i="4" s="1"/>
  <c r="AN326" i="4" s="1"/>
  <c r="AN329" i="4" s="1"/>
  <c r="AN331" i="4" s="1"/>
  <c r="AN269" i="4"/>
  <c r="AP206" i="9"/>
  <c r="AP77" i="4" l="1"/>
  <c r="AP208" i="9"/>
  <c r="AP39" i="4"/>
  <c r="AP121" i="4"/>
  <c r="AP76" i="4"/>
  <c r="AP257" i="4"/>
  <c r="AP79" i="4" l="1"/>
  <c r="AP270" i="4" s="1"/>
  <c r="AP78" i="4"/>
  <c r="AP305" i="4"/>
  <c r="AP123" i="4"/>
  <c r="AP124" i="4" s="1"/>
  <c r="AP128" i="4" s="1"/>
  <c r="AP87" i="4" l="1"/>
  <c r="AP90" i="4" s="1"/>
  <c r="AQ86" i="4" s="1"/>
  <c r="AP106" i="4"/>
  <c r="AP243" i="4"/>
  <c r="AP244" i="4" s="1"/>
  <c r="AP246" i="4" s="1"/>
  <c r="AP251" i="4" s="1"/>
  <c r="AP99" i="4"/>
  <c r="AP116" i="4"/>
  <c r="AP10" i="4"/>
  <c r="AP81" i="4"/>
  <c r="AP82" i="4" s="1"/>
  <c r="AP12" i="4" s="1"/>
  <c r="AP307" i="4"/>
  <c r="AP306" i="4"/>
  <c r="AP22" i="4"/>
  <c r="AP162" i="4"/>
  <c r="AP154" i="4"/>
  <c r="AP165" i="4" s="1"/>
  <c r="AP158" i="4"/>
  <c r="AP161" i="4" s="1"/>
  <c r="AP312" i="4" l="1"/>
  <c r="AP314" i="4" s="1"/>
  <c r="AP11" i="4"/>
  <c r="AP308" i="4"/>
  <c r="AP309" i="4" s="1"/>
  <c r="AP243" i="9"/>
  <c r="AP26" i="4"/>
  <c r="AP16" i="4"/>
  <c r="AP14" i="4"/>
  <c r="AQ163" i="4"/>
  <c r="AP169" i="4"/>
  <c r="AP253" i="4" l="1"/>
  <c r="AP327" i="4"/>
  <c r="AP183" i="4"/>
  <c r="AP217" i="9"/>
  <c r="AQ218" i="9" s="1"/>
  <c r="AQ200" i="9" s="1"/>
  <c r="AP254" i="4"/>
  <c r="AP252" i="4"/>
  <c r="AP271" i="4"/>
  <c r="AP166" i="4"/>
  <c r="AP277" i="4"/>
  <c r="AQ202" i="9" l="1"/>
  <c r="AQ204" i="9" s="1"/>
  <c r="AQ70" i="4"/>
  <c r="AR200" i="9"/>
  <c r="AP316" i="4"/>
  <c r="AP318" i="4" s="1"/>
  <c r="AP201" i="4"/>
  <c r="AP255" i="4"/>
  <c r="AP256" i="4" s="1"/>
  <c r="AR70" i="4" l="1"/>
  <c r="AR202" i="9"/>
  <c r="AP321" i="4"/>
  <c r="AP323" i="4" s="1"/>
  <c r="AP326" i="4" s="1"/>
  <c r="AP329" i="4" s="1"/>
  <c r="AP331" i="4" s="1"/>
  <c r="AP234" i="4"/>
  <c r="AP248" i="4" s="1"/>
  <c r="AP269" i="4"/>
  <c r="AQ206" i="9"/>
  <c r="AQ208" i="9" s="1"/>
  <c r="AQ77" i="4" l="1"/>
  <c r="AR206" i="9"/>
  <c r="AR204" i="9"/>
  <c r="AR69" i="4"/>
  <c r="AR34" i="4"/>
  <c r="AR208" i="9" l="1"/>
  <c r="AR33" i="4"/>
  <c r="AQ34" i="4"/>
  <c r="AR77" i="4"/>
  <c r="AR121" i="4"/>
  <c r="AR76" i="4"/>
  <c r="AQ69" i="4"/>
  <c r="AR257" i="4"/>
  <c r="AQ305" i="4"/>
  <c r="AR78" i="4" l="1"/>
  <c r="AR306" i="4" s="1"/>
  <c r="AQ257" i="4"/>
  <c r="AQ76" i="4"/>
  <c r="AQ121" i="4"/>
  <c r="AQ33" i="4"/>
  <c r="AR39" i="4"/>
  <c r="AQ39" i="4" s="1"/>
  <c r="AR305" i="4"/>
  <c r="AR123" i="4"/>
  <c r="AR79" i="4"/>
  <c r="AR307" i="4" l="1"/>
  <c r="AR308" i="4" s="1"/>
  <c r="AR309" i="4" s="1"/>
  <c r="AQ78" i="4"/>
  <c r="AQ306" i="4" s="1"/>
  <c r="AQ123" i="4"/>
  <c r="AQ124" i="4" s="1"/>
  <c r="AQ128" i="4" s="1"/>
  <c r="AR124" i="4"/>
  <c r="AR128" i="4" s="1"/>
  <c r="AR106" i="4"/>
  <c r="AQ79" i="4"/>
  <c r="AR81" i="4"/>
  <c r="AR270" i="4"/>
  <c r="AR10" i="4"/>
  <c r="BT62" i="9" s="1"/>
  <c r="AR99" i="4"/>
  <c r="AR243" i="4"/>
  <c r="AR87" i="4"/>
  <c r="AR90" i="4" s="1"/>
  <c r="AQ307" i="4" l="1"/>
  <c r="AQ308" i="4" s="1"/>
  <c r="AQ309" i="4" s="1"/>
  <c r="AQ162" i="4"/>
  <c r="AQ22" i="4"/>
  <c r="AQ154" i="4"/>
  <c r="AR82" i="4"/>
  <c r="AR12" i="4" s="1"/>
  <c r="AR11" i="4"/>
  <c r="AQ81" i="4"/>
  <c r="H20" i="6"/>
  <c r="H22" i="6" s="1"/>
  <c r="AR244" i="4"/>
  <c r="AQ243" i="4"/>
  <c r="AQ244" i="4" s="1"/>
  <c r="AR22" i="4"/>
  <c r="AR154" i="4"/>
  <c r="AR165" i="4" s="1"/>
  <c r="AR162" i="4"/>
  <c r="BT63" i="9" s="1"/>
  <c r="AR158" i="4"/>
  <c r="AQ116" i="4"/>
  <c r="AQ99" i="4"/>
  <c r="AQ270" i="4"/>
  <c r="AQ106" i="4"/>
  <c r="AQ10" i="4"/>
  <c r="AQ87" i="4"/>
  <c r="AQ90" i="4" s="1"/>
  <c r="AU86" i="4"/>
  <c r="AS86" i="4"/>
  <c r="AU163" i="4" l="1"/>
  <c r="AS163" i="4"/>
  <c r="AQ165" i="4"/>
  <c r="AR169" i="4"/>
  <c r="AR166" i="4" s="1"/>
  <c r="AR312" i="4"/>
  <c r="AR314" i="4" s="1"/>
  <c r="AR246" i="4"/>
  <c r="AR251" i="4" s="1"/>
  <c r="AR14" i="4"/>
  <c r="AR26" i="4"/>
  <c r="AR243" i="9"/>
  <c r="AR16" i="4"/>
  <c r="AQ11" i="4"/>
  <c r="AQ82" i="4"/>
  <c r="AQ12" i="4" s="1"/>
  <c r="AR161" i="4"/>
  <c r="AQ158" i="4"/>
  <c r="AQ161" i="4" s="1"/>
  <c r="AQ246" i="4"/>
  <c r="AQ251" i="4" s="1"/>
  <c r="AQ312" i="4"/>
  <c r="AQ314" i="4" s="1"/>
  <c r="AR271" i="4" l="1"/>
  <c r="AQ26" i="4"/>
  <c r="AQ16" i="4"/>
  <c r="AQ14" i="4"/>
  <c r="AQ243" i="9"/>
  <c r="AQ169" i="4"/>
  <c r="AQ166" i="4" s="1"/>
  <c r="AR277" i="4"/>
  <c r="AR252" i="4"/>
  <c r="AR217" i="9"/>
  <c r="AR254" i="4"/>
  <c r="AR253" i="4"/>
  <c r="AR183" i="4"/>
  <c r="AR327" i="4"/>
  <c r="AR255" i="4" l="1"/>
  <c r="AQ254" i="4"/>
  <c r="AR316" i="4"/>
  <c r="AR318" i="4" s="1"/>
  <c r="AR201" i="4"/>
  <c r="AQ253" i="4"/>
  <c r="AQ327" i="4"/>
  <c r="AQ183" i="4"/>
  <c r="AQ316" i="4" s="1"/>
  <c r="AQ318" i="4" s="1"/>
  <c r="AQ217" i="9"/>
  <c r="AQ252" i="4"/>
  <c r="AQ271" i="4"/>
  <c r="AQ277" i="4"/>
  <c r="AS218" i="9"/>
  <c r="AS200" i="9" s="1"/>
  <c r="AR218" i="9"/>
  <c r="AS70" i="4" l="1"/>
  <c r="AS202" i="9"/>
  <c r="AS204" i="9" s="1"/>
  <c r="AQ255" i="4"/>
  <c r="AQ256" i="4" s="1"/>
  <c r="AR321" i="4"/>
  <c r="AR323" i="4" s="1"/>
  <c r="AR326" i="4" s="1"/>
  <c r="AR329" i="4" s="1"/>
  <c r="AR331" i="4" s="1"/>
  <c r="AQ201" i="4"/>
  <c r="AR234" i="4"/>
  <c r="AR269" i="4"/>
  <c r="BT64" i="9"/>
  <c r="AR256" i="4"/>
  <c r="AQ234" i="4" l="1"/>
  <c r="AQ248" i="4" s="1"/>
  <c r="AR248" i="4"/>
  <c r="AQ321" i="4"/>
  <c r="AQ323" i="4" s="1"/>
  <c r="AQ326" i="4" s="1"/>
  <c r="AQ329" i="4" s="1"/>
  <c r="AQ331" i="4" s="1"/>
  <c r="AQ269" i="4"/>
  <c r="AS206" i="9"/>
  <c r="AS208" i="9" s="1"/>
  <c r="AS34" i="4"/>
  <c r="AS33" i="4" s="1"/>
  <c r="AS69" i="4"/>
  <c r="AS121" i="4" l="1"/>
  <c r="AS76" i="4"/>
  <c r="AS257" i="4"/>
  <c r="AS39" i="4"/>
  <c r="AS77" i="4"/>
  <c r="AS78" i="4" l="1"/>
  <c r="AS307" i="4" s="1"/>
  <c r="AS305" i="4"/>
  <c r="AS123" i="4"/>
  <c r="AS124" i="4" s="1"/>
  <c r="AS128" i="4" s="1"/>
  <c r="AS79" i="4"/>
  <c r="AS306" i="4" l="1"/>
  <c r="AS308" i="4" s="1"/>
  <c r="AS309" i="4" s="1"/>
  <c r="AS154" i="4"/>
  <c r="AS165" i="4" s="1"/>
  <c r="AS22" i="4"/>
  <c r="AS158" i="4"/>
  <c r="AS161" i="4" s="1"/>
  <c r="AS162" i="4"/>
  <c r="AS81" i="4"/>
  <c r="AS270" i="4"/>
  <c r="AS10" i="4"/>
  <c r="AS116" i="4"/>
  <c r="AS99" i="4"/>
  <c r="AS106" i="4"/>
  <c r="AS243" i="4"/>
  <c r="AS244" i="4" s="1"/>
  <c r="AS87" i="4"/>
  <c r="AS90" i="4" s="1"/>
  <c r="AT86" i="4" s="1"/>
  <c r="AS312" i="4" l="1"/>
  <c r="AS314" i="4" s="1"/>
  <c r="AS246" i="4"/>
  <c r="AS251" i="4" s="1"/>
  <c r="AS82" i="4"/>
  <c r="AS12" i="4" s="1"/>
  <c r="AS11" i="4"/>
  <c r="AT163" i="4"/>
  <c r="AS169" i="4"/>
  <c r="AS271" i="4" s="1"/>
  <c r="AS166" i="4" l="1"/>
  <c r="AS183" i="4"/>
  <c r="AS254" i="4"/>
  <c r="AS252" i="4"/>
  <c r="AS253" i="4"/>
  <c r="AS327" i="4"/>
  <c r="AS217" i="9"/>
  <c r="AT218" i="9" s="1"/>
  <c r="AT200" i="9" s="1"/>
  <c r="AS243" i="9"/>
  <c r="AS16" i="4"/>
  <c r="AS14" i="4"/>
  <c r="AS26" i="4"/>
  <c r="AS277" i="4" l="1"/>
  <c r="AT202" i="9"/>
  <c r="AT204" i="9" s="1"/>
  <c r="AT70" i="4"/>
  <c r="AU200" i="9"/>
  <c r="AS255" i="4"/>
  <c r="AS256" i="4" s="1"/>
  <c r="AS201" i="4"/>
  <c r="AS316" i="4"/>
  <c r="AS318" i="4" s="1"/>
  <c r="AS234" i="4" l="1"/>
  <c r="AS248" i="4" s="1"/>
  <c r="AS321" i="4"/>
  <c r="AS323" i="4" s="1"/>
  <c r="AS326" i="4" s="1"/>
  <c r="AS329" i="4" s="1"/>
  <c r="AS331" i="4" s="1"/>
  <c r="AS269" i="4"/>
  <c r="AT206" i="9"/>
  <c r="AT208" i="9" s="1"/>
  <c r="AU202" i="9"/>
  <c r="AU70" i="4"/>
  <c r="AU204" i="9" l="1"/>
  <c r="AU69" i="4"/>
  <c r="AU34" i="4"/>
  <c r="AT77" i="4"/>
  <c r="AU206" i="9"/>
  <c r="AU208" i="9" l="1"/>
  <c r="AT305" i="4"/>
  <c r="AT34" i="4"/>
  <c r="AU33" i="4"/>
  <c r="AT69" i="4"/>
  <c r="AU121" i="4"/>
  <c r="AU76" i="4"/>
  <c r="AU257" i="4"/>
  <c r="AU77" i="4"/>
  <c r="AU78" i="4" l="1"/>
  <c r="AU306" i="4" s="1"/>
  <c r="AT121" i="4"/>
  <c r="AU305" i="4"/>
  <c r="AU123" i="4"/>
  <c r="AU124" i="4" s="1"/>
  <c r="AU128" i="4" s="1"/>
  <c r="AT76" i="4"/>
  <c r="AT257" i="4"/>
  <c r="AU79" i="4"/>
  <c r="AU39" i="4"/>
  <c r="AT39" i="4" s="1"/>
  <c r="AT33" i="4"/>
  <c r="AU307" i="4" l="1"/>
  <c r="AU308" i="4" s="1"/>
  <c r="AU309" i="4" s="1"/>
  <c r="AT78" i="4"/>
  <c r="AT307" i="4" s="1"/>
  <c r="AU162" i="4"/>
  <c r="BU63" i="9" s="1"/>
  <c r="AU154" i="4"/>
  <c r="AU165" i="4" s="1"/>
  <c r="AU158" i="4"/>
  <c r="AU22" i="4"/>
  <c r="AT79" i="4"/>
  <c r="AU106" i="4"/>
  <c r="AU10" i="4"/>
  <c r="BU62" i="9" s="1"/>
  <c r="AU81" i="4"/>
  <c r="AU270" i="4"/>
  <c r="AU99" i="4"/>
  <c r="AU243" i="4"/>
  <c r="AU87" i="4"/>
  <c r="AU90" i="4" s="1"/>
  <c r="AT123" i="4"/>
  <c r="AT124" i="4" s="1"/>
  <c r="AT128" i="4" s="1"/>
  <c r="AT306" i="4" l="1"/>
  <c r="AT308" i="4" s="1"/>
  <c r="AT309" i="4" s="1"/>
  <c r="AT22" i="4"/>
  <c r="AT162" i="4"/>
  <c r="AT154" i="4"/>
  <c r="AU244" i="4"/>
  <c r="AT243" i="4"/>
  <c r="AT244" i="4" s="1"/>
  <c r="AU161" i="4"/>
  <c r="AT158" i="4"/>
  <c r="AT161" i="4" s="1"/>
  <c r="AV163" i="4"/>
  <c r="AX163" i="4"/>
  <c r="AU169" i="4"/>
  <c r="AT165" i="4"/>
  <c r="I20" i="6"/>
  <c r="I22" i="6" s="1"/>
  <c r="AT106" i="4"/>
  <c r="AT116" i="4"/>
  <c r="AT99" i="4"/>
  <c r="AT270" i="4"/>
  <c r="AT10" i="4"/>
  <c r="AT87" i="4"/>
  <c r="AT90" i="4" s="1"/>
  <c r="AX86" i="4"/>
  <c r="AV86" i="4"/>
  <c r="AU82" i="4"/>
  <c r="AU12" i="4" s="1"/>
  <c r="AT81" i="4"/>
  <c r="AU11" i="4"/>
  <c r="AU183" i="4" l="1"/>
  <c r="AU217" i="9"/>
  <c r="AU327" i="4"/>
  <c r="AU254" i="4"/>
  <c r="AT312" i="4"/>
  <c r="AT314" i="4" s="1"/>
  <c r="AT246" i="4"/>
  <c r="AT251" i="4" s="1"/>
  <c r="AU14" i="4"/>
  <c r="AU26" i="4"/>
  <c r="AU16" i="4"/>
  <c r="AU243" i="9"/>
  <c r="AU166" i="4"/>
  <c r="AU312" i="4"/>
  <c r="AU314" i="4" s="1"/>
  <c r="AU246" i="4"/>
  <c r="AU251" i="4" s="1"/>
  <c r="AU271" i="4"/>
  <c r="AT82" i="4"/>
  <c r="AT12" i="4" s="1"/>
  <c r="AT11" i="4"/>
  <c r="AT169" i="4"/>
  <c r="AU277" i="4" l="1"/>
  <c r="AV218" i="9"/>
  <c r="AV200" i="9" s="1"/>
  <c r="AU218" i="9"/>
  <c r="AT183" i="4"/>
  <c r="AT316" i="4" s="1"/>
  <c r="AT318" i="4" s="1"/>
  <c r="AT327" i="4"/>
  <c r="AT252" i="4"/>
  <c r="AT217" i="9"/>
  <c r="AT253" i="4"/>
  <c r="AU252" i="4"/>
  <c r="AT14" i="4"/>
  <c r="AT243" i="9"/>
  <c r="AT26" i="4"/>
  <c r="AT16" i="4"/>
  <c r="AT254" i="4"/>
  <c r="AU255" i="4"/>
  <c r="AU316" i="4"/>
  <c r="AU318" i="4" s="1"/>
  <c r="AU201" i="4"/>
  <c r="AT166" i="4"/>
  <c r="AT271" i="4"/>
  <c r="AU253" i="4"/>
  <c r="AU234" i="4" l="1"/>
  <c r="AT201" i="4"/>
  <c r="AU321" i="4"/>
  <c r="AU323" i="4" s="1"/>
  <c r="AU326" i="4" s="1"/>
  <c r="AU329" i="4" s="1"/>
  <c r="AU331" i="4" s="1"/>
  <c r="AU269" i="4"/>
  <c r="AV202" i="9"/>
  <c r="AV204" i="9" s="1"/>
  <c r="AV70" i="4"/>
  <c r="BU64" i="9"/>
  <c r="AU256" i="4"/>
  <c r="AT255" i="4"/>
  <c r="AT256" i="4" s="1"/>
  <c r="AT277" i="4"/>
  <c r="AV206" i="9" l="1"/>
  <c r="AV208" i="9" s="1"/>
  <c r="AT321" i="4"/>
  <c r="AT323" i="4" s="1"/>
  <c r="AT326" i="4" s="1"/>
  <c r="AT329" i="4" s="1"/>
  <c r="AT331" i="4" s="1"/>
  <c r="AT269" i="4"/>
  <c r="AV34" i="4"/>
  <c r="AV33" i="4" s="1"/>
  <c r="AV69" i="4"/>
  <c r="AU248" i="4"/>
  <c r="AT234" i="4"/>
  <c r="AT248" i="4" s="1"/>
  <c r="AV121" i="4" l="1"/>
  <c r="AV76" i="4"/>
  <c r="AV257" i="4"/>
  <c r="AV39" i="4"/>
  <c r="AV77" i="4"/>
  <c r="AV78" i="4" l="1"/>
  <c r="AV306" i="4" s="1"/>
  <c r="AV123" i="4"/>
  <c r="AV124" i="4" s="1"/>
  <c r="AV128" i="4" s="1"/>
  <c r="AV305" i="4"/>
  <c r="AV79" i="4"/>
  <c r="AV307" i="4" l="1"/>
  <c r="AV308" i="4" s="1"/>
  <c r="AV309" i="4" s="1"/>
  <c r="AV158" i="4"/>
  <c r="AV161" i="4" s="1"/>
  <c r="AV154" i="4"/>
  <c r="AV165" i="4" s="1"/>
  <c r="AV22" i="4"/>
  <c r="AV162" i="4"/>
  <c r="AV270" i="4"/>
  <c r="AV81" i="4"/>
  <c r="AV99" i="4"/>
  <c r="AV10" i="4"/>
  <c r="AV106" i="4"/>
  <c r="AV116" i="4"/>
  <c r="AV243" i="4"/>
  <c r="AV244" i="4" s="1"/>
  <c r="AV87" i="4"/>
  <c r="AV90" i="4" s="1"/>
  <c r="AW86" i="4" s="1"/>
  <c r="AV312" i="4" l="1"/>
  <c r="AV314" i="4" s="1"/>
  <c r="AV246" i="4"/>
  <c r="AV251" i="4" s="1"/>
  <c r="AV82" i="4"/>
  <c r="AV12" i="4" s="1"/>
  <c r="AV11" i="4"/>
  <c r="AW163" i="4"/>
  <c r="AV169" i="4"/>
  <c r="AV254" i="4" l="1"/>
  <c r="AV253" i="4"/>
  <c r="AV252" i="4"/>
  <c r="AV183" i="4"/>
  <c r="AV327" i="4"/>
  <c r="AV217" i="9"/>
  <c r="AW218" i="9" s="1"/>
  <c r="AW200" i="9" s="1"/>
  <c r="AV16" i="4"/>
  <c r="AV26" i="4"/>
  <c r="AV14" i="4"/>
  <c r="AV243" i="9"/>
  <c r="AV166" i="4"/>
  <c r="AV271" i="4"/>
  <c r="AV255" i="4" l="1"/>
  <c r="AV256" i="4" s="1"/>
  <c r="AV316" i="4"/>
  <c r="AV318" i="4" s="1"/>
  <c r="AV201" i="4"/>
  <c r="AV277" i="4"/>
  <c r="AW202" i="9"/>
  <c r="AW204" i="9" s="1"/>
  <c r="AW70" i="4"/>
  <c r="AX200" i="9"/>
  <c r="AX202" i="9" l="1"/>
  <c r="AX70" i="4"/>
  <c r="AV321" i="4"/>
  <c r="AV323" i="4" s="1"/>
  <c r="AV326" i="4" s="1"/>
  <c r="AV329" i="4" s="1"/>
  <c r="AV331" i="4" s="1"/>
  <c r="AV234" i="4"/>
  <c r="AV248" i="4" s="1"/>
  <c r="AV269" i="4"/>
  <c r="AW206" i="9"/>
  <c r="AW77" i="4" l="1"/>
  <c r="AX206" i="9"/>
  <c r="AX34" i="4"/>
  <c r="AX69" i="4"/>
  <c r="AX204" i="9"/>
  <c r="AW208" i="9"/>
  <c r="AX257" i="4" l="1"/>
  <c r="AX121" i="4"/>
  <c r="AX76" i="4"/>
  <c r="AW69" i="4"/>
  <c r="AW34" i="4"/>
  <c r="AX33" i="4"/>
  <c r="AX77" i="4"/>
  <c r="AX208" i="9"/>
  <c r="AW305" i="4"/>
  <c r="AX78" i="4" l="1"/>
  <c r="AX306" i="4" s="1"/>
  <c r="AX79" i="4"/>
  <c r="AX10" i="4" s="1"/>
  <c r="BV62" i="9" s="1"/>
  <c r="AX305" i="4"/>
  <c r="AX123" i="4"/>
  <c r="AW33" i="4"/>
  <c r="AX39" i="4"/>
  <c r="AW39" i="4" s="1"/>
  <c r="AW121" i="4"/>
  <c r="AW76" i="4"/>
  <c r="AW257" i="4"/>
  <c r="AX307" i="4" l="1"/>
  <c r="AX308" i="4" s="1"/>
  <c r="AX309" i="4" s="1"/>
  <c r="AX81" i="4"/>
  <c r="AW81" i="4" s="1"/>
  <c r="AX87" i="4"/>
  <c r="AX90" i="4" s="1"/>
  <c r="AY86" i="4" s="1"/>
  <c r="AX270" i="4"/>
  <c r="AX243" i="4"/>
  <c r="AX244" i="4" s="1"/>
  <c r="AW79" i="4"/>
  <c r="AW270" i="4" s="1"/>
  <c r="AW78" i="4"/>
  <c r="AW306" i="4" s="1"/>
  <c r="AX106" i="4"/>
  <c r="AX99" i="4"/>
  <c r="AW123" i="4"/>
  <c r="AW124" i="4" s="1"/>
  <c r="AW128" i="4" s="1"/>
  <c r="AX124" i="4"/>
  <c r="AX128" i="4" s="1"/>
  <c r="AX82" i="4" l="1"/>
  <c r="AX12" i="4" s="1"/>
  <c r="AX14" i="4" s="1"/>
  <c r="AX11" i="4"/>
  <c r="AW10" i="4"/>
  <c r="AW307" i="4"/>
  <c r="AW308" i="4" s="1"/>
  <c r="AW309" i="4" s="1"/>
  <c r="AW243" i="4"/>
  <c r="AW244" i="4" s="1"/>
  <c r="AW312" i="4" s="1"/>
  <c r="AW314" i="4" s="1"/>
  <c r="BA86" i="4"/>
  <c r="AW99" i="4"/>
  <c r="AW87" i="4"/>
  <c r="AW90" i="4" s="1"/>
  <c r="AW116" i="4"/>
  <c r="AW106" i="4"/>
  <c r="AW154" i="4"/>
  <c r="AW162" i="4"/>
  <c r="AW22" i="4"/>
  <c r="AX22" i="4"/>
  <c r="AX154" i="4"/>
  <c r="AX165" i="4" s="1"/>
  <c r="AX158" i="4"/>
  <c r="AX162" i="4"/>
  <c r="BV63" i="9" s="1"/>
  <c r="AW82" i="4"/>
  <c r="AW12" i="4" s="1"/>
  <c r="AW11" i="4"/>
  <c r="J20" i="6"/>
  <c r="J22" i="6" s="1"/>
  <c r="AX312" i="4"/>
  <c r="AX314" i="4" s="1"/>
  <c r="AX246" i="4"/>
  <c r="AX251" i="4" s="1"/>
  <c r="AX16" i="4" l="1"/>
  <c r="AX26" i="4"/>
  <c r="AX243" i="9"/>
  <c r="AW246" i="4"/>
  <c r="AW251" i="4" s="1"/>
  <c r="AW158" i="4"/>
  <c r="AW161" i="4" s="1"/>
  <c r="AX161" i="4"/>
  <c r="AX277" i="4"/>
  <c r="AW16" i="4"/>
  <c r="AW14" i="4"/>
  <c r="AW243" i="9"/>
  <c r="AW26" i="4"/>
  <c r="BA163" i="4"/>
  <c r="AY163" i="4"/>
  <c r="AX169" i="4"/>
  <c r="AW165" i="4"/>
  <c r="AX252" i="4" l="1"/>
  <c r="AX183" i="4"/>
  <c r="AX254" i="4"/>
  <c r="AX253" i="4"/>
  <c r="AX217" i="9"/>
  <c r="AX327" i="4"/>
  <c r="AX271" i="4"/>
  <c r="AX166" i="4"/>
  <c r="AW277" i="4"/>
  <c r="AW169" i="4"/>
  <c r="AW183" i="4" l="1"/>
  <c r="AW316" i="4" s="1"/>
  <c r="AW318" i="4" s="1"/>
  <c r="AW217" i="9"/>
  <c r="AW252" i="4"/>
  <c r="AW253" i="4"/>
  <c r="AW327" i="4"/>
  <c r="AW271" i="4"/>
  <c r="AW166" i="4"/>
  <c r="AX255" i="4"/>
  <c r="AW254" i="4"/>
  <c r="AX201" i="4"/>
  <c r="AX316" i="4"/>
  <c r="AX318" i="4" s="1"/>
  <c r="AY218" i="9"/>
  <c r="AY200" i="9" s="1"/>
  <c r="AX218" i="9"/>
  <c r="AY70" i="4" l="1"/>
  <c r="AY202" i="9"/>
  <c r="AY204" i="9" s="1"/>
  <c r="AW255" i="4"/>
  <c r="AW256" i="4" s="1"/>
  <c r="AW201" i="4"/>
  <c r="AX234" i="4"/>
  <c r="AX321" i="4"/>
  <c r="AX323" i="4" s="1"/>
  <c r="AX326" i="4" s="1"/>
  <c r="AX329" i="4" s="1"/>
  <c r="AX331" i="4" s="1"/>
  <c r="AX269" i="4"/>
  <c r="BV64" i="9"/>
  <c r="AX256" i="4"/>
  <c r="AX248" i="4" l="1"/>
  <c r="AW234" i="4"/>
  <c r="AW248" i="4" s="1"/>
  <c r="AY206" i="9"/>
  <c r="AY208" i="9" s="1"/>
  <c r="AW321" i="4"/>
  <c r="AW323" i="4" s="1"/>
  <c r="AW326" i="4" s="1"/>
  <c r="AW329" i="4" s="1"/>
  <c r="AW331" i="4" s="1"/>
  <c r="AW269" i="4"/>
  <c r="AY34" i="4"/>
  <c r="AY33" i="4" s="1"/>
  <c r="AY69" i="4"/>
  <c r="AY257" i="4" l="1"/>
  <c r="AY76" i="4"/>
  <c r="AY121" i="4"/>
  <c r="AY39" i="4"/>
  <c r="AY77" i="4"/>
  <c r="AY78" i="4" l="1"/>
  <c r="AY307" i="4" s="1"/>
  <c r="AY123" i="4"/>
  <c r="AY124" i="4" s="1"/>
  <c r="AY128" i="4" s="1"/>
  <c r="AY305" i="4"/>
  <c r="AY79" i="4"/>
  <c r="AY306" i="4" l="1"/>
  <c r="AY308" i="4" s="1"/>
  <c r="AY309" i="4" s="1"/>
  <c r="AY81" i="4"/>
  <c r="AY270" i="4"/>
  <c r="AY10" i="4"/>
  <c r="AY106" i="4"/>
  <c r="AY99" i="4"/>
  <c r="AY116" i="4"/>
  <c r="AY243" i="4"/>
  <c r="AY244" i="4" s="1"/>
  <c r="AY87" i="4"/>
  <c r="AY90" i="4" s="1"/>
  <c r="AZ86" i="4" s="1"/>
  <c r="AY162" i="4"/>
  <c r="AY154" i="4"/>
  <c r="AY165" i="4" s="1"/>
  <c r="AY22" i="4"/>
  <c r="AY158" i="4"/>
  <c r="AY161" i="4" s="1"/>
  <c r="AY246" i="4" l="1"/>
  <c r="AY251" i="4" s="1"/>
  <c r="AY312" i="4"/>
  <c r="AY314" i="4" s="1"/>
  <c r="AZ163" i="4"/>
  <c r="AY169" i="4"/>
  <c r="AY82" i="4"/>
  <c r="AY12" i="4" s="1"/>
  <c r="AY11" i="4"/>
  <c r="AY254" i="4" l="1"/>
  <c r="AY252" i="4"/>
  <c r="AY183" i="4"/>
  <c r="AY327" i="4"/>
  <c r="AY217" i="9"/>
  <c r="AZ218" i="9" s="1"/>
  <c r="AZ200" i="9" s="1"/>
  <c r="AY253" i="4"/>
  <c r="AY166" i="4"/>
  <c r="AY26" i="4"/>
  <c r="AY14" i="4"/>
  <c r="AY243" i="9"/>
  <c r="AY16" i="4"/>
  <c r="AY271" i="4"/>
  <c r="AY277" i="4" l="1"/>
  <c r="AY316" i="4"/>
  <c r="AY318" i="4" s="1"/>
  <c r="AY201" i="4"/>
  <c r="AZ70" i="4"/>
  <c r="AZ202" i="9"/>
  <c r="AZ204" i="9" s="1"/>
  <c r="BA200" i="9"/>
  <c r="AY255" i="4"/>
  <c r="AY256" i="4" s="1"/>
  <c r="BA202" i="9" l="1"/>
  <c r="BA70" i="4"/>
  <c r="AY321" i="4"/>
  <c r="AY323" i="4" s="1"/>
  <c r="AY326" i="4" s="1"/>
  <c r="AY329" i="4" s="1"/>
  <c r="AY331" i="4" s="1"/>
  <c r="AY234" i="4"/>
  <c r="AY248" i="4" s="1"/>
  <c r="AY269" i="4"/>
  <c r="AZ206" i="9"/>
  <c r="AZ77" i="4" l="1"/>
  <c r="BA206" i="9"/>
  <c r="BA69" i="4"/>
  <c r="BA34" i="4"/>
  <c r="AZ208" i="9"/>
  <c r="BA204" i="9"/>
  <c r="BA208" i="9" l="1"/>
  <c r="AZ34" i="4"/>
  <c r="BA33" i="4"/>
  <c r="BA121" i="4"/>
  <c r="BA257" i="4"/>
  <c r="BA76" i="4"/>
  <c r="AZ69" i="4"/>
  <c r="BA77" i="4"/>
  <c r="AZ305" i="4"/>
  <c r="BA78" i="4" l="1"/>
  <c r="BA306" i="4" s="1"/>
  <c r="BA305" i="4"/>
  <c r="BA123" i="4"/>
  <c r="AZ121" i="4"/>
  <c r="AZ257" i="4"/>
  <c r="AZ76" i="4"/>
  <c r="AZ33" i="4"/>
  <c r="BA39" i="4"/>
  <c r="AZ39" i="4" s="1"/>
  <c r="BA79" i="4"/>
  <c r="BA307" i="4" l="1"/>
  <c r="BA308" i="4" s="1"/>
  <c r="BA309" i="4" s="1"/>
  <c r="AZ78" i="4"/>
  <c r="AZ306" i="4" s="1"/>
  <c r="AZ123" i="4"/>
  <c r="AZ124" i="4" s="1"/>
  <c r="AZ128" i="4" s="1"/>
  <c r="BA124" i="4"/>
  <c r="BA128" i="4" s="1"/>
  <c r="BA99" i="4"/>
  <c r="BA81" i="4"/>
  <c r="AZ79" i="4"/>
  <c r="BA10" i="4"/>
  <c r="BW62" i="9" s="1"/>
  <c r="BA106" i="4"/>
  <c r="BA270" i="4"/>
  <c r="BA243" i="4"/>
  <c r="BA87" i="4"/>
  <c r="BA90" i="4" s="1"/>
  <c r="AZ307" i="4" l="1"/>
  <c r="AZ308" i="4" s="1"/>
  <c r="AZ309" i="4" s="1"/>
  <c r="BD86" i="4"/>
  <c r="BB86" i="4"/>
  <c r="BA22" i="4"/>
  <c r="BA154" i="4"/>
  <c r="BA165" i="4" s="1"/>
  <c r="BA158" i="4"/>
  <c r="BA162" i="4"/>
  <c r="BW63" i="9" s="1"/>
  <c r="BA244" i="4"/>
  <c r="AZ243" i="4"/>
  <c r="AZ244" i="4" s="1"/>
  <c r="AZ270" i="4"/>
  <c r="AZ10" i="4"/>
  <c r="AZ106" i="4"/>
  <c r="AZ116" i="4"/>
  <c r="AZ99" i="4"/>
  <c r="AZ87" i="4"/>
  <c r="AZ90" i="4" s="1"/>
  <c r="AZ162" i="4"/>
  <c r="AZ154" i="4"/>
  <c r="AZ22" i="4"/>
  <c r="BA82" i="4"/>
  <c r="BA12" i="4" s="1"/>
  <c r="AZ81" i="4"/>
  <c r="BA11" i="4"/>
  <c r="K20" i="6"/>
  <c r="K22" i="6" s="1"/>
  <c r="BA14" i="4" l="1"/>
  <c r="BA243" i="9"/>
  <c r="BA26" i="4"/>
  <c r="BA16" i="4"/>
  <c r="BA312" i="4"/>
  <c r="BA314" i="4" s="1"/>
  <c r="BA246" i="4"/>
  <c r="BA251" i="4" s="1"/>
  <c r="BB163" i="4"/>
  <c r="BA169" i="4"/>
  <c r="BA271" i="4" s="1"/>
  <c r="AZ165" i="4"/>
  <c r="BD163" i="4"/>
  <c r="AZ312" i="4"/>
  <c r="AZ314" i="4" s="1"/>
  <c r="AZ246" i="4"/>
  <c r="AZ251" i="4" s="1"/>
  <c r="AZ82" i="4"/>
  <c r="AZ12" i="4" s="1"/>
  <c r="AZ11" i="4"/>
  <c r="AZ158" i="4"/>
  <c r="AZ161" i="4" s="1"/>
  <c r="BA161" i="4"/>
  <c r="AZ169" i="4" l="1"/>
  <c r="AZ166" i="4" s="1"/>
  <c r="BA253" i="4"/>
  <c r="BA183" i="4"/>
  <c r="BA254" i="4"/>
  <c r="BA217" i="9"/>
  <c r="BA327" i="4"/>
  <c r="BA252" i="4"/>
  <c r="BA277" i="4"/>
  <c r="AZ14" i="4"/>
  <c r="AZ26" i="4"/>
  <c r="AZ16" i="4"/>
  <c r="AZ243" i="9"/>
  <c r="BA166" i="4"/>
  <c r="BA316" i="4" l="1"/>
  <c r="BA318" i="4" s="1"/>
  <c r="BA201" i="4"/>
  <c r="AZ277" i="4"/>
  <c r="BB218" i="9"/>
  <c r="BB200" i="9" s="1"/>
  <c r="BA218" i="9"/>
  <c r="BA255" i="4"/>
  <c r="AZ254" i="4"/>
  <c r="AZ252" i="4"/>
  <c r="AZ253" i="4"/>
  <c r="AZ217" i="9"/>
  <c r="AZ183" i="4"/>
  <c r="AZ316" i="4" s="1"/>
  <c r="AZ318" i="4" s="1"/>
  <c r="AZ327" i="4"/>
  <c r="AZ271" i="4"/>
  <c r="BW64" i="9" l="1"/>
  <c r="BA256" i="4"/>
  <c r="AZ255" i="4"/>
  <c r="AZ256" i="4" s="1"/>
  <c r="BA234" i="4"/>
  <c r="AZ201" i="4"/>
  <c r="BA321" i="4"/>
  <c r="BA323" i="4" s="1"/>
  <c r="BA326" i="4" s="1"/>
  <c r="BA329" i="4" s="1"/>
  <c r="BA331" i="4" s="1"/>
  <c r="BA269" i="4"/>
  <c r="BB202" i="9"/>
  <c r="BB204" i="9" s="1"/>
  <c r="BB70" i="4"/>
  <c r="BA248" i="4" l="1"/>
  <c r="AZ234" i="4"/>
  <c r="AZ248" i="4" s="1"/>
  <c r="BB34" i="4"/>
  <c r="BB33" i="4" s="1"/>
  <c r="BB69" i="4"/>
  <c r="BB206" i="9"/>
  <c r="BB208" i="9" s="1"/>
  <c r="AZ321" i="4"/>
  <c r="AZ323" i="4" s="1"/>
  <c r="AZ326" i="4" s="1"/>
  <c r="AZ329" i="4" s="1"/>
  <c r="AZ331" i="4" s="1"/>
  <c r="AZ269" i="4"/>
  <c r="BB257" i="4" l="1"/>
  <c r="BB121" i="4"/>
  <c r="BB76" i="4"/>
  <c r="BB39" i="4"/>
  <c r="BB77" i="4"/>
  <c r="BB78" i="4" l="1"/>
  <c r="BB305" i="4"/>
  <c r="BB123" i="4"/>
  <c r="BB124" i="4" s="1"/>
  <c r="BB128" i="4" s="1"/>
  <c r="BB79" i="4"/>
  <c r="BB307" i="4" l="1"/>
  <c r="BB306" i="4"/>
  <c r="BB154" i="4"/>
  <c r="BB165" i="4" s="1"/>
  <c r="BB158" i="4"/>
  <c r="BB161" i="4" s="1"/>
  <c r="BB22" i="4"/>
  <c r="BB162" i="4"/>
  <c r="BB81" i="4"/>
  <c r="BB270" i="4"/>
  <c r="BB10" i="4"/>
  <c r="BB116" i="4"/>
  <c r="BB106" i="4"/>
  <c r="BB99" i="4"/>
  <c r="BB243" i="4"/>
  <c r="BB244" i="4" s="1"/>
  <c r="BB87" i="4"/>
  <c r="BB90" i="4" s="1"/>
  <c r="BC86" i="4" s="1"/>
  <c r="BB308" i="4" l="1"/>
  <c r="BB309" i="4" s="1"/>
  <c r="BB246" i="4"/>
  <c r="BB251" i="4" s="1"/>
  <c r="BB312" i="4"/>
  <c r="BB314" i="4" s="1"/>
  <c r="BB82" i="4"/>
  <c r="BB12" i="4" s="1"/>
  <c r="BB11" i="4"/>
  <c r="BB169" i="4"/>
  <c r="BC163" i="4"/>
  <c r="BB254" i="4" l="1"/>
  <c r="BB253" i="4"/>
  <c r="BB183" i="4"/>
  <c r="BB252" i="4"/>
  <c r="BB217" i="9"/>
  <c r="BC218" i="9" s="1"/>
  <c r="BC200" i="9" s="1"/>
  <c r="BB327" i="4"/>
  <c r="BB14" i="4"/>
  <c r="BB16" i="4"/>
  <c r="BB26" i="4"/>
  <c r="BB243" i="9"/>
  <c r="BB166" i="4"/>
  <c r="BB271" i="4"/>
  <c r="BB277" i="4" l="1"/>
  <c r="BB201" i="4"/>
  <c r="BB316" i="4"/>
  <c r="BB318" i="4" s="1"/>
  <c r="BC202" i="9"/>
  <c r="BC204" i="9" s="1"/>
  <c r="BC70" i="4"/>
  <c r="BD200" i="9"/>
  <c r="BB255" i="4"/>
  <c r="BB256" i="4" s="1"/>
  <c r="BD202" i="9" l="1"/>
  <c r="BD70" i="4"/>
  <c r="BB234" i="4"/>
  <c r="BB248" i="4" s="1"/>
  <c r="BB321" i="4"/>
  <c r="BB323" i="4" s="1"/>
  <c r="BB326" i="4" s="1"/>
  <c r="BB329" i="4" s="1"/>
  <c r="BB331" i="4" s="1"/>
  <c r="BB269" i="4"/>
  <c r="BC206" i="9"/>
  <c r="BC208" i="9" s="1"/>
  <c r="BD34" i="4" l="1"/>
  <c r="BD69" i="4"/>
  <c r="BC77" i="4"/>
  <c r="BD206" i="9"/>
  <c r="BD204" i="9"/>
  <c r="BD208" i="9" l="1"/>
  <c r="BC305" i="4"/>
  <c r="BD77" i="4"/>
  <c r="BD76" i="4"/>
  <c r="BC69" i="4"/>
  <c r="BD257" i="4"/>
  <c r="BD121" i="4"/>
  <c r="BD33" i="4"/>
  <c r="BC34" i="4"/>
  <c r="BD78" i="4" l="1"/>
  <c r="BD306" i="4" s="1"/>
  <c r="BD305" i="4"/>
  <c r="BD123" i="4"/>
  <c r="BC76" i="4"/>
  <c r="BC257" i="4"/>
  <c r="BD39" i="4"/>
  <c r="BC39" i="4" s="1"/>
  <c r="BC33" i="4"/>
  <c r="BC121" i="4"/>
  <c r="BD79" i="4"/>
  <c r="BD307" i="4" l="1"/>
  <c r="BD308" i="4" s="1"/>
  <c r="BD309" i="4" s="1"/>
  <c r="BC78" i="4"/>
  <c r="BC306" i="4" s="1"/>
  <c r="BD106" i="4"/>
  <c r="BD99" i="4"/>
  <c r="BD81" i="4"/>
  <c r="BD270" i="4"/>
  <c r="BD10" i="4"/>
  <c r="BX62" i="9" s="1"/>
  <c r="BC79" i="4"/>
  <c r="BD243" i="4"/>
  <c r="BD87" i="4"/>
  <c r="BD90" i="4" s="1"/>
  <c r="BC123" i="4"/>
  <c r="BC124" i="4" s="1"/>
  <c r="BC128" i="4" s="1"/>
  <c r="BD124" i="4"/>
  <c r="BD128" i="4" s="1"/>
  <c r="BC307" i="4" l="1"/>
  <c r="BC308" i="4" s="1"/>
  <c r="BC309" i="4" s="1"/>
  <c r="BC154" i="4"/>
  <c r="BC22" i="4"/>
  <c r="BC162" i="4"/>
  <c r="L20" i="6"/>
  <c r="L22" i="6" s="1"/>
  <c r="BG86" i="4"/>
  <c r="BE86" i="4"/>
  <c r="BD162" i="4"/>
  <c r="BX63" i="9" s="1"/>
  <c r="BD158" i="4"/>
  <c r="BD22" i="4"/>
  <c r="BD154" i="4"/>
  <c r="BD165" i="4" s="1"/>
  <c r="BC243" i="4"/>
  <c r="BC244" i="4" s="1"/>
  <c r="BD244" i="4"/>
  <c r="BC81" i="4"/>
  <c r="BD11" i="4"/>
  <c r="BD82" i="4"/>
  <c r="BD12" i="4" s="1"/>
  <c r="BC116" i="4"/>
  <c r="BC99" i="4"/>
  <c r="BC106" i="4"/>
  <c r="BC10" i="4"/>
  <c r="BC270" i="4"/>
  <c r="BC87" i="4"/>
  <c r="BC90" i="4" s="1"/>
  <c r="BC82" i="4" l="1"/>
  <c r="BC12" i="4" s="1"/>
  <c r="BC11" i="4"/>
  <c r="BD243" i="9"/>
  <c r="BD26" i="4"/>
  <c r="BD14" i="4"/>
  <c r="BD16" i="4"/>
  <c r="BD246" i="4"/>
  <c r="BD251" i="4" s="1"/>
  <c r="BD312" i="4"/>
  <c r="BD314" i="4" s="1"/>
  <c r="BC246" i="4"/>
  <c r="BC251" i="4" s="1"/>
  <c r="BC312" i="4"/>
  <c r="BC314" i="4" s="1"/>
  <c r="BC158" i="4"/>
  <c r="BC161" i="4" s="1"/>
  <c r="BD161" i="4"/>
  <c r="BE163" i="4"/>
  <c r="BG163" i="4"/>
  <c r="BD169" i="4"/>
  <c r="BD271" i="4" s="1"/>
  <c r="BC165" i="4"/>
  <c r="BD166" i="4" l="1"/>
  <c r="BC169" i="4"/>
  <c r="BD217" i="9"/>
  <c r="BD252" i="4"/>
  <c r="BD183" i="4"/>
  <c r="BD327" i="4"/>
  <c r="BD254" i="4"/>
  <c r="BD253" i="4"/>
  <c r="BD277" i="4"/>
  <c r="BC14" i="4"/>
  <c r="BC243" i="9"/>
  <c r="BC16" i="4"/>
  <c r="BC26" i="4"/>
  <c r="BE218" i="9" l="1"/>
  <c r="BE200" i="9" s="1"/>
  <c r="BD218" i="9"/>
  <c r="BC254" i="4"/>
  <c r="BD255" i="4"/>
  <c r="BC277" i="4"/>
  <c r="BD316" i="4"/>
  <c r="BD318" i="4" s="1"/>
  <c r="BD201" i="4"/>
  <c r="BC183" i="4"/>
  <c r="BC316" i="4" s="1"/>
  <c r="BC318" i="4" s="1"/>
  <c r="BC252" i="4"/>
  <c r="BC217" i="9"/>
  <c r="BC253" i="4"/>
  <c r="BC327" i="4"/>
  <c r="BC271" i="4"/>
  <c r="BC166" i="4"/>
  <c r="BD321" i="4" l="1"/>
  <c r="BD323" i="4" s="1"/>
  <c r="BD326" i="4" s="1"/>
  <c r="BD329" i="4" s="1"/>
  <c r="BD331" i="4" s="1"/>
  <c r="BD234" i="4"/>
  <c r="BC201" i="4"/>
  <c r="BD269" i="4"/>
  <c r="BC255" i="4"/>
  <c r="BC256" i="4" s="1"/>
  <c r="BX64" i="9"/>
  <c r="BD256" i="4"/>
  <c r="BE202" i="9"/>
  <c r="BE204" i="9" s="1"/>
  <c r="BE70" i="4"/>
  <c r="BE34" i="4" l="1"/>
  <c r="BE33" i="4" s="1"/>
  <c r="BE69" i="4"/>
  <c r="BD248" i="4"/>
  <c r="BC234" i="4"/>
  <c r="BC248" i="4" s="1"/>
  <c r="BE206" i="9"/>
  <c r="BE208" i="9" s="1"/>
  <c r="BC321" i="4"/>
  <c r="BC323" i="4" s="1"/>
  <c r="BC326" i="4" s="1"/>
  <c r="BC329" i="4" s="1"/>
  <c r="BC331" i="4" s="1"/>
  <c r="BC269" i="4"/>
  <c r="BE257" i="4" l="1"/>
  <c r="BE76" i="4"/>
  <c r="BE121" i="4"/>
  <c r="BE77" i="4"/>
  <c r="BE39" i="4"/>
  <c r="BE78" i="4" l="1"/>
  <c r="BE306" i="4" s="1"/>
  <c r="BE79" i="4"/>
  <c r="BE270" i="4" s="1"/>
  <c r="BE305" i="4"/>
  <c r="BE123" i="4"/>
  <c r="BE124" i="4" s="1"/>
  <c r="BE128" i="4" s="1"/>
  <c r="BE106" i="4" l="1"/>
  <c r="BE307" i="4"/>
  <c r="BE308" i="4" s="1"/>
  <c r="BE309" i="4" s="1"/>
  <c r="BE243" i="4"/>
  <c r="BE244" i="4" s="1"/>
  <c r="BE312" i="4" s="1"/>
  <c r="BE314" i="4" s="1"/>
  <c r="BE87" i="4"/>
  <c r="BE90" i="4" s="1"/>
  <c r="BF86" i="4" s="1"/>
  <c r="BE99" i="4"/>
  <c r="BE116" i="4"/>
  <c r="BE81" i="4"/>
  <c r="BE11" i="4" s="1"/>
  <c r="BE10" i="4"/>
  <c r="BE162" i="4"/>
  <c r="BE158" i="4"/>
  <c r="BE161" i="4" s="1"/>
  <c r="BE22" i="4"/>
  <c r="BE154" i="4"/>
  <c r="BE165" i="4" s="1"/>
  <c r="BE82" i="4" l="1"/>
  <c r="BE12" i="4" s="1"/>
  <c r="BE14" i="4" s="1"/>
  <c r="BE246" i="4"/>
  <c r="BE251" i="4" s="1"/>
  <c r="BE169" i="4"/>
  <c r="BE166" i="4" s="1"/>
  <c r="BF163" i="4"/>
  <c r="BE243" i="9" l="1"/>
  <c r="BE16" i="4"/>
  <c r="BE26" i="4"/>
  <c r="BE277" i="4"/>
  <c r="BE254" i="4"/>
  <c r="BE253" i="4"/>
  <c r="BE183" i="4"/>
  <c r="BE327" i="4"/>
  <c r="BE252" i="4"/>
  <c r="BE217" i="9"/>
  <c r="BF218" i="9" s="1"/>
  <c r="BF200" i="9" s="1"/>
  <c r="BE271" i="4"/>
  <c r="BF202" i="9" l="1"/>
  <c r="BF204" i="9" s="1"/>
  <c r="BF70" i="4"/>
  <c r="BG200" i="9"/>
  <c r="BE255" i="4"/>
  <c r="BE256" i="4" s="1"/>
  <c r="BE316" i="4"/>
  <c r="BE318" i="4" s="1"/>
  <c r="BE201" i="4"/>
  <c r="BG70" i="4" l="1"/>
  <c r="BG202" i="9"/>
  <c r="BE321" i="4"/>
  <c r="BE323" i="4" s="1"/>
  <c r="BE326" i="4" s="1"/>
  <c r="BE329" i="4" s="1"/>
  <c r="BE331" i="4" s="1"/>
  <c r="BE234" i="4"/>
  <c r="BE248" i="4" s="1"/>
  <c r="BE269" i="4"/>
  <c r="BF206" i="9"/>
  <c r="BF77" i="4" l="1"/>
  <c r="BG206" i="9"/>
  <c r="BG204" i="9"/>
  <c r="BF208" i="9"/>
  <c r="BG34" i="4"/>
  <c r="BG69" i="4"/>
  <c r="BG121" i="4" l="1"/>
  <c r="BG257" i="4"/>
  <c r="BG76" i="4"/>
  <c r="BF69" i="4"/>
  <c r="BG208" i="9"/>
  <c r="BF34" i="4"/>
  <c r="BG33" i="4"/>
  <c r="BG77" i="4"/>
  <c r="BF305" i="4"/>
  <c r="BG78" i="4" l="1"/>
  <c r="BG306" i="4" s="1"/>
  <c r="BF257" i="4"/>
  <c r="BF76" i="4"/>
  <c r="BF121" i="4"/>
  <c r="BF33" i="4"/>
  <c r="BG39" i="4"/>
  <c r="BF39" i="4" s="1"/>
  <c r="BG79" i="4"/>
  <c r="BG123" i="4"/>
  <c r="BG124" i="4" s="1"/>
  <c r="BG128" i="4" s="1"/>
  <c r="BG305" i="4"/>
  <c r="BG307" i="4" l="1"/>
  <c r="BG308" i="4" s="1"/>
  <c r="BG309" i="4" s="1"/>
  <c r="BF78" i="4"/>
  <c r="BF306" i="4" s="1"/>
  <c r="BG154" i="4"/>
  <c r="BG165" i="4" s="1"/>
  <c r="BG162" i="4"/>
  <c r="BY63" i="9" s="1"/>
  <c r="BG158" i="4"/>
  <c r="BG22" i="4"/>
  <c r="BG270" i="4"/>
  <c r="BG10" i="4"/>
  <c r="BY62" i="9" s="1"/>
  <c r="BG81" i="4"/>
  <c r="BG106" i="4"/>
  <c r="BG99" i="4"/>
  <c r="BF79" i="4"/>
  <c r="BG243" i="4"/>
  <c r="BG87" i="4"/>
  <c r="BG90" i="4" s="1"/>
  <c r="BF123" i="4"/>
  <c r="BF124" i="4" s="1"/>
  <c r="BF128" i="4" s="1"/>
  <c r="BF307" i="4" l="1"/>
  <c r="BF308" i="4" s="1"/>
  <c r="BF309" i="4" s="1"/>
  <c r="BF158" i="4"/>
  <c r="BF161" i="4" s="1"/>
  <c r="BG161" i="4"/>
  <c r="M20" i="6"/>
  <c r="M22" i="6" s="1"/>
  <c r="D24" i="6" s="1"/>
  <c r="BF243" i="4"/>
  <c r="BF244" i="4" s="1"/>
  <c r="BG244" i="4"/>
  <c r="BG11" i="4"/>
  <c r="BF81" i="4"/>
  <c r="BG82" i="4"/>
  <c r="BG12" i="4" s="1"/>
  <c r="BF270" i="4"/>
  <c r="BF99" i="4"/>
  <c r="BF106" i="4"/>
  <c r="BF116" i="4"/>
  <c r="BF10" i="4"/>
  <c r="BF87" i="4"/>
  <c r="BF90" i="4" s="1"/>
  <c r="BF154" i="4"/>
  <c r="BF22" i="4"/>
  <c r="BF162" i="4"/>
  <c r="BG169" i="4"/>
  <c r="BF165" i="4"/>
  <c r="BG183" i="4" l="1"/>
  <c r="BG254" i="4"/>
  <c r="BG327" i="4"/>
  <c r="BG217" i="9"/>
  <c r="BG218" i="9" s="1"/>
  <c r="BF246" i="4"/>
  <c r="BF251" i="4" s="1"/>
  <c r="BF312" i="4"/>
  <c r="BF314" i="4" s="1"/>
  <c r="BG246" i="4"/>
  <c r="BG251" i="4" s="1"/>
  <c r="BG312" i="4"/>
  <c r="BG314" i="4" s="1"/>
  <c r="BG271" i="4"/>
  <c r="BG166" i="4"/>
  <c r="BG14" i="4"/>
  <c r="BG26" i="4"/>
  <c r="BG243" i="9"/>
  <c r="BG16" i="4"/>
  <c r="BF169" i="4"/>
  <c r="BF82" i="4"/>
  <c r="BF12" i="4" s="1"/>
  <c r="BF11" i="4"/>
  <c r="BG253" i="4" l="1"/>
  <c r="D27" i="6"/>
  <c r="D29" i="6" s="1"/>
  <c r="D31" i="6" s="1"/>
  <c r="BF217" i="9"/>
  <c r="BF183" i="4"/>
  <c r="BF316" i="4" s="1"/>
  <c r="BF318" i="4" s="1"/>
  <c r="BF327" i="4"/>
  <c r="BF252" i="4"/>
  <c r="BF253" i="4"/>
  <c r="BF166" i="4"/>
  <c r="BG277" i="4"/>
  <c r="BG252" i="4"/>
  <c r="BG255" i="4"/>
  <c r="BF254" i="4"/>
  <c r="BF14" i="4"/>
  <c r="BF243" i="9"/>
  <c r="BF26" i="4"/>
  <c r="BF16" i="4"/>
  <c r="BF271" i="4"/>
  <c r="BG201" i="4"/>
  <c r="BG316" i="4"/>
  <c r="BG318" i="4" s="1"/>
  <c r="BF201" i="4" l="1"/>
  <c r="BG234" i="4"/>
  <c r="BG321" i="4"/>
  <c r="BG323" i="4" s="1"/>
  <c r="BG326" i="4" s="1"/>
  <c r="BG329" i="4" s="1"/>
  <c r="BG331" i="4" s="1"/>
  <c r="BG269" i="4"/>
  <c r="BF255" i="4"/>
  <c r="BF256" i="4" s="1"/>
  <c r="BF277" i="4"/>
  <c r="BY64" i="9"/>
  <c r="BG256" i="4"/>
  <c r="S7" i="6" l="1"/>
  <c r="BF234" i="4"/>
  <c r="BF248" i="4" s="1"/>
  <c r="BG248" i="4"/>
  <c r="BF321" i="4"/>
  <c r="BF323" i="4" s="1"/>
  <c r="BF326" i="4" s="1"/>
  <c r="BF329" i="4" s="1"/>
  <c r="BF331" i="4" s="1"/>
  <c r="BF269" i="4"/>
  <c r="R8" i="6" l="1"/>
  <c r="R10" i="6" s="1"/>
  <c r="S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tc={0FBF8BFA-EDAA-42AF-B528-EC4291DEC36D}</author>
    <author>Singh, Nikita (Research)</author>
    <author>A satisfied Microsoft Office User</author>
  </authors>
  <commentList>
    <comment ref="B17" authorId="0" shapeId="0" xr:uid="{0FBF8BFA-EDAA-42AF-B528-EC4291DEC36D}">
      <text>
        <t>[Threaded comment]
Your version of Excel allows you to read this threaded comment; however, any edits to it will get removed if the file is opened in a newer version of Excel. Learn more: https://go.microsoft.com/fwlink/?linkid=870924
Comment:
    Does EV need to be currency adjusted?</t>
      </text>
    </comment>
    <comment ref="F58" authorId="1" shapeId="0" xr:uid="{76223BE7-CD03-42DC-88CC-4D60D8F5429B}">
      <text>
        <r>
          <rPr>
            <sz val="9"/>
            <color indexed="81"/>
            <rFont val="Tahoma"/>
            <family val="2"/>
          </rPr>
          <t xml:space="preserve">from Report for half year to 30 June 18_v12
https://telixpharma.com/investor-centre/asx-announcements/#
</t>
        </r>
      </text>
    </comment>
    <comment ref="K160" authorId="2" shapeId="0" xr:uid="{288730E1-68DF-4070-80AB-9E81F5EA058E}">
      <text>
        <r>
          <rPr>
            <b/>
            <sz val="8"/>
            <color indexed="81"/>
            <rFont val="Tahoma"/>
            <family val="2"/>
          </rPr>
          <t>Cameron Luu:</t>
        </r>
        <r>
          <rPr>
            <sz val="8"/>
            <color indexed="81"/>
            <rFont val="Tahoma"/>
            <family val="2"/>
          </rPr>
          <t xml:space="preserve">
artificial allocation for Oracle uploading </t>
        </r>
      </text>
    </comment>
    <comment ref="F283" authorId="1" shapeId="0" xr:uid="{F6B3E24E-2853-4330-847E-CD4788592D31}">
      <text>
        <r>
          <rPr>
            <b/>
            <sz val="9"/>
            <color indexed="81"/>
            <rFont val="Tahoma"/>
            <family val="2"/>
          </rPr>
          <t>same number as per Thomson Eikon also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Bailey, David L (Research)</author>
    <author>tc={1229B9DB-929F-481A-97B7-BD51D447DFD1}</author>
  </authors>
  <commentList>
    <comment ref="C26" authorId="0" shapeId="0" xr:uid="{02BDB703-A586-4D8C-A1FE-44AA6DE7DB47}">
      <text>
        <r>
          <rPr>
            <b/>
            <sz val="9"/>
            <color indexed="81"/>
            <rFont val="Tahoma"/>
            <family val="2"/>
          </rPr>
          <t>Bailey, David L (Research):</t>
        </r>
        <r>
          <rPr>
            <sz val="9"/>
            <color indexed="81"/>
            <rFont val="Tahoma"/>
            <family val="2"/>
          </rPr>
          <t xml:space="preserve">
15% return on R&amp;D, 35% EBIT margin to calculate revenue; risk weighted 50%
</t>
        </r>
      </text>
    </comment>
    <comment ref="AA36" authorId="1" shapeId="0" xr:uid="{1229B9DB-929F-481A-97B7-BD51D447DFD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Includes 30.5m intersegments</t>
      </text>
    </comment>
  </commentList>
</comments>
</file>

<file path=xl/sharedStrings.xml><?xml version="1.0" encoding="utf-8"?>
<sst xmlns="http://schemas.openxmlformats.org/spreadsheetml/2006/main" count="1686" uniqueCount="1028">
  <si>
    <t>TLX Financial Summary</t>
  </si>
  <si>
    <t>Profit and loss (US$mn)</t>
  </si>
  <si>
    <t>2022</t>
  </si>
  <si>
    <t>2023</t>
  </si>
  <si>
    <t>2024</t>
  </si>
  <si>
    <t>2025E</t>
  </si>
  <si>
    <t>2026E</t>
  </si>
  <si>
    <t>2027E</t>
  </si>
  <si>
    <t>Interims (US$mn)</t>
  </si>
  <si>
    <t>1H24</t>
  </si>
  <si>
    <t>2H24</t>
  </si>
  <si>
    <t>2H25E</t>
  </si>
  <si>
    <t>1H26E</t>
  </si>
  <si>
    <t>G_REV</t>
  </si>
  <si>
    <t>Sales revenue</t>
  </si>
  <si>
    <t>…Growth over pcp</t>
  </si>
  <si>
    <t>Gross profit</t>
  </si>
  <si>
    <t>G_GP</t>
  </si>
  <si>
    <t>EBIT</t>
  </si>
  <si>
    <t>G_EBIT</t>
  </si>
  <si>
    <t>…Gross margin</t>
  </si>
  <si>
    <t>NPAT</t>
  </si>
  <si>
    <t>G_NPAT</t>
  </si>
  <si>
    <t>G_R&amp;D</t>
  </si>
  <si>
    <t>R&amp;D</t>
  </si>
  <si>
    <t>EBIT / sales</t>
  </si>
  <si>
    <t>G_S&amp;M</t>
  </si>
  <si>
    <t>S&amp;M</t>
  </si>
  <si>
    <t>% of FY sales</t>
  </si>
  <si>
    <t>G_MANU</t>
  </si>
  <si>
    <t>Manufacturing</t>
  </si>
  <si>
    <t>% of FY EBIT</t>
  </si>
  <si>
    <t>G_G&amp;A</t>
  </si>
  <si>
    <t>G&amp;A</t>
  </si>
  <si>
    <t>G_EBIT_ADJ</t>
  </si>
  <si>
    <t>Cashflow (US$mn)</t>
  </si>
  <si>
    <t>…EBIT margin</t>
  </si>
  <si>
    <t>G_EBITDA_ADJ</t>
  </si>
  <si>
    <t>Adjusted EBITDA</t>
  </si>
  <si>
    <t>Depreciation/amortisation</t>
  </si>
  <si>
    <t>Dep'n and amort'n</t>
  </si>
  <si>
    <t>G_D&amp;A</t>
  </si>
  <si>
    <t>D&amp;A</t>
  </si>
  <si>
    <t>Net interest paid</t>
  </si>
  <si>
    <t>G_OO</t>
  </si>
  <si>
    <t>One-off items</t>
  </si>
  <si>
    <t>Tax paid</t>
  </si>
  <si>
    <t>NET_INT</t>
  </si>
  <si>
    <t>Net interest expense</t>
  </si>
  <si>
    <t>(Inc)/dec in working capital</t>
  </si>
  <si>
    <t>(Inc) / dec in working cap.</t>
  </si>
  <si>
    <t>PBT</t>
  </si>
  <si>
    <t>Other</t>
  </si>
  <si>
    <t>TAX_EXP</t>
  </si>
  <si>
    <t>Tax</t>
  </si>
  <si>
    <t>Operating cashflow</t>
  </si>
  <si>
    <t>Operating cashflow (per standard)</t>
  </si>
  <si>
    <t>Capital expenditure</t>
  </si>
  <si>
    <t>Purchase of PPE</t>
  </si>
  <si>
    <t>Reported eps (diluted)</t>
  </si>
  <si>
    <t>Purchase of intangibles</t>
  </si>
  <si>
    <t>(Purchase) / sale of intangibles and cap'd R&amp;D</t>
  </si>
  <si>
    <t>EPS USc (diluted)</t>
  </si>
  <si>
    <t>Acquisitions</t>
  </si>
  <si>
    <t>Acquisitions / equity investments</t>
  </si>
  <si>
    <t>Ratios</t>
  </si>
  <si>
    <t>Investing cashflow</t>
  </si>
  <si>
    <t>R&amp;D/revenue</t>
  </si>
  <si>
    <t>Debt movements</t>
  </si>
  <si>
    <t>Proceeds from borrowings</t>
  </si>
  <si>
    <t>S&amp;M/revenue</t>
  </si>
  <si>
    <t>Equity raised</t>
  </si>
  <si>
    <t>Equity raised (expand to enter)</t>
  </si>
  <si>
    <t>Repayment of borrowings</t>
  </si>
  <si>
    <t>Manufacturing/revenue</t>
  </si>
  <si>
    <t>G&amp;A/revenue</t>
  </si>
  <si>
    <t>Financing cashflow</t>
  </si>
  <si>
    <t>Opex ex-R&amp;D/revenue</t>
  </si>
  <si>
    <t>Net change in cash</t>
  </si>
  <si>
    <t>Change in net cash (optional for f/casts)</t>
  </si>
  <si>
    <t>Return on assets</t>
  </si>
  <si>
    <t>Return on assets (%)</t>
  </si>
  <si>
    <t>Balance sheet (US$mn)</t>
  </si>
  <si>
    <t>Return on equity</t>
  </si>
  <si>
    <t>Return on equity (%)</t>
  </si>
  <si>
    <t>Cash</t>
  </si>
  <si>
    <t>Receivables</t>
  </si>
  <si>
    <t>Trade and Other Receivables</t>
  </si>
  <si>
    <t>Net debt ex lease</t>
  </si>
  <si>
    <t>Net debt / (cash) ($m)</t>
  </si>
  <si>
    <t>Inventories</t>
  </si>
  <si>
    <t>Current inventories</t>
  </si>
  <si>
    <t>Net debt / equity</t>
  </si>
  <si>
    <t>Net debt / equity (%)</t>
  </si>
  <si>
    <t>Current assets</t>
  </si>
  <si>
    <t>Total current assets</t>
  </si>
  <si>
    <t>Segmental (US$mn)</t>
  </si>
  <si>
    <t>Net PPE</t>
  </si>
  <si>
    <t>Property, plant and equipment</t>
  </si>
  <si>
    <t>Precision Medicine</t>
  </si>
  <si>
    <t>Intangible assets</t>
  </si>
  <si>
    <t>Intangibles (expand for detail)</t>
  </si>
  <si>
    <t>PM_REV</t>
  </si>
  <si>
    <t>Revenue</t>
  </si>
  <si>
    <t>PM_GP</t>
  </si>
  <si>
    <t>Non-current assets</t>
  </si>
  <si>
    <t>Total non-current assets</t>
  </si>
  <si>
    <t>Total assets</t>
  </si>
  <si>
    <t>PM_EBITDA</t>
  </si>
  <si>
    <t>EBITDA</t>
  </si>
  <si>
    <t>Payables</t>
  </si>
  <si>
    <t>Trade and Other Payables</t>
  </si>
  <si>
    <t>…EBITDA margin</t>
  </si>
  <si>
    <t>Borrowings</t>
  </si>
  <si>
    <t>Current borrowings</t>
  </si>
  <si>
    <t>Contingent consideration</t>
  </si>
  <si>
    <t>Non-current borrowings (incl. Conv treated as debt)</t>
  </si>
  <si>
    <t>Therapeutics</t>
  </si>
  <si>
    <t>Contingent consideration liability</t>
  </si>
  <si>
    <t>T_REV</t>
  </si>
  <si>
    <t>Total liabilities</t>
  </si>
  <si>
    <t>T_GP</t>
  </si>
  <si>
    <t>Equity / reserves</t>
  </si>
  <si>
    <t>Ordinary share capital</t>
  </si>
  <si>
    <t>Retained profits</t>
  </si>
  <si>
    <t>T_EBITDA</t>
  </si>
  <si>
    <t>Total shareholder funds</t>
  </si>
  <si>
    <t>Shareholders equity (attrib to Co.)</t>
  </si>
  <si>
    <t>Summary</t>
  </si>
  <si>
    <t>2028E</t>
  </si>
  <si>
    <t>2029E</t>
  </si>
  <si>
    <t>2030E</t>
  </si>
  <si>
    <t>2031E</t>
  </si>
  <si>
    <t>2032E</t>
  </si>
  <si>
    <t>2033E</t>
  </si>
  <si>
    <t>2034E</t>
  </si>
  <si>
    <t>2035E</t>
  </si>
  <si>
    <t>M_REV</t>
  </si>
  <si>
    <t>Manufacturing Solutions</t>
  </si>
  <si>
    <t>G_COGS</t>
  </si>
  <si>
    <t>COGS</t>
  </si>
  <si>
    <t>G_D&amp;A Adj</t>
  </si>
  <si>
    <t>EBITDA margin</t>
  </si>
  <si>
    <t>M_EBITDA</t>
  </si>
  <si>
    <t>Segment EBITDA</t>
  </si>
  <si>
    <t>U_G&amp;A</t>
  </si>
  <si>
    <t>OO_G&amp;A</t>
  </si>
  <si>
    <t xml:space="preserve">Adjusted fully diluted EFPOWA </t>
  </si>
  <si>
    <t>EPS</t>
  </si>
  <si>
    <t>A</t>
  </si>
  <si>
    <t>E</t>
  </si>
  <si>
    <t>TLX.AX</t>
  </si>
  <si>
    <t xml:space="preserve">  HOUSEKEEPING ITEMS</t>
  </si>
  <si>
    <t>Base</t>
  </si>
  <si>
    <t>Actual / Estimate Flag (MUST ENTER)</t>
  </si>
  <si>
    <t>Period Scaling Factor (FOR PERIODS TO UPLOAD)</t>
  </si>
  <si>
    <t>Balance date for period</t>
  </si>
  <si>
    <t xml:space="preserve">  MARKET RATIOS / VALUATION</t>
  </si>
  <si>
    <t>Reported NPAT (pre abn's)</t>
  </si>
  <si>
    <t>$m</t>
  </si>
  <si>
    <t xml:space="preserve"> </t>
  </si>
  <si>
    <t>Morgan Stanley NPAT (pre abn's)</t>
  </si>
  <si>
    <t>Reported eps (basic)</t>
  </si>
  <si>
    <t>c</t>
  </si>
  <si>
    <t>P/E ratio</t>
  </si>
  <si>
    <t>x</t>
  </si>
  <si>
    <t>EBIT multiple</t>
  </si>
  <si>
    <t>EPS reported</t>
  </si>
  <si>
    <t>EV/EBITDA</t>
  </si>
  <si>
    <t>Enterprise value</t>
  </si>
  <si>
    <t>CFPS</t>
  </si>
  <si>
    <t>Price / CF</t>
  </si>
  <si>
    <t>DPS</t>
  </si>
  <si>
    <t>$</t>
  </si>
  <si>
    <t>Yield</t>
  </si>
  <si>
    <t>%</t>
  </si>
  <si>
    <t>EPS growth</t>
  </si>
  <si>
    <t xml:space="preserve">  PROFIT &amp; LOSS</t>
  </si>
  <si>
    <t xml:space="preserve">     Sales revenue growth (over pcp)</t>
  </si>
  <si>
    <t xml:space="preserve">     Other operating revenue</t>
  </si>
  <si>
    <t xml:space="preserve">     Total operating revenue</t>
  </si>
  <si>
    <t xml:space="preserve">     Other revenue</t>
  </si>
  <si>
    <t xml:space="preserve">        Interest revenue</t>
  </si>
  <si>
    <t>R&amp;D tax incentive income</t>
  </si>
  <si>
    <t>Realised currency loss</t>
  </si>
  <si>
    <t xml:space="preserve">Unrealised currency (gain)/loss </t>
  </si>
  <si>
    <t xml:space="preserve">        Other</t>
  </si>
  <si>
    <t>Total revenue (per accounts)</t>
  </si>
  <si>
    <t xml:space="preserve">     Operating expenses</t>
  </si>
  <si>
    <t>Cost of Inventory sold</t>
  </si>
  <si>
    <t>Research and Development Costs</t>
  </si>
  <si>
    <t>Selling, General and Administrative Cost</t>
  </si>
  <si>
    <t>Employment Costs</t>
  </si>
  <si>
    <t>Other Operating Expenses</t>
  </si>
  <si>
    <t>Underlying EBITDA</t>
  </si>
  <si>
    <t xml:space="preserve">     EBITDA margin</t>
  </si>
  <si>
    <t xml:space="preserve">     Depreciation</t>
  </si>
  <si>
    <t>Land and Buildings</t>
  </si>
  <si>
    <t xml:space="preserve">Plant and Equipment </t>
  </si>
  <si>
    <t xml:space="preserve">Furniture, fittings and equipment </t>
  </si>
  <si>
    <t xml:space="preserve">Leased Plant and Equipment </t>
  </si>
  <si>
    <t>Right of Use Assets</t>
  </si>
  <si>
    <t>EBITA</t>
  </si>
  <si>
    <t xml:space="preserve">     EBITA margin</t>
  </si>
  <si>
    <t xml:space="preserve">     Amortisation  -  ex goodwill</t>
  </si>
  <si>
    <t xml:space="preserve">          Amort'n  -  Intellectual Property</t>
  </si>
  <si>
    <t xml:space="preserve">          Amort'n  -  Patents</t>
  </si>
  <si>
    <t xml:space="preserve">          Amort'n  -  Licences</t>
  </si>
  <si>
    <t xml:space="preserve">          Amort'n  -  Software</t>
  </si>
  <si>
    <t>EBITAg</t>
  </si>
  <si>
    <t xml:space="preserve">     EBITAg margin</t>
  </si>
  <si>
    <t xml:space="preserve">     Goodwill amortisation</t>
  </si>
  <si>
    <t xml:space="preserve">     EBIT margin</t>
  </si>
  <si>
    <t xml:space="preserve">     Net int. exp.(exp to enter detail)</t>
  </si>
  <si>
    <t xml:space="preserve">          Int. revenue</t>
  </si>
  <si>
    <t xml:space="preserve">          Interest expense incl lease</t>
  </si>
  <si>
    <t>Remeasurement of Provision</t>
  </si>
  <si>
    <t>Other Income</t>
  </si>
  <si>
    <t>Pre tax profit</t>
  </si>
  <si>
    <t xml:space="preserve">     Income tax charge</t>
  </si>
  <si>
    <t xml:space="preserve">          Effective tax rate</t>
  </si>
  <si>
    <t xml:space="preserve">     Minority interests in abn's (net of tax)</t>
  </si>
  <si>
    <t>Reported NPAT and Abn's</t>
  </si>
  <si>
    <t>Reported EPS, Abn's and Extra's</t>
  </si>
  <si>
    <t>in cents</t>
  </si>
  <si>
    <t>EBIT Check</t>
  </si>
  <si>
    <t>Retained profits  -  opening</t>
  </si>
  <si>
    <t>Total available for appropriation</t>
  </si>
  <si>
    <t>Dividends paid or provided</t>
  </si>
  <si>
    <t>Adjustments</t>
  </si>
  <si>
    <t>Retained profits  -  closing</t>
  </si>
  <si>
    <t xml:space="preserve">  P&amp;L - RATIOS</t>
  </si>
  <si>
    <t>Growth over pcp</t>
  </si>
  <si>
    <t xml:space="preserve">     Sales</t>
  </si>
  <si>
    <t xml:space="preserve">     EBITDA</t>
  </si>
  <si>
    <t xml:space="preserve">     EBITA</t>
  </si>
  <si>
    <t xml:space="preserve">     EBITAg</t>
  </si>
  <si>
    <t xml:space="preserve">     EBIT</t>
  </si>
  <si>
    <t xml:space="preserve">     Reported NPAT (pre abn's)</t>
  </si>
  <si>
    <t>Margins</t>
  </si>
  <si>
    <t xml:space="preserve">     EBITDA / sales</t>
  </si>
  <si>
    <t xml:space="preserve">     EBITA / sales</t>
  </si>
  <si>
    <t xml:space="preserve">     EBITAg / sales</t>
  </si>
  <si>
    <t xml:space="preserve">     EBIT / sales</t>
  </si>
  <si>
    <t>Other (expand to view)</t>
  </si>
  <si>
    <t xml:space="preserve">     Monthly turnover</t>
  </si>
  <si>
    <t xml:space="preserve">     Effective interest rate</t>
  </si>
  <si>
    <t xml:space="preserve">     Growth over pp (expand to view)</t>
  </si>
  <si>
    <t xml:space="preserve">          Sales</t>
  </si>
  <si>
    <t xml:space="preserve">          EBITDA</t>
  </si>
  <si>
    <t xml:space="preserve">          EBITA</t>
  </si>
  <si>
    <t xml:space="preserve">          EBITAg</t>
  </si>
  <si>
    <t xml:space="preserve">          EBIT</t>
  </si>
  <si>
    <t xml:space="preserve">          Reported NPAT (pre abn's)</t>
  </si>
  <si>
    <t xml:space="preserve">          % of FY sales</t>
  </si>
  <si>
    <t xml:space="preserve">          % of FY EBIT</t>
  </si>
  <si>
    <t xml:space="preserve"> CASHFLOW</t>
  </si>
  <si>
    <t>Gross cash from operations</t>
  </si>
  <si>
    <t>Inc / (dec) in provisions</t>
  </si>
  <si>
    <t>Other / contingent consideration</t>
  </si>
  <si>
    <t xml:space="preserve">     Goodwill</t>
  </si>
  <si>
    <t>Intellectual Property</t>
  </si>
  <si>
    <t>Patents</t>
  </si>
  <si>
    <t>Licenses</t>
  </si>
  <si>
    <t>Software</t>
  </si>
  <si>
    <t>(Loans to) / repaid by other entities</t>
  </si>
  <si>
    <t>Payments for decommissioning liability</t>
  </si>
  <si>
    <t>Investment in term deposits</t>
  </si>
  <si>
    <t>Payments contingent consideration</t>
  </si>
  <si>
    <t>Other investing inflow / (outflow)</t>
  </si>
  <si>
    <t xml:space="preserve">     Issued capital component</t>
  </si>
  <si>
    <t xml:space="preserve">     Share prem. res. component</t>
  </si>
  <si>
    <t>Dividends paid (net of DRP)</t>
  </si>
  <si>
    <t>Repayment of Lease Principal</t>
  </si>
  <si>
    <t>Other financing inflow / (outflow)</t>
  </si>
  <si>
    <t>Free cashflow adjustments:</t>
  </si>
  <si>
    <t>Maintenance capex</t>
  </si>
  <si>
    <t>Free cashflow</t>
  </si>
  <si>
    <t>FCF</t>
  </si>
  <si>
    <t>Cash at beginning of financial year</t>
  </si>
  <si>
    <t>Exchange rate adjustment</t>
  </si>
  <si>
    <t>Cash at end of financial year</t>
  </si>
  <si>
    <t xml:space="preserve">  BALANCE SHEET</t>
  </si>
  <si>
    <t>Term Deposits</t>
  </si>
  <si>
    <t xml:space="preserve">     Raw materials</t>
  </si>
  <si>
    <t xml:space="preserve">     Work in progress</t>
  </si>
  <si>
    <t xml:space="preserve">     Finished goods</t>
  </si>
  <si>
    <t xml:space="preserve">     Other</t>
  </si>
  <si>
    <t>Other current assets</t>
  </si>
  <si>
    <t>Prepayments</t>
  </si>
  <si>
    <t>Other Receivables</t>
  </si>
  <si>
    <t>GST Receivables</t>
  </si>
  <si>
    <t xml:space="preserve">Current Tax Receivables </t>
  </si>
  <si>
    <t xml:space="preserve">     Land and buildings</t>
  </si>
  <si>
    <t xml:space="preserve">     Plant and equipment</t>
  </si>
  <si>
    <t>Furniture, fittings and equipment</t>
  </si>
  <si>
    <t>Leasehold Improvements</t>
  </si>
  <si>
    <t xml:space="preserve">    Goodwill</t>
  </si>
  <si>
    <t xml:space="preserve">Patents </t>
  </si>
  <si>
    <t>Right of Use Asset</t>
  </si>
  <si>
    <t xml:space="preserve">     Deferred tax assets</t>
  </si>
  <si>
    <t>Other non-current assets</t>
  </si>
  <si>
    <t xml:space="preserve">    Trade creditors</t>
  </si>
  <si>
    <t>Accruals</t>
  </si>
  <si>
    <t>Government rebates payable</t>
  </si>
  <si>
    <t>Other creditors</t>
  </si>
  <si>
    <t>Accrued royalties</t>
  </si>
  <si>
    <t>Payroll liabilities</t>
  </si>
  <si>
    <t xml:space="preserve">     Lease liabilities</t>
  </si>
  <si>
    <t>Current provisions</t>
  </si>
  <si>
    <t>Employee Benefit Obligations</t>
  </si>
  <si>
    <t>Current tax payable</t>
  </si>
  <si>
    <t>Contract liabilities</t>
  </si>
  <si>
    <t>Total current liabilities</t>
  </si>
  <si>
    <t>Non-current provisions</t>
  </si>
  <si>
    <t>Deferred tax liability</t>
  </si>
  <si>
    <t>Government grant liability</t>
  </si>
  <si>
    <t>Decomissioning Liability</t>
  </si>
  <si>
    <t>Total non-current liabilities</t>
  </si>
  <si>
    <t>Net assets</t>
  </si>
  <si>
    <t>Shareholders equity (expand for detail)</t>
  </si>
  <si>
    <t>Reserves</t>
  </si>
  <si>
    <t>Employee share trust reserve</t>
  </si>
  <si>
    <t>Foreign currency translation reserve</t>
  </si>
  <si>
    <t>Share-based payments reserve</t>
  </si>
  <si>
    <t>Other Reserves</t>
  </si>
  <si>
    <t>Outside equity interests</t>
  </si>
  <si>
    <t>Total shareholders equity</t>
  </si>
  <si>
    <t>B/S check total</t>
  </si>
  <si>
    <t xml:space="preserve">  C/FLOW &amp; B/S RATIOS</t>
  </si>
  <si>
    <t>Debt / equity</t>
  </si>
  <si>
    <t>Net debt / equity (ex lease)</t>
  </si>
  <si>
    <t>Net debt incl lease</t>
  </si>
  <si>
    <t>ND/EBITDA</t>
  </si>
  <si>
    <t>Net interest cover</t>
  </si>
  <si>
    <t>Working capital ratios (expand to display)</t>
  </si>
  <si>
    <t xml:space="preserve">     Current rec's as % of sales</t>
  </si>
  <si>
    <t xml:space="preserve">     Current invent. as % of sales</t>
  </si>
  <si>
    <t xml:space="preserve">     Current pay's as % of sales</t>
  </si>
  <si>
    <t xml:space="preserve">     Current prov's as % of sales</t>
  </si>
  <si>
    <t xml:space="preserve">     Non-curr. prov's as % of sales</t>
  </si>
  <si>
    <t xml:space="preserve">     Average inventory</t>
  </si>
  <si>
    <t xml:space="preserve">     Inventory turnover</t>
  </si>
  <si>
    <t xml:space="preserve">     Days inventory</t>
  </si>
  <si>
    <t>days</t>
  </si>
  <si>
    <t>Trade and Other Receivable Days</t>
  </si>
  <si>
    <t xml:space="preserve">     Days creditors</t>
  </si>
  <si>
    <t>Return on funds employed</t>
  </si>
  <si>
    <t xml:space="preserve">  DIVIDENDS</t>
  </si>
  <si>
    <t>Dividends paid (or provided)</t>
  </si>
  <si>
    <t>Dividend cover</t>
  </si>
  <si>
    <t>Dividend Payout</t>
  </si>
  <si>
    <t xml:space="preserve">  ISSUED CAPITAL</t>
  </si>
  <si>
    <t>Ord. shares on issue (FPO)  -  closing</t>
  </si>
  <si>
    <t>EFPOWA (pre potentials)</t>
  </si>
  <si>
    <t>Period end diluted shares</t>
  </si>
  <si>
    <t xml:space="preserve">  Morgan Stanley Modelware Specifics</t>
  </si>
  <si>
    <t>Statutory Tax Rate</t>
  </si>
  <si>
    <t>Net issuance (purchase) of common equity</t>
  </si>
  <si>
    <t>n</t>
  </si>
  <si>
    <t>Unrecorded goodwill from poolings, write-offsand cumulative amortisation</t>
  </si>
  <si>
    <t>Net change in cash for IFRS</t>
  </si>
  <si>
    <t>WACC</t>
  </si>
  <si>
    <t>Beta</t>
  </si>
  <si>
    <t>Risk Free Rate</t>
  </si>
  <si>
    <t>DCF</t>
  </si>
  <si>
    <t>ERP</t>
  </si>
  <si>
    <t xml:space="preserve">  ACQUIS./ DIVEST. B/S REALLOC'S</t>
  </si>
  <si>
    <t>Working capital</t>
  </si>
  <si>
    <t>ROIC</t>
  </si>
  <si>
    <t>Income Tax Provision</t>
  </si>
  <si>
    <t>Tax Shield Interest Expense Net</t>
  </si>
  <si>
    <t>Tax on non operating income</t>
  </si>
  <si>
    <t>Taxes on EBITA</t>
  </si>
  <si>
    <t>NOPLAT</t>
  </si>
  <si>
    <t>Invested Capital</t>
  </si>
  <si>
    <t>Shareholders Equity</t>
  </si>
  <si>
    <t>Adjusted Equity</t>
  </si>
  <si>
    <t>Operating Current Assets</t>
  </si>
  <si>
    <t>Non-Interest Bearing Current Liabilities</t>
  </si>
  <si>
    <t>+</t>
  </si>
  <si>
    <t>Operating working capital</t>
  </si>
  <si>
    <t>=</t>
  </si>
  <si>
    <t>Net P,P&amp;E</t>
  </si>
  <si>
    <t>Other operating Assets net of other liabilities</t>
  </si>
  <si>
    <t>Operating Invested Capital (ex-goodwill)</t>
  </si>
  <si>
    <t>Goodwill</t>
  </si>
  <si>
    <t>Operating Capital (including goodwill)</t>
  </si>
  <si>
    <t>Excess cash &amp; securities</t>
  </si>
  <si>
    <t>Total Investor Funds</t>
  </si>
  <si>
    <t>Economic Profit = Invested Capital X (ROIC - WACC)</t>
  </si>
  <si>
    <t>NPV of Economic profit over 6yr explicit forecasting</t>
  </si>
  <si>
    <t>CV</t>
  </si>
  <si>
    <t>NOPLATT+1 = The normalised level of NOPLAT in the first year after the explicit forecast period.</t>
  </si>
  <si>
    <r>
      <t>g</t>
    </r>
    <r>
      <rPr>
        <sz val="10"/>
        <rFont val="Arial"/>
        <family val="2"/>
      </rPr>
      <t xml:space="preserve"> = The expected growth rate in NOPLAT in perpetuity.</t>
    </r>
  </si>
  <si>
    <t>ROICI = The expected rate of return on new investment.</t>
  </si>
  <si>
    <t>WACC = The weighted average cost of capital.</t>
  </si>
  <si>
    <t>Precision Medicine revenue</t>
  </si>
  <si>
    <t>Therapeutics revenue</t>
  </si>
  <si>
    <t>Research and development expenses</t>
  </si>
  <si>
    <t>Gross margin</t>
  </si>
  <si>
    <t>Company</t>
  </si>
  <si>
    <t>PCA_REV US</t>
  </si>
  <si>
    <t>Biopsy_REV US</t>
  </si>
  <si>
    <t>PCA_REV EU</t>
  </si>
  <si>
    <t>ZIRC_REV</t>
  </si>
  <si>
    <t>Zircaix - US</t>
  </si>
  <si>
    <t>Rating</t>
  </si>
  <si>
    <t>101_REV</t>
  </si>
  <si>
    <t>101 - US</t>
  </si>
  <si>
    <t>TLX591_REV</t>
  </si>
  <si>
    <t>TLX591</t>
  </si>
  <si>
    <t>PIXC_REV</t>
  </si>
  <si>
    <t>Pixclara - US</t>
  </si>
  <si>
    <t>TMS</t>
  </si>
  <si>
    <t>Assumptions</t>
  </si>
  <si>
    <t>Risk free rate</t>
  </si>
  <si>
    <t>Market risk premium</t>
  </si>
  <si>
    <t>Cost of debt (post-tax)</t>
  </si>
  <si>
    <t>Cost of equity</t>
  </si>
  <si>
    <t>Tax rate</t>
  </si>
  <si>
    <t>Free cash flow</t>
  </si>
  <si>
    <t>US$mn</t>
  </si>
  <si>
    <t>Change in working capital</t>
  </si>
  <si>
    <t>Discount factor</t>
  </si>
  <si>
    <t>Illuccix/Gozellix</t>
  </si>
  <si>
    <t>Discounted free cash flow</t>
  </si>
  <si>
    <t>NPV of cashflows</t>
  </si>
  <si>
    <t>Net debt</t>
  </si>
  <si>
    <t>mn</t>
  </si>
  <si>
    <t>AUDUSD</t>
  </si>
  <si>
    <t>DCF tables</t>
  </si>
  <si>
    <t>Valuation scenario</t>
  </si>
  <si>
    <t>Weighting</t>
  </si>
  <si>
    <t>Value /share</t>
  </si>
  <si>
    <t>Bull case</t>
  </si>
  <si>
    <t>Base case</t>
  </si>
  <si>
    <t>Bear case</t>
  </si>
  <si>
    <t>Price target</t>
  </si>
  <si>
    <t>Current share price</t>
  </si>
  <si>
    <t>Upside</t>
  </si>
  <si>
    <t>Terminal growth rate</t>
  </si>
  <si>
    <t>Cash flow</t>
  </si>
  <si>
    <t>Currency</t>
  </si>
  <si>
    <t xml:space="preserve">Capex </t>
  </si>
  <si>
    <t>Terminal value</t>
  </si>
  <si>
    <t>Equity value</t>
  </si>
  <si>
    <t>Shares on issue</t>
  </si>
  <si>
    <t>Equity value / share</t>
  </si>
  <si>
    <t>US$</t>
  </si>
  <si>
    <t>A$</t>
  </si>
  <si>
    <t>Equity value / share 1-year forward</t>
  </si>
  <si>
    <t>1H25</t>
  </si>
  <si>
    <t>On</t>
  </si>
  <si>
    <t>***Do not delete***</t>
  </si>
  <si>
    <t>Off</t>
  </si>
  <si>
    <t>Sale of goods - at a point in time</t>
  </si>
  <si>
    <t>YoY%</t>
  </si>
  <si>
    <t>Royalty income - at a point in time</t>
  </si>
  <si>
    <t>Licenses of intellectual property - at a point in time</t>
  </si>
  <si>
    <t>Research and development services - over time</t>
  </si>
  <si>
    <t>Total revenue from continuing operations</t>
  </si>
  <si>
    <t>Check</t>
  </si>
  <si>
    <t>Group</t>
  </si>
  <si>
    <t>FY25</t>
  </si>
  <si>
    <t>USD</t>
  </si>
  <si>
    <t>AUD</t>
  </si>
  <si>
    <t>PM</t>
  </si>
  <si>
    <t>M</t>
  </si>
  <si>
    <t>…RLS</t>
  </si>
  <si>
    <t>Illuccix/Goxellix - US</t>
  </si>
  <si>
    <t>…Illuccix</t>
  </si>
  <si>
    <t>Illuccix/Goxellix - US (Biopsy)</t>
  </si>
  <si>
    <t>Illuccix/Goxellix - EU</t>
  </si>
  <si>
    <t xml:space="preserve">Other </t>
  </si>
  <si>
    <t>PM GP</t>
  </si>
  <si>
    <t>Pipeline</t>
  </si>
  <si>
    <t>M_GP</t>
  </si>
  <si>
    <t>1H/2H splits</t>
  </si>
  <si>
    <t>G_GM</t>
  </si>
  <si>
    <t>Manu</t>
  </si>
  <si>
    <t>PM_GM</t>
  </si>
  <si>
    <t>T_GM</t>
  </si>
  <si>
    <t>M_GM</t>
  </si>
  <si>
    <t>Int</t>
  </si>
  <si>
    <t>Costs</t>
  </si>
  <si>
    <t>RLS</t>
  </si>
  <si>
    <t>Volume</t>
  </si>
  <si>
    <t>% of revenue</t>
  </si>
  <si>
    <t>Price</t>
  </si>
  <si>
    <t>GP</t>
  </si>
  <si>
    <t>ILL/GOZ_R</t>
  </si>
  <si>
    <t>GM</t>
  </si>
  <si>
    <t>PM_COGS</t>
  </si>
  <si>
    <t>T_COGS</t>
  </si>
  <si>
    <t>M_COGS</t>
  </si>
  <si>
    <t>G_EBITDA</t>
  </si>
  <si>
    <t>...RLS</t>
  </si>
  <si>
    <t>...Other</t>
  </si>
  <si>
    <t>Group YoY%</t>
  </si>
  <si>
    <t>Total</t>
  </si>
  <si>
    <t>Rev</t>
  </si>
  <si>
    <t>Opex</t>
  </si>
  <si>
    <t>Man</t>
  </si>
  <si>
    <t>Illucix - commercial</t>
  </si>
  <si>
    <t>Pixclara, Zircaix, Gozellix - pre-commercial</t>
  </si>
  <si>
    <t>Pre-clinical/innovation</t>
  </si>
  <si>
    <t>PM_R&amp;D</t>
  </si>
  <si>
    <t>TLX591 (P3)</t>
  </si>
  <si>
    <t>TLX250/101 (P2)</t>
  </si>
  <si>
    <t>TLX66/300/592 (P1)</t>
  </si>
  <si>
    <t>T_R&amp;D</t>
  </si>
  <si>
    <t>M_R&amp;D</t>
  </si>
  <si>
    <t>Growth</t>
  </si>
  <si>
    <t>Change</t>
  </si>
  <si>
    <t>Share of total</t>
  </si>
  <si>
    <t>Selling and Marketing Costs</t>
  </si>
  <si>
    <t>PM_S&amp;M</t>
  </si>
  <si>
    <t>T_S&amp;M</t>
  </si>
  <si>
    <t>M_S&amp;M</t>
  </si>
  <si>
    <t>PM_MANU</t>
  </si>
  <si>
    <t>T_MANU</t>
  </si>
  <si>
    <t>M_MANU</t>
  </si>
  <si>
    <t>% of revenue group</t>
  </si>
  <si>
    <t>General and Admin Costs</t>
  </si>
  <si>
    <t>Segmental</t>
  </si>
  <si>
    <t>PM_G&amp;A</t>
  </si>
  <si>
    <t>T_G&amp;A</t>
  </si>
  <si>
    <t>M_G&amp;A</t>
  </si>
  <si>
    <t>Unallocated G&amp;A</t>
  </si>
  <si>
    <t>EBIT return</t>
  </si>
  <si>
    <t>Margin</t>
  </si>
  <si>
    <t>One-offs</t>
  </si>
  <si>
    <t>RW</t>
  </si>
  <si>
    <t>US listing</t>
  </si>
  <si>
    <t>Acquisition transaction costs</t>
  </si>
  <si>
    <t>Adjusted EBIT</t>
  </si>
  <si>
    <t>Segment</t>
  </si>
  <si>
    <t>PM_EBIT</t>
  </si>
  <si>
    <t>T_EBIT</t>
  </si>
  <si>
    <t>M_EBIT</t>
  </si>
  <si>
    <t>FV</t>
  </si>
  <si>
    <t>Depreciation and Amortisation</t>
  </si>
  <si>
    <t>Group Depreciation</t>
  </si>
  <si>
    <t>L</t>
  </si>
  <si>
    <t>as % of sales</t>
  </si>
  <si>
    <t>Group Amortisation</t>
  </si>
  <si>
    <t>Open</t>
  </si>
  <si>
    <t>Int exp</t>
  </si>
  <si>
    <t>Int paid</t>
  </si>
  <si>
    <t>Close</t>
  </si>
  <si>
    <t>Group D&amp;A</t>
  </si>
  <si>
    <t>PM_D&amp;A</t>
  </si>
  <si>
    <t>T_D&amp;A</t>
  </si>
  <si>
    <t>M_D&amp;A</t>
  </si>
  <si>
    <t>Group adjusted EBITDA</t>
  </si>
  <si>
    <t>Group adjusted EBIT</t>
  </si>
  <si>
    <t>Other one-offs</t>
  </si>
  <si>
    <t>Group EBIT</t>
  </si>
  <si>
    <t>Interest revenue</t>
  </si>
  <si>
    <t>Interest expense</t>
  </si>
  <si>
    <t>Tax expense</t>
  </si>
  <si>
    <t>Group Drivers</t>
  </si>
  <si>
    <t>Purchase of PPE as % sales</t>
  </si>
  <si>
    <t>Purfchase of PPE</t>
  </si>
  <si>
    <t>Purchase of Intangibles as % of sales</t>
  </si>
  <si>
    <t>Purchase of Intangibles</t>
  </si>
  <si>
    <t>Cash balance</t>
  </si>
  <si>
    <t>Average cash balance</t>
  </si>
  <si>
    <t>Interest rate</t>
  </si>
  <si>
    <t>Debt balance</t>
  </si>
  <si>
    <t>Average debt balance</t>
  </si>
  <si>
    <t>Unwind of discount</t>
  </si>
  <si>
    <t>Interest on lease liabilities</t>
  </si>
  <si>
    <t>CB interest expense</t>
  </si>
  <si>
    <t>Change in working capital ($m)</t>
  </si>
  <si>
    <t xml:space="preserve">     Current accounts receivable</t>
  </si>
  <si>
    <t xml:space="preserve">     Current inventories</t>
  </si>
  <si>
    <t xml:space="preserve">     Current accounts payable</t>
  </si>
  <si>
    <t>Working capital % of sales</t>
  </si>
  <si>
    <t>Dividends</t>
  </si>
  <si>
    <t xml:space="preserve">     Dividend per share</t>
  </si>
  <si>
    <t xml:space="preserve">     Dividend payout</t>
  </si>
  <si>
    <t xml:space="preserve">     Dividend cover</t>
  </si>
  <si>
    <t xml:space="preserve">     Dividends provided</t>
  </si>
  <si>
    <t>Low</t>
  </si>
  <si>
    <t>High</t>
  </si>
  <si>
    <t>Variance</t>
  </si>
  <si>
    <t>1Q24</t>
  </si>
  <si>
    <t>2Q24</t>
  </si>
  <si>
    <t>3Q24</t>
  </si>
  <si>
    <t>4Q24</t>
  </si>
  <si>
    <t>1Q25</t>
  </si>
  <si>
    <t>2Q25</t>
  </si>
  <si>
    <t>3Q25</t>
  </si>
  <si>
    <t>Illuccix</t>
  </si>
  <si>
    <t>Count</t>
  </si>
  <si>
    <t>PSMA</t>
  </si>
  <si>
    <t>NA</t>
  </si>
  <si>
    <t>Telix Pharmaceuticals Ltd</t>
  </si>
  <si>
    <t>Employee Benefit Obligation &amp; Other NCL</t>
  </si>
  <si>
    <t>Old</t>
  </si>
  <si>
    <t>New</t>
  </si>
  <si>
    <t>Gross Profit</t>
  </si>
  <si>
    <t>FY25E</t>
  </si>
  <si>
    <t>FY26E</t>
  </si>
  <si>
    <t>FY27E</t>
  </si>
  <si>
    <t>Mid</t>
  </si>
  <si>
    <t>4Q25E</t>
  </si>
  <si>
    <t>Manufacturing and Distribution Costs</t>
  </si>
  <si>
    <t>na</t>
  </si>
  <si>
    <t xml:space="preserve">1 Austin Road West </t>
  </si>
  <si>
    <t xml:space="preserve">Kowloon </t>
  </si>
  <si>
    <t xml:space="preserve">Hong Kong </t>
  </si>
  <si>
    <t>Tel: +852 2848 5200</t>
  </si>
  <si>
    <t>Authors: David Bailey,Peter Niu</t>
  </si>
  <si>
    <t>Date: 21 Jan 2026</t>
  </si>
  <si>
    <t>Ticker: TLX.AX</t>
  </si>
  <si>
    <t>Stock Rating: Overweight</t>
  </si>
  <si>
    <t>Industry: Australia Healthcare</t>
  </si>
  <si>
    <t>Industry View: In-Line</t>
  </si>
  <si>
    <t>Price as of 21 Jan 2026: 10.86</t>
  </si>
  <si>
    <t>Target Price: 25.60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</si>
  <si>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</si>
  <si>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</si>
  <si>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</si>
  <si>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</si>
  <si>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</si>
  <si>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</si>
  <si>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</si>
  <si>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</si>
  <si>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</si>
  <si>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</si>
  <si>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</si>
  <si>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</si>
  <si>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</si>
  <si>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</si>
  <si>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</si>
  <si>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</si>
  <si>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</si>
  <si>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 having Corporate Identification No (CIN)</t>
  </si>
  <si>
    <t>U22990MH1998PTC115305, regulated by the Securities and Exchange Board of India (“SEBI”) and holder of</t>
  </si>
  <si>
    <t>licenses as a Research Analyst (SEBI Registration No. INH000001105); Stock Broker (SEBI Stock Broker</t>
  </si>
  <si>
    <t>Registration No. INZ000244438), Merchant Banker (SEBI Registration No. INM000011203), and depository</t>
  </si>
  <si>
    <t>participant with National Securities Depository Limited (SEBI Registration No. IN-DP-NSDL-567-2021)</t>
  </si>
  <si>
    <t>having registered office at Altimus, Level 39 &amp; 40, Pandurang Budhkar Marg, Worli, Mumbai 400018, India;</t>
  </si>
  <si>
    <t>Telephone no. +91-22-61181000; Compliance Officer Details: Mr. Tejarshi Hardas, Tel. No.:</t>
  </si>
  <si>
    <t>+91-22-61181000 or Email: tejarshi.hardas@morganstanley.com; Grievance officer details: Mr. Tejarshi</t>
  </si>
  <si>
    <t>Hardas, Tel. No.: +91-22-61181000 or Email: msic-compliance@morganstanley.com which accepts the</t>
  </si>
  <si>
    <t>responsibility for its contents and should be contacted with respect to any matters arising from, or in</t>
  </si>
  <si>
    <t>connection with, Morgan Stanley Research, and their affiliates (collectively, "Morgan Stanley"). Morgan</t>
  </si>
  <si>
    <t>Stanley India Company Private Limited (MSICPL) may use AI tools in providing research services. All</t>
  </si>
  <si>
    <t>recommendations contained herein are made by the duly qualified research analysts.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</si>
  <si>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</si>
  <si>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</si>
  <si>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www.morganstanley.com/eqr/disclosures/webapp/generalresearch, or contact your investment representative</t>
  </si>
  <si>
    <t>or Morgan Stanley Research at 1585 Broadway, (Attention: Research Management), New York, NY, 10036 USA.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</si>
  <si>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</si>
  <si>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</si>
  <si>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</si>
  <si>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</si>
  <si>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</si>
  <si>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</si>
  <si>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Analyst Certification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</si>
  <si>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</si>
  <si>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</si>
  <si>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</si>
  <si>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David L Bailey.</t>
  </si>
  <si>
    <t>.</t>
  </si>
  <si>
    <t>Global Research Conflict Management Policy</t>
  </si>
  <si>
    <t>Morgan Stanley Research has been published in accordance with our conflict management policy, which is</t>
  </si>
  <si>
    <t>available at www.morganstanley.com/institutional/research/conflictpolicies. A Portuguese version of the</t>
  </si>
  <si>
    <t>policy can be found at www.morganstanley.com.br</t>
  </si>
  <si>
    <t>Important Regulatory Disclosures on Subject Companies</t>
  </si>
  <si>
    <t>In the next 3 months, Morgan Stanley expects to receive or intends to seek compensation for investment</t>
  </si>
  <si>
    <t>banking services from Telix Pharmaceuticals Ltd.</t>
  </si>
  <si>
    <t>Within the last 12 months, Morgan Stanley has provided or is providing investment banking services to,</t>
  </si>
  <si>
    <t>or has an investment banking client relationship with, the following company: Telix Pharmaceuticals Ltd.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</si>
  <si>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</si>
  <si>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</si>
  <si>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</si>
  <si>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</si>
  <si>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</si>
  <si>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particular trading desks.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</si>
  <si>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</si>
  <si>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</si>
  <si>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</si>
  <si>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</si>
  <si>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</si>
  <si>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</si>
  <si>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</si>
  <si>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Certain disclosures listed above are also for compliance with applicable regulations in non-US</t>
  </si>
  <si>
    <t>jurisdictions.</t>
  </si>
  <si>
    <t>STOCK RATINGS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</si>
  <si>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</si>
  <si>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</si>
  <si>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</si>
  <si>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</si>
  <si>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</si>
  <si>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</si>
  <si>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</t>
  </si>
  <si>
    <t>upon as investment advice. An investor's decision to buy or sell a stock should depend on individual</t>
  </si>
  <si>
    <t>circumstances (such as the investor's existing holdings) and other considerations.</t>
  </si>
  <si>
    <t>Global Stock Ratings Distribution</t>
  </si>
  <si>
    <t>(as of December 31, 2025)</t>
  </si>
  <si>
    <t>The Stock Ratings described below apply to Morgan Stanley's Fundamental Equity Research and do not apply</t>
  </si>
  <si>
    <t>to Debt Research produced by the Firm.</t>
  </si>
  <si>
    <t>For disclosure purposes only (in accordance with FINRA requirements), we include the category headings</t>
  </si>
  <si>
    <t>of Buy, Hold, and Sell alongside our ratings of Overweight, Equal-weight, Not-Rated and Underweight.</t>
  </si>
  <si>
    <t>Morgan Stanley does not assign ratings of Buy, Hold or Sell to the stocks we cover. Overweight,</t>
  </si>
  <si>
    <t>Equal-weight, Not-Rated and Underweight are not the equivalent of buy, hold, and sell but represent</t>
  </si>
  <si>
    <t>recommended relative weightings (see definitions below). To satisfy regulatory requirements, we</t>
  </si>
  <si>
    <t>correspond Overweight, our most positive stock rating, with a buy recommendation; we correspond</t>
  </si>
  <si>
    <t>Equal-weight and Not-Rated to hold and Underweight to sell recommendations, respectively.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</si>
  <si>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</si>
  <si>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</si>
  <si>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</si>
  <si>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</si>
  <si>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</si>
  <si>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</si>
  <si>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</si>
  <si>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</si>
  <si>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</si>
  <si>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</si>
  <si>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</si>
  <si>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</si>
  <si>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</si>
  <si>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</si>
  <si>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</si>
  <si>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</si>
  <si>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Analyst Stock Ratings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</si>
  <si>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</si>
  <si>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</si>
  <si>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</si>
  <si>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</si>
  <si>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</si>
  <si>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</si>
  <si>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</si>
  <si>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</si>
  <si>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</si>
  <si>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</si>
  <si>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</si>
  <si>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Unless otherwise specified, the time frame for price targets included in Morgan Stanley Research is 12</t>
  </si>
  <si>
    <t>to 18 months.</t>
  </si>
  <si>
    <t>Analyst Industry Views</t>
  </si>
  <si>
    <t>Attractive (A): The analyst expects the performance of his or her industry coverage universe over the</t>
  </si>
  <si>
    <t>next 12-18 months to be attractive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</si>
  <si>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</si>
  <si>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</si>
  <si>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Cautious (C): The analyst views the performance of his or her industry coverage universe over the next</t>
  </si>
  <si>
    <t>12-18 months with caution vs. the relevant broad market benchmark, as indicated below.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</si>
  <si>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</si>
  <si>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</si>
  <si>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</si>
  <si>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Stock Price, Price Target and Rating History (See Rating Definitions)</t>
  </si>
  <si>
    <t>Important Disclosures for Morgan Stanley Smith Barney LLC Customers</t>
  </si>
  <si>
    <t>Important disclosures regarding any material conflict of interest that can reasonably be expected to</t>
  </si>
  <si>
    <t>have influenced Morgan Stanley Smith Barney LLC's choice of a third-party research provider or the</t>
  </si>
  <si>
    <t>subject company of a third-party research report, are available on the Morgan Stanley Wealth Management</t>
  </si>
  <si>
    <t>disclosure website at www.morganstanley.com/online/researchdisclosures. For Morgan Stanley specific</t>
  </si>
  <si>
    <t>disclosures, you may refer to https://www.morganstanley.com/eqr/disclosures/webapp/generalresearch.</t>
  </si>
  <si>
    <t>Each Morgan Stanley research report is reviewed and approved on behalf of Morgan Stanley Smith Barney</t>
  </si>
  <si>
    <t>LLC. This review and approval is conducted by the same person who reviews the research report on behalf</t>
  </si>
  <si>
    <t>of Morgan Stanley. This could create a conflict of interest.</t>
  </si>
  <si>
    <t>Other Important Disclosures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</si>
  <si>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</si>
  <si>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</si>
  <si>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</si>
  <si>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</si>
  <si>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</si>
  <si>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</si>
  <si>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</si>
  <si>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</si>
  <si>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</si>
  <si>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</si>
  <si>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</si>
  <si>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</si>
  <si>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</si>
  <si>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</si>
  <si>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</si>
  <si>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</si>
  <si>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</si>
  <si>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</si>
  <si>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</si>
  <si>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</si>
  <si>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</si>
  <si>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</si>
  <si>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</si>
  <si>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</si>
  <si>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</si>
  <si>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</si>
  <si>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</si>
  <si>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</si>
  <si>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</si>
  <si>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</si>
  <si>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 Please use the provided link to review the Terms and</t>
  </si>
  <si>
    <t>Conditions and Most Important Terms and Conditions for Morgan Stanley India Company Private Limited</t>
  </si>
  <si>
    <t>(https://www.morganstanley.com/assets/pdfs/about-us-global-offices/india/Terms_and_conditions.pdf) and</t>
  </si>
  <si>
    <t>the following link to review the audit report</t>
  </si>
  <si>
    <t>(https://www.morganstanley.com/assets/pdfs/about-us-global-offices/india/Research_Audit_Report.pdf).</t>
  </si>
  <si>
    <t>If you do not agree to our Terms of Use and/or if you do not wish to provide your consent to Morgan</t>
  </si>
  <si>
    <t>Stanley processing your personal data or using cookies please do not access our research.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</si>
  <si>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</si>
  <si>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</si>
  <si>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</si>
  <si>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</si>
  <si>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</si>
  <si>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</si>
  <si>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</si>
  <si>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</si>
  <si>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</si>
  <si>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</si>
  <si>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</si>
  <si>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</si>
  <si>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</si>
  <si>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</si>
  <si>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</si>
  <si>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</si>
  <si>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</si>
  <si>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</si>
  <si>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</si>
  <si>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</si>
  <si>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</si>
  <si>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</si>
  <si>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The "Important Regulatory Disclosures on Subject Companies" section in Morgan Stanley Research lists all</t>
  </si>
  <si>
    <t>companies mentioned where Morgan Stanley owns 1% or more of a class of common equity securities of the</t>
  </si>
  <si>
    <t>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</si>
  <si>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</si>
  <si>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</si>
  <si>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</si>
  <si>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</si>
  <si>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</si>
  <si>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</si>
  <si>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</si>
  <si>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</si>
  <si>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</si>
  <si>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</si>
  <si>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</si>
  <si>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</si>
  <si>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</si>
  <si>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</si>
  <si>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</si>
  <si>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</si>
  <si>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Morgan Stanley may make investment decisions that are inconsistent with the recommendations or views in</t>
  </si>
  <si>
    <t>this report.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</si>
  <si>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</si>
  <si>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</si>
  <si>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</si>
  <si>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</si>
  <si>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</si>
  <si>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</si>
  <si>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</si>
  <si>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</si>
  <si>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</si>
  <si>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</si>
  <si>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</si>
  <si>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</si>
  <si>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</si>
  <si>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Certain information in Morgan Stanley Research was sourced by employees of the Shanghai Representative</t>
  </si>
  <si>
    <t>Office of Morgan Stanley Asia Limited for the use of Morgan Stanley Asia Limited.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</si>
  <si>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</si>
  <si>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</si>
  <si>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</si>
  <si>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</si>
  <si>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</si>
  <si>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</si>
  <si>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</si>
  <si>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</si>
  <si>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Morgan Stanley Research is disseminated in Brazil by Morgan Stanley C.T.V.M. S.A. located at Av.</t>
  </si>
  <si>
    <t>Brigadeiro Faria Lima, 3600, 6th floor, São Paulo - SP, Brazil; and is regulated by the Comissão de</t>
  </si>
  <si>
    <t>Valores Mobiliários; in Mexico by Morgan Stanley México, Casa de Bolsa, S.A. de C.V which is regulated</t>
  </si>
  <si>
    <t>by Comision Nacional Bancaria y de Valores. Paseo de los Tamarindos 90, Torre 1, Col. Bosques de las</t>
  </si>
  <si>
    <t>Lomas Floor 29, 05120 Mexico City; in Japan by Morgan Stanley MUFG Securities Co., Ltd. and, for</t>
  </si>
  <si>
    <t>Commodities related research reports only, Morgan Stanley Capital Group Japan Co., Ltd; in Hong Kong by</t>
  </si>
  <si>
    <t>Morgan Stanley Asia Limited (which accepts responsibility for its contents) and by Morgan Stanley Bank</t>
  </si>
  <si>
    <t>Asia Limited; in Singapore by Morgan Stanley Asia (Singapore) Pte. (Registration number 199206298Z)</t>
  </si>
  <si>
    <t>and/or Morgan Stanley Asia (Singapore) Securities Pte Ltd (Registration number 200008434H), regulated by</t>
  </si>
  <si>
    <t>the Monetary Authority of Singapore (which accepts legal responsibility for its contents and should be</t>
  </si>
  <si>
    <t>contacted with respect to any matters arising from, or in connection with, Morgan Stanley Research) and</t>
  </si>
  <si>
    <t>by Morgan Stanley Bank Asia Limited, Singapore Branch (Registration number T14FC0118J);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</si>
  <si>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</si>
  <si>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</si>
  <si>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</si>
  <si>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</si>
  <si>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</si>
  <si>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</si>
  <si>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 having Corporate Identification No (CIN) U22990MH1998PTC115305,</t>
  </si>
  <si>
    <t>regulated by the Securities and Exchange Board of India (“SEBI”) and holder of licenses as a Research</t>
  </si>
  <si>
    <t>Analyst (SEBI Registration No. INH000001105); Stock Broker (SEBI Stock Broker Registration No.</t>
  </si>
  <si>
    <t>INZ000244438), Merchant Banker (SEBI Registration No. INM000011203), and depository participant with</t>
  </si>
  <si>
    <t>National Securities Depository Limited (SEBI Registration No. IN-DP-NSDL-567-2021) having registered</t>
  </si>
  <si>
    <t>office at Altimus, Level 39 &amp; 40, Pandurang Budhkar Marg, Worli, Mumbai 400018, India; Telephone no.</t>
  </si>
  <si>
    <t>+91-22-61181000; Compliance Officer Details: Mr. Tejarshi Hardas, Tel. No.: +91-22-61181000 or Email:</t>
  </si>
  <si>
    <t>tejarshi.hardas@morganstanley.com; Grievance officer details: Mr. Tejarshi Hardas, Tel. No.:</t>
  </si>
  <si>
    <t>+91-22-61181000 or Email: msic-compliance@morganstanley.com. Morgan Stanley India Company Private</t>
  </si>
  <si>
    <t>Limited (MSICPL) may use AI tools in providing research services. All recommendations contained herein</t>
  </si>
  <si>
    <t>are made by the duly qualified research analysts; in Canada by Morgan Stanley Canada Limited; in Germany</t>
  </si>
  <si>
    <t>and the European Economic Area where required by Morgan Stanley Europe S.E., authorised and regulated by</t>
  </si>
  <si>
    <t>Bundesanstalt fuer Finanzdienstleistungsaufsicht (BaFin) under the reference number 149169; in the US by</t>
  </si>
  <si>
    <t>Morgan Stanley &amp; Co. LLC, which accepts responsibility for its contents. Morgan Stanley &amp; Co.</t>
  </si>
  <si>
    <t>International plc, authorized by the Prudential Regulation Authority and regulated by the Financial</t>
  </si>
  <si>
    <t>Conduct Authority and the Prudential Regulation Authority, disseminates in the UK research that it has</t>
  </si>
  <si>
    <t>prepared, and research which has been prepared by any of its affiliates, only to persons who (i) are</t>
  </si>
  <si>
    <t>investment professionals falling within Article 19(5) of the Financial Services and Markets Act 2000</t>
  </si>
  <si>
    <t>(Financial Promotion) Order 2005 (as amended, the “Order”); (ii) are persons who are high net worth</t>
  </si>
  <si>
    <t>entities falling within Article 49(2)(a) to (d) of the Order; or (iii) are persons to whom an invitation</t>
  </si>
  <si>
    <t>or inducement to engage in investment activity (within the meaning of section 21 of the Financial</t>
  </si>
  <si>
    <t>Services and Markets Act 2000, as amended) may otherwise lawfully be communicated or caused to be</t>
  </si>
  <si>
    <t>communicated. RMB Morgan Stanley Proprietary Limited is a member of the JSE Limited and A2X (Pty) Ltd.</t>
  </si>
  <si>
    <t>RMB Morgan Stanley Proprietary Limited is a joint venture owned equally by Morgan Stanley International</t>
  </si>
  <si>
    <t>Holdings Inc. and RMB Investment Advisory (Proprietary) Limited, which is wholly owned by FirstRand</t>
  </si>
  <si>
    <t>Limited. The information in Morgan Stanley Research is being disseminated by Morgan Stanley Saudi</t>
  </si>
  <si>
    <t>Arabia, regulated by the Capital Market Authority in the Kingdom of Saudi Arabia, and is directed at</t>
  </si>
  <si>
    <t>Sophisticated investors only.</t>
  </si>
  <si>
    <t>The information in Morgan Stanley Research is being communicated by Morgan Stanley &amp; Co. International</t>
  </si>
  <si>
    <t>plc (DIFC Branch), regulated by the Dubai Financial Services Authority (the DFSA) or by Morgan Stanley &amp;</t>
  </si>
  <si>
    <t>Co. International plc (ADGM Branch), regulated by the Financial Services Regulatory Authority Abu Dhabi</t>
  </si>
  <si>
    <t>(the FSRA), and is directed at Professional Clients only, as defined by the DFSA or the FSRA,</t>
  </si>
  <si>
    <t>respectively. The financial products or financial services to which this research relates will only be</t>
  </si>
  <si>
    <t>made available to a customer who we are satisfied meets the regulatory criteria of a Professional</t>
  </si>
  <si>
    <t>Client. A distribution of the different MS Research ratings or recommendations, in percentage terms for</t>
  </si>
  <si>
    <t>Investments in each sector covered, is available upon request from your sales representative.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</si>
  <si>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</si>
  <si>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</si>
  <si>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</si>
  <si>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</si>
  <si>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</si>
  <si>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</si>
  <si>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</si>
  <si>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</si>
  <si>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</si>
  <si>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</si>
  <si>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</si>
  <si>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</si>
  <si>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</si>
  <si>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</si>
  <si>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Morgan Stanley Research, or any portion thereof may not be reprinted, sold or redistributed without the</t>
  </si>
  <si>
    <t>written consent of Morgan Stanley.</t>
  </si>
  <si>
    <t>Indicators and trackers referenced in Morgan Stanley Research may not be used as, or treated as, a</t>
  </si>
  <si>
    <t>benchmark under Regulation EU 2016/1011, or any other similar framework.</t>
  </si>
  <si>
    <t>The issuers and/or fixed income products recommended or discussed in certain fixed income research</t>
  </si>
  <si>
    <t>reports may not be continuously followed. Accordingly, investors should regard those fixed income</t>
  </si>
  <si>
    <t>research reports as providing stand-alone analysis and should not expect continuing analysis or</t>
  </si>
  <si>
    <t>additional reports relating to such issuers and/or individual fixed income products.</t>
  </si>
  <si>
    <t>Morgan Stanley may hold, from time to time, material financial and commercial interests regarding the</t>
  </si>
  <si>
    <t>company subject to the Research report.</t>
  </si>
  <si>
    <t>Registration granted by SEBI and certification from the National Institute of Securities Markets (NISM)</t>
  </si>
  <si>
    <t>in no way guarantee performance of the intermediary or provide any assurance of returns to investors.</t>
  </si>
  <si>
    <t>Investment in securities market are subject to market risks. Read all the related documents carefully</t>
  </si>
  <si>
    <t>before investing.</t>
  </si>
  <si>
    <t>© Copyright 2026 Morgan Stanley</t>
  </si>
  <si>
    <t>MacroVersion</t>
  </si>
  <si>
    <t>6.10</t>
  </si>
  <si>
    <t>PublishDate</t>
  </si>
  <si>
    <t>01/21/26 12:43</t>
  </si>
  <si>
    <t>Discipline</t>
  </si>
  <si>
    <t>Research</t>
  </si>
  <si>
    <t>ResearchTopic</t>
  </si>
  <si>
    <t>DocType</t>
  </si>
  <si>
    <t>Model</t>
  </si>
  <si>
    <t>SubjectCode</t>
  </si>
  <si>
    <t>Description</t>
  </si>
  <si>
    <t>KeepVersions</t>
  </si>
  <si>
    <t>All</t>
  </si>
  <si>
    <t>Overweight / In-Line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</si>
  <si>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</si>
  <si>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</si>
  <si>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</si>
  <si>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</si>
  <si>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</si>
  <si>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</si>
  <si>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</si>
  <si>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</si>
  <si>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Regular Update</t>
  </si>
  <si>
    <t>Authors</t>
  </si>
  <si>
    <t>MSA2N068, MSA2P299</t>
  </si>
  <si>
    <t>Tickers</t>
  </si>
  <si>
    <t>CUSIP</t>
  </si>
  <si>
    <t>RIC</t>
  </si>
  <si>
    <t>SEDOL</t>
  </si>
  <si>
    <t>BF7M092</t>
  </si>
  <si>
    <t>Current Stock Price</t>
  </si>
  <si>
    <t>10.86</t>
  </si>
  <si>
    <t>PathName</t>
  </si>
  <si>
    <t>L:\USERS\HealthCare\1_Current_Models\Templates\TLX - 1H26_RR.xlsm</t>
  </si>
  <si>
    <t>Distribution</t>
  </si>
  <si>
    <t>0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</si>
  <si>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</si>
  <si>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</si>
  <si>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</si>
  <si>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</si>
  <si>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</si>
  <si>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</si>
  <si>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</si>
  <si>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</si>
  <si>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</si>
  <si>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</si>
  <si>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</si>
  <si>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1000000</t>
  </si>
  <si>
    <t>TemplateRegion</t>
  </si>
  <si>
    <t>AsiaPacific</t>
  </si>
  <si>
    <t>ObjectType</t>
  </si>
  <si>
    <t>excel</t>
  </si>
  <si>
    <t>LanguageCode</t>
  </si>
  <si>
    <t>en-US</t>
  </si>
  <si>
    <t>SubmitterUserId</t>
  </si>
  <si>
    <t>bailedav</t>
  </si>
  <si>
    <t>IndustryId</t>
  </si>
  <si>
    <t>1900000446</t>
  </si>
  <si>
    <t>TickerRegion</t>
  </si>
  <si>
    <t>5</t>
  </si>
  <si>
    <t>AdditionalInstructions</t>
  </si>
  <si>
    <t>*Estimated</t>
  </si>
  <si>
    <t>OwnerTeam</t>
  </si>
  <si>
    <t>I888888918</t>
  </si>
  <si>
    <t>[BRO MSA]</t>
  </si>
  <si>
    <t>[DOCDAT 2026-01-21]</t>
  </si>
  <si>
    <t>[DOCTIME 12:43]</t>
  </si>
  <si>
    <t>[PSYM TLX.AX(Reuters) (None)]</t>
  </si>
  <si>
    <t>[COU Australia]</t>
  </si>
  <si>
    <t>[PRODUCT MODEL]</t>
  </si>
  <si>
    <t>[ANA MSA2P299]</t>
  </si>
  <si>
    <t>[HL TLX.AX Model]</t>
  </si>
  <si>
    <t>[IND Healthcare]</t>
  </si>
  <si>
    <t>[EMAIL_ALERT YES]</t>
  </si>
  <si>
    <t>[PANA  MSA2N068]</t>
  </si>
  <si>
    <t>[DISCIPLINE Company]</t>
  </si>
  <si>
    <t>[SUPPRESSED NO]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</si>
</sst>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#,##0.000;\ \(#,##0.000\)"/>
    <numFmt numFmtId="169" formatCode="#,##0&quot;&quot;;\(#,##0\)&quot;&quot;"/>
    <numFmt numFmtId="170" formatCode="#,##0.0;\ \(#,##0.0\)"/>
    <numFmt numFmtId="171" formatCode="#,##0;\ \(#,##0\)"/>
    <numFmt numFmtId="172" formatCode="#,##0.0&quot;&quot;;\(#,##0.0\)&quot;&quot;"/>
    <numFmt numFmtId="173" formatCode="#,##0.0%&quot;&quot;;\(#,##0.0%\)&quot;&quot;"/>
    <numFmt numFmtId="174" formatCode="#,##0.0"/>
    <numFmt numFmtId="175" formatCode="m/d"/>
    <numFmt numFmtId="176" formatCode="0.0"/>
    <numFmt numFmtId="177" formatCode="0.0%"/>
    <numFmt numFmtId="178" formatCode="#,##0.0000;\ \(#,##0.0000\)"/>
    <numFmt numFmtId="179" formatCode="#,##0.00;\ \(#,##0.00\)"/>
    <numFmt numFmtId="180" formatCode="#,##0.000"/>
    <numFmt numFmtId="181" formatCode="#,##0.0000"/>
    <numFmt numFmtId="182" formatCode="0.000"/>
    <numFmt numFmtId="186" formatCode="&quot;$&quot;#,##0.00"/>
    <numFmt numFmtId="189" formatCode="_-* #,##0.0_-;\-* #,##0.0_-;_-* &quot;-&quot;??_-;_-@_-"/>
    <numFmt numFmtId="190" formatCode="#,##0.000000"/>
    <numFmt numFmtId="195" formatCode="_-* #,##0_-;\-* #,##0_-;_-* &quot;-&quot;??_-;_-@_-"/>
  </numFmts>
  <fonts count="5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0"/>
      <name val="Arial"/>
      <family val="2"/>
    </font>
    <font>
      <sz val="8"/>
      <color theme="0" tint="-0.499984740745262"/>
      <name val="Roboto Condensed"/>
    </font>
    <font>
      <sz val="8"/>
      <name val="Helv"/>
    </font>
    <font>
      <b/>
      <sz val="8"/>
      <name val="Roboto Condensed"/>
    </font>
    <font>
      <sz val="8"/>
      <name val="Roboto Condensed"/>
    </font>
    <font>
      <b/>
      <sz val="8"/>
      <color indexed="9"/>
      <name val="Roboto Condensed"/>
    </font>
    <font>
      <i/>
      <sz val="8"/>
      <name val="Roboto Condensed"/>
    </font>
    <font>
      <b/>
      <i/>
      <sz val="8"/>
      <name val="Roboto Condensed"/>
    </font>
    <font>
      <sz val="10"/>
      <color theme="0" tint="-0.499984740745262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10"/>
      <color theme="0" tint="-0.499984740745262"/>
      <name val="Arial"/>
      <family val="2"/>
    </font>
    <font>
      <b/>
      <sz val="8"/>
      <color rgb="FF000000"/>
      <name val="Helv"/>
    </font>
    <font>
      <sz val="12"/>
      <name val="Arial MT"/>
    </font>
    <font>
      <sz val="10"/>
      <color rgb="FF0000FF"/>
      <name val="Arial"/>
      <family val="2"/>
    </font>
    <font>
      <sz val="10"/>
      <color indexed="8"/>
      <name val="Arial"/>
      <family val="2"/>
    </font>
    <font>
      <sz val="10"/>
      <color indexed="4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70C0"/>
      <name val="Arial"/>
      <family val="2"/>
    </font>
    <font>
      <i/>
      <sz val="10"/>
      <color rgb="FF0070C0"/>
      <name val="Arial"/>
      <family val="2"/>
    </font>
    <font>
      <i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0000FF"/>
      <name val="Arial"/>
      <family val="2"/>
    </font>
    <font>
      <b/>
      <i/>
      <u/>
      <sz val="10"/>
      <name val="Arial"/>
      <family val="2"/>
    </font>
    <font>
      <sz val="10"/>
      <color indexed="12"/>
      <name val="Arial"/>
      <family val="2"/>
    </font>
    <font>
      <sz val="10"/>
      <color rgb="FF00B0F0"/>
      <name val="Arial"/>
      <family val="2"/>
    </font>
    <font>
      <b/>
      <sz val="10"/>
      <color rgb="FFFF0000"/>
      <name val="Arial"/>
      <family val="2"/>
    </font>
    <font>
      <b/>
      <sz val="10"/>
      <color indexed="54"/>
      <name val="Arial"/>
      <family val="2"/>
    </font>
    <font>
      <b/>
      <sz val="10"/>
      <color indexed="8"/>
      <name val="Arial"/>
      <family val="2"/>
    </font>
    <font>
      <sz val="10"/>
      <color indexed="54"/>
      <name val="Arial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0"/>
      <name val="Roboto Condensed"/>
    </font>
    <font>
      <b/>
      <sz val="10"/>
      <color theme="0"/>
      <name val="Roboto Condensed"/>
    </font>
    <font>
      <sz val="10"/>
      <color theme="0"/>
      <name val="Roboto Condensed"/>
    </font>
    <font>
      <b/>
      <sz val="9"/>
      <color theme="0"/>
      <name val="Roboto Condensed"/>
    </font>
    <font>
      <sz val="9"/>
      <name val="Roboto Condensed"/>
    </font>
    <font>
      <b/>
      <sz val="9"/>
      <name val="Roboto Condensed"/>
    </font>
    <font>
      <b/>
      <sz val="10"/>
      <name val="Roboto Condensed"/>
    </font>
    <font>
      <sz val="10"/>
      <color theme="0" tint="-0.249977111117893"/>
      <name val="Arial"/>
      <family val="2"/>
    </font>
    <font>
      <sz val="1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0" tint="-0.499984740745262"/>
      <name val="Roboto Condensed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sz val="11"/>
      <color theme="1"/>
      <name val="Arial"/>
      <family val="2"/>
    </font>
    <font>
      <b/>
      <sz val="12"/>
      <color rgb="FF000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5AA4"/>
        <bgColor indexed="64"/>
      </patternFill>
    </fill>
    <fill>
      <patternFill patternType="solid">
        <fgColor rgb="FFD9F1F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6F1E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3" fillId="0" borderId="0"/>
    <xf numFmtId="0" fontId="5" fillId="0" borderId="0" applyBorder="0"/>
    <xf numFmtId="9" fontId="3" fillId="0" borderId="0" applyFont="0" applyFill="0" applyBorder="0" applyAlignment="0" applyProtection="0"/>
    <xf numFmtId="0" fontId="5" fillId="0" borderId="0" applyBorder="0"/>
    <xf numFmtId="0" fontId="16" fillId="0" borderId="0"/>
    <xf numFmtId="0" fontId="5" fillId="0" borderId="0" applyBorder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5" fillId="0" borderId="0" applyBorder="0"/>
    <xf numFmtId="0" fontId="1" fillId="0" borderId="0"/>
    <xf numFmtId="0" fontId="48" fillId="0" borderId="0" applyNumberForma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69">
    <xf numFmtId="0" fontId="0" fillId="0" borderId="0" xfId="0"/>
    <xf numFmtId="0" fontId="4" fillId="0" borderId="0" xfId="1" applyFont="1"/>
    <xf numFmtId="0" fontId="6" fillId="0" borderId="0" xfId="2" applyFont="1" applyBorder="1"/>
    <xf numFmtId="0" fontId="7" fillId="0" borderId="0" xfId="1" applyFont="1"/>
    <xf numFmtId="168" fontId="7" fillId="0" borderId="0" xfId="1" applyNumberFormat="1" applyFont="1"/>
    <xf numFmtId="0" fontId="8" fillId="3" borderId="0" xfId="2" applyFont="1" applyFill="1" applyBorder="1" applyAlignment="1">
      <alignment horizontal="left"/>
    </xf>
    <xf numFmtId="0" fontId="8" fillId="3" borderId="0" xfId="2" applyFont="1" applyFill="1" applyBorder="1" applyAlignment="1">
      <alignment horizontal="right"/>
    </xf>
    <xf numFmtId="0" fontId="8" fillId="0" borderId="0" xfId="2" applyFont="1" applyBorder="1"/>
    <xf numFmtId="0" fontId="8" fillId="3" borderId="0" xfId="2" applyFont="1" applyFill="1" applyBorder="1"/>
    <xf numFmtId="169" fontId="6" fillId="0" borderId="0" xfId="2" applyNumberFormat="1" applyFont="1" applyBorder="1" applyAlignment="1">
      <alignment horizontal="right"/>
    </xf>
    <xf numFmtId="170" fontId="7" fillId="0" borderId="0" xfId="2" applyNumberFormat="1" applyFont="1" applyBorder="1" applyAlignment="1">
      <alignment horizontal="right"/>
    </xf>
    <xf numFmtId="0" fontId="7" fillId="0" borderId="0" xfId="2" applyFont="1" applyBorder="1"/>
    <xf numFmtId="171" fontId="7" fillId="0" borderId="0" xfId="2" applyNumberFormat="1" applyFont="1" applyBorder="1" applyAlignment="1">
      <alignment horizontal="right"/>
    </xf>
    <xf numFmtId="0" fontId="9" fillId="0" borderId="1" xfId="2" applyFont="1" applyBorder="1"/>
    <xf numFmtId="9" fontId="9" fillId="0" borderId="1" xfId="3" applyFont="1" applyFill="1" applyBorder="1" applyAlignment="1">
      <alignment horizontal="right"/>
    </xf>
    <xf numFmtId="171" fontId="6" fillId="0" borderId="0" xfId="2" applyNumberFormat="1" applyFont="1" applyBorder="1" applyAlignment="1">
      <alignment horizontal="right"/>
    </xf>
    <xf numFmtId="172" fontId="7" fillId="0" borderId="0" xfId="2" applyNumberFormat="1" applyFont="1" applyBorder="1" applyAlignment="1">
      <alignment horizontal="right"/>
    </xf>
    <xf numFmtId="0" fontId="9" fillId="0" borderId="0" xfId="2" applyFont="1" applyBorder="1"/>
    <xf numFmtId="9" fontId="9" fillId="0" borderId="0" xfId="2" applyNumberFormat="1" applyFont="1" applyBorder="1" applyAlignment="1">
      <alignment horizontal="right"/>
    </xf>
    <xf numFmtId="0" fontId="9" fillId="0" borderId="0" xfId="2" quotePrefix="1" applyFont="1" applyBorder="1"/>
    <xf numFmtId="0" fontId="7" fillId="0" borderId="1" xfId="2" applyFont="1" applyBorder="1"/>
    <xf numFmtId="171" fontId="7" fillId="0" borderId="1" xfId="2" applyNumberFormat="1" applyFont="1" applyBorder="1" applyAlignment="1">
      <alignment horizontal="right"/>
    </xf>
    <xf numFmtId="173" fontId="7" fillId="0" borderId="0" xfId="3" applyNumberFormat="1" applyFont="1" applyFill="1" applyBorder="1" applyAlignment="1">
      <alignment horizontal="right"/>
    </xf>
    <xf numFmtId="9" fontId="9" fillId="0" borderId="0" xfId="3" applyFont="1" applyFill="1" applyBorder="1" applyAlignment="1">
      <alignment horizontal="right"/>
    </xf>
    <xf numFmtId="169" fontId="7" fillId="0" borderId="0" xfId="2" applyNumberFormat="1" applyFont="1" applyBorder="1" applyAlignment="1">
      <alignment horizontal="right"/>
    </xf>
    <xf numFmtId="169" fontId="7" fillId="0" borderId="1" xfId="2" applyNumberFormat="1" applyFont="1" applyBorder="1" applyAlignment="1">
      <alignment horizontal="right"/>
    </xf>
    <xf numFmtId="0" fontId="7" fillId="0" borderId="0" xfId="2" quotePrefix="1" applyFont="1" applyBorder="1"/>
    <xf numFmtId="170" fontId="6" fillId="4" borderId="0" xfId="2" applyNumberFormat="1" applyFont="1" applyFill="1" applyBorder="1" applyAlignment="1">
      <alignment horizontal="left"/>
    </xf>
    <xf numFmtId="171" fontId="6" fillId="4" borderId="0" xfId="2" applyNumberFormat="1" applyFont="1" applyFill="1" applyBorder="1" applyAlignment="1">
      <alignment horizontal="right"/>
    </xf>
    <xf numFmtId="9" fontId="7" fillId="0" borderId="1" xfId="3" applyFont="1" applyBorder="1" applyAlignment="1">
      <alignment horizontal="right"/>
    </xf>
    <xf numFmtId="170" fontId="6" fillId="4" borderId="0" xfId="2" applyNumberFormat="1" applyFont="1" applyFill="1" applyBorder="1" applyAlignment="1">
      <alignment horizontal="right"/>
    </xf>
    <xf numFmtId="0" fontId="6" fillId="4" borderId="0" xfId="2" applyFont="1" applyFill="1" applyBorder="1"/>
    <xf numFmtId="9" fontId="7" fillId="0" borderId="0" xfId="3" applyFont="1" applyFill="1" applyBorder="1" applyAlignment="1">
      <alignment horizontal="right"/>
    </xf>
    <xf numFmtId="0" fontId="7" fillId="0" borderId="1" xfId="1" applyFont="1" applyBorder="1"/>
    <xf numFmtId="171" fontId="7" fillId="0" borderId="1" xfId="1" applyNumberFormat="1" applyFont="1" applyBorder="1"/>
    <xf numFmtId="0" fontId="10" fillId="0" borderId="0" xfId="2" applyFont="1" applyBorder="1"/>
    <xf numFmtId="0" fontId="10" fillId="0" borderId="0" xfId="1" applyFont="1"/>
    <xf numFmtId="9" fontId="10" fillId="0" borderId="0" xfId="1" applyNumberFormat="1" applyFont="1"/>
    <xf numFmtId="171" fontId="7" fillId="0" borderId="0" xfId="1" applyNumberFormat="1" applyFont="1"/>
    <xf numFmtId="9" fontId="7" fillId="0" borderId="0" xfId="3" applyFont="1" applyBorder="1" applyAlignment="1">
      <alignment horizontal="right"/>
    </xf>
    <xf numFmtId="0" fontId="6" fillId="4" borderId="1" xfId="2" applyFont="1" applyFill="1" applyBorder="1"/>
    <xf numFmtId="9" fontId="10" fillId="4" borderId="1" xfId="3" applyFont="1" applyFill="1" applyBorder="1" applyAlignment="1">
      <alignment horizontal="right"/>
    </xf>
    <xf numFmtId="0" fontId="6" fillId="0" borderId="0" xfId="1" applyFont="1"/>
    <xf numFmtId="3" fontId="6" fillId="0" borderId="0" xfId="1" applyNumberFormat="1" applyFont="1"/>
    <xf numFmtId="3" fontId="7" fillId="0" borderId="0" xfId="1" applyNumberFormat="1" applyFont="1"/>
    <xf numFmtId="0" fontId="6" fillId="0" borderId="2" xfId="2" applyFont="1" applyBorder="1"/>
    <xf numFmtId="171" fontId="6" fillId="0" borderId="2" xfId="2" applyNumberFormat="1" applyFont="1" applyBorder="1" applyAlignment="1">
      <alignment horizontal="right"/>
    </xf>
    <xf numFmtId="9" fontId="9" fillId="0" borderId="0" xfId="3" applyFont="1"/>
    <xf numFmtId="9" fontId="9" fillId="0" borderId="3" xfId="3" applyFont="1" applyBorder="1"/>
    <xf numFmtId="0" fontId="6" fillId="4" borderId="4" xfId="2" applyFont="1" applyFill="1" applyBorder="1"/>
    <xf numFmtId="171" fontId="6" fillId="4" borderId="4" xfId="2" applyNumberFormat="1" applyFont="1" applyFill="1" applyBorder="1" applyAlignment="1">
      <alignment horizontal="right"/>
    </xf>
    <xf numFmtId="0" fontId="11" fillId="0" borderId="0" xfId="1" applyFont="1"/>
    <xf numFmtId="0" fontId="12" fillId="0" borderId="0" xfId="1" applyFont="1"/>
    <xf numFmtId="0" fontId="3" fillId="0" borderId="0" xfId="1"/>
    <xf numFmtId="3" fontId="3" fillId="0" borderId="0" xfId="1" applyNumberFormat="1"/>
    <xf numFmtId="3" fontId="12" fillId="0" borderId="0" xfId="1" applyNumberFormat="1" applyFont="1"/>
    <xf numFmtId="9" fontId="12" fillId="0" borderId="0" xfId="3" applyFont="1"/>
    <xf numFmtId="0" fontId="3" fillId="0" borderId="3" xfId="1" applyBorder="1"/>
    <xf numFmtId="0" fontId="12" fillId="6" borderId="0" xfId="1" applyFont="1" applyFill="1"/>
    <xf numFmtId="9" fontId="3" fillId="0" borderId="0" xfId="1" applyNumberFormat="1"/>
    <xf numFmtId="0" fontId="11" fillId="0" borderId="0" xfId="4" applyFont="1"/>
    <xf numFmtId="0" fontId="3" fillId="0" borderId="0" xfId="5" applyFont="1"/>
    <xf numFmtId="0" fontId="3" fillId="0" borderId="6" xfId="5" applyFont="1" applyBorder="1"/>
    <xf numFmtId="0" fontId="3" fillId="7" borderId="0" xfId="5" applyFont="1" applyFill="1"/>
    <xf numFmtId="175" fontId="3" fillId="0" borderId="0" xfId="5" applyNumberFormat="1" applyFont="1"/>
    <xf numFmtId="0" fontId="17" fillId="0" borderId="6" xfId="5" applyFont="1" applyBorder="1" applyAlignment="1">
      <alignment horizontal="right"/>
    </xf>
    <xf numFmtId="0" fontId="17" fillId="0" borderId="0" xfId="5" applyFont="1" applyAlignment="1">
      <alignment horizontal="right"/>
    </xf>
    <xf numFmtId="0" fontId="3" fillId="0" borderId="8" xfId="5" applyFont="1" applyBorder="1"/>
    <xf numFmtId="0" fontId="12" fillId="0" borderId="9" xfId="5" applyFont="1" applyBorder="1"/>
    <xf numFmtId="0" fontId="3" fillId="0" borderId="9" xfId="5" applyFont="1" applyBorder="1"/>
    <xf numFmtId="0" fontId="12" fillId="0" borderId="0" xfId="5" applyFont="1"/>
    <xf numFmtId="0" fontId="12" fillId="0" borderId="0" xfId="5" applyFont="1" applyAlignment="1">
      <alignment horizontal="left"/>
    </xf>
    <xf numFmtId="0" fontId="12" fillId="0" borderId="0" xfId="5" applyFont="1" applyAlignment="1">
      <alignment horizontal="right"/>
    </xf>
    <xf numFmtId="39" fontId="12" fillId="0" borderId="6" xfId="5" applyNumberFormat="1" applyFont="1" applyBorder="1" applyAlignment="1">
      <alignment horizontal="right"/>
    </xf>
    <xf numFmtId="39" fontId="12" fillId="0" borderId="0" xfId="5" applyNumberFormat="1" applyFont="1" applyAlignment="1">
      <alignment horizontal="right"/>
    </xf>
    <xf numFmtId="0" fontId="3" fillId="0" borderId="0" xfId="5" applyFont="1" applyAlignment="1">
      <alignment horizontal="right"/>
    </xf>
    <xf numFmtId="0" fontId="12" fillId="0" borderId="6" xfId="6" applyFont="1" applyBorder="1" applyAlignment="1">
      <alignment horizontal="right"/>
    </xf>
    <xf numFmtId="0" fontId="12" fillId="0" borderId="0" xfId="6" applyFont="1" applyBorder="1" applyAlignment="1">
      <alignment horizontal="right"/>
    </xf>
    <xf numFmtId="3" fontId="3" fillId="0" borderId="6" xfId="6" applyNumberFormat="1" applyFont="1" applyBorder="1"/>
    <xf numFmtId="3" fontId="3" fillId="0" borderId="0" xfId="6" applyNumberFormat="1" applyFont="1" applyBorder="1"/>
    <xf numFmtId="15" fontId="3" fillId="0" borderId="6" xfId="7" applyNumberFormat="1" applyBorder="1" applyAlignment="1">
      <alignment horizontal="right"/>
    </xf>
    <xf numFmtId="17" fontId="3" fillId="0" borderId="0" xfId="7" applyNumberFormat="1" applyAlignment="1">
      <alignment horizontal="right"/>
    </xf>
    <xf numFmtId="17" fontId="3" fillId="0" borderId="6" xfId="7" applyNumberFormat="1" applyBorder="1" applyAlignment="1">
      <alignment horizontal="right"/>
    </xf>
    <xf numFmtId="15" fontId="3" fillId="0" borderId="0" xfId="7" applyNumberFormat="1" applyAlignment="1">
      <alignment horizontal="right"/>
    </xf>
    <xf numFmtId="0" fontId="12" fillId="7" borderId="0" xfId="5" applyFont="1" applyFill="1"/>
    <xf numFmtId="0" fontId="12" fillId="7" borderId="0" xfId="5" applyFont="1" applyFill="1" applyAlignment="1">
      <alignment horizontal="right"/>
    </xf>
    <xf numFmtId="0" fontId="12" fillId="7" borderId="6" xfId="5" applyFont="1" applyFill="1" applyBorder="1" applyAlignment="1">
      <alignment horizontal="right"/>
    </xf>
    <xf numFmtId="0" fontId="3" fillId="7" borderId="0" xfId="6" applyFont="1" applyFill="1"/>
    <xf numFmtId="0" fontId="3" fillId="0" borderId="0" xfId="5" applyFont="1" applyAlignment="1">
      <alignment horizontal="left"/>
    </xf>
    <xf numFmtId="0" fontId="3" fillId="0" borderId="0" xfId="5" applyFont="1" applyAlignment="1">
      <alignment horizontal="center"/>
    </xf>
    <xf numFmtId="170" fontId="3" fillId="0" borderId="6" xfId="5" applyNumberFormat="1" applyFont="1" applyBorder="1" applyAlignment="1">
      <alignment horizontal="right"/>
    </xf>
    <xf numFmtId="170" fontId="3" fillId="0" borderId="0" xfId="5" applyNumberFormat="1" applyFont="1" applyAlignment="1">
      <alignment horizontal="right"/>
    </xf>
    <xf numFmtId="0" fontId="12" fillId="0" borderId="0" xfId="5" applyFont="1" applyAlignment="1">
      <alignment horizontal="center"/>
    </xf>
    <xf numFmtId="170" fontId="12" fillId="0" borderId="6" xfId="5" applyNumberFormat="1" applyFont="1" applyBorder="1" applyAlignment="1">
      <alignment horizontal="right"/>
    </xf>
    <xf numFmtId="170" fontId="12" fillId="0" borderId="0" xfId="5" applyNumberFormat="1" applyFont="1" applyAlignment="1">
      <alignment horizontal="right"/>
    </xf>
    <xf numFmtId="170" fontId="12" fillId="0" borderId="0" xfId="5" applyNumberFormat="1" applyFont="1" applyAlignment="1">
      <alignment horizontal="center"/>
    </xf>
    <xf numFmtId="0" fontId="3" fillId="0" borderId="0" xfId="5" quotePrefix="1" applyFont="1" applyAlignment="1">
      <alignment horizontal="left"/>
    </xf>
    <xf numFmtId="1" fontId="3" fillId="0" borderId="6" xfId="5" applyNumberFormat="1" applyFont="1" applyBorder="1" applyAlignment="1">
      <alignment horizontal="right"/>
    </xf>
    <xf numFmtId="1" fontId="3" fillId="0" borderId="0" xfId="5" applyNumberFormat="1" applyFont="1" applyAlignment="1">
      <alignment horizontal="right"/>
    </xf>
    <xf numFmtId="4" fontId="3" fillId="0" borderId="6" xfId="5" applyNumberFormat="1" applyFont="1" applyBorder="1" applyAlignment="1">
      <alignment horizontal="right"/>
    </xf>
    <xf numFmtId="3" fontId="3" fillId="0" borderId="0" xfId="5" applyNumberFormat="1" applyFont="1" applyAlignment="1">
      <alignment horizontal="right"/>
    </xf>
    <xf numFmtId="176" fontId="3" fillId="0" borderId="6" xfId="5" applyNumberFormat="1" applyFont="1" applyBorder="1" applyAlignment="1">
      <alignment horizontal="right"/>
    </xf>
    <xf numFmtId="176" fontId="3" fillId="0" borderId="0" xfId="5" applyNumberFormat="1" applyFont="1" applyAlignment="1">
      <alignment horizontal="right"/>
    </xf>
    <xf numFmtId="3" fontId="3" fillId="0" borderId="0" xfId="5" applyNumberFormat="1" applyFont="1"/>
    <xf numFmtId="0" fontId="3" fillId="0" borderId="0" xfId="6" applyFont="1"/>
    <xf numFmtId="0" fontId="3" fillId="0" borderId="6" xfId="6" applyFont="1" applyBorder="1"/>
    <xf numFmtId="0" fontId="18" fillId="0" borderId="0" xfId="5" applyFont="1"/>
    <xf numFmtId="0" fontId="19" fillId="0" borderId="0" xfId="5" applyFont="1"/>
    <xf numFmtId="177" fontId="12" fillId="0" borderId="6" xfId="5" applyNumberFormat="1" applyFont="1" applyBorder="1" applyAlignment="1">
      <alignment horizontal="right"/>
    </xf>
    <xf numFmtId="177" fontId="12" fillId="0" borderId="0" xfId="5" applyNumberFormat="1" applyFont="1" applyAlignment="1">
      <alignment horizontal="right"/>
    </xf>
    <xf numFmtId="177" fontId="3" fillId="0" borderId="6" xfId="3" applyNumberFormat="1" applyFont="1" applyFill="1" applyBorder="1"/>
    <xf numFmtId="39" fontId="12" fillId="7" borderId="6" xfId="5" applyNumberFormat="1" applyFont="1" applyFill="1" applyBorder="1" applyAlignment="1">
      <alignment horizontal="right"/>
    </xf>
    <xf numFmtId="39" fontId="12" fillId="7" borderId="0" xfId="5" applyNumberFormat="1" applyFont="1" applyFill="1" applyAlignment="1">
      <alignment horizontal="right"/>
    </xf>
    <xf numFmtId="170" fontId="12" fillId="0" borderId="6" xfId="5" applyNumberFormat="1" applyFont="1" applyBorder="1" applyAlignment="1" applyProtection="1">
      <alignment horizontal="right"/>
      <protection locked="0"/>
    </xf>
    <xf numFmtId="170" fontId="12" fillId="0" borderId="0" xfId="5" applyNumberFormat="1" applyFont="1" applyAlignment="1" applyProtection="1">
      <alignment horizontal="right"/>
      <protection locked="0"/>
    </xf>
    <xf numFmtId="170" fontId="12" fillId="8" borderId="6" xfId="5" applyNumberFormat="1" applyFont="1" applyFill="1" applyBorder="1" applyAlignment="1" applyProtection="1">
      <alignment horizontal="right"/>
      <protection locked="0"/>
    </xf>
    <xf numFmtId="170" fontId="12" fillId="8" borderId="0" xfId="5" applyNumberFormat="1" applyFont="1" applyFill="1" applyAlignment="1" applyProtection="1">
      <alignment horizontal="right"/>
      <protection locked="0"/>
    </xf>
    <xf numFmtId="170" fontId="12" fillId="8" borderId="0" xfId="5" applyNumberFormat="1" applyFont="1" applyFill="1" applyAlignment="1">
      <alignment horizontal="right"/>
    </xf>
    <xf numFmtId="0" fontId="20" fillId="0" borderId="0" xfId="5" applyFont="1"/>
    <xf numFmtId="177" fontId="20" fillId="0" borderId="6" xfId="5" applyNumberFormat="1" applyFont="1" applyBorder="1" applyAlignment="1">
      <alignment horizontal="right"/>
    </xf>
    <xf numFmtId="177" fontId="20" fillId="0" borderId="0" xfId="5" applyNumberFormat="1" applyFont="1" applyAlignment="1">
      <alignment horizontal="right"/>
    </xf>
    <xf numFmtId="0" fontId="3" fillId="0" borderId="0" xfId="5" applyFont="1" applyAlignment="1">
      <alignment horizontal="left" indent="1"/>
    </xf>
    <xf numFmtId="0" fontId="3" fillId="0" borderId="0" xfId="5" applyFont="1" applyAlignment="1">
      <alignment horizontal="left" indent="3"/>
    </xf>
    <xf numFmtId="170" fontId="3" fillId="0" borderId="6" xfId="5" applyNumberFormat="1" applyFont="1" applyBorder="1" applyAlignment="1" applyProtection="1">
      <alignment horizontal="right"/>
      <protection locked="0"/>
    </xf>
    <xf numFmtId="170" fontId="3" fillId="0" borderId="0" xfId="5" applyNumberFormat="1" applyFont="1" applyAlignment="1" applyProtection="1">
      <alignment horizontal="right"/>
      <protection locked="0"/>
    </xf>
    <xf numFmtId="0" fontId="3" fillId="0" borderId="0" xfId="5" applyFont="1" applyAlignment="1">
      <alignment horizontal="left" indent="4"/>
    </xf>
    <xf numFmtId="170" fontId="3" fillId="8" borderId="6" xfId="5" applyNumberFormat="1" applyFont="1" applyFill="1" applyBorder="1" applyAlignment="1" applyProtection="1">
      <alignment horizontal="right"/>
      <protection locked="0"/>
    </xf>
    <xf numFmtId="170" fontId="3" fillId="8" borderId="0" xfId="5" applyNumberFormat="1" applyFont="1" applyFill="1" applyAlignment="1" applyProtection="1">
      <alignment horizontal="right"/>
      <protection locked="0"/>
    </xf>
    <xf numFmtId="170" fontId="3" fillId="8" borderId="0" xfId="5" applyNumberFormat="1" applyFont="1" applyFill="1" applyAlignment="1">
      <alignment horizontal="right"/>
    </xf>
    <xf numFmtId="168" fontId="12" fillId="0" borderId="6" xfId="5" applyNumberFormat="1" applyFont="1" applyBorder="1" applyAlignment="1" applyProtection="1">
      <alignment horizontal="right"/>
      <protection locked="0"/>
    </xf>
    <xf numFmtId="168" fontId="12" fillId="0" borderId="0" xfId="5" applyNumberFormat="1" applyFont="1" applyAlignment="1" applyProtection="1">
      <alignment horizontal="right"/>
      <protection locked="0"/>
    </xf>
    <xf numFmtId="170" fontId="12" fillId="5" borderId="6" xfId="5" applyNumberFormat="1" applyFont="1" applyFill="1" applyBorder="1" applyAlignment="1" applyProtection="1">
      <alignment horizontal="right"/>
      <protection locked="0"/>
    </xf>
    <xf numFmtId="170" fontId="12" fillId="5" borderId="0" xfId="5" applyNumberFormat="1" applyFont="1" applyFill="1" applyAlignment="1" applyProtection="1">
      <alignment horizontal="right"/>
      <protection locked="0"/>
    </xf>
    <xf numFmtId="0" fontId="21" fillId="0" borderId="0" xfId="5" applyFont="1"/>
    <xf numFmtId="0" fontId="20" fillId="0" borderId="0" xfId="5" applyFont="1" applyAlignment="1">
      <alignment horizontal="center"/>
    </xf>
    <xf numFmtId="177" fontId="20" fillId="0" borderId="6" xfId="5" applyNumberFormat="1" applyFont="1" applyBorder="1" applyAlignment="1" applyProtection="1">
      <alignment horizontal="right"/>
      <protection locked="0"/>
    </xf>
    <xf numFmtId="177" fontId="20" fillId="0" borderId="0" xfId="5" applyNumberFormat="1" applyFont="1" applyAlignment="1" applyProtection="1">
      <alignment horizontal="right"/>
      <protection locked="0"/>
    </xf>
    <xf numFmtId="174" fontId="3" fillId="0" borderId="0" xfId="5" applyNumberFormat="1" applyFont="1" applyAlignment="1">
      <alignment horizontal="right"/>
    </xf>
    <xf numFmtId="170" fontId="3" fillId="8" borderId="6" xfId="5" applyNumberFormat="1" applyFont="1" applyFill="1" applyBorder="1" applyAlignment="1">
      <alignment horizontal="right"/>
    </xf>
    <xf numFmtId="0" fontId="3" fillId="0" borderId="0" xfId="5" applyFont="1" applyAlignment="1">
      <alignment horizontal="left" indent="2"/>
    </xf>
    <xf numFmtId="177" fontId="3" fillId="0" borderId="6" xfId="5" applyNumberFormat="1" applyFont="1" applyBorder="1" applyAlignment="1" applyProtection="1">
      <alignment horizontal="right"/>
      <protection locked="0"/>
    </xf>
    <xf numFmtId="177" fontId="3" fillId="0" borderId="0" xfId="5" applyNumberFormat="1" applyFont="1" applyAlignment="1" applyProtection="1">
      <alignment horizontal="right"/>
      <protection locked="0"/>
    </xf>
    <xf numFmtId="168" fontId="3" fillId="0" borderId="6" xfId="5" applyNumberFormat="1" applyFont="1" applyBorder="1" applyAlignment="1" applyProtection="1">
      <alignment horizontal="right"/>
      <protection locked="0"/>
    </xf>
    <xf numFmtId="174" fontId="3" fillId="0" borderId="0" xfId="5" applyNumberFormat="1" applyFont="1" applyAlignment="1" applyProtection="1">
      <alignment horizontal="right"/>
      <protection locked="0"/>
    </xf>
    <xf numFmtId="49" fontId="12" fillId="0" borderId="0" xfId="5" applyNumberFormat="1" applyFont="1" applyAlignment="1">
      <alignment horizontal="left"/>
    </xf>
    <xf numFmtId="49" fontId="3" fillId="0" borderId="0" xfId="5" applyNumberFormat="1" applyFont="1" applyAlignment="1">
      <alignment horizontal="left"/>
    </xf>
    <xf numFmtId="170" fontId="22" fillId="0" borderId="6" xfId="5" quotePrefix="1" applyNumberFormat="1" applyFont="1" applyBorder="1" applyAlignment="1">
      <alignment horizontal="right"/>
    </xf>
    <xf numFmtId="170" fontId="22" fillId="0" borderId="0" xfId="5" quotePrefix="1" applyNumberFormat="1" applyFont="1" applyAlignment="1">
      <alignment horizontal="right"/>
    </xf>
    <xf numFmtId="170" fontId="3" fillId="0" borderId="6" xfId="5" quotePrefix="1" applyNumberFormat="1" applyFont="1" applyBorder="1" applyAlignment="1">
      <alignment horizontal="right"/>
    </xf>
    <xf numFmtId="170" fontId="3" fillId="0" borderId="0" xfId="5" quotePrefix="1" applyNumberFormat="1" applyFont="1" applyAlignment="1">
      <alignment horizontal="right"/>
    </xf>
    <xf numFmtId="170" fontId="22" fillId="0" borderId="6" xfId="5" applyNumberFormat="1" applyFont="1" applyBorder="1" applyAlignment="1">
      <alignment horizontal="right"/>
    </xf>
    <xf numFmtId="170" fontId="22" fillId="0" borderId="0" xfId="5" applyNumberFormat="1" applyFont="1" applyAlignment="1">
      <alignment horizontal="right"/>
    </xf>
    <xf numFmtId="170" fontId="22" fillId="8" borderId="0" xfId="5" applyNumberFormat="1" applyFont="1" applyFill="1" applyAlignment="1">
      <alignment horizontal="right"/>
    </xf>
    <xf numFmtId="0" fontId="20" fillId="0" borderId="0" xfId="5" applyFont="1" applyAlignment="1">
      <alignment horizontal="left"/>
    </xf>
    <xf numFmtId="177" fontId="23" fillId="0" borderId="6" xfId="5" applyNumberFormat="1" applyFont="1" applyBorder="1" applyAlignment="1">
      <alignment horizontal="right"/>
    </xf>
    <xf numFmtId="177" fontId="23" fillId="0" borderId="0" xfId="5" applyNumberFormat="1" applyFont="1" applyAlignment="1">
      <alignment horizontal="right"/>
    </xf>
    <xf numFmtId="0" fontId="12" fillId="0" borderId="0" xfId="5" quotePrefix="1" applyFont="1" applyAlignment="1">
      <alignment horizontal="left"/>
    </xf>
    <xf numFmtId="178" fontId="3" fillId="0" borderId="6" xfId="5" applyNumberFormat="1" applyFont="1" applyBorder="1" applyProtection="1">
      <protection locked="0"/>
    </xf>
    <xf numFmtId="178" fontId="3" fillId="0" borderId="0" xfId="5" applyNumberFormat="1" applyFont="1" applyProtection="1">
      <protection locked="0"/>
    </xf>
    <xf numFmtId="170" fontId="3" fillId="0" borderId="6" xfId="5" applyNumberFormat="1" applyFont="1" applyBorder="1" applyProtection="1">
      <protection locked="0"/>
    </xf>
    <xf numFmtId="170" fontId="3" fillId="0" borderId="0" xfId="5" applyNumberFormat="1" applyFont="1" applyProtection="1">
      <protection locked="0"/>
    </xf>
    <xf numFmtId="0" fontId="24" fillId="0" borderId="0" xfId="5" applyFont="1" applyAlignment="1">
      <alignment horizontal="left"/>
    </xf>
    <xf numFmtId="179" fontId="25" fillId="0" borderId="6" xfId="5" applyNumberFormat="1" applyFont="1" applyBorder="1" applyProtection="1">
      <protection locked="0"/>
    </xf>
    <xf numFmtId="179" fontId="25" fillId="0" borderId="0" xfId="5" applyNumberFormat="1" applyFont="1" applyProtection="1">
      <protection locked="0"/>
    </xf>
    <xf numFmtId="170" fontId="25" fillId="0" borderId="6" xfId="5" applyNumberFormat="1" applyFont="1" applyBorder="1" applyProtection="1">
      <protection locked="0"/>
    </xf>
    <xf numFmtId="170" fontId="25" fillId="0" borderId="0" xfId="5" applyNumberFormat="1" applyFont="1" applyProtection="1">
      <protection locked="0"/>
    </xf>
    <xf numFmtId="170" fontId="25" fillId="0" borderId="0" xfId="5" applyNumberFormat="1" applyFont="1" applyAlignment="1" applyProtection="1">
      <alignment horizontal="right"/>
      <protection locked="0"/>
    </xf>
    <xf numFmtId="170" fontId="25" fillId="0" borderId="0" xfId="5" applyNumberFormat="1" applyFont="1" applyAlignment="1">
      <alignment horizontal="right"/>
    </xf>
    <xf numFmtId="170" fontId="3" fillId="0" borderId="6" xfId="5" applyNumberFormat="1" applyFont="1" applyBorder="1"/>
    <xf numFmtId="170" fontId="3" fillId="0" borderId="0" xfId="5" applyNumberFormat="1" applyFont="1"/>
    <xf numFmtId="0" fontId="3" fillId="7" borderId="0" xfId="6" applyFont="1" applyFill="1" applyBorder="1"/>
    <xf numFmtId="0" fontId="3" fillId="0" borderId="6" xfId="5" applyFont="1" applyBorder="1" applyAlignment="1">
      <alignment horizontal="right"/>
    </xf>
    <xf numFmtId="177" fontId="3" fillId="0" borderId="6" xfId="5" applyNumberFormat="1" applyFont="1" applyBorder="1" applyAlignment="1">
      <alignment horizontal="right"/>
    </xf>
    <xf numFmtId="177" fontId="3" fillId="0" borderId="0" xfId="5" applyNumberFormat="1" applyFont="1" applyAlignment="1">
      <alignment horizontal="right"/>
    </xf>
    <xf numFmtId="170" fontId="3" fillId="0" borderId="6" xfId="6" applyNumberFormat="1" applyFont="1" applyBorder="1" applyAlignment="1">
      <alignment horizontal="right"/>
    </xf>
    <xf numFmtId="170" fontId="3" fillId="0" borderId="0" xfId="6" applyNumberFormat="1" applyFont="1" applyBorder="1" applyAlignment="1">
      <alignment horizontal="right"/>
    </xf>
    <xf numFmtId="170" fontId="22" fillId="0" borderId="6" xfId="6" applyNumberFormat="1" applyFont="1" applyBorder="1" applyAlignment="1">
      <alignment horizontal="right"/>
    </xf>
    <xf numFmtId="170" fontId="17" fillId="0" borderId="6" xfId="6" applyNumberFormat="1" applyFont="1" applyBorder="1" applyAlignment="1">
      <alignment horizontal="right"/>
    </xf>
    <xf numFmtId="170" fontId="17" fillId="0" borderId="0" xfId="6" applyNumberFormat="1" applyFont="1" applyBorder="1" applyAlignment="1">
      <alignment horizontal="right"/>
    </xf>
    <xf numFmtId="170" fontId="22" fillId="0" borderId="0" xfId="6" applyNumberFormat="1" applyFont="1" applyBorder="1" applyAlignment="1">
      <alignment horizontal="right"/>
    </xf>
    <xf numFmtId="170" fontId="17" fillId="0" borderId="6" xfId="5" applyNumberFormat="1" applyFont="1" applyBorder="1" applyAlignment="1">
      <alignment horizontal="right"/>
    </xf>
    <xf numFmtId="170" fontId="17" fillId="0" borderId="0" xfId="5" applyNumberFormat="1" applyFont="1" applyAlignment="1">
      <alignment horizontal="right"/>
    </xf>
    <xf numFmtId="170" fontId="26" fillId="0" borderId="6" xfId="6" applyNumberFormat="1" applyFont="1" applyBorder="1" applyAlignment="1">
      <alignment horizontal="right"/>
    </xf>
    <xf numFmtId="170" fontId="26" fillId="0" borderId="0" xfId="6" applyNumberFormat="1" applyFont="1" applyBorder="1" applyAlignment="1">
      <alignment horizontal="right"/>
    </xf>
    <xf numFmtId="170" fontId="27" fillId="0" borderId="0" xfId="6" applyNumberFormat="1" applyFont="1" applyBorder="1" applyAlignment="1">
      <alignment horizontal="right"/>
    </xf>
    <xf numFmtId="170" fontId="27" fillId="0" borderId="6" xfId="6" applyNumberFormat="1" applyFont="1" applyBorder="1" applyAlignment="1">
      <alignment horizontal="right"/>
    </xf>
    <xf numFmtId="170" fontId="12" fillId="0" borderId="0" xfId="6" applyNumberFormat="1" applyFont="1" applyBorder="1" applyAlignment="1">
      <alignment horizontal="right"/>
    </xf>
    <xf numFmtId="170" fontId="12" fillId="0" borderId="6" xfId="6" applyNumberFormat="1" applyFont="1" applyBorder="1" applyAlignment="1">
      <alignment horizontal="right"/>
    </xf>
    <xf numFmtId="170" fontId="12" fillId="5" borderId="6" xfId="5" applyNumberFormat="1" applyFont="1" applyFill="1" applyBorder="1" applyAlignment="1">
      <alignment horizontal="right"/>
    </xf>
    <xf numFmtId="168" fontId="12" fillId="5" borderId="6" xfId="5" applyNumberFormat="1" applyFont="1" applyFill="1" applyBorder="1" applyAlignment="1">
      <alignment horizontal="right"/>
    </xf>
    <xf numFmtId="0" fontId="3" fillId="0" borderId="0" xfId="6" applyFont="1" applyBorder="1"/>
    <xf numFmtId="0" fontId="28" fillId="0" borderId="0" xfId="5" applyFont="1" applyAlignment="1">
      <alignment horizontal="left"/>
    </xf>
    <xf numFmtId="0" fontId="12" fillId="0" borderId="0" xfId="6" applyFont="1" applyBorder="1"/>
    <xf numFmtId="168" fontId="3" fillId="0" borderId="0" xfId="5" applyNumberFormat="1" applyFont="1" applyAlignment="1">
      <alignment horizontal="right"/>
    </xf>
    <xf numFmtId="168" fontId="3" fillId="0" borderId="6" xfId="5" applyNumberFormat="1" applyFont="1" applyBorder="1" applyAlignment="1">
      <alignment horizontal="right"/>
    </xf>
    <xf numFmtId="170" fontId="19" fillId="0" borderId="6" xfId="5" applyNumberFormat="1" applyFont="1" applyBorder="1" applyAlignment="1">
      <alignment horizontal="right"/>
    </xf>
    <xf numFmtId="170" fontId="19" fillId="0" borderId="0" xfId="5" applyNumberFormat="1" applyFont="1" applyAlignment="1">
      <alignment horizontal="right"/>
    </xf>
    <xf numFmtId="180" fontId="3" fillId="0" borderId="6" xfId="1" applyNumberFormat="1" applyBorder="1"/>
    <xf numFmtId="180" fontId="3" fillId="0" borderId="0" xfId="1" applyNumberFormat="1"/>
    <xf numFmtId="0" fontId="3" fillId="0" borderId="0" xfId="5" quotePrefix="1" applyFont="1" applyAlignment="1">
      <alignment horizontal="center"/>
    </xf>
    <xf numFmtId="170" fontId="18" fillId="0" borderId="6" xfId="5" applyNumberFormat="1" applyFont="1" applyBorder="1"/>
    <xf numFmtId="170" fontId="29" fillId="0" borderId="0" xfId="5" applyNumberFormat="1" applyFont="1"/>
    <xf numFmtId="170" fontId="18" fillId="0" borderId="0" xfId="5" applyNumberFormat="1" applyFont="1"/>
    <xf numFmtId="170" fontId="3" fillId="9" borderId="0" xfId="5" applyNumberFormat="1" applyFont="1" applyFill="1" applyAlignment="1">
      <alignment horizontal="right"/>
    </xf>
    <xf numFmtId="177" fontId="25" fillId="0" borderId="0" xfId="3" applyNumberFormat="1" applyFont="1" applyAlignment="1">
      <alignment horizontal="right"/>
    </xf>
    <xf numFmtId="170" fontId="25" fillId="0" borderId="6" xfId="5" applyNumberFormat="1" applyFont="1" applyBorder="1" applyAlignment="1">
      <alignment horizontal="right"/>
    </xf>
    <xf numFmtId="3" fontId="12" fillId="0" borderId="0" xfId="5" applyNumberFormat="1" applyFont="1"/>
    <xf numFmtId="3" fontId="12" fillId="0" borderId="0" xfId="5" applyNumberFormat="1" applyFont="1" applyAlignment="1">
      <alignment horizontal="left"/>
    </xf>
    <xf numFmtId="3" fontId="12" fillId="0" borderId="0" xfId="5" applyNumberFormat="1" applyFont="1" applyAlignment="1">
      <alignment horizontal="center"/>
    </xf>
    <xf numFmtId="180" fontId="3" fillId="0" borderId="6" xfId="5" applyNumberFormat="1" applyFont="1" applyBorder="1" applyAlignment="1">
      <alignment horizontal="right"/>
    </xf>
    <xf numFmtId="180" fontId="3" fillId="0" borderId="0" xfId="5" applyNumberFormat="1" applyFont="1" applyAlignment="1">
      <alignment horizontal="right"/>
    </xf>
    <xf numFmtId="181" fontId="3" fillId="0" borderId="0" xfId="5" applyNumberFormat="1" applyFont="1" applyAlignment="1">
      <alignment horizontal="right"/>
    </xf>
    <xf numFmtId="174" fontId="3" fillId="0" borderId="6" xfId="5" applyNumberFormat="1" applyFont="1" applyBorder="1" applyAlignment="1">
      <alignment horizontal="right"/>
    </xf>
    <xf numFmtId="0" fontId="30" fillId="0" borderId="0" xfId="5" applyFont="1"/>
    <xf numFmtId="0" fontId="30" fillId="0" borderId="0" xfId="5" applyFont="1" applyAlignment="1">
      <alignment horizontal="left"/>
    </xf>
    <xf numFmtId="0" fontId="30" fillId="0" borderId="0" xfId="5" applyFont="1" applyAlignment="1">
      <alignment horizontal="center"/>
    </xf>
    <xf numFmtId="170" fontId="30" fillId="0" borderId="6" xfId="5" applyNumberFormat="1" applyFont="1" applyBorder="1" applyAlignment="1">
      <alignment horizontal="right"/>
    </xf>
    <xf numFmtId="170" fontId="30" fillId="0" borderId="0" xfId="5" applyNumberFormat="1" applyFont="1" applyAlignment="1">
      <alignment horizontal="right"/>
    </xf>
    <xf numFmtId="170" fontId="12" fillId="0" borderId="6" xfId="5" quotePrefix="1" applyNumberFormat="1" applyFont="1" applyBorder="1" applyAlignment="1">
      <alignment horizontal="right"/>
    </xf>
    <xf numFmtId="170" fontId="12" fillId="0" borderId="0" xfId="5" quotePrefix="1" applyNumberFormat="1" applyFont="1" applyAlignment="1">
      <alignment horizontal="right"/>
    </xf>
    <xf numFmtId="170" fontId="26" fillId="0" borderId="6" xfId="5" quotePrefix="1" applyNumberFormat="1" applyFont="1" applyBorder="1" applyAlignment="1">
      <alignment horizontal="right"/>
    </xf>
    <xf numFmtId="170" fontId="26" fillId="0" borderId="0" xfId="5" quotePrefix="1" applyNumberFormat="1" applyFont="1" applyAlignment="1" applyProtection="1">
      <alignment horizontal="right"/>
      <protection locked="0"/>
    </xf>
    <xf numFmtId="170" fontId="26" fillId="0" borderId="6" xfId="5" quotePrefix="1" applyNumberFormat="1" applyFont="1" applyBorder="1" applyAlignment="1" applyProtection="1">
      <alignment horizontal="right"/>
      <protection locked="0"/>
    </xf>
    <xf numFmtId="15" fontId="3" fillId="0" borderId="0" xfId="5" applyNumberFormat="1" applyFont="1" applyAlignment="1">
      <alignment horizontal="left"/>
    </xf>
    <xf numFmtId="177" fontId="3" fillId="0" borderId="6" xfId="3" applyNumberFormat="1" applyFont="1" applyFill="1" applyBorder="1" applyAlignment="1">
      <alignment horizontal="right"/>
    </xf>
    <xf numFmtId="177" fontId="3" fillId="0" borderId="0" xfId="3" applyNumberFormat="1" applyFont="1" applyFill="1" applyBorder="1" applyAlignment="1">
      <alignment horizontal="right"/>
    </xf>
    <xf numFmtId="4" fontId="3" fillId="0" borderId="6" xfId="5" quotePrefix="1" applyNumberFormat="1" applyFont="1" applyBorder="1" applyAlignment="1">
      <alignment horizontal="right"/>
    </xf>
    <xf numFmtId="4" fontId="3" fillId="0" borderId="0" xfId="5" quotePrefix="1" applyNumberFormat="1" applyFont="1" applyAlignment="1">
      <alignment horizontal="right"/>
    </xf>
    <xf numFmtId="174" fontId="3" fillId="0" borderId="6" xfId="5" applyNumberFormat="1" applyFont="1" applyBorder="1"/>
    <xf numFmtId="174" fontId="3" fillId="0" borderId="0" xfId="5" applyNumberFormat="1" applyFont="1"/>
    <xf numFmtId="180" fontId="3" fillId="0" borderId="6" xfId="5" quotePrefix="1" applyNumberFormat="1" applyFont="1" applyBorder="1" applyAlignment="1">
      <alignment horizontal="right"/>
    </xf>
    <xf numFmtId="180" fontId="3" fillId="0" borderId="0" xfId="5" quotePrefix="1" applyNumberFormat="1" applyFont="1" applyAlignment="1">
      <alignment horizontal="right"/>
    </xf>
    <xf numFmtId="0" fontId="12" fillId="0" borderId="0" xfId="5" quotePrefix="1" applyFont="1" applyAlignment="1">
      <alignment horizontal="center"/>
    </xf>
    <xf numFmtId="180" fontId="12" fillId="0" borderId="6" xfId="5" quotePrefix="1" applyNumberFormat="1" applyFont="1" applyBorder="1" applyAlignment="1">
      <alignment horizontal="right"/>
    </xf>
    <xf numFmtId="180" fontId="12" fillId="0" borderId="0" xfId="5" quotePrefix="1" applyNumberFormat="1" applyFont="1" applyAlignment="1">
      <alignment horizontal="right"/>
    </xf>
    <xf numFmtId="180" fontId="27" fillId="0" borderId="6" xfId="5" quotePrefix="1" applyNumberFormat="1" applyFont="1" applyBorder="1" applyAlignment="1">
      <alignment horizontal="right"/>
    </xf>
    <xf numFmtId="180" fontId="31" fillId="0" borderId="0" xfId="5" quotePrefix="1" applyNumberFormat="1" applyFont="1" applyAlignment="1">
      <alignment horizontal="right"/>
    </xf>
    <xf numFmtId="180" fontId="17" fillId="0" borderId="6" xfId="5" quotePrefix="1" applyNumberFormat="1" applyFont="1" applyBorder="1" applyAlignment="1">
      <alignment horizontal="right"/>
    </xf>
    <xf numFmtId="180" fontId="17" fillId="0" borderId="0" xfId="5" quotePrefix="1" applyNumberFormat="1" applyFont="1" applyAlignment="1">
      <alignment horizontal="right"/>
    </xf>
    <xf numFmtId="180" fontId="25" fillId="0" borderId="0" xfId="5" quotePrefix="1" applyNumberFormat="1" applyFont="1" applyAlignment="1">
      <alignment horizontal="right"/>
    </xf>
    <xf numFmtId="0" fontId="3" fillId="0" borderId="0" xfId="5" applyFont="1" applyProtection="1">
      <protection locked="0"/>
    </xf>
    <xf numFmtId="0" fontId="3" fillId="0" borderId="6" xfId="5" applyFont="1" applyBorder="1" applyProtection="1">
      <protection locked="0"/>
    </xf>
    <xf numFmtId="0" fontId="32" fillId="7" borderId="0" xfId="5" applyFont="1" applyFill="1" applyAlignment="1">
      <alignment horizontal="right"/>
    </xf>
    <xf numFmtId="0" fontId="12" fillId="0" borderId="0" xfId="5" applyFont="1" applyProtection="1">
      <protection locked="0"/>
    </xf>
    <xf numFmtId="0" fontId="33" fillId="0" borderId="0" xfId="5" applyFont="1" applyAlignment="1">
      <alignment horizontal="left"/>
    </xf>
    <xf numFmtId="177" fontId="3" fillId="0" borderId="6" xfId="1" applyNumberFormat="1" applyBorder="1"/>
    <xf numFmtId="177" fontId="34" fillId="0" borderId="0" xfId="1" applyNumberFormat="1" applyFont="1"/>
    <xf numFmtId="177" fontId="3" fillId="0" borderId="0" xfId="1" applyNumberFormat="1"/>
    <xf numFmtId="174" fontId="19" fillId="0" borderId="6" xfId="1" applyNumberFormat="1" applyFont="1" applyBorder="1"/>
    <xf numFmtId="174" fontId="19" fillId="0" borderId="0" xfId="1" applyNumberFormat="1" applyFont="1"/>
    <xf numFmtId="4" fontId="19" fillId="0" borderId="0" xfId="1" applyNumberFormat="1" applyFont="1"/>
    <xf numFmtId="174" fontId="3" fillId="0" borderId="0" xfId="1" applyNumberFormat="1"/>
    <xf numFmtId="174" fontId="3" fillId="0" borderId="6" xfId="1" applyNumberFormat="1" applyBorder="1"/>
    <xf numFmtId="0" fontId="34" fillId="0" borderId="6" xfId="1" applyFont="1" applyBorder="1"/>
    <xf numFmtId="0" fontId="34" fillId="0" borderId="0" xfId="1" applyFont="1"/>
    <xf numFmtId="182" fontId="3" fillId="0" borderId="0" xfId="1" applyNumberFormat="1"/>
    <xf numFmtId="182" fontId="3" fillId="0" borderId="6" xfId="1" applyNumberFormat="1" applyBorder="1"/>
    <xf numFmtId="2" fontId="3" fillId="0" borderId="6" xfId="5" applyNumberFormat="1" applyFont="1" applyBorder="1"/>
    <xf numFmtId="2" fontId="3" fillId="0" borderId="0" xfId="5" applyNumberFormat="1" applyFont="1"/>
    <xf numFmtId="177" fontId="3" fillId="0" borderId="6" xfId="3" applyNumberFormat="1" applyFont="1" applyBorder="1"/>
    <xf numFmtId="177" fontId="3" fillId="0" borderId="0" xfId="3" applyNumberFormat="1" applyFont="1"/>
    <xf numFmtId="0" fontId="33" fillId="7" borderId="0" xfId="5" applyFont="1" applyFill="1"/>
    <xf numFmtId="0" fontId="18" fillId="7" borderId="0" xfId="5" applyFont="1" applyFill="1"/>
    <xf numFmtId="0" fontId="33" fillId="7" borderId="0" xfId="5" applyFont="1" applyFill="1" applyAlignment="1">
      <alignment horizontal="right"/>
    </xf>
    <xf numFmtId="0" fontId="33" fillId="7" borderId="6" xfId="5" applyFont="1" applyFill="1" applyBorder="1" applyAlignment="1">
      <alignment horizontal="right"/>
    </xf>
    <xf numFmtId="0" fontId="18" fillId="7" borderId="0" xfId="6" applyFont="1" applyFill="1"/>
    <xf numFmtId="170" fontId="18" fillId="0" borderId="6" xfId="5" applyNumberFormat="1" applyFont="1" applyBorder="1" applyProtection="1">
      <protection locked="0"/>
    </xf>
    <xf numFmtId="170" fontId="29" fillId="0" borderId="0" xfId="5" applyNumberFormat="1" applyFont="1" applyProtection="1">
      <protection locked="0"/>
    </xf>
    <xf numFmtId="170" fontId="18" fillId="0" borderId="0" xfId="5" applyNumberFormat="1" applyFont="1" applyProtection="1">
      <protection locked="0"/>
    </xf>
    <xf numFmtId="0" fontId="18" fillId="0" borderId="0" xfId="5" applyFont="1" applyProtection="1">
      <protection locked="0"/>
    </xf>
    <xf numFmtId="170" fontId="18" fillId="0" borderId="6" xfId="5" applyNumberFormat="1" applyFont="1" applyBorder="1" applyAlignment="1" applyProtection="1">
      <alignment horizontal="right"/>
      <protection locked="0"/>
    </xf>
    <xf numFmtId="170" fontId="18" fillId="0" borderId="0" xfId="5" applyNumberFormat="1" applyFont="1" applyAlignment="1" applyProtection="1">
      <alignment horizontal="right"/>
      <protection locked="0"/>
    </xf>
    <xf numFmtId="0" fontId="18" fillId="0" borderId="6" xfId="5" applyFont="1" applyBorder="1" applyProtection="1">
      <protection locked="0"/>
    </xf>
    <xf numFmtId="0" fontId="33" fillId="0" borderId="0" xfId="5" applyFont="1" applyProtection="1">
      <protection locked="0"/>
    </xf>
    <xf numFmtId="182" fontId="18" fillId="0" borderId="6" xfId="5" applyNumberFormat="1" applyFont="1" applyBorder="1" applyAlignment="1" applyProtection="1">
      <alignment horizontal="right"/>
      <protection locked="0"/>
    </xf>
    <xf numFmtId="182" fontId="18" fillId="0" borderId="0" xfId="5" applyNumberFormat="1" applyFont="1" applyAlignment="1" applyProtection="1">
      <alignment horizontal="right"/>
      <protection locked="0"/>
    </xf>
    <xf numFmtId="0" fontId="18" fillId="0" borderId="6" xfId="5" applyFont="1" applyBorder="1" applyAlignment="1" applyProtection="1">
      <alignment horizontal="right"/>
      <protection locked="0"/>
    </xf>
    <xf numFmtId="0" fontId="18" fillId="0" borderId="0" xfId="5" applyFont="1" applyAlignment="1" applyProtection="1">
      <alignment horizontal="right"/>
      <protection locked="0"/>
    </xf>
    <xf numFmtId="176" fontId="18" fillId="0" borderId="6" xfId="5" applyNumberFormat="1" applyFont="1" applyBorder="1" applyProtection="1">
      <protection locked="0"/>
    </xf>
    <xf numFmtId="176" fontId="18" fillId="0" borderId="0" xfId="5" applyNumberFormat="1" applyFont="1" applyProtection="1">
      <protection locked="0"/>
    </xf>
    <xf numFmtId="177" fontId="18" fillId="0" borderId="6" xfId="3" applyNumberFormat="1" applyFont="1" applyFill="1" applyBorder="1"/>
    <xf numFmtId="177" fontId="18" fillId="0" borderId="0" xfId="3" applyNumberFormat="1" applyFont="1" applyFill="1"/>
    <xf numFmtId="176" fontId="29" fillId="0" borderId="6" xfId="5" applyNumberFormat="1" applyFont="1" applyBorder="1"/>
    <xf numFmtId="176" fontId="29" fillId="0" borderId="0" xfId="5" applyNumberFormat="1" applyFont="1"/>
    <xf numFmtId="0" fontId="29" fillId="0" borderId="0" xfId="5" applyFont="1"/>
    <xf numFmtId="0" fontId="12" fillId="0" borderId="6" xfId="1" applyFont="1" applyBorder="1" applyAlignment="1">
      <alignment horizontal="right"/>
    </xf>
    <xf numFmtId="0" fontId="3" fillId="0" borderId="0" xfId="1" applyAlignment="1">
      <alignment horizontal="right"/>
    </xf>
    <xf numFmtId="0" fontId="18" fillId="0" borderId="6" xfId="5" applyFont="1" applyBorder="1"/>
    <xf numFmtId="0" fontId="3" fillId="0" borderId="0" xfId="8"/>
    <xf numFmtId="177" fontId="3" fillId="0" borderId="0" xfId="5" applyNumberFormat="1" applyFont="1"/>
    <xf numFmtId="1" fontId="3" fillId="0" borderId="0" xfId="5" applyNumberFormat="1" applyFont="1"/>
    <xf numFmtId="176" fontId="3" fillId="0" borderId="0" xfId="5" applyNumberFormat="1" applyFont="1"/>
    <xf numFmtId="9" fontId="3" fillId="0" borderId="0" xfId="3" applyFont="1"/>
    <xf numFmtId="9" fontId="3" fillId="0" borderId="0" xfId="3" applyFont="1" applyFill="1"/>
    <xf numFmtId="0" fontId="31" fillId="0" borderId="0" xfId="1" applyFont="1"/>
    <xf numFmtId="10" fontId="3" fillId="0" borderId="0" xfId="1" applyNumberFormat="1"/>
    <xf numFmtId="0" fontId="39" fillId="0" borderId="0" xfId="1" applyFont="1"/>
    <xf numFmtId="0" fontId="40" fillId="3" borderId="0" xfId="1" applyFont="1" applyFill="1"/>
    <xf numFmtId="0" fontId="41" fillId="3" borderId="0" xfId="1" applyFont="1" applyFill="1" applyAlignment="1">
      <alignment horizontal="right"/>
    </xf>
    <xf numFmtId="0" fontId="39" fillId="0" borderId="0" xfId="1" applyFont="1" applyAlignment="1">
      <alignment horizontal="right"/>
    </xf>
    <xf numFmtId="0" fontId="42" fillId="3" borderId="0" xfId="1" applyFont="1" applyFill="1"/>
    <xf numFmtId="0" fontId="42" fillId="3" borderId="0" xfId="1" applyFont="1" applyFill="1" applyAlignment="1">
      <alignment horizontal="right"/>
    </xf>
    <xf numFmtId="0" fontId="39" fillId="0" borderId="0" xfId="8" applyFont="1"/>
    <xf numFmtId="177" fontId="39" fillId="0" borderId="0" xfId="1" applyNumberFormat="1" applyFont="1" applyAlignment="1">
      <alignment horizontal="right"/>
    </xf>
    <xf numFmtId="0" fontId="43" fillId="0" borderId="0" xfId="1" applyFont="1"/>
    <xf numFmtId="9" fontId="43" fillId="0" borderId="0" xfId="1" applyNumberFormat="1" applyFont="1" applyAlignment="1">
      <alignment horizontal="right"/>
    </xf>
    <xf numFmtId="186" fontId="43" fillId="0" borderId="0" xfId="1" applyNumberFormat="1" applyFont="1" applyAlignment="1">
      <alignment horizontal="right"/>
    </xf>
    <xf numFmtId="0" fontId="43" fillId="4" borderId="0" xfId="1" applyFont="1" applyFill="1"/>
    <xf numFmtId="9" fontId="43" fillId="4" borderId="0" xfId="1" applyNumberFormat="1" applyFont="1" applyFill="1" applyAlignment="1">
      <alignment horizontal="right"/>
    </xf>
    <xf numFmtId="186" fontId="43" fillId="4" borderId="0" xfId="1" applyNumberFormat="1" applyFont="1" applyFill="1" applyAlignment="1">
      <alignment horizontal="right"/>
    </xf>
    <xf numFmtId="0" fontId="43" fillId="0" borderId="3" xfId="1" applyFont="1" applyBorder="1"/>
    <xf numFmtId="9" fontId="43" fillId="0" borderId="3" xfId="1" applyNumberFormat="1" applyFont="1" applyBorder="1" applyAlignment="1">
      <alignment horizontal="right"/>
    </xf>
    <xf numFmtId="186" fontId="43" fillId="0" borderId="3" xfId="1" applyNumberFormat="1" applyFont="1" applyBorder="1" applyAlignment="1">
      <alignment horizontal="right"/>
    </xf>
    <xf numFmtId="0" fontId="44" fillId="6" borderId="0" xfId="1" applyFont="1" applyFill="1"/>
    <xf numFmtId="186" fontId="44" fillId="6" borderId="0" xfId="1" applyNumberFormat="1" applyFont="1" applyFill="1"/>
    <xf numFmtId="0" fontId="39" fillId="0" borderId="3" xfId="8" applyFont="1" applyBorder="1"/>
    <xf numFmtId="2" fontId="39" fillId="0" borderId="3" xfId="1" applyNumberFormat="1" applyFont="1" applyBorder="1" applyAlignment="1">
      <alignment horizontal="right"/>
    </xf>
    <xf numFmtId="186" fontId="43" fillId="0" borderId="0" xfId="1" applyNumberFormat="1" applyFont="1"/>
    <xf numFmtId="0" fontId="45" fillId="4" borderId="0" xfId="8" applyFont="1" applyFill="1"/>
    <xf numFmtId="177" fontId="45" fillId="4" borderId="0" xfId="1" applyNumberFormat="1" applyFont="1" applyFill="1" applyAlignment="1">
      <alignment horizontal="right"/>
    </xf>
    <xf numFmtId="0" fontId="44" fillId="0" borderId="3" xfId="1" applyFont="1" applyBorder="1"/>
    <xf numFmtId="9" fontId="44" fillId="0" borderId="3" xfId="3" applyFont="1" applyBorder="1"/>
    <xf numFmtId="0" fontId="40" fillId="3" borderId="0" xfId="8" applyFont="1" applyFill="1"/>
    <xf numFmtId="0" fontId="40" fillId="3" borderId="0" xfId="1" applyFont="1" applyFill="1" applyAlignment="1">
      <alignment horizontal="right"/>
    </xf>
    <xf numFmtId="3" fontId="39" fillId="0" borderId="0" xfId="1" applyNumberFormat="1" applyFont="1" applyAlignment="1">
      <alignment horizontal="right"/>
    </xf>
    <xf numFmtId="186" fontId="39" fillId="0" borderId="0" xfId="1" applyNumberFormat="1" applyFont="1"/>
    <xf numFmtId="0" fontId="39" fillId="0" borderId="3" xfId="1" applyFont="1" applyBorder="1"/>
    <xf numFmtId="3" fontId="39" fillId="0" borderId="3" xfId="1" applyNumberFormat="1" applyFont="1" applyBorder="1" applyAlignment="1">
      <alignment horizontal="right"/>
    </xf>
    <xf numFmtId="0" fontId="45" fillId="4" borderId="0" xfId="1" applyFont="1" applyFill="1"/>
    <xf numFmtId="3" fontId="45" fillId="4" borderId="0" xfId="1" applyNumberFormat="1" applyFont="1" applyFill="1" applyAlignment="1">
      <alignment horizontal="right"/>
    </xf>
    <xf numFmtId="4" fontId="39" fillId="0" borderId="3" xfId="1" applyNumberFormat="1" applyFont="1" applyBorder="1" applyAlignment="1">
      <alignment horizontal="right"/>
    </xf>
    <xf numFmtId="0" fontId="45" fillId="0" borderId="0" xfId="8" applyFont="1"/>
    <xf numFmtId="0" fontId="45" fillId="0" borderId="0" xfId="1" applyFont="1"/>
    <xf numFmtId="3" fontId="45" fillId="0" borderId="0" xfId="1" applyNumberFormat="1" applyFont="1" applyAlignment="1">
      <alignment horizontal="right"/>
    </xf>
    <xf numFmtId="4" fontId="45" fillId="0" borderId="0" xfId="1" applyNumberFormat="1" applyFont="1" applyAlignment="1">
      <alignment horizontal="right"/>
    </xf>
    <xf numFmtId="18" fontId="45" fillId="0" borderId="0" xfId="5" applyNumberFormat="1" applyFont="1" applyAlignment="1">
      <alignment horizontal="right"/>
    </xf>
    <xf numFmtId="0" fontId="45" fillId="0" borderId="0" xfId="5" applyFont="1" applyAlignment="1">
      <alignment horizontal="right"/>
    </xf>
    <xf numFmtId="4" fontId="45" fillId="0" borderId="0" xfId="5" applyNumberFormat="1" applyFont="1" applyAlignment="1">
      <alignment horizontal="right"/>
    </xf>
    <xf numFmtId="164" fontId="45" fillId="0" borderId="0" xfId="5" applyNumberFormat="1" applyFont="1" applyAlignment="1">
      <alignment horizontal="left"/>
    </xf>
    <xf numFmtId="0" fontId="39" fillId="0" borderId="0" xfId="5" applyFont="1" applyAlignment="1">
      <alignment horizontal="right"/>
    </xf>
    <xf numFmtId="0" fontId="45" fillId="6" borderId="11" xfId="1" applyFont="1" applyFill="1" applyBorder="1"/>
    <xf numFmtId="4" fontId="45" fillId="6" borderId="11" xfId="1" applyNumberFormat="1" applyFont="1" applyFill="1" applyBorder="1" applyAlignment="1">
      <alignment horizontal="right"/>
    </xf>
    <xf numFmtId="0" fontId="25" fillId="0" borderId="0" xfId="1" applyFont="1"/>
    <xf numFmtId="0" fontId="13" fillId="10" borderId="0" xfId="1" applyFont="1" applyFill="1" applyAlignment="1">
      <alignment horizontal="left"/>
    </xf>
    <xf numFmtId="0" fontId="13" fillId="10" borderId="0" xfId="1" applyFont="1" applyFill="1" applyAlignment="1">
      <alignment horizontal="center"/>
    </xf>
    <xf numFmtId="0" fontId="13" fillId="10" borderId="0" xfId="1" applyFont="1" applyFill="1" applyAlignment="1">
      <alignment horizontal="right"/>
    </xf>
    <xf numFmtId="174" fontId="12" fillId="0" borderId="6" xfId="1" applyNumberFormat="1" applyFont="1" applyBorder="1" applyAlignment="1">
      <alignment horizontal="right"/>
    </xf>
    <xf numFmtId="174" fontId="12" fillId="0" borderId="0" xfId="1" applyNumberFormat="1" applyFont="1" applyAlignment="1">
      <alignment horizontal="right"/>
    </xf>
    <xf numFmtId="174" fontId="27" fillId="0" borderId="0" xfId="1" applyNumberFormat="1" applyFont="1" applyAlignment="1">
      <alignment horizontal="right"/>
    </xf>
    <xf numFmtId="174" fontId="27" fillId="0" borderId="6" xfId="1" applyNumberFormat="1" applyFont="1" applyBorder="1" applyAlignment="1">
      <alignment horizontal="right"/>
    </xf>
    <xf numFmtId="0" fontId="3" fillId="0" borderId="0" xfId="1" applyAlignment="1">
      <alignment horizontal="left" indent="1"/>
    </xf>
    <xf numFmtId="9" fontId="3" fillId="0" borderId="6" xfId="3" applyFont="1" applyFill="1" applyBorder="1" applyAlignment="1">
      <alignment horizontal="right"/>
    </xf>
    <xf numFmtId="9" fontId="3" fillId="0" borderId="0" xfId="3" applyFont="1" applyFill="1" applyAlignment="1">
      <alignment horizontal="right"/>
    </xf>
    <xf numFmtId="177" fontId="3" fillId="0" borderId="0" xfId="3" applyNumberFormat="1" applyFont="1" applyFill="1" applyAlignment="1">
      <alignment horizontal="right"/>
    </xf>
    <xf numFmtId="9" fontId="25" fillId="0" borderId="0" xfId="3" applyFont="1" applyFill="1" applyAlignment="1">
      <alignment horizontal="right"/>
    </xf>
    <xf numFmtId="9" fontId="3" fillId="0" borderId="7" xfId="3" applyFont="1" applyFill="1" applyBorder="1" applyAlignment="1">
      <alignment horizontal="right"/>
    </xf>
    <xf numFmtId="177" fontId="3" fillId="0" borderId="7" xfId="3" applyNumberFormat="1" applyFont="1" applyFill="1" applyBorder="1" applyAlignment="1">
      <alignment horizontal="right"/>
    </xf>
    <xf numFmtId="177" fontId="3" fillId="0" borderId="3" xfId="3" applyNumberFormat="1" applyFont="1" applyFill="1" applyBorder="1" applyAlignment="1">
      <alignment horizontal="right"/>
    </xf>
    <xf numFmtId="9" fontId="3" fillId="0" borderId="3" xfId="3" applyFont="1" applyFill="1" applyBorder="1" applyAlignment="1">
      <alignment horizontal="right"/>
    </xf>
    <xf numFmtId="9" fontId="25" fillId="0" borderId="3" xfId="3" applyFont="1" applyFill="1" applyBorder="1" applyAlignment="1">
      <alignment horizontal="right"/>
    </xf>
    <xf numFmtId="9" fontId="3" fillId="0" borderId="0" xfId="3" applyFont="1" applyFill="1" applyBorder="1" applyAlignment="1">
      <alignment horizontal="left" indent="1"/>
    </xf>
    <xf numFmtId="0" fontId="24" fillId="0" borderId="0" xfId="1" applyFont="1"/>
    <xf numFmtId="174" fontId="25" fillId="0" borderId="6" xfId="1" applyNumberFormat="1" applyFont="1" applyBorder="1" applyAlignment="1">
      <alignment horizontal="right"/>
    </xf>
    <xf numFmtId="174" fontId="25" fillId="0" borderId="0" xfId="1" applyNumberFormat="1" applyFont="1" applyAlignment="1">
      <alignment horizontal="right"/>
    </xf>
    <xf numFmtId="0" fontId="12" fillId="11" borderId="3" xfId="1" applyFont="1" applyFill="1" applyBorder="1"/>
    <xf numFmtId="0" fontId="12" fillId="4" borderId="0" xfId="1" applyFont="1" applyFill="1"/>
    <xf numFmtId="0" fontId="12" fillId="4" borderId="0" xfId="1" applyFont="1" applyFill="1" applyAlignment="1">
      <alignment horizontal="right"/>
    </xf>
    <xf numFmtId="9" fontId="12" fillId="0" borderId="6" xfId="3" applyFont="1" applyBorder="1" applyAlignment="1">
      <alignment horizontal="right"/>
    </xf>
    <xf numFmtId="0" fontId="12" fillId="0" borderId="3" xfId="1" applyFont="1" applyBorder="1" applyAlignment="1">
      <alignment horizontal="left"/>
    </xf>
    <xf numFmtId="0" fontId="12" fillId="0" borderId="3" xfId="1" applyFont="1" applyBorder="1"/>
    <xf numFmtId="174" fontId="12" fillId="0" borderId="7" xfId="1" applyNumberFormat="1" applyFont="1" applyBorder="1" applyAlignment="1">
      <alignment horizontal="right"/>
    </xf>
    <xf numFmtId="174" fontId="12" fillId="0" borderId="3" xfId="1" applyNumberFormat="1" applyFont="1" applyBorder="1" applyAlignment="1">
      <alignment horizontal="right"/>
    </xf>
    <xf numFmtId="180" fontId="12" fillId="0" borderId="3" xfId="1" applyNumberFormat="1" applyFont="1" applyBorder="1" applyAlignment="1">
      <alignment horizontal="right"/>
    </xf>
    <xf numFmtId="180" fontId="12" fillId="0" borderId="7" xfId="1" applyNumberFormat="1" applyFont="1" applyBorder="1" applyAlignment="1">
      <alignment horizontal="right"/>
    </xf>
    <xf numFmtId="174" fontId="27" fillId="0" borderId="3" xfId="1" applyNumberFormat="1" applyFont="1" applyBorder="1" applyAlignment="1">
      <alignment horizontal="right"/>
    </xf>
    <xf numFmtId="174" fontId="27" fillId="0" borderId="7" xfId="1" applyNumberFormat="1" applyFont="1" applyBorder="1" applyAlignment="1">
      <alignment horizontal="right"/>
    </xf>
    <xf numFmtId="174" fontId="17" fillId="0" borderId="0" xfId="1" applyNumberFormat="1" applyFont="1" applyAlignment="1">
      <alignment horizontal="right"/>
    </xf>
    <xf numFmtId="174" fontId="17" fillId="0" borderId="6" xfId="1" applyNumberFormat="1" applyFont="1" applyBorder="1" applyAlignment="1">
      <alignment horizontal="right"/>
    </xf>
    <xf numFmtId="0" fontId="12" fillId="9" borderId="10" xfId="1" applyFont="1" applyFill="1" applyBorder="1" applyAlignment="1">
      <alignment horizontal="center"/>
    </xf>
    <xf numFmtId="9" fontId="31" fillId="9" borderId="10" xfId="1" applyNumberFormat="1" applyFont="1" applyFill="1" applyBorder="1" applyAlignment="1">
      <alignment horizontal="center"/>
    </xf>
    <xf numFmtId="9" fontId="3" fillId="0" borderId="0" xfId="3" applyFont="1" applyAlignment="1">
      <alignment horizontal="right"/>
    </xf>
    <xf numFmtId="9" fontId="17" fillId="0" borderId="0" xfId="3" applyFont="1" applyAlignment="1">
      <alignment horizontal="right"/>
    </xf>
    <xf numFmtId="9" fontId="17" fillId="0" borderId="6" xfId="3" applyFont="1" applyBorder="1" applyAlignment="1">
      <alignment horizontal="right"/>
    </xf>
    <xf numFmtId="9" fontId="25" fillId="0" borderId="0" xfId="3" applyFont="1" applyAlignment="1">
      <alignment horizontal="right"/>
    </xf>
    <xf numFmtId="0" fontId="12" fillId="0" borderId="3" xfId="1" applyFont="1" applyBorder="1" applyAlignment="1">
      <alignment horizontal="center"/>
    </xf>
    <xf numFmtId="9" fontId="12" fillId="9" borderId="10" xfId="1" applyNumberFormat="1" applyFont="1" applyFill="1" applyBorder="1" applyAlignment="1">
      <alignment horizontal="center"/>
    </xf>
    <xf numFmtId="0" fontId="12" fillId="0" borderId="0" xfId="1" applyFont="1" applyAlignment="1">
      <alignment horizontal="left"/>
    </xf>
    <xf numFmtId="0" fontId="12" fillId="0" borderId="0" xfId="1" applyFont="1" applyAlignment="1">
      <alignment horizontal="left" indent="1"/>
    </xf>
    <xf numFmtId="180" fontId="12" fillId="0" borderId="0" xfId="1" applyNumberFormat="1" applyFont="1" applyAlignment="1">
      <alignment horizontal="right"/>
    </xf>
    <xf numFmtId="180" fontId="12" fillId="0" borderId="6" xfId="1" applyNumberFormat="1" applyFont="1" applyBorder="1" applyAlignment="1">
      <alignment horizontal="right"/>
    </xf>
    <xf numFmtId="180" fontId="46" fillId="0" borderId="6" xfId="1" applyNumberFormat="1" applyFont="1" applyBorder="1" applyAlignment="1">
      <alignment horizontal="right"/>
    </xf>
    <xf numFmtId="180" fontId="46" fillId="0" borderId="0" xfId="1" applyNumberFormat="1" applyFont="1" applyAlignment="1">
      <alignment horizontal="right"/>
    </xf>
    <xf numFmtId="177" fontId="12" fillId="0" borderId="0" xfId="1" applyNumberFormat="1" applyFont="1" applyAlignment="1">
      <alignment horizontal="right"/>
    </xf>
    <xf numFmtId="174" fontId="3" fillId="0" borderId="6" xfId="3" applyNumberFormat="1" applyFont="1" applyFill="1" applyBorder="1" applyAlignment="1">
      <alignment horizontal="right"/>
    </xf>
    <xf numFmtId="180" fontId="3" fillId="0" borderId="6" xfId="3" applyNumberFormat="1" applyFont="1" applyFill="1" applyBorder="1" applyAlignment="1">
      <alignment horizontal="right"/>
    </xf>
    <xf numFmtId="9" fontId="25" fillId="13" borderId="0" xfId="3" applyFont="1" applyFill="1" applyAlignment="1">
      <alignment horizontal="right"/>
    </xf>
    <xf numFmtId="9" fontId="3" fillId="13" borderId="0" xfId="3" applyFont="1" applyFill="1" applyAlignment="1">
      <alignment horizontal="right"/>
    </xf>
    <xf numFmtId="9" fontId="3" fillId="0" borderId="0" xfId="3" applyFont="1" applyFill="1" applyBorder="1" applyAlignment="1">
      <alignment horizontal="right"/>
    </xf>
    <xf numFmtId="9" fontId="12" fillId="0" borderId="0" xfId="3" applyFont="1" applyAlignment="1">
      <alignment horizontal="right"/>
    </xf>
    <xf numFmtId="9" fontId="3" fillId="0" borderId="6" xfId="3" applyFont="1" applyBorder="1" applyAlignment="1">
      <alignment horizontal="right"/>
    </xf>
    <xf numFmtId="9" fontId="12" fillId="5" borderId="6" xfId="3" applyFont="1" applyFill="1" applyBorder="1" applyAlignment="1">
      <alignment horizontal="right"/>
    </xf>
    <xf numFmtId="9" fontId="12" fillId="5" borderId="0" xfId="3" applyFont="1" applyFill="1" applyAlignment="1">
      <alignment horizontal="right"/>
    </xf>
    <xf numFmtId="9" fontId="12" fillId="5" borderId="6" xfId="1" applyNumberFormat="1" applyFont="1" applyFill="1" applyBorder="1" applyAlignment="1">
      <alignment horizontal="right"/>
    </xf>
    <xf numFmtId="177" fontId="25" fillId="0" borderId="0" xfId="3" applyNumberFormat="1" applyFont="1" applyFill="1" applyAlignment="1">
      <alignment horizontal="right"/>
    </xf>
    <xf numFmtId="4" fontId="12" fillId="0" borderId="6" xfId="1" applyNumberFormat="1" applyFont="1" applyBorder="1" applyAlignment="1">
      <alignment horizontal="right"/>
    </xf>
    <xf numFmtId="9" fontId="12" fillId="0" borderId="6" xfId="3" applyFont="1" applyFill="1" applyBorder="1" applyAlignment="1">
      <alignment horizontal="right"/>
    </xf>
    <xf numFmtId="9" fontId="12" fillId="0" borderId="0" xfId="3" applyFont="1" applyFill="1" applyAlignment="1">
      <alignment horizontal="right"/>
    </xf>
    <xf numFmtId="174" fontId="12" fillId="9" borderId="6" xfId="1" applyNumberFormat="1" applyFont="1" applyFill="1" applyBorder="1" applyAlignment="1">
      <alignment horizontal="right"/>
    </xf>
    <xf numFmtId="0" fontId="14" fillId="0" borderId="0" xfId="1" applyFont="1"/>
    <xf numFmtId="9" fontId="31" fillId="5" borderId="0" xfId="3" applyFont="1" applyFill="1" applyAlignment="1">
      <alignment horizontal="right"/>
    </xf>
    <xf numFmtId="167" fontId="3" fillId="0" borderId="0" xfId="9" applyFont="1" applyAlignment="1">
      <alignment horizontal="right"/>
    </xf>
    <xf numFmtId="167" fontId="3" fillId="0" borderId="6" xfId="9" applyFont="1" applyBorder="1" applyAlignment="1">
      <alignment horizontal="right"/>
    </xf>
    <xf numFmtId="174" fontId="17" fillId="0" borderId="0" xfId="3" applyNumberFormat="1" applyFont="1" applyFill="1" applyAlignment="1">
      <alignment horizontal="right"/>
    </xf>
    <xf numFmtId="174" fontId="3" fillId="0" borderId="0" xfId="3" applyNumberFormat="1" applyFont="1" applyFill="1" applyAlignment="1">
      <alignment horizontal="right"/>
    </xf>
    <xf numFmtId="9" fontId="17" fillId="0" borderId="0" xfId="3" applyFont="1" applyFill="1" applyAlignment="1">
      <alignment horizontal="right"/>
    </xf>
    <xf numFmtId="174" fontId="12" fillId="0" borderId="0" xfId="3" applyNumberFormat="1" applyFont="1" applyFill="1" applyAlignment="1">
      <alignment horizontal="right"/>
    </xf>
    <xf numFmtId="174" fontId="12" fillId="0" borderId="6" xfId="3" applyNumberFormat="1" applyFont="1" applyFill="1" applyBorder="1" applyAlignment="1">
      <alignment horizontal="right"/>
    </xf>
    <xf numFmtId="174" fontId="17" fillId="0" borderId="6" xfId="3" applyNumberFormat="1" applyFont="1" applyFill="1" applyBorder="1" applyAlignment="1">
      <alignment horizontal="right"/>
    </xf>
    <xf numFmtId="195" fontId="3" fillId="0" borderId="6" xfId="9" applyNumberFormat="1" applyFont="1" applyBorder="1" applyAlignment="1">
      <alignment horizontal="right"/>
    </xf>
    <xf numFmtId="10" fontId="12" fillId="0" borderId="0" xfId="1" applyNumberFormat="1" applyFont="1"/>
    <xf numFmtId="195" fontId="12" fillId="0" borderId="0" xfId="9" applyNumberFormat="1" applyFont="1"/>
    <xf numFmtId="189" fontId="3" fillId="0" borderId="6" xfId="9" applyNumberFormat="1" applyFont="1" applyFill="1" applyBorder="1" applyAlignment="1">
      <alignment horizontal="right"/>
    </xf>
    <xf numFmtId="174" fontId="31" fillId="0" borderId="6" xfId="1" applyNumberFormat="1" applyFont="1" applyBorder="1" applyAlignment="1">
      <alignment horizontal="right"/>
    </xf>
    <xf numFmtId="177" fontId="25" fillId="13" borderId="0" xfId="3" applyNumberFormat="1" applyFont="1" applyFill="1" applyAlignment="1">
      <alignment horizontal="right"/>
    </xf>
    <xf numFmtId="177" fontId="3" fillId="13" borderId="0" xfId="3" applyNumberFormat="1" applyFont="1" applyFill="1" applyAlignment="1">
      <alignment horizontal="right"/>
    </xf>
    <xf numFmtId="177" fontId="3" fillId="13" borderId="6" xfId="3" applyNumberFormat="1" applyFont="1" applyFill="1" applyBorder="1" applyAlignment="1">
      <alignment horizontal="right"/>
    </xf>
    <xf numFmtId="174" fontId="12" fillId="5" borderId="0" xfId="1" applyNumberFormat="1" applyFont="1" applyFill="1" applyAlignment="1">
      <alignment horizontal="right"/>
    </xf>
    <xf numFmtId="174" fontId="12" fillId="5" borderId="6" xfId="1" applyNumberFormat="1" applyFont="1" applyFill="1" applyBorder="1" applyAlignment="1">
      <alignment horizontal="right"/>
    </xf>
    <xf numFmtId="0" fontId="12" fillId="15" borderId="3" xfId="1" applyFont="1" applyFill="1" applyBorder="1" applyAlignment="1">
      <alignment horizontal="left"/>
    </xf>
    <xf numFmtId="0" fontId="12" fillId="15" borderId="3" xfId="1" applyFont="1" applyFill="1" applyBorder="1" applyAlignment="1">
      <alignment horizontal="center"/>
    </xf>
    <xf numFmtId="0" fontId="12" fillId="15" borderId="7" xfId="1" applyFont="1" applyFill="1" applyBorder="1" applyAlignment="1">
      <alignment horizontal="right"/>
    </xf>
    <xf numFmtId="0" fontId="12" fillId="15" borderId="3" xfId="1" applyFont="1" applyFill="1" applyBorder="1" applyAlignment="1">
      <alignment horizontal="right"/>
    </xf>
    <xf numFmtId="176" fontId="12" fillId="0" borderId="0" xfId="1" applyNumberFormat="1" applyFont="1" applyAlignment="1">
      <alignment horizontal="right"/>
    </xf>
    <xf numFmtId="176" fontId="12" fillId="0" borderId="6" xfId="1" applyNumberFormat="1" applyFont="1" applyBorder="1" applyAlignment="1">
      <alignment horizontal="right"/>
    </xf>
    <xf numFmtId="174" fontId="12" fillId="6" borderId="6" xfId="1" applyNumberFormat="1" applyFont="1" applyFill="1" applyBorder="1" applyAlignment="1">
      <alignment horizontal="right"/>
    </xf>
    <xf numFmtId="174" fontId="12" fillId="6" borderId="0" xfId="1" applyNumberFormat="1" applyFont="1" applyFill="1" applyAlignment="1">
      <alignment horizontal="right"/>
    </xf>
    <xf numFmtId="176" fontId="17" fillId="0" borderId="0" xfId="1" applyNumberFormat="1" applyFont="1" applyAlignment="1">
      <alignment horizontal="right"/>
    </xf>
    <xf numFmtId="176" fontId="17" fillId="0" borderId="6" xfId="1" applyNumberFormat="1" applyFont="1" applyBorder="1" applyAlignment="1">
      <alignment horizontal="right"/>
    </xf>
    <xf numFmtId="0" fontId="3" fillId="0" borderId="0" xfId="4" applyFont="1"/>
    <xf numFmtId="174" fontId="29" fillId="0" borderId="6" xfId="4" applyNumberFormat="1" applyFont="1" applyBorder="1"/>
    <xf numFmtId="174" fontId="17" fillId="0" borderId="0" xfId="4" applyNumberFormat="1" applyFont="1" applyBorder="1"/>
    <xf numFmtId="174" fontId="3" fillId="0" borderId="0" xfId="4" applyNumberFormat="1" applyFont="1" applyBorder="1"/>
    <xf numFmtId="174" fontId="17" fillId="0" borderId="6" xfId="4" applyNumberFormat="1" applyFont="1" applyBorder="1"/>
    <xf numFmtId="174" fontId="3" fillId="0" borderId="6" xfId="4" applyNumberFormat="1" applyFont="1" applyBorder="1"/>
    <xf numFmtId="0" fontId="3" fillId="0" borderId="0" xfId="10" applyFont="1"/>
    <xf numFmtId="174" fontId="25" fillId="0" borderId="0" xfId="4" applyNumberFormat="1" applyFont="1" applyBorder="1"/>
    <xf numFmtId="0" fontId="12" fillId="0" borderId="0" xfId="4" applyFont="1"/>
    <xf numFmtId="0" fontId="12" fillId="0" borderId="0" xfId="10" applyFont="1"/>
    <xf numFmtId="174" fontId="12" fillId="0" borderId="6" xfId="4" applyNumberFormat="1" applyFont="1" applyBorder="1"/>
    <xf numFmtId="174" fontId="12" fillId="0" borderId="0" xfId="4" applyNumberFormat="1" applyFont="1" applyBorder="1"/>
    <xf numFmtId="180" fontId="12" fillId="0" borderId="6" xfId="4" applyNumberFormat="1" applyFont="1" applyBorder="1"/>
    <xf numFmtId="0" fontId="12" fillId="6" borderId="0" xfId="1" applyFont="1" applyFill="1" applyAlignment="1">
      <alignment horizontal="left"/>
    </xf>
    <xf numFmtId="176" fontId="12" fillId="6" borderId="6" xfId="1" applyNumberFormat="1" applyFont="1" applyFill="1" applyBorder="1" applyAlignment="1">
      <alignment horizontal="right"/>
    </xf>
    <xf numFmtId="176" fontId="12" fillId="6" borderId="0" xfId="1" applyNumberFormat="1" applyFont="1" applyFill="1" applyAlignment="1">
      <alignment horizontal="right"/>
    </xf>
    <xf numFmtId="170" fontId="3" fillId="0" borderId="6" xfId="4" applyNumberFormat="1" applyFont="1" applyBorder="1"/>
    <xf numFmtId="170" fontId="17" fillId="0" borderId="0" xfId="4" applyNumberFormat="1" applyFont="1" applyBorder="1"/>
    <xf numFmtId="170" fontId="17" fillId="0" borderId="6" xfId="4" applyNumberFormat="1" applyFont="1" applyBorder="1"/>
    <xf numFmtId="0" fontId="12" fillId="12" borderId="0" xfId="1" applyFont="1" applyFill="1"/>
    <xf numFmtId="10" fontId="11" fillId="0" borderId="0" xfId="1" applyNumberFormat="1" applyFont="1"/>
    <xf numFmtId="177" fontId="12" fillId="0" borderId="0" xfId="3" applyNumberFormat="1" applyFont="1" applyFill="1" applyBorder="1"/>
    <xf numFmtId="177" fontId="3" fillId="0" borderId="0" xfId="3" applyNumberFormat="1" applyFont="1" applyAlignment="1">
      <alignment horizontal="right"/>
    </xf>
    <xf numFmtId="3" fontId="3" fillId="0" borderId="0" xfId="3" applyNumberFormat="1" applyFont="1" applyFill="1" applyAlignment="1">
      <alignment horizontal="right"/>
    </xf>
    <xf numFmtId="3" fontId="3" fillId="0" borderId="6" xfId="3" applyNumberFormat="1" applyFont="1" applyFill="1" applyBorder="1" applyAlignment="1">
      <alignment horizontal="right"/>
    </xf>
    <xf numFmtId="177" fontId="3" fillId="0" borderId="6" xfId="3" applyNumberFormat="1" applyFont="1" applyBorder="1" applyAlignment="1">
      <alignment horizontal="right"/>
    </xf>
    <xf numFmtId="170" fontId="3" fillId="0" borderId="0" xfId="4" applyNumberFormat="1" applyFont="1" applyBorder="1"/>
    <xf numFmtId="177" fontId="3" fillId="0" borderId="0" xfId="4" applyNumberFormat="1" applyFont="1" applyBorder="1"/>
    <xf numFmtId="177" fontId="3" fillId="0" borderId="6" xfId="4" applyNumberFormat="1" applyFont="1" applyBorder="1"/>
    <xf numFmtId="177" fontId="25" fillId="13" borderId="0" xfId="4" applyNumberFormat="1" applyFont="1" applyFill="1" applyBorder="1"/>
    <xf numFmtId="177" fontId="3" fillId="13" borderId="0" xfId="4" applyNumberFormat="1" applyFont="1" applyFill="1" applyBorder="1"/>
    <xf numFmtId="177" fontId="3" fillId="13" borderId="6" xfId="4" applyNumberFormat="1" applyFont="1" applyFill="1" applyBorder="1"/>
    <xf numFmtId="170" fontId="12" fillId="0" borderId="0" xfId="4" applyNumberFormat="1" applyFont="1" applyBorder="1"/>
    <xf numFmtId="170" fontId="12" fillId="0" borderId="6" xfId="4" applyNumberFormat="1" applyFont="1" applyBorder="1"/>
    <xf numFmtId="177" fontId="25" fillId="0" borderId="0" xfId="4" applyNumberFormat="1" applyFont="1" applyBorder="1"/>
    <xf numFmtId="9" fontId="47" fillId="0" borderId="0" xfId="3" applyFont="1"/>
    <xf numFmtId="0" fontId="40" fillId="3" borderId="3" xfId="1" applyFont="1" applyFill="1" applyBorder="1"/>
    <xf numFmtId="3" fontId="27" fillId="0" borderId="0" xfId="1" applyNumberFormat="1" applyFont="1" applyAlignment="1">
      <alignment horizontal="right"/>
    </xf>
    <xf numFmtId="180" fontId="12" fillId="6" borderId="0" xfId="1" applyNumberFormat="1" applyFont="1" applyFill="1" applyAlignment="1">
      <alignment horizontal="right"/>
    </xf>
    <xf numFmtId="170" fontId="3" fillId="0" borderId="5" xfId="5" applyNumberFormat="1" applyFont="1" applyBorder="1" applyAlignment="1">
      <alignment horizontal="right"/>
    </xf>
    <xf numFmtId="180" fontId="27" fillId="0" borderId="0" xfId="5" quotePrefix="1" applyNumberFormat="1" applyFont="1" applyAlignment="1">
      <alignment horizontal="right"/>
    </xf>
    <xf numFmtId="174" fontId="3" fillId="0" borderId="0" xfId="1" applyNumberFormat="1" applyAlignment="1">
      <alignment horizontal="right"/>
    </xf>
    <xf numFmtId="170" fontId="25" fillId="9" borderId="6" xfId="5" applyNumberFormat="1" applyFont="1" applyFill="1" applyBorder="1" applyAlignment="1">
      <alignment horizontal="right"/>
    </xf>
    <xf numFmtId="170" fontId="3" fillId="9" borderId="6" xfId="5" applyNumberFormat="1" applyFont="1" applyFill="1" applyBorder="1" applyAlignment="1">
      <alignment horizontal="right"/>
    </xf>
    <xf numFmtId="170" fontId="12" fillId="11" borderId="0" xfId="5" applyNumberFormat="1" applyFont="1" applyFill="1" applyAlignment="1">
      <alignment horizontal="right"/>
    </xf>
    <xf numFmtId="170" fontId="12" fillId="11" borderId="6" xfId="5" applyNumberFormat="1" applyFont="1" applyFill="1" applyBorder="1" applyAlignment="1">
      <alignment horizontal="right"/>
    </xf>
    <xf numFmtId="179" fontId="17" fillId="0" borderId="0" xfId="5" applyNumberFormat="1" applyFont="1" applyAlignment="1">
      <alignment horizontal="right"/>
    </xf>
    <xf numFmtId="174" fontId="3" fillId="0" borderId="6" xfId="1" applyNumberFormat="1" applyBorder="1" applyAlignment="1">
      <alignment horizontal="right"/>
    </xf>
    <xf numFmtId="177" fontId="3" fillId="0" borderId="6" xfId="1" applyNumberFormat="1" applyBorder="1" applyAlignment="1">
      <alignment horizontal="right"/>
    </xf>
    <xf numFmtId="4" fontId="3" fillId="0" borderId="0" xfId="1" applyNumberFormat="1" applyAlignment="1">
      <alignment horizontal="right"/>
    </xf>
    <xf numFmtId="4" fontId="3" fillId="0" borderId="6" xfId="1" applyNumberFormat="1" applyBorder="1" applyAlignment="1">
      <alignment horizontal="right"/>
    </xf>
    <xf numFmtId="177" fontId="3" fillId="0" borderId="0" xfId="1" applyNumberFormat="1" applyAlignment="1">
      <alignment horizontal="right"/>
    </xf>
    <xf numFmtId="9" fontId="3" fillId="0" borderId="6" xfId="1" applyNumberFormat="1" applyBorder="1" applyAlignment="1">
      <alignment horizontal="right"/>
    </xf>
    <xf numFmtId="0" fontId="3" fillId="0" borderId="3" xfId="1" applyBorder="1" applyAlignment="1">
      <alignment horizontal="left" indent="1"/>
    </xf>
    <xf numFmtId="174" fontId="3" fillId="0" borderId="7" xfId="1" applyNumberFormat="1" applyBorder="1" applyAlignment="1">
      <alignment horizontal="right"/>
    </xf>
    <xf numFmtId="174" fontId="3" fillId="0" borderId="3" xfId="1" applyNumberFormat="1" applyBorder="1" applyAlignment="1">
      <alignment horizontal="right"/>
    </xf>
    <xf numFmtId="9" fontId="3" fillId="0" borderId="7" xfId="1" applyNumberFormat="1" applyBorder="1" applyAlignment="1">
      <alignment horizontal="right"/>
    </xf>
    <xf numFmtId="0" fontId="3" fillId="11" borderId="3" xfId="1" applyFill="1" applyBorder="1"/>
    <xf numFmtId="174" fontId="3" fillId="11" borderId="7" xfId="1" applyNumberFormat="1" applyFill="1" applyBorder="1" applyAlignment="1">
      <alignment horizontal="right"/>
    </xf>
    <xf numFmtId="174" fontId="3" fillId="11" borderId="3" xfId="1" applyNumberFormat="1" applyFill="1" applyBorder="1" applyAlignment="1">
      <alignment horizontal="right"/>
    </xf>
    <xf numFmtId="177" fontId="3" fillId="11" borderId="7" xfId="1" applyNumberFormat="1" applyFill="1" applyBorder="1" applyAlignment="1">
      <alignment horizontal="right"/>
    </xf>
    <xf numFmtId="177" fontId="3" fillId="11" borderId="3" xfId="1" applyNumberFormat="1" applyFill="1" applyBorder="1" applyAlignment="1">
      <alignment horizontal="right"/>
    </xf>
    <xf numFmtId="0" fontId="3" fillId="0" borderId="0" xfId="1" applyAlignment="1">
      <alignment horizontal="left"/>
    </xf>
    <xf numFmtId="180" fontId="3" fillId="0" borderId="0" xfId="1" applyNumberFormat="1" applyAlignment="1">
      <alignment horizontal="right"/>
    </xf>
    <xf numFmtId="180" fontId="3" fillId="0" borderId="6" xfId="1" applyNumberFormat="1" applyBorder="1" applyAlignment="1">
      <alignment horizontal="right"/>
    </xf>
    <xf numFmtId="174" fontId="3" fillId="12" borderId="6" xfId="1" applyNumberFormat="1" applyFill="1" applyBorder="1" applyAlignment="1">
      <alignment horizontal="right"/>
    </xf>
    <xf numFmtId="0" fontId="3" fillId="0" borderId="0" xfId="1" applyAlignment="1">
      <alignment horizontal="center"/>
    </xf>
    <xf numFmtId="9" fontId="3" fillId="13" borderId="6" xfId="1" applyNumberFormat="1" applyFill="1" applyBorder="1" applyAlignment="1">
      <alignment horizontal="right"/>
    </xf>
    <xf numFmtId="3" fontId="3" fillId="0" borderId="0" xfId="1" applyNumberFormat="1" applyAlignment="1">
      <alignment horizontal="right"/>
    </xf>
    <xf numFmtId="3" fontId="3" fillId="0" borderId="6" xfId="1" applyNumberFormat="1" applyBorder="1" applyAlignment="1">
      <alignment horizontal="right"/>
    </xf>
    <xf numFmtId="180" fontId="3" fillId="11" borderId="3" xfId="1" applyNumberFormat="1" applyFill="1" applyBorder="1" applyAlignment="1">
      <alignment horizontal="right"/>
    </xf>
    <xf numFmtId="180" fontId="3" fillId="11" borderId="7" xfId="1" applyNumberFormat="1" applyFill="1" applyBorder="1" applyAlignment="1">
      <alignment horizontal="right"/>
    </xf>
    <xf numFmtId="9" fontId="3" fillId="0" borderId="0" xfId="1" applyNumberFormat="1" applyAlignment="1">
      <alignment horizontal="right"/>
    </xf>
    <xf numFmtId="0" fontId="3" fillId="14" borderId="0" xfId="1" applyFill="1"/>
    <xf numFmtId="174" fontId="3" fillId="9" borderId="6" xfId="1" applyNumberFormat="1" applyFill="1" applyBorder="1" applyAlignment="1">
      <alignment horizontal="right"/>
    </xf>
    <xf numFmtId="174" fontId="3" fillId="13" borderId="0" xfId="1" applyNumberFormat="1" applyFill="1" applyAlignment="1">
      <alignment horizontal="right"/>
    </xf>
    <xf numFmtId="174" fontId="3" fillId="13" borderId="6" xfId="1" applyNumberFormat="1" applyFill="1" applyBorder="1" applyAlignment="1">
      <alignment horizontal="right"/>
    </xf>
    <xf numFmtId="0" fontId="3" fillId="0" borderId="0" xfId="1" applyAlignment="1">
      <alignment horizontal="left" indent="2"/>
    </xf>
    <xf numFmtId="0" fontId="3" fillId="0" borderId="6" xfId="1" applyBorder="1" applyAlignment="1">
      <alignment horizontal="right"/>
    </xf>
    <xf numFmtId="190" fontId="3" fillId="0" borderId="0" xfId="1" applyNumberFormat="1" applyAlignment="1">
      <alignment horizontal="right"/>
    </xf>
    <xf numFmtId="190" fontId="3" fillId="0" borderId="6" xfId="1" applyNumberFormat="1" applyBorder="1" applyAlignment="1">
      <alignment horizontal="right"/>
    </xf>
    <xf numFmtId="195" fontId="3" fillId="0" borderId="0" xfId="1" applyNumberFormat="1"/>
    <xf numFmtId="165" fontId="3" fillId="0" borderId="0" xfId="1" applyNumberFormat="1"/>
    <xf numFmtId="181" fontId="3" fillId="0" borderId="0" xfId="1" applyNumberFormat="1" applyAlignment="1">
      <alignment horizontal="right"/>
    </xf>
    <xf numFmtId="174" fontId="3" fillId="5" borderId="0" xfId="1" applyNumberFormat="1" applyFill="1" applyAlignment="1">
      <alignment horizontal="right"/>
    </xf>
    <xf numFmtId="0" fontId="3" fillId="6" borderId="0" xfId="1" applyFill="1"/>
    <xf numFmtId="174" fontId="3" fillId="6" borderId="6" xfId="1" applyNumberFormat="1" applyFill="1" applyBorder="1" applyAlignment="1">
      <alignment horizontal="right"/>
    </xf>
    <xf numFmtId="174" fontId="3" fillId="6" borderId="0" xfId="1" applyNumberFormat="1" applyFill="1" applyAlignment="1">
      <alignment horizontal="right"/>
    </xf>
    <xf numFmtId="182" fontId="3" fillId="0" borderId="6" xfId="1" applyNumberFormat="1" applyBorder="1" applyAlignment="1">
      <alignment horizontal="right"/>
    </xf>
    <xf numFmtId="182" fontId="3" fillId="0" borderId="0" xfId="1" applyNumberFormat="1" applyAlignment="1">
      <alignment horizontal="right"/>
    </xf>
    <xf numFmtId="0" fontId="3" fillId="6" borderId="0" xfId="1" applyFill="1" applyAlignment="1">
      <alignment horizontal="left"/>
    </xf>
    <xf numFmtId="176" fontId="3" fillId="0" borderId="6" xfId="1" applyNumberFormat="1" applyBorder="1" applyAlignment="1">
      <alignment horizontal="right"/>
    </xf>
    <xf numFmtId="176" fontId="3" fillId="0" borderId="0" xfId="1" applyNumberFormat="1" applyAlignment="1">
      <alignment horizontal="right"/>
    </xf>
    <xf numFmtId="0" fontId="3" fillId="12" borderId="0" xfId="1" applyFill="1"/>
    <xf numFmtId="0" fontId="3" fillId="12" borderId="0" xfId="1" applyFill="1" applyAlignment="1">
      <alignment horizontal="right"/>
    </xf>
    <xf numFmtId="0" fontId="3" fillId="12" borderId="6" xfId="1" applyFill="1" applyBorder="1" applyAlignment="1">
      <alignment horizontal="right"/>
    </xf>
    <xf numFmtId="189" fontId="47" fillId="0" borderId="0" xfId="9" applyNumberFormat="1" applyFont="1" applyAlignment="1">
      <alignment horizontal="right"/>
    </xf>
    <xf numFmtId="177" fontId="3" fillId="0" borderId="6" xfId="21" applyNumberFormat="1" applyFont="1" applyBorder="1" applyAlignment="1">
      <alignment horizontal="right"/>
    </xf>
    <xf numFmtId="9" fontId="39" fillId="0" borderId="0" xfId="21" applyFont="1" applyAlignment="1">
      <alignment horizontal="center"/>
    </xf>
    <xf numFmtId="1" fontId="3" fillId="0" borderId="0" xfId="1" applyNumberFormat="1" applyAlignment="1">
      <alignment horizontal="right"/>
    </xf>
    <xf numFmtId="1" fontId="3" fillId="0" borderId="6" xfId="1" applyNumberFormat="1" applyBorder="1" applyAlignment="1">
      <alignment horizontal="right"/>
    </xf>
    <xf numFmtId="177" fontId="12" fillId="5" borderId="6" xfId="3" applyNumberFormat="1" applyFont="1" applyFill="1" applyBorder="1" applyAlignment="1">
      <alignment horizontal="right"/>
    </xf>
    <xf numFmtId="174" fontId="25" fillId="9" borderId="0" xfId="1" applyNumberFormat="1" applyFont="1" applyFill="1" applyAlignment="1">
      <alignment horizontal="right"/>
    </xf>
    <xf numFmtId="177" fontId="12" fillId="5" borderId="0" xfId="3" applyNumberFormat="1" applyFont="1" applyFill="1" applyAlignment="1">
      <alignment horizontal="right"/>
    </xf>
    <xf numFmtId="1" fontId="39" fillId="0" borderId="0" xfId="1" applyNumberFormat="1" applyFont="1" applyAlignment="1">
      <alignment horizontal="right"/>
    </xf>
    <xf numFmtId="9" fontId="39" fillId="0" borderId="0" xfId="21" applyFont="1" applyAlignment="1">
      <alignment horizontal="right"/>
    </xf>
    <xf numFmtId="3" fontId="39" fillId="6" borderId="0" xfId="1" applyNumberFormat="1" applyFont="1" applyFill="1" applyAlignment="1">
      <alignment horizontal="right"/>
    </xf>
    <xf numFmtId="1" fontId="39" fillId="6" borderId="0" xfId="1" applyNumberFormat="1" applyFont="1" applyFill="1" applyAlignment="1">
      <alignment horizontal="right"/>
    </xf>
    <xf numFmtId="9" fontId="39" fillId="6" borderId="0" xfId="21" applyFont="1" applyFill="1" applyAlignment="1">
      <alignment horizontal="right"/>
    </xf>
    <xf numFmtId="176" fontId="39" fillId="0" borderId="3" xfId="1" applyNumberFormat="1" applyFont="1" applyBorder="1" applyAlignment="1">
      <alignment horizontal="right"/>
    </xf>
    <xf numFmtId="9" fontId="39" fillId="0" borderId="3" xfId="21" applyFont="1" applyBorder="1" applyAlignment="1">
      <alignment horizontal="right"/>
    </xf>
    <xf numFmtId="0" fontId="39" fillId="6" borderId="0" xfId="1" applyFont="1" applyFill="1"/>
    <xf numFmtId="9" fontId="3" fillId="0" borderId="0" xfId="21" applyFont="1"/>
    <xf numFmtId="9" fontId="17" fillId="0" borderId="0" xfId="1" applyNumberFormat="1" applyFont="1"/>
    <xf numFmtId="177" fontId="3" fillId="0" borderId="0" xfId="21" applyNumberFormat="1" applyFont="1"/>
    <xf numFmtId="0" fontId="50" fillId="0" borderId="0" xfId="1" applyFont="1"/>
    <xf numFmtId="174" fontId="25" fillId="15" borderId="0" xfId="1" applyNumberFormat="1" applyFont="1" applyFill="1" applyAlignment="1">
      <alignment horizontal="right"/>
    </xf>
    <xf numFmtId="174" fontId="25" fillId="15" borderId="6" xfId="1" applyNumberFormat="1" applyFont="1" applyFill="1" applyBorder="1" applyAlignment="1">
      <alignment horizontal="right"/>
    </xf>
    <xf numFmtId="0" fontId="40" fillId="3" borderId="3" xfId="1" applyFont="1" applyFill="1" applyBorder="1" applyAlignment="1">
      <alignment horizontal="right"/>
    </xf>
    <xf numFmtId="0" fontId="40" fillId="3" borderId="0" xfId="1" applyFont="1" applyFill="1" applyAlignment="1">
      <alignment horizontal="center"/>
    </xf>
    <xf numFmtId="49" fontId="51" fillId="0" borderId="0" xfId="0" applyNumberFormat="1" applyFont="1"/>
    <xf numFmtId="49" fontId="51" fillId="0" borderId="0" xfId="0" applyNumberFormat="1" applyFont="1" applyAlignment="1"/>
    <xf numFmtId="49" fontId="52" fillId="0" borderId="0" xfId="0" applyNumberFormat="1" applyFont="1" applyAlignment="1"/>
    <xf numFmtId="49" fontId="53" fillId="0" borderId="0" xfId="0" applyNumberFormat="1" applyFont="1" applyAlignment="1">
      <alignment horizontal="left" vertical="center"/>
    </xf>
    <xf numFmtId="49" fontId="53" fillId="0" borderId="0" xfId="0" applyNumberFormat="1" applyFont="1" applyAlignment="1"/>
    <xf numFmtId="49" fontId="47" fillId="0" borderId="0" xfId="0" applyNumberFormat="1" applyFont="1" applyAlignment="1"/>
    <xf numFmtId="49" fontId="54" fillId="0" borderId="0" xfId="0" applyNumberFormat="1" applyFont="1" applyAlignment="1"/>
    <xf numFmtId="49" fontId="47" fillId="0" borderId="10" xfId="0" applyNumberFormat="1" applyFont="1" applyBorder="1" applyAlignment="1"/>
    <xf numFmtId="49" fontId="47" fillId="0" borderId="10" xfId="0" applyNumberFormat="1" applyFont="1" applyBorder="1" applyAlignment="1"/>
    <xf numFmtId="0" fontId="47" fillId="0" borderId="0" xfId="0" applyFont="1"/>
    <xf numFmtId="2" fontId="51" fillId="0" borderId="0" xfId="0" applyNumberFormat="1" applyFont="1"/>
  </cellXfs>
  <cellStyles count="22">
    <cellStyle name="Comma 2" xfId="9" xr:uid="{663245D9-5A85-420A-AE91-50CFD13BC339}"/>
    <cellStyle name="Comma 4" xfId="13" xr:uid="{888EB5CD-57CD-4E7B-9AE1-1B29DDDB4CAF}"/>
    <cellStyle name="Comma 5" xfId="19" xr:uid="{7ED997EB-19A9-4F09-AD29-D9436245944C}"/>
    <cellStyle name="Currency 2" xfId="16" xr:uid="{81D9C7A0-8C3C-40DD-86A2-EE961A78425B}"/>
    <cellStyle name="Good 2" xfId="15" xr:uid="{999A950C-EAFD-454C-8F9D-1C316B0BD5CD}"/>
    <cellStyle name="Hyperlink 2" xfId="12" xr:uid="{819DD749-4912-4E5B-B46F-3CAFD3DED332}"/>
    <cellStyle name="Normal" xfId="0" builtinId="0"/>
    <cellStyle name="Normal 2" xfId="1" xr:uid="{052ABC8F-04EA-4CBC-B11D-F472C0BA7ACC}"/>
    <cellStyle name="Normal 6" xfId="11" xr:uid="{663680AC-0F2D-4686-882C-FB4264E35338}"/>
    <cellStyle name="Normal 7" xfId="17" xr:uid="{234B2F3B-9D20-462D-9156-18906270C99C}"/>
    <cellStyle name="Normal 8" xfId="20" xr:uid="{0B7EC186-FEB0-478A-957D-BBAC9075A91B}"/>
    <cellStyle name="Normal_ACH Model" xfId="5" xr:uid="{D8BFCE66-97CA-42C3-BB28-199BEB354999}"/>
    <cellStyle name="Normal_Assumptions" xfId="10" xr:uid="{4A5F5C5F-4C5B-40F1-8047-D9F2EBFBBD36}"/>
    <cellStyle name="Normal_FullSet_1" xfId="7" xr:uid="{5B23A9F5-EBEA-4507-A3CF-AF9465B903C3}"/>
    <cellStyle name="Normal_Model_2" xfId="6" xr:uid="{3121E665-9C9B-4FDB-89A2-E49683A7C4FC}"/>
    <cellStyle name="Normal_Segment" xfId="4" xr:uid="{84A4D2B5-A47E-4A7D-91F5-D10A4F34973F}"/>
    <cellStyle name="Normal_srpmod" xfId="8" xr:uid="{25FC99F2-9722-44F4-BD69-5C03C6D7CB27}"/>
    <cellStyle name="Normal_SummNew" xfId="2" xr:uid="{EA28E688-F51E-4E3F-9778-A6E5CCA93B5B}"/>
    <cellStyle name="Percent" xfId="21" builtinId="5"/>
    <cellStyle name="Percent 2" xfId="3" xr:uid="{5D016437-4859-4DFF-A392-9E014D95EED6}"/>
    <cellStyle name="Percent 3" xfId="14" xr:uid="{63D33137-ADC1-4E2B-AB68-441A8FE615CB}"/>
    <cellStyle name="Percent 4" xfId="18" xr:uid="{E5B066DD-683F-4ED1-9FBD-D4C74E306C0F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7221313043164602"/>
          <c:y val="3.114062165837439E-2"/>
          <c:w val="0.82778686956835401"/>
          <c:h val="0.716410231578437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Segment!$BK$19</c:f>
              <c:strCache>
                <c:ptCount val="1"/>
                <c:pt idx="0">
                  <c:v>Precision Medicine</c:v>
                </c:pt>
              </c:strCache>
            </c:strRef>
          </c:tx>
          <c:spPr>
            <a:solidFill>
              <a:srgbClr val="005AA4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Segment!$BL$19:$BY$19</c:f>
              <c:numCache>
                <c:formatCode>#,##0</c:formatCode>
                <c:ptCount val="14"/>
                <c:pt idx="0">
                  <c:v>156.369</c:v>
                </c:pt>
                <c:pt idx="1">
                  <c:v>329.20499999999998</c:v>
                </c:pt>
                <c:pt idx="2">
                  <c:v>508.50799999999998</c:v>
                </c:pt>
                <c:pt idx="3">
                  <c:v>622.87692093839905</c:v>
                </c:pt>
                <c:pt idx="4">
                  <c:v>704.17092833825109</c:v>
                </c:pt>
                <c:pt idx="5">
                  <c:v>810.92445945168561</c:v>
                </c:pt>
                <c:pt idx="6">
                  <c:v>934.48248773589114</c:v>
                </c:pt>
                <c:pt idx="7">
                  <c:v>1094.519633978749</c:v>
                </c:pt>
                <c:pt idx="8">
                  <c:v>1231.8710380746224</c:v>
                </c:pt>
                <c:pt idx="9">
                  <c:v>1371.6844923056919</c:v>
                </c:pt>
                <c:pt idx="10">
                  <c:v>1505.7946544323622</c:v>
                </c:pt>
                <c:pt idx="11">
                  <c:v>1630.5437895129767</c:v>
                </c:pt>
                <c:pt idx="12">
                  <c:v>1745.0839089018018</c:v>
                </c:pt>
                <c:pt idx="13">
                  <c:v>1842.5220255376007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E3-4738-AFDD-0EC2C17C459A}"/>
            </c:ext>
          </c:extLst>
        </c:ser>
        <c:ser>
          <c:idx val="1"/>
          <c:order val="1"/>
          <c:tx>
            <c:strRef>
              <c:f>Segment!$BK$20</c:f>
              <c:strCache>
                <c:ptCount val="1"/>
                <c:pt idx="0">
                  <c:v>Therapeutics</c:v>
                </c:pt>
              </c:strCache>
            </c:strRef>
          </c:tx>
          <c:spPr>
            <a:solidFill>
              <a:srgbClr val="EADFBC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Segment!$BL$20:$BY$20</c:f>
              <c:numCache>
                <c:formatCode>#,##0</c:formatCode>
                <c:ptCount val="14"/>
                <c:pt idx="0">
                  <c:v>3.7269999999999999</c:v>
                </c:pt>
                <c:pt idx="1">
                  <c:v>3.496</c:v>
                </c:pt>
                <c:pt idx="2">
                  <c:v>6.226</c:v>
                </c:pt>
                <c:pt idx="3">
                  <c:v>7.9939999999999998</c:v>
                </c:pt>
                <c:pt idx="4">
                  <c:v>8.4</c:v>
                </c:pt>
                <c:pt idx="5">
                  <c:v>8.82</c:v>
                </c:pt>
                <c:pt idx="6">
                  <c:v>9.2610062276031151</c:v>
                </c:pt>
                <c:pt idx="7">
                  <c:v>177.90494128329487</c:v>
                </c:pt>
                <c:pt idx="8">
                  <c:v>312.6344929031585</c:v>
                </c:pt>
                <c:pt idx="9">
                  <c:v>429.73537348104281</c:v>
                </c:pt>
                <c:pt idx="10">
                  <c:v>557.91002880325914</c:v>
                </c:pt>
                <c:pt idx="11">
                  <c:v>687.24120738602528</c:v>
                </c:pt>
                <c:pt idx="12">
                  <c:v>822.70231390939011</c:v>
                </c:pt>
                <c:pt idx="13">
                  <c:v>954.42093201742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E3-4738-AFDD-0EC2C17C459A}"/>
            </c:ext>
          </c:extLst>
        </c:ser>
        <c:ser>
          <c:idx val="2"/>
          <c:order val="2"/>
          <c:tx>
            <c:strRef>
              <c:f>Segment!$BK$21</c:f>
              <c:strCache>
                <c:ptCount val="1"/>
                <c:pt idx="0">
                  <c:v>TMS</c:v>
                </c:pt>
              </c:strCache>
            </c:strRef>
          </c:tx>
          <c:spPr>
            <a:solidFill>
              <a:srgbClr val="226B5A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Segment!$BL$21:$BY$21</c:f>
              <c:numCache>
                <c:formatCode>#,##0</c:formatCode>
                <c:ptCount val="14"/>
                <c:pt idx="0">
                  <c:v>0</c:v>
                </c:pt>
                <c:pt idx="1">
                  <c:v>0.27700000000000002</c:v>
                </c:pt>
                <c:pt idx="2">
                  <c:v>1.8169999999999999</c:v>
                </c:pt>
                <c:pt idx="3">
                  <c:v>173.53</c:v>
                </c:pt>
                <c:pt idx="4">
                  <c:v>195</c:v>
                </c:pt>
                <c:pt idx="5">
                  <c:v>204.75000000000003</c:v>
                </c:pt>
                <c:pt idx="6">
                  <c:v>214.98750000000004</c:v>
                </c:pt>
                <c:pt idx="7">
                  <c:v>225.73687500000003</c:v>
                </c:pt>
                <c:pt idx="8">
                  <c:v>237.02371875000006</c:v>
                </c:pt>
                <c:pt idx="9">
                  <c:v>248.87490468750008</c:v>
                </c:pt>
                <c:pt idx="10">
                  <c:v>261.31864992187514</c:v>
                </c:pt>
                <c:pt idx="11">
                  <c:v>274.38458241796883</c:v>
                </c:pt>
                <c:pt idx="12">
                  <c:v>288.10381153886732</c:v>
                </c:pt>
                <c:pt idx="13">
                  <c:v>302.50900211581069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E3-4738-AFDD-0EC2C17C4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55072"/>
        <c:axId val="96760960"/>
      </c:barChart>
      <c:catAx>
        <c:axId val="967550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 w="15875" cap="rnd" cmpd="sng" algn="ctr">
            <a:solidFill>
              <a:srgbClr val="808080"/>
            </a:solidFill>
            <a:prstDash val="solid"/>
            <a:round/>
            <a:headEnd type="none" w="med" len="med"/>
            <a:tailEnd type="none" w="med" len="med"/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96760960"/>
        <c:crosses val="autoZero"/>
        <c:auto val="1"/>
        <c:lblAlgn val="ctr"/>
        <c:lblOffset val="100"/>
        <c:noMultiLvlLbl val="0"/>
      </c:catAx>
      <c:valAx>
        <c:axId val="96760960"/>
        <c:scaling>
          <c:orientation val="minMax"/>
        </c:scaling>
        <c:delete val="0"/>
        <c:axPos val="l"/>
        <c:majorGridlines>
          <c:spPr>
            <a:ln w="6350" cap="rnd" cmpd="sng" algn="ctr">
              <a:solidFill>
                <a:srgbClr val="C0C0C0"/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 (US$mn)</a:t>
                </a:r>
              </a:p>
            </c:rich>
          </c:tx>
          <c:layout>
            <c:manualLayout>
              <c:xMode val="edge"/>
              <c:yMode val="edge"/>
              <c:x val="2.9550989865065546E-3"/>
              <c:y val="0.2113156182372487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noFill/>
          </a:ln>
        </c:spPr>
        <c:crossAx val="967550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236855609870543"/>
          <c:y val="0.90933456002517943"/>
          <c:w val="0.73660992470170383"/>
          <c:h val="8.7832045678563744E-2"/>
        </c:manualLayout>
      </c:layout>
      <c:overlay val="0"/>
      <c:spPr>
        <a:solidFill>
          <a:srgbClr val="FFFFFF"/>
        </a:solidFill>
      </c:spPr>
    </c:legend>
    <c:plotVisOnly val="1"/>
    <c:dispBlanksAs val="gap"/>
    <c:showDLblsOverMax val="0"/>
    <c:extLst/>
  </c:chart>
  <c:spPr>
    <a:solidFill>
      <a:srgbClr val="FFFFFF"/>
    </a:solidFill>
    <a:ln>
      <a:noFill/>
    </a:ln>
  </c:spPr>
  <c:txPr>
    <a:bodyPr/>
    <a:lstStyle/>
    <a:p>
      <a:pPr>
        <a:defRPr sz="900">
          <a:latin typeface="Roboto Condensed" panose="02000000000000000000" pitchFamily="2" charset="0"/>
          <a:ea typeface="Roboto Condensed" panose="02000000000000000000" pitchFamily="2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722482232201529"/>
          <c:y val="2.8414458310545419E-2"/>
          <c:w val="0.84277517767798471"/>
          <c:h val="0.795201457543558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5AA4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Segment!$BL$28:$BY$28</c:f>
              <c:numCache>
                <c:formatCode>0%</c:formatCode>
                <c:ptCount val="14"/>
                <c:pt idx="0">
                  <c:v>0.59293174095542678</c:v>
                </c:pt>
                <c:pt idx="1">
                  <c:v>0.6293839232621975</c:v>
                </c:pt>
                <c:pt idx="2">
                  <c:v>0.65078375610539907</c:v>
                </c:pt>
                <c:pt idx="3">
                  <c:v>0.53029926915015713</c:v>
                </c:pt>
                <c:pt idx="4">
                  <c:v>0.52647554518379058</c:v>
                </c:pt>
                <c:pt idx="5">
                  <c:v>0.54231882264349573</c:v>
                </c:pt>
                <c:pt idx="6">
                  <c:v>0.55609974779726101</c:v>
                </c:pt>
                <c:pt idx="7">
                  <c:v>0.58572510460278959</c:v>
                </c:pt>
                <c:pt idx="8">
                  <c:v>0.60577308196720692</c:v>
                </c:pt>
                <c:pt idx="9">
                  <c:v>0.62041786741156035</c:v>
                </c:pt>
                <c:pt idx="10">
                  <c:v>0.63322021425370578</c:v>
                </c:pt>
                <c:pt idx="11">
                  <c:v>0.64417413607954865</c:v>
                </c:pt>
                <c:pt idx="12">
                  <c:v>0.65404252785630601</c:v>
                </c:pt>
                <c:pt idx="13">
                  <c:v>0.66267930625228988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D1-46A5-8262-E8B277CD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332096"/>
        <c:axId val="253618432"/>
      </c:barChart>
      <c:catAx>
        <c:axId val="233332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5875">
            <a:solidFill>
              <a:srgbClr val="808080"/>
            </a:solidFill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253618432"/>
        <c:crosses val="autoZero"/>
        <c:auto val="1"/>
        <c:lblAlgn val="ctr"/>
        <c:lblOffset val="100"/>
        <c:noMultiLvlLbl val="0"/>
      </c:catAx>
      <c:valAx>
        <c:axId val="253618432"/>
        <c:scaling>
          <c:orientation val="minMax"/>
        </c:scaling>
        <c:delete val="0"/>
        <c:axPos val="l"/>
        <c:majorGridlines>
          <c:spPr>
            <a:ln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Gross margin (%)</a:t>
                </a:r>
              </a:p>
            </c:rich>
          </c:tx>
          <c:layout>
            <c:manualLayout>
              <c:xMode val="edge"/>
              <c:yMode val="edge"/>
              <c:x val="2.4387829346536149E-3"/>
              <c:y val="0.22760279421269825"/>
            </c:manualLayout>
          </c:layout>
          <c:overlay val="0"/>
        </c:title>
        <c:numFmt formatCode="0%" sourceLinked="1"/>
        <c:majorTickMark val="out"/>
        <c:minorTickMark val="none"/>
        <c:tickLblPos val="nextTo"/>
        <c:spPr>
          <a:ln>
            <a:noFill/>
          </a:ln>
        </c:spPr>
        <c:crossAx val="2333320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rgbClr val="FFFFFF"/>
    </a:solidFill>
    <a:ln>
      <a:noFill/>
    </a:ln>
  </c:spPr>
  <c:txPr>
    <a:bodyPr/>
    <a:lstStyle/>
    <a:p>
      <a:pPr>
        <a:defRPr sz="900">
          <a:latin typeface="Roboto Condensed" panose="02000000000000000000" pitchFamily="2" charset="0"/>
          <a:ea typeface="Roboto Condensed" panose="02000000000000000000" pitchFamily="2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276175488671207"/>
          <c:y val="3.5085102504184694E-2"/>
          <c:w val="0.83723824511328793"/>
          <c:h val="0.786391885844975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5AA4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Segment!$BL$56:$BY$56</c:f>
              <c:numCache>
                <c:formatCode>0%</c:formatCode>
                <c:ptCount val="14"/>
                <c:pt idx="0">
                  <c:v>-0.42350214871077352</c:v>
                </c:pt>
                <c:pt idx="1">
                  <c:v>0.11820000120128042</c:v>
                </c:pt>
                <c:pt idx="2">
                  <c:v>0.13040919483264979</c:v>
                </c:pt>
                <c:pt idx="3">
                  <c:v>5.4689086422077315E-2</c:v>
                </c:pt>
                <c:pt idx="4">
                  <c:v>6.0662638733973394E-2</c:v>
                </c:pt>
                <c:pt idx="5">
                  <c:v>7.2842824145528284E-2</c:v>
                </c:pt>
                <c:pt idx="6">
                  <c:v>0.10399921932073271</c:v>
                </c:pt>
                <c:pt idx="7">
                  <c:v>0.14388687425920105</c:v>
                </c:pt>
                <c:pt idx="8">
                  <c:v>0.17964558529702238</c:v>
                </c:pt>
                <c:pt idx="9">
                  <c:v>0.20428578743628001</c:v>
                </c:pt>
                <c:pt idx="10">
                  <c:v>0.2275282975448695</c:v>
                </c:pt>
                <c:pt idx="11">
                  <c:v>0.24817497923912185</c:v>
                </c:pt>
                <c:pt idx="12">
                  <c:v>0.26759224575536672</c:v>
                </c:pt>
                <c:pt idx="13">
                  <c:v>0.28559560171484927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2B-4620-B575-6B60AF91B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332096"/>
        <c:axId val="253618432"/>
      </c:barChart>
      <c:catAx>
        <c:axId val="233332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 w="15875">
            <a:solidFill>
              <a:srgbClr val="808080"/>
            </a:solidFill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253618432"/>
        <c:crosses val="autoZero"/>
        <c:auto val="1"/>
        <c:lblAlgn val="ctr"/>
        <c:lblOffset val="100"/>
        <c:noMultiLvlLbl val="0"/>
      </c:catAx>
      <c:valAx>
        <c:axId val="253618432"/>
        <c:scaling>
          <c:orientation val="minMax"/>
        </c:scaling>
        <c:delete val="0"/>
        <c:axPos val="l"/>
        <c:majorGridlines>
          <c:spPr>
            <a:ln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EBITDA margin (%)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spPr>
          <a:ln>
            <a:noFill/>
          </a:ln>
        </c:spPr>
        <c:crossAx val="2333320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rgbClr val="FFFFFF"/>
    </a:solidFill>
    <a:ln>
      <a:noFill/>
    </a:ln>
  </c:spPr>
  <c:txPr>
    <a:bodyPr/>
    <a:lstStyle/>
    <a:p>
      <a:pPr>
        <a:defRPr sz="900">
          <a:latin typeface="Roboto Condensed" panose="02000000000000000000" pitchFamily="2" charset="0"/>
          <a:ea typeface="Roboto Condensed" panose="02000000000000000000" pitchFamily="2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5041795546162112"/>
          <c:y val="2.8414470083391374E-2"/>
          <c:w val="0.84958204453837871"/>
          <c:h val="0.7969156751502655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5AA4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Segment!$BL$63:$BY$63</c:f>
              <c:numCache>
                <c:formatCode>#,##0</c:formatCode>
                <c:ptCount val="14"/>
                <c:pt idx="0">
                  <c:v>-77.830999999999989</c:v>
                </c:pt>
                <c:pt idx="1">
                  <c:v>7.1639999999999997</c:v>
                </c:pt>
                <c:pt idx="2">
                  <c:v>5.3059999999999974</c:v>
                </c:pt>
                <c:pt idx="3">
                  <c:v>-87.666812373958408</c:v>
                </c:pt>
                <c:pt idx="4">
                  <c:v>-59.37451908229778</c:v>
                </c:pt>
                <c:pt idx="5">
                  <c:v>3.8096783537627026</c:v>
                </c:pt>
                <c:pt idx="6">
                  <c:v>33.773388057065034</c:v>
                </c:pt>
                <c:pt idx="7">
                  <c:v>89.335225264387773</c:v>
                </c:pt>
                <c:pt idx="8">
                  <c:v>185.33350009795907</c:v>
                </c:pt>
                <c:pt idx="9">
                  <c:v>256.70256141081427</c:v>
                </c:pt>
                <c:pt idx="10">
                  <c:v>336.99096950510938</c:v>
                </c:pt>
                <c:pt idx="11">
                  <c:v>422.38940279406745</c:v>
                </c:pt>
                <c:pt idx="12">
                  <c:v>514.12120135637383</c:v>
                </c:pt>
                <c:pt idx="13">
                  <c:v>608.49745900449955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B5-4792-9C92-1F53945F3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332096"/>
        <c:axId val="253618432"/>
      </c:barChart>
      <c:catAx>
        <c:axId val="233332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 w="15875">
            <a:solidFill>
              <a:srgbClr val="808080"/>
            </a:solidFill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253618432"/>
        <c:crosses val="autoZero"/>
        <c:auto val="1"/>
        <c:lblAlgn val="ctr"/>
        <c:lblOffset val="100"/>
        <c:noMultiLvlLbl val="0"/>
      </c:catAx>
      <c:valAx>
        <c:axId val="253618432"/>
        <c:scaling>
          <c:orientation val="minMax"/>
        </c:scaling>
        <c:delete val="0"/>
        <c:axPos val="l"/>
        <c:majorGridlines>
          <c:spPr>
            <a:ln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FCF (US$mn)</a:t>
                </a:r>
              </a:p>
            </c:rich>
          </c:tx>
          <c:layout>
            <c:manualLayout>
              <c:xMode val="edge"/>
              <c:yMode val="edge"/>
              <c:x val="2.3652768808376549E-3"/>
              <c:y val="0.28677318433069171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>
            <a:noFill/>
          </a:ln>
        </c:spPr>
        <c:crossAx val="233332096"/>
        <c:crosses val="autoZero"/>
        <c:crossBetween val="between"/>
      </c:valAx>
    </c:plotArea>
    <c:plotVisOnly val="1"/>
    <c:dispBlanksAs val="gap"/>
    <c:showDLblsOverMax val="0"/>
    <c:extLst/>
  </c:chart>
  <c:spPr>
    <a:solidFill>
      <a:srgbClr val="FFFFFF"/>
    </a:solidFill>
    <a:ln>
      <a:noFill/>
    </a:ln>
  </c:spPr>
  <c:txPr>
    <a:bodyPr/>
    <a:lstStyle/>
    <a:p>
      <a:pPr>
        <a:defRPr sz="900">
          <a:latin typeface="Roboto Condensed" panose="02000000000000000000" pitchFamily="2" charset="0"/>
          <a:ea typeface="Roboto Condensed" panose="02000000000000000000" pitchFamily="2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836355953755439"/>
          <c:y val="3.6252203350424644E-2"/>
          <c:w val="0.83163644046244545"/>
          <c:h val="0.726621881858035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Segment!$BK$24</c:f>
              <c:strCache>
                <c:ptCount val="1"/>
                <c:pt idx="0">
                  <c:v>Precision Medicine</c:v>
                </c:pt>
              </c:strCache>
            </c:strRef>
          </c:tx>
          <c:spPr>
            <a:solidFill>
              <a:srgbClr val="005AA4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Segment!$BL$24:$BY$24</c:f>
              <c:numCache>
                <c:formatCode>#,##0</c:formatCode>
                <c:ptCount val="14"/>
                <c:pt idx="0">
                  <c:v>91.198999999999998</c:v>
                </c:pt>
                <c:pt idx="1">
                  <c:v>205.798</c:v>
                </c:pt>
                <c:pt idx="2">
                  <c:v>330.245</c:v>
                </c:pt>
                <c:pt idx="3">
                  <c:v>401.21065907165905</c:v>
                </c:pt>
                <c:pt idx="4">
                  <c:v>450.66939413648072</c:v>
                </c:pt>
                <c:pt idx="5">
                  <c:v>527.10089864359566</c:v>
                </c:pt>
                <c:pt idx="6">
                  <c:v>616.75844190568819</c:v>
                </c:pt>
                <c:pt idx="7">
                  <c:v>722.38295842597427</c:v>
                </c:pt>
                <c:pt idx="8">
                  <c:v>819.19424031962399</c:v>
                </c:pt>
                <c:pt idx="9">
                  <c:v>919.02860984481356</c:v>
                </c:pt>
                <c:pt idx="10">
                  <c:v>1016.4113917418445</c:v>
                </c:pt>
                <c:pt idx="11">
                  <c:v>1108.769776868824</c:v>
                </c:pt>
                <c:pt idx="12">
                  <c:v>1195.3824775977341</c:v>
                </c:pt>
                <c:pt idx="13">
                  <c:v>1271.3401976209445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BA-48FC-AE33-0D9ED574D07D}"/>
            </c:ext>
          </c:extLst>
        </c:ser>
        <c:ser>
          <c:idx val="1"/>
          <c:order val="1"/>
          <c:tx>
            <c:strRef>
              <c:f>Segment!$BK$25</c:f>
              <c:strCache>
                <c:ptCount val="1"/>
                <c:pt idx="0">
                  <c:v>Therapeutics</c:v>
                </c:pt>
              </c:strCache>
            </c:strRef>
          </c:tx>
          <c:spPr>
            <a:solidFill>
              <a:srgbClr val="EADFBC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Segment!$BL$25:$BY$25</c:f>
              <c:numCache>
                <c:formatCode>#,##0</c:formatCode>
                <c:ptCount val="14"/>
                <c:pt idx="0">
                  <c:v>3.7269999999999999</c:v>
                </c:pt>
                <c:pt idx="1">
                  <c:v>3.496</c:v>
                </c:pt>
                <c:pt idx="2">
                  <c:v>6.226</c:v>
                </c:pt>
                <c:pt idx="3">
                  <c:v>7.7779999999999996</c:v>
                </c:pt>
                <c:pt idx="4">
                  <c:v>8.4</c:v>
                </c:pt>
                <c:pt idx="5">
                  <c:v>8.82</c:v>
                </c:pt>
                <c:pt idx="6">
                  <c:v>6.9457546707023363</c:v>
                </c:pt>
                <c:pt idx="7">
                  <c:v>133.42870596247116</c:v>
                </c:pt>
                <c:pt idx="8">
                  <c:v>236.03904214188466</c:v>
                </c:pt>
                <c:pt idx="9">
                  <c:v>326.59888384559258</c:v>
                </c:pt>
                <c:pt idx="10">
                  <c:v>426.80117203449328</c:v>
                </c:pt>
                <c:pt idx="11">
                  <c:v>529.17572968723948</c:v>
                </c:pt>
                <c:pt idx="12">
                  <c:v>637.59429327977739</c:v>
                </c:pt>
                <c:pt idx="13">
                  <c:v>744.44832697358765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BA-48FC-AE33-0D9ED574D07D}"/>
            </c:ext>
          </c:extLst>
        </c:ser>
        <c:ser>
          <c:idx val="2"/>
          <c:order val="2"/>
          <c:tx>
            <c:strRef>
              <c:f>Segment!$BK$26</c:f>
              <c:strCache>
                <c:ptCount val="1"/>
                <c:pt idx="0">
                  <c:v>TMS</c:v>
                </c:pt>
              </c:strCache>
            </c:strRef>
          </c:tx>
          <c:spPr>
            <a:solidFill>
              <a:srgbClr val="226B5A"/>
            </a:solidFill>
          </c:spPr>
          <c:invertIfNegative val="0"/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Segment!$BL$26:$BY$26</c:f>
              <c:numCache>
                <c:formatCode>#,##0</c:formatCode>
                <c:ptCount val="14"/>
                <c:pt idx="0">
                  <c:v>0</c:v>
                </c:pt>
                <c:pt idx="1">
                  <c:v>0.27700000000000002</c:v>
                </c:pt>
                <c:pt idx="2">
                  <c:v>-0.30800000000000005</c:v>
                </c:pt>
                <c:pt idx="3">
                  <c:v>17.58456140568731</c:v>
                </c:pt>
                <c:pt idx="4">
                  <c:v>18.744505153359</c:v>
                </c:pt>
                <c:pt idx="5">
                  <c:v>19.681730411026933</c:v>
                </c:pt>
                <c:pt idx="6">
                  <c:v>20.665816931578291</c:v>
                </c:pt>
                <c:pt idx="7">
                  <c:v>21.699107778157213</c:v>
                </c:pt>
                <c:pt idx="8">
                  <c:v>23.969181760815076</c:v>
                </c:pt>
                <c:pt idx="9">
                  <c:v>26.412015372293325</c:v>
                </c:pt>
                <c:pt idx="10">
                  <c:v>29.039209390517357</c:v>
                </c:pt>
                <c:pt idx="11">
                  <c:v>31.863092772133086</c:v>
                </c:pt>
                <c:pt idx="12">
                  <c:v>34.896766468434066</c:v>
                </c:pt>
                <c:pt idx="13">
                  <c:v>38.154149802434858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BA-48FC-AE33-0D9ED574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55072"/>
        <c:axId val="96760960"/>
      </c:barChart>
      <c:catAx>
        <c:axId val="967550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 w="15875" cap="rnd" cmpd="sng" algn="ctr">
            <a:solidFill>
              <a:srgbClr val="808080"/>
            </a:solidFill>
            <a:prstDash val="solid"/>
            <a:round/>
            <a:headEnd type="none" w="med" len="med"/>
            <a:tailEnd type="none" w="med" len="med"/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96760960"/>
        <c:crosses val="autoZero"/>
        <c:auto val="1"/>
        <c:lblAlgn val="ctr"/>
        <c:lblOffset val="100"/>
        <c:noMultiLvlLbl val="0"/>
      </c:catAx>
      <c:valAx>
        <c:axId val="96760960"/>
        <c:scaling>
          <c:orientation val="minMax"/>
        </c:scaling>
        <c:delete val="0"/>
        <c:axPos val="l"/>
        <c:majorGridlines>
          <c:spPr>
            <a:ln w="6350" cap="rnd" cmpd="sng" algn="ctr">
              <a:solidFill>
                <a:srgbClr val="C0C0C0"/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Gross profit (US$mn)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ln>
            <a:noFill/>
          </a:ln>
        </c:spPr>
        <c:crossAx val="967550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621812699279706"/>
          <c:y val="0.91443391805453689"/>
          <c:w val="0.73931953597826494"/>
          <c:h val="8.556598315337853E-2"/>
        </c:manualLayout>
      </c:layout>
      <c:overlay val="0"/>
      <c:spPr>
        <a:solidFill>
          <a:srgbClr val="FFFFFF"/>
        </a:solidFill>
      </c:spPr>
    </c:legend>
    <c:plotVisOnly val="1"/>
    <c:dispBlanksAs val="gap"/>
    <c:showDLblsOverMax val="0"/>
    <c:extLst/>
  </c:chart>
  <c:spPr>
    <a:solidFill>
      <a:srgbClr val="FFFFFF"/>
    </a:solidFill>
    <a:ln>
      <a:noFill/>
    </a:ln>
  </c:spPr>
  <c:txPr>
    <a:bodyPr/>
    <a:lstStyle/>
    <a:p>
      <a:pPr>
        <a:defRPr sz="900">
          <a:latin typeface="Roboto Condensed" panose="02000000000000000000" pitchFamily="2" charset="0"/>
          <a:ea typeface="Roboto Condensed" panose="02000000000000000000" pitchFamily="2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092753341522334"/>
          <c:y val="4.0347039228359777E-2"/>
          <c:w val="0.83907246658477663"/>
          <c:h val="0.69693896153399959"/>
        </c:manualLayout>
      </c:layout>
      <c:lineChart>
        <c:grouping val="standard"/>
        <c:varyColors val="0"/>
        <c:ser>
          <c:idx val="0"/>
          <c:order val="0"/>
          <c:tx>
            <c:strRef>
              <c:f>Segment!$BK$18</c:f>
              <c:strCache>
                <c:ptCount val="1"/>
                <c:pt idx="0">
                  <c:v>Revenue</c:v>
                </c:pt>
              </c:strCache>
            </c:strRef>
          </c:tx>
          <c:spPr>
            <a:ln>
              <a:solidFill>
                <a:srgbClr val="005AA4"/>
              </a:solidFill>
            </a:ln>
          </c:spPr>
          <c:marker>
            <c:symbol val="none"/>
          </c:marker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Segment!$BL$18:$BY$18</c:f>
              <c:numCache>
                <c:formatCode>#,##0</c:formatCode>
                <c:ptCount val="14"/>
                <c:pt idx="0">
                  <c:v>160.096</c:v>
                </c:pt>
                <c:pt idx="1">
                  <c:v>332.97799999999995</c:v>
                </c:pt>
                <c:pt idx="2">
                  <c:v>516.55100000000004</c:v>
                </c:pt>
                <c:pt idx="3">
                  <c:v>804.40092093839905</c:v>
                </c:pt>
                <c:pt idx="4">
                  <c:v>907.57092833825106</c:v>
                </c:pt>
                <c:pt idx="5">
                  <c:v>1024.4944594516858</c:v>
                </c:pt>
                <c:pt idx="6">
                  <c:v>1158.7309939634943</c:v>
                </c:pt>
                <c:pt idx="7">
                  <c:v>1498.1614502620439</c:v>
                </c:pt>
                <c:pt idx="8">
                  <c:v>1781.529249727781</c:v>
                </c:pt>
                <c:pt idx="9">
                  <c:v>2050.2947704742351</c:v>
                </c:pt>
                <c:pt idx="10">
                  <c:v>2325.0233331574964</c:v>
                </c:pt>
                <c:pt idx="11">
                  <c:v>2592.1695793169711</c:v>
                </c:pt>
                <c:pt idx="12">
                  <c:v>2855.8900343500591</c:v>
                </c:pt>
                <c:pt idx="13">
                  <c:v>3099.4519596708315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A-420E-BF06-B73CDF6F2E78}"/>
            </c:ext>
          </c:extLst>
        </c:ser>
        <c:ser>
          <c:idx val="1"/>
          <c:order val="1"/>
          <c:tx>
            <c:strRef>
              <c:f>Segment!$BK$23</c:f>
              <c:strCache>
                <c:ptCount val="1"/>
                <c:pt idx="0">
                  <c:v>Gross profit</c:v>
                </c:pt>
              </c:strCache>
            </c:strRef>
          </c:tx>
          <c:spPr>
            <a:ln>
              <a:solidFill>
                <a:srgbClr val="EADFBC"/>
              </a:solidFill>
            </a:ln>
          </c:spPr>
          <c:marker>
            <c:symbol val="none"/>
          </c:marker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Segment!$BL$23:$BY$23</c:f>
              <c:numCache>
                <c:formatCode>#,##0</c:formatCode>
                <c:ptCount val="14"/>
                <c:pt idx="0">
                  <c:v>94.926000000000002</c:v>
                </c:pt>
                <c:pt idx="1">
                  <c:v>209.57099999999997</c:v>
                </c:pt>
                <c:pt idx="2">
                  <c:v>336.16300000000001</c:v>
                </c:pt>
                <c:pt idx="3">
                  <c:v>426.57322047734635</c:v>
                </c:pt>
                <c:pt idx="4">
                  <c:v>477.8138992898397</c:v>
                </c:pt>
                <c:pt idx="5">
                  <c:v>555.60262905462275</c:v>
                </c:pt>
                <c:pt idx="6">
                  <c:v>644.37001350796868</c:v>
                </c:pt>
                <c:pt idx="7">
                  <c:v>877.51077216660269</c:v>
                </c:pt>
                <c:pt idx="8">
                  <c:v>1079.2024642223237</c:v>
                </c:pt>
                <c:pt idx="9">
                  <c:v>1272.0395090626996</c:v>
                </c:pt>
                <c:pt idx="10">
                  <c:v>1472.2517731668549</c:v>
                </c:pt>
                <c:pt idx="11">
                  <c:v>1669.808599328197</c:v>
                </c:pt>
                <c:pt idx="12">
                  <c:v>1867.8735373459454</c:v>
                </c:pt>
                <c:pt idx="13">
                  <c:v>2053.942674396967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4A-420E-BF06-B73CDF6F2E78}"/>
            </c:ext>
          </c:extLst>
        </c:ser>
        <c:ser>
          <c:idx val="2"/>
          <c:order val="2"/>
          <c:tx>
            <c:strRef>
              <c:f>Segment!$BK$61</c:f>
              <c:strCache>
                <c:ptCount val="1"/>
                <c:pt idx="0">
                  <c:v>EBIT</c:v>
                </c:pt>
              </c:strCache>
            </c:strRef>
          </c:tx>
          <c:spPr>
            <a:ln>
              <a:solidFill>
                <a:srgbClr val="226B5A"/>
              </a:solidFill>
            </a:ln>
          </c:spPr>
          <c:marker>
            <c:symbol val="none"/>
          </c:marker>
          <c:cat>
            <c:strRef>
              <c:f>Segment!$BL$17:$BY$17</c:f>
              <c:strCach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2025E</c:v>
                </c:pt>
                <c:pt idx="4">
                  <c:v>2026E</c:v>
                </c:pt>
                <c:pt idx="5">
                  <c:v>2027E</c:v>
                </c:pt>
                <c:pt idx="6">
                  <c:v>2028E</c:v>
                </c:pt>
                <c:pt idx="7">
                  <c:v>2029E</c:v>
                </c:pt>
                <c:pt idx="8">
                  <c:v>2030E</c:v>
                </c:pt>
                <c:pt idx="9">
                  <c:v>2031E</c:v>
                </c:pt>
                <c:pt idx="10">
                  <c:v>2032E</c:v>
                </c:pt>
                <c:pt idx="11">
                  <c:v>2033E</c:v>
                </c:pt>
                <c:pt idx="12">
                  <c:v>2034E</c:v>
                </c:pt>
                <c:pt idx="13">
                  <c:v>2035E</c:v>
                </c:pt>
              </c:strCache>
            </c:strRef>
          </c:cat>
          <c:val>
            <c:numRef>
              <c:f>Segment!$BL$61:$BY$61</c:f>
              <c:numCache>
                <c:formatCode>#,##0</c:formatCode>
                <c:ptCount val="14"/>
                <c:pt idx="0">
                  <c:v>-73.180000000000007</c:v>
                </c:pt>
                <c:pt idx="1">
                  <c:v>34.872999999999948</c:v>
                </c:pt>
                <c:pt idx="2">
                  <c:v>62.068000000000083</c:v>
                </c:pt>
                <c:pt idx="3">
                  <c:v>24.055903459738712</c:v>
                </c:pt>
                <c:pt idx="4">
                  <c:v>32.366374142783911</c:v>
                </c:pt>
                <c:pt idx="5">
                  <c:v>49.014708261615063</c:v>
                </c:pt>
                <c:pt idx="6">
                  <c:v>91.538843925852689</c:v>
                </c:pt>
                <c:pt idx="7">
                  <c:v>178.11173195728588</c:v>
                </c:pt>
                <c:pt idx="8">
                  <c:v>275.5056335479178</c:v>
                </c:pt>
                <c:pt idx="9">
                  <c:v>367.58871240096028</c:v>
                </c:pt>
                <c:pt idx="10">
                  <c:v>470.8830174164857</c:v>
                </c:pt>
                <c:pt idx="11">
                  <c:v>578.50739204834827</c:v>
                </c:pt>
                <c:pt idx="12">
                  <c:v>692.81677706335222</c:v>
                </c:pt>
                <c:pt idx="13">
                  <c:v>807.70354841668905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20E-BF06-B73CDF6F2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03328"/>
        <c:axId val="97204864"/>
      </c:lineChart>
      <c:catAx>
        <c:axId val="97203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ln w="15875" cap="rnd" cmpd="sng" algn="ctr">
            <a:solidFill>
              <a:srgbClr val="808080"/>
            </a:solidFill>
            <a:prstDash val="solid"/>
            <a:round/>
            <a:headEnd type="none" w="med" len="med"/>
            <a:tailEnd type="none" w="med" len="med"/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97204864"/>
        <c:crosses val="autoZero"/>
        <c:auto val="1"/>
        <c:lblAlgn val="ctr"/>
        <c:lblOffset val="100"/>
        <c:noMultiLvlLbl val="0"/>
      </c:catAx>
      <c:valAx>
        <c:axId val="97204864"/>
        <c:scaling>
          <c:orientation val="minMax"/>
        </c:scaling>
        <c:delete val="0"/>
        <c:axPos val="l"/>
        <c:majorGridlines>
          <c:spPr>
            <a:ln w="6350" cap="rnd" cmpd="sng" algn="ctr">
              <a:solidFill>
                <a:srgbClr val="C0C0C0"/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US$mn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ln>
            <a:noFill/>
          </a:ln>
        </c:spPr>
        <c:crossAx val="972033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layout>
        <c:manualLayout>
          <c:xMode val="edge"/>
          <c:yMode val="edge"/>
          <c:x val="0.13270584734143429"/>
          <c:y val="0.91216791793036012"/>
          <c:w val="0.74230125097364585"/>
          <c:h val="8.7832082069639869E-2"/>
        </c:manualLayout>
      </c:layout>
      <c:overlay val="0"/>
      <c:spPr>
        <a:solidFill>
          <a:srgbClr val="FFFFFF"/>
        </a:solidFill>
      </c:spPr>
    </c:legend>
    <c:plotVisOnly val="1"/>
    <c:dispBlanksAs val="gap"/>
    <c:showDLblsOverMax val="0"/>
    <c:extLst/>
  </c:chart>
  <c:spPr>
    <a:solidFill>
      <a:srgbClr val="FFFFFF"/>
    </a:solidFill>
    <a:ln>
      <a:noFill/>
    </a:ln>
  </c:spPr>
  <c:txPr>
    <a:bodyPr/>
    <a:lstStyle/>
    <a:p>
      <a:pPr>
        <a:defRPr sz="900">
          <a:latin typeface="Roboto Condensed" panose="02000000000000000000" pitchFamily="2" charset="0"/>
          <a:ea typeface="Roboto Condensed" panose="02000000000000000000" pitchFamily="2" charset="0"/>
          <a:cs typeface="Roboto Condensed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917226248545155"/>
          <c:y val="4.9782006415864687E-2"/>
          <c:w val="0.88082773751454846"/>
          <c:h val="0.70863808690580332"/>
        </c:manualLayout>
      </c:layout>
      <c:lineChart>
        <c:grouping val="standard"/>
        <c:varyColors val="0"/>
        <c:ser>
          <c:idx val="0"/>
          <c:order val="0"/>
          <c:tx>
            <c:strRef>
              <c:f>Segment!$CI$27</c:f>
              <c:strCache>
                <c:ptCount val="1"/>
                <c:pt idx="0">
                  <c:v>Low</c:v>
                </c:pt>
              </c:strCache>
            </c:strRef>
          </c:tx>
          <c:spPr>
            <a:ln>
              <a:solidFill>
                <a:srgbClr val="005AA4"/>
              </a:solidFill>
            </a:ln>
          </c:spPr>
          <c:marker>
            <c:symbol val="none"/>
          </c:marker>
          <c:cat>
            <c:strRef>
              <c:f>Segment!$CJ$18:$CQ$18</c:f>
              <c:strCache>
                <c:ptCount val="8"/>
                <c:pt idx="0">
                  <c:v>1Q24</c:v>
                </c:pt>
                <c:pt idx="1">
                  <c:v>2Q24</c:v>
                </c:pt>
                <c:pt idx="2">
                  <c:v>3Q24</c:v>
                </c:pt>
                <c:pt idx="3">
                  <c:v>4Q24</c:v>
                </c:pt>
                <c:pt idx="4">
                  <c:v>1Q25</c:v>
                </c:pt>
                <c:pt idx="5">
                  <c:v>2Q25</c:v>
                </c:pt>
                <c:pt idx="6">
                  <c:v>3Q25</c:v>
                </c:pt>
                <c:pt idx="7">
                  <c:v>4Q25E</c:v>
                </c:pt>
              </c:strCache>
            </c:strRef>
          </c:cat>
          <c:val>
            <c:numRef>
              <c:f>Segment!$CJ$27:$CQ$27</c:f>
              <c:numCache>
                <c:formatCode>General</c:formatCode>
                <c:ptCount val="8"/>
                <c:pt idx="0">
                  <c:v>113</c:v>
                </c:pt>
                <c:pt idx="1">
                  <c:v>123</c:v>
                </c:pt>
                <c:pt idx="2">
                  <c:v>132</c:v>
                </c:pt>
                <c:pt idx="3">
                  <c:v>139</c:v>
                </c:pt>
                <c:pt idx="4">
                  <c:v>151</c:v>
                </c:pt>
                <c:pt idx="5">
                  <c:v>154</c:v>
                </c:pt>
                <c:pt idx="6">
                  <c:v>155</c:v>
                </c:pt>
                <c:pt idx="7">
                  <c:v>157.14100000000008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09-4B10-A57F-F2924C27B435}"/>
            </c:ext>
          </c:extLst>
        </c:ser>
        <c:ser>
          <c:idx val="1"/>
          <c:order val="1"/>
          <c:tx>
            <c:strRef>
              <c:f>Segment!$CI$28</c:f>
              <c:strCache>
                <c:ptCount val="1"/>
                <c:pt idx="0">
                  <c:v>Mid</c:v>
                </c:pt>
              </c:strCache>
            </c:strRef>
          </c:tx>
          <c:spPr>
            <a:ln>
              <a:solidFill>
                <a:srgbClr val="D0B86A"/>
              </a:solidFill>
            </a:ln>
          </c:spPr>
          <c:marker>
            <c:symbol val="none"/>
          </c:marker>
          <c:cat>
            <c:strRef>
              <c:f>Segment!$CJ$18:$CQ$18</c:f>
              <c:strCache>
                <c:ptCount val="8"/>
                <c:pt idx="0">
                  <c:v>1Q24</c:v>
                </c:pt>
                <c:pt idx="1">
                  <c:v>2Q24</c:v>
                </c:pt>
                <c:pt idx="2">
                  <c:v>3Q24</c:v>
                </c:pt>
                <c:pt idx="3">
                  <c:v>4Q24</c:v>
                </c:pt>
                <c:pt idx="4">
                  <c:v>1Q25</c:v>
                </c:pt>
                <c:pt idx="5">
                  <c:v>2Q25</c:v>
                </c:pt>
                <c:pt idx="6">
                  <c:v>3Q25</c:v>
                </c:pt>
                <c:pt idx="7">
                  <c:v>4Q25E</c:v>
                </c:pt>
              </c:strCache>
            </c:strRef>
          </c:cat>
          <c:val>
            <c:numRef>
              <c:f>Segment!$CJ$28:$CQ$28</c:f>
              <c:numCache>
                <c:formatCode>General</c:formatCode>
                <c:ptCount val="8"/>
                <c:pt idx="6">
                  <c:v>155</c:v>
                </c:pt>
                <c:pt idx="7">
                  <c:v>167.14100000000008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09-4B10-A57F-F2924C27B435}"/>
            </c:ext>
          </c:extLst>
        </c:ser>
        <c:ser>
          <c:idx val="2"/>
          <c:order val="2"/>
          <c:tx>
            <c:strRef>
              <c:f>Segment!$CI$29</c:f>
              <c:strCache>
                <c:ptCount val="1"/>
                <c:pt idx="0">
                  <c:v>High</c:v>
                </c:pt>
              </c:strCache>
            </c:strRef>
          </c:tx>
          <c:spPr>
            <a:ln>
              <a:solidFill>
                <a:srgbClr val="226B5A"/>
              </a:solidFill>
            </a:ln>
          </c:spPr>
          <c:marker>
            <c:symbol val="none"/>
          </c:marker>
          <c:cat>
            <c:strRef>
              <c:f>Segment!$CJ$18:$CQ$18</c:f>
              <c:strCache>
                <c:ptCount val="8"/>
                <c:pt idx="0">
                  <c:v>1Q24</c:v>
                </c:pt>
                <c:pt idx="1">
                  <c:v>2Q24</c:v>
                </c:pt>
                <c:pt idx="2">
                  <c:v>3Q24</c:v>
                </c:pt>
                <c:pt idx="3">
                  <c:v>4Q24</c:v>
                </c:pt>
                <c:pt idx="4">
                  <c:v>1Q25</c:v>
                </c:pt>
                <c:pt idx="5">
                  <c:v>2Q25</c:v>
                </c:pt>
                <c:pt idx="6">
                  <c:v>3Q25</c:v>
                </c:pt>
                <c:pt idx="7">
                  <c:v>4Q25E</c:v>
                </c:pt>
              </c:strCache>
            </c:strRef>
          </c:cat>
          <c:val>
            <c:numRef>
              <c:f>Segment!$CJ$29:$CQ$29</c:f>
              <c:numCache>
                <c:formatCode>General</c:formatCode>
                <c:ptCount val="8"/>
                <c:pt idx="6">
                  <c:v>155</c:v>
                </c:pt>
                <c:pt idx="7">
                  <c:v>177.14100000000008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09-4B10-A57F-F2924C27B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03328"/>
        <c:axId val="97204864"/>
      </c:lineChart>
      <c:catAx>
        <c:axId val="97203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5875" cap="rnd" cmpd="sng" algn="ctr">
            <a:solidFill>
              <a:srgbClr val="808080"/>
            </a:solidFill>
            <a:prstDash val="solid"/>
            <a:round/>
            <a:headEnd type="none" w="med" len="med"/>
            <a:tailEnd type="none" w="med" len="med"/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97204864"/>
        <c:crosses val="autoZero"/>
        <c:auto val="1"/>
        <c:lblAlgn val="ctr"/>
        <c:lblOffset val="100"/>
        <c:noMultiLvlLbl val="0"/>
      </c:catAx>
      <c:valAx>
        <c:axId val="97204864"/>
        <c:scaling>
          <c:orientation val="minMax"/>
          <c:min val="100"/>
        </c:scaling>
        <c:delete val="0"/>
        <c:axPos val="l"/>
        <c:majorGridlines>
          <c:spPr>
            <a:ln w="6350" cap="rnd" cmpd="sng" algn="ctr">
              <a:solidFill>
                <a:srgbClr val="C0C0C0"/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PSMA imaging revenue (US$mn)</a:t>
                </a:r>
              </a:p>
            </c:rich>
          </c:tx>
          <c:layout>
            <c:manualLayout>
              <c:xMode val="edge"/>
              <c:yMode val="edge"/>
              <c:x val="2.7293481126855488E-3"/>
              <c:y val="7.8860687117784517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972033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layout>
        <c:manualLayout>
          <c:xMode val="edge"/>
          <c:yMode val="edge"/>
          <c:x val="0.29904165928181797"/>
          <c:y val="0.91216791793036012"/>
          <c:w val="0.40775536691721137"/>
          <c:h val="8.7832082069639869E-2"/>
        </c:manualLayout>
      </c:layout>
      <c:overlay val="0"/>
      <c:spPr>
        <a:solidFill>
          <a:srgbClr val="FFFFFF"/>
        </a:solidFill>
      </c:spPr>
    </c:legend>
    <c:plotVisOnly val="1"/>
    <c:dispBlanksAs val="gap"/>
    <c:showDLblsOverMax val="0"/>
    <c:extLst/>
  </c:chart>
  <c:spPr>
    <a:solidFill>
      <a:srgbClr val="FFFFFF"/>
    </a:solidFill>
    <a:ln>
      <a:noFill/>
    </a:ln>
  </c:spPr>
  <c:txPr>
    <a:bodyPr/>
    <a:lstStyle/>
    <a:p>
      <a:pPr>
        <a:defRPr sz="900">
          <a:latin typeface="Roboto Condensed" panose="02000000000000000000" pitchFamily="2" charset="0"/>
          <a:ea typeface="Roboto Condensed" panose="02000000000000000000" pitchFamily="2" charset="0"/>
          <a:cs typeface="Roboto Condensed" panose="02000000000000000000" pitchFamily="2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41386406456458"/>
          <c:y val="4.0522747156605428E-2"/>
          <c:w val="0.88958613593543534"/>
          <c:h val="0.7688232720909886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Segment!$CI$19</c:f>
              <c:strCache>
                <c:ptCount val="1"/>
                <c:pt idx="0">
                  <c:v>PSMA</c:v>
                </c:pt>
              </c:strCache>
            </c:strRef>
          </c:tx>
          <c:spPr>
            <a:solidFill>
              <a:srgbClr val="005AA4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Segment!$CN$18:$CQ$18</c:f>
              <c:strCache>
                <c:ptCount val="4"/>
                <c:pt idx="0">
                  <c:v>1Q25</c:v>
                </c:pt>
                <c:pt idx="1">
                  <c:v>2Q25</c:v>
                </c:pt>
                <c:pt idx="2">
                  <c:v>3Q25</c:v>
                </c:pt>
                <c:pt idx="3">
                  <c:v>4Q25E</c:v>
                </c:pt>
              </c:strCache>
            </c:strRef>
          </c:cat>
          <c:val>
            <c:numRef>
              <c:f>Segment!$CN$19:$CQ$19</c:f>
              <c:numCache>
                <c:formatCode>General</c:formatCode>
                <c:ptCount val="4"/>
                <c:pt idx="0">
                  <c:v>151</c:v>
                </c:pt>
                <c:pt idx="1">
                  <c:v>154</c:v>
                </c:pt>
                <c:pt idx="2">
                  <c:v>155</c:v>
                </c:pt>
                <c:pt idx="3" formatCode="#,##0">
                  <c:v>161.54192093839913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45-4B38-AAC4-33A7C1A45B0B}"/>
            </c:ext>
          </c:extLst>
        </c:ser>
        <c:ser>
          <c:idx val="1"/>
          <c:order val="1"/>
          <c:tx>
            <c:strRef>
              <c:f>Segment!$CI$20</c:f>
              <c:strCache>
                <c:ptCount val="1"/>
                <c:pt idx="0">
                  <c:v>RLS</c:v>
                </c:pt>
              </c:strCache>
            </c:strRef>
          </c:tx>
          <c:spPr>
            <a:solidFill>
              <a:srgbClr val="EADFBC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Segment!$CN$18:$CQ$18</c:f>
              <c:strCache>
                <c:ptCount val="4"/>
                <c:pt idx="0">
                  <c:v>1Q25</c:v>
                </c:pt>
                <c:pt idx="1">
                  <c:v>2Q25</c:v>
                </c:pt>
                <c:pt idx="2">
                  <c:v>3Q25</c:v>
                </c:pt>
                <c:pt idx="3">
                  <c:v>4Q25E</c:v>
                </c:pt>
              </c:strCache>
            </c:strRef>
          </c:cat>
          <c:val>
            <c:numRef>
              <c:f>Segment!$CN$20:$CQ$20</c:f>
              <c:numCache>
                <c:formatCode>General</c:formatCode>
                <c:ptCount val="4"/>
                <c:pt idx="0">
                  <c:v>33</c:v>
                </c:pt>
                <c:pt idx="1">
                  <c:v>46</c:v>
                </c:pt>
                <c:pt idx="2">
                  <c:v>47</c:v>
                </c:pt>
                <c:pt idx="3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45-4B38-AAC4-33A7C1A45B0B}"/>
            </c:ext>
          </c:extLst>
        </c:ser>
        <c:ser>
          <c:idx val="2"/>
          <c:order val="2"/>
          <c:tx>
            <c:strRef>
              <c:f>Segment!$CI$21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rgbClr val="226B5A"/>
            </a:solidFill>
          </c:spPr>
          <c:invertIfNegative val="0"/>
          <c:cat>
            <c:strRef>
              <c:f>Segment!$CN$18:$CQ$18</c:f>
              <c:strCache>
                <c:ptCount val="4"/>
                <c:pt idx="0">
                  <c:v>1Q25</c:v>
                </c:pt>
                <c:pt idx="1">
                  <c:v>2Q25</c:v>
                </c:pt>
                <c:pt idx="2">
                  <c:v>3Q25</c:v>
                </c:pt>
                <c:pt idx="3">
                  <c:v>4Q25E</c:v>
                </c:pt>
              </c:strCache>
            </c:strRef>
          </c:cat>
          <c:val>
            <c:numRef>
              <c:f>Segment!$CN$21:$CQ$21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45-4B38-AAC4-33A7C1A45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55072"/>
        <c:axId val="96760960"/>
      </c:barChart>
      <c:catAx>
        <c:axId val="967550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5875" cap="rnd" cmpd="sng" algn="ctr">
            <a:solidFill>
              <a:srgbClr val="808080"/>
            </a:solidFill>
            <a:prstDash val="solid"/>
            <a:round/>
            <a:headEnd type="none" w="med" len="med"/>
            <a:tailEnd type="none" w="med" len="med"/>
          </a:ln>
        </c:spPr>
        <c:crossAx val="96760960"/>
        <c:crosses val="autoZero"/>
        <c:auto val="1"/>
        <c:lblAlgn val="ctr"/>
        <c:lblOffset val="100"/>
        <c:noMultiLvlLbl val="0"/>
      </c:catAx>
      <c:valAx>
        <c:axId val="96760960"/>
        <c:scaling>
          <c:orientation val="minMax"/>
        </c:scaling>
        <c:delete val="0"/>
        <c:axPos val="l"/>
        <c:majorGridlines>
          <c:spPr>
            <a:ln w="6350" cap="rnd" cmpd="sng" algn="ctr">
              <a:solidFill>
                <a:srgbClr val="C0C0C0"/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Revenue (US$mn)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noFill/>
          </a:ln>
        </c:spPr>
        <c:crossAx val="96755072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layout>
        <c:manualLayout>
          <c:xMode val="edge"/>
          <c:yMode val="edge"/>
          <c:x val="0.37964391951006127"/>
          <c:y val="0.92272236803732866"/>
          <c:w val="0.29386196807263426"/>
          <c:h val="7.7277811500682164E-2"/>
        </c:manualLayout>
      </c:layout>
      <c:overlay val="0"/>
      <c:spPr>
        <a:solidFill>
          <a:srgbClr val="FFFFFF"/>
        </a:solidFill>
      </c:spPr>
    </c:legend>
    <c:plotVisOnly val="1"/>
    <c:dispBlanksAs val="gap"/>
    <c:showDLblsOverMax val="0"/>
    <c:extLst/>
  </c:chart>
  <c:spPr>
    <a:solidFill>
      <a:srgbClr val="FFFFFF"/>
    </a:solidFill>
    <a:ln>
      <a:noFill/>
    </a:ln>
  </c:spPr>
  <c:txPr>
    <a:bodyPr/>
    <a:lstStyle/>
    <a:p>
      <a:pPr>
        <a:defRPr sz="900">
          <a:latin typeface="Roboto Condensed" panose="02000000000000000000" pitchFamily="2" charset="0"/>
          <a:ea typeface="Roboto Condensed" panose="02000000000000000000" pitchFamily="2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2</xdr:col>
      <xdr:colOff>406618</xdr:colOff>
      <xdr:row>1</xdr:row>
      <xdr:rowOff>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91A32F-0EF0-6D6F-C700-98A4F3629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0"/>
          <a:ext cx="1562318" cy="295316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183</xdr:row>
      <xdr:rowOff>0</xdr:rowOff>
    </xdr:from>
    <xdr:to>
      <xdr:col>10</xdr:col>
      <xdr:colOff>527050</xdr:colOff>
      <xdr:row>202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8B13B9-C730-1B15-4D57-2C31A2CD23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0" y="35042475"/>
          <a:ext cx="6496050" cy="3714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000000"/>
                  </a:solidFill>
                  <a:latin typeface="Helv"/>
                </a:rPr>
                <a:t>Cashflw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000000"/>
                  </a:solidFill>
                  <a:latin typeface="Helv"/>
                </a:rPr>
                <a:t>Bal Sht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000000"/>
                  </a:solidFill>
                  <a:latin typeface="Helv"/>
                </a:rPr>
                <a:t>Cashflw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000000"/>
                  </a:solidFill>
                  <a:latin typeface="Helv"/>
                </a:rPr>
                <a:t>Bal Sht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000000"/>
                  </a:solidFill>
                  <a:latin typeface="Helv"/>
                </a:rPr>
                <a:t>Cashflw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000000"/>
                  </a:solidFill>
                  <a:latin typeface="Helv"/>
                </a:rPr>
                <a:t>Bal Sht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000000"/>
                  </a:solidFill>
                  <a:latin typeface="Helv"/>
                </a:rPr>
                <a:t>Cashflw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1" i="0" u="none" strike="noStrike" baseline="0">
                  <a:solidFill>
                    <a:srgbClr val="000000"/>
                  </a:solidFill>
                  <a:latin typeface="Helv"/>
                </a:rPr>
                <a:t>Bal Sht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206827</xdr:colOff>
      <xdr:row>66</xdr:row>
      <xdr:rowOff>87085</xdr:rowOff>
    </xdr:from>
    <xdr:to>
      <xdr:col>66</xdr:col>
      <xdr:colOff>194127</xdr:colOff>
      <xdr:row>81</xdr:row>
      <xdr:rowOff>147410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D82274-287C-4628-A94C-8A4DD7C50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62</xdr:col>
      <xdr:colOff>139273</xdr:colOff>
      <xdr:row>98</xdr:row>
      <xdr:rowOff>137192</xdr:rowOff>
    </xdr:from>
    <xdr:to>
      <xdr:col>66</xdr:col>
      <xdr:colOff>126573</xdr:colOff>
      <xdr:row>114</xdr:row>
      <xdr:rowOff>40635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EE973E-181F-41F7-BF07-6926EBE06F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67</xdr:col>
      <xdr:colOff>102455</xdr:colOff>
      <xdr:row>98</xdr:row>
      <xdr:rowOff>75559</xdr:rowOff>
    </xdr:from>
    <xdr:to>
      <xdr:col>72</xdr:col>
      <xdr:colOff>351972</xdr:colOff>
      <xdr:row>113</xdr:row>
      <xdr:rowOff>135884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50F3D1-3E05-474A-BA3C-E29AAEC633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66</xdr:col>
      <xdr:colOff>590279</xdr:colOff>
      <xdr:row>82</xdr:row>
      <xdr:rowOff>108562</xdr:rowOff>
    </xdr:from>
    <xdr:to>
      <xdr:col>72</xdr:col>
      <xdr:colOff>236145</xdr:colOff>
      <xdr:row>98</xdr:row>
      <xdr:rowOff>12003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79589FF-05EA-46C8-9BB9-4D6A89D6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66</xdr:col>
      <xdr:colOff>593691</xdr:colOff>
      <xdr:row>66</xdr:row>
      <xdr:rowOff>55694</xdr:rowOff>
    </xdr:from>
    <xdr:to>
      <xdr:col>72</xdr:col>
      <xdr:colOff>243952</xdr:colOff>
      <xdr:row>81</xdr:row>
      <xdr:rowOff>115286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B64EED-6541-458F-830A-4BC0A7B4F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62</xdr:col>
      <xdr:colOff>179293</xdr:colOff>
      <xdr:row>82</xdr:row>
      <xdr:rowOff>124385</xdr:rowOff>
    </xdr:from>
    <xdr:to>
      <xdr:col>66</xdr:col>
      <xdr:colOff>166592</xdr:colOff>
      <xdr:row>98</xdr:row>
      <xdr:rowOff>27826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5EADB4A-9E0E-477A-ACF6-504BB5775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87</xdr:col>
      <xdr:colOff>80844</xdr:colOff>
      <xdr:row>40</xdr:row>
      <xdr:rowOff>57550</xdr:rowOff>
    </xdr:from>
    <xdr:to>
      <xdr:col>94</xdr:col>
      <xdr:colOff>195144</xdr:colOff>
      <xdr:row>55</xdr:row>
      <xdr:rowOff>117875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AF854-4434-4C4B-E866-C83EF30A32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86</xdr:col>
      <xdr:colOff>173691</xdr:colOff>
      <xdr:row>58</xdr:row>
      <xdr:rowOff>107576</xdr:rowOff>
    </xdr:from>
    <xdr:to>
      <xdr:col>93</xdr:col>
      <xdr:colOff>287991</xdr:colOff>
      <xdr:row>74</xdr:row>
      <xdr:rowOff>5976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A5AA5FE-B16E-9166-950D-426DE8AC1D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alvekar\Prajakta\Prod%20Models\TLX_1.AX%20USD%20v3.xlsm" TargetMode="External"/><Relationship Id="rId1" Type="http://schemas.openxmlformats.org/officeDocument/2006/relationships/externalLinkPath" Target="/Users/salvekar/Prajakta/Prod%20Models/TLX_1.AX%20USD%20v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USERS/HealthCare/1_Current_Models/Templates/AN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users/HealthCare/CSL/CSL_Research_Notes_2015/CSL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_FDSCACHE__"/>
      <sheetName val="Fin Sum"/>
      <sheetName val="Summary"/>
      <sheetName val="Model"/>
      <sheetName val="DCF Valuation"/>
      <sheetName val="DCF Tables"/>
      <sheetName val="MW-Cache"/>
      <sheetName val="Lookups"/>
      <sheetName val="Macros"/>
      <sheetName val="Segment"/>
      <sheetName val="Prostate Dx"/>
      <sheetName val="Prostate Dx Market "/>
      <sheetName val="Prostate Tx"/>
      <sheetName val="Kidney Dx"/>
      <sheetName val="Brain Dx"/>
      <sheetName val="Brain Tx"/>
      <sheetName val="Product Charts"/>
      <sheetName val="Group Charts"/>
      <sheetName val="Pipeline"/>
      <sheetName val="Prostate Flow"/>
      <sheetName val="MW GEG"/>
      <sheetName val="Assumptions"/>
      <sheetName val="Preso points"/>
      <sheetName val="mwareDates"/>
      <sheetName val="mwareSettings"/>
      <sheetName val="_Log"/>
    </sheetNames>
    <sheetDataSet>
      <sheetData sheetId="0"/>
      <sheetData sheetId="1"/>
      <sheetData sheetId="2"/>
      <sheetData sheetId="3">
        <row r="186">
          <cell r="N186">
            <v>4.8209999999999997</v>
          </cell>
        </row>
        <row r="203">
          <cell r="N203">
            <v>10.891999999999999</v>
          </cell>
        </row>
      </sheetData>
      <sheetData sheetId="4">
        <row r="4">
          <cell r="R4" t="str">
            <v>2025E</v>
          </cell>
        </row>
      </sheetData>
      <sheetData sheetId="5"/>
      <sheetData sheetId="6"/>
      <sheetData sheetId="7"/>
      <sheetData sheetId="8" refreshError="1"/>
      <sheetData sheetId="9">
        <row r="17">
          <cell r="BL17" t="str">
            <v>2022</v>
          </cell>
        </row>
      </sheetData>
      <sheetData sheetId="10">
        <row r="4">
          <cell r="F4">
            <v>2022</v>
          </cell>
        </row>
      </sheetData>
      <sheetData sheetId="11">
        <row r="4">
          <cell r="W4" t="str">
            <v>1Q22</v>
          </cell>
        </row>
      </sheetData>
      <sheetData sheetId="12">
        <row r="4">
          <cell r="H4" t="str">
            <v>2029E</v>
          </cell>
        </row>
      </sheetData>
      <sheetData sheetId="13">
        <row r="2">
          <cell r="AA2" t="str">
            <v>2025E</v>
          </cell>
        </row>
      </sheetData>
      <sheetData sheetId="14"/>
      <sheetData sheetId="15"/>
      <sheetData sheetId="16"/>
      <sheetData sheetId="17"/>
      <sheetData sheetId="18"/>
      <sheetData sheetId="19"/>
      <sheetData sheetId="20">
        <row r="10">
          <cell r="D10">
            <v>1</v>
          </cell>
        </row>
        <row r="14">
          <cell r="J14">
            <v>0.02</v>
          </cell>
        </row>
        <row r="15">
          <cell r="J15">
            <v>0</v>
          </cell>
        </row>
        <row r="16">
          <cell r="J16">
            <v>0</v>
          </cell>
        </row>
        <row r="17">
          <cell r="J17">
            <v>0</v>
          </cell>
        </row>
        <row r="18">
          <cell r="J18">
            <v>0</v>
          </cell>
        </row>
        <row r="20">
          <cell r="J20">
            <v>0</v>
          </cell>
        </row>
        <row r="21">
          <cell r="J21">
            <v>0</v>
          </cell>
        </row>
        <row r="23">
          <cell r="H23">
            <v>0</v>
          </cell>
        </row>
        <row r="24">
          <cell r="H24">
            <v>0</v>
          </cell>
        </row>
        <row r="25">
          <cell r="J25">
            <v>0</v>
          </cell>
        </row>
        <row r="26">
          <cell r="J26">
            <v>0</v>
          </cell>
        </row>
        <row r="28">
          <cell r="H28">
            <v>0</v>
          </cell>
        </row>
        <row r="29">
          <cell r="H29">
            <v>0</v>
          </cell>
        </row>
        <row r="30">
          <cell r="H30">
            <v>0</v>
          </cell>
        </row>
        <row r="31">
          <cell r="H31">
            <v>0.01</v>
          </cell>
        </row>
        <row r="32">
          <cell r="J32">
            <v>0</v>
          </cell>
        </row>
        <row r="33">
          <cell r="J33">
            <v>0</v>
          </cell>
        </row>
        <row r="34">
          <cell r="J34">
            <v>0</v>
          </cell>
        </row>
        <row r="35">
          <cell r="J35">
            <v>0.01</v>
          </cell>
        </row>
        <row r="36">
          <cell r="J36">
            <v>0</v>
          </cell>
        </row>
        <row r="39">
          <cell r="J39">
            <v>0.97</v>
          </cell>
        </row>
        <row r="40">
          <cell r="J40">
            <v>0</v>
          </cell>
        </row>
        <row r="42">
          <cell r="J42">
            <v>0</v>
          </cell>
        </row>
        <row r="43">
          <cell r="J43">
            <v>0</v>
          </cell>
        </row>
        <row r="44">
          <cell r="J44">
            <v>0</v>
          </cell>
        </row>
        <row r="45">
          <cell r="J45">
            <v>0</v>
          </cell>
        </row>
        <row r="46">
          <cell r="J46">
            <v>0</v>
          </cell>
        </row>
        <row r="48">
          <cell r="D48">
            <v>0</v>
          </cell>
        </row>
        <row r="49">
          <cell r="D49">
            <v>0</v>
          </cell>
        </row>
        <row r="50">
          <cell r="D50">
            <v>0</v>
          </cell>
        </row>
        <row r="51">
          <cell r="D51">
            <v>0</v>
          </cell>
        </row>
        <row r="54">
          <cell r="F54">
            <v>0.01</v>
          </cell>
        </row>
        <row r="55">
          <cell r="F55">
            <v>0.99</v>
          </cell>
        </row>
        <row r="58">
          <cell r="F58">
            <v>0.2</v>
          </cell>
        </row>
        <row r="59">
          <cell r="F59">
            <v>0.8</v>
          </cell>
        </row>
        <row r="60">
          <cell r="F60">
            <v>0</v>
          </cell>
        </row>
        <row r="63">
          <cell r="F63">
            <v>0</v>
          </cell>
        </row>
        <row r="64">
          <cell r="F64">
            <v>0</v>
          </cell>
        </row>
        <row r="65">
          <cell r="F65">
            <v>0</v>
          </cell>
        </row>
        <row r="66">
          <cell r="F66">
            <v>0</v>
          </cell>
        </row>
        <row r="67">
          <cell r="F67">
            <v>0</v>
          </cell>
        </row>
        <row r="70">
          <cell r="F70" t="str">
            <v>NA</v>
          </cell>
        </row>
        <row r="71">
          <cell r="F71" t="str">
            <v>NA</v>
          </cell>
        </row>
        <row r="72">
          <cell r="F72" t="str">
            <v>NA</v>
          </cell>
        </row>
        <row r="73">
          <cell r="F73" t="str">
            <v>76-100%</v>
          </cell>
        </row>
        <row r="74">
          <cell r="F74" t="str">
            <v>NA</v>
          </cell>
        </row>
        <row r="76">
          <cell r="F76" t="str">
            <v>NA</v>
          </cell>
        </row>
        <row r="77">
          <cell r="F77" t="str">
            <v>76-100%</v>
          </cell>
        </row>
      </sheetData>
      <sheetData sheetId="21"/>
      <sheetData sheetId="22"/>
      <sheetData sheetId="23"/>
      <sheetData sheetId="24"/>
      <sheetData sheetId="2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W-Cache"/>
      <sheetName val="Control"/>
      <sheetName val="Note tables"/>
      <sheetName val="Model US$"/>
      <sheetName val="Assumptions"/>
      <sheetName val="Segment US$"/>
      <sheetName val="Financial Summary"/>
      <sheetName val="mwareDates"/>
      <sheetName val="Bear_to_Bull_Data"/>
      <sheetName val="MWA RR"/>
      <sheetName val="mwareSettings"/>
      <sheetName val="__APW_ACTIVE_FIELD_RESTORE__"/>
      <sheetName val="Macros"/>
      <sheetName val="Valuation Metrics"/>
      <sheetName val="Latex"/>
      <sheetName val="Charts &amp; Tables"/>
      <sheetName val="Competitor Financials"/>
      <sheetName val="Sheet1"/>
      <sheetName val="Cover"/>
      <sheetName val="#REF"/>
      <sheetName val="ANN"/>
      <sheetName val="MWA ROE"/>
      <sheetName val="Model US"/>
      <sheetName val="MW GEG"/>
    </sheetNames>
    <sheetDataSet>
      <sheetData sheetId="0"/>
      <sheetData sheetId="1">
        <row r="5">
          <cell r="C5">
            <v>16.14</v>
          </cell>
        </row>
      </sheetData>
      <sheetData sheetId="2"/>
      <sheetData sheetId="3" refreshError="1"/>
      <sheetData sheetId="4"/>
      <sheetData sheetId="5">
        <row r="2">
          <cell r="G2" t="str">
            <v>2003</v>
          </cell>
        </row>
      </sheetData>
      <sheetData sheetId="6">
        <row r="10">
          <cell r="C10" t="str">
            <v>Valuation data</v>
          </cell>
          <cell r="E10" t="str">
            <v>2005</v>
          </cell>
          <cell r="F10" t="str">
            <v>2006</v>
          </cell>
          <cell r="G10" t="str">
            <v>2007</v>
          </cell>
          <cell r="H10" t="str">
            <v>2008</v>
          </cell>
          <cell r="I10" t="str">
            <v>2009</v>
          </cell>
          <cell r="J10" t="str">
            <v>2010</v>
          </cell>
          <cell r="K10" t="str">
            <v>2011</v>
          </cell>
          <cell r="L10" t="str">
            <v>2012</v>
          </cell>
          <cell r="M10" t="str">
            <v>2013</v>
          </cell>
          <cell r="N10" t="str">
            <v>2014</v>
          </cell>
          <cell r="O10" t="str">
            <v>2015</v>
          </cell>
          <cell r="P10" t="str">
            <v>2016</v>
          </cell>
          <cell r="Q10" t="str">
            <v>2017</v>
          </cell>
          <cell r="R10" t="str">
            <v>2018</v>
          </cell>
          <cell r="S10" t="str">
            <v>2019E</v>
          </cell>
          <cell r="T10" t="str">
            <v>2020E</v>
          </cell>
          <cell r="U10" t="str">
            <v>2021E</v>
          </cell>
          <cell r="V10" t="str">
            <v>2h20E</v>
          </cell>
          <cell r="W10" t="str">
            <v>Interims (US$mn)</v>
          </cell>
          <cell r="X10" t="str">
            <v>Interims (US$mn)</v>
          </cell>
          <cell r="Y10" t="str">
            <v>2h08</v>
          </cell>
          <cell r="Z10" t="str">
            <v>1h08</v>
          </cell>
          <cell r="AA10" t="str">
            <v>1h08</v>
          </cell>
          <cell r="AB10" t="str">
            <v>2h08</v>
          </cell>
          <cell r="AC10" t="str">
            <v>1h09</v>
          </cell>
          <cell r="AD10" t="str">
            <v>1h10</v>
          </cell>
          <cell r="AE10" t="str">
            <v>2h11</v>
          </cell>
          <cell r="AF10" t="str">
            <v>2h11</v>
          </cell>
          <cell r="AG10" t="str">
            <v>1h12</v>
          </cell>
          <cell r="AH10" t="str">
            <v>2h12</v>
          </cell>
          <cell r="AI10" t="str">
            <v>2h13</v>
          </cell>
          <cell r="AJ10" t="str">
            <v>1h15</v>
          </cell>
          <cell r="AK10" t="str">
            <v>1h17</v>
          </cell>
        </row>
        <row r="11">
          <cell r="C11" t="str">
            <v>US$ EPS (dilluted) (c)</v>
          </cell>
          <cell r="E11">
            <v>18.804865857204316</v>
          </cell>
          <cell r="F11">
            <v>72.649738259763183</v>
          </cell>
          <cell r="G11">
            <v>66.68964124807664</v>
          </cell>
          <cell r="H11">
            <v>72.507206324421517</v>
          </cell>
          <cell r="I11">
            <v>87.83908731536556</v>
          </cell>
          <cell r="J11">
            <v>88.981268030422086</v>
          </cell>
          <cell r="K11">
            <v>91.485481218123255</v>
          </cell>
          <cell r="L11">
            <v>101.17985909768899</v>
          </cell>
          <cell r="M11">
            <v>105.9821443279267</v>
          </cell>
          <cell r="N11">
            <v>109.2549442896936</v>
          </cell>
          <cell r="O11">
            <v>121.40689768716604</v>
          </cell>
          <cell r="P11">
            <v>104.26511395941058</v>
          </cell>
          <cell r="Q11">
            <v>100.55148956561291</v>
          </cell>
          <cell r="R11">
            <v>100.70314547121006</v>
          </cell>
          <cell r="S11">
            <v>104.73670001820645</v>
          </cell>
          <cell r="T11">
            <v>119.3328257996429</v>
          </cell>
          <cell r="U11">
            <v>132.6669881969145</v>
          </cell>
          <cell r="V11">
            <v>797.50247598163241</v>
          </cell>
          <cell r="W11" t="str">
            <v>Sales revenue</v>
          </cell>
          <cell r="X11" t="str">
            <v>Sales revenue</v>
          </cell>
          <cell r="Y11">
            <v>630.95397668213525</v>
          </cell>
          <cell r="Z11">
            <v>613.70000000303969</v>
          </cell>
          <cell r="AA11">
            <v>613.70000000303969</v>
          </cell>
          <cell r="AB11">
            <v>630.95397668213525</v>
          </cell>
          <cell r="AC11">
            <v>689.82694911136423</v>
          </cell>
          <cell r="AD11">
            <v>533.29195490739028</v>
          </cell>
          <cell r="AE11">
            <v>610.70000000000005</v>
          </cell>
          <cell r="AF11">
            <v>610.70000000000005</v>
          </cell>
          <cell r="AG11">
            <v>611.54935515261752</v>
          </cell>
          <cell r="AH11">
            <v>643.74077220693391</v>
          </cell>
          <cell r="AI11">
            <v>724.6449974120635</v>
          </cell>
          <cell r="AJ11">
            <v>847.28052005306176</v>
          </cell>
          <cell r="AK11">
            <v>775.74643116025936</v>
          </cell>
        </row>
        <row r="12">
          <cell r="C12" t="str">
            <v>P/E ratio (x)</v>
          </cell>
          <cell r="E12">
            <v>53.390436689308174</v>
          </cell>
          <cell r="F12">
            <v>13.310440246080965</v>
          </cell>
          <cell r="G12">
            <v>18.293695649999997</v>
          </cell>
          <cell r="H12">
            <v>27.445547841080423</v>
          </cell>
          <cell r="I12">
            <v>22.655062351176003</v>
          </cell>
          <cell r="J12" t="str">
            <v>NA</v>
          </cell>
          <cell r="K12">
            <v>16.587628762783101</v>
          </cell>
          <cell r="L12">
            <v>13.358789112254801</v>
          </cell>
          <cell r="M12">
            <v>15.2292304542735</v>
          </cell>
          <cell r="N12">
            <v>17.1156464082929</v>
          </cell>
          <cell r="O12">
            <v>15.2865581270137</v>
          </cell>
          <cell r="P12">
            <v>12.982913918021801</v>
          </cell>
          <cell r="Q12">
            <v>18.1388442345356</v>
          </cell>
          <cell r="R12">
            <v>19.9713357226263</v>
          </cell>
          <cell r="S12">
            <v>17.183488688179001</v>
          </cell>
          <cell r="T12">
            <v>15.0817001771309</v>
          </cell>
          <cell r="U12">
            <v>13.5658608404432</v>
          </cell>
          <cell r="V12">
            <v>149.8882737597784</v>
          </cell>
          <cell r="W12" t="str">
            <v>EBITDA</v>
          </cell>
          <cell r="X12" t="str">
            <v>EBITDA</v>
          </cell>
          <cell r="Y12">
            <v>81.22307999249378</v>
          </cell>
          <cell r="Z12">
            <v>76.275919669672533</v>
          </cell>
          <cell r="AA12">
            <v>76.275919669672533</v>
          </cell>
          <cell r="AB12">
            <v>81.22307999249378</v>
          </cell>
          <cell r="AC12">
            <v>95.248088139987033</v>
          </cell>
          <cell r="AD12">
            <v>82.3</v>
          </cell>
          <cell r="AE12">
            <v>77.027816326315872</v>
          </cell>
          <cell r="AF12">
            <v>77.027816326315872</v>
          </cell>
          <cell r="AG12">
            <v>84.2</v>
          </cell>
          <cell r="AH12">
            <v>91.602268041237082</v>
          </cell>
          <cell r="AI12">
            <v>116.66252353300192</v>
          </cell>
          <cell r="AJ12">
            <v>137.81612220147267</v>
          </cell>
          <cell r="AK12">
            <v>128.60736723203667</v>
          </cell>
        </row>
        <row r="13">
          <cell r="C13" t="str">
            <v>EPS growth (%)</v>
          </cell>
          <cell r="F13">
            <v>2.8633478596142394</v>
          </cell>
          <cell r="G13">
            <v>-8.2038795382522678E-2</v>
          </cell>
          <cell r="H13">
            <v>8.7233413877641164E-2</v>
          </cell>
          <cell r="I13">
            <v>0.21145320262849565</v>
          </cell>
          <cell r="J13">
            <v>1.3003103173827357E-2</v>
          </cell>
          <cell r="K13">
            <v>2.8143150161054065E-2</v>
          </cell>
          <cell r="L13">
            <v>0.10596629924754963</v>
          </cell>
          <cell r="M13">
            <v>4.7462857460605079E-2</v>
          </cell>
          <cell r="N13">
            <v>3.0880673178684592E-2</v>
          </cell>
          <cell r="O13">
            <v>0.11122566101220177</v>
          </cell>
          <cell r="P13">
            <v>-0.14119283215625333</v>
          </cell>
          <cell r="Q13">
            <v>-3.5617132641732385E-2</v>
          </cell>
          <cell r="R13">
            <v>1.5082412627829278E-3</v>
          </cell>
          <cell r="S13">
            <v>4.005390822821453E-2</v>
          </cell>
          <cell r="T13">
            <v>0.13936018395556871</v>
          </cell>
          <cell r="U13">
            <v>0.11173926627413788</v>
          </cell>
          <cell r="V13">
            <v>127.26317984458532</v>
          </cell>
          <cell r="W13" t="str">
            <v>EBIT</v>
          </cell>
          <cell r="X13" t="str">
            <v>EBIT</v>
          </cell>
          <cell r="Y13">
            <v>67.900000000000006</v>
          </cell>
          <cell r="Z13">
            <v>55.6</v>
          </cell>
          <cell r="AA13">
            <v>55.6</v>
          </cell>
          <cell r="AB13">
            <v>67.900000000000006</v>
          </cell>
          <cell r="AC13">
            <v>79.8</v>
          </cell>
          <cell r="AD13">
            <v>69.3</v>
          </cell>
          <cell r="AE13">
            <v>67.600000000000009</v>
          </cell>
          <cell r="AF13">
            <v>67.600000000000009</v>
          </cell>
          <cell r="AG13">
            <v>74.7</v>
          </cell>
          <cell r="AH13">
            <v>78.499999999999986</v>
          </cell>
          <cell r="AI13">
            <v>101.7</v>
          </cell>
          <cell r="AJ13">
            <v>118.23765</v>
          </cell>
          <cell r="AK13">
            <v>107.059585</v>
          </cell>
        </row>
        <row r="14">
          <cell r="C14" t="str">
            <v>EV / EBIT (x)</v>
          </cell>
          <cell r="E14">
            <v>85.519847409909929</v>
          </cell>
          <cell r="F14">
            <v>22.1</v>
          </cell>
          <cell r="G14" t="e">
            <v>#VALUE!</v>
          </cell>
          <cell r="H14" t="e">
            <v>#VALUE!</v>
          </cell>
          <cell r="I14" t="e">
            <v>#VALUE!</v>
          </cell>
          <cell r="J14" t="e">
            <v>#VALUE!</v>
          </cell>
          <cell r="K14">
            <v>14.760057597505527</v>
          </cell>
          <cell r="L14">
            <v>11.983396006047633</v>
          </cell>
          <cell r="M14">
            <v>13.966258562995781</v>
          </cell>
          <cell r="N14">
            <v>16.14693949699587</v>
          </cell>
          <cell r="O14">
            <v>13.625280002719789</v>
          </cell>
          <cell r="P14">
            <v>10.346974484992925</v>
          </cell>
          <cell r="Q14">
            <v>14.169473343486702</v>
          </cell>
          <cell r="R14">
            <v>14.962068000843955</v>
          </cell>
          <cell r="S14">
            <v>12.625057524012343</v>
          </cell>
          <cell r="T14">
            <v>10.973379918757313</v>
          </cell>
          <cell r="U14">
            <v>9.5349480649920029</v>
          </cell>
          <cell r="V14">
            <v>93.004253000584683</v>
          </cell>
          <cell r="W14" t="str">
            <v>Reported profit</v>
          </cell>
          <cell r="X14" t="str">
            <v>Reported profit</v>
          </cell>
          <cell r="Y14">
            <v>45.70000000000001</v>
          </cell>
          <cell r="Z14">
            <v>56.9</v>
          </cell>
          <cell r="AA14">
            <v>56.9</v>
          </cell>
          <cell r="AB14">
            <v>45.70000000000001</v>
          </cell>
          <cell r="AC14">
            <v>72.2</v>
          </cell>
          <cell r="AD14">
            <v>61</v>
          </cell>
          <cell r="AE14">
            <v>60.59</v>
          </cell>
          <cell r="AF14">
            <v>60.59</v>
          </cell>
          <cell r="AG14">
            <v>66.600000000000009</v>
          </cell>
          <cell r="AH14">
            <v>66.399999999999991</v>
          </cell>
          <cell r="AI14">
            <v>82.100000000000023</v>
          </cell>
          <cell r="AJ14">
            <v>87.702500000000001</v>
          </cell>
          <cell r="AK14">
            <v>70.378440000000012</v>
          </cell>
        </row>
        <row r="15">
          <cell r="C15" t="str">
            <v>EV / EBITDA (x)</v>
          </cell>
          <cell r="E15">
            <v>42.331295322370899</v>
          </cell>
          <cell r="F15">
            <v>24.047215679960729</v>
          </cell>
          <cell r="G15" t="str">
            <v>NA</v>
          </cell>
          <cell r="H15" t="str">
            <v>NA</v>
          </cell>
          <cell r="I15" t="str">
            <v>NA</v>
          </cell>
          <cell r="J15" t="str">
            <v>NA</v>
          </cell>
          <cell r="K15">
            <v>12.84459870199</v>
          </cell>
          <cell r="L15">
            <v>10.4427336949707</v>
          </cell>
          <cell r="M15">
            <v>12.0022534525745</v>
          </cell>
          <cell r="N15">
            <v>13.9395651661579</v>
          </cell>
          <cell r="O15">
            <v>11.7282661429211</v>
          </cell>
          <cell r="P15">
            <v>8.8016200234381206</v>
          </cell>
          <cell r="Q15">
            <v>11.8162032417549</v>
          </cell>
          <cell r="R15">
            <v>12.447976436721101</v>
          </cell>
          <cell r="S15">
            <v>10.5220755614124</v>
          </cell>
          <cell r="T15">
            <v>9.0902442139294308</v>
          </cell>
          <cell r="U15">
            <v>7.8778515707329397</v>
          </cell>
          <cell r="V15">
            <v>93.004253000584683</v>
          </cell>
          <cell r="W15" t="str">
            <v>Underlying net profit</v>
          </cell>
          <cell r="X15" t="str">
            <v>Underlying net profit</v>
          </cell>
          <cell r="Y15">
            <v>56.560178848520295</v>
          </cell>
          <cell r="Z15">
            <v>45.036054804746044</v>
          </cell>
          <cell r="AA15">
            <v>45.036054804746044</v>
          </cell>
          <cell r="AB15">
            <v>56.560178848520295</v>
          </cell>
          <cell r="AC15">
            <v>61.895398574206098</v>
          </cell>
          <cell r="AD15">
            <v>61</v>
          </cell>
          <cell r="AE15">
            <v>60.59</v>
          </cell>
          <cell r="AF15">
            <v>60.59</v>
          </cell>
          <cell r="AG15">
            <v>66.600000000000009</v>
          </cell>
          <cell r="AH15">
            <v>66.399999999999991</v>
          </cell>
          <cell r="AI15">
            <v>82.100000000000023</v>
          </cell>
          <cell r="AJ15">
            <v>87.702500000000001</v>
          </cell>
          <cell r="AK15">
            <v>69.878440000000012</v>
          </cell>
        </row>
        <row r="16">
          <cell r="C16" t="str">
            <v>CFPS (c)</v>
          </cell>
          <cell r="E16">
            <v>90.357971791849693</v>
          </cell>
          <cell r="F16">
            <v>82.411460196475545</v>
          </cell>
          <cell r="G16">
            <v>98.767358688401501</v>
          </cell>
          <cell r="H16">
            <v>114.83841157620364</v>
          </cell>
          <cell r="I16">
            <v>95.074596978904736</v>
          </cell>
          <cell r="J16">
            <v>142.19117202851371</v>
          </cell>
          <cell r="K16">
            <v>96.308426646268401</v>
          </cell>
          <cell r="L16">
            <v>74.857880715884178</v>
          </cell>
          <cell r="M16">
            <v>99.282123709494527</v>
          </cell>
          <cell r="N16">
            <v>153.83008356545963</v>
          </cell>
          <cell r="O16">
            <v>129.2190681564129</v>
          </cell>
          <cell r="P16">
            <v>152.22340241979796</v>
          </cell>
          <cell r="Q16">
            <v>144.9189534720004</v>
          </cell>
          <cell r="R16">
            <v>105.43969423570461</v>
          </cell>
          <cell r="S16">
            <v>132.89890838000269</v>
          </cell>
          <cell r="T16">
            <v>148.37435659342009</v>
          </cell>
          <cell r="U16">
            <v>165.61861604570078</v>
          </cell>
          <cell r="V16">
            <v>0.15957715954165436</v>
          </cell>
          <cell r="W16" t="str">
            <v>EBIT / sales</v>
          </cell>
          <cell r="X16" t="str">
            <v>EBIT / sales</v>
          </cell>
          <cell r="Y16">
            <v>0.10761482217300766</v>
          </cell>
          <cell r="Z16">
            <v>9.0598012057560059E-2</v>
          </cell>
          <cell r="AA16">
            <v>9.0598012057560059E-2</v>
          </cell>
          <cell r="AB16">
            <v>0.10761482217300766</v>
          </cell>
          <cell r="AC16">
            <v>0.11568118656831027</v>
          </cell>
          <cell r="AD16">
            <v>0.12994758192449088</v>
          </cell>
          <cell r="AE16">
            <v>0.11069264778123465</v>
          </cell>
          <cell r="AF16">
            <v>0.11069264778123465</v>
          </cell>
          <cell r="AG16">
            <v>0.12214876750439539</v>
          </cell>
          <cell r="AH16">
            <v>0.12194349556402766</v>
          </cell>
          <cell r="AI16">
            <v>0.14034458302093145</v>
          </cell>
          <cell r="AJ16">
            <v>0.13954959095789815</v>
          </cell>
          <cell r="AK16">
            <v>0.1380084789302535</v>
          </cell>
        </row>
        <row r="17">
          <cell r="C17" t="str">
            <v>Price / CF (x)</v>
          </cell>
          <cell r="E17">
            <v>27.66773036649214</v>
          </cell>
          <cell r="F17">
            <v>30.335586750189826</v>
          </cell>
          <cell r="G17">
            <v>25.312006245779877</v>
          </cell>
          <cell r="H17">
            <v>21.769719431734458</v>
          </cell>
          <cell r="I17">
            <v>26.295141703884404</v>
          </cell>
          <cell r="J17">
            <v>17.581963523717725</v>
          </cell>
          <cell r="K17">
            <v>25.958268523919095</v>
          </cell>
          <cell r="L17">
            <v>33.396617378048781</v>
          </cell>
          <cell r="M17">
            <v>20.043890336420077</v>
          </cell>
          <cell r="N17">
            <v>12.936351290176546</v>
          </cell>
          <cell r="O17">
            <v>15.400203920300751</v>
          </cell>
          <cell r="P17">
            <v>13.072891344998496</v>
          </cell>
          <cell r="Q17">
            <v>13.731813212303422</v>
          </cell>
          <cell r="R17">
            <v>18.873347598594748</v>
          </cell>
          <cell r="S17">
            <v>14.973787401698743</v>
          </cell>
          <cell r="T17">
            <v>13.412021091037033</v>
          </cell>
          <cell r="U17">
            <v>12.015557474836521</v>
          </cell>
          <cell r="V17">
            <v>69.146810426609903</v>
          </cell>
          <cell r="W17" t="str">
            <v>EPS (reported diluted) (c)</v>
          </cell>
          <cell r="X17" t="str">
            <v>EPS (reported diluted) (c)</v>
          </cell>
          <cell r="Y17">
            <v>32.561293394937522</v>
          </cell>
          <cell r="Z17">
            <v>39.627292016627948</v>
          </cell>
          <cell r="AA17">
            <v>39.627292016627948</v>
          </cell>
          <cell r="AB17">
            <v>32.561293394937522</v>
          </cell>
          <cell r="AC17">
            <v>52.322555481149315</v>
          </cell>
          <cell r="AD17">
            <v>44.872020496988767</v>
          </cell>
          <cell r="AE17">
            <v>45.462529312883063</v>
          </cell>
          <cell r="AF17">
            <v>45.462529312883063</v>
          </cell>
          <cell r="AG17">
            <v>50.495785592164886</v>
          </cell>
          <cell r="AH17">
            <v>50.782738671797354</v>
          </cell>
          <cell r="AI17">
            <v>62.505717740592694</v>
          </cell>
          <cell r="AJ17">
            <v>56.806192105202022</v>
          </cell>
          <cell r="AK17">
            <v>47.151936144760072</v>
          </cell>
        </row>
        <row r="18">
          <cell r="C18" t="str">
            <v>DPS (c)</v>
          </cell>
          <cell r="E18">
            <v>17</v>
          </cell>
          <cell r="F18">
            <v>21</v>
          </cell>
          <cell r="G18">
            <v>24</v>
          </cell>
          <cell r="H18">
            <v>26.5</v>
          </cell>
          <cell r="I18">
            <v>27.958755505198582</v>
          </cell>
          <cell r="J18">
            <v>30.5</v>
          </cell>
          <cell r="K18">
            <v>32.5</v>
          </cell>
          <cell r="L18">
            <v>35.901214605610292</v>
          </cell>
          <cell r="M18">
            <v>38.080684596577029</v>
          </cell>
          <cell r="N18">
            <v>39.484276748329428</v>
          </cell>
          <cell r="O18">
            <v>43.421357193487125</v>
          </cell>
          <cell r="P18">
            <v>43.580200135946292</v>
          </cell>
          <cell r="Q18">
            <v>43.184414776765472</v>
          </cell>
          <cell r="R18">
            <v>45.5</v>
          </cell>
          <cell r="S18">
            <v>48.051938456963441</v>
          </cell>
          <cell r="T18">
            <v>54.748465439747527</v>
          </cell>
          <cell r="U18">
            <v>60.866018797619901</v>
          </cell>
          <cell r="V18">
            <v>29.448098390797462</v>
          </cell>
          <cell r="W18" t="str">
            <v>DPS (c)</v>
          </cell>
          <cell r="X18" t="str">
            <v>DPS (c)</v>
          </cell>
          <cell r="Y18">
            <v>15.5</v>
          </cell>
          <cell r="Z18">
            <v>11</v>
          </cell>
          <cell r="AA18">
            <v>11</v>
          </cell>
          <cell r="AB18">
            <v>15.5</v>
          </cell>
          <cell r="AC18">
            <v>12</v>
          </cell>
          <cell r="AD18">
            <v>13</v>
          </cell>
          <cell r="AE18">
            <v>18.5</v>
          </cell>
          <cell r="AF18">
            <v>18.5</v>
          </cell>
          <cell r="AG18">
            <v>15.40121460561029</v>
          </cell>
          <cell r="AH18">
            <v>20.5</v>
          </cell>
          <cell r="AI18">
            <v>22.080684596577026</v>
          </cell>
          <cell r="AJ18">
            <v>19.827641223456205</v>
          </cell>
          <cell r="AK18">
            <v>20.249999999999996</v>
          </cell>
        </row>
        <row r="19">
          <cell r="C19" t="str">
            <v>Yield (%)</v>
          </cell>
          <cell r="E19">
            <v>1.6932270916334664E-2</v>
          </cell>
          <cell r="F19">
            <v>2.1716649431230608E-2</v>
          </cell>
          <cell r="G19">
            <v>1.9672131147540985E-2</v>
          </cell>
          <cell r="H19">
            <v>1.3316582914572866E-2</v>
          </cell>
          <cell r="I19">
            <v>1.4049625882009337E-2</v>
          </cell>
          <cell r="J19">
            <v>1.5326633165829147E-2</v>
          </cell>
          <cell r="K19">
            <v>2.1416420086511199E-2</v>
          </cell>
          <cell r="L19">
            <v>2.65612174681382E-2</v>
          </cell>
          <cell r="M19">
            <v>2.35935931636727E-2</v>
          </cell>
          <cell r="N19">
            <v>2.11149365886284E-2</v>
          </cell>
          <cell r="O19">
            <v>2.3396469080029299E-2</v>
          </cell>
          <cell r="P19">
            <v>3.21942283815378E-2</v>
          </cell>
          <cell r="Q19">
            <v>2.3677122362574101E-2</v>
          </cell>
          <cell r="R19">
            <v>2.2623575764987101E-2</v>
          </cell>
          <cell r="S19">
            <v>2.66993497550751E-2</v>
          </cell>
          <cell r="T19">
            <v>3.0420176048436401E-2</v>
          </cell>
          <cell r="U19">
            <v>3.3819304200018899E-2</v>
          </cell>
          <cell r="V19">
            <v>0.51582843658763722</v>
          </cell>
          <cell r="W19" t="str">
            <v>% of FY sales</v>
          </cell>
          <cell r="X19" t="str">
            <v>% of FY sales</v>
          </cell>
          <cell r="Y19">
            <v>0.50693123430378906</v>
          </cell>
          <cell r="Z19">
            <v>0.49306876569621094</v>
          </cell>
          <cell r="AA19">
            <v>0.49306876569621094</v>
          </cell>
          <cell r="AB19">
            <v>0.50693123430378906</v>
          </cell>
          <cell r="AC19">
            <v>0.5101944319624615</v>
          </cell>
          <cell r="AD19">
            <v>0.49096011354489272</v>
          </cell>
          <cell r="AE19">
            <v>0.49723172121804271</v>
          </cell>
          <cell r="AF19">
            <v>0.49723172121804271</v>
          </cell>
          <cell r="AG19">
            <v>0.48717769846480447</v>
          </cell>
          <cell r="AH19">
            <v>0.51282230153519559</v>
          </cell>
          <cell r="AI19">
            <v>0.5278610716194474</v>
          </cell>
          <cell r="AJ19">
            <v>0.51503085715041841</v>
          </cell>
          <cell r="AK19">
            <v>0.48494704675168254</v>
          </cell>
        </row>
        <row r="20">
          <cell r="C20" t="str">
            <v>NTA per share</v>
          </cell>
          <cell r="E20">
            <v>2.1484801061283632</v>
          </cell>
          <cell r="F20">
            <v>2.2171196074387196</v>
          </cell>
          <cell r="G20">
            <v>1.8180445789845894</v>
          </cell>
          <cell r="H20">
            <v>1.5762091170310435</v>
          </cell>
          <cell r="I20">
            <v>1.9526192345360467</v>
          </cell>
          <cell r="J20">
            <v>2.1983826197917886</v>
          </cell>
          <cell r="K20">
            <v>2.6025662894571528</v>
          </cell>
          <cell r="L20">
            <v>2.4311860168629131</v>
          </cell>
          <cell r="M20">
            <v>1.651191976505993</v>
          </cell>
          <cell r="N20">
            <v>0.36830505294735411</v>
          </cell>
          <cell r="O20">
            <v>0.23168082412311969</v>
          </cell>
          <cell r="P20">
            <v>0.29365262525984737</v>
          </cell>
          <cell r="Q20">
            <v>1.0803755481975423</v>
          </cell>
          <cell r="R20">
            <v>3.5060236041272965</v>
          </cell>
          <cell r="S20">
            <v>3.0846431607658449</v>
          </cell>
          <cell r="T20">
            <v>3.8250999818925511</v>
          </cell>
          <cell r="U20">
            <v>4.6276503418066568</v>
          </cell>
          <cell r="V20">
            <v>0.58586617525959128</v>
          </cell>
          <cell r="W20" t="str">
            <v>% of FY EBIT</v>
          </cell>
          <cell r="X20" t="str">
            <v>% of FY EBIT</v>
          </cell>
          <cell r="Y20">
            <v>0.54979757085020242</v>
          </cell>
          <cell r="Z20">
            <v>0.45020242914979758</v>
          </cell>
          <cell r="AA20">
            <v>0.45020242914979758</v>
          </cell>
          <cell r="AB20">
            <v>0.54979757085020242</v>
          </cell>
          <cell r="AC20">
            <v>0.5602760096552829</v>
          </cell>
          <cell r="AD20">
            <v>0.48427672955974843</v>
          </cell>
          <cell r="AE20">
            <v>0.49379108838568303</v>
          </cell>
          <cell r="AF20">
            <v>0.49379108838568303</v>
          </cell>
          <cell r="AG20">
            <v>0.48759791122715412</v>
          </cell>
          <cell r="AH20">
            <v>0.51240208877284588</v>
          </cell>
          <cell r="AI20">
            <v>0.59648093841642236</v>
          </cell>
          <cell r="AJ20">
            <v>0.48201243375458619</v>
          </cell>
          <cell r="AK20">
            <v>0.48487130887681162</v>
          </cell>
        </row>
        <row r="21">
          <cell r="C21" t="str">
            <v>Pr / NTA</v>
          </cell>
          <cell r="E21">
            <v>11.636132877697845</v>
          </cell>
          <cell r="F21">
            <v>11.275891438658432</v>
          </cell>
          <cell r="G21">
            <v>13.75103794977511</v>
          </cell>
          <cell r="H21">
            <v>15.86083961187215</v>
          </cell>
          <cell r="I21">
            <v>12.803315443084909</v>
          </cell>
          <cell r="J21">
            <v>11.371996746575343</v>
          </cell>
          <cell r="K21">
            <v>9.6059032583621669</v>
          </cell>
          <cell r="L21">
            <v>10.283046968268932</v>
          </cell>
          <cell r="M21">
            <v>12.051899647737763</v>
          </cell>
          <cell r="N21">
            <v>54.031297808027965</v>
          </cell>
          <cell r="O21">
            <v>85.894031477653726</v>
          </cell>
          <cell r="P21">
            <v>67.767144878718128</v>
          </cell>
          <cell r="Q21">
            <v>18.419520909373045</v>
          </cell>
          <cell r="R21">
            <v>5.6759458141050985</v>
          </cell>
          <cell r="S21">
            <v>6.4513134786907713</v>
          </cell>
          <cell r="T21">
            <v>5.2024783912064025</v>
          </cell>
          <cell r="U21">
            <v>4.3002384644797829</v>
          </cell>
          <cell r="W21" t="str">
            <v>2005</v>
          </cell>
          <cell r="X21" t="str">
            <v>2006</v>
          </cell>
          <cell r="Y21" t="str">
            <v>2007</v>
          </cell>
          <cell r="Z21" t="str">
            <v>2008</v>
          </cell>
          <cell r="AA21" t="str">
            <v>2009</v>
          </cell>
          <cell r="AB21" t="str">
            <v>2010</v>
          </cell>
          <cell r="AE21" t="str">
            <v>2011</v>
          </cell>
          <cell r="AF21" t="str">
            <v>2012</v>
          </cell>
          <cell r="AG21" t="str">
            <v>2014</v>
          </cell>
          <cell r="AH21" t="str">
            <v>2015</v>
          </cell>
          <cell r="AI21" t="str">
            <v>2016E</v>
          </cell>
          <cell r="AJ21" t="str">
            <v>2017E</v>
          </cell>
          <cell r="AK21" t="str">
            <v>2018E</v>
          </cell>
        </row>
        <row r="22">
          <cell r="N22" t="str">
            <v>Cashflow (US$mn)</v>
          </cell>
          <cell r="P22" t="str">
            <v>2016</v>
          </cell>
          <cell r="Q22" t="str">
            <v>2017</v>
          </cell>
          <cell r="R22" t="str">
            <v>2018</v>
          </cell>
          <cell r="S22" t="str">
            <v>2019</v>
          </cell>
          <cell r="T22" t="str">
            <v>2020E</v>
          </cell>
          <cell r="U22" t="str">
            <v>EBIT</v>
          </cell>
          <cell r="V22" t="str">
            <v>2022E</v>
          </cell>
          <cell r="W22" t="str">
            <v>Cashflow (US$mn)</v>
          </cell>
          <cell r="X22" t="str">
            <v>Cashflow (US$mn)</v>
          </cell>
          <cell r="Y22" t="str">
            <v>2005</v>
          </cell>
          <cell r="Z22" t="str">
            <v>2005</v>
          </cell>
          <cell r="AA22" t="str">
            <v>2006</v>
          </cell>
          <cell r="AB22" t="str">
            <v>2007</v>
          </cell>
          <cell r="AC22" t="str">
            <v>2008</v>
          </cell>
          <cell r="AD22" t="str">
            <v>2009</v>
          </cell>
          <cell r="AE22" t="str">
            <v>2010</v>
          </cell>
          <cell r="AF22">
            <v>153.19999999999999</v>
          </cell>
          <cell r="AG22" t="str">
            <v>2011</v>
          </cell>
          <cell r="AH22" t="str">
            <v>2011</v>
          </cell>
          <cell r="AI22" t="str">
            <v>2012</v>
          </cell>
          <cell r="AJ22" t="str">
            <v>2014</v>
          </cell>
          <cell r="AK22" t="str">
            <v>2016</v>
          </cell>
        </row>
        <row r="23">
          <cell r="C23" t="str">
            <v>Profit and loss (US$mn)</v>
          </cell>
          <cell r="E23" t="str">
            <v>2005</v>
          </cell>
          <cell r="F23" t="str">
            <v>2006</v>
          </cell>
          <cell r="G23" t="str">
            <v>2007</v>
          </cell>
          <cell r="H23" t="str">
            <v>2008</v>
          </cell>
          <cell r="I23" t="str">
            <v>2009</v>
          </cell>
          <cell r="J23" t="str">
            <v>2010</v>
          </cell>
          <cell r="K23" t="str">
            <v>2011</v>
          </cell>
          <cell r="L23" t="str">
            <v>2012</v>
          </cell>
          <cell r="M23" t="str">
            <v>2013</v>
          </cell>
          <cell r="N23" t="str">
            <v>2014</v>
          </cell>
          <cell r="O23" t="str">
            <v>2015</v>
          </cell>
          <cell r="P23" t="str">
            <v>2016</v>
          </cell>
          <cell r="Q23" t="str">
            <v>2017</v>
          </cell>
          <cell r="R23" t="str">
            <v>2018</v>
          </cell>
          <cell r="S23" t="str">
            <v>2019E</v>
          </cell>
          <cell r="T23" t="str">
            <v>2020E</v>
          </cell>
          <cell r="U23" t="str">
            <v>2021E</v>
          </cell>
          <cell r="V23">
            <v>256.98261189848432</v>
          </cell>
          <cell r="W23" t="str">
            <v>EBIT</v>
          </cell>
          <cell r="X23" t="str">
            <v>EBIT</v>
          </cell>
          <cell r="Y23">
            <v>44.399999999999991</v>
          </cell>
          <cell r="Z23">
            <v>44.399999999999991</v>
          </cell>
          <cell r="AA23">
            <v>132.5</v>
          </cell>
          <cell r="AB23">
            <v>122.6</v>
          </cell>
          <cell r="AC23">
            <v>123.5</v>
          </cell>
          <cell r="AD23">
            <v>142.42979999999997</v>
          </cell>
          <cell r="AE23">
            <v>143.1</v>
          </cell>
          <cell r="AF23">
            <v>-5</v>
          </cell>
          <cell r="AG23">
            <v>136.9</v>
          </cell>
          <cell r="AH23">
            <v>136.9</v>
          </cell>
          <cell r="AI23">
            <v>153.19999999999999</v>
          </cell>
          <cell r="AJ23">
            <v>206.5</v>
          </cell>
          <cell r="AK23">
            <v>236.69338999999999</v>
          </cell>
        </row>
        <row r="24">
          <cell r="C24" t="str">
            <v>Sales revenue</v>
          </cell>
          <cell r="E24">
            <v>1096.1999999946379</v>
          </cell>
          <cell r="F24">
            <v>1138.2039059254562</v>
          </cell>
          <cell r="G24">
            <v>1239.2151326935684</v>
          </cell>
          <cell r="H24">
            <v>1244.6539766851749</v>
          </cell>
          <cell r="I24">
            <v>1352.0863927462844</v>
          </cell>
          <cell r="J24">
            <v>1086.2225671589649</v>
          </cell>
          <cell r="K24">
            <v>1228.2</v>
          </cell>
          <cell r="L24">
            <v>1255.2901273595514</v>
          </cell>
          <cell r="M24">
            <v>1372.7949196725085</v>
          </cell>
          <cell r="N24">
            <v>1590.1634573929973</v>
          </cell>
          <cell r="O24">
            <v>1645.1063238053862</v>
          </cell>
          <cell r="P24">
            <v>1572.7838855867681</v>
          </cell>
          <cell r="Q24">
            <v>1599.6518307646913</v>
          </cell>
          <cell r="R24">
            <v>1489.8059322070212</v>
          </cell>
          <cell r="S24">
            <v>1516.6848080319396</v>
          </cell>
          <cell r="T24">
            <v>1576.4974730037879</v>
          </cell>
          <cell r="U24">
            <v>1640.7459748386123</v>
          </cell>
          <cell r="V24">
            <v>-5.2059579632544537</v>
          </cell>
          <cell r="W24" t="str">
            <v>Net interest paid</v>
          </cell>
          <cell r="X24" t="str">
            <v>Net interest paid</v>
          </cell>
          <cell r="Y24">
            <v>-9.5999999999999979</v>
          </cell>
          <cell r="Z24">
            <v>-9.5999999999999979</v>
          </cell>
          <cell r="AA24">
            <v>-5.9</v>
          </cell>
          <cell r="AB24">
            <v>-9</v>
          </cell>
          <cell r="AC24">
            <v>-10.6</v>
          </cell>
          <cell r="AD24">
            <v>-12.8</v>
          </cell>
          <cell r="AE24">
            <v>-9.6999999999999993</v>
          </cell>
          <cell r="AF24">
            <v>22.602268041237114</v>
          </cell>
          <cell r="AG24">
            <v>-4</v>
          </cell>
          <cell r="AH24">
            <v>-4</v>
          </cell>
          <cell r="AI24">
            <v>-5</v>
          </cell>
          <cell r="AJ24">
            <v>-18.200000000000003</v>
          </cell>
          <cell r="AK24">
            <v>-22.193390000000001</v>
          </cell>
        </row>
        <row r="25">
          <cell r="C25" t="str">
            <v xml:space="preserve">     growth over pcp</v>
          </cell>
          <cell r="E25">
            <v>-1.5359741325536413E-2</v>
          </cell>
          <cell r="F25">
            <v>3.8317739400678397E-2</v>
          </cell>
          <cell r="G25">
            <v>8.8746160720632572E-2</v>
          </cell>
          <cell r="H25">
            <v>4.3889425234702184E-3</v>
          </cell>
          <cell r="I25">
            <v>8.6315086822145393E-2</v>
          </cell>
          <cell r="J25">
            <v>-0.19663227661607585</v>
          </cell>
          <cell r="K25">
            <v>0.13070749691049022</v>
          </cell>
          <cell r="L25">
            <v>2.2056771991167068E-2</v>
          </cell>
          <cell r="M25">
            <v>9.3607676625421465E-2</v>
          </cell>
          <cell r="N25">
            <v>0.15834013850542505</v>
          </cell>
          <cell r="O25">
            <v>3.4551709861617264E-2</v>
          </cell>
          <cell r="P25">
            <v>-4.3962166561566152E-2</v>
          </cell>
          <cell r="Q25">
            <v>1.7083049632022007E-2</v>
          </cell>
          <cell r="R25">
            <v>-6.866862928863704E-2</v>
          </cell>
          <cell r="S25">
            <v>1.8041863872229058E-2</v>
          </cell>
          <cell r="T25">
            <v>3.9436450246680854E-2</v>
          </cell>
          <cell r="U25">
            <v>4.0753951677707567E-2</v>
          </cell>
          <cell r="V25">
            <v>56.077564218596564</v>
          </cell>
          <cell r="W25" t="str">
            <v>Dep'n and amort'n</v>
          </cell>
          <cell r="X25" t="str">
            <v>Dep'n and amort'n</v>
          </cell>
          <cell r="Y25">
            <v>45.299150382325998</v>
          </cell>
          <cell r="Z25">
            <v>45.299150382325998</v>
          </cell>
          <cell r="AA25">
            <v>25.401075764219264</v>
          </cell>
          <cell r="AB25">
            <v>28.5</v>
          </cell>
          <cell r="AC25">
            <v>33.998999662166312</v>
          </cell>
          <cell r="AD25">
            <v>31.416436324411791</v>
          </cell>
          <cell r="AE25">
            <v>21</v>
          </cell>
          <cell r="AF25">
            <v>-17.8</v>
          </cell>
          <cell r="AG25">
            <v>20.415298981310293</v>
          </cell>
          <cell r="AH25">
            <v>20.415298981310293</v>
          </cell>
          <cell r="AI25">
            <v>22.602268041237114</v>
          </cell>
          <cell r="AJ25">
            <v>32.699929580635356</v>
          </cell>
          <cell r="AK25">
            <v>41.557711567074755</v>
          </cell>
        </row>
        <row r="26">
          <cell r="C26" t="str">
            <v>EBITDA</v>
          </cell>
          <cell r="E26">
            <v>89.699150382325996</v>
          </cell>
          <cell r="F26">
            <v>157.90107576421926</v>
          </cell>
          <cell r="G26">
            <v>151.1</v>
          </cell>
          <cell r="H26">
            <v>157.49899966216631</v>
          </cell>
          <cell r="I26">
            <v>173.84623632441176</v>
          </cell>
          <cell r="J26">
            <v>164.1</v>
          </cell>
          <cell r="K26">
            <v>157.31529898131029</v>
          </cell>
          <cell r="L26">
            <v>175.80226804123708</v>
          </cell>
          <cell r="M26">
            <v>198.4</v>
          </cell>
          <cell r="N26">
            <v>239.19992958063534</v>
          </cell>
          <cell r="O26">
            <v>284.97658084647787</v>
          </cell>
          <cell r="P26">
            <v>278.25110156707478</v>
          </cell>
          <cell r="Q26">
            <v>264.77368831861867</v>
          </cell>
          <cell r="R26">
            <v>232.1</v>
          </cell>
          <cell r="S26">
            <v>238.64772059413372</v>
          </cell>
          <cell r="T26">
            <v>268.89418916698008</v>
          </cell>
          <cell r="U26">
            <v>298.43668071338641</v>
          </cell>
          <cell r="V26">
            <v>-60.426396944455163</v>
          </cell>
          <cell r="W26" t="str">
            <v>Tax paid</v>
          </cell>
          <cell r="X26" t="str">
            <v>Tax paid</v>
          </cell>
          <cell r="Y26">
            <v>-16.100000000000001</v>
          </cell>
          <cell r="Z26">
            <v>-16.100000000000001</v>
          </cell>
          <cell r="AA26">
            <v>-16.7</v>
          </cell>
          <cell r="AB26">
            <v>-22.8</v>
          </cell>
          <cell r="AC26">
            <v>-21.2</v>
          </cell>
          <cell r="AD26">
            <v>-14.4</v>
          </cell>
          <cell r="AE26">
            <v>-14.6</v>
          </cell>
          <cell r="AF26">
            <v>153.0022680412371</v>
          </cell>
          <cell r="AG26">
            <v>-14.3</v>
          </cell>
          <cell r="AH26">
            <v>-14.3</v>
          </cell>
          <cell r="AI26">
            <v>-17.8</v>
          </cell>
          <cell r="AJ26">
            <v>-27.4</v>
          </cell>
          <cell r="AK26">
            <v>-29.8</v>
          </cell>
        </row>
        <row r="27">
          <cell r="C27" t="str">
            <v xml:space="preserve">     margin</v>
          </cell>
          <cell r="E27">
            <v>89.699150382325996</v>
          </cell>
          <cell r="F27">
            <v>157.90107576421926</v>
          </cell>
          <cell r="G27">
            <v>151.1</v>
          </cell>
          <cell r="H27">
            <v>0.12654039003002712</v>
          </cell>
          <cell r="I27">
            <v>0.12857627830371454</v>
          </cell>
          <cell r="J27">
            <v>0.1510740109452951</v>
          </cell>
          <cell r="K27">
            <v>0.12808606007271639</v>
          </cell>
          <cell r="L27">
            <v>0.14004911232037615</v>
          </cell>
          <cell r="M27">
            <v>0.14452267935791163</v>
          </cell>
          <cell r="N27">
            <v>0.15042474310961279</v>
          </cell>
          <cell r="O27">
            <v>0.17322684663157992</v>
          </cell>
          <cell r="P27">
            <v>0.17691629734829459</v>
          </cell>
          <cell r="Q27">
            <v>0.16551957321365818</v>
          </cell>
          <cell r="R27">
            <v>0.1557921035098602</v>
          </cell>
          <cell r="S27">
            <v>0.15734826335064608</v>
          </cell>
          <cell r="T27">
            <v>0.17056430078168225</v>
          </cell>
          <cell r="U27">
            <v>0.1818908504363336</v>
          </cell>
          <cell r="V27">
            <v>247.42782120937125</v>
          </cell>
          <cell r="W27" t="str">
            <v>Gross cash from op'ns</v>
          </cell>
          <cell r="X27" t="str">
            <v>Gross cash from op'ns</v>
          </cell>
          <cell r="Y27">
            <v>63.999150382326</v>
          </cell>
          <cell r="Z27">
            <v>63.999150382326</v>
          </cell>
          <cell r="AA27">
            <v>135.30107576421926</v>
          </cell>
          <cell r="AB27">
            <v>119.3</v>
          </cell>
          <cell r="AC27">
            <v>125.69899966216632</v>
          </cell>
          <cell r="AD27">
            <v>146.64623632441175</v>
          </cell>
          <cell r="AE27">
            <v>139.80000000000001</v>
          </cell>
          <cell r="AF27">
            <v>-20.100000000000023</v>
          </cell>
          <cell r="AG27">
            <v>139.01529898131028</v>
          </cell>
          <cell r="AH27">
            <v>139.01529898131028</v>
          </cell>
          <cell r="AI27">
            <v>153.0022680412371</v>
          </cell>
          <cell r="AJ27">
            <v>193.59992958063535</v>
          </cell>
          <cell r="AK27">
            <v>226.25771156707475</v>
          </cell>
        </row>
        <row r="28">
          <cell r="C28" t="str">
            <v>Dep'n and amort'n</v>
          </cell>
          <cell r="E28">
            <v>24.799150382326005</v>
          </cell>
          <cell r="F28">
            <v>25.401075764219257</v>
          </cell>
          <cell r="G28">
            <v>28.5</v>
          </cell>
          <cell r="H28">
            <v>33.998999662166312</v>
          </cell>
          <cell r="I28">
            <v>31.416436324411791</v>
          </cell>
          <cell r="J28">
            <v>21</v>
          </cell>
          <cell r="K28">
            <v>20.415298981310286</v>
          </cell>
          <cell r="L28">
            <v>22.602268041237096</v>
          </cell>
          <cell r="M28">
            <v>27.900000000000006</v>
          </cell>
          <cell r="N28">
            <v>32.699929580635342</v>
          </cell>
          <cell r="O28">
            <v>39.676580846477862</v>
          </cell>
          <cell r="P28">
            <v>41.55771156707479</v>
          </cell>
          <cell r="Q28">
            <v>43.973688318618684</v>
          </cell>
          <cell r="R28">
            <v>39</v>
          </cell>
          <cell r="S28">
            <v>39.75204476260916</v>
          </cell>
          <cell r="T28">
            <v>46.144784213251455</v>
          </cell>
          <cell r="U28">
            <v>51.86587006007764</v>
          </cell>
          <cell r="V28">
            <v>-9.5721823501308165</v>
          </cell>
          <cell r="W28" t="str">
            <v>(Inc) / dec in wk'g cap</v>
          </cell>
          <cell r="X28" t="str">
            <v>(Inc) / dec in wk'g cap</v>
          </cell>
          <cell r="Y28">
            <v>21.199999999999989</v>
          </cell>
          <cell r="Z28">
            <v>21.199999999999989</v>
          </cell>
          <cell r="AA28">
            <v>-26.800000000000011</v>
          </cell>
          <cell r="AB28">
            <v>28.699999999999989</v>
          </cell>
          <cell r="AC28">
            <v>25.300000000000011</v>
          </cell>
          <cell r="AD28">
            <v>-20.399999999999977</v>
          </cell>
          <cell r="AE28">
            <v>9.0999999999999659</v>
          </cell>
          <cell r="AF28">
            <v>-34.502268041237073</v>
          </cell>
          <cell r="AG28">
            <v>10.700000000000017</v>
          </cell>
          <cell r="AH28">
            <v>10.700000000000017</v>
          </cell>
          <cell r="AI28">
            <v>-20.100000000000023</v>
          </cell>
          <cell r="AJ28">
            <v>-57.900000000000006</v>
          </cell>
          <cell r="AK28">
            <v>40.100000000000023</v>
          </cell>
        </row>
        <row r="29">
          <cell r="C29" t="str">
            <v>EBITAg</v>
          </cell>
          <cell r="E29">
            <v>64.899999999999991</v>
          </cell>
          <cell r="F29">
            <v>132.5</v>
          </cell>
          <cell r="G29">
            <v>122.6</v>
          </cell>
          <cell r="H29">
            <v>123.5</v>
          </cell>
          <cell r="I29">
            <v>142.42979999999997</v>
          </cell>
          <cell r="J29">
            <v>143.1</v>
          </cell>
          <cell r="K29">
            <v>136.9</v>
          </cell>
          <cell r="L29">
            <v>153.19999999999999</v>
          </cell>
          <cell r="M29">
            <v>170.5</v>
          </cell>
          <cell r="N29">
            <v>206.5</v>
          </cell>
          <cell r="O29">
            <v>245.3</v>
          </cell>
          <cell r="P29">
            <v>236.69338999999999</v>
          </cell>
          <cell r="Q29">
            <v>220.79999999999998</v>
          </cell>
          <cell r="R29">
            <v>193.1</v>
          </cell>
          <cell r="S29">
            <v>198.89567583152456</v>
          </cell>
          <cell r="T29">
            <v>222.74940495372863</v>
          </cell>
          <cell r="U29">
            <v>246.57081065330877</v>
          </cell>
          <cell r="V29">
            <v>0</v>
          </cell>
          <cell r="W29" t="str">
            <v>Other</v>
          </cell>
          <cell r="X29" t="str">
            <v>Other</v>
          </cell>
          <cell r="Y29">
            <v>67.600849617674015</v>
          </cell>
          <cell r="Z29">
            <v>67.600849617674015</v>
          </cell>
          <cell r="AA29">
            <v>23.198924235780737</v>
          </cell>
          <cell r="AB29">
            <v>9.9999999999994316E-2</v>
          </cell>
          <cell r="AC29">
            <v>11.501000337833659</v>
          </cell>
          <cell r="AD29">
            <v>5.1537636755882374</v>
          </cell>
          <cell r="AE29">
            <v>41.900000000000034</v>
          </cell>
          <cell r="AF29">
            <v>98.4</v>
          </cell>
          <cell r="AG29">
            <v>-21.715298981310298</v>
          </cell>
          <cell r="AH29">
            <v>-21.715298981310298</v>
          </cell>
          <cell r="AI29">
            <v>-34.502268041237073</v>
          </cell>
          <cell r="AJ29">
            <v>85.200070419364664</v>
          </cell>
          <cell r="AK29">
            <v>-34.057711567074762</v>
          </cell>
        </row>
        <row r="30">
          <cell r="C30" t="str">
            <v>Goodwill amortisation</v>
          </cell>
          <cell r="E30">
            <v>20.5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237.85563885924043</v>
          </cell>
          <cell r="W30" t="str">
            <v>Operating cashflow</v>
          </cell>
          <cell r="X30" t="str">
            <v>Operating cashflow</v>
          </cell>
          <cell r="Y30">
            <v>152.80000000000001</v>
          </cell>
          <cell r="Z30">
            <v>152.80000000000001</v>
          </cell>
          <cell r="AA30">
            <v>131.69999999999999</v>
          </cell>
          <cell r="AB30">
            <v>148.1</v>
          </cell>
          <cell r="AC30">
            <v>162.5</v>
          </cell>
          <cell r="AD30">
            <v>131.4</v>
          </cell>
          <cell r="AE30">
            <v>190.8</v>
          </cell>
          <cell r="AG30">
            <v>128</v>
          </cell>
          <cell r="AH30">
            <v>128</v>
          </cell>
          <cell r="AI30">
            <v>98.4</v>
          </cell>
          <cell r="AJ30">
            <v>220.9</v>
          </cell>
          <cell r="AK30">
            <v>232.3</v>
          </cell>
        </row>
        <row r="31">
          <cell r="C31" t="str">
            <v>EBIT</v>
          </cell>
          <cell r="E31">
            <v>44.399999999999991</v>
          </cell>
          <cell r="F31">
            <v>132.5</v>
          </cell>
          <cell r="G31">
            <v>122.6</v>
          </cell>
          <cell r="H31">
            <v>123.5</v>
          </cell>
          <cell r="I31">
            <v>142.42979999999997</v>
          </cell>
          <cell r="J31">
            <v>143.1</v>
          </cell>
          <cell r="K31">
            <v>136.9</v>
          </cell>
          <cell r="L31">
            <v>153.19999999999999</v>
          </cell>
          <cell r="M31">
            <v>170.5</v>
          </cell>
          <cell r="N31">
            <v>206.5</v>
          </cell>
          <cell r="O31">
            <v>245.3</v>
          </cell>
          <cell r="P31">
            <v>236.69338999999999</v>
          </cell>
          <cell r="Q31">
            <v>220.79999999999998</v>
          </cell>
          <cell r="R31">
            <v>193.1</v>
          </cell>
          <cell r="S31">
            <v>198.89567583152456</v>
          </cell>
          <cell r="T31">
            <v>222.74940495372863</v>
          </cell>
          <cell r="U31">
            <v>246.57081065330877</v>
          </cell>
          <cell r="W31" t="str">
            <v>Investing cashflows</v>
          </cell>
          <cell r="X31" t="str">
            <v>Investing cashflows</v>
          </cell>
          <cell r="Y31">
            <v>-23</v>
          </cell>
          <cell r="Z31">
            <v>-23.9</v>
          </cell>
          <cell r="AA31">
            <v>-18.2</v>
          </cell>
          <cell r="AB31">
            <v>-31.3</v>
          </cell>
          <cell r="AE31">
            <v>-44.5</v>
          </cell>
          <cell r="AF31">
            <v>-37.6</v>
          </cell>
          <cell r="AG31">
            <v>-53</v>
          </cell>
          <cell r="AH31">
            <v>-84.3</v>
          </cell>
          <cell r="AI31">
            <v>-62.34699573292464</v>
          </cell>
          <cell r="AJ31">
            <v>-65.390808719164028</v>
          </cell>
          <cell r="AK31">
            <v>-67.717046128501352</v>
          </cell>
        </row>
        <row r="32">
          <cell r="C32" t="str">
            <v xml:space="preserve">     margin</v>
          </cell>
          <cell r="E32">
            <v>44.399999999999991</v>
          </cell>
          <cell r="F32">
            <v>132.5</v>
          </cell>
          <cell r="G32">
            <v>122.6</v>
          </cell>
          <cell r="H32">
            <v>9.9224364613297117E-2</v>
          </cell>
          <cell r="I32">
            <v>0.10534075393710922</v>
          </cell>
          <cell r="J32">
            <v>0.13174095652816409</v>
          </cell>
          <cell r="K32">
            <v>0.11146393095587039</v>
          </cell>
          <cell r="L32">
            <v>0.12204349947549542</v>
          </cell>
          <cell r="M32">
            <v>0.12419917757320531</v>
          </cell>
          <cell r="N32">
            <v>0.12986086369922475</v>
          </cell>
          <cell r="O32">
            <v>0.14910890344922087</v>
          </cell>
          <cell r="P32">
            <v>0.15049327003480542</v>
          </cell>
          <cell r="Q32">
            <v>0.13803003613258119</v>
          </cell>
          <cell r="R32">
            <v>0.12961419727597587</v>
          </cell>
          <cell r="S32">
            <v>0.13113843745136006</v>
          </cell>
          <cell r="T32">
            <v>0.1412938547432695</v>
          </cell>
          <cell r="U32">
            <v>0.15027969864595406</v>
          </cell>
          <cell r="V32">
            <v>-63.5758984922753</v>
          </cell>
          <cell r="W32" t="str">
            <v>Capital expenditure</v>
          </cell>
          <cell r="X32" t="str">
            <v>Capital expenditure</v>
          </cell>
          <cell r="Y32">
            <v>-14.1</v>
          </cell>
          <cell r="Z32">
            <v>-14.1</v>
          </cell>
          <cell r="AA32">
            <v>-16.5</v>
          </cell>
          <cell r="AB32">
            <v>-23</v>
          </cell>
          <cell r="AC32">
            <v>-23.9</v>
          </cell>
          <cell r="AD32">
            <v>-18.2</v>
          </cell>
          <cell r="AE32">
            <v>-31.3</v>
          </cell>
          <cell r="AF32">
            <v>9.6</v>
          </cell>
          <cell r="AG32">
            <v>-44.5</v>
          </cell>
          <cell r="AH32">
            <v>-44.5</v>
          </cell>
          <cell r="AI32">
            <v>-37.6</v>
          </cell>
          <cell r="AJ32">
            <v>-53</v>
          </cell>
          <cell r="AK32">
            <v>-65.241745236301725</v>
          </cell>
        </row>
        <row r="33">
          <cell r="C33" t="str">
            <v xml:space="preserve">     growth over pcp</v>
          </cell>
          <cell r="E33">
            <v>-0.59709618874773152</v>
          </cell>
          <cell r="F33">
            <v>1.984234234234235</v>
          </cell>
          <cell r="G33">
            <v>-7.4716981132075477E-2</v>
          </cell>
          <cell r="H33">
            <v>7.3409461663949127E-3</v>
          </cell>
          <cell r="I33">
            <v>0.15327773279352197</v>
          </cell>
          <cell r="J33">
            <v>4.705475960789185E-3</v>
          </cell>
          <cell r="K33">
            <v>-4.3326345213137607E-2</v>
          </cell>
          <cell r="L33">
            <v>0.11906501095690269</v>
          </cell>
          <cell r="M33">
            <v>0.11292428198433435</v>
          </cell>
          <cell r="N33">
            <v>0.21114369501466279</v>
          </cell>
          <cell r="O33">
            <v>0.18789346246973371</v>
          </cell>
          <cell r="P33">
            <v>-3.5086057888300104E-2</v>
          </cell>
          <cell r="Q33">
            <v>-6.7147587011196275E-2</v>
          </cell>
          <cell r="R33">
            <v>-0.12545289855072461</v>
          </cell>
          <cell r="S33">
            <v>3.0013857232131347E-2</v>
          </cell>
          <cell r="T33">
            <v>0.11993085833806405</v>
          </cell>
          <cell r="U33">
            <v>0.10694262327896453</v>
          </cell>
          <cell r="V33">
            <v>0</v>
          </cell>
          <cell r="W33" t="str">
            <v>Asset sales</v>
          </cell>
          <cell r="X33" t="str">
            <v>Asset sales</v>
          </cell>
          <cell r="Y33">
            <v>0</v>
          </cell>
          <cell r="Z33">
            <v>0</v>
          </cell>
          <cell r="AA33">
            <v>0.9</v>
          </cell>
          <cell r="AB33">
            <v>2.1</v>
          </cell>
          <cell r="AC33">
            <v>1.7</v>
          </cell>
          <cell r="AD33">
            <v>0.8</v>
          </cell>
          <cell r="AE33">
            <v>1.7</v>
          </cell>
          <cell r="AF33">
            <v>-44.8</v>
          </cell>
          <cell r="AG33">
            <v>1.5</v>
          </cell>
          <cell r="AH33">
            <v>1.5</v>
          </cell>
          <cell r="AI33">
            <v>9.6</v>
          </cell>
          <cell r="AJ33">
            <v>0</v>
          </cell>
          <cell r="AK33">
            <v>0</v>
          </cell>
        </row>
        <row r="34">
          <cell r="C34" t="str">
            <v>Net interest expense</v>
          </cell>
          <cell r="E34">
            <v>9.5999999999999979</v>
          </cell>
          <cell r="F34">
            <v>5.9</v>
          </cell>
          <cell r="G34">
            <v>9</v>
          </cell>
          <cell r="H34">
            <v>10.3</v>
          </cell>
          <cell r="I34">
            <v>12.729799999999996</v>
          </cell>
          <cell r="J34">
            <v>9.6999999999999993</v>
          </cell>
          <cell r="K34">
            <v>4</v>
          </cell>
          <cell r="L34">
            <v>5</v>
          </cell>
          <cell r="M34">
            <v>10.7</v>
          </cell>
          <cell r="N34">
            <v>18.200000000000003</v>
          </cell>
          <cell r="O34">
            <v>21.500000000000004</v>
          </cell>
          <cell r="P34">
            <v>22.193390000000001</v>
          </cell>
          <cell r="Q34">
            <v>22.699999999999989</v>
          </cell>
          <cell r="R34">
            <v>12.500000000000004</v>
          </cell>
          <cell r="S34">
            <v>13.719252877716972</v>
          </cell>
          <cell r="T34">
            <v>11.667827990962291</v>
          </cell>
          <cell r="U34">
            <v>8.8154005580958845</v>
          </cell>
          <cell r="V34">
            <v>0</v>
          </cell>
          <cell r="W34" t="str">
            <v>Investments</v>
          </cell>
          <cell r="X34" t="str">
            <v>Investments</v>
          </cell>
          <cell r="Y34">
            <v>0</v>
          </cell>
          <cell r="Z34">
            <v>0</v>
          </cell>
          <cell r="AA34">
            <v>-24</v>
          </cell>
          <cell r="AB34">
            <v>-72.3</v>
          </cell>
          <cell r="AC34">
            <v>0</v>
          </cell>
          <cell r="AD34">
            <v>-13.1</v>
          </cell>
          <cell r="AE34">
            <v>-18.100000000000001</v>
          </cell>
          <cell r="AF34">
            <v>-5.0999999999999996</v>
          </cell>
          <cell r="AG34">
            <v>0</v>
          </cell>
          <cell r="AH34">
            <v>0</v>
          </cell>
          <cell r="AI34">
            <v>-44.8</v>
          </cell>
          <cell r="AJ34">
            <v>-641.29999999999995</v>
          </cell>
          <cell r="AK34">
            <v>0</v>
          </cell>
        </row>
        <row r="35">
          <cell r="C35" t="str">
            <v>Pre-tax profit</v>
          </cell>
          <cell r="E35">
            <v>34.799999999999997</v>
          </cell>
          <cell r="F35">
            <v>126.6</v>
          </cell>
          <cell r="G35">
            <v>113.6</v>
          </cell>
          <cell r="H35">
            <v>113.2</v>
          </cell>
          <cell r="I35">
            <v>129.69999999999999</v>
          </cell>
          <cell r="J35">
            <v>133.4</v>
          </cell>
          <cell r="K35">
            <v>132.9</v>
          </cell>
          <cell r="L35">
            <v>148.19999999999999</v>
          </cell>
          <cell r="M35">
            <v>159.80000000000001</v>
          </cell>
          <cell r="N35">
            <v>188.3</v>
          </cell>
          <cell r="O35">
            <v>223.8</v>
          </cell>
          <cell r="P35">
            <v>214.5</v>
          </cell>
          <cell r="Q35">
            <v>198.1</v>
          </cell>
          <cell r="R35">
            <v>180.6</v>
          </cell>
          <cell r="S35">
            <v>185.17642295380759</v>
          </cell>
          <cell r="T35">
            <v>211.08157696276635</v>
          </cell>
          <cell r="U35">
            <v>237.75541009521288</v>
          </cell>
          <cell r="V35">
            <v>0</v>
          </cell>
          <cell r="W35" t="str">
            <v>Divestments</v>
          </cell>
          <cell r="X35" t="str">
            <v>Divestments</v>
          </cell>
          <cell r="Y35">
            <v>1.4</v>
          </cell>
          <cell r="Z35">
            <v>1.4</v>
          </cell>
          <cell r="AA35">
            <v>119.8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G35">
            <v>0</v>
          </cell>
          <cell r="AH35">
            <v>0</v>
          </cell>
          <cell r="AI35">
            <v>-5.0999999999999996</v>
          </cell>
          <cell r="AJ35">
            <v>20.399999999999999</v>
          </cell>
          <cell r="AK35">
            <v>41.5</v>
          </cell>
        </row>
        <row r="36">
          <cell r="C36" t="str">
            <v>Tax</v>
          </cell>
          <cell r="E36">
            <v>21.7</v>
          </cell>
          <cell r="F36">
            <v>7.9</v>
          </cell>
          <cell r="G36">
            <v>9.5</v>
          </cell>
          <cell r="H36">
            <v>7.6</v>
          </cell>
          <cell r="I36">
            <v>3.3</v>
          </cell>
          <cell r="J36">
            <v>10.7</v>
          </cell>
          <cell r="K36">
            <v>8.2100000000000009</v>
          </cell>
          <cell r="L36">
            <v>12.1</v>
          </cell>
          <cell r="M36">
            <v>16.5</v>
          </cell>
          <cell r="N36">
            <v>28.809900000000003</v>
          </cell>
          <cell r="O36">
            <v>35.012894499549169</v>
          </cell>
          <cell r="P36">
            <v>52.552500000000002</v>
          </cell>
          <cell r="Q36">
            <v>45.590415171706823</v>
          </cell>
          <cell r="R36">
            <v>32.1</v>
          </cell>
          <cell r="S36">
            <v>39.664472480925738</v>
          </cell>
          <cell r="T36">
            <v>48.54876270143626</v>
          </cell>
          <cell r="U36">
            <v>57.061298422851088</v>
          </cell>
          <cell r="W36" t="str">
            <v>Financing cashflows</v>
          </cell>
          <cell r="X36" t="str">
            <v>Financing cashflows</v>
          </cell>
          <cell r="Y36">
            <v>-80.400000000000006</v>
          </cell>
          <cell r="Z36">
            <v>-111.9</v>
          </cell>
          <cell r="AA36">
            <v>-3.4</v>
          </cell>
          <cell r="AB36">
            <v>-51.2</v>
          </cell>
          <cell r="AE36">
            <v>3.8</v>
          </cell>
          <cell r="AF36">
            <v>-32.5</v>
          </cell>
          <cell r="AG36">
            <v>359.3</v>
          </cell>
          <cell r="AH36">
            <v>0.5</v>
          </cell>
          <cell r="AI36">
            <v>0</v>
          </cell>
          <cell r="AJ36">
            <v>0</v>
          </cell>
          <cell r="AK36">
            <v>0</v>
          </cell>
        </row>
        <row r="37">
          <cell r="C37" t="str">
            <v xml:space="preserve">     Effective tax rate</v>
          </cell>
          <cell r="E37">
            <v>0.62356321839080464</v>
          </cell>
          <cell r="F37">
            <v>6.2401263823064775E-2</v>
          </cell>
          <cell r="G37">
            <v>8.3626760563380281E-2</v>
          </cell>
          <cell r="H37">
            <v>6.7137809187279143E-2</v>
          </cell>
          <cell r="I37">
            <v>2.5443330763299923E-2</v>
          </cell>
          <cell r="J37">
            <v>8.0209895052473751E-2</v>
          </cell>
          <cell r="K37">
            <v>6.17757712565839E-2</v>
          </cell>
          <cell r="L37">
            <v>8.1646423751686917E-2</v>
          </cell>
          <cell r="M37">
            <v>0.10325406758448059</v>
          </cell>
          <cell r="N37">
            <v>0.153</v>
          </cell>
          <cell r="O37">
            <v>0.15644724977457181</v>
          </cell>
          <cell r="P37">
            <v>0.245</v>
          </cell>
          <cell r="Q37">
            <v>0.23013839056893903</v>
          </cell>
          <cell r="R37">
            <v>0.17774086378737544</v>
          </cell>
          <cell r="S37">
            <v>0.21419828641370869</v>
          </cell>
          <cell r="T37">
            <v>0.23</v>
          </cell>
          <cell r="U37">
            <v>0.24</v>
          </cell>
          <cell r="V37">
            <v>0</v>
          </cell>
          <cell r="W37" t="str">
            <v>Equity raised</v>
          </cell>
          <cell r="X37" t="str">
            <v>Equity raised</v>
          </cell>
          <cell r="Y37">
            <v>-151.1</v>
          </cell>
          <cell r="Z37">
            <v>-151.1</v>
          </cell>
          <cell r="AA37">
            <v>-99</v>
          </cell>
          <cell r="AB37">
            <v>-80.400000000000006</v>
          </cell>
          <cell r="AC37">
            <v>-111.9</v>
          </cell>
          <cell r="AD37">
            <v>-3.4</v>
          </cell>
          <cell r="AE37">
            <v>-51.2</v>
          </cell>
          <cell r="AF37">
            <v>-48.800000000000004</v>
          </cell>
          <cell r="AG37">
            <v>3.8</v>
          </cell>
          <cell r="AH37">
            <v>3.8</v>
          </cell>
          <cell r="AI37">
            <v>-32.5</v>
          </cell>
          <cell r="AJ37">
            <v>359.3</v>
          </cell>
          <cell r="AK37">
            <v>0</v>
          </cell>
        </row>
        <row r="38">
          <cell r="C38" t="str">
            <v>Minorities</v>
          </cell>
          <cell r="E38">
            <v>1.8</v>
          </cell>
          <cell r="F38">
            <v>2.6</v>
          </cell>
          <cell r="G38">
            <v>4.0999999999999996</v>
          </cell>
          <cell r="H38">
            <v>3</v>
          </cell>
          <cell r="I38">
            <v>5</v>
          </cell>
          <cell r="J38">
            <v>3.3</v>
          </cell>
          <cell r="K38">
            <v>3.1</v>
          </cell>
          <cell r="L38">
            <v>3.1</v>
          </cell>
          <cell r="M38">
            <v>4.0999999999999996</v>
          </cell>
          <cell r="N38">
            <v>2.6</v>
          </cell>
          <cell r="O38">
            <v>1.3482357256605946</v>
          </cell>
          <cell r="P38">
            <v>2.8340812500000001</v>
          </cell>
          <cell r="Q38">
            <v>2.5</v>
          </cell>
          <cell r="R38">
            <v>1.8</v>
          </cell>
          <cell r="S38">
            <v>1.4551195047288183</v>
          </cell>
          <cell r="T38">
            <v>1.6253281426133008</v>
          </cell>
          <cell r="U38">
            <v>1.806941116723618</v>
          </cell>
          <cell r="V38">
            <v>-74.778262678628593</v>
          </cell>
          <cell r="W38" t="str">
            <v>Dividends paid</v>
          </cell>
          <cell r="X38" t="str">
            <v>Dividends paid</v>
          </cell>
          <cell r="Y38">
            <v>-24.7</v>
          </cell>
          <cell r="Z38">
            <v>-24.7</v>
          </cell>
          <cell r="AA38">
            <v>-31.4</v>
          </cell>
          <cell r="AB38">
            <v>-33.700000000000003</v>
          </cell>
          <cell r="AC38">
            <v>-39</v>
          </cell>
          <cell r="AD38">
            <v>-45.1</v>
          </cell>
          <cell r="AE38">
            <v>-42.3</v>
          </cell>
          <cell r="AF38">
            <v>67</v>
          </cell>
          <cell r="AG38">
            <v>-41.800000000000004</v>
          </cell>
          <cell r="AH38">
            <v>-41.800000000000004</v>
          </cell>
          <cell r="AI38">
            <v>-48.800000000000004</v>
          </cell>
          <cell r="AJ38">
            <v>-51.5</v>
          </cell>
          <cell r="AK38">
            <v>-61.2</v>
          </cell>
        </row>
        <row r="39">
          <cell r="C39" t="str">
            <v>Morgan Stanley adjustments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-99.50147768833655</v>
          </cell>
          <cell r="W39" t="str">
            <v>Chg in loans</v>
          </cell>
          <cell r="X39" t="str">
            <v>Chg in loans</v>
          </cell>
          <cell r="Y39">
            <v>-26.4</v>
          </cell>
          <cell r="Z39">
            <v>-26.4</v>
          </cell>
          <cell r="AA39">
            <v>-5.9</v>
          </cell>
          <cell r="AB39">
            <v>24.3</v>
          </cell>
          <cell r="AC39">
            <v>-5.7</v>
          </cell>
          <cell r="AD39">
            <v>17.5</v>
          </cell>
          <cell r="AE39">
            <v>-70.900000000000006</v>
          </cell>
          <cell r="AF39">
            <v>-2.6645352591003757E-15</v>
          </cell>
          <cell r="AG39">
            <v>-22.699999999999996</v>
          </cell>
          <cell r="AH39">
            <v>-22.699999999999996</v>
          </cell>
          <cell r="AI39">
            <v>67</v>
          </cell>
          <cell r="AJ39">
            <v>174.2</v>
          </cell>
          <cell r="AK39">
            <v>-36.200000000000003</v>
          </cell>
        </row>
        <row r="40">
          <cell r="C40" t="str">
            <v>Reported net profit</v>
          </cell>
          <cell r="E40" t="e">
            <v>#REF!</v>
          </cell>
          <cell r="F40" t="e">
            <v>#REF!</v>
          </cell>
          <cell r="G40" t="e">
            <v>#REF!</v>
          </cell>
          <cell r="H40" t="e">
            <v>#REF!</v>
          </cell>
          <cell r="I40" t="e">
            <v>#REF!</v>
          </cell>
          <cell r="J40" t="e">
            <v>#REF!</v>
          </cell>
          <cell r="K40" t="e">
            <v>#REF!</v>
          </cell>
          <cell r="L40">
            <v>133</v>
          </cell>
          <cell r="M40">
            <v>139.20000000000002</v>
          </cell>
          <cell r="N40">
            <v>156.89010000000002</v>
          </cell>
          <cell r="O40">
            <v>187.43886977479025</v>
          </cell>
          <cell r="P40">
            <v>159.11341874999999</v>
          </cell>
          <cell r="Q40">
            <v>150.00958482829316</v>
          </cell>
          <cell r="R40">
            <v>146.69999999999999</v>
          </cell>
          <cell r="S40">
            <v>144.05683096815301</v>
          </cell>
          <cell r="T40">
            <v>160.90748611871678</v>
          </cell>
          <cell r="U40">
            <v>178.88717055563819</v>
          </cell>
          <cell r="V40">
            <v>0</v>
          </cell>
          <cell r="W40" t="str">
            <v>Other non-op  flows</v>
          </cell>
          <cell r="X40" t="str">
            <v>Other non-op  flows</v>
          </cell>
          <cell r="Y40">
            <v>-14.800000000000033</v>
          </cell>
          <cell r="Z40">
            <v>-14.800000000000033</v>
          </cell>
          <cell r="AA40">
            <v>-5.7999999999999687</v>
          </cell>
          <cell r="AB40">
            <v>-10.09999999999998</v>
          </cell>
          <cell r="AC40">
            <v>-10.599999999999977</v>
          </cell>
          <cell r="AD40">
            <v>-10.400000000000006</v>
          </cell>
          <cell r="AE40">
            <v>-9.0999999999999872</v>
          </cell>
          <cell r="AF40">
            <v>6.2</v>
          </cell>
          <cell r="AG40">
            <v>3.5527136788005009E-15</v>
          </cell>
          <cell r="AH40">
            <v>3.5527136788005009E-15</v>
          </cell>
          <cell r="AI40">
            <v>-2.6645352591003757E-15</v>
          </cell>
          <cell r="AJ40">
            <v>-17.3</v>
          </cell>
          <cell r="AK40">
            <v>-110.35825476369831</v>
          </cell>
        </row>
        <row r="41">
          <cell r="C41" t="str">
            <v>Reported profit (pre abn)</v>
          </cell>
          <cell r="E41" t="e">
            <v>#REF!</v>
          </cell>
          <cell r="F41" t="e">
            <v>#REF!</v>
          </cell>
          <cell r="G41" t="e">
            <v>#REF!</v>
          </cell>
          <cell r="H41" t="e">
            <v>#REF!</v>
          </cell>
          <cell r="I41" t="e">
            <v>#REF!</v>
          </cell>
          <cell r="J41" t="e">
            <v>#REF!</v>
          </cell>
          <cell r="K41" t="e">
            <v>#REF!</v>
          </cell>
          <cell r="L41">
            <v>133</v>
          </cell>
          <cell r="M41">
            <v>139.20000000000002</v>
          </cell>
          <cell r="N41">
            <v>156.89010000000002</v>
          </cell>
          <cell r="O41">
            <v>187.43886977479025</v>
          </cell>
          <cell r="P41">
            <v>159.11341874999999</v>
          </cell>
          <cell r="Q41">
            <v>150.00958482829316</v>
          </cell>
          <cell r="R41">
            <v>146.69999999999999</v>
          </cell>
          <cell r="S41">
            <v>144.05683096815301</v>
          </cell>
          <cell r="T41">
            <v>160.90748611871678</v>
          </cell>
          <cell r="U41">
            <v>178.88717055563819</v>
          </cell>
          <cell r="V41">
            <v>0</v>
          </cell>
          <cell r="W41" t="str">
            <v>Net chg in cash</v>
          </cell>
          <cell r="X41" t="str">
            <v>Net chg in cash</v>
          </cell>
          <cell r="Y41">
            <v>-76.900000000000006</v>
          </cell>
          <cell r="Z41">
            <v>-76.900000000000006</v>
          </cell>
          <cell r="AA41">
            <v>69.8</v>
          </cell>
          <cell r="AB41">
            <v>-45</v>
          </cell>
          <cell r="AC41">
            <v>-26.9</v>
          </cell>
          <cell r="AD41">
            <v>59.5</v>
          </cell>
          <cell r="AE41">
            <v>-30.4</v>
          </cell>
          <cell r="AG41">
            <v>24.3</v>
          </cell>
          <cell r="AH41">
            <v>24.3</v>
          </cell>
          <cell r="AI41">
            <v>6.2</v>
          </cell>
          <cell r="AJ41">
            <v>11.7</v>
          </cell>
          <cell r="AK41">
            <v>0.8</v>
          </cell>
        </row>
        <row r="42">
          <cell r="C42" t="str">
            <v>Abn / extra's (after tax)</v>
          </cell>
          <cell r="E42" t="e">
            <v>#REF!</v>
          </cell>
          <cell r="F42" t="e">
            <v>#REF!</v>
          </cell>
          <cell r="G42" t="e">
            <v>#REF!</v>
          </cell>
          <cell r="H42" t="e">
            <v>#REF!</v>
          </cell>
          <cell r="I42" t="e">
            <v>#REF!</v>
          </cell>
          <cell r="J42" t="e">
            <v>#REF!</v>
          </cell>
          <cell r="K42" t="e">
            <v>#REF!</v>
          </cell>
          <cell r="L42">
            <v>0</v>
          </cell>
          <cell r="M42">
            <v>0</v>
          </cell>
          <cell r="N42">
            <v>-115.09999999999998</v>
          </cell>
          <cell r="O42">
            <v>0</v>
          </cell>
          <cell r="P42">
            <v>2.1999999999999886</v>
          </cell>
          <cell r="Q42">
            <v>-0.5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W42" t="str">
            <v>2005</v>
          </cell>
          <cell r="X42" t="str">
            <v>2006</v>
          </cell>
          <cell r="Y42" t="str">
            <v>2007</v>
          </cell>
          <cell r="Z42" t="str">
            <v>2008</v>
          </cell>
          <cell r="AA42" t="str">
            <v>2009</v>
          </cell>
          <cell r="AB42" t="str">
            <v>2010</v>
          </cell>
          <cell r="AE42" t="str">
            <v>2011</v>
          </cell>
          <cell r="AF42" t="str">
            <v>2012</v>
          </cell>
          <cell r="AG42" t="str">
            <v>2014</v>
          </cell>
          <cell r="AH42" t="str">
            <v>2015</v>
          </cell>
          <cell r="AI42" t="str">
            <v>2016E</v>
          </cell>
          <cell r="AJ42" t="str">
            <v>2017E</v>
          </cell>
          <cell r="AK42" t="str">
            <v>2018E</v>
          </cell>
        </row>
        <row r="43">
          <cell r="C43" t="str">
            <v>Underlying net profit</v>
          </cell>
          <cell r="E43">
            <v>91.3</v>
          </cell>
          <cell r="F43">
            <v>121.6</v>
          </cell>
          <cell r="G43">
            <v>94.664031620552606</v>
          </cell>
          <cell r="H43">
            <v>101.59623365326634</v>
          </cell>
          <cell r="I43">
            <v>111.09539857420609</v>
          </cell>
          <cell r="J43">
            <v>119.4</v>
          </cell>
          <cell r="K43">
            <v>121.59</v>
          </cell>
          <cell r="L43">
            <v>133</v>
          </cell>
          <cell r="M43">
            <v>139.20000000000002</v>
          </cell>
          <cell r="N43">
            <v>41.790100000000038</v>
          </cell>
          <cell r="O43">
            <v>187.43886977479025</v>
          </cell>
          <cell r="P43">
            <v>161.31341874999998</v>
          </cell>
          <cell r="Q43">
            <v>149.50958482829316</v>
          </cell>
          <cell r="R43">
            <v>146.69999999999999</v>
          </cell>
          <cell r="S43">
            <v>144.05683096815301</v>
          </cell>
          <cell r="T43">
            <v>160.90748611871678</v>
          </cell>
          <cell r="U43">
            <v>178.88717055563819</v>
          </cell>
          <cell r="V43" t="str">
            <v>2022E</v>
          </cell>
          <cell r="W43" t="str">
            <v>Balance sheet (US$mn)</v>
          </cell>
          <cell r="X43" t="str">
            <v>Balance sheet (US$mn)</v>
          </cell>
          <cell r="Y43" t="str">
            <v>2005</v>
          </cell>
          <cell r="Z43" t="str">
            <v>2005</v>
          </cell>
          <cell r="AA43" t="str">
            <v>2006</v>
          </cell>
          <cell r="AB43" t="str">
            <v>2007</v>
          </cell>
          <cell r="AC43" t="str">
            <v>2008</v>
          </cell>
          <cell r="AD43" t="str">
            <v>2009</v>
          </cell>
          <cell r="AE43" t="str">
            <v>2010</v>
          </cell>
          <cell r="AF43">
            <v>250.29999999999998</v>
          </cell>
          <cell r="AG43" t="str">
            <v>2011</v>
          </cell>
          <cell r="AH43" t="str">
            <v>2011</v>
          </cell>
          <cell r="AI43" t="str">
            <v>2012</v>
          </cell>
          <cell r="AJ43" t="str">
            <v>2014</v>
          </cell>
          <cell r="AK43" t="str">
            <v>2016</v>
          </cell>
        </row>
        <row r="44">
          <cell r="C44" t="str">
            <v>Underlying net profit</v>
          </cell>
          <cell r="E44">
            <v>91.3</v>
          </cell>
          <cell r="F44">
            <v>121.6</v>
          </cell>
          <cell r="G44">
            <v>94.664031620552606</v>
          </cell>
          <cell r="H44">
            <v>101.59623365326634</v>
          </cell>
          <cell r="I44">
            <v>111.09539857420609</v>
          </cell>
          <cell r="J44">
            <v>119.4</v>
          </cell>
          <cell r="K44">
            <v>121.59</v>
          </cell>
          <cell r="L44">
            <v>133</v>
          </cell>
          <cell r="M44">
            <v>139.20000000000002</v>
          </cell>
          <cell r="N44">
            <v>41.790100000000038</v>
          </cell>
          <cell r="O44">
            <v>187.43886977479025</v>
          </cell>
          <cell r="P44">
            <v>159.53595178744644</v>
          </cell>
          <cell r="Q44">
            <v>172.16149761765911</v>
          </cell>
          <cell r="R44">
            <v>173.56770350987563</v>
          </cell>
          <cell r="S44">
            <v>397.5</v>
          </cell>
          <cell r="T44">
            <v>397.5</v>
          </cell>
          <cell r="U44" t="str">
            <v>Receivables</v>
          </cell>
          <cell r="V44">
            <v>397.5</v>
          </cell>
          <cell r="W44" t="str">
            <v>Cash</v>
          </cell>
          <cell r="X44" t="str">
            <v>Cash</v>
          </cell>
          <cell r="Y44">
            <v>227.29999999999998</v>
          </cell>
          <cell r="Z44">
            <v>227.29999999999998</v>
          </cell>
          <cell r="AA44">
            <v>318.00000000000006</v>
          </cell>
          <cell r="AB44">
            <v>236.5</v>
          </cell>
          <cell r="AC44">
            <v>200.6</v>
          </cell>
          <cell r="AD44">
            <v>272.30000000000007</v>
          </cell>
          <cell r="AE44">
            <v>235.1</v>
          </cell>
          <cell r="AF44">
            <v>192.4</v>
          </cell>
          <cell r="AG44">
            <v>258.7</v>
          </cell>
          <cell r="AH44">
            <v>258.7</v>
          </cell>
          <cell r="AI44">
            <v>250.29999999999998</v>
          </cell>
          <cell r="AJ44">
            <v>324.2</v>
          </cell>
          <cell r="AK44">
            <v>272.7</v>
          </cell>
        </row>
        <row r="45">
          <cell r="C45" t="str">
            <v>Ratios</v>
          </cell>
          <cell r="E45" t="str">
            <v>2005</v>
          </cell>
          <cell r="F45" t="str">
            <v>2006</v>
          </cell>
          <cell r="G45" t="str">
            <v>2007</v>
          </cell>
          <cell r="H45" t="str">
            <v>2008</v>
          </cell>
          <cell r="I45" t="str">
            <v>2009</v>
          </cell>
          <cell r="J45" t="str">
            <v>2010</v>
          </cell>
          <cell r="K45" t="str">
            <v>2011</v>
          </cell>
          <cell r="L45" t="str">
            <v>2012</v>
          </cell>
          <cell r="M45" t="str">
            <v>2013</v>
          </cell>
          <cell r="N45" t="str">
            <v>2014</v>
          </cell>
          <cell r="O45" t="str">
            <v>2015</v>
          </cell>
          <cell r="P45" t="str">
            <v>2016</v>
          </cell>
          <cell r="Q45" t="str">
            <v>2017</v>
          </cell>
          <cell r="R45" t="str">
            <v>2018</v>
          </cell>
          <cell r="S45" t="str">
            <v>2019E</v>
          </cell>
          <cell r="T45" t="str">
            <v>2020E</v>
          </cell>
          <cell r="U45" t="str">
            <v>2021E</v>
          </cell>
          <cell r="V45">
            <v>238.4589219940508</v>
          </cell>
          <cell r="W45" t="str">
            <v>Receivables</v>
          </cell>
          <cell r="X45" t="str">
            <v>Receivables</v>
          </cell>
          <cell r="Y45">
            <v>214.1</v>
          </cell>
          <cell r="Z45">
            <v>214.1</v>
          </cell>
          <cell r="AA45">
            <v>221.5</v>
          </cell>
          <cell r="AB45">
            <v>207.8</v>
          </cell>
          <cell r="AC45">
            <v>203.3</v>
          </cell>
          <cell r="AD45">
            <v>183</v>
          </cell>
          <cell r="AE45">
            <v>193.9</v>
          </cell>
          <cell r="AF45">
            <v>213.4</v>
          </cell>
          <cell r="AG45">
            <v>192.7</v>
          </cell>
          <cell r="AH45">
            <v>192.7</v>
          </cell>
          <cell r="AI45">
            <v>192.4</v>
          </cell>
          <cell r="AJ45">
            <v>276.7</v>
          </cell>
          <cell r="AK45">
            <v>223.5</v>
          </cell>
        </row>
        <row r="46">
          <cell r="C46" t="str">
            <v>EBITDA / sales (%)</v>
          </cell>
          <cell r="E46">
            <v>8.1827358495497868E-2</v>
          </cell>
          <cell r="F46">
            <v>0.13872828492521497</v>
          </cell>
          <cell r="G46">
            <v>0.12193201649464025</v>
          </cell>
          <cell r="H46">
            <v>0.12654039003002712</v>
          </cell>
          <cell r="I46">
            <v>0.12857627830371454</v>
          </cell>
          <cell r="J46">
            <v>0.1510740109452951</v>
          </cell>
          <cell r="K46">
            <v>0.12808606007271639</v>
          </cell>
          <cell r="L46">
            <v>0.14004911232037615</v>
          </cell>
          <cell r="M46">
            <v>0.14452267935791163</v>
          </cell>
          <cell r="N46">
            <v>0.15042474310961279</v>
          </cell>
          <cell r="O46">
            <v>0.17322684663157992</v>
          </cell>
          <cell r="P46">
            <v>0.17691629734829459</v>
          </cell>
          <cell r="Q46">
            <v>0.16551957321365818</v>
          </cell>
          <cell r="R46">
            <v>0.1557921035098602</v>
          </cell>
          <cell r="S46">
            <v>0.15734826335064608</v>
          </cell>
          <cell r="T46">
            <v>0.17056430078168225</v>
          </cell>
          <cell r="U46">
            <v>0.1818908504363336</v>
          </cell>
          <cell r="V46">
            <v>325.66496766831494</v>
          </cell>
          <cell r="W46" t="str">
            <v>Inventories</v>
          </cell>
          <cell r="X46" t="str">
            <v>Inventories</v>
          </cell>
          <cell r="Y46">
            <v>157.30000000000001</v>
          </cell>
          <cell r="Z46">
            <v>157.30000000000001</v>
          </cell>
          <cell r="AA46">
            <v>186</v>
          </cell>
          <cell r="AB46">
            <v>183</v>
          </cell>
          <cell r="AC46">
            <v>168.1</v>
          </cell>
          <cell r="AD46">
            <v>189.2</v>
          </cell>
          <cell r="AE46">
            <v>210</v>
          </cell>
          <cell r="AF46">
            <v>10</v>
          </cell>
          <cell r="AG46">
            <v>197.9</v>
          </cell>
          <cell r="AH46">
            <v>197.9</v>
          </cell>
          <cell r="AI46">
            <v>213.4</v>
          </cell>
          <cell r="AJ46">
            <v>311.5</v>
          </cell>
          <cell r="AK46">
            <v>322.8</v>
          </cell>
        </row>
        <row r="47">
          <cell r="C47" t="str">
            <v>EBIT / sales (%)</v>
          </cell>
          <cell r="E47">
            <v>4.0503557745135171E-2</v>
          </cell>
          <cell r="F47">
            <v>0.1164114789188553</v>
          </cell>
          <cell r="G47">
            <v>9.8933588499291167E-2</v>
          </cell>
          <cell r="H47">
            <v>9.9224364613297117E-2</v>
          </cell>
          <cell r="I47">
            <v>0.10534075393710922</v>
          </cell>
          <cell r="J47">
            <v>0.13174095652816409</v>
          </cell>
          <cell r="K47">
            <v>0.11146393095587039</v>
          </cell>
          <cell r="L47">
            <v>0.12204349947549542</v>
          </cell>
          <cell r="M47">
            <v>0.12419917757320531</v>
          </cell>
          <cell r="N47">
            <v>0.12986086369922475</v>
          </cell>
          <cell r="O47">
            <v>0.14910890344922087</v>
          </cell>
          <cell r="P47">
            <v>0.15049327003480542</v>
          </cell>
          <cell r="Q47">
            <v>0.13803003613258119</v>
          </cell>
          <cell r="R47">
            <v>0.12961419727597587</v>
          </cell>
          <cell r="S47">
            <v>0.13113843745136006</v>
          </cell>
          <cell r="T47">
            <v>0.1412938547432695</v>
          </cell>
          <cell r="U47">
            <v>0.15027969864595406</v>
          </cell>
          <cell r="V47">
            <v>27.899999999999977</v>
          </cell>
          <cell r="W47" t="str">
            <v>Other</v>
          </cell>
          <cell r="X47" t="str">
            <v>Other</v>
          </cell>
          <cell r="Y47">
            <v>14.399999999999977</v>
          </cell>
          <cell r="Z47">
            <v>14.399999999999977</v>
          </cell>
          <cell r="AA47">
            <v>12.600000000000023</v>
          </cell>
          <cell r="AB47">
            <v>13.600000000000023</v>
          </cell>
          <cell r="AC47">
            <v>10.899999999999977</v>
          </cell>
          <cell r="AD47">
            <v>11.100000000000023</v>
          </cell>
          <cell r="AE47">
            <v>9.7000000000000455</v>
          </cell>
          <cell r="AF47">
            <v>666.1</v>
          </cell>
          <cell r="AG47">
            <v>11.100000000000023</v>
          </cell>
          <cell r="AH47">
            <v>11.100000000000023</v>
          </cell>
          <cell r="AI47">
            <v>10</v>
          </cell>
          <cell r="AJ47">
            <v>19.200000000000045</v>
          </cell>
          <cell r="AK47">
            <v>27.600000000000023</v>
          </cell>
        </row>
        <row r="48">
          <cell r="C48" t="str">
            <v>Return on assets (%)</v>
          </cell>
          <cell r="E48">
            <v>4.5683712316081891E-2</v>
          </cell>
          <cell r="F48">
            <v>0.13383838383838384</v>
          </cell>
          <cell r="G48">
            <v>0.12095501183898974</v>
          </cell>
          <cell r="H48">
            <v>0.129197614813265</v>
          </cell>
          <cell r="I48">
            <v>0.13697807270628967</v>
          </cell>
          <cell r="J48">
            <v>0.13468235294117648</v>
          </cell>
          <cell r="K48">
            <v>0.13172327528143943</v>
          </cell>
          <cell r="L48">
            <v>0.13881841246828558</v>
          </cell>
          <cell r="M48">
            <v>0.12224851222485124</v>
          </cell>
          <cell r="N48">
            <v>0.10143930834602348</v>
          </cell>
          <cell r="O48">
            <v>0.11708830548926015</v>
          </cell>
          <cell r="P48">
            <v>0.1172968878537093</v>
          </cell>
          <cell r="Q48">
            <v>0.10347251511317306</v>
          </cell>
          <cell r="R48">
            <v>9.9551477032530797E-2</v>
          </cell>
          <cell r="S48">
            <v>0.1015160222300994</v>
          </cell>
          <cell r="T48">
            <v>0.11207859053661375</v>
          </cell>
          <cell r="U48">
            <v>0.1234410082160413</v>
          </cell>
          <cell r="V48">
            <v>989.52388966236572</v>
          </cell>
          <cell r="W48" t="str">
            <v>Current assets</v>
          </cell>
          <cell r="X48" t="str">
            <v>Current assets</v>
          </cell>
          <cell r="Y48">
            <v>613.1</v>
          </cell>
          <cell r="Z48">
            <v>613.1</v>
          </cell>
          <cell r="AA48">
            <v>738.1</v>
          </cell>
          <cell r="AB48">
            <v>640.9</v>
          </cell>
          <cell r="AC48">
            <v>582.9</v>
          </cell>
          <cell r="AD48">
            <v>655.6</v>
          </cell>
          <cell r="AE48">
            <v>648.70000000000005</v>
          </cell>
          <cell r="AF48">
            <v>151.19999999999999</v>
          </cell>
          <cell r="AG48">
            <v>660.4</v>
          </cell>
          <cell r="AH48">
            <v>660.4</v>
          </cell>
          <cell r="AI48">
            <v>666.1</v>
          </cell>
          <cell r="AJ48">
            <v>931.6</v>
          </cell>
          <cell r="AK48">
            <v>846.6</v>
          </cell>
        </row>
        <row r="49">
          <cell r="C49" t="str">
            <v>Return on equity (%)</v>
          </cell>
          <cell r="E49">
            <v>5.2753815527538155E-2</v>
          </cell>
          <cell r="F49">
            <v>0.17760440569068381</v>
          </cell>
          <cell r="G49">
            <v>0.16297262059973924</v>
          </cell>
          <cell r="H49">
            <v>0.18791208791208794</v>
          </cell>
          <cell r="I49">
            <v>0.18995462368956342</v>
          </cell>
          <cell r="J49">
            <v>0.17965693650315984</v>
          </cell>
          <cell r="K49">
            <v>0.1681510164569216</v>
          </cell>
          <cell r="L49">
            <v>0.18380320619126592</v>
          </cell>
          <cell r="M49">
            <v>0.17996121525533293</v>
          </cell>
          <cell r="N49">
            <v>0.1375625602805787</v>
          </cell>
          <cell r="O49">
            <v>0.16067106958236779</v>
          </cell>
          <cell r="P49">
            <v>0.13997837490102927</v>
          </cell>
          <cell r="Q49">
            <v>0.12208804820403121</v>
          </cell>
          <cell r="R49">
            <v>9.4632950587021036E-2</v>
          </cell>
          <cell r="S49">
            <v>9.8615965935229102E-2</v>
          </cell>
          <cell r="T49">
            <v>0.10334097614739179</v>
          </cell>
          <cell r="U49">
            <v>0.10764168916648521</v>
          </cell>
          <cell r="V49">
            <v>291.26155705226796</v>
          </cell>
          <cell r="W49" t="str">
            <v>Net PPE</v>
          </cell>
          <cell r="X49" t="str">
            <v>Net PPE</v>
          </cell>
          <cell r="Y49">
            <v>195.4</v>
          </cell>
          <cell r="Z49">
            <v>195.4</v>
          </cell>
          <cell r="AA49">
            <v>195.6</v>
          </cell>
          <cell r="AB49">
            <v>192.2</v>
          </cell>
          <cell r="AC49">
            <v>167.9</v>
          </cell>
          <cell r="AD49">
            <v>176.8</v>
          </cell>
          <cell r="AE49">
            <v>164.2</v>
          </cell>
          <cell r="AF49">
            <v>4</v>
          </cell>
          <cell r="AG49">
            <v>150.4</v>
          </cell>
          <cell r="AH49">
            <v>150.4</v>
          </cell>
          <cell r="AI49">
            <v>151.19999999999999</v>
          </cell>
          <cell r="AJ49">
            <v>206.1</v>
          </cell>
          <cell r="AK49">
            <v>245</v>
          </cell>
        </row>
        <row r="50">
          <cell r="C50" t="str">
            <v>Dividend cover (x)</v>
          </cell>
          <cell r="E50">
            <v>1.1061685798355481</v>
          </cell>
          <cell r="F50">
            <v>3.4595113457030089</v>
          </cell>
          <cell r="G50">
            <v>2.7787350520031935</v>
          </cell>
          <cell r="H50">
            <v>2.7361209933743971</v>
          </cell>
          <cell r="I50">
            <v>3.1417380969990951</v>
          </cell>
          <cell r="J50">
            <v>2.9174186239482651</v>
          </cell>
          <cell r="K50">
            <v>2.8149378836345615</v>
          </cell>
          <cell r="L50">
            <v>2.8182851251466459</v>
          </cell>
          <cell r="M50">
            <v>2.7830945123673843</v>
          </cell>
          <cell r="N50">
            <v>2.7670494000961066</v>
          </cell>
          <cell r="O50">
            <v>2.7960180320060597</v>
          </cell>
          <cell r="P50">
            <v>2.3924881857853038</v>
          </cell>
          <cell r="Q50">
            <v>2.3284207991562891</v>
          </cell>
          <cell r="R50">
            <v>2.2132559444221993</v>
          </cell>
          <cell r="S50">
            <v>2.1796560842599795</v>
          </cell>
          <cell r="T50">
            <v>2.1796560842599795</v>
          </cell>
          <cell r="U50">
            <v>2.1796560842599795</v>
          </cell>
          <cell r="V50">
            <v>0</v>
          </cell>
          <cell r="W50" t="str">
            <v>Investments</v>
          </cell>
          <cell r="X50" t="str">
            <v>Investments</v>
          </cell>
          <cell r="Y50">
            <v>59</v>
          </cell>
          <cell r="Z50">
            <v>59</v>
          </cell>
          <cell r="AA50">
            <v>0</v>
          </cell>
          <cell r="AB50">
            <v>0</v>
          </cell>
          <cell r="AC50">
            <v>0</v>
          </cell>
          <cell r="AD50">
            <v>0.2</v>
          </cell>
          <cell r="AE50">
            <v>0.1</v>
          </cell>
          <cell r="AF50">
            <v>391.2</v>
          </cell>
          <cell r="AG50" t="str">
            <v>0</v>
          </cell>
          <cell r="AH50" t="str">
            <v>0</v>
          </cell>
          <cell r="AI50">
            <v>4</v>
          </cell>
          <cell r="AJ50">
            <v>6</v>
          </cell>
          <cell r="AK50">
            <v>4.9000000000000004</v>
          </cell>
        </row>
        <row r="51">
          <cell r="C51" t="str">
            <v>Net debt / (cash) ($m)</v>
          </cell>
          <cell r="E51">
            <v>138.00000000000003</v>
          </cell>
          <cell r="F51">
            <v>72.199999999999932</v>
          </cell>
          <cell r="G51">
            <v>129.19999999999999</v>
          </cell>
          <cell r="H51">
            <v>133.19999999999996</v>
          </cell>
          <cell r="I51">
            <v>122.89999999999992</v>
          </cell>
          <cell r="J51">
            <v>58.299999999999983</v>
          </cell>
          <cell r="K51">
            <v>-16</v>
          </cell>
          <cell r="L51">
            <v>51.900000000000006</v>
          </cell>
          <cell r="M51">
            <v>248.50000000000006</v>
          </cell>
          <cell r="N51">
            <v>410.59999999999997</v>
          </cell>
          <cell r="O51">
            <v>459.70000000000005</v>
          </cell>
          <cell r="P51">
            <v>418.90000000000003</v>
          </cell>
          <cell r="Q51">
            <v>403.9</v>
          </cell>
          <cell r="R51">
            <v>-30.799999999999955</v>
          </cell>
          <cell r="S51">
            <v>68.77509592389913</v>
          </cell>
          <cell r="T51">
            <v>0.39426636540974869</v>
          </cell>
          <cell r="U51">
            <v>-94.6866480634705</v>
          </cell>
          <cell r="V51">
            <v>1066.3999999999996</v>
          </cell>
          <cell r="W51" t="str">
            <v>Intangibles</v>
          </cell>
          <cell r="X51" t="str">
            <v>Intangibles</v>
          </cell>
          <cell r="Y51">
            <v>0</v>
          </cell>
          <cell r="Z51">
            <v>0</v>
          </cell>
          <cell r="AA51">
            <v>0</v>
          </cell>
          <cell r="AB51">
            <v>331.5</v>
          </cell>
          <cell r="AC51">
            <v>314.3</v>
          </cell>
          <cell r="AD51">
            <v>354.8</v>
          </cell>
          <cell r="AE51">
            <v>358.7</v>
          </cell>
          <cell r="AF51">
            <v>141.39999999999998</v>
          </cell>
          <cell r="AG51">
            <v>361.8</v>
          </cell>
          <cell r="AH51">
            <v>361.8</v>
          </cell>
          <cell r="AI51">
            <v>391.2</v>
          </cell>
          <cell r="AJ51">
            <v>1067.7</v>
          </cell>
          <cell r="AK51">
            <v>1077.3</v>
          </cell>
        </row>
        <row r="52">
          <cell r="C52" t="str">
            <v>Debt / equity (%)</v>
          </cell>
          <cell r="E52">
            <v>0.37733705195744244</v>
          </cell>
          <cell r="F52">
            <v>0.37379059296867517</v>
          </cell>
          <cell r="G52">
            <v>0.37343000102113755</v>
          </cell>
          <cell r="H52">
            <v>0.37940441009320297</v>
          </cell>
          <cell r="I52">
            <v>0.38209416997002804</v>
          </cell>
          <cell r="J52">
            <v>0.30626304801670146</v>
          </cell>
          <cell r="K52">
            <v>0.25129426382273762</v>
          </cell>
          <cell r="L52">
            <v>0.29459933710274905</v>
          </cell>
          <cell r="M52">
            <v>0.4189453125</v>
          </cell>
          <cell r="N52">
            <v>0.39183064043086441</v>
          </cell>
          <cell r="O52">
            <v>0.38847827226503123</v>
          </cell>
          <cell r="P52">
            <v>0.37827490018049553</v>
          </cell>
          <cell r="Q52">
            <v>0.36963882618510158</v>
          </cell>
          <cell r="R52">
            <v>0.26258205689277903</v>
          </cell>
          <cell r="S52">
            <v>0.30845818474264058</v>
          </cell>
          <cell r="T52">
            <v>0.27248906592738437</v>
          </cell>
          <cell r="U52">
            <v>0.22703056025947632</v>
          </cell>
          <cell r="V52">
            <v>114.79999999999995</v>
          </cell>
          <cell r="W52" t="str">
            <v>Other</v>
          </cell>
          <cell r="X52" t="str">
            <v>Other</v>
          </cell>
          <cell r="Y52">
            <v>331.70000000000005</v>
          </cell>
          <cell r="Z52">
            <v>331.70000000000005</v>
          </cell>
          <cell r="AA52">
            <v>374.30000000000007</v>
          </cell>
          <cell r="AB52">
            <v>85.499999999999886</v>
          </cell>
          <cell r="AC52">
            <v>91.399999999999977</v>
          </cell>
          <cell r="AD52">
            <v>124.70000000000005</v>
          </cell>
          <cell r="AE52">
            <v>125.89999999999998</v>
          </cell>
          <cell r="AF52">
            <v>687.8</v>
          </cell>
          <cell r="AG52">
            <v>125.39999999999986</v>
          </cell>
          <cell r="AH52">
            <v>125.39999999999986</v>
          </cell>
          <cell r="AI52">
            <v>141.39999999999998</v>
          </cell>
          <cell r="AJ52">
            <v>148.50000000000023</v>
          </cell>
          <cell r="AK52">
            <v>116.79999999999995</v>
          </cell>
        </row>
        <row r="53">
          <cell r="C53" t="str">
            <v>Net debt / equity (%)</v>
          </cell>
          <cell r="E53">
            <v>0.18628509719222466</v>
          </cell>
          <cell r="F53">
            <v>9.9462735914037675E-2</v>
          </cell>
          <cell r="G53">
            <v>0.17393645665051158</v>
          </cell>
          <cell r="H53">
            <v>0.19611307420494695</v>
          </cell>
          <cell r="I53">
            <v>0.16128608923884508</v>
          </cell>
          <cell r="J53">
            <v>8.0647392447088115E-2</v>
          </cell>
          <cell r="K53">
            <v>-2.2627633998020084E-2</v>
          </cell>
          <cell r="L53">
            <v>6.6924564796905228E-2</v>
          </cell>
          <cell r="M53">
            <v>0.24315068493150691</v>
          </cell>
          <cell r="N53">
            <v>0.264715363290568</v>
          </cell>
          <cell r="O53">
            <v>0.28266617475250577</v>
          </cell>
          <cell r="P53">
            <v>0.26928516328104912</v>
          </cell>
          <cell r="Q53">
            <v>0.24739679039568785</v>
          </cell>
          <cell r="R53">
            <v>-2.0271159668290087E-2</v>
          </cell>
          <cell r="S53">
            <v>4.4963939137320025E-2</v>
          </cell>
          <cell r="T53">
            <v>2.5314892289349689E-4</v>
          </cell>
          <cell r="U53">
            <v>-6.0418117758284512E-2</v>
          </cell>
          <cell r="V53">
            <v>1472.4615570522676</v>
          </cell>
          <cell r="W53" t="str">
            <v>Non-current assets</v>
          </cell>
          <cell r="X53" t="str">
            <v>Non-current assets</v>
          </cell>
          <cell r="Y53">
            <v>586.1</v>
          </cell>
          <cell r="Z53">
            <v>586.1</v>
          </cell>
          <cell r="AA53">
            <v>569.90000000000009</v>
          </cell>
          <cell r="AB53">
            <v>609.19999999999993</v>
          </cell>
          <cell r="AC53">
            <v>573.6</v>
          </cell>
          <cell r="AD53">
            <v>656.5</v>
          </cell>
          <cell r="AE53">
            <v>648.9</v>
          </cell>
          <cell r="AF53">
            <v>1353.9</v>
          </cell>
          <cell r="AG53">
            <v>637.59999999999991</v>
          </cell>
          <cell r="AH53">
            <v>637.59999999999991</v>
          </cell>
          <cell r="AI53">
            <v>687.8</v>
          </cell>
          <cell r="AJ53">
            <v>1428.3000000000002</v>
          </cell>
          <cell r="AK53">
            <v>1444</v>
          </cell>
        </row>
        <row r="54">
          <cell r="C54" t="str">
            <v>Interest cover (x)</v>
          </cell>
          <cell r="E54">
            <v>4.625</v>
          </cell>
          <cell r="F54">
            <v>22.457627118644066</v>
          </cell>
          <cell r="G54">
            <v>13.622222222222222</v>
          </cell>
          <cell r="H54">
            <v>11.990291262135921</v>
          </cell>
          <cell r="I54">
            <v>11.188691102766738</v>
          </cell>
          <cell r="J54">
            <v>14.75257731958763</v>
          </cell>
          <cell r="K54">
            <v>34.225000000000001</v>
          </cell>
          <cell r="L54">
            <v>30.639999999999997</v>
          </cell>
          <cell r="M54">
            <v>15.934579439252337</v>
          </cell>
          <cell r="N54">
            <v>11.346153846153845</v>
          </cell>
          <cell r="O54">
            <v>11.409302325581393</v>
          </cell>
          <cell r="P54">
            <v>10.665039906026072</v>
          </cell>
          <cell r="Q54">
            <v>9.7268722466960398</v>
          </cell>
          <cell r="R54">
            <v>15.447999999999995</v>
          </cell>
          <cell r="S54">
            <v>14.497558839707231</v>
          </cell>
          <cell r="T54">
            <v>19.090905790372183</v>
          </cell>
          <cell r="U54">
            <v>27.970460222237225</v>
          </cell>
          <cell r="V54">
            <v>2461.9854467146333</v>
          </cell>
          <cell r="W54" t="str">
            <v>Total assets</v>
          </cell>
          <cell r="X54" t="str">
            <v>Total assets</v>
          </cell>
          <cell r="Y54">
            <v>1199.2</v>
          </cell>
          <cell r="Z54">
            <v>1199.2</v>
          </cell>
          <cell r="AA54">
            <v>1308</v>
          </cell>
          <cell r="AB54">
            <v>1250.0999999999999</v>
          </cell>
          <cell r="AC54">
            <v>1156.5</v>
          </cell>
          <cell r="AD54">
            <v>1312.1</v>
          </cell>
          <cell r="AE54">
            <v>1297.5999999999999</v>
          </cell>
          <cell r="AG54">
            <v>1298</v>
          </cell>
          <cell r="AH54">
            <v>1298</v>
          </cell>
          <cell r="AI54">
            <v>1353.9</v>
          </cell>
          <cell r="AJ54">
            <v>2359.9</v>
          </cell>
          <cell r="AK54">
            <v>2290.6</v>
          </cell>
        </row>
        <row r="55">
          <cell r="C55" t="str">
            <v>Interest cover (x)</v>
          </cell>
          <cell r="E55">
            <v>4.625</v>
          </cell>
          <cell r="F55">
            <v>22.457627118644066</v>
          </cell>
          <cell r="G55">
            <v>13.622222222222222</v>
          </cell>
          <cell r="H55">
            <v>11.990291262135921</v>
          </cell>
          <cell r="I55">
            <v>11.188691102766738</v>
          </cell>
          <cell r="J55">
            <v>14.75257731958763</v>
          </cell>
          <cell r="K55">
            <v>34.225000000000001</v>
          </cell>
          <cell r="L55">
            <v>30.639999999999997</v>
          </cell>
          <cell r="M55">
            <v>15.934579439252337</v>
          </cell>
          <cell r="N55">
            <v>11.346153846153845</v>
          </cell>
          <cell r="O55">
            <v>11.409302325581393</v>
          </cell>
          <cell r="P55">
            <v>8.5194827265828792</v>
          </cell>
          <cell r="Q55">
            <v>7.9933018053187661</v>
          </cell>
          <cell r="R55">
            <v>8.3481241314322787</v>
          </cell>
          <cell r="U55" t="str">
            <v>Debt</v>
          </cell>
          <cell r="W55">
            <v>365.3</v>
          </cell>
          <cell r="X55">
            <v>390.2</v>
          </cell>
          <cell r="Y55">
            <v>365.7</v>
          </cell>
          <cell r="Z55">
            <v>333.79999999999995</v>
          </cell>
          <cell r="AA55">
            <v>395.2</v>
          </cell>
          <cell r="AB55">
            <v>293.39999999999998</v>
          </cell>
          <cell r="AE55">
            <v>242.7</v>
          </cell>
          <cell r="AF55">
            <v>302.2</v>
          </cell>
          <cell r="AG55">
            <v>734.8</v>
          </cell>
          <cell r="AH55">
            <v>741.1</v>
          </cell>
          <cell r="AI55">
            <v>741.1</v>
          </cell>
          <cell r="AJ55">
            <v>741.1</v>
          </cell>
          <cell r="AK55">
            <v>741.1</v>
          </cell>
        </row>
        <row r="56">
          <cell r="C56" t="str">
            <v>Divisional EBIT (US$mn)</v>
          </cell>
          <cell r="E56" t="str">
            <v>2005</v>
          </cell>
          <cell r="F56" t="str">
            <v>2006</v>
          </cell>
          <cell r="G56" t="str">
            <v>2007</v>
          </cell>
          <cell r="H56" t="str">
            <v>2008</v>
          </cell>
          <cell r="I56" t="str">
            <v>2009</v>
          </cell>
          <cell r="J56" t="str">
            <v>2010</v>
          </cell>
          <cell r="K56" t="str">
            <v>2011</v>
          </cell>
          <cell r="L56" t="str">
            <v>2012</v>
          </cell>
          <cell r="M56" t="str">
            <v>2013</v>
          </cell>
          <cell r="N56" t="str">
            <v>2014</v>
          </cell>
          <cell r="O56" t="str">
            <v>2015</v>
          </cell>
          <cell r="P56" t="str">
            <v>2016</v>
          </cell>
          <cell r="Q56" t="str">
            <v>2017</v>
          </cell>
          <cell r="R56" t="str">
            <v>2018</v>
          </cell>
          <cell r="S56" t="str">
            <v>2019E</v>
          </cell>
          <cell r="T56" t="str">
            <v>2020E</v>
          </cell>
          <cell r="U56" t="str">
            <v>2021E</v>
          </cell>
          <cell r="V56">
            <v>293.83955714866084</v>
          </cell>
          <cell r="W56" t="str">
            <v>Debt</v>
          </cell>
          <cell r="X56" t="str">
            <v>Debt</v>
          </cell>
          <cell r="Y56">
            <v>365.3</v>
          </cell>
          <cell r="Z56">
            <v>365.3</v>
          </cell>
          <cell r="AA56">
            <v>390.2</v>
          </cell>
          <cell r="AB56">
            <v>365.7</v>
          </cell>
          <cell r="AC56">
            <v>333.79999999999995</v>
          </cell>
          <cell r="AD56">
            <v>395.2</v>
          </cell>
          <cell r="AE56">
            <v>293.39999999999998</v>
          </cell>
          <cell r="AF56">
            <v>135</v>
          </cell>
          <cell r="AG56">
            <v>242.7</v>
          </cell>
          <cell r="AH56">
            <v>242.7</v>
          </cell>
          <cell r="AI56">
            <v>302.2</v>
          </cell>
          <cell r="AJ56">
            <v>734.8</v>
          </cell>
          <cell r="AK56">
            <v>691.6</v>
          </cell>
        </row>
        <row r="57">
          <cell r="C57" t="str">
            <v>Healthcare</v>
          </cell>
          <cell r="E57">
            <v>279.2</v>
          </cell>
          <cell r="F57">
            <v>289</v>
          </cell>
          <cell r="G57">
            <v>320.3</v>
          </cell>
          <cell r="H57">
            <v>356.64310160000002</v>
          </cell>
          <cell r="I57">
            <v>332.20771449142802</v>
          </cell>
          <cell r="J57">
            <v>352.7887024578846</v>
          </cell>
          <cell r="K57">
            <v>39.223004238579485</v>
          </cell>
          <cell r="L57">
            <v>39.528729195712387</v>
          </cell>
          <cell r="M57">
            <v>41.096676407148259</v>
          </cell>
          <cell r="N57">
            <v>57.453301064967135</v>
          </cell>
          <cell r="O57">
            <v>70.20530771865279</v>
          </cell>
          <cell r="P57">
            <v>117.14392967173406</v>
          </cell>
          <cell r="Q57">
            <v>110.04936955253717</v>
          </cell>
          <cell r="R57">
            <v>120.11544188057781</v>
          </cell>
          <cell r="S57">
            <v>129.1334020169833</v>
          </cell>
          <cell r="T57">
            <v>139.19128929213338</v>
          </cell>
          <cell r="U57">
            <v>153.13812937036656</v>
          </cell>
          <cell r="V57">
            <v>183.9</v>
          </cell>
          <cell r="W57" t="str">
            <v>Provisions</v>
          </cell>
          <cell r="X57" t="str">
            <v>Provisions</v>
          </cell>
          <cell r="Y57">
            <v>97.5</v>
          </cell>
          <cell r="Z57">
            <v>97.5</v>
          </cell>
          <cell r="AA57">
            <v>110.4</v>
          </cell>
          <cell r="AB57">
            <v>105.69999999999999</v>
          </cell>
          <cell r="AC57">
            <v>105.69999999999999</v>
          </cell>
          <cell r="AD57">
            <v>125.3</v>
          </cell>
          <cell r="AE57">
            <v>151.30000000000001</v>
          </cell>
          <cell r="AF57">
            <v>193.09999999999997</v>
          </cell>
          <cell r="AG57">
            <v>140.5</v>
          </cell>
          <cell r="AH57">
            <v>140.5</v>
          </cell>
          <cell r="AI57">
            <v>135</v>
          </cell>
          <cell r="AJ57">
            <v>234.4</v>
          </cell>
          <cell r="AK57">
            <v>217.2</v>
          </cell>
        </row>
        <row r="58">
          <cell r="C58" t="str">
            <v xml:space="preserve">     margin</v>
          </cell>
          <cell r="E58">
            <v>279.2</v>
          </cell>
          <cell r="F58">
            <v>289</v>
          </cell>
          <cell r="G58">
            <v>320.3</v>
          </cell>
          <cell r="H58">
            <v>356.64310160000002</v>
          </cell>
          <cell r="I58">
            <v>332.20771449142802</v>
          </cell>
          <cell r="J58">
            <v>352.7887024578846</v>
          </cell>
          <cell r="K58">
            <v>39.223004238579485</v>
          </cell>
          <cell r="L58">
            <v>39.528729195712387</v>
          </cell>
          <cell r="M58">
            <v>41.096676407148259</v>
          </cell>
          <cell r="N58">
            <v>57.453301064967135</v>
          </cell>
          <cell r="O58">
            <v>0.15698639303947873</v>
          </cell>
          <cell r="P58">
            <v>0.16782752593856518</v>
          </cell>
          <cell r="Q58">
            <v>0.15314790574490089</v>
          </cell>
          <cell r="R58">
            <v>0.1551265938751239</v>
          </cell>
          <cell r="S58">
            <v>0.1624243238111506</v>
          </cell>
          <cell r="T58">
            <v>0.16932264226155863</v>
          </cell>
          <cell r="U58">
            <v>0.18005447112300965</v>
          </cell>
          <cell r="V58">
            <v>252.4874857360212</v>
          </cell>
          <cell r="W58" t="str">
            <v>Other</v>
          </cell>
          <cell r="X58" t="str">
            <v>Other</v>
          </cell>
          <cell r="Y58">
            <v>133.60000000000008</v>
          </cell>
          <cell r="Z58">
            <v>133.60000000000008</v>
          </cell>
          <cell r="AA58">
            <v>153.69999999999993</v>
          </cell>
          <cell r="AB58">
            <v>165.10000000000002</v>
          </cell>
          <cell r="AC58">
            <v>171.00000000000006</v>
          </cell>
          <cell r="AD58">
            <v>152.5</v>
          </cell>
          <cell r="AE58">
            <v>188.3</v>
          </cell>
          <cell r="AF58">
            <v>630.29999999999995</v>
          </cell>
          <cell r="AG58">
            <v>191.7</v>
          </cell>
          <cell r="AH58">
            <v>191.7</v>
          </cell>
          <cell r="AI58">
            <v>193.09999999999997</v>
          </cell>
          <cell r="AJ58">
            <v>250.20000000000016</v>
          </cell>
          <cell r="AK58">
            <v>245.10000000000014</v>
          </cell>
        </row>
        <row r="59">
          <cell r="C59" t="str">
            <v xml:space="preserve">     growth</v>
          </cell>
          <cell r="E59">
            <v>130.4</v>
          </cell>
          <cell r="F59">
            <v>135.5</v>
          </cell>
          <cell r="G59">
            <v>176.2</v>
          </cell>
          <cell r="H59">
            <v>211.66515731391587</v>
          </cell>
          <cell r="I59">
            <v>193.30813363558252</v>
          </cell>
          <cell r="J59">
            <v>170.29822489736</v>
          </cell>
          <cell r="K59">
            <v>21.877738165989928</v>
          </cell>
          <cell r="L59">
            <v>33.300517585289796</v>
          </cell>
          <cell r="M59">
            <v>34.225603999274114</v>
          </cell>
          <cell r="N59">
            <v>24.964488476882689</v>
          </cell>
          <cell r="O59">
            <v>0.1202624839207625</v>
          </cell>
          <cell r="P59">
            <v>27.582465069967359</v>
          </cell>
          <cell r="Q59">
            <v>-6.0562763594132256E-2</v>
          </cell>
          <cell r="R59">
            <v>9.1468695994983654E-2</v>
          </cell>
          <cell r="S59">
            <v>7.5077442127477703E-2</v>
          </cell>
          <cell r="T59">
            <v>7.7887572990815279E-2</v>
          </cell>
          <cell r="U59">
            <v>0.10019908680464683</v>
          </cell>
          <cell r="V59">
            <v>730.22704288468208</v>
          </cell>
          <cell r="W59" t="str">
            <v>Total liabilities</v>
          </cell>
          <cell r="X59" t="str">
            <v>Total liabilities</v>
          </cell>
          <cell r="Y59">
            <v>596.40000000000009</v>
          </cell>
          <cell r="Z59">
            <v>596.40000000000009</v>
          </cell>
          <cell r="AA59">
            <v>654.29999999999995</v>
          </cell>
          <cell r="AB59">
            <v>636.5</v>
          </cell>
          <cell r="AC59">
            <v>610.5</v>
          </cell>
          <cell r="AD59">
            <v>673</v>
          </cell>
          <cell r="AE59">
            <v>633</v>
          </cell>
          <cell r="AF59">
            <v>756.19999999999993</v>
          </cell>
          <cell r="AG59">
            <v>574.9</v>
          </cell>
          <cell r="AH59">
            <v>574.9</v>
          </cell>
          <cell r="AI59">
            <v>630.29999999999995</v>
          </cell>
          <cell r="AJ59">
            <v>1219.4000000000001</v>
          </cell>
          <cell r="AK59">
            <v>1153.9000000000001</v>
          </cell>
        </row>
        <row r="60">
          <cell r="C60" t="str">
            <v>Single Use</v>
          </cell>
          <cell r="E60">
            <v>414.29999999999995</v>
          </cell>
          <cell r="F60">
            <v>424.59999999999997</v>
          </cell>
          <cell r="G60">
            <v>478.9</v>
          </cell>
          <cell r="H60">
            <v>547.67713217021276</v>
          </cell>
          <cell r="I60">
            <v>477.35902505327113</v>
          </cell>
          <cell r="J60">
            <v>397.53563980372041</v>
          </cell>
          <cell r="K60">
            <v>2.5035772989861189</v>
          </cell>
          <cell r="L60">
            <v>7.218053501904083</v>
          </cell>
          <cell r="M60">
            <v>11.718077440414456</v>
          </cell>
          <cell r="N60">
            <v>32.202039164071465</v>
          </cell>
          <cell r="O60">
            <v>0.1202624839207625</v>
          </cell>
          <cell r="P60">
            <v>64.720369465793667</v>
          </cell>
          <cell r="Q60">
            <v>66.241679517354896</v>
          </cell>
          <cell r="R60">
            <v>64.513416738306404</v>
          </cell>
          <cell r="S60">
            <v>788.40000000000009</v>
          </cell>
          <cell r="T60">
            <v>788.4</v>
          </cell>
          <cell r="U60" t="str">
            <v>Retained profits</v>
          </cell>
          <cell r="V60">
            <v>788.39999999999986</v>
          </cell>
          <cell r="W60" t="str">
            <v>Equity / reserves</v>
          </cell>
          <cell r="X60" t="str">
            <v>Equity / reserves</v>
          </cell>
          <cell r="Y60">
            <v>936.19999999999993</v>
          </cell>
          <cell r="Z60">
            <v>936.19999999999993</v>
          </cell>
          <cell r="AA60">
            <v>1131.5999999999999</v>
          </cell>
          <cell r="AB60">
            <v>1019.7</v>
          </cell>
          <cell r="AC60">
            <v>889.5</v>
          </cell>
          <cell r="AD60">
            <v>913.2</v>
          </cell>
          <cell r="AE60">
            <v>857.8</v>
          </cell>
          <cell r="AF60">
            <v>-46.7</v>
          </cell>
          <cell r="AG60">
            <v>842.2</v>
          </cell>
          <cell r="AH60">
            <v>842.2</v>
          </cell>
          <cell r="AI60">
            <v>756.19999999999993</v>
          </cell>
          <cell r="AJ60">
            <v>1276.2</v>
          </cell>
          <cell r="AK60">
            <v>1058.6000000000001</v>
          </cell>
        </row>
        <row r="61">
          <cell r="C61" t="str">
            <v>Industrial</v>
          </cell>
          <cell r="E61">
            <v>88.995647077031137</v>
          </cell>
          <cell r="F61">
            <v>79.776261405610171</v>
          </cell>
          <cell r="G61">
            <v>86.92528565631136</v>
          </cell>
          <cell r="H61">
            <v>98.749673900454241</v>
          </cell>
          <cell r="I61">
            <v>101.25596534116849</v>
          </cell>
          <cell r="J61">
            <v>111.30695841424625</v>
          </cell>
          <cell r="K61">
            <v>81.903843351328348</v>
          </cell>
          <cell r="L61">
            <v>83.742244222564182</v>
          </cell>
          <cell r="M61">
            <v>92</v>
          </cell>
          <cell r="N61">
            <v>93.6</v>
          </cell>
          <cell r="O61">
            <v>92.700000000000017</v>
          </cell>
          <cell r="P61">
            <v>88.995647077031137</v>
          </cell>
          <cell r="Q61">
            <v>79.776261405610171</v>
          </cell>
          <cell r="R61">
            <v>86.884833686862322</v>
          </cell>
          <cell r="S61">
            <v>81.96227381454122</v>
          </cell>
          <cell r="T61">
            <v>95.758115661595227</v>
          </cell>
          <cell r="U61">
            <v>105.6326812829422</v>
          </cell>
          <cell r="V61">
            <v>926.11207908191204</v>
          </cell>
          <cell r="W61" t="str">
            <v>Retained profits</v>
          </cell>
          <cell r="X61" t="str">
            <v>Retained profits</v>
          </cell>
          <cell r="Y61">
            <v>-342.5</v>
          </cell>
          <cell r="Z61">
            <v>-342.5</v>
          </cell>
          <cell r="AA61">
            <v>-491.9</v>
          </cell>
          <cell r="AB61">
            <v>-421.4</v>
          </cell>
          <cell r="AC61">
            <v>-356.2</v>
          </cell>
          <cell r="AD61">
            <v>-288.7</v>
          </cell>
          <cell r="AE61">
            <v>-207.1</v>
          </cell>
          <cell r="AF61">
            <v>709.49999999999989</v>
          </cell>
          <cell r="AG61">
            <v>-133.6</v>
          </cell>
          <cell r="AH61">
            <v>-133.6</v>
          </cell>
          <cell r="AI61">
            <v>-46.7</v>
          </cell>
          <cell r="AJ61">
            <v>-151.19999999999999</v>
          </cell>
          <cell r="AK61">
            <v>62.4</v>
          </cell>
        </row>
        <row r="62">
          <cell r="C62" t="str">
            <v xml:space="preserve">     margin</v>
          </cell>
          <cell r="E62">
            <v>0.1359201903234189</v>
          </cell>
          <cell r="F62">
            <v>0.12163104172522016</v>
          </cell>
          <cell r="G62">
            <v>0.12148886884180488</v>
          </cell>
          <cell r="H62">
            <v>0.14032924517077996</v>
          </cell>
          <cell r="I62">
            <v>0.14086035396341309</v>
          </cell>
          <cell r="J62">
            <v>0.14820497451382716</v>
          </cell>
          <cell r="K62">
            <v>0.15537974028237006</v>
          </cell>
          <cell r="N62" t="str">
            <v>Total s/h funds</v>
          </cell>
          <cell r="O62">
            <v>0.13866866118175022</v>
          </cell>
          <cell r="P62">
            <v>0.1359201903234189</v>
          </cell>
          <cell r="Q62">
            <v>0.12163104172522016</v>
          </cell>
          <cell r="R62">
            <v>0.12143233219687261</v>
          </cell>
          <cell r="S62">
            <v>0.11357661075472765</v>
          </cell>
          <cell r="T62">
            <v>0.12692444160649535</v>
          </cell>
          <cell r="U62">
            <v>0.13367232762028614</v>
          </cell>
          <cell r="V62">
            <v>1714.5120790819119</v>
          </cell>
          <cell r="W62" t="str">
            <v>Total s/h funds</v>
          </cell>
          <cell r="X62" t="str">
            <v>Total s/h funds</v>
          </cell>
          <cell r="Y62">
            <v>593.69999999999993</v>
          </cell>
          <cell r="Z62">
            <v>593.69999999999993</v>
          </cell>
          <cell r="AA62">
            <v>639.69999999999993</v>
          </cell>
          <cell r="AB62">
            <v>598.30000000000007</v>
          </cell>
          <cell r="AC62">
            <v>533.29999999999995</v>
          </cell>
          <cell r="AD62">
            <v>624.5</v>
          </cell>
          <cell r="AE62">
            <v>650.69999999999993</v>
          </cell>
          <cell r="AF62">
            <v>14.1</v>
          </cell>
          <cell r="AG62">
            <v>708.6</v>
          </cell>
          <cell r="AH62">
            <v>708.6</v>
          </cell>
          <cell r="AI62">
            <v>709.49999999999989</v>
          </cell>
          <cell r="AJ62">
            <v>1125</v>
          </cell>
          <cell r="AK62">
            <v>1121.0000000000002</v>
          </cell>
        </row>
        <row r="63">
          <cell r="C63" t="str">
            <v xml:space="preserve">     growth</v>
          </cell>
          <cell r="E63">
            <v>-3.9960657205705283E-2</v>
          </cell>
          <cell r="F63">
            <v>-0.10359366973803817</v>
          </cell>
          <cell r="G63">
            <v>8.9613427913763352E-2</v>
          </cell>
          <cell r="H63">
            <v>0.13602932857643535</v>
          </cell>
          <cell r="I63">
            <v>2.5380250300783235E-2</v>
          </cell>
          <cell r="J63">
            <v>9.9263219102324288E-2</v>
          </cell>
          <cell r="K63">
            <v>9.544624266957466E-2</v>
          </cell>
          <cell r="N63" t="str">
            <v>Minorities</v>
          </cell>
          <cell r="O63" t="str">
            <v/>
          </cell>
          <cell r="P63">
            <v>-3.9960657205705283E-2</v>
          </cell>
          <cell r="Q63">
            <v>-0.10359366973803817</v>
          </cell>
          <cell r="R63">
            <v>8.9106360162827192E-2</v>
          </cell>
          <cell r="S63">
            <v>-5.6656146572856163E-2</v>
          </cell>
          <cell r="T63">
            <v>0.16831941337145331</v>
          </cell>
          <cell r="U63">
            <v>0.10311988235277347</v>
          </cell>
          <cell r="V63">
            <v>17.246324748039477</v>
          </cell>
          <cell r="W63" t="str">
            <v>Minorities</v>
          </cell>
          <cell r="X63" t="str">
            <v>Minorities</v>
          </cell>
          <cell r="Y63">
            <v>9.1</v>
          </cell>
          <cell r="Z63">
            <v>9.1</v>
          </cell>
          <cell r="AA63">
            <v>14</v>
          </cell>
          <cell r="AB63">
            <v>15.3</v>
          </cell>
          <cell r="AC63">
            <v>12.7</v>
          </cell>
          <cell r="AD63">
            <v>14.6</v>
          </cell>
          <cell r="AE63">
            <v>13.9</v>
          </cell>
          <cell r="AF63">
            <v>1353.8999999999999</v>
          </cell>
          <cell r="AG63">
            <v>14.5</v>
          </cell>
          <cell r="AH63">
            <v>14.5</v>
          </cell>
          <cell r="AI63">
            <v>14.1</v>
          </cell>
          <cell r="AJ63">
            <v>15.5</v>
          </cell>
          <cell r="AK63">
            <v>15.7</v>
          </cell>
        </row>
      </sheetData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/>
      <sheetData sheetId="22" refreshError="1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s"/>
      <sheetName val="Comp Margins"/>
      <sheetName val="IVIg Price hit"/>
      <sheetName val="Growth vs. Market"/>
      <sheetName val="IG supply"/>
      <sheetName val="Haemonetics"/>
      <sheetName val="MW-Cache"/>
      <sheetName val="Global Comps"/>
    </sheetNames>
    <sheetDataSet>
      <sheetData sheetId="0">
        <row r="864">
          <cell r="A864" t="str">
            <v>Size of buyback</v>
          </cell>
          <cell r="B864" t="str">
            <v>A$mn</v>
          </cell>
          <cell r="C864">
            <v>950</v>
          </cell>
        </row>
        <row r="865">
          <cell r="A865" t="str">
            <v>Size of buyback</v>
          </cell>
          <cell r="B865" t="str">
            <v>US$mn</v>
          </cell>
          <cell r="C865">
            <v>741</v>
          </cell>
        </row>
        <row r="866">
          <cell r="A866" t="str">
            <v>Avg cost of debt</v>
          </cell>
          <cell r="B866" t="str">
            <v>%</v>
          </cell>
          <cell r="C866">
            <v>3.7999999999999999E-2</v>
          </cell>
        </row>
        <row r="867">
          <cell r="A867" t="str">
            <v>Interest expense</v>
          </cell>
          <cell r="B867" t="str">
            <v>US$mn</v>
          </cell>
          <cell r="C867">
            <v>28.157999999999998</v>
          </cell>
        </row>
        <row r="868">
          <cell r="A868" t="str">
            <v>FY15 NPAT</v>
          </cell>
          <cell r="B868" t="str">
            <v>US$mn</v>
          </cell>
          <cell r="C868">
            <v>1379</v>
          </cell>
        </row>
        <row r="869">
          <cell r="A869" t="str">
            <v>Shares on issue closing FY14</v>
          </cell>
          <cell r="B869" t="str">
            <v>US$mn</v>
          </cell>
          <cell r="C869">
            <v>473.16522500000002</v>
          </cell>
        </row>
        <row r="870">
          <cell r="A870" t="str">
            <v>FY15 EPS</v>
          </cell>
          <cell r="B870" t="str">
            <v>US$</v>
          </cell>
          <cell r="C870">
            <v>2.9144153609344388</v>
          </cell>
        </row>
        <row r="871">
          <cell r="A871" t="str">
            <v>Avg price of shares</v>
          </cell>
          <cell r="B871" t="str">
            <v>A$</v>
          </cell>
          <cell r="C871">
            <v>95.67</v>
          </cell>
        </row>
        <row r="872">
          <cell r="A872" t="str">
            <v>Number of shares</v>
          </cell>
          <cell r="B872" t="str">
            <v>mn</v>
          </cell>
          <cell r="C872">
            <v>9.9299675969478418</v>
          </cell>
        </row>
        <row r="873">
          <cell r="A873" t="str">
            <v>New NPAT</v>
          </cell>
          <cell r="B873" t="str">
            <v>US$mn</v>
          </cell>
          <cell r="C873">
            <v>1356.3454597432908</v>
          </cell>
        </row>
        <row r="874">
          <cell r="A874" t="str">
            <v>New share count</v>
          </cell>
          <cell r="B874" t="str">
            <v>mn</v>
          </cell>
          <cell r="C874">
            <v>463.23525740305217</v>
          </cell>
        </row>
        <row r="875">
          <cell r="A875" t="str">
            <v>New EPS</v>
          </cell>
          <cell r="B875" t="str">
            <v>US$</v>
          </cell>
          <cell r="C875">
            <v>2.9279840816675153</v>
          </cell>
        </row>
        <row r="876">
          <cell r="A876" t="str">
            <v>Accretion</v>
          </cell>
          <cell r="B876" t="str">
            <v>%</v>
          </cell>
          <cell r="C876">
            <v>4.655726467460708E-3</v>
          </cell>
        </row>
        <row r="877">
          <cell r="A877" t="str">
            <v>Point at which neutral</v>
          </cell>
        </row>
        <row r="878">
          <cell r="A878" t="str">
            <v>NPAT</v>
          </cell>
          <cell r="B878" t="str">
            <v>US$mn</v>
          </cell>
          <cell r="C878">
            <v>1356.3454597432908</v>
          </cell>
        </row>
        <row r="879">
          <cell r="A879" t="str">
            <v>Existing EPS</v>
          </cell>
          <cell r="B879" t="str">
            <v>US$</v>
          </cell>
          <cell r="C879">
            <v>2.9144153609344388</v>
          </cell>
        </row>
        <row r="880">
          <cell r="A880" t="str">
            <v>Number of shares out</v>
          </cell>
          <cell r="B880" t="str">
            <v>mn</v>
          </cell>
          <cell r="C880">
            <v>465.39195405160456</v>
          </cell>
        </row>
        <row r="881">
          <cell r="A881" t="str">
            <v>Numbers share acquired</v>
          </cell>
          <cell r="B881" t="str">
            <v>mn</v>
          </cell>
          <cell r="C881">
            <v>7.7732709483954636</v>
          </cell>
        </row>
        <row r="882">
          <cell r="A882" t="str">
            <v>Implied av. share price</v>
          </cell>
          <cell r="B882" t="str">
            <v>A$</v>
          </cell>
          <cell r="C882">
            <v>122.213673794054</v>
          </cell>
        </row>
        <row r="884">
          <cell r="A884" t="str">
            <v xml:space="preserve">EPS changes </v>
          </cell>
          <cell r="C884" t="str">
            <v>F14</v>
          </cell>
          <cell r="D884" t="str">
            <v>F15E</v>
          </cell>
          <cell r="E884" t="str">
            <v>F16E</v>
          </cell>
          <cell r="F884" t="str">
            <v>F17E</v>
          </cell>
          <cell r="G884" t="str">
            <v>F18E</v>
          </cell>
          <cell r="H884" t="str">
            <v>F19E</v>
          </cell>
        </row>
        <row r="885">
          <cell r="A885" t="str">
            <v>Start</v>
          </cell>
          <cell r="B885" t="str">
            <v>US$</v>
          </cell>
          <cell r="C885">
            <v>2.7014014672392341</v>
          </cell>
          <cell r="D885">
            <v>3.09</v>
          </cell>
          <cell r="E885">
            <v>3.18</v>
          </cell>
          <cell r="F885">
            <v>3.4</v>
          </cell>
          <cell r="G885">
            <v>3.77</v>
          </cell>
          <cell r="H885">
            <v>4.18</v>
          </cell>
        </row>
        <row r="887">
          <cell r="A887" t="str">
            <v>Helixate expiry</v>
          </cell>
          <cell r="B887" t="str">
            <v>US$</v>
          </cell>
          <cell r="C887">
            <v>2.7014014672392341</v>
          </cell>
          <cell r="D887">
            <v>3.09</v>
          </cell>
          <cell r="E887">
            <v>3.18</v>
          </cell>
          <cell r="F887">
            <v>3.4</v>
          </cell>
          <cell r="G887">
            <v>3.59</v>
          </cell>
          <cell r="H887">
            <v>3.96</v>
          </cell>
        </row>
        <row r="888">
          <cell r="A888" t="str">
            <v>change</v>
          </cell>
          <cell r="B888" t="str">
            <v>%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-4.7745358090185763E-2</v>
          </cell>
          <cell r="H888">
            <v>-5.2631578947368363E-2</v>
          </cell>
        </row>
        <row r="890">
          <cell r="A890" t="str">
            <v>pd-Coag ASP down furthet 5%pa</v>
          </cell>
          <cell r="B890" t="str">
            <v>US$</v>
          </cell>
          <cell r="C890">
            <v>2.7014014672392341</v>
          </cell>
          <cell r="D890">
            <v>3.08</v>
          </cell>
          <cell r="E890">
            <v>3.11</v>
          </cell>
          <cell r="F890">
            <v>3.25</v>
          </cell>
          <cell r="G890">
            <v>3.36</v>
          </cell>
          <cell r="H890">
            <v>3.65</v>
          </cell>
        </row>
        <row r="891">
          <cell r="A891" t="str">
            <v>change</v>
          </cell>
          <cell r="B891" t="str">
            <v>%</v>
          </cell>
          <cell r="C891">
            <v>0</v>
          </cell>
          <cell r="D891">
            <v>-3.2362459546925182E-3</v>
          </cell>
          <cell r="E891">
            <v>-2.2012578616352307E-2</v>
          </cell>
          <cell r="F891">
            <v>-4.4117647058823484E-2</v>
          </cell>
          <cell r="G891">
            <v>-6.4066852367688054E-2</v>
          </cell>
          <cell r="H891">
            <v>-7.8282828282828287E-2</v>
          </cell>
        </row>
        <row r="893">
          <cell r="A893" t="str">
            <v>CSL654 &amp; CSL627 launched</v>
          </cell>
          <cell r="B893" t="str">
            <v>US$</v>
          </cell>
          <cell r="C893">
            <v>2.7014014672392341</v>
          </cell>
          <cell r="D893">
            <v>3.08</v>
          </cell>
          <cell r="E893">
            <v>3.12</v>
          </cell>
          <cell r="F893">
            <v>3.45</v>
          </cell>
          <cell r="G893">
            <v>3.89</v>
          </cell>
          <cell r="H893">
            <v>4.57</v>
          </cell>
        </row>
        <row r="894">
          <cell r="A894" t="str">
            <v>change</v>
          </cell>
          <cell r="B894" t="str">
            <v>%</v>
          </cell>
          <cell r="C894">
            <v>0</v>
          </cell>
          <cell r="D894">
            <v>0</v>
          </cell>
          <cell r="E894">
            <v>3.215434083601254E-3</v>
          </cell>
          <cell r="F894">
            <v>6.1538461538461542E-2</v>
          </cell>
          <cell r="G894">
            <v>0.15773809523809534</v>
          </cell>
          <cell r="H894">
            <v>0.25205479452054802</v>
          </cell>
        </row>
        <row r="896">
          <cell r="A896" t="str">
            <v>Net change from start</v>
          </cell>
          <cell r="B896" t="str">
            <v>%</v>
          </cell>
          <cell r="C896">
            <v>0</v>
          </cell>
          <cell r="D896">
            <v>-3.2362459546925182E-3</v>
          </cell>
          <cell r="E896">
            <v>-1.8867924528301883E-2</v>
          </cell>
          <cell r="F896">
            <v>1.4705882352941346E-2</v>
          </cell>
          <cell r="G896">
            <v>3.1830238726790583E-2</v>
          </cell>
          <cell r="H896">
            <v>9.3301435406698774E-2</v>
          </cell>
        </row>
        <row r="898">
          <cell r="A898" t="str">
            <v>Consensus EPS</v>
          </cell>
          <cell r="B898" t="str">
            <v>US$</v>
          </cell>
          <cell r="C898">
            <v>2.7</v>
          </cell>
          <cell r="D898">
            <v>3.09</v>
          </cell>
          <cell r="E898">
            <v>3.41</v>
          </cell>
          <cell r="F898">
            <v>3.81</v>
          </cell>
          <cell r="G898">
            <v>4.21</v>
          </cell>
          <cell r="H898">
            <v>4.76</v>
          </cell>
        </row>
        <row r="899">
          <cell r="A899" t="str">
            <v>Difference to consensus</v>
          </cell>
          <cell r="B899" t="str">
            <v>%</v>
          </cell>
          <cell r="C899">
            <v>0</v>
          </cell>
          <cell r="D899">
            <v>-3.2362459546925182E-3</v>
          </cell>
          <cell r="E899">
            <v>-8.5043988269794757E-2</v>
          </cell>
          <cell r="F899">
            <v>-9.4488188976377896E-2</v>
          </cell>
          <cell r="G899">
            <v>-7.6009501187648376E-2</v>
          </cell>
          <cell r="H899">
            <v>-3.991596638655448E-2</v>
          </cell>
        </row>
        <row r="901">
          <cell r="A901" t="str">
            <v>Scenario analysis</v>
          </cell>
          <cell r="C901" t="str">
            <v>F14</v>
          </cell>
          <cell r="D901" t="str">
            <v>F15E</v>
          </cell>
          <cell r="E901" t="str">
            <v>F16E</v>
          </cell>
          <cell r="F901" t="str">
            <v>F17E</v>
          </cell>
          <cell r="G901" t="str">
            <v>F18E</v>
          </cell>
          <cell r="H901" t="str">
            <v>F19E</v>
          </cell>
        </row>
        <row r="902">
          <cell r="A902" t="str">
            <v>vWF displaced</v>
          </cell>
          <cell r="B902" t="str">
            <v>US$</v>
          </cell>
          <cell r="C902">
            <v>2.7014014672392341</v>
          </cell>
          <cell r="D902">
            <v>3.09</v>
          </cell>
          <cell r="E902">
            <v>3.06</v>
          </cell>
          <cell r="F902">
            <v>3.32</v>
          </cell>
          <cell r="G902">
            <v>3.7</v>
          </cell>
          <cell r="H902">
            <v>4.3099999999999996</v>
          </cell>
        </row>
        <row r="903">
          <cell r="A903" t="str">
            <v>change</v>
          </cell>
          <cell r="B903" t="str">
            <v>%</v>
          </cell>
          <cell r="C903">
            <v>0</v>
          </cell>
          <cell r="D903">
            <v>3.2467532467532756E-3</v>
          </cell>
          <cell r="E903">
            <v>-1.9230769230769273E-2</v>
          </cell>
          <cell r="F903">
            <v>-3.7681159420289934E-2</v>
          </cell>
          <cell r="G903">
            <v>-4.8843187660668419E-2</v>
          </cell>
          <cell r="H903">
            <v>-5.6892778993435589E-2</v>
          </cell>
        </row>
        <row r="905">
          <cell r="A905" t="str">
            <v>Eu pd-Coag displaced 30%</v>
          </cell>
          <cell r="B905" t="str">
            <v>US$</v>
          </cell>
          <cell r="C905">
            <v>2.7014014672392341</v>
          </cell>
          <cell r="D905">
            <v>3.09</v>
          </cell>
          <cell r="E905">
            <v>2.77</v>
          </cell>
          <cell r="F905">
            <v>3.02</v>
          </cell>
          <cell r="G905">
            <v>3.39</v>
          </cell>
          <cell r="H905">
            <v>4.01</v>
          </cell>
        </row>
        <row r="906">
          <cell r="A906" t="str">
            <v>change</v>
          </cell>
          <cell r="B906" t="str">
            <v>%</v>
          </cell>
          <cell r="C906">
            <v>0</v>
          </cell>
          <cell r="D906">
            <v>0</v>
          </cell>
          <cell r="E906">
            <v>-9.4771241830065356E-2</v>
          </cell>
          <cell r="F906">
            <v>-9.0361445783132432E-2</v>
          </cell>
          <cell r="G906">
            <v>-8.3783783783783816E-2</v>
          </cell>
          <cell r="H906">
            <v>-6.9605568445475607E-2</v>
          </cell>
        </row>
        <row r="908">
          <cell r="A908" t="str">
            <v>Net change from start</v>
          </cell>
          <cell r="B908" t="str">
            <v>%</v>
          </cell>
          <cell r="C908">
            <v>0</v>
          </cell>
          <cell r="D908">
            <v>0</v>
          </cell>
          <cell r="E908">
            <v>-0.12893081761006298</v>
          </cell>
          <cell r="F908">
            <v>-0.11176470588235288</v>
          </cell>
          <cell r="G908">
            <v>-0.1007957559681697</v>
          </cell>
          <cell r="H908">
            <v>-4.0669856459330078E-2</v>
          </cell>
        </row>
        <row r="911">
          <cell r="A911" t="str">
            <v>rFVIII</v>
          </cell>
        </row>
        <row r="912">
          <cell r="A912" t="str">
            <v>Current</v>
          </cell>
          <cell r="B912" t="str">
            <v>Manufacturer</v>
          </cell>
          <cell r="C912" t="str">
            <v>Product</v>
          </cell>
          <cell r="D912" t="str">
            <v>Launch</v>
          </cell>
        </row>
        <row r="913">
          <cell r="B913" t="str">
            <v>Bayer</v>
          </cell>
          <cell r="C913" t="str">
            <v>Kogenate</v>
          </cell>
          <cell r="D913" t="str">
            <v>Marketed</v>
          </cell>
        </row>
        <row r="914">
          <cell r="B914" t="str">
            <v>Baxter</v>
          </cell>
          <cell r="C914" t="str">
            <v>Advate</v>
          </cell>
          <cell r="D914" t="str">
            <v>Marketed</v>
          </cell>
        </row>
        <row r="915">
          <cell r="B915" t="str">
            <v>Pfizer</v>
          </cell>
          <cell r="C915" t="str">
            <v>Xyntha</v>
          </cell>
          <cell r="D915" t="str">
            <v>Marketed</v>
          </cell>
        </row>
        <row r="916">
          <cell r="A916" t="str">
            <v>Future/New</v>
          </cell>
          <cell r="B916" t="str">
            <v>Manufacturer</v>
          </cell>
          <cell r="C916" t="str">
            <v>Product</v>
          </cell>
          <cell r="D916" t="str">
            <v>Launch</v>
          </cell>
        </row>
        <row r="917">
          <cell r="B917" t="str">
            <v>Biogen-Idec</v>
          </cell>
          <cell r="C917" t="str">
            <v>Eloctate</v>
          </cell>
          <cell r="D917" t="str">
            <v>Launched Q3CY14</v>
          </cell>
        </row>
        <row r="918">
          <cell r="B918" t="str">
            <v>Baxter</v>
          </cell>
          <cell r="C918" t="str">
            <v>BAX855</v>
          </cell>
          <cell r="D918" t="str">
            <v>BLA Q4CY14</v>
          </cell>
        </row>
        <row r="919">
          <cell r="B919" t="str">
            <v>Octapharma</v>
          </cell>
          <cell r="C919" t="str">
            <v>Nuwiq</v>
          </cell>
          <cell r="D919" t="str">
            <v>Q1CY15</v>
          </cell>
        </row>
        <row r="920">
          <cell r="B920" t="str">
            <v>Novo Nordisk</v>
          </cell>
          <cell r="C920" t="str">
            <v>Novoeight</v>
          </cell>
          <cell r="D920" t="str">
            <v>Q2CY15</v>
          </cell>
        </row>
        <row r="921">
          <cell r="B921" t="str">
            <v>Bayer</v>
          </cell>
          <cell r="C921" t="str">
            <v>BAY94-9027</v>
          </cell>
          <cell r="D921" t="str">
            <v>Q3CY16</v>
          </cell>
        </row>
        <row r="922">
          <cell r="B922" t="str">
            <v>CSL</v>
          </cell>
          <cell r="C922" t="str">
            <v>CSL627</v>
          </cell>
          <cell r="D922" t="str">
            <v>Q1CY17</v>
          </cell>
        </row>
        <row r="923">
          <cell r="B923" t="str">
            <v>Novo Nordisk</v>
          </cell>
          <cell r="C923" t="str">
            <v>N8-GP</v>
          </cell>
          <cell r="D923" t="str">
            <v>Q1CY18</v>
          </cell>
        </row>
        <row r="924">
          <cell r="A924" t="str">
            <v>rFIX</v>
          </cell>
        </row>
        <row r="925">
          <cell r="A925" t="str">
            <v>Current</v>
          </cell>
          <cell r="B925" t="str">
            <v>Manufacturer</v>
          </cell>
          <cell r="C925" t="str">
            <v>Product</v>
          </cell>
          <cell r="D925" t="str">
            <v>Launch</v>
          </cell>
        </row>
        <row r="926">
          <cell r="B926" t="str">
            <v>Pfizer</v>
          </cell>
          <cell r="C926" t="str">
            <v>BeneFIX</v>
          </cell>
          <cell r="D926" t="str">
            <v>Marketed</v>
          </cell>
        </row>
        <row r="927">
          <cell r="A927" t="str">
            <v>Future/New</v>
          </cell>
          <cell r="B927" t="str">
            <v>Manufacturer</v>
          </cell>
          <cell r="C927" t="str">
            <v>Product</v>
          </cell>
          <cell r="D927" t="str">
            <v>Launch</v>
          </cell>
        </row>
        <row r="928">
          <cell r="B928" t="str">
            <v>Biogen-Idec</v>
          </cell>
          <cell r="C928" t="str">
            <v>Alprolix</v>
          </cell>
          <cell r="D928" t="str">
            <v>Launched Q2CY14</v>
          </cell>
        </row>
        <row r="929">
          <cell r="B929" t="str">
            <v>Baxter</v>
          </cell>
          <cell r="C929" t="str">
            <v>Rixubis</v>
          </cell>
          <cell r="D929" t="str">
            <v>Q4CY14</v>
          </cell>
        </row>
        <row r="930">
          <cell r="B930" t="str">
            <v>CSL</v>
          </cell>
          <cell r="C930" t="str">
            <v>CSL654</v>
          </cell>
          <cell r="D930" t="str">
            <v>Q4FY16</v>
          </cell>
        </row>
        <row r="931">
          <cell r="B931" t="str">
            <v>Novo Nordisk</v>
          </cell>
          <cell r="C931" t="str">
            <v>N9-GP</v>
          </cell>
          <cell r="D931" t="str">
            <v>Q4CY16</v>
          </cell>
        </row>
        <row r="1227">
          <cell r="A1227" t="str">
            <v>F14 Result</v>
          </cell>
          <cell r="C1227" t="str">
            <v>F14</v>
          </cell>
          <cell r="D1227" t="str">
            <v>F15E</v>
          </cell>
        </row>
        <row r="1228">
          <cell r="A1228" t="str">
            <v>EBIT</v>
          </cell>
          <cell r="B1228" t="str">
            <v>US$mn</v>
          </cell>
          <cell r="C1228">
            <v>1637</v>
          </cell>
          <cell r="D1228">
            <v>1882.55</v>
          </cell>
        </row>
        <row r="1229">
          <cell r="A1229" t="str">
            <v>Growth</v>
          </cell>
          <cell r="B1229" t="str">
            <v>%</v>
          </cell>
          <cell r="C1229">
            <v>0.1</v>
          </cell>
          <cell r="D1229">
            <v>0.15</v>
          </cell>
        </row>
        <row r="1231">
          <cell r="A1231" t="str">
            <v xml:space="preserve">NPAT </v>
          </cell>
          <cell r="B1231" t="str">
            <v>US$mn</v>
          </cell>
          <cell r="C1231">
            <v>1307</v>
          </cell>
          <cell r="D1231">
            <v>1463.8400000000001</v>
          </cell>
        </row>
        <row r="1232">
          <cell r="A1232" t="str">
            <v>Growth</v>
          </cell>
          <cell r="B1232" t="str">
            <v>%</v>
          </cell>
          <cell r="C1232">
            <v>0.08</v>
          </cell>
          <cell r="D1232">
            <v>0.12</v>
          </cell>
        </row>
        <row r="1233">
          <cell r="A1233" t="str">
            <v>Antit-trust settlement adjustment</v>
          </cell>
        </row>
        <row r="1234">
          <cell r="C1234" t="str">
            <v>F14</v>
          </cell>
          <cell r="D1234" t="str">
            <v>F15E</v>
          </cell>
        </row>
        <row r="1235">
          <cell r="A1235" t="str">
            <v>Pre-tax</v>
          </cell>
          <cell r="B1235" t="str">
            <v>US$mn</v>
          </cell>
          <cell r="C1235">
            <v>64</v>
          </cell>
          <cell r="D1235">
            <v>0</v>
          </cell>
        </row>
        <row r="1236">
          <cell r="A1236" t="str">
            <v>tax</v>
          </cell>
          <cell r="B1236" t="str">
            <v>US$mn</v>
          </cell>
          <cell r="C1236">
            <v>-25</v>
          </cell>
          <cell r="D1236">
            <v>0</v>
          </cell>
        </row>
        <row r="1237">
          <cell r="A1237" t="str">
            <v>Post-tax</v>
          </cell>
          <cell r="B1237" t="str">
            <v>US$mn</v>
          </cell>
          <cell r="C1237">
            <v>39</v>
          </cell>
          <cell r="D1237">
            <v>0</v>
          </cell>
        </row>
        <row r="1239">
          <cell r="A1239" t="str">
            <v>Adjusted guidance</v>
          </cell>
          <cell r="C1239" t="str">
            <v>F14</v>
          </cell>
          <cell r="D1239" t="str">
            <v>F15E</v>
          </cell>
        </row>
        <row r="1240">
          <cell r="A1240" t="str">
            <v>Adjusted EBIT</v>
          </cell>
          <cell r="B1240" t="str">
            <v>US$mn</v>
          </cell>
          <cell r="C1240">
            <v>1701</v>
          </cell>
          <cell r="D1240">
            <v>1882.55</v>
          </cell>
        </row>
        <row r="1241">
          <cell r="A1241" t="str">
            <v>Growth</v>
          </cell>
          <cell r="B1241" t="str">
            <v>%</v>
          </cell>
          <cell r="C1241">
            <v>0.13909590714722056</v>
          </cell>
          <cell r="D1241">
            <v>0.10673133450911232</v>
          </cell>
        </row>
        <row r="1243">
          <cell r="A1243" t="str">
            <v>Adjusted NPAT</v>
          </cell>
          <cell r="B1243" t="str">
            <v>US$mn</v>
          </cell>
          <cell r="C1243">
            <v>1346</v>
          </cell>
          <cell r="D1243">
            <v>1463.8400000000001</v>
          </cell>
        </row>
        <row r="1244">
          <cell r="A1244" t="str">
            <v>Growth</v>
          </cell>
          <cell r="B1244" t="str">
            <v>%</v>
          </cell>
          <cell r="C1244">
            <v>0.10983932670237177</v>
          </cell>
          <cell r="D1244">
            <v>8.7548291233283893E-2</v>
          </cell>
        </row>
        <row r="1246">
          <cell r="A1246" t="str">
            <v>New NPAT guidance</v>
          </cell>
          <cell r="B1246" t="str">
            <v>US$mn</v>
          </cell>
          <cell r="C1246">
            <v>1307</v>
          </cell>
          <cell r="D1246">
            <v>1437.7</v>
          </cell>
        </row>
        <row r="1247">
          <cell r="A1247" t="str">
            <v>Growth</v>
          </cell>
          <cell r="B1247" t="str">
            <v>%</v>
          </cell>
          <cell r="C1247">
            <v>0.08</v>
          </cell>
          <cell r="D1247">
            <v>0.1</v>
          </cell>
        </row>
        <row r="1249">
          <cell r="A1249" t="str">
            <v>New adjusted NPAT guidance</v>
          </cell>
          <cell r="B1249" t="str">
            <v>US$mn</v>
          </cell>
          <cell r="C1249">
            <v>1346</v>
          </cell>
          <cell r="D1249">
            <v>1437.7</v>
          </cell>
        </row>
        <row r="1250">
          <cell r="A1250" t="str">
            <v>Growth</v>
          </cell>
          <cell r="B1250" t="str">
            <v>%</v>
          </cell>
          <cell r="C1250">
            <v>0.10983932670237177</v>
          </cell>
          <cell r="D1250">
            <v>6.812778603268943E-2</v>
          </cell>
        </row>
        <row r="1252">
          <cell r="A1252" t="str">
            <v>half on half CC</v>
          </cell>
          <cell r="C1252" t="str">
            <v>1h14</v>
          </cell>
          <cell r="D1252" t="str">
            <v>2h14</v>
          </cell>
          <cell r="E1252" t="str">
            <v>F14</v>
          </cell>
          <cell r="F1252" t="str">
            <v>1h15</v>
          </cell>
          <cell r="G1252" t="str">
            <v>2h15E</v>
          </cell>
          <cell r="H1252" t="str">
            <v>F15E</v>
          </cell>
        </row>
        <row r="1253">
          <cell r="A1253" t="str">
            <v>EBIT</v>
          </cell>
          <cell r="B1253" t="str">
            <v>US$mn</v>
          </cell>
          <cell r="C1253">
            <v>817.99635999999987</v>
          </cell>
          <cell r="D1253">
            <v>819.00364000000013</v>
          </cell>
          <cell r="E1253">
            <v>1637</v>
          </cell>
          <cell r="F1253">
            <v>891.61603239999988</v>
          </cell>
          <cell r="G1253">
            <v>957.31700331428567</v>
          </cell>
          <cell r="H1253">
            <v>1848.9330357142856</v>
          </cell>
        </row>
        <row r="1254">
          <cell r="A1254" t="str">
            <v>growth</v>
          </cell>
          <cell r="B1254" t="str">
            <v>%</v>
          </cell>
          <cell r="C1254">
            <v>4.1107240028989279E-2</v>
          </cell>
          <cell r="D1254">
            <v>0.1700164429831359</v>
          </cell>
          <cell r="E1254">
            <v>0.1</v>
          </cell>
          <cell r="F1254">
            <v>0.09</v>
          </cell>
          <cell r="G1254">
            <v>0.16888003490959513</v>
          </cell>
          <cell r="H1254">
            <v>0.12946428571428559</v>
          </cell>
        </row>
        <row r="1256">
          <cell r="A1256" t="str">
            <v>Adjusted EBIT</v>
          </cell>
          <cell r="B1256" t="str">
            <v>US$mn</v>
          </cell>
          <cell r="C1256">
            <v>881.99635999999987</v>
          </cell>
          <cell r="D1256">
            <v>819.00364000000013</v>
          </cell>
          <cell r="E1256">
            <v>1701</v>
          </cell>
          <cell r="F1256">
            <v>891.61603239999988</v>
          </cell>
          <cell r="G1256">
            <v>957.31700331428567</v>
          </cell>
          <cell r="H1256">
            <v>1848.9330357142856</v>
          </cell>
        </row>
        <row r="1257">
          <cell r="A1257" t="str">
            <v>growth</v>
          </cell>
          <cell r="B1257" t="str">
            <v>%</v>
          </cell>
          <cell r="C1257">
            <v>7.8239956960199697E-2</v>
          </cell>
          <cell r="D1257">
            <v>0.1700164429831359</v>
          </cell>
          <cell r="E1257">
            <v>0.13909590714722056</v>
          </cell>
          <cell r="F1257">
            <v>1.0906703061676959E-2</v>
          </cell>
          <cell r="G1257">
            <v>0.16888003490959513</v>
          </cell>
          <cell r="H1257">
            <v>8.6968274964306591E-2</v>
          </cell>
        </row>
        <row r="1259">
          <cell r="A1259" t="str">
            <v>NPAT</v>
          </cell>
          <cell r="B1259" t="str">
            <v>US$mn</v>
          </cell>
          <cell r="C1259">
            <v>645.70000000000005</v>
          </cell>
          <cell r="D1259">
            <v>661.3</v>
          </cell>
          <cell r="E1259">
            <v>1307</v>
          </cell>
          <cell r="F1259">
            <v>703.8130000000001</v>
          </cell>
          <cell r="G1259">
            <v>733.88699999999994</v>
          </cell>
          <cell r="H1259">
            <v>1437.7</v>
          </cell>
        </row>
        <row r="1260">
          <cell r="A1260" t="str">
            <v>growth</v>
          </cell>
          <cell r="B1260" t="str">
            <v>%</v>
          </cell>
          <cell r="C1260">
            <v>3.3781620236951859E-2</v>
          </cell>
          <cell r="D1260">
            <v>0.11762717593374972</v>
          </cell>
          <cell r="E1260">
            <v>7.4570418482282186E-2</v>
          </cell>
          <cell r="F1260">
            <v>0.09</v>
          </cell>
          <cell r="G1260">
            <v>0.10976410101315581</v>
          </cell>
          <cell r="H1260">
            <v>0.10000000000000009</v>
          </cell>
        </row>
        <row r="1262">
          <cell r="A1262" t="str">
            <v>Adjusted NPAT</v>
          </cell>
          <cell r="B1262" t="str">
            <v>US$mn</v>
          </cell>
          <cell r="C1262">
            <v>684.7</v>
          </cell>
          <cell r="D1262">
            <v>661.3</v>
          </cell>
          <cell r="E1262">
            <v>1346</v>
          </cell>
          <cell r="F1262">
            <v>703.8130000000001</v>
          </cell>
          <cell r="G1262">
            <v>733.88699999999994</v>
          </cell>
          <cell r="H1262">
            <v>1437.7</v>
          </cell>
        </row>
        <row r="1263">
          <cell r="A1263" t="str">
            <v>growth</v>
          </cell>
          <cell r="B1263" t="str">
            <v>%</v>
          </cell>
          <cell r="C1263">
            <v>9.622158181236018E-2</v>
          </cell>
          <cell r="D1263">
            <v>0.11762717593374972</v>
          </cell>
          <cell r="E1263">
            <v>0.10663487626407941</v>
          </cell>
          <cell r="F1263">
            <v>2.7914415072294529E-2</v>
          </cell>
          <cell r="G1263">
            <v>0.10976410101315581</v>
          </cell>
          <cell r="H1263">
            <v>6.812778603268943E-2</v>
          </cell>
        </row>
        <row r="1265">
          <cell r="C1265" t="str">
            <v>1h14</v>
          </cell>
          <cell r="D1265" t="str">
            <v>1h15</v>
          </cell>
        </row>
        <row r="1266">
          <cell r="A1266" t="str">
            <v>Adjusted EBIT</v>
          </cell>
          <cell r="B1266" t="str">
            <v>A$mn</v>
          </cell>
          <cell r="C1266">
            <v>881.99635999999987</v>
          </cell>
          <cell r="D1266">
            <v>891.61603239999988</v>
          </cell>
        </row>
        <row r="1267">
          <cell r="A1267" t="str">
            <v>margin</v>
          </cell>
          <cell r="B1267" t="str">
            <v>%</v>
          </cell>
          <cell r="C1267">
            <v>0.34081547200432782</v>
          </cell>
          <cell r="D1267">
            <v>0.31969022316242379</v>
          </cell>
        </row>
        <row r="1268">
          <cell r="A1268" t="str">
            <v>growth</v>
          </cell>
          <cell r="B1268" t="str">
            <v>%</v>
          </cell>
          <cell r="C1268">
            <v>0.34265592851592847</v>
          </cell>
          <cell r="D1268">
            <v>1.0906703061676959E-2</v>
          </cell>
        </row>
      </sheetData>
      <sheetData sheetId="1"/>
      <sheetData sheetId="2"/>
      <sheetData sheetId="3"/>
      <sheetData sheetId="4">
        <row r="32">
          <cell r="K32">
            <v>68300</v>
          </cell>
        </row>
      </sheetData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Niu, Peter (Research)" id="{B7F7809E-A713-48ED-9307-A89A05A2EA56}" userId="S::Peter.Niu@morganstanley.com::f42bb638-310c-4f31-b2f4-fe0d245fb045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_NewOffice365">
    <a:dk1>
      <a:sysClr val="windowText" lastClr="000000"/>
    </a:dk1>
    <a:lt1>
      <a:sysClr val="window" lastClr="FFFFFF"/>
    </a:lt1>
    <a:dk2>
      <a:srgbClr val="003366"/>
    </a:dk2>
    <a:lt2>
      <a:srgbClr val="C6D9E2"/>
    </a:lt2>
    <a:accent1>
      <a:srgbClr val="005AA4"/>
    </a:accent1>
    <a:accent2>
      <a:srgbClr val="D0B86A"/>
    </a:accent2>
    <a:accent3>
      <a:srgbClr val="226B5A"/>
    </a:accent3>
    <a:accent4>
      <a:srgbClr val="00A1E2"/>
    </a:accent4>
    <a:accent5>
      <a:srgbClr val="873246"/>
    </a:accent5>
    <a:accent6>
      <a:srgbClr val="6769E2"/>
    </a:accent6>
    <a:hlink>
      <a:srgbClr val="0000FF"/>
    </a:hlink>
    <a:folHlink>
      <a:srgbClr val="800080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eme/themeOverride2.xml><?xml version="1.0" encoding="utf-8"?>
<a:themeOverride xmlns:a="http://schemas.openxmlformats.org/drawingml/2006/main">
  <a:clrScheme name="_NewOffice365">
    <a:dk1>
      <a:sysClr val="windowText" lastClr="000000"/>
    </a:dk1>
    <a:lt1>
      <a:sysClr val="window" lastClr="FFFFFF"/>
    </a:lt1>
    <a:dk2>
      <a:srgbClr val="003366"/>
    </a:dk2>
    <a:lt2>
      <a:srgbClr val="C6D9E2"/>
    </a:lt2>
    <a:accent1>
      <a:srgbClr val="005AA4"/>
    </a:accent1>
    <a:accent2>
      <a:srgbClr val="D0B86A"/>
    </a:accent2>
    <a:accent3>
      <a:srgbClr val="226B5A"/>
    </a:accent3>
    <a:accent4>
      <a:srgbClr val="00A1E2"/>
    </a:accent4>
    <a:accent5>
      <a:srgbClr val="873246"/>
    </a:accent5>
    <a:accent6>
      <a:srgbClr val="6769E2"/>
    </a:accent6>
    <a:hlink>
      <a:srgbClr val="0000FF"/>
    </a:hlink>
    <a:folHlink>
      <a:srgbClr val="800080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eme/themeOverride3.xml><?xml version="1.0" encoding="utf-8"?>
<a:themeOverride xmlns:a="http://schemas.openxmlformats.org/drawingml/2006/main">
  <a:clrScheme name="_NewOffice365">
    <a:dk1>
      <a:sysClr val="windowText" lastClr="000000"/>
    </a:dk1>
    <a:lt1>
      <a:sysClr val="window" lastClr="FFFFFF"/>
    </a:lt1>
    <a:dk2>
      <a:srgbClr val="003366"/>
    </a:dk2>
    <a:lt2>
      <a:srgbClr val="C6D9E2"/>
    </a:lt2>
    <a:accent1>
      <a:srgbClr val="005AA4"/>
    </a:accent1>
    <a:accent2>
      <a:srgbClr val="D0B86A"/>
    </a:accent2>
    <a:accent3>
      <a:srgbClr val="226B5A"/>
    </a:accent3>
    <a:accent4>
      <a:srgbClr val="00A1E2"/>
    </a:accent4>
    <a:accent5>
      <a:srgbClr val="873246"/>
    </a:accent5>
    <a:accent6>
      <a:srgbClr val="6769E2"/>
    </a:accent6>
    <a:hlink>
      <a:srgbClr val="0000FF"/>
    </a:hlink>
    <a:folHlink>
      <a:srgbClr val="800080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eme/themeOverride4.xml><?xml version="1.0" encoding="utf-8"?>
<a:themeOverride xmlns:a="http://schemas.openxmlformats.org/drawingml/2006/main">
  <a:clrScheme name="_NewOffice365">
    <a:dk1>
      <a:sysClr val="windowText" lastClr="000000"/>
    </a:dk1>
    <a:lt1>
      <a:sysClr val="window" lastClr="FFFFFF"/>
    </a:lt1>
    <a:dk2>
      <a:srgbClr val="003366"/>
    </a:dk2>
    <a:lt2>
      <a:srgbClr val="C6D9E2"/>
    </a:lt2>
    <a:accent1>
      <a:srgbClr val="005AA4"/>
    </a:accent1>
    <a:accent2>
      <a:srgbClr val="D0B86A"/>
    </a:accent2>
    <a:accent3>
      <a:srgbClr val="226B5A"/>
    </a:accent3>
    <a:accent4>
      <a:srgbClr val="00A1E2"/>
    </a:accent4>
    <a:accent5>
      <a:srgbClr val="873246"/>
    </a:accent5>
    <a:accent6>
      <a:srgbClr val="6769E2"/>
    </a:accent6>
    <a:hlink>
      <a:srgbClr val="0000FF"/>
    </a:hlink>
    <a:folHlink>
      <a:srgbClr val="800080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eme/themeOverride5.xml><?xml version="1.0" encoding="utf-8"?>
<a:themeOverride xmlns:a="http://schemas.openxmlformats.org/drawingml/2006/main">
  <a:clrScheme name="_NewOffice365">
    <a:dk1>
      <a:sysClr val="windowText" lastClr="000000"/>
    </a:dk1>
    <a:lt1>
      <a:sysClr val="window" lastClr="FFFFFF"/>
    </a:lt1>
    <a:dk2>
      <a:srgbClr val="003366"/>
    </a:dk2>
    <a:lt2>
      <a:srgbClr val="C6D9E2"/>
    </a:lt2>
    <a:accent1>
      <a:srgbClr val="005AA4"/>
    </a:accent1>
    <a:accent2>
      <a:srgbClr val="D0B86A"/>
    </a:accent2>
    <a:accent3>
      <a:srgbClr val="226B5A"/>
    </a:accent3>
    <a:accent4>
      <a:srgbClr val="00A1E2"/>
    </a:accent4>
    <a:accent5>
      <a:srgbClr val="873246"/>
    </a:accent5>
    <a:accent6>
      <a:srgbClr val="6769E2"/>
    </a:accent6>
    <a:hlink>
      <a:srgbClr val="0000FF"/>
    </a:hlink>
    <a:folHlink>
      <a:srgbClr val="800080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eme/themeOverride6.xml><?xml version="1.0" encoding="utf-8"?>
<a:themeOverride xmlns:a="http://schemas.openxmlformats.org/drawingml/2006/main">
  <a:clrScheme name="_NewOffice365">
    <a:dk1>
      <a:sysClr val="windowText" lastClr="000000"/>
    </a:dk1>
    <a:lt1>
      <a:sysClr val="window" lastClr="FFFFFF"/>
    </a:lt1>
    <a:dk2>
      <a:srgbClr val="003366"/>
    </a:dk2>
    <a:lt2>
      <a:srgbClr val="C6D9E2"/>
    </a:lt2>
    <a:accent1>
      <a:srgbClr val="005AA4"/>
    </a:accent1>
    <a:accent2>
      <a:srgbClr val="D0B86A"/>
    </a:accent2>
    <a:accent3>
      <a:srgbClr val="226B5A"/>
    </a:accent3>
    <a:accent4>
      <a:srgbClr val="00A1E2"/>
    </a:accent4>
    <a:accent5>
      <a:srgbClr val="873246"/>
    </a:accent5>
    <a:accent6>
      <a:srgbClr val="6769E2"/>
    </a:accent6>
    <a:hlink>
      <a:srgbClr val="0000FF"/>
    </a:hlink>
    <a:folHlink>
      <a:srgbClr val="800080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eme/themeOverride7.xml><?xml version="1.0" encoding="utf-8"?>
<a:themeOverride xmlns:a="http://schemas.openxmlformats.org/drawingml/2006/main">
  <a:clrScheme name="_NewOffice365">
    <a:dk1>
      <a:sysClr val="windowText" lastClr="000000"/>
    </a:dk1>
    <a:lt1>
      <a:sysClr val="window" lastClr="FFFFFF"/>
    </a:lt1>
    <a:dk2>
      <a:srgbClr val="003366"/>
    </a:dk2>
    <a:lt2>
      <a:srgbClr val="C6D9E2"/>
    </a:lt2>
    <a:accent1>
      <a:srgbClr val="005AA4"/>
    </a:accent1>
    <a:accent2>
      <a:srgbClr val="D0B86A"/>
    </a:accent2>
    <a:accent3>
      <a:srgbClr val="226B5A"/>
    </a:accent3>
    <a:accent4>
      <a:srgbClr val="00A1E2"/>
    </a:accent4>
    <a:accent5>
      <a:srgbClr val="873246"/>
    </a:accent5>
    <a:accent6>
      <a:srgbClr val="6769E2"/>
    </a:accent6>
    <a:hlink>
      <a:srgbClr val="0000FF"/>
    </a:hlink>
    <a:folHlink>
      <a:srgbClr val="800080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eme/themeOverride8.xml><?xml version="1.0" encoding="utf-8"?>
<a:themeOverride xmlns:a="http://schemas.openxmlformats.org/drawingml/2006/main">
  <a:clrScheme name="_NewOffice365">
    <a:dk1>
      <a:sysClr val="windowText" lastClr="000000"/>
    </a:dk1>
    <a:lt1>
      <a:sysClr val="window" lastClr="FFFFFF"/>
    </a:lt1>
    <a:dk2>
      <a:srgbClr val="003366"/>
    </a:dk2>
    <a:lt2>
      <a:srgbClr val="C6D9E2"/>
    </a:lt2>
    <a:accent1>
      <a:srgbClr val="005AA4"/>
    </a:accent1>
    <a:accent2>
      <a:srgbClr val="D0B86A"/>
    </a:accent2>
    <a:accent3>
      <a:srgbClr val="226B5A"/>
    </a:accent3>
    <a:accent4>
      <a:srgbClr val="00A1E2"/>
    </a:accent4>
    <a:accent5>
      <a:srgbClr val="873246"/>
    </a:accent5>
    <a:accent6>
      <a:srgbClr val="6769E2"/>
    </a:accent6>
    <a:hlink>
      <a:srgbClr val="0000FF"/>
    </a:hlink>
    <a:folHlink>
      <a:srgbClr val="800080"/>
    </a:folHlink>
  </a:clrScheme>
  <a:fontScheme name="Rothschild">
    <a:majorFont>
      <a:latin typeface="Georg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Arial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Rothschild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47500"/>
              <a:satMod val="137000"/>
            </a:schemeClr>
          </a:gs>
          <a:gs pos="55000">
            <a:schemeClr val="phClr">
              <a:shade val="69000"/>
              <a:satMod val="137000"/>
            </a:schemeClr>
          </a:gs>
          <a:gs pos="100000">
            <a:schemeClr val="phClr">
              <a:shade val="98000"/>
              <a:satMod val="137000"/>
            </a:schemeClr>
          </a:gs>
        </a:gsLst>
        <a:lin ang="16200000" scaled="0"/>
      </a:gradFill>
    </a:fillStyleLst>
    <a:lnStyleLst>
      <a:ln w="6350" cap="rnd" cmpd="sng" algn="ctr">
        <a:solidFill>
          <a:schemeClr val="phClr">
            <a:shade val="95000"/>
            <a:satMod val="105000"/>
          </a:schemeClr>
        </a:solidFill>
        <a:prstDash val="solid"/>
      </a:ln>
      <a:ln w="48000" cap="flat" cmpd="thickThin" algn="ctr">
        <a:solidFill>
          <a:schemeClr val="phClr"/>
        </a:solidFill>
        <a:prstDash val="solid"/>
      </a:ln>
      <a:ln w="48500" cap="flat" cmpd="thickThin" algn="ctr">
        <a:solidFill>
          <a:schemeClr val="phClr"/>
        </a:solidFill>
        <a:prstDash val="solid"/>
      </a:ln>
    </a:lnStyleLst>
    <a:effectStyleLst>
      <a:effectStyle>
        <a:effectLst>
          <a:outerShdw blurRad="45000" dist="25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39000" dist="25400" dir="5400000" rotWithShape="0">
            <a:srgbClr val="000000">
              <a:alpha val="38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800000"/>
          </a:lightRig>
        </a:scene3d>
        <a:sp3d prstMaterial="matte">
          <a:bevelT h="200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8000"/>
              <a:satMod val="300000"/>
            </a:schemeClr>
          </a:gs>
          <a:gs pos="12000">
            <a:schemeClr val="phClr">
              <a:tint val="48000"/>
              <a:satMod val="300000"/>
            </a:schemeClr>
          </a:gs>
          <a:gs pos="20000">
            <a:schemeClr val="phClr">
              <a:tint val="49000"/>
              <a:satMod val="300000"/>
            </a:schemeClr>
          </a:gs>
          <a:gs pos="100000">
            <a:schemeClr val="phClr">
              <a:shade val="30000"/>
            </a:schemeClr>
          </a:gs>
        </a:gsLst>
        <a:path path="circle">
          <a:fillToRect l="10000" t="-25000" r="10000" b="125000"/>
        </a:path>
      </a:gradFill>
      <a:blipFill>
        <a:blip xmlns:r="http://schemas.openxmlformats.org/officeDocument/2006/relationships">
          <a:duotone>
            <a:schemeClr val="phClr">
              <a:shade val="75000"/>
              <a:satMod val="105000"/>
            </a:schemeClr>
            <a:schemeClr val="phClr">
              <a:tint val="95000"/>
              <a:satMod val="105000"/>
            </a:schemeClr>
          </a:duotone>
        </a:blip>
        <a:tile tx="0" ty="0" sx="38000" sy="38000" flip="none" algn="tl"/>
      </a:blip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5-08-07T09:05:23.95" personId="{B7F7809E-A713-48ED-9307-A89A05A2EA56}" id="{0FBF8BFA-EDAA-42AF-B528-EC4291DEC36D}">
    <text>Does EV need to be currency adjusted?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36" dT="2025-08-21T01:10:08.05" personId="{B7F7809E-A713-48ED-9307-A89A05A2EA56}" id="{1229B9DB-929F-481A-97B7-BD51D447DFD1}">
    <text>Includes 30.5m intersegments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7A8ED-6853-4708-91BC-A491EEBEBC1D}">
  <sheetPr codeName="Sheet1"/>
  <dimension ref="A1:H431"/>
  <sheetViews>
    <sheetView showGridLines="0" tabSelected="1" workbookViewId="0">
      <selection activeCell="Z1" sqref="Z1"/>
    </sheetView>
  </sheetViews>
  <sheetFormatPr defaultRowHeight="15"/>
  <sheetData>
    <row r="1" spans="1:8" ht="23.25" customHeight="1">
      <c r="A1" s="561"/>
      <c r="B1" s="562"/>
      <c r="C1" s="562"/>
      <c r="D1" s="562"/>
      <c r="E1" s="562"/>
      <c r="F1" s="562"/>
      <c r="G1" s="562"/>
      <c r="H1" s="562"/>
    </row>
    <row r="2" spans="1:8">
      <c r="A2" s="559" t="s">
        <v>611</v>
      </c>
      <c r="B2" s="562"/>
      <c r="C2" s="562"/>
      <c r="D2" s="562"/>
      <c r="E2" s="562"/>
      <c r="F2" s="562"/>
      <c r="G2" s="562"/>
      <c r="H2" s="562"/>
    </row>
    <row r="3" spans="1:8">
      <c r="A3" s="559" t="s">
        <v>612</v>
      </c>
      <c r="B3" s="562"/>
      <c r="C3" s="562"/>
      <c r="D3" s="562"/>
      <c r="E3" s="562"/>
      <c r="F3" s="562"/>
      <c r="G3" s="562"/>
      <c r="H3" s="562"/>
    </row>
    <row r="4" spans="1:8">
      <c r="A4" s="559" t="s">
        <v>613</v>
      </c>
      <c r="B4" s="562"/>
      <c r="C4" s="562"/>
      <c r="D4" s="562"/>
      <c r="E4" s="562"/>
      <c r="F4" s="562"/>
      <c r="G4" s="562"/>
      <c r="H4" s="562"/>
    </row>
    <row r="5" spans="1:8">
      <c r="A5" s="559" t="s">
        <v>614</v>
      </c>
      <c r="B5" s="562"/>
      <c r="C5" s="562"/>
      <c r="D5" s="562"/>
      <c r="E5" s="562"/>
      <c r="F5" s="562"/>
      <c r="G5" s="562"/>
      <c r="H5" s="562"/>
    </row>
    <row r="6" spans="1:8">
      <c r="A6" s="559"/>
      <c r="B6" s="562"/>
      <c r="C6" s="562"/>
      <c r="D6" s="562"/>
      <c r="E6" s="562"/>
      <c r="F6" s="562"/>
      <c r="G6" s="562"/>
      <c r="H6" s="562"/>
    </row>
    <row r="7" spans="1:8">
      <c r="A7" s="559" t="s">
        <v>615</v>
      </c>
      <c r="B7" s="562"/>
      <c r="C7" s="562"/>
      <c r="D7" s="562"/>
      <c r="E7" s="562"/>
      <c r="F7" s="562"/>
      <c r="G7" s="562"/>
      <c r="H7" s="562"/>
    </row>
    <row r="8" spans="1:8">
      <c r="A8" s="559" t="s">
        <v>616</v>
      </c>
      <c r="B8" s="562"/>
      <c r="C8" s="562"/>
      <c r="D8" s="562"/>
      <c r="E8" s="562"/>
      <c r="F8" s="562"/>
      <c r="G8" s="562"/>
      <c r="H8" s="562"/>
    </row>
    <row r="9" spans="1:8">
      <c r="A9" s="559"/>
      <c r="B9" s="562"/>
      <c r="C9" s="562"/>
      <c r="D9" s="562"/>
      <c r="E9" s="562"/>
      <c r="F9" s="562"/>
      <c r="G9" s="562"/>
      <c r="H9" s="562"/>
    </row>
    <row r="10" spans="1:8">
      <c r="A10" s="559" t="s">
        <v>617</v>
      </c>
      <c r="B10" s="562"/>
      <c r="C10" s="562"/>
      <c r="D10" s="562"/>
      <c r="E10" s="562"/>
      <c r="F10" s="562"/>
      <c r="G10" s="562"/>
      <c r="H10" s="562"/>
    </row>
    <row r="11" spans="1:8">
      <c r="A11" s="559" t="s">
        <v>618</v>
      </c>
      <c r="B11" s="562"/>
      <c r="C11" s="562"/>
      <c r="D11" s="562"/>
      <c r="E11" s="562"/>
      <c r="F11" s="562"/>
      <c r="G11" s="562"/>
      <c r="H11" s="562"/>
    </row>
    <row r="12" spans="1:8">
      <c r="A12" s="559" t="s">
        <v>619</v>
      </c>
      <c r="B12" s="562"/>
      <c r="C12" s="562"/>
      <c r="D12" s="562"/>
      <c r="E12" s="562"/>
      <c r="F12" s="562"/>
      <c r="G12" s="562"/>
      <c r="H12" s="562"/>
    </row>
    <row r="13" spans="1:8">
      <c r="A13" s="559" t="s">
        <v>620</v>
      </c>
      <c r="B13" s="562"/>
      <c r="C13" s="562"/>
      <c r="D13" s="562"/>
      <c r="E13" s="562"/>
      <c r="F13" s="562"/>
      <c r="G13" s="562"/>
      <c r="H13" s="562"/>
    </row>
    <row r="14" spans="1:8">
      <c r="A14" s="559" t="s">
        <v>621</v>
      </c>
      <c r="B14" s="562"/>
      <c r="C14" s="562"/>
      <c r="D14" s="562"/>
      <c r="E14" s="562"/>
      <c r="F14" s="562"/>
      <c r="G14" s="562"/>
      <c r="H14" s="562"/>
    </row>
    <row r="15" spans="1:8">
      <c r="A15" s="559" t="s">
        <v>622</v>
      </c>
      <c r="B15" s="562"/>
      <c r="C15" s="562"/>
      <c r="D15" s="562"/>
      <c r="E15" s="562"/>
      <c r="F15" s="562"/>
      <c r="G15" s="562"/>
      <c r="H15" s="562"/>
    </row>
    <row r="16" spans="1:8">
      <c r="A16" s="559"/>
      <c r="B16" s="562"/>
      <c r="C16" s="562"/>
      <c r="D16" s="562"/>
      <c r="E16" s="562"/>
      <c r="F16" s="562"/>
      <c r="G16" s="562"/>
      <c r="H16" s="562"/>
    </row>
    <row r="17" spans="1:8">
      <c r="A17" s="559" t="s">
        <v>623</v>
      </c>
      <c r="B17" s="562"/>
      <c r="C17" s="562"/>
      <c r="D17" s="562"/>
      <c r="E17" s="562"/>
      <c r="F17" s="562"/>
      <c r="G17" s="562"/>
      <c r="H17" s="562"/>
    </row>
    <row r="18" spans="1:8">
      <c r="A18" s="559"/>
      <c r="B18" s="562"/>
      <c r="C18" s="562"/>
      <c r="D18" s="562"/>
      <c r="E18" s="562"/>
      <c r="F18" s="562"/>
      <c r="G18" s="562"/>
      <c r="H18" s="562"/>
    </row>
    <row r="19" spans="1:8">
      <c r="A19" s="559" t="s">
        <v>624</v>
      </c>
      <c r="B19" s="562"/>
      <c r="C19" s="562"/>
      <c r="D19" s="562"/>
      <c r="E19" s="562"/>
      <c r="F19" s="562"/>
      <c r="G19" s="562"/>
      <c r="H19" s="562"/>
    </row>
    <row r="20" spans="1:8">
      <c r="A20" s="559"/>
      <c r="B20" s="562"/>
      <c r="C20" s="562"/>
      <c r="D20" s="562"/>
      <c r="E20" s="562"/>
      <c r="F20" s="562"/>
      <c r="G20" s="562"/>
      <c r="H20" s="562"/>
    </row>
    <row r="21" spans="1:8">
      <c r="A21" s="560" t="s">
        <v>625</v>
      </c>
      <c r="B21" s="562"/>
      <c r="C21" s="562"/>
      <c r="D21" s="562"/>
      <c r="E21" s="562"/>
      <c r="F21" s="562"/>
      <c r="G21" s="562"/>
      <c r="H21" s="562"/>
    </row>
    <row r="22" spans="1:8">
      <c r="A22" s="562"/>
      <c r="B22" s="562"/>
      <c r="C22" s="562"/>
      <c r="D22" s="562"/>
      <c r="E22" s="562"/>
      <c r="F22" s="562"/>
      <c r="G22" s="562"/>
      <c r="H22" s="562"/>
    </row>
    <row r="23" spans="1:8">
      <c r="A23" s="563" t="s">
        <v>626</v>
      </c>
      <c r="B23" s="562"/>
      <c r="C23" s="562"/>
      <c r="D23" s="562"/>
      <c r="E23" s="562"/>
      <c r="F23" s="562"/>
      <c r="G23" s="562"/>
      <c r="H23" s="562"/>
    </row>
    <row r="24" spans="1:8">
      <c r="A24" s="563" t="s">
        <v>627</v>
      </c>
      <c r="B24" s="562"/>
      <c r="C24" s="562"/>
      <c r="D24" s="562"/>
      <c r="E24" s="562"/>
      <c r="F24" s="562"/>
      <c r="G24" s="562"/>
      <c r="H24" s="562"/>
    </row>
    <row r="25" spans="1:8">
      <c r="A25" s="563" t="s">
        <v>628</v>
      </c>
      <c r="B25" s="562"/>
      <c r="C25" s="562"/>
      <c r="D25" s="562"/>
      <c r="E25" s="562"/>
      <c r="F25" s="562"/>
      <c r="G25" s="562"/>
      <c r="H25" s="562"/>
    </row>
    <row r="26" spans="1:8">
      <c r="A26" s="563" t="s">
        <v>629</v>
      </c>
      <c r="B26" s="562"/>
      <c r="C26" s="562"/>
      <c r="D26" s="562"/>
      <c r="E26" s="562"/>
      <c r="F26" s="562"/>
      <c r="G26" s="562"/>
      <c r="H26" s="562"/>
    </row>
    <row r="27" spans="1:8">
      <c r="A27" s="562"/>
      <c r="B27" s="562"/>
      <c r="C27" s="562"/>
      <c r="D27" s="562"/>
      <c r="E27" s="562"/>
      <c r="F27" s="562"/>
      <c r="G27" s="562"/>
      <c r="H27" s="562"/>
    </row>
    <row r="28" spans="1:8">
      <c r="A28" s="563" t="s">
        <v>630</v>
      </c>
      <c r="B28" s="562"/>
      <c r="C28" s="562"/>
      <c r="D28" s="562"/>
      <c r="E28" s="562"/>
      <c r="F28" s="562"/>
      <c r="G28" s="562"/>
      <c r="H28" s="562"/>
    </row>
    <row r="29" spans="1:8">
      <c r="A29" s="563" t="s">
        <v>631</v>
      </c>
      <c r="B29" s="562"/>
      <c r="C29" s="562"/>
      <c r="D29" s="562"/>
      <c r="E29" s="562"/>
      <c r="F29" s="562"/>
      <c r="G29" s="562"/>
      <c r="H29" s="562"/>
    </row>
    <row r="30" spans="1:8">
      <c r="A30" s="563" t="s">
        <v>632</v>
      </c>
      <c r="B30" s="562"/>
      <c r="C30" s="562"/>
      <c r="D30" s="562"/>
      <c r="E30" s="562"/>
      <c r="F30" s="562"/>
      <c r="G30" s="562"/>
      <c r="H30" s="562"/>
    </row>
    <row r="31" spans="1:8">
      <c r="A31" s="563" t="s">
        <v>633</v>
      </c>
      <c r="B31" s="562"/>
      <c r="C31" s="562"/>
      <c r="D31" s="562"/>
      <c r="E31" s="562"/>
      <c r="F31" s="562"/>
      <c r="G31" s="562"/>
      <c r="H31" s="562"/>
    </row>
    <row r="32" spans="1:8">
      <c r="A32" s="563" t="s">
        <v>634</v>
      </c>
      <c r="B32" s="562"/>
      <c r="C32" s="562"/>
      <c r="D32" s="562"/>
      <c r="E32" s="562"/>
      <c r="F32" s="562"/>
      <c r="G32" s="562"/>
      <c r="H32" s="562"/>
    </row>
    <row r="33" spans="1:8">
      <c r="A33" s="563" t="s">
        <v>635</v>
      </c>
      <c r="B33" s="562"/>
      <c r="C33" s="562"/>
      <c r="D33" s="562"/>
      <c r="E33" s="562"/>
      <c r="F33" s="562"/>
      <c r="G33" s="562"/>
      <c r="H33" s="562"/>
    </row>
    <row r="34" spans="1:8">
      <c r="A34" s="563" t="s">
        <v>636</v>
      </c>
      <c r="B34" s="562"/>
      <c r="C34" s="562"/>
      <c r="D34" s="562"/>
      <c r="E34" s="562"/>
      <c r="F34" s="562"/>
      <c r="G34" s="562"/>
      <c r="H34" s="562"/>
    </row>
    <row r="35" spans="1:8">
      <c r="A35" s="563" t="s">
        <v>637</v>
      </c>
      <c r="B35" s="562"/>
      <c r="C35" s="562"/>
      <c r="D35" s="562"/>
      <c r="E35" s="562"/>
      <c r="F35" s="562"/>
      <c r="G35" s="562"/>
      <c r="H35" s="562"/>
    </row>
    <row r="36" spans="1:8">
      <c r="A36" s="563" t="s">
        <v>638</v>
      </c>
      <c r="B36" s="562"/>
      <c r="C36" s="562"/>
      <c r="D36" s="562"/>
      <c r="E36" s="562"/>
      <c r="F36" s="562"/>
      <c r="G36" s="562"/>
      <c r="H36" s="562"/>
    </row>
    <row r="37" spans="1:8">
      <c r="A37" s="563" t="s">
        <v>639</v>
      </c>
      <c r="B37" s="562"/>
      <c r="C37" s="562"/>
      <c r="D37" s="562"/>
      <c r="E37" s="562"/>
      <c r="F37" s="562"/>
      <c r="G37" s="562"/>
      <c r="H37" s="562"/>
    </row>
    <row r="38" spans="1:8">
      <c r="A38" s="563" t="s">
        <v>640</v>
      </c>
      <c r="B38" s="562"/>
      <c r="C38" s="562"/>
      <c r="D38" s="562"/>
      <c r="E38" s="562"/>
      <c r="F38" s="562"/>
      <c r="G38" s="562"/>
      <c r="H38" s="562"/>
    </row>
    <row r="39" spans="1:8">
      <c r="A39" s="563" t="s">
        <v>641</v>
      </c>
      <c r="B39" s="562"/>
      <c r="C39" s="562"/>
      <c r="D39" s="562"/>
      <c r="E39" s="562"/>
      <c r="F39" s="562"/>
      <c r="G39" s="562"/>
      <c r="H39" s="562"/>
    </row>
    <row r="40" spans="1:8">
      <c r="A40" s="563" t="s">
        <v>642</v>
      </c>
      <c r="B40" s="562"/>
      <c r="C40" s="562"/>
      <c r="D40" s="562"/>
      <c r="E40" s="562"/>
      <c r="F40" s="562"/>
      <c r="G40" s="562"/>
      <c r="H40" s="562"/>
    </row>
    <row r="41" spans="1:8">
      <c r="A41" s="563" t="s">
        <v>643</v>
      </c>
      <c r="B41" s="562"/>
      <c r="C41" s="562"/>
      <c r="D41" s="562"/>
      <c r="E41" s="562"/>
      <c r="F41" s="562"/>
      <c r="G41" s="562"/>
      <c r="H41" s="562"/>
    </row>
    <row r="42" spans="1:8">
      <c r="A42" s="563" t="s">
        <v>644</v>
      </c>
      <c r="B42" s="562"/>
      <c r="C42" s="562"/>
      <c r="D42" s="562"/>
      <c r="E42" s="562"/>
      <c r="F42" s="562"/>
      <c r="G42" s="562"/>
      <c r="H42" s="562"/>
    </row>
    <row r="43" spans="1:8">
      <c r="A43" s="563" t="s">
        <v>645</v>
      </c>
      <c r="B43" s="562"/>
      <c r="C43" s="562"/>
      <c r="D43" s="562"/>
      <c r="E43" s="562"/>
      <c r="F43" s="562"/>
      <c r="G43" s="562"/>
      <c r="H43" s="562"/>
    </row>
    <row r="44" spans="1:8">
      <c r="A44" s="563" t="s">
        <v>646</v>
      </c>
      <c r="B44" s="562"/>
      <c r="C44" s="562"/>
      <c r="D44" s="562"/>
      <c r="E44" s="562"/>
      <c r="F44" s="562"/>
      <c r="G44" s="562"/>
      <c r="H44" s="562"/>
    </row>
    <row r="45" spans="1:8">
      <c r="A45" s="563" t="s">
        <v>647</v>
      </c>
      <c r="B45" s="562"/>
      <c r="C45" s="562"/>
      <c r="D45" s="562"/>
      <c r="E45" s="562"/>
      <c r="F45" s="562"/>
      <c r="G45" s="562"/>
      <c r="H45" s="562"/>
    </row>
    <row r="46" spans="1:8">
      <c r="A46" s="563" t="s">
        <v>648</v>
      </c>
      <c r="B46" s="562"/>
      <c r="C46" s="562"/>
      <c r="D46" s="562"/>
      <c r="E46" s="562"/>
      <c r="F46" s="562"/>
      <c r="G46" s="562"/>
      <c r="H46" s="562"/>
    </row>
    <row r="47" spans="1:8">
      <c r="A47" s="563" t="s">
        <v>649</v>
      </c>
      <c r="B47" s="562"/>
      <c r="C47" s="562"/>
      <c r="D47" s="562"/>
      <c r="E47" s="562"/>
      <c r="F47" s="562"/>
      <c r="G47" s="562"/>
      <c r="H47" s="562"/>
    </row>
    <row r="48" spans="1:8">
      <c r="A48" s="563" t="s">
        <v>650</v>
      </c>
      <c r="B48" s="562"/>
      <c r="C48" s="562"/>
      <c r="D48" s="562"/>
      <c r="E48" s="562"/>
      <c r="F48" s="562"/>
      <c r="G48" s="562"/>
      <c r="H48" s="562"/>
    </row>
    <row r="49" spans="1:8">
      <c r="A49" s="563" t="s">
        <v>651</v>
      </c>
      <c r="B49" s="562"/>
      <c r="C49" s="562"/>
      <c r="D49" s="562"/>
      <c r="E49" s="562"/>
      <c r="F49" s="562"/>
      <c r="G49" s="562"/>
      <c r="H49" s="562"/>
    </row>
    <row r="50" spans="1:8">
      <c r="A50" s="563" t="s">
        <v>652</v>
      </c>
      <c r="B50" s="562"/>
      <c r="C50" s="562"/>
      <c r="D50" s="562"/>
      <c r="E50" s="562"/>
      <c r="F50" s="562"/>
      <c r="G50" s="562"/>
      <c r="H50" s="562"/>
    </row>
    <row r="51" spans="1:8">
      <c r="A51" s="562"/>
      <c r="B51" s="562"/>
      <c r="C51" s="562"/>
      <c r="D51" s="562"/>
      <c r="E51" s="562"/>
      <c r="F51" s="562"/>
      <c r="G51" s="562"/>
      <c r="H51" s="562"/>
    </row>
    <row r="52" spans="1:8">
      <c r="A52" s="563" t="s">
        <v>653</v>
      </c>
      <c r="B52" s="562"/>
      <c r="C52" s="562"/>
      <c r="D52" s="562"/>
      <c r="E52" s="562"/>
      <c r="F52" s="562"/>
      <c r="G52" s="562"/>
      <c r="H52" s="562"/>
    </row>
    <row r="53" spans="1:8">
      <c r="A53" s="563" t="s">
        <v>654</v>
      </c>
      <c r="B53" s="562"/>
      <c r="C53" s="562"/>
      <c r="D53" s="562"/>
      <c r="E53" s="562"/>
      <c r="F53" s="562"/>
      <c r="G53" s="562"/>
      <c r="H53" s="562"/>
    </row>
    <row r="54" spans="1:8">
      <c r="A54" s="563" t="s">
        <v>655</v>
      </c>
      <c r="B54" s="562"/>
      <c r="C54" s="562"/>
      <c r="D54" s="562"/>
      <c r="E54" s="562"/>
      <c r="F54" s="562"/>
      <c r="G54" s="562"/>
      <c r="H54" s="562"/>
    </row>
    <row r="55" spans="1:8">
      <c r="A55" s="563" t="s">
        <v>656</v>
      </c>
      <c r="B55" s="562"/>
      <c r="C55" s="562"/>
      <c r="D55" s="562"/>
      <c r="E55" s="562"/>
      <c r="F55" s="562"/>
      <c r="G55" s="562"/>
      <c r="H55" s="562"/>
    </row>
    <row r="56" spans="1:8">
      <c r="A56" s="562"/>
      <c r="B56" s="562"/>
      <c r="C56" s="562"/>
      <c r="D56" s="562"/>
      <c r="E56" s="562"/>
      <c r="F56" s="562"/>
      <c r="G56" s="562"/>
      <c r="H56" s="562"/>
    </row>
    <row r="57" spans="1:8">
      <c r="A57" s="563" t="s">
        <v>657</v>
      </c>
      <c r="B57" s="562"/>
      <c r="C57" s="562"/>
      <c r="D57" s="562"/>
      <c r="E57" s="562"/>
      <c r="F57" s="562"/>
      <c r="G57" s="562"/>
      <c r="H57" s="562"/>
    </row>
    <row r="58" spans="1:8">
      <c r="A58" s="563" t="s">
        <v>658</v>
      </c>
      <c r="B58" s="562"/>
      <c r="C58" s="562"/>
      <c r="D58" s="562"/>
      <c r="E58" s="562"/>
      <c r="F58" s="562"/>
      <c r="G58" s="562"/>
      <c r="H58" s="562"/>
    </row>
    <row r="59" spans="1:8">
      <c r="A59" s="563" t="s">
        <v>659</v>
      </c>
      <c r="B59" s="562"/>
      <c r="C59" s="562"/>
      <c r="D59" s="562"/>
      <c r="E59" s="562"/>
      <c r="F59" s="562"/>
      <c r="G59" s="562"/>
      <c r="H59" s="562"/>
    </row>
    <row r="60" spans="1:8">
      <c r="A60" s="563" t="s">
        <v>660</v>
      </c>
      <c r="B60" s="562"/>
      <c r="C60" s="562"/>
      <c r="D60" s="562"/>
      <c r="E60" s="562"/>
      <c r="F60" s="562"/>
      <c r="G60" s="562"/>
      <c r="H60" s="562"/>
    </row>
    <row r="61" spans="1:8">
      <c r="A61" s="563" t="s">
        <v>661</v>
      </c>
      <c r="B61" s="562"/>
      <c r="C61" s="562"/>
      <c r="D61" s="562"/>
      <c r="E61" s="562"/>
      <c r="F61" s="562"/>
      <c r="G61" s="562"/>
      <c r="H61" s="562"/>
    </row>
    <row r="62" spans="1:8">
      <c r="A62" s="563" t="s">
        <v>662</v>
      </c>
      <c r="B62" s="562"/>
      <c r="C62" s="562"/>
      <c r="D62" s="562"/>
      <c r="E62" s="562"/>
      <c r="F62" s="562"/>
      <c r="G62" s="562"/>
      <c r="H62" s="562"/>
    </row>
    <row r="63" spans="1:8">
      <c r="A63" s="562"/>
      <c r="B63" s="562"/>
      <c r="C63" s="562"/>
      <c r="D63" s="562"/>
      <c r="E63" s="562"/>
      <c r="F63" s="562"/>
      <c r="G63" s="562"/>
      <c r="H63" s="562"/>
    </row>
    <row r="64" spans="1:8" ht="15.75">
      <c r="A64" s="564" t="s">
        <v>663</v>
      </c>
      <c r="B64" s="562"/>
      <c r="C64" s="562"/>
      <c r="D64" s="562"/>
      <c r="E64" s="562"/>
      <c r="F64" s="562"/>
      <c r="G64" s="562"/>
      <c r="H64" s="562"/>
    </row>
    <row r="65" spans="1:8">
      <c r="A65" s="562"/>
      <c r="B65" s="562"/>
      <c r="C65" s="562"/>
      <c r="D65" s="562"/>
      <c r="E65" s="562"/>
      <c r="F65" s="562"/>
      <c r="G65" s="562"/>
      <c r="H65" s="562"/>
    </row>
    <row r="66" spans="1:8">
      <c r="A66" s="563" t="s">
        <v>664</v>
      </c>
      <c r="B66" s="562"/>
      <c r="C66" s="562"/>
      <c r="D66" s="562"/>
      <c r="E66" s="562"/>
      <c r="F66" s="562"/>
      <c r="G66" s="562"/>
      <c r="H66" s="562"/>
    </row>
    <row r="67" spans="1:8">
      <c r="A67" s="563" t="s">
        <v>665</v>
      </c>
      <c r="B67" s="562"/>
      <c r="C67" s="562"/>
      <c r="D67" s="562"/>
      <c r="E67" s="562"/>
      <c r="F67" s="562"/>
      <c r="G67" s="562"/>
      <c r="H67" s="562"/>
    </row>
    <row r="68" spans="1:8">
      <c r="A68" s="563" t="s">
        <v>666</v>
      </c>
      <c r="B68" s="562"/>
      <c r="C68" s="562"/>
      <c r="D68" s="562"/>
      <c r="E68" s="562"/>
      <c r="F68" s="562"/>
      <c r="G68" s="562"/>
      <c r="H68" s="562"/>
    </row>
    <row r="69" spans="1:8">
      <c r="A69" s="563" t="s">
        <v>667</v>
      </c>
      <c r="B69" s="562"/>
      <c r="C69" s="562"/>
      <c r="D69" s="562"/>
      <c r="E69" s="562"/>
      <c r="F69" s="562"/>
      <c r="G69" s="562"/>
      <c r="H69" s="562"/>
    </row>
    <row r="70" spans="1:8">
      <c r="A70" s="562"/>
      <c r="B70" s="562"/>
      <c r="C70" s="562"/>
      <c r="D70" s="562"/>
      <c r="E70" s="562"/>
      <c r="F70" s="562"/>
      <c r="G70" s="562"/>
      <c r="H70" s="562"/>
    </row>
    <row r="71" spans="1:8">
      <c r="A71" s="563" t="s">
        <v>668</v>
      </c>
      <c r="B71" s="562"/>
      <c r="C71" s="562"/>
      <c r="D71" s="562"/>
      <c r="E71" s="562"/>
      <c r="F71" s="562"/>
      <c r="G71" s="562"/>
      <c r="H71" s="562"/>
    </row>
    <row r="72" spans="1:8">
      <c r="A72" s="562"/>
      <c r="B72" s="562"/>
      <c r="C72" s="562"/>
      <c r="D72" s="562"/>
      <c r="E72" s="562"/>
      <c r="F72" s="562"/>
      <c r="G72" s="562"/>
      <c r="H72" s="562"/>
    </row>
    <row r="73" spans="1:8" ht="15.75">
      <c r="A73" s="564" t="s">
        <v>669</v>
      </c>
      <c r="B73" s="562"/>
      <c r="C73" s="562"/>
      <c r="D73" s="562"/>
      <c r="E73" s="562"/>
      <c r="F73" s="562"/>
      <c r="G73" s="562"/>
      <c r="H73" s="562"/>
    </row>
    <row r="74" spans="1:8">
      <c r="A74" s="562"/>
      <c r="B74" s="562"/>
      <c r="C74" s="562"/>
      <c r="D74" s="562"/>
      <c r="E74" s="562"/>
      <c r="F74" s="562"/>
      <c r="G74" s="562"/>
      <c r="H74" s="562"/>
    </row>
    <row r="75" spans="1:8">
      <c r="A75" s="563" t="s">
        <v>670</v>
      </c>
      <c r="B75" s="562"/>
      <c r="C75" s="562"/>
      <c r="D75" s="562"/>
      <c r="E75" s="562"/>
      <c r="F75" s="562"/>
      <c r="G75" s="562"/>
      <c r="H75" s="562"/>
    </row>
    <row r="76" spans="1:8">
      <c r="A76" s="563" t="s">
        <v>671</v>
      </c>
      <c r="B76" s="562"/>
      <c r="C76" s="562"/>
      <c r="D76" s="562"/>
      <c r="E76" s="562"/>
      <c r="F76" s="562"/>
      <c r="G76" s="562"/>
      <c r="H76" s="562"/>
    </row>
    <row r="77" spans="1:8">
      <c r="A77" s="563" t="s">
        <v>672</v>
      </c>
      <c r="B77" s="562"/>
      <c r="C77" s="562"/>
      <c r="D77" s="562"/>
      <c r="E77" s="562"/>
      <c r="F77" s="562"/>
      <c r="G77" s="562"/>
      <c r="H77" s="562"/>
    </row>
    <row r="78" spans="1:8">
      <c r="A78" s="562"/>
      <c r="B78" s="562"/>
      <c r="C78" s="562"/>
      <c r="D78" s="562"/>
      <c r="E78" s="562"/>
      <c r="F78" s="562"/>
      <c r="G78" s="562"/>
      <c r="H78" s="562"/>
    </row>
    <row r="79" spans="1:8" ht="15.75">
      <c r="A79" s="564" t="s">
        <v>673</v>
      </c>
      <c r="B79" s="562"/>
      <c r="C79" s="562"/>
      <c r="D79" s="562"/>
      <c r="E79" s="562"/>
      <c r="F79" s="562"/>
      <c r="G79" s="562"/>
      <c r="H79" s="562"/>
    </row>
    <row r="80" spans="1:8">
      <c r="A80" s="562"/>
      <c r="B80" s="562"/>
      <c r="C80" s="562"/>
      <c r="D80" s="562"/>
      <c r="E80" s="562"/>
      <c r="F80" s="562"/>
      <c r="G80" s="562"/>
      <c r="H80" s="562"/>
    </row>
    <row r="81" spans="1:8">
      <c r="A81" s="563" t="s">
        <v>674</v>
      </c>
      <c r="B81" s="562"/>
      <c r="C81" s="562"/>
      <c r="D81" s="562"/>
      <c r="E81" s="562"/>
      <c r="F81" s="562"/>
      <c r="G81" s="562"/>
      <c r="H81" s="562"/>
    </row>
    <row r="82" spans="1:8">
      <c r="A82" s="563" t="s">
        <v>675</v>
      </c>
      <c r="B82" s="562"/>
      <c r="C82" s="562"/>
      <c r="D82" s="562"/>
      <c r="E82" s="562"/>
      <c r="F82" s="562"/>
      <c r="G82" s="562"/>
      <c r="H82" s="562"/>
    </row>
    <row r="83" spans="1:8">
      <c r="A83" s="562"/>
      <c r="B83" s="562"/>
      <c r="C83" s="562"/>
      <c r="D83" s="562"/>
      <c r="E83" s="562"/>
      <c r="F83" s="562"/>
      <c r="G83" s="562"/>
      <c r="H83" s="562"/>
    </row>
    <row r="84" spans="1:8">
      <c r="A84" s="563" t="s">
        <v>676</v>
      </c>
      <c r="B84" s="562"/>
      <c r="C84" s="562"/>
      <c r="D84" s="562"/>
      <c r="E84" s="562"/>
      <c r="F84" s="562"/>
      <c r="G84" s="562"/>
      <c r="H84" s="562"/>
    </row>
    <row r="85" spans="1:8">
      <c r="A85" s="563" t="s">
        <v>677</v>
      </c>
      <c r="B85" s="562"/>
      <c r="C85" s="562"/>
      <c r="D85" s="562"/>
      <c r="E85" s="562"/>
      <c r="F85" s="562"/>
      <c r="G85" s="562"/>
      <c r="H85" s="562"/>
    </row>
    <row r="86" spans="1:8">
      <c r="A86" s="562"/>
      <c r="B86" s="562"/>
      <c r="C86" s="562"/>
      <c r="D86" s="562"/>
      <c r="E86" s="562"/>
      <c r="F86" s="562"/>
      <c r="G86" s="562"/>
      <c r="H86" s="562"/>
    </row>
    <row r="87" spans="1:8">
      <c r="A87" s="563" t="s">
        <v>678</v>
      </c>
      <c r="B87" s="562"/>
      <c r="C87" s="562"/>
      <c r="D87" s="562"/>
      <c r="E87" s="562"/>
      <c r="F87" s="562"/>
      <c r="G87" s="562"/>
      <c r="H87" s="562"/>
    </row>
    <row r="88" spans="1:8">
      <c r="A88" s="563" t="s">
        <v>679</v>
      </c>
      <c r="B88" s="562"/>
      <c r="C88" s="562"/>
      <c r="D88" s="562"/>
      <c r="E88" s="562"/>
      <c r="F88" s="562"/>
      <c r="G88" s="562"/>
      <c r="H88" s="562"/>
    </row>
    <row r="89" spans="1:8">
      <c r="A89" s="563" t="s">
        <v>680</v>
      </c>
      <c r="B89" s="562"/>
      <c r="C89" s="562"/>
      <c r="D89" s="562"/>
      <c r="E89" s="562"/>
      <c r="F89" s="562"/>
      <c r="G89" s="562"/>
      <c r="H89" s="562"/>
    </row>
    <row r="90" spans="1:8">
      <c r="A90" s="563" t="s">
        <v>681</v>
      </c>
      <c r="B90" s="562"/>
      <c r="C90" s="562"/>
      <c r="D90" s="562"/>
      <c r="E90" s="562"/>
      <c r="F90" s="562"/>
      <c r="G90" s="562"/>
      <c r="H90" s="562"/>
    </row>
    <row r="91" spans="1:8">
      <c r="A91" s="563" t="s">
        <v>682</v>
      </c>
      <c r="B91" s="562"/>
      <c r="C91" s="562"/>
      <c r="D91" s="562"/>
      <c r="E91" s="562"/>
      <c r="F91" s="562"/>
      <c r="G91" s="562"/>
      <c r="H91" s="562"/>
    </row>
    <row r="92" spans="1:8">
      <c r="A92" s="563" t="s">
        <v>683</v>
      </c>
      <c r="B92" s="562"/>
      <c r="C92" s="562"/>
      <c r="D92" s="562"/>
      <c r="E92" s="562"/>
      <c r="F92" s="562"/>
      <c r="G92" s="562"/>
      <c r="H92" s="562"/>
    </row>
    <row r="93" spans="1:8">
      <c r="A93" s="562"/>
      <c r="B93" s="562"/>
      <c r="C93" s="562"/>
      <c r="D93" s="562"/>
      <c r="E93" s="562"/>
      <c r="F93" s="562"/>
      <c r="G93" s="562"/>
      <c r="H93" s="562"/>
    </row>
    <row r="94" spans="1:8">
      <c r="A94" s="563" t="s">
        <v>684</v>
      </c>
      <c r="B94" s="562"/>
      <c r="C94" s="562"/>
      <c r="D94" s="562"/>
      <c r="E94" s="562"/>
      <c r="F94" s="562"/>
      <c r="G94" s="562"/>
      <c r="H94" s="562"/>
    </row>
    <row r="95" spans="1:8">
      <c r="A95" s="563" t="s">
        <v>685</v>
      </c>
      <c r="B95" s="562"/>
      <c r="C95" s="562"/>
      <c r="D95" s="562"/>
      <c r="E95" s="562"/>
      <c r="F95" s="562"/>
      <c r="G95" s="562"/>
      <c r="H95" s="562"/>
    </row>
    <row r="96" spans="1:8">
      <c r="A96" s="563" t="s">
        <v>686</v>
      </c>
      <c r="B96" s="562"/>
      <c r="C96" s="562"/>
      <c r="D96" s="562"/>
      <c r="E96" s="562"/>
      <c r="F96" s="562"/>
      <c r="G96" s="562"/>
      <c r="H96" s="562"/>
    </row>
    <row r="97" spans="1:8">
      <c r="A97" s="563" t="s">
        <v>687</v>
      </c>
      <c r="B97" s="562"/>
      <c r="C97" s="562"/>
      <c r="D97" s="562"/>
      <c r="E97" s="562"/>
      <c r="F97" s="562"/>
      <c r="G97" s="562"/>
      <c r="H97" s="562"/>
    </row>
    <row r="98" spans="1:8">
      <c r="A98" s="563" t="s">
        <v>688</v>
      </c>
      <c r="B98" s="562"/>
      <c r="C98" s="562"/>
      <c r="D98" s="562"/>
      <c r="E98" s="562"/>
      <c r="F98" s="562"/>
      <c r="G98" s="562"/>
      <c r="H98" s="562"/>
    </row>
    <row r="99" spans="1:8">
      <c r="A99" s="563" t="s">
        <v>689</v>
      </c>
      <c r="B99" s="562"/>
      <c r="C99" s="562"/>
      <c r="D99" s="562"/>
      <c r="E99" s="562"/>
      <c r="F99" s="562"/>
      <c r="G99" s="562"/>
      <c r="H99" s="562"/>
    </row>
    <row r="100" spans="1:8">
      <c r="A100" s="563" t="s">
        <v>690</v>
      </c>
      <c r="B100" s="562"/>
      <c r="C100" s="562"/>
      <c r="D100" s="562"/>
      <c r="E100" s="562"/>
      <c r="F100" s="562"/>
      <c r="G100" s="562"/>
      <c r="H100" s="562"/>
    </row>
    <row r="101" spans="1:8">
      <c r="A101" s="562"/>
      <c r="B101" s="562"/>
      <c r="C101" s="562"/>
      <c r="D101" s="562"/>
      <c r="E101" s="562"/>
      <c r="F101" s="562"/>
      <c r="G101" s="562"/>
      <c r="H101" s="562"/>
    </row>
    <row r="102" spans="1:8">
      <c r="A102" s="563" t="s">
        <v>691</v>
      </c>
      <c r="B102" s="562"/>
      <c r="C102" s="562"/>
      <c r="D102" s="562"/>
      <c r="E102" s="562"/>
      <c r="F102" s="562"/>
      <c r="G102" s="562"/>
      <c r="H102" s="562"/>
    </row>
    <row r="103" spans="1:8">
      <c r="A103" s="563" t="s">
        <v>692</v>
      </c>
      <c r="B103" s="562"/>
      <c r="C103" s="562"/>
      <c r="D103" s="562"/>
      <c r="E103" s="562"/>
      <c r="F103" s="562"/>
      <c r="G103" s="562"/>
      <c r="H103" s="562"/>
    </row>
    <row r="104" spans="1:8">
      <c r="A104" s="562"/>
      <c r="B104" s="562"/>
      <c r="C104" s="562"/>
      <c r="D104" s="562"/>
      <c r="E104" s="562"/>
      <c r="F104" s="562"/>
      <c r="G104" s="562"/>
      <c r="H104" s="562"/>
    </row>
    <row r="105" spans="1:8" ht="15.75">
      <c r="A105" s="564" t="s">
        <v>693</v>
      </c>
      <c r="B105" s="562"/>
      <c r="C105" s="562"/>
      <c r="D105" s="562"/>
      <c r="E105" s="562"/>
      <c r="F105" s="562"/>
      <c r="G105" s="562"/>
      <c r="H105" s="562"/>
    </row>
    <row r="106" spans="1:8">
      <c r="A106" s="562"/>
      <c r="B106" s="562"/>
      <c r="C106" s="562"/>
      <c r="D106" s="562"/>
      <c r="E106" s="562"/>
      <c r="F106" s="562"/>
      <c r="G106" s="562"/>
      <c r="H106" s="562"/>
    </row>
    <row r="107" spans="1:8">
      <c r="A107" s="563" t="s">
        <v>694</v>
      </c>
      <c r="B107" s="562"/>
      <c r="C107" s="562"/>
      <c r="D107" s="562"/>
      <c r="E107" s="562"/>
      <c r="F107" s="562"/>
      <c r="G107" s="562"/>
      <c r="H107" s="562"/>
    </row>
    <row r="108" spans="1:8">
      <c r="A108" s="563" t="s">
        <v>695</v>
      </c>
      <c r="B108" s="562"/>
      <c r="C108" s="562"/>
      <c r="D108" s="562"/>
      <c r="E108" s="562"/>
      <c r="F108" s="562"/>
      <c r="G108" s="562"/>
      <c r="H108" s="562"/>
    </row>
    <row r="109" spans="1:8">
      <c r="A109" s="563" t="s">
        <v>696</v>
      </c>
      <c r="B109" s="562"/>
      <c r="C109" s="562"/>
      <c r="D109" s="562"/>
      <c r="E109" s="562"/>
      <c r="F109" s="562"/>
      <c r="G109" s="562"/>
      <c r="H109" s="562"/>
    </row>
    <row r="110" spans="1:8">
      <c r="A110" s="563" t="s">
        <v>697</v>
      </c>
      <c r="B110" s="562"/>
      <c r="C110" s="562"/>
      <c r="D110" s="562"/>
      <c r="E110" s="562"/>
      <c r="F110" s="562"/>
      <c r="G110" s="562"/>
      <c r="H110" s="562"/>
    </row>
    <row r="111" spans="1:8">
      <c r="A111" s="563" t="s">
        <v>698</v>
      </c>
      <c r="B111" s="562"/>
      <c r="C111" s="562"/>
      <c r="D111" s="562"/>
      <c r="E111" s="562"/>
      <c r="F111" s="562"/>
      <c r="G111" s="562"/>
      <c r="H111" s="562"/>
    </row>
    <row r="112" spans="1:8">
      <c r="A112" s="563" t="s">
        <v>699</v>
      </c>
      <c r="B112" s="562"/>
      <c r="C112" s="562"/>
      <c r="D112" s="562"/>
      <c r="E112" s="562"/>
      <c r="F112" s="562"/>
      <c r="G112" s="562"/>
      <c r="H112" s="562"/>
    </row>
    <row r="113" spans="1:8">
      <c r="A113" s="563" t="s">
        <v>700</v>
      </c>
      <c r="B113" s="562"/>
      <c r="C113" s="562"/>
      <c r="D113" s="562"/>
      <c r="E113" s="562"/>
      <c r="F113" s="562"/>
      <c r="G113" s="562"/>
      <c r="H113" s="562"/>
    </row>
    <row r="114" spans="1:8">
      <c r="A114" s="563" t="s">
        <v>701</v>
      </c>
      <c r="B114" s="562"/>
      <c r="C114" s="562"/>
      <c r="D114" s="562"/>
      <c r="E114" s="562"/>
      <c r="F114" s="562"/>
      <c r="G114" s="562"/>
      <c r="H114" s="562"/>
    </row>
    <row r="115" spans="1:8">
      <c r="A115" s="563" t="s">
        <v>702</v>
      </c>
      <c r="B115" s="562"/>
      <c r="C115" s="562"/>
      <c r="D115" s="562"/>
      <c r="E115" s="562"/>
      <c r="F115" s="562"/>
      <c r="G115" s="562"/>
      <c r="H115" s="562"/>
    </row>
    <row r="116" spans="1:8">
      <c r="A116" s="562"/>
      <c r="B116" s="562"/>
      <c r="C116" s="562"/>
      <c r="D116" s="562"/>
      <c r="E116" s="562"/>
      <c r="F116" s="562"/>
      <c r="G116" s="562"/>
      <c r="H116" s="562"/>
    </row>
    <row r="117" spans="1:8" ht="15.75">
      <c r="A117" s="564" t="s">
        <v>703</v>
      </c>
      <c r="B117" s="562"/>
      <c r="C117" s="562"/>
      <c r="D117" s="562"/>
      <c r="E117" s="562"/>
      <c r="F117" s="562"/>
      <c r="G117" s="562"/>
      <c r="H117" s="562"/>
    </row>
    <row r="118" spans="1:8">
      <c r="A118" s="562"/>
      <c r="B118" s="562"/>
      <c r="C118" s="562"/>
      <c r="D118" s="562"/>
      <c r="E118" s="562"/>
      <c r="F118" s="562"/>
      <c r="G118" s="562"/>
      <c r="H118" s="562"/>
    </row>
    <row r="119" spans="1:8">
      <c r="A119" s="563" t="s">
        <v>704</v>
      </c>
      <c r="B119" s="562"/>
      <c r="C119" s="562"/>
      <c r="D119" s="562"/>
      <c r="E119" s="562"/>
      <c r="F119" s="562"/>
      <c r="G119" s="562"/>
      <c r="H119" s="562"/>
    </row>
    <row r="120" spans="1:8">
      <c r="A120" s="562"/>
      <c r="B120" s="562"/>
      <c r="C120" s="562"/>
      <c r="D120" s="562"/>
      <c r="E120" s="562"/>
      <c r="F120" s="562"/>
      <c r="G120" s="562"/>
      <c r="H120" s="562"/>
    </row>
    <row r="121" spans="1:8">
      <c r="A121" s="563" t="s">
        <v>705</v>
      </c>
      <c r="B121" s="562"/>
      <c r="C121" s="562"/>
      <c r="D121" s="562"/>
      <c r="E121" s="562"/>
      <c r="F121" s="562"/>
      <c r="G121" s="562"/>
      <c r="H121" s="562"/>
    </row>
    <row r="122" spans="1:8">
      <c r="A122" s="563" t="s">
        <v>706</v>
      </c>
      <c r="B122" s="562"/>
      <c r="C122" s="562"/>
      <c r="D122" s="562"/>
      <c r="E122" s="562"/>
      <c r="F122" s="562"/>
      <c r="G122" s="562"/>
      <c r="H122" s="562"/>
    </row>
    <row r="123" spans="1:8">
      <c r="A123" s="562"/>
      <c r="B123" s="562"/>
      <c r="C123" s="562"/>
      <c r="D123" s="562"/>
      <c r="E123" s="562"/>
      <c r="F123" s="562"/>
      <c r="G123" s="562"/>
      <c r="H123" s="562"/>
    </row>
    <row r="124" spans="1:8">
      <c r="A124" s="563" t="s">
        <v>707</v>
      </c>
      <c r="B124" s="562"/>
      <c r="C124" s="562"/>
      <c r="D124" s="562"/>
      <c r="E124" s="562"/>
      <c r="F124" s="562"/>
      <c r="G124" s="562"/>
      <c r="H124" s="562"/>
    </row>
    <row r="125" spans="1:8">
      <c r="A125" s="563" t="s">
        <v>708</v>
      </c>
      <c r="B125" s="562"/>
      <c r="C125" s="562"/>
      <c r="D125" s="562"/>
      <c r="E125" s="562"/>
      <c r="F125" s="562"/>
      <c r="G125" s="562"/>
      <c r="H125" s="562"/>
    </row>
    <row r="126" spans="1:8">
      <c r="A126" s="563" t="s">
        <v>709</v>
      </c>
      <c r="B126" s="562"/>
      <c r="C126" s="562"/>
      <c r="D126" s="562"/>
      <c r="E126" s="562"/>
      <c r="F126" s="562"/>
      <c r="G126" s="562"/>
      <c r="H126" s="562"/>
    </row>
    <row r="127" spans="1:8">
      <c r="A127" s="563" t="s">
        <v>710</v>
      </c>
      <c r="B127" s="562"/>
      <c r="C127" s="562"/>
      <c r="D127" s="562"/>
      <c r="E127" s="562"/>
      <c r="F127" s="562"/>
      <c r="G127" s="562"/>
      <c r="H127" s="562"/>
    </row>
    <row r="128" spans="1:8">
      <c r="A128" s="563" t="s">
        <v>711</v>
      </c>
      <c r="B128" s="562"/>
      <c r="C128" s="562"/>
      <c r="D128" s="562"/>
      <c r="E128" s="562"/>
      <c r="F128" s="562"/>
      <c r="G128" s="562"/>
      <c r="H128" s="562"/>
    </row>
    <row r="129" spans="1:8">
      <c r="A129" s="563" t="s">
        <v>712</v>
      </c>
      <c r="B129" s="562"/>
      <c r="C129" s="562"/>
      <c r="D129" s="562"/>
      <c r="E129" s="562"/>
      <c r="F129" s="562"/>
      <c r="G129" s="562"/>
      <c r="H129" s="562"/>
    </row>
    <row r="130" spans="1:8">
      <c r="A130" s="563" t="s">
        <v>713</v>
      </c>
      <c r="B130" s="562"/>
      <c r="C130" s="562"/>
      <c r="D130" s="562"/>
      <c r="E130" s="562"/>
      <c r="F130" s="562"/>
      <c r="G130" s="562"/>
      <c r="H130" s="562"/>
    </row>
    <row r="131" spans="1:8">
      <c r="A131" s="562"/>
      <c r="B131" s="562"/>
      <c r="C131" s="562"/>
      <c r="D131" s="562"/>
      <c r="E131" s="562"/>
      <c r="F131" s="562"/>
      <c r="G131" s="562"/>
      <c r="H131" s="562"/>
    </row>
    <row r="132" spans="1:8">
      <c r="A132" s="565"/>
      <c r="B132" s="566" t="s">
        <v>714</v>
      </c>
      <c r="C132" s="566"/>
      <c r="D132" s="566" t="s">
        <v>715</v>
      </c>
      <c r="E132" s="566"/>
      <c r="F132" s="566"/>
      <c r="G132" s="566" t="s">
        <v>716</v>
      </c>
      <c r="H132" s="566"/>
    </row>
    <row r="133" spans="1:8">
      <c r="A133" s="565" t="s">
        <v>717</v>
      </c>
      <c r="B133" s="565" t="s">
        <v>596</v>
      </c>
      <c r="C133" s="565" t="s">
        <v>718</v>
      </c>
      <c r="D133" s="565" t="s">
        <v>596</v>
      </c>
      <c r="E133" s="565" t="s">
        <v>719</v>
      </c>
      <c r="F133" s="565" t="s">
        <v>720</v>
      </c>
      <c r="G133" s="565" t="s">
        <v>596</v>
      </c>
      <c r="H133" s="565" t="s">
        <v>721</v>
      </c>
    </row>
    <row r="134" spans="1:8">
      <c r="A134" s="565" t="s">
        <v>722</v>
      </c>
      <c r="B134" s="565">
        <v>1519</v>
      </c>
      <c r="C134" s="565">
        <v>0.41</v>
      </c>
      <c r="D134" s="565">
        <v>415</v>
      </c>
      <c r="E134" s="565">
        <v>0.48</v>
      </c>
      <c r="F134" s="565">
        <v>0.27</v>
      </c>
      <c r="G134" s="565">
        <v>674</v>
      </c>
      <c r="H134" s="565">
        <v>0.42</v>
      </c>
    </row>
    <row r="135" spans="1:8">
      <c r="A135" s="565" t="s">
        <v>723</v>
      </c>
      <c r="B135" s="565">
        <v>1583</v>
      </c>
      <c r="C135" s="565">
        <v>0.43</v>
      </c>
      <c r="D135" s="565">
        <v>362</v>
      </c>
      <c r="E135" s="565">
        <v>0.42</v>
      </c>
      <c r="F135" s="565">
        <v>0.23</v>
      </c>
      <c r="G135" s="565">
        <v>720</v>
      </c>
      <c r="H135" s="565">
        <v>0.45</v>
      </c>
    </row>
    <row r="136" spans="1:8">
      <c r="A136" s="565" t="s">
        <v>724</v>
      </c>
      <c r="B136" s="565">
        <v>4</v>
      </c>
      <c r="C136" s="565">
        <v>0</v>
      </c>
      <c r="D136" s="565">
        <v>1</v>
      </c>
      <c r="E136" s="565">
        <v>0</v>
      </c>
      <c r="F136" s="565">
        <v>0.25</v>
      </c>
      <c r="G136" s="565">
        <v>1</v>
      </c>
      <c r="H136" s="565">
        <v>0</v>
      </c>
    </row>
    <row r="137" spans="1:8">
      <c r="A137" s="565" t="s">
        <v>725</v>
      </c>
      <c r="B137" s="565">
        <v>564</v>
      </c>
      <c r="C137" s="565">
        <v>0.15</v>
      </c>
      <c r="D137" s="565">
        <v>87</v>
      </c>
      <c r="E137" s="565">
        <v>0.1</v>
      </c>
      <c r="F137" s="565">
        <v>0.15</v>
      </c>
      <c r="G137" s="565">
        <v>216</v>
      </c>
      <c r="H137" s="565">
        <v>0.13</v>
      </c>
    </row>
    <row r="138" spans="1:8">
      <c r="A138" s="565" t="s">
        <v>500</v>
      </c>
      <c r="B138" s="565">
        <v>3670</v>
      </c>
      <c r="C138" s="565"/>
      <c r="D138" s="565">
        <v>865</v>
      </c>
      <c r="E138" s="565"/>
      <c r="F138" s="565"/>
      <c r="G138" s="565">
        <v>1611</v>
      </c>
      <c r="H138" s="565"/>
    </row>
    <row r="139" spans="1:8">
      <c r="A139" s="562"/>
      <c r="B139" s="562"/>
      <c r="C139" s="562"/>
      <c r="D139" s="562"/>
      <c r="E139" s="562"/>
      <c r="F139" s="562"/>
      <c r="G139" s="562"/>
      <c r="H139" s="562"/>
    </row>
    <row r="140" spans="1:8">
      <c r="A140" s="563" t="s">
        <v>726</v>
      </c>
      <c r="B140" s="562"/>
      <c r="C140" s="562"/>
      <c r="D140" s="562"/>
      <c r="E140" s="562"/>
      <c r="F140" s="562"/>
      <c r="G140" s="562"/>
      <c r="H140" s="562"/>
    </row>
    <row r="141" spans="1:8">
      <c r="A141" s="563" t="s">
        <v>727</v>
      </c>
      <c r="B141" s="562"/>
      <c r="C141" s="562"/>
      <c r="D141" s="562"/>
      <c r="E141" s="562"/>
      <c r="F141" s="562"/>
      <c r="G141" s="562"/>
      <c r="H141" s="562"/>
    </row>
    <row r="142" spans="1:8">
      <c r="A142" s="563" t="s">
        <v>728</v>
      </c>
      <c r="B142" s="562"/>
      <c r="C142" s="562"/>
      <c r="D142" s="562"/>
      <c r="E142" s="562"/>
      <c r="F142" s="562"/>
      <c r="G142" s="562"/>
      <c r="H142" s="562"/>
    </row>
    <row r="143" spans="1:8">
      <c r="A143" s="563" t="s">
        <v>729</v>
      </c>
      <c r="B143" s="562"/>
      <c r="C143" s="562"/>
      <c r="D143" s="562"/>
      <c r="E143" s="562"/>
      <c r="F143" s="562"/>
      <c r="G143" s="562"/>
      <c r="H143" s="562"/>
    </row>
    <row r="144" spans="1:8">
      <c r="A144" s="562"/>
      <c r="B144" s="562"/>
      <c r="C144" s="562"/>
      <c r="D144" s="562"/>
      <c r="E144" s="562"/>
      <c r="F144" s="562"/>
      <c r="G144" s="562"/>
      <c r="H144" s="562"/>
    </row>
    <row r="145" spans="1:8" ht="15.75">
      <c r="A145" s="564" t="s">
        <v>730</v>
      </c>
      <c r="B145" s="562"/>
      <c r="C145" s="562"/>
      <c r="D145" s="562"/>
      <c r="E145" s="562"/>
      <c r="F145" s="562"/>
      <c r="G145" s="562"/>
      <c r="H145" s="562"/>
    </row>
    <row r="146" spans="1:8">
      <c r="A146" s="562"/>
      <c r="B146" s="562"/>
      <c r="C146" s="562"/>
      <c r="D146" s="562"/>
      <c r="E146" s="562"/>
      <c r="F146" s="562"/>
      <c r="G146" s="562"/>
      <c r="H146" s="562"/>
    </row>
    <row r="147" spans="1:8">
      <c r="A147" s="563" t="s">
        <v>731</v>
      </c>
      <c r="B147" s="562"/>
      <c r="C147" s="562"/>
      <c r="D147" s="562"/>
      <c r="E147" s="562"/>
      <c r="F147" s="562"/>
      <c r="G147" s="562"/>
      <c r="H147" s="562"/>
    </row>
    <row r="148" spans="1:8">
      <c r="A148" s="563" t="s">
        <v>732</v>
      </c>
      <c r="B148" s="562"/>
      <c r="C148" s="562"/>
      <c r="D148" s="562"/>
      <c r="E148" s="562"/>
      <c r="F148" s="562"/>
      <c r="G148" s="562"/>
      <c r="H148" s="562"/>
    </row>
    <row r="149" spans="1:8">
      <c r="A149" s="562"/>
      <c r="B149" s="562"/>
      <c r="C149" s="562"/>
      <c r="D149" s="562"/>
      <c r="E149" s="562"/>
      <c r="F149" s="562"/>
      <c r="G149" s="562"/>
      <c r="H149" s="562"/>
    </row>
    <row r="150" spans="1:8">
      <c r="A150" s="563" t="s">
        <v>733</v>
      </c>
      <c r="B150" s="562"/>
      <c r="C150" s="562"/>
      <c r="D150" s="562"/>
      <c r="E150" s="562"/>
      <c r="F150" s="562"/>
      <c r="G150" s="562"/>
      <c r="H150" s="562"/>
    </row>
    <row r="151" spans="1:8">
      <c r="A151" s="563" t="s">
        <v>734</v>
      </c>
      <c r="B151" s="562"/>
      <c r="C151" s="562"/>
      <c r="D151" s="562"/>
      <c r="E151" s="562"/>
      <c r="F151" s="562"/>
      <c r="G151" s="562"/>
      <c r="H151" s="562"/>
    </row>
    <row r="152" spans="1:8">
      <c r="A152" s="563" t="s">
        <v>735</v>
      </c>
      <c r="B152" s="562"/>
      <c r="C152" s="562"/>
      <c r="D152" s="562"/>
      <c r="E152" s="562"/>
      <c r="F152" s="562"/>
      <c r="G152" s="562"/>
      <c r="H152" s="562"/>
    </row>
    <row r="153" spans="1:8">
      <c r="A153" s="562"/>
      <c r="B153" s="562"/>
      <c r="C153" s="562"/>
      <c r="D153" s="562"/>
      <c r="E153" s="562"/>
      <c r="F153" s="562"/>
      <c r="G153" s="562"/>
      <c r="H153" s="562"/>
    </row>
    <row r="154" spans="1:8">
      <c r="A154" s="563" t="s">
        <v>736</v>
      </c>
      <c r="B154" s="562"/>
      <c r="C154" s="562"/>
      <c r="D154" s="562"/>
      <c r="E154" s="562"/>
      <c r="F154" s="562"/>
      <c r="G154" s="562"/>
      <c r="H154" s="562"/>
    </row>
    <row r="155" spans="1:8">
      <c r="A155" s="563" t="s">
        <v>737</v>
      </c>
      <c r="B155" s="562"/>
      <c r="C155" s="562"/>
      <c r="D155" s="562"/>
      <c r="E155" s="562"/>
      <c r="F155" s="562"/>
      <c r="G155" s="562"/>
      <c r="H155" s="562"/>
    </row>
    <row r="156" spans="1:8">
      <c r="A156" s="563" t="s">
        <v>738</v>
      </c>
      <c r="B156" s="562"/>
      <c r="C156" s="562"/>
      <c r="D156" s="562"/>
      <c r="E156" s="562"/>
      <c r="F156" s="562"/>
      <c r="G156" s="562"/>
      <c r="H156" s="562"/>
    </row>
    <row r="157" spans="1:8">
      <c r="A157" s="562"/>
      <c r="B157" s="562"/>
      <c r="C157" s="562"/>
      <c r="D157" s="562"/>
      <c r="E157" s="562"/>
      <c r="F157" s="562"/>
      <c r="G157" s="562"/>
      <c r="H157" s="562"/>
    </row>
    <row r="158" spans="1:8">
      <c r="A158" s="563" t="s">
        <v>739</v>
      </c>
      <c r="B158" s="562"/>
      <c r="C158" s="562"/>
      <c r="D158" s="562"/>
      <c r="E158" s="562"/>
      <c r="F158" s="562"/>
      <c r="G158" s="562"/>
      <c r="H158" s="562"/>
    </row>
    <row r="159" spans="1:8">
      <c r="A159" s="563" t="s">
        <v>740</v>
      </c>
      <c r="B159" s="562"/>
      <c r="C159" s="562"/>
      <c r="D159" s="562"/>
      <c r="E159" s="562"/>
      <c r="F159" s="562"/>
      <c r="G159" s="562"/>
      <c r="H159" s="562"/>
    </row>
    <row r="160" spans="1:8">
      <c r="A160" s="563" t="s">
        <v>741</v>
      </c>
      <c r="B160" s="562"/>
      <c r="C160" s="562"/>
      <c r="D160" s="562"/>
      <c r="E160" s="562"/>
      <c r="F160" s="562"/>
      <c r="G160" s="562"/>
      <c r="H160" s="562"/>
    </row>
    <row r="161" spans="1:8">
      <c r="A161" s="562"/>
      <c r="B161" s="562"/>
      <c r="C161" s="562"/>
      <c r="D161" s="562"/>
      <c r="E161" s="562"/>
      <c r="F161" s="562"/>
      <c r="G161" s="562"/>
      <c r="H161" s="562"/>
    </row>
    <row r="162" spans="1:8">
      <c r="A162" s="563" t="s">
        <v>742</v>
      </c>
      <c r="B162" s="562"/>
      <c r="C162" s="562"/>
      <c r="D162" s="562"/>
      <c r="E162" s="562"/>
      <c r="F162" s="562"/>
      <c r="G162" s="562"/>
      <c r="H162" s="562"/>
    </row>
    <row r="163" spans="1:8">
      <c r="A163" s="563" t="s">
        <v>743</v>
      </c>
      <c r="B163" s="562"/>
      <c r="C163" s="562"/>
      <c r="D163" s="562"/>
      <c r="E163" s="562"/>
      <c r="F163" s="562"/>
      <c r="G163" s="562"/>
      <c r="H163" s="562"/>
    </row>
    <row r="164" spans="1:8">
      <c r="A164" s="562"/>
      <c r="B164" s="562"/>
      <c r="C164" s="562"/>
      <c r="D164" s="562"/>
      <c r="E164" s="562"/>
      <c r="F164" s="562"/>
      <c r="G164" s="562"/>
      <c r="H164" s="562"/>
    </row>
    <row r="165" spans="1:8" ht="15.75">
      <c r="A165" s="564" t="s">
        <v>744</v>
      </c>
      <c r="B165" s="562"/>
      <c r="C165" s="562"/>
      <c r="D165" s="562"/>
      <c r="E165" s="562"/>
      <c r="F165" s="562"/>
      <c r="G165" s="562"/>
      <c r="H165" s="562"/>
    </row>
    <row r="166" spans="1:8">
      <c r="A166" s="562"/>
      <c r="B166" s="562"/>
      <c r="C166" s="562"/>
      <c r="D166" s="562"/>
      <c r="E166" s="562"/>
      <c r="F166" s="562"/>
      <c r="G166" s="562"/>
      <c r="H166" s="562"/>
    </row>
    <row r="167" spans="1:8">
      <c r="A167" s="563" t="s">
        <v>745</v>
      </c>
      <c r="B167" s="562"/>
      <c r="C167" s="562"/>
      <c r="D167" s="562"/>
      <c r="E167" s="562"/>
      <c r="F167" s="562"/>
      <c r="G167" s="562"/>
      <c r="H167" s="562"/>
    </row>
    <row r="168" spans="1:8">
      <c r="A168" s="563" t="s">
        <v>746</v>
      </c>
      <c r="B168" s="562"/>
      <c r="C168" s="562"/>
      <c r="D168" s="562"/>
      <c r="E168" s="562"/>
      <c r="F168" s="562"/>
      <c r="G168" s="562"/>
      <c r="H168" s="562"/>
    </row>
    <row r="169" spans="1:8">
      <c r="A169" s="562"/>
      <c r="B169" s="562"/>
      <c r="C169" s="562"/>
      <c r="D169" s="562"/>
      <c r="E169" s="562"/>
      <c r="F169" s="562"/>
      <c r="G169" s="562"/>
      <c r="H169" s="562"/>
    </row>
    <row r="170" spans="1:8">
      <c r="A170" s="563" t="s">
        <v>747</v>
      </c>
      <c r="B170" s="562"/>
      <c r="C170" s="562"/>
      <c r="D170" s="562"/>
      <c r="E170" s="562"/>
      <c r="F170" s="562"/>
      <c r="G170" s="562"/>
      <c r="H170" s="562"/>
    </row>
    <row r="171" spans="1:8">
      <c r="A171" s="563" t="s">
        <v>748</v>
      </c>
      <c r="B171" s="562"/>
      <c r="C171" s="562"/>
      <c r="D171" s="562"/>
      <c r="E171" s="562"/>
      <c r="F171" s="562"/>
      <c r="G171" s="562"/>
      <c r="H171" s="562"/>
    </row>
    <row r="172" spans="1:8">
      <c r="A172" s="562"/>
      <c r="B172" s="562"/>
      <c r="C172" s="562"/>
      <c r="D172" s="562"/>
      <c r="E172" s="562"/>
      <c r="F172" s="562"/>
      <c r="G172" s="562"/>
      <c r="H172" s="562"/>
    </row>
    <row r="173" spans="1:8">
      <c r="A173" s="563" t="s">
        <v>749</v>
      </c>
      <c r="B173" s="562"/>
      <c r="C173" s="562"/>
      <c r="D173" s="562"/>
      <c r="E173" s="562"/>
      <c r="F173" s="562"/>
      <c r="G173" s="562"/>
      <c r="H173" s="562"/>
    </row>
    <row r="174" spans="1:8">
      <c r="A174" s="563" t="s">
        <v>750</v>
      </c>
      <c r="B174" s="562"/>
      <c r="C174" s="562"/>
      <c r="D174" s="562"/>
      <c r="E174" s="562"/>
      <c r="F174" s="562"/>
      <c r="G174" s="562"/>
      <c r="H174" s="562"/>
    </row>
    <row r="175" spans="1:8">
      <c r="A175" s="562"/>
      <c r="B175" s="562"/>
      <c r="C175" s="562"/>
      <c r="D175" s="562"/>
      <c r="E175" s="562"/>
      <c r="F175" s="562"/>
      <c r="G175" s="562"/>
      <c r="H175" s="562"/>
    </row>
    <row r="176" spans="1:8">
      <c r="A176" s="563" t="s">
        <v>751</v>
      </c>
      <c r="B176" s="562"/>
      <c r="C176" s="562"/>
      <c r="D176" s="562"/>
      <c r="E176" s="562"/>
      <c r="F176" s="562"/>
      <c r="G176" s="562"/>
      <c r="H176" s="562"/>
    </row>
    <row r="177" spans="1:8">
      <c r="A177" s="563" t="s">
        <v>752</v>
      </c>
      <c r="B177" s="562"/>
      <c r="C177" s="562"/>
      <c r="D177" s="562"/>
      <c r="E177" s="562"/>
      <c r="F177" s="562"/>
      <c r="G177" s="562"/>
      <c r="H177" s="562"/>
    </row>
    <row r="178" spans="1:8">
      <c r="A178" s="563" t="s">
        <v>753</v>
      </c>
      <c r="B178" s="562"/>
      <c r="C178" s="562"/>
      <c r="D178" s="562"/>
      <c r="E178" s="562"/>
      <c r="F178" s="562"/>
      <c r="G178" s="562"/>
      <c r="H178" s="562"/>
    </row>
    <row r="179" spans="1:8">
      <c r="A179" s="562"/>
      <c r="B179" s="562"/>
      <c r="C179" s="562"/>
      <c r="D179" s="562"/>
      <c r="E179" s="562"/>
      <c r="F179" s="562"/>
      <c r="G179" s="562"/>
      <c r="H179" s="562"/>
    </row>
    <row r="180" spans="1:8">
      <c r="A180" s="563" t="s">
        <v>668</v>
      </c>
      <c r="B180" s="562"/>
      <c r="C180" s="562"/>
      <c r="D180" s="562"/>
      <c r="E180" s="562"/>
      <c r="F180" s="562"/>
      <c r="G180" s="562"/>
      <c r="H180" s="562"/>
    </row>
    <row r="181" spans="1:8">
      <c r="A181" s="562"/>
      <c r="B181" s="562"/>
      <c r="C181" s="562"/>
      <c r="D181" s="562"/>
      <c r="E181" s="562"/>
      <c r="F181" s="562"/>
      <c r="G181" s="562"/>
      <c r="H181" s="562"/>
    </row>
    <row r="182" spans="1:8" ht="15.75">
      <c r="A182" s="564" t="s">
        <v>754</v>
      </c>
      <c r="B182" s="562"/>
      <c r="C182" s="562"/>
      <c r="D182" s="562"/>
      <c r="E182" s="562"/>
      <c r="F182" s="562"/>
      <c r="G182" s="562"/>
      <c r="H182" s="562"/>
    </row>
    <row r="183" spans="1:8">
      <c r="A183" s="562"/>
      <c r="B183" s="562"/>
      <c r="C183" s="562"/>
      <c r="D183" s="562"/>
      <c r="E183" s="562"/>
      <c r="F183" s="562"/>
      <c r="G183" s="562"/>
      <c r="H183" s="562"/>
    </row>
    <row r="184" spans="1:8">
      <c r="A184" s="562"/>
      <c r="B184" s="562"/>
      <c r="C184" s="562"/>
      <c r="D184" s="562"/>
      <c r="E184" s="562"/>
      <c r="F184" s="562"/>
      <c r="G184" s="562"/>
      <c r="H184" s="562"/>
    </row>
    <row r="185" spans="1:8">
      <c r="A185" s="562"/>
      <c r="B185" s="562"/>
      <c r="C185" s="562"/>
      <c r="D185" s="562"/>
      <c r="E185" s="562"/>
      <c r="F185" s="562"/>
      <c r="G185" s="562"/>
      <c r="H185" s="562"/>
    </row>
    <row r="186" spans="1:8">
      <c r="A186" s="562"/>
      <c r="B186" s="562"/>
      <c r="C186" s="562"/>
      <c r="D186" s="562"/>
      <c r="E186" s="562"/>
      <c r="F186" s="562"/>
      <c r="G186" s="562"/>
      <c r="H186" s="562"/>
    </row>
    <row r="187" spans="1:8">
      <c r="A187" s="562"/>
      <c r="B187" s="562"/>
      <c r="C187" s="562"/>
      <c r="D187" s="562"/>
      <c r="E187" s="562"/>
      <c r="F187" s="562"/>
      <c r="G187" s="562"/>
      <c r="H187" s="562"/>
    </row>
    <row r="188" spans="1:8">
      <c r="A188" s="562"/>
      <c r="B188" s="562"/>
      <c r="C188" s="562"/>
      <c r="D188" s="562"/>
      <c r="E188" s="562"/>
      <c r="F188" s="562"/>
      <c r="G188" s="562"/>
      <c r="H188" s="562"/>
    </row>
    <row r="189" spans="1:8">
      <c r="A189" s="562"/>
      <c r="B189" s="562"/>
      <c r="C189" s="562"/>
      <c r="D189" s="562"/>
      <c r="E189" s="562"/>
      <c r="F189" s="562"/>
      <c r="G189" s="562"/>
      <c r="H189" s="562"/>
    </row>
    <row r="190" spans="1:8">
      <c r="A190" s="562"/>
      <c r="B190" s="562"/>
      <c r="C190" s="562"/>
      <c r="D190" s="562"/>
      <c r="E190" s="562"/>
      <c r="F190" s="562"/>
      <c r="G190" s="562"/>
      <c r="H190" s="562"/>
    </row>
    <row r="191" spans="1:8">
      <c r="A191" s="562"/>
      <c r="B191" s="562"/>
      <c r="C191" s="562"/>
      <c r="D191" s="562"/>
      <c r="E191" s="562"/>
      <c r="F191" s="562"/>
      <c r="G191" s="562"/>
      <c r="H191" s="562"/>
    </row>
    <row r="192" spans="1:8">
      <c r="A192" s="562"/>
      <c r="B192" s="562"/>
      <c r="C192" s="562"/>
      <c r="D192" s="562"/>
      <c r="E192" s="562"/>
      <c r="F192" s="562"/>
      <c r="G192" s="562"/>
      <c r="H192" s="562"/>
    </row>
    <row r="193" spans="1:8">
      <c r="A193" s="562"/>
      <c r="B193" s="562"/>
      <c r="C193" s="562"/>
      <c r="D193" s="562"/>
      <c r="E193" s="562"/>
      <c r="F193" s="562"/>
      <c r="G193" s="562"/>
      <c r="H193" s="562"/>
    </row>
    <row r="194" spans="1:8">
      <c r="A194" s="562"/>
      <c r="B194" s="562"/>
      <c r="C194" s="562"/>
      <c r="D194" s="562"/>
      <c r="E194" s="562"/>
      <c r="F194" s="562"/>
      <c r="G194" s="562"/>
      <c r="H194" s="562"/>
    </row>
    <row r="195" spans="1:8">
      <c r="A195" s="562"/>
      <c r="B195" s="562"/>
      <c r="C195" s="562"/>
      <c r="D195" s="562"/>
      <c r="E195" s="562"/>
      <c r="F195" s="562"/>
      <c r="G195" s="562"/>
      <c r="H195" s="562"/>
    </row>
    <row r="196" spans="1:8">
      <c r="A196" s="562"/>
      <c r="B196" s="562"/>
      <c r="C196" s="562"/>
      <c r="D196" s="562"/>
      <c r="E196" s="562"/>
      <c r="F196" s="562"/>
      <c r="G196" s="562"/>
      <c r="H196" s="562"/>
    </row>
    <row r="197" spans="1:8">
      <c r="A197" s="562"/>
      <c r="B197" s="562"/>
      <c r="C197" s="562"/>
      <c r="D197" s="562"/>
      <c r="E197" s="562"/>
      <c r="F197" s="562"/>
      <c r="G197" s="562"/>
      <c r="H197" s="562"/>
    </row>
    <row r="198" spans="1:8">
      <c r="A198" s="562"/>
      <c r="B198" s="562"/>
      <c r="C198" s="562"/>
      <c r="D198" s="562"/>
      <c r="E198" s="562"/>
      <c r="F198" s="562"/>
      <c r="G198" s="562"/>
      <c r="H198" s="562"/>
    </row>
    <row r="199" spans="1:8">
      <c r="A199" s="562"/>
      <c r="B199" s="562"/>
      <c r="C199" s="562"/>
      <c r="D199" s="562"/>
      <c r="E199" s="562"/>
      <c r="F199" s="562"/>
      <c r="G199" s="562"/>
      <c r="H199" s="562"/>
    </row>
    <row r="200" spans="1:8">
      <c r="A200" s="562"/>
      <c r="B200" s="562"/>
      <c r="C200" s="562"/>
      <c r="D200" s="562"/>
      <c r="E200" s="562"/>
      <c r="F200" s="562"/>
      <c r="G200" s="562"/>
      <c r="H200" s="562"/>
    </row>
    <row r="201" spans="1:8">
      <c r="A201" s="562"/>
      <c r="B201" s="562"/>
      <c r="C201" s="562"/>
      <c r="D201" s="562"/>
      <c r="E201" s="562"/>
      <c r="F201" s="562"/>
      <c r="G201" s="562"/>
      <c r="H201" s="562"/>
    </row>
    <row r="202" spans="1:8">
      <c r="A202" s="562"/>
      <c r="B202" s="562"/>
      <c r="C202" s="562"/>
      <c r="D202" s="562"/>
      <c r="E202" s="562"/>
      <c r="F202" s="562"/>
      <c r="G202" s="562"/>
      <c r="H202" s="562"/>
    </row>
    <row r="203" spans="1:8">
      <c r="A203" s="562"/>
      <c r="B203" s="562"/>
      <c r="C203" s="562"/>
      <c r="D203" s="562"/>
      <c r="E203" s="562"/>
      <c r="F203" s="562"/>
      <c r="G203" s="562"/>
      <c r="H203" s="562"/>
    </row>
    <row r="204" spans="1:8">
      <c r="A204" s="562"/>
      <c r="B204" s="562"/>
      <c r="C204" s="562"/>
      <c r="D204" s="562"/>
      <c r="E204" s="562"/>
      <c r="F204" s="562"/>
      <c r="G204" s="562"/>
      <c r="H204" s="562"/>
    </row>
    <row r="205" spans="1:8" ht="15.75">
      <c r="A205" s="564" t="s">
        <v>755</v>
      </c>
      <c r="B205" s="562"/>
      <c r="C205" s="562"/>
      <c r="D205" s="562"/>
      <c r="E205" s="562"/>
      <c r="F205" s="562"/>
      <c r="G205" s="562"/>
      <c r="H205" s="562"/>
    </row>
    <row r="206" spans="1:8">
      <c r="A206" s="562"/>
      <c r="B206" s="562"/>
      <c r="C206" s="562"/>
      <c r="D206" s="562"/>
      <c r="E206" s="562"/>
      <c r="F206" s="562"/>
      <c r="G206" s="562"/>
      <c r="H206" s="562"/>
    </row>
    <row r="207" spans="1:8">
      <c r="A207" s="563" t="s">
        <v>756</v>
      </c>
      <c r="B207" s="562"/>
      <c r="C207" s="562"/>
      <c r="D207" s="562"/>
      <c r="E207" s="562"/>
      <c r="F207" s="562"/>
      <c r="G207" s="562"/>
      <c r="H207" s="562"/>
    </row>
    <row r="208" spans="1:8">
      <c r="A208" s="563" t="s">
        <v>757</v>
      </c>
      <c r="B208" s="562"/>
      <c r="C208" s="562"/>
      <c r="D208" s="562"/>
      <c r="E208" s="562"/>
      <c r="F208" s="562"/>
      <c r="G208" s="562"/>
      <c r="H208" s="562"/>
    </row>
    <row r="209" spans="1:8">
      <c r="A209" s="563" t="s">
        <v>758</v>
      </c>
      <c r="B209" s="562"/>
      <c r="C209" s="562"/>
      <c r="D209" s="562"/>
      <c r="E209" s="562"/>
      <c r="F209" s="562"/>
      <c r="G209" s="562"/>
      <c r="H209" s="562"/>
    </row>
    <row r="210" spans="1:8">
      <c r="A210" s="563" t="s">
        <v>759</v>
      </c>
      <c r="B210" s="562"/>
      <c r="C210" s="562"/>
      <c r="D210" s="562"/>
      <c r="E210" s="562"/>
      <c r="F210" s="562"/>
      <c r="G210" s="562"/>
      <c r="H210" s="562"/>
    </row>
    <row r="211" spans="1:8">
      <c r="A211" s="563" t="s">
        <v>760</v>
      </c>
      <c r="B211" s="562"/>
      <c r="C211" s="562"/>
      <c r="D211" s="562"/>
      <c r="E211" s="562"/>
      <c r="F211" s="562"/>
      <c r="G211" s="562"/>
      <c r="H211" s="562"/>
    </row>
    <row r="212" spans="1:8">
      <c r="A212" s="562"/>
      <c r="B212" s="562"/>
      <c r="C212" s="562"/>
      <c r="D212" s="562"/>
      <c r="E212" s="562"/>
      <c r="F212" s="562"/>
      <c r="G212" s="562"/>
      <c r="H212" s="562"/>
    </row>
    <row r="213" spans="1:8">
      <c r="A213" s="563" t="s">
        <v>761</v>
      </c>
      <c r="B213" s="562"/>
      <c r="C213" s="562"/>
      <c r="D213" s="562"/>
      <c r="E213" s="562"/>
      <c r="F213" s="562"/>
      <c r="G213" s="562"/>
      <c r="H213" s="562"/>
    </row>
    <row r="214" spans="1:8">
      <c r="A214" s="563" t="s">
        <v>762</v>
      </c>
      <c r="B214" s="562"/>
      <c r="C214" s="562"/>
      <c r="D214" s="562"/>
      <c r="E214" s="562"/>
      <c r="F214" s="562"/>
      <c r="G214" s="562"/>
      <c r="H214" s="562"/>
    </row>
    <row r="215" spans="1:8">
      <c r="A215" s="563" t="s">
        <v>763</v>
      </c>
      <c r="B215" s="562"/>
      <c r="C215" s="562"/>
      <c r="D215" s="562"/>
      <c r="E215" s="562"/>
      <c r="F215" s="562"/>
      <c r="G215" s="562"/>
      <c r="H215" s="562"/>
    </row>
    <row r="216" spans="1:8">
      <c r="A216" s="562"/>
      <c r="B216" s="562"/>
      <c r="C216" s="562"/>
      <c r="D216" s="562"/>
      <c r="E216" s="562"/>
      <c r="F216" s="562"/>
      <c r="G216" s="562"/>
      <c r="H216" s="562"/>
    </row>
    <row r="217" spans="1:8" ht="15.75">
      <c r="A217" s="564" t="s">
        <v>764</v>
      </c>
      <c r="B217" s="562"/>
      <c r="C217" s="562"/>
      <c r="D217" s="562"/>
      <c r="E217" s="562"/>
      <c r="F217" s="562"/>
      <c r="G217" s="562"/>
      <c r="H217" s="562"/>
    </row>
    <row r="218" spans="1:8">
      <c r="A218" s="562"/>
      <c r="B218" s="562"/>
      <c r="C218" s="562"/>
      <c r="D218" s="562"/>
      <c r="E218" s="562"/>
      <c r="F218" s="562"/>
      <c r="G218" s="562"/>
      <c r="H218" s="562"/>
    </row>
    <row r="219" spans="1:8">
      <c r="A219" s="563" t="s">
        <v>765</v>
      </c>
      <c r="B219" s="562"/>
      <c r="C219" s="562"/>
      <c r="D219" s="562"/>
      <c r="E219" s="562"/>
      <c r="F219" s="562"/>
      <c r="G219" s="562"/>
      <c r="H219" s="562"/>
    </row>
    <row r="220" spans="1:8">
      <c r="A220" s="563" t="s">
        <v>766</v>
      </c>
      <c r="B220" s="562"/>
      <c r="C220" s="562"/>
      <c r="D220" s="562"/>
      <c r="E220" s="562"/>
      <c r="F220" s="562"/>
      <c r="G220" s="562"/>
      <c r="H220" s="562"/>
    </row>
    <row r="221" spans="1:8">
      <c r="A221" s="563" t="s">
        <v>767</v>
      </c>
      <c r="B221" s="562"/>
      <c r="C221" s="562"/>
      <c r="D221" s="562"/>
      <c r="E221" s="562"/>
      <c r="F221" s="562"/>
      <c r="G221" s="562"/>
      <c r="H221" s="562"/>
    </row>
    <row r="222" spans="1:8">
      <c r="A222" s="563" t="s">
        <v>768</v>
      </c>
      <c r="B222" s="562"/>
      <c r="C222" s="562"/>
      <c r="D222" s="562"/>
      <c r="E222" s="562"/>
      <c r="F222" s="562"/>
      <c r="G222" s="562"/>
      <c r="H222" s="562"/>
    </row>
    <row r="223" spans="1:8">
      <c r="A223" s="563" t="s">
        <v>769</v>
      </c>
      <c r="B223" s="562"/>
      <c r="C223" s="562"/>
      <c r="D223" s="562"/>
      <c r="E223" s="562"/>
      <c r="F223" s="562"/>
      <c r="G223" s="562"/>
      <c r="H223" s="562"/>
    </row>
    <row r="224" spans="1:8">
      <c r="A224" s="563" t="s">
        <v>770</v>
      </c>
      <c r="B224" s="562"/>
      <c r="C224" s="562"/>
      <c r="D224" s="562"/>
      <c r="E224" s="562"/>
      <c r="F224" s="562"/>
      <c r="G224" s="562"/>
      <c r="H224" s="562"/>
    </row>
    <row r="225" spans="1:8">
      <c r="A225" s="563" t="s">
        <v>771</v>
      </c>
      <c r="B225" s="562"/>
      <c r="C225" s="562"/>
      <c r="D225" s="562"/>
      <c r="E225" s="562"/>
      <c r="F225" s="562"/>
      <c r="G225" s="562"/>
      <c r="H225" s="562"/>
    </row>
    <row r="226" spans="1:8">
      <c r="A226" s="562"/>
      <c r="B226" s="562"/>
      <c r="C226" s="562"/>
      <c r="D226" s="562"/>
      <c r="E226" s="562"/>
      <c r="F226" s="562"/>
      <c r="G226" s="562"/>
      <c r="H226" s="562"/>
    </row>
    <row r="227" spans="1:8">
      <c r="A227" s="563" t="s">
        <v>772</v>
      </c>
      <c r="B227" s="562"/>
      <c r="C227" s="562"/>
      <c r="D227" s="562"/>
      <c r="E227" s="562"/>
      <c r="F227" s="562"/>
      <c r="G227" s="562"/>
      <c r="H227" s="562"/>
    </row>
    <row r="228" spans="1:8">
      <c r="A228" s="563" t="s">
        <v>773</v>
      </c>
      <c r="B228" s="562"/>
      <c r="C228" s="562"/>
      <c r="D228" s="562"/>
      <c r="E228" s="562"/>
      <c r="F228" s="562"/>
      <c r="G228" s="562"/>
      <c r="H228" s="562"/>
    </row>
    <row r="229" spans="1:8">
      <c r="A229" s="563" t="s">
        <v>774</v>
      </c>
      <c r="B229" s="562"/>
      <c r="C229" s="562"/>
      <c r="D229" s="562"/>
      <c r="E229" s="562"/>
      <c r="F229" s="562"/>
      <c r="G229" s="562"/>
      <c r="H229" s="562"/>
    </row>
    <row r="230" spans="1:8">
      <c r="A230" s="562"/>
      <c r="B230" s="562"/>
      <c r="C230" s="562"/>
      <c r="D230" s="562"/>
      <c r="E230" s="562"/>
      <c r="F230" s="562"/>
      <c r="G230" s="562"/>
      <c r="H230" s="562"/>
    </row>
    <row r="231" spans="1:8">
      <c r="A231" s="563" t="s">
        <v>775</v>
      </c>
      <c r="B231" s="562"/>
      <c r="C231" s="562"/>
      <c r="D231" s="562"/>
      <c r="E231" s="562"/>
      <c r="F231" s="562"/>
      <c r="G231" s="562"/>
      <c r="H231" s="562"/>
    </row>
    <row r="232" spans="1:8">
      <c r="A232" s="563" t="s">
        <v>776</v>
      </c>
      <c r="B232" s="562"/>
      <c r="C232" s="562"/>
      <c r="D232" s="562"/>
      <c r="E232" s="562"/>
      <c r="F232" s="562"/>
      <c r="G232" s="562"/>
      <c r="H232" s="562"/>
    </row>
    <row r="233" spans="1:8">
      <c r="A233" s="563" t="s">
        <v>777</v>
      </c>
      <c r="B233" s="562"/>
      <c r="C233" s="562"/>
      <c r="D233" s="562"/>
      <c r="E233" s="562"/>
      <c r="F233" s="562"/>
      <c r="G233" s="562"/>
      <c r="H233" s="562"/>
    </row>
    <row r="234" spans="1:8">
      <c r="A234" s="563" t="s">
        <v>778</v>
      </c>
      <c r="B234" s="562"/>
      <c r="C234" s="562"/>
      <c r="D234" s="562"/>
      <c r="E234" s="562"/>
      <c r="F234" s="562"/>
      <c r="G234" s="562"/>
      <c r="H234" s="562"/>
    </row>
    <row r="235" spans="1:8">
      <c r="A235" s="563" t="s">
        <v>779</v>
      </c>
      <c r="B235" s="562"/>
      <c r="C235" s="562"/>
      <c r="D235" s="562"/>
      <c r="E235" s="562"/>
      <c r="F235" s="562"/>
      <c r="G235" s="562"/>
      <c r="H235" s="562"/>
    </row>
    <row r="236" spans="1:8">
      <c r="A236" s="562"/>
      <c r="B236" s="562"/>
      <c r="C236" s="562"/>
      <c r="D236" s="562"/>
      <c r="E236" s="562"/>
      <c r="F236" s="562"/>
      <c r="G236" s="562"/>
      <c r="H236" s="562"/>
    </row>
    <row r="237" spans="1:8">
      <c r="A237" s="563" t="s">
        <v>780</v>
      </c>
      <c r="B237" s="562"/>
      <c r="C237" s="562"/>
      <c r="D237" s="562"/>
      <c r="E237" s="562"/>
      <c r="F237" s="562"/>
      <c r="G237" s="562"/>
      <c r="H237" s="562"/>
    </row>
    <row r="238" spans="1:8">
      <c r="A238" s="563" t="s">
        <v>781</v>
      </c>
      <c r="B238" s="562"/>
      <c r="C238" s="562"/>
      <c r="D238" s="562"/>
      <c r="E238" s="562"/>
      <c r="F238" s="562"/>
      <c r="G238" s="562"/>
      <c r="H238" s="562"/>
    </row>
    <row r="239" spans="1:8">
      <c r="A239" s="563" t="s">
        <v>782</v>
      </c>
      <c r="B239" s="562"/>
      <c r="C239" s="562"/>
      <c r="D239" s="562"/>
      <c r="E239" s="562"/>
      <c r="F239" s="562"/>
      <c r="G239" s="562"/>
      <c r="H239" s="562"/>
    </row>
    <row r="240" spans="1:8">
      <c r="A240" s="563" t="s">
        <v>783</v>
      </c>
      <c r="B240" s="562"/>
      <c r="C240" s="562"/>
      <c r="D240" s="562"/>
      <c r="E240" s="562"/>
      <c r="F240" s="562"/>
      <c r="G240" s="562"/>
      <c r="H240" s="562"/>
    </row>
    <row r="241" spans="1:8">
      <c r="A241" s="563" t="s">
        <v>784</v>
      </c>
      <c r="B241" s="562"/>
      <c r="C241" s="562"/>
      <c r="D241" s="562"/>
      <c r="E241" s="562"/>
      <c r="F241" s="562"/>
      <c r="G241" s="562"/>
      <c r="H241" s="562"/>
    </row>
    <row r="242" spans="1:8">
      <c r="A242" s="563" t="s">
        <v>785</v>
      </c>
      <c r="B242" s="562"/>
      <c r="C242" s="562"/>
      <c r="D242" s="562"/>
      <c r="E242" s="562"/>
      <c r="F242" s="562"/>
      <c r="G242" s="562"/>
      <c r="H242" s="562"/>
    </row>
    <row r="243" spans="1:8">
      <c r="A243" s="562"/>
      <c r="B243" s="562"/>
      <c r="C243" s="562"/>
      <c r="D243" s="562"/>
      <c r="E243" s="562"/>
      <c r="F243" s="562"/>
      <c r="G243" s="562"/>
      <c r="H243" s="562"/>
    </row>
    <row r="244" spans="1:8">
      <c r="A244" s="563" t="s">
        <v>786</v>
      </c>
      <c r="B244" s="562"/>
      <c r="C244" s="562"/>
      <c r="D244" s="562"/>
      <c r="E244" s="562"/>
      <c r="F244" s="562"/>
      <c r="G244" s="562"/>
      <c r="H244" s="562"/>
    </row>
    <row r="245" spans="1:8">
      <c r="A245" s="563" t="s">
        <v>787</v>
      </c>
      <c r="B245" s="562"/>
      <c r="C245" s="562"/>
      <c r="D245" s="562"/>
      <c r="E245" s="562"/>
      <c r="F245" s="562"/>
      <c r="G245" s="562"/>
      <c r="H245" s="562"/>
    </row>
    <row r="246" spans="1:8">
      <c r="A246" s="563" t="s">
        <v>788</v>
      </c>
      <c r="B246" s="562"/>
      <c r="C246" s="562"/>
      <c r="D246" s="562"/>
      <c r="E246" s="562"/>
      <c r="F246" s="562"/>
      <c r="G246" s="562"/>
      <c r="H246" s="562"/>
    </row>
    <row r="247" spans="1:8">
      <c r="A247" s="563" t="s">
        <v>789</v>
      </c>
      <c r="B247" s="562"/>
      <c r="C247" s="562"/>
      <c r="D247" s="562"/>
      <c r="E247" s="562"/>
      <c r="F247" s="562"/>
      <c r="G247" s="562"/>
      <c r="H247" s="562"/>
    </row>
    <row r="248" spans="1:8">
      <c r="A248" s="563" t="s">
        <v>790</v>
      </c>
      <c r="B248" s="562"/>
      <c r="C248" s="562"/>
      <c r="D248" s="562"/>
      <c r="E248" s="562"/>
      <c r="F248" s="562"/>
      <c r="G248" s="562"/>
      <c r="H248" s="562"/>
    </row>
    <row r="249" spans="1:8">
      <c r="A249" s="563" t="s">
        <v>791</v>
      </c>
      <c r="B249" s="562"/>
      <c r="C249" s="562"/>
      <c r="D249" s="562"/>
      <c r="E249" s="562"/>
      <c r="F249" s="562"/>
      <c r="G249" s="562"/>
      <c r="H249" s="562"/>
    </row>
    <row r="250" spans="1:8">
      <c r="A250" s="563" t="s">
        <v>792</v>
      </c>
      <c r="B250" s="562"/>
      <c r="C250" s="562"/>
      <c r="D250" s="562"/>
      <c r="E250" s="562"/>
      <c r="F250" s="562"/>
      <c r="G250" s="562"/>
      <c r="H250" s="562"/>
    </row>
    <row r="251" spans="1:8">
      <c r="A251" s="563" t="s">
        <v>793</v>
      </c>
      <c r="B251" s="562"/>
      <c r="C251" s="562"/>
      <c r="D251" s="562"/>
      <c r="E251" s="562"/>
      <c r="F251" s="562"/>
      <c r="G251" s="562"/>
      <c r="H251" s="562"/>
    </row>
    <row r="252" spans="1:8">
      <c r="A252" s="563" t="s">
        <v>794</v>
      </c>
      <c r="B252" s="562"/>
      <c r="C252" s="562"/>
      <c r="D252" s="562"/>
      <c r="E252" s="562"/>
      <c r="F252" s="562"/>
      <c r="G252" s="562"/>
      <c r="H252" s="562"/>
    </row>
    <row r="253" spans="1:8">
      <c r="A253" s="563" t="s">
        <v>795</v>
      </c>
      <c r="B253" s="562"/>
      <c r="C253" s="562"/>
      <c r="D253" s="562"/>
      <c r="E253" s="562"/>
      <c r="F253" s="562"/>
      <c r="G253" s="562"/>
      <c r="H253" s="562"/>
    </row>
    <row r="254" spans="1:8">
      <c r="A254" s="563" t="s">
        <v>796</v>
      </c>
      <c r="B254" s="562"/>
      <c r="C254" s="562"/>
      <c r="D254" s="562"/>
      <c r="E254" s="562"/>
      <c r="F254" s="562"/>
      <c r="G254" s="562"/>
      <c r="H254" s="562"/>
    </row>
    <row r="255" spans="1:8">
      <c r="A255" s="563" t="s">
        <v>797</v>
      </c>
      <c r="B255" s="562"/>
      <c r="C255" s="562"/>
      <c r="D255" s="562"/>
      <c r="E255" s="562"/>
      <c r="F255" s="562"/>
      <c r="G255" s="562"/>
      <c r="H255" s="562"/>
    </row>
    <row r="256" spans="1:8">
      <c r="A256" s="563" t="s">
        <v>798</v>
      </c>
      <c r="B256" s="562"/>
      <c r="C256" s="562"/>
      <c r="D256" s="562"/>
      <c r="E256" s="562"/>
      <c r="F256" s="562"/>
      <c r="G256" s="562"/>
      <c r="H256" s="562"/>
    </row>
    <row r="257" spans="1:8">
      <c r="A257" s="563" t="s">
        <v>799</v>
      </c>
      <c r="B257" s="562"/>
      <c r="C257" s="562"/>
      <c r="D257" s="562"/>
      <c r="E257" s="562"/>
      <c r="F257" s="562"/>
      <c r="G257" s="562"/>
      <c r="H257" s="562"/>
    </row>
    <row r="258" spans="1:8">
      <c r="A258" s="562"/>
      <c r="B258" s="562"/>
      <c r="C258" s="562"/>
      <c r="D258" s="562"/>
      <c r="E258" s="562"/>
      <c r="F258" s="562"/>
      <c r="G258" s="562"/>
      <c r="H258" s="562"/>
    </row>
    <row r="259" spans="1:8">
      <c r="A259" s="563" t="s">
        <v>800</v>
      </c>
      <c r="B259" s="562"/>
      <c r="C259" s="562"/>
      <c r="D259" s="562"/>
      <c r="E259" s="562"/>
      <c r="F259" s="562"/>
      <c r="G259" s="562"/>
      <c r="H259" s="562"/>
    </row>
    <row r="260" spans="1:8">
      <c r="A260" s="563" t="s">
        <v>801</v>
      </c>
      <c r="B260" s="562"/>
      <c r="C260" s="562"/>
      <c r="D260" s="562"/>
      <c r="E260" s="562"/>
      <c r="F260" s="562"/>
      <c r="G260" s="562"/>
      <c r="H260" s="562"/>
    </row>
    <row r="261" spans="1:8">
      <c r="A261" s="562"/>
      <c r="B261" s="562"/>
      <c r="C261" s="562"/>
      <c r="D261" s="562"/>
      <c r="E261" s="562"/>
      <c r="F261" s="562"/>
      <c r="G261" s="562"/>
      <c r="H261" s="562"/>
    </row>
    <row r="262" spans="1:8">
      <c r="A262" s="563" t="s">
        <v>802</v>
      </c>
      <c r="B262" s="562"/>
      <c r="C262" s="562"/>
      <c r="D262" s="562"/>
      <c r="E262" s="562"/>
      <c r="F262" s="562"/>
      <c r="G262" s="562"/>
      <c r="H262" s="562"/>
    </row>
    <row r="263" spans="1:8">
      <c r="A263" s="563" t="s">
        <v>803</v>
      </c>
      <c r="B263" s="562"/>
      <c r="C263" s="562"/>
      <c r="D263" s="562"/>
      <c r="E263" s="562"/>
      <c r="F263" s="562"/>
      <c r="G263" s="562"/>
      <c r="H263" s="562"/>
    </row>
    <row r="264" spans="1:8">
      <c r="A264" s="563" t="s">
        <v>804</v>
      </c>
      <c r="B264" s="562"/>
      <c r="C264" s="562"/>
      <c r="D264" s="562"/>
      <c r="E264" s="562"/>
      <c r="F264" s="562"/>
      <c r="G264" s="562"/>
      <c r="H264" s="562"/>
    </row>
    <row r="265" spans="1:8">
      <c r="A265" s="563" t="s">
        <v>805</v>
      </c>
      <c r="B265" s="562"/>
      <c r="C265" s="562"/>
      <c r="D265" s="562"/>
      <c r="E265" s="562"/>
      <c r="F265" s="562"/>
      <c r="G265" s="562"/>
      <c r="H265" s="562"/>
    </row>
    <row r="266" spans="1:8">
      <c r="A266" s="563" t="s">
        <v>806</v>
      </c>
      <c r="B266" s="562"/>
      <c r="C266" s="562"/>
      <c r="D266" s="562"/>
      <c r="E266" s="562"/>
      <c r="F266" s="562"/>
      <c r="G266" s="562"/>
      <c r="H266" s="562"/>
    </row>
    <row r="267" spans="1:8">
      <c r="A267" s="563" t="s">
        <v>807</v>
      </c>
      <c r="B267" s="562"/>
      <c r="C267" s="562"/>
      <c r="D267" s="562"/>
      <c r="E267" s="562"/>
      <c r="F267" s="562"/>
      <c r="G267" s="562"/>
      <c r="H267" s="562"/>
    </row>
    <row r="268" spans="1:8">
      <c r="A268" s="563" t="s">
        <v>808</v>
      </c>
      <c r="B268" s="562"/>
      <c r="C268" s="562"/>
      <c r="D268" s="562"/>
      <c r="E268" s="562"/>
      <c r="F268" s="562"/>
      <c r="G268" s="562"/>
      <c r="H268" s="562"/>
    </row>
    <row r="269" spans="1:8">
      <c r="A269" s="563" t="s">
        <v>809</v>
      </c>
      <c r="B269" s="562"/>
      <c r="C269" s="562"/>
      <c r="D269" s="562"/>
      <c r="E269" s="562"/>
      <c r="F269" s="562"/>
      <c r="G269" s="562"/>
      <c r="H269" s="562"/>
    </row>
    <row r="270" spans="1:8">
      <c r="A270" s="563" t="s">
        <v>810</v>
      </c>
      <c r="B270" s="562"/>
      <c r="C270" s="562"/>
      <c r="D270" s="562"/>
      <c r="E270" s="562"/>
      <c r="F270" s="562"/>
      <c r="G270" s="562"/>
      <c r="H270" s="562"/>
    </row>
    <row r="271" spans="1:8">
      <c r="A271" s="563" t="s">
        <v>811</v>
      </c>
      <c r="B271" s="562"/>
      <c r="C271" s="562"/>
      <c r="D271" s="562"/>
      <c r="E271" s="562"/>
      <c r="F271" s="562"/>
      <c r="G271" s="562"/>
      <c r="H271" s="562"/>
    </row>
    <row r="272" spans="1:8">
      <c r="A272" s="563" t="s">
        <v>812</v>
      </c>
      <c r="B272" s="562"/>
      <c r="C272" s="562"/>
      <c r="D272" s="562"/>
      <c r="E272" s="562"/>
      <c r="F272" s="562"/>
      <c r="G272" s="562"/>
      <c r="H272" s="562"/>
    </row>
    <row r="273" spans="1:8">
      <c r="A273" s="563" t="s">
        <v>813</v>
      </c>
      <c r="B273" s="562"/>
      <c r="C273" s="562"/>
      <c r="D273" s="562"/>
      <c r="E273" s="562"/>
      <c r="F273" s="562"/>
      <c r="G273" s="562"/>
      <c r="H273" s="562"/>
    </row>
    <row r="274" spans="1:8">
      <c r="A274" s="563" t="s">
        <v>814</v>
      </c>
      <c r="B274" s="562"/>
      <c r="C274" s="562"/>
      <c r="D274" s="562"/>
      <c r="E274" s="562"/>
      <c r="F274" s="562"/>
      <c r="G274" s="562"/>
      <c r="H274" s="562"/>
    </row>
    <row r="275" spans="1:8">
      <c r="A275" s="563" t="s">
        <v>815</v>
      </c>
      <c r="B275" s="562"/>
      <c r="C275" s="562"/>
      <c r="D275" s="562"/>
      <c r="E275" s="562"/>
      <c r="F275" s="562"/>
      <c r="G275" s="562"/>
      <c r="H275" s="562"/>
    </row>
    <row r="276" spans="1:8">
      <c r="A276" s="563" t="s">
        <v>816</v>
      </c>
      <c r="B276" s="562"/>
      <c r="C276" s="562"/>
      <c r="D276" s="562"/>
      <c r="E276" s="562"/>
      <c r="F276" s="562"/>
      <c r="G276" s="562"/>
      <c r="H276" s="562"/>
    </row>
    <row r="277" spans="1:8">
      <c r="A277" s="563" t="s">
        <v>817</v>
      </c>
      <c r="B277" s="562"/>
      <c r="C277" s="562"/>
      <c r="D277" s="562"/>
      <c r="E277" s="562"/>
      <c r="F277" s="562"/>
      <c r="G277" s="562"/>
      <c r="H277" s="562"/>
    </row>
    <row r="278" spans="1:8">
      <c r="A278" s="562"/>
      <c r="B278" s="562"/>
      <c r="C278" s="562"/>
      <c r="D278" s="562"/>
      <c r="E278" s="562"/>
      <c r="F278" s="562"/>
      <c r="G278" s="562"/>
      <c r="H278" s="562"/>
    </row>
    <row r="279" spans="1:8">
      <c r="A279" s="563" t="s">
        <v>818</v>
      </c>
      <c r="B279" s="562"/>
      <c r="C279" s="562"/>
      <c r="D279" s="562"/>
      <c r="E279" s="562"/>
      <c r="F279" s="562"/>
      <c r="G279" s="562"/>
      <c r="H279" s="562"/>
    </row>
    <row r="280" spans="1:8">
      <c r="A280" s="563" t="s">
        <v>819</v>
      </c>
      <c r="B280" s="562"/>
      <c r="C280" s="562"/>
      <c r="D280" s="562"/>
      <c r="E280" s="562"/>
      <c r="F280" s="562"/>
      <c r="G280" s="562"/>
      <c r="H280" s="562"/>
    </row>
    <row r="281" spans="1:8">
      <c r="A281" s="563" t="s">
        <v>820</v>
      </c>
      <c r="B281" s="562"/>
      <c r="C281" s="562"/>
      <c r="D281" s="562"/>
      <c r="E281" s="562"/>
      <c r="F281" s="562"/>
      <c r="G281" s="562"/>
      <c r="H281" s="562"/>
    </row>
    <row r="282" spans="1:8">
      <c r="A282" s="563" t="s">
        <v>821</v>
      </c>
      <c r="B282" s="562"/>
      <c r="C282" s="562"/>
      <c r="D282" s="562"/>
      <c r="E282" s="562"/>
      <c r="F282" s="562"/>
      <c r="G282" s="562"/>
      <c r="H282" s="562"/>
    </row>
    <row r="283" spans="1:8">
      <c r="A283" s="563" t="s">
        <v>822</v>
      </c>
      <c r="B283" s="562"/>
      <c r="C283" s="562"/>
      <c r="D283" s="562"/>
      <c r="E283" s="562"/>
      <c r="F283" s="562"/>
      <c r="G283" s="562"/>
      <c r="H283" s="562"/>
    </row>
    <row r="284" spans="1:8">
      <c r="A284" s="563" t="s">
        <v>823</v>
      </c>
      <c r="B284" s="562"/>
      <c r="C284" s="562"/>
      <c r="D284" s="562"/>
      <c r="E284" s="562"/>
      <c r="F284" s="562"/>
      <c r="G284" s="562"/>
      <c r="H284" s="562"/>
    </row>
    <row r="285" spans="1:8">
      <c r="A285" s="563" t="s">
        <v>683</v>
      </c>
      <c r="B285" s="562"/>
      <c r="C285" s="562"/>
      <c r="D285" s="562"/>
      <c r="E285" s="562"/>
      <c r="F285" s="562"/>
      <c r="G285" s="562"/>
      <c r="H285" s="562"/>
    </row>
    <row r="286" spans="1:8">
      <c r="A286" s="562"/>
      <c r="B286" s="562"/>
      <c r="C286" s="562"/>
      <c r="D286" s="562"/>
      <c r="E286" s="562"/>
      <c r="F286" s="562"/>
      <c r="G286" s="562"/>
      <c r="H286" s="562"/>
    </row>
    <row r="287" spans="1:8">
      <c r="A287" s="563" t="s">
        <v>824</v>
      </c>
      <c r="B287" s="562"/>
      <c r="C287" s="562"/>
      <c r="D287" s="562"/>
      <c r="E287" s="562"/>
      <c r="F287" s="562"/>
      <c r="G287" s="562"/>
      <c r="H287" s="562"/>
    </row>
    <row r="288" spans="1:8">
      <c r="A288" s="563" t="s">
        <v>825</v>
      </c>
      <c r="B288" s="562"/>
      <c r="C288" s="562"/>
      <c r="D288" s="562"/>
      <c r="E288" s="562"/>
      <c r="F288" s="562"/>
      <c r="G288" s="562"/>
      <c r="H288" s="562"/>
    </row>
    <row r="289" spans="1:8">
      <c r="A289" s="563" t="s">
        <v>826</v>
      </c>
      <c r="B289" s="562"/>
      <c r="C289" s="562"/>
      <c r="D289" s="562"/>
      <c r="E289" s="562"/>
      <c r="F289" s="562"/>
      <c r="G289" s="562"/>
      <c r="H289" s="562"/>
    </row>
    <row r="290" spans="1:8">
      <c r="A290" s="563" t="s">
        <v>827</v>
      </c>
      <c r="B290" s="562"/>
      <c r="C290" s="562"/>
      <c r="D290" s="562"/>
      <c r="E290" s="562"/>
      <c r="F290" s="562"/>
      <c r="G290" s="562"/>
      <c r="H290" s="562"/>
    </row>
    <row r="291" spans="1:8">
      <c r="A291" s="563" t="s">
        <v>828</v>
      </c>
      <c r="B291" s="562"/>
      <c r="C291" s="562"/>
      <c r="D291" s="562"/>
      <c r="E291" s="562"/>
      <c r="F291" s="562"/>
      <c r="G291" s="562"/>
      <c r="H291" s="562"/>
    </row>
    <row r="292" spans="1:8">
      <c r="A292" s="563" t="s">
        <v>829</v>
      </c>
      <c r="B292" s="562"/>
      <c r="C292" s="562"/>
      <c r="D292" s="562"/>
      <c r="E292" s="562"/>
      <c r="F292" s="562"/>
      <c r="G292" s="562"/>
      <c r="H292" s="562"/>
    </row>
    <row r="293" spans="1:8">
      <c r="A293" s="563" t="s">
        <v>830</v>
      </c>
      <c r="B293" s="562"/>
      <c r="C293" s="562"/>
      <c r="D293" s="562"/>
      <c r="E293" s="562"/>
      <c r="F293" s="562"/>
      <c r="G293" s="562"/>
      <c r="H293" s="562"/>
    </row>
    <row r="294" spans="1:8">
      <c r="A294" s="563" t="s">
        <v>831</v>
      </c>
      <c r="B294" s="562"/>
      <c r="C294" s="562"/>
      <c r="D294" s="562"/>
      <c r="E294" s="562"/>
      <c r="F294" s="562"/>
      <c r="G294" s="562"/>
      <c r="H294" s="562"/>
    </row>
    <row r="295" spans="1:8">
      <c r="A295" s="563" t="s">
        <v>832</v>
      </c>
      <c r="B295" s="562"/>
      <c r="C295" s="562"/>
      <c r="D295" s="562"/>
      <c r="E295" s="562"/>
      <c r="F295" s="562"/>
      <c r="G295" s="562"/>
      <c r="H295" s="562"/>
    </row>
    <row r="296" spans="1:8">
      <c r="A296" s="562"/>
      <c r="B296" s="562"/>
      <c r="C296" s="562"/>
      <c r="D296" s="562"/>
      <c r="E296" s="562"/>
      <c r="F296" s="562"/>
      <c r="G296" s="562"/>
      <c r="H296" s="562"/>
    </row>
    <row r="297" spans="1:8">
      <c r="A297" s="563" t="s">
        <v>833</v>
      </c>
      <c r="B297" s="562"/>
      <c r="C297" s="562"/>
      <c r="D297" s="562"/>
      <c r="E297" s="562"/>
      <c r="F297" s="562"/>
      <c r="G297" s="562"/>
      <c r="H297" s="562"/>
    </row>
    <row r="298" spans="1:8">
      <c r="A298" s="563" t="s">
        <v>834</v>
      </c>
      <c r="B298" s="562"/>
      <c r="C298" s="562"/>
      <c r="D298" s="562"/>
      <c r="E298" s="562"/>
      <c r="F298" s="562"/>
      <c r="G298" s="562"/>
      <c r="H298" s="562"/>
    </row>
    <row r="299" spans="1:8">
      <c r="A299" s="563" t="s">
        <v>835</v>
      </c>
      <c r="B299" s="562"/>
      <c r="C299" s="562"/>
      <c r="D299" s="562"/>
      <c r="E299" s="562"/>
      <c r="F299" s="562"/>
      <c r="G299" s="562"/>
      <c r="H299" s="562"/>
    </row>
    <row r="300" spans="1:8">
      <c r="A300" s="563" t="s">
        <v>836</v>
      </c>
      <c r="B300" s="562"/>
      <c r="C300" s="562"/>
      <c r="D300" s="562"/>
      <c r="E300" s="562"/>
      <c r="F300" s="562"/>
      <c r="G300" s="562"/>
      <c r="H300" s="562"/>
    </row>
    <row r="301" spans="1:8">
      <c r="A301" s="563" t="s">
        <v>837</v>
      </c>
      <c r="B301" s="562"/>
      <c r="C301" s="562"/>
      <c r="D301" s="562"/>
      <c r="E301" s="562"/>
      <c r="F301" s="562"/>
      <c r="G301" s="562"/>
      <c r="H301" s="562"/>
    </row>
    <row r="302" spans="1:8">
      <c r="A302" s="563" t="s">
        <v>838</v>
      </c>
      <c r="B302" s="562"/>
      <c r="C302" s="562"/>
      <c r="D302" s="562"/>
      <c r="E302" s="562"/>
      <c r="F302" s="562"/>
      <c r="G302" s="562"/>
      <c r="H302" s="562"/>
    </row>
    <row r="303" spans="1:8">
      <c r="A303" s="563" t="s">
        <v>839</v>
      </c>
      <c r="B303" s="562"/>
      <c r="C303" s="562"/>
      <c r="D303" s="562"/>
      <c r="E303" s="562"/>
      <c r="F303" s="562"/>
      <c r="G303" s="562"/>
      <c r="H303" s="562"/>
    </row>
    <row r="304" spans="1:8">
      <c r="A304" s="562"/>
      <c r="B304" s="562"/>
      <c r="C304" s="562"/>
      <c r="D304" s="562"/>
      <c r="E304" s="562"/>
      <c r="F304" s="562"/>
      <c r="G304" s="562"/>
      <c r="H304" s="562"/>
    </row>
    <row r="305" spans="1:8">
      <c r="A305" s="563" t="s">
        <v>840</v>
      </c>
      <c r="B305" s="562"/>
      <c r="C305" s="562"/>
      <c r="D305" s="562"/>
      <c r="E305" s="562"/>
      <c r="F305" s="562"/>
      <c r="G305" s="562"/>
      <c r="H305" s="562"/>
    </row>
    <row r="306" spans="1:8">
      <c r="A306" s="563" t="s">
        <v>841</v>
      </c>
      <c r="B306" s="562"/>
      <c r="C306" s="562"/>
      <c r="D306" s="562"/>
      <c r="E306" s="562"/>
      <c r="F306" s="562"/>
      <c r="G306" s="562"/>
      <c r="H306" s="562"/>
    </row>
    <row r="307" spans="1:8">
      <c r="A307" s="563" t="s">
        <v>842</v>
      </c>
      <c r="B307" s="562"/>
      <c r="C307" s="562"/>
      <c r="D307" s="562"/>
      <c r="E307" s="562"/>
      <c r="F307" s="562"/>
      <c r="G307" s="562"/>
      <c r="H307" s="562"/>
    </row>
    <row r="308" spans="1:8">
      <c r="A308" s="562"/>
      <c r="B308" s="562"/>
      <c r="C308" s="562"/>
      <c r="D308" s="562"/>
      <c r="E308" s="562"/>
      <c r="F308" s="562"/>
      <c r="G308" s="562"/>
      <c r="H308" s="562"/>
    </row>
    <row r="309" spans="1:8">
      <c r="A309" s="563" t="s">
        <v>843</v>
      </c>
      <c r="B309" s="562"/>
      <c r="C309" s="562"/>
      <c r="D309" s="562"/>
      <c r="E309" s="562"/>
      <c r="F309" s="562"/>
      <c r="G309" s="562"/>
      <c r="H309" s="562"/>
    </row>
    <row r="310" spans="1:8">
      <c r="A310" s="563" t="s">
        <v>844</v>
      </c>
      <c r="B310" s="562"/>
      <c r="C310" s="562"/>
      <c r="D310" s="562"/>
      <c r="E310" s="562"/>
      <c r="F310" s="562"/>
      <c r="G310" s="562"/>
      <c r="H310" s="562"/>
    </row>
    <row r="311" spans="1:8">
      <c r="A311" s="562"/>
      <c r="B311" s="562"/>
      <c r="C311" s="562"/>
      <c r="D311" s="562"/>
      <c r="E311" s="562"/>
      <c r="F311" s="562"/>
      <c r="G311" s="562"/>
      <c r="H311" s="562"/>
    </row>
    <row r="312" spans="1:8">
      <c r="A312" s="563" t="s">
        <v>845</v>
      </c>
      <c r="B312" s="562"/>
      <c r="C312" s="562"/>
      <c r="D312" s="562"/>
      <c r="E312" s="562"/>
      <c r="F312" s="562"/>
      <c r="G312" s="562"/>
      <c r="H312" s="562"/>
    </row>
    <row r="313" spans="1:8">
      <c r="A313" s="563" t="s">
        <v>846</v>
      </c>
      <c r="B313" s="562"/>
      <c r="C313" s="562"/>
      <c r="D313" s="562"/>
      <c r="E313" s="562"/>
      <c r="F313" s="562"/>
      <c r="G313" s="562"/>
      <c r="H313" s="562"/>
    </row>
    <row r="314" spans="1:8">
      <c r="A314" s="563" t="s">
        <v>847</v>
      </c>
      <c r="B314" s="562"/>
      <c r="C314" s="562"/>
      <c r="D314" s="562"/>
      <c r="E314" s="562"/>
      <c r="F314" s="562"/>
      <c r="G314" s="562"/>
      <c r="H314" s="562"/>
    </row>
    <row r="315" spans="1:8">
      <c r="A315" s="563" t="s">
        <v>848</v>
      </c>
      <c r="B315" s="562"/>
      <c r="C315" s="562"/>
      <c r="D315" s="562"/>
      <c r="E315" s="562"/>
      <c r="F315" s="562"/>
      <c r="G315" s="562"/>
      <c r="H315" s="562"/>
    </row>
    <row r="316" spans="1:8">
      <c r="A316" s="563" t="s">
        <v>849</v>
      </c>
      <c r="B316" s="562"/>
      <c r="C316" s="562"/>
      <c r="D316" s="562"/>
      <c r="E316" s="562"/>
      <c r="F316" s="562"/>
      <c r="G316" s="562"/>
      <c r="H316" s="562"/>
    </row>
    <row r="317" spans="1:8">
      <c r="A317" s="563" t="s">
        <v>850</v>
      </c>
      <c r="B317" s="562"/>
      <c r="C317" s="562"/>
      <c r="D317" s="562"/>
      <c r="E317" s="562"/>
      <c r="F317" s="562"/>
      <c r="G317" s="562"/>
      <c r="H317" s="562"/>
    </row>
    <row r="318" spans="1:8">
      <c r="A318" s="563" t="s">
        <v>851</v>
      </c>
      <c r="B318" s="562"/>
      <c r="C318" s="562"/>
      <c r="D318" s="562"/>
      <c r="E318" s="562"/>
      <c r="F318" s="562"/>
      <c r="G318" s="562"/>
      <c r="H318" s="562"/>
    </row>
    <row r="319" spans="1:8">
      <c r="A319" s="563" t="s">
        <v>852</v>
      </c>
      <c r="B319" s="562"/>
      <c r="C319" s="562"/>
      <c r="D319" s="562"/>
      <c r="E319" s="562"/>
      <c r="F319" s="562"/>
      <c r="G319" s="562"/>
      <c r="H319" s="562"/>
    </row>
    <row r="320" spans="1:8">
      <c r="A320" s="563" t="s">
        <v>853</v>
      </c>
      <c r="B320" s="562"/>
      <c r="C320" s="562"/>
      <c r="D320" s="562"/>
      <c r="E320" s="562"/>
      <c r="F320" s="562"/>
      <c r="G320" s="562"/>
      <c r="H320" s="562"/>
    </row>
    <row r="321" spans="1:8">
      <c r="A321" s="563" t="s">
        <v>854</v>
      </c>
      <c r="B321" s="562"/>
      <c r="C321" s="562"/>
      <c r="D321" s="562"/>
      <c r="E321" s="562"/>
      <c r="F321" s="562"/>
      <c r="G321" s="562"/>
      <c r="H321" s="562"/>
    </row>
    <row r="322" spans="1:8">
      <c r="A322" s="563" t="s">
        <v>855</v>
      </c>
      <c r="B322" s="562"/>
      <c r="C322" s="562"/>
      <c r="D322" s="562"/>
      <c r="E322" s="562"/>
      <c r="F322" s="562"/>
      <c r="G322" s="562"/>
      <c r="H322" s="562"/>
    </row>
    <row r="323" spans="1:8">
      <c r="A323" s="563" t="s">
        <v>856</v>
      </c>
      <c r="B323" s="562"/>
      <c r="C323" s="562"/>
      <c r="D323" s="562"/>
      <c r="E323" s="562"/>
      <c r="F323" s="562"/>
      <c r="G323" s="562"/>
      <c r="H323" s="562"/>
    </row>
    <row r="324" spans="1:8">
      <c r="A324" s="563" t="s">
        <v>857</v>
      </c>
      <c r="B324" s="562"/>
      <c r="C324" s="562"/>
      <c r="D324" s="562"/>
      <c r="E324" s="562"/>
      <c r="F324" s="562"/>
      <c r="G324" s="562"/>
      <c r="H324" s="562"/>
    </row>
    <row r="325" spans="1:8">
      <c r="A325" s="562"/>
      <c r="B325" s="562"/>
      <c r="C325" s="562"/>
      <c r="D325" s="562"/>
      <c r="E325" s="562"/>
      <c r="F325" s="562"/>
      <c r="G325" s="562"/>
      <c r="H325" s="562"/>
    </row>
    <row r="326" spans="1:8">
      <c r="A326" s="563" t="s">
        <v>858</v>
      </c>
      <c r="B326" s="562"/>
      <c r="C326" s="562"/>
      <c r="D326" s="562"/>
      <c r="E326" s="562"/>
      <c r="F326" s="562"/>
      <c r="G326" s="562"/>
      <c r="H326" s="562"/>
    </row>
    <row r="327" spans="1:8">
      <c r="A327" s="563" t="s">
        <v>859</v>
      </c>
      <c r="B327" s="562"/>
      <c r="C327" s="562"/>
      <c r="D327" s="562"/>
      <c r="E327" s="562"/>
      <c r="F327" s="562"/>
      <c r="G327" s="562"/>
      <c r="H327" s="562"/>
    </row>
    <row r="328" spans="1:8">
      <c r="A328" s="562"/>
      <c r="B328" s="562"/>
      <c r="C328" s="562"/>
      <c r="D328" s="562"/>
      <c r="E328" s="562"/>
      <c r="F328" s="562"/>
      <c r="G328" s="562"/>
      <c r="H328" s="562"/>
    </row>
    <row r="329" spans="1:8">
      <c r="A329" s="563" t="s">
        <v>860</v>
      </c>
      <c r="B329" s="562"/>
      <c r="C329" s="562"/>
      <c r="D329" s="562"/>
      <c r="E329" s="562"/>
      <c r="F329" s="562"/>
      <c r="G329" s="562"/>
      <c r="H329" s="562"/>
    </row>
    <row r="330" spans="1:8">
      <c r="A330" s="563" t="s">
        <v>861</v>
      </c>
      <c r="B330" s="562"/>
      <c r="C330" s="562"/>
      <c r="D330" s="562"/>
      <c r="E330" s="562"/>
      <c r="F330" s="562"/>
      <c r="G330" s="562"/>
      <c r="H330" s="562"/>
    </row>
    <row r="331" spans="1:8">
      <c r="A331" s="563" t="s">
        <v>862</v>
      </c>
      <c r="B331" s="562"/>
      <c r="C331" s="562"/>
      <c r="D331" s="562"/>
      <c r="E331" s="562"/>
      <c r="F331" s="562"/>
      <c r="G331" s="562"/>
      <c r="H331" s="562"/>
    </row>
    <row r="332" spans="1:8">
      <c r="A332" s="563" t="s">
        <v>863</v>
      </c>
      <c r="B332" s="562"/>
      <c r="C332" s="562"/>
      <c r="D332" s="562"/>
      <c r="E332" s="562"/>
      <c r="F332" s="562"/>
      <c r="G332" s="562"/>
      <c r="H332" s="562"/>
    </row>
    <row r="333" spans="1:8">
      <c r="A333" s="563" t="s">
        <v>864</v>
      </c>
      <c r="B333" s="562"/>
      <c r="C333" s="562"/>
      <c r="D333" s="562"/>
      <c r="E333" s="562"/>
      <c r="F333" s="562"/>
      <c r="G333" s="562"/>
      <c r="H333" s="562"/>
    </row>
    <row r="334" spans="1:8">
      <c r="A334" s="563" t="s">
        <v>865</v>
      </c>
      <c r="B334" s="562"/>
      <c r="C334" s="562"/>
      <c r="D334" s="562"/>
      <c r="E334" s="562"/>
      <c r="F334" s="562"/>
      <c r="G334" s="562"/>
      <c r="H334" s="562"/>
    </row>
    <row r="335" spans="1:8">
      <c r="A335" s="563" t="s">
        <v>866</v>
      </c>
      <c r="B335" s="562"/>
      <c r="C335" s="562"/>
      <c r="D335" s="562"/>
      <c r="E335" s="562"/>
      <c r="F335" s="562"/>
      <c r="G335" s="562"/>
      <c r="H335" s="562"/>
    </row>
    <row r="336" spans="1:8">
      <c r="A336" s="563" t="s">
        <v>867</v>
      </c>
      <c r="B336" s="562"/>
      <c r="C336" s="562"/>
      <c r="D336" s="562"/>
      <c r="E336" s="562"/>
      <c r="F336" s="562"/>
      <c r="G336" s="562"/>
      <c r="H336" s="562"/>
    </row>
    <row r="337" spans="1:8">
      <c r="A337" s="562"/>
      <c r="B337" s="562"/>
      <c r="C337" s="562"/>
      <c r="D337" s="562"/>
      <c r="E337" s="562"/>
      <c r="F337" s="562"/>
      <c r="G337" s="562"/>
      <c r="H337" s="562"/>
    </row>
    <row r="338" spans="1:8">
      <c r="A338" s="563" t="s">
        <v>868</v>
      </c>
      <c r="B338" s="562"/>
      <c r="C338" s="562"/>
      <c r="D338" s="562"/>
      <c r="E338" s="562"/>
      <c r="F338" s="562"/>
      <c r="G338" s="562"/>
      <c r="H338" s="562"/>
    </row>
    <row r="339" spans="1:8">
      <c r="A339" s="563" t="s">
        <v>869</v>
      </c>
      <c r="B339" s="562"/>
      <c r="C339" s="562"/>
      <c r="D339" s="562"/>
      <c r="E339" s="562"/>
      <c r="F339" s="562"/>
      <c r="G339" s="562"/>
      <c r="H339" s="562"/>
    </row>
    <row r="340" spans="1:8">
      <c r="A340" s="563" t="s">
        <v>870</v>
      </c>
      <c r="B340" s="562"/>
      <c r="C340" s="562"/>
      <c r="D340" s="562"/>
      <c r="E340" s="562"/>
      <c r="F340" s="562"/>
      <c r="G340" s="562"/>
      <c r="H340" s="562"/>
    </row>
    <row r="341" spans="1:8">
      <c r="A341" s="563" t="s">
        <v>871</v>
      </c>
      <c r="B341" s="562"/>
      <c r="C341" s="562"/>
      <c r="D341" s="562"/>
      <c r="E341" s="562"/>
      <c r="F341" s="562"/>
      <c r="G341" s="562"/>
      <c r="H341" s="562"/>
    </row>
    <row r="342" spans="1:8">
      <c r="A342" s="563" t="s">
        <v>872</v>
      </c>
      <c r="B342" s="562"/>
      <c r="C342" s="562"/>
      <c r="D342" s="562"/>
      <c r="E342" s="562"/>
      <c r="F342" s="562"/>
      <c r="G342" s="562"/>
      <c r="H342" s="562"/>
    </row>
    <row r="343" spans="1:8">
      <c r="A343" s="563" t="s">
        <v>873</v>
      </c>
      <c r="B343" s="562"/>
      <c r="C343" s="562"/>
      <c r="D343" s="562"/>
      <c r="E343" s="562"/>
      <c r="F343" s="562"/>
      <c r="G343" s="562"/>
      <c r="H343" s="562"/>
    </row>
    <row r="344" spans="1:8">
      <c r="A344" s="563" t="s">
        <v>874</v>
      </c>
      <c r="B344" s="562"/>
      <c r="C344" s="562"/>
      <c r="D344" s="562"/>
      <c r="E344" s="562"/>
      <c r="F344" s="562"/>
      <c r="G344" s="562"/>
      <c r="H344" s="562"/>
    </row>
    <row r="345" spans="1:8">
      <c r="A345" s="563" t="s">
        <v>875</v>
      </c>
      <c r="B345" s="562"/>
      <c r="C345" s="562"/>
      <c r="D345" s="562"/>
      <c r="E345" s="562"/>
      <c r="F345" s="562"/>
      <c r="G345" s="562"/>
      <c r="H345" s="562"/>
    </row>
    <row r="346" spans="1:8">
      <c r="A346" s="563" t="s">
        <v>876</v>
      </c>
      <c r="B346" s="562"/>
      <c r="C346" s="562"/>
      <c r="D346" s="562"/>
      <c r="E346" s="562"/>
      <c r="F346" s="562"/>
      <c r="G346" s="562"/>
      <c r="H346" s="562"/>
    </row>
    <row r="347" spans="1:8">
      <c r="A347" s="563" t="s">
        <v>877</v>
      </c>
      <c r="B347" s="562"/>
      <c r="C347" s="562"/>
      <c r="D347" s="562"/>
      <c r="E347" s="562"/>
      <c r="F347" s="562"/>
      <c r="G347" s="562"/>
      <c r="H347" s="562"/>
    </row>
    <row r="348" spans="1:8">
      <c r="A348" s="563" t="s">
        <v>878</v>
      </c>
      <c r="B348" s="562"/>
      <c r="C348" s="562"/>
      <c r="D348" s="562"/>
      <c r="E348" s="562"/>
      <c r="F348" s="562"/>
      <c r="G348" s="562"/>
      <c r="H348" s="562"/>
    </row>
    <row r="349" spans="1:8">
      <c r="A349" s="563" t="s">
        <v>879</v>
      </c>
      <c r="B349" s="562"/>
      <c r="C349" s="562"/>
      <c r="D349" s="562"/>
      <c r="E349" s="562"/>
      <c r="F349" s="562"/>
      <c r="G349" s="562"/>
      <c r="H349" s="562"/>
    </row>
    <row r="350" spans="1:8">
      <c r="A350" s="563" t="s">
        <v>880</v>
      </c>
      <c r="B350" s="562"/>
      <c r="C350" s="562"/>
      <c r="D350" s="562"/>
      <c r="E350" s="562"/>
      <c r="F350" s="562"/>
      <c r="G350" s="562"/>
      <c r="H350" s="562"/>
    </row>
    <row r="351" spans="1:8">
      <c r="A351" s="563" t="s">
        <v>881</v>
      </c>
      <c r="B351" s="562"/>
      <c r="C351" s="562"/>
      <c r="D351" s="562"/>
      <c r="E351" s="562"/>
      <c r="F351" s="562"/>
      <c r="G351" s="562"/>
      <c r="H351" s="562"/>
    </row>
    <row r="352" spans="1:8">
      <c r="A352" s="563" t="s">
        <v>882</v>
      </c>
      <c r="B352" s="562"/>
      <c r="C352" s="562"/>
      <c r="D352" s="562"/>
      <c r="E352" s="562"/>
      <c r="F352" s="562"/>
      <c r="G352" s="562"/>
      <c r="H352" s="562"/>
    </row>
    <row r="353" spans="1:8">
      <c r="A353" s="563" t="s">
        <v>883</v>
      </c>
      <c r="B353" s="562"/>
      <c r="C353" s="562"/>
      <c r="D353" s="562"/>
      <c r="E353" s="562"/>
      <c r="F353" s="562"/>
      <c r="G353" s="562"/>
      <c r="H353" s="562"/>
    </row>
    <row r="354" spans="1:8">
      <c r="A354" s="563" t="s">
        <v>884</v>
      </c>
      <c r="B354" s="562"/>
      <c r="C354" s="562"/>
      <c r="D354" s="562"/>
      <c r="E354" s="562"/>
      <c r="F354" s="562"/>
      <c r="G354" s="562"/>
      <c r="H354" s="562"/>
    </row>
    <row r="355" spans="1:8">
      <c r="A355" s="563" t="s">
        <v>885</v>
      </c>
      <c r="B355" s="562"/>
      <c r="C355" s="562"/>
      <c r="D355" s="562"/>
      <c r="E355" s="562"/>
      <c r="F355" s="562"/>
      <c r="G355" s="562"/>
      <c r="H355" s="562"/>
    </row>
    <row r="356" spans="1:8">
      <c r="A356" s="563" t="s">
        <v>886</v>
      </c>
      <c r="B356" s="562"/>
      <c r="C356" s="562"/>
      <c r="D356" s="562"/>
      <c r="E356" s="562"/>
      <c r="F356" s="562"/>
      <c r="G356" s="562"/>
      <c r="H356" s="562"/>
    </row>
    <row r="357" spans="1:8">
      <c r="A357" s="563" t="s">
        <v>887</v>
      </c>
      <c r="B357" s="562"/>
      <c r="C357" s="562"/>
      <c r="D357" s="562"/>
      <c r="E357" s="562"/>
      <c r="F357" s="562"/>
      <c r="G357" s="562"/>
      <c r="H357" s="562"/>
    </row>
    <row r="358" spans="1:8">
      <c r="A358" s="563" t="s">
        <v>888</v>
      </c>
      <c r="B358" s="562"/>
      <c r="C358" s="562"/>
      <c r="D358" s="562"/>
      <c r="E358" s="562"/>
      <c r="F358" s="562"/>
      <c r="G358" s="562"/>
      <c r="H358" s="562"/>
    </row>
    <row r="359" spans="1:8">
      <c r="A359" s="563" t="s">
        <v>889</v>
      </c>
      <c r="B359" s="562"/>
      <c r="C359" s="562"/>
      <c r="D359" s="562"/>
      <c r="E359" s="562"/>
      <c r="F359" s="562"/>
      <c r="G359" s="562"/>
      <c r="H359" s="562"/>
    </row>
    <row r="360" spans="1:8">
      <c r="A360" s="563" t="s">
        <v>890</v>
      </c>
      <c r="B360" s="562"/>
      <c r="C360" s="562"/>
      <c r="D360" s="562"/>
      <c r="E360" s="562"/>
      <c r="F360" s="562"/>
      <c r="G360" s="562"/>
      <c r="H360" s="562"/>
    </row>
    <row r="361" spans="1:8">
      <c r="A361" s="563" t="s">
        <v>891</v>
      </c>
      <c r="B361" s="562"/>
      <c r="C361" s="562"/>
      <c r="D361" s="562"/>
      <c r="E361" s="562"/>
      <c r="F361" s="562"/>
      <c r="G361" s="562"/>
      <c r="H361" s="562"/>
    </row>
    <row r="362" spans="1:8">
      <c r="A362" s="563" t="s">
        <v>892</v>
      </c>
      <c r="B362" s="562"/>
      <c r="C362" s="562"/>
      <c r="D362" s="562"/>
      <c r="E362" s="562"/>
      <c r="F362" s="562"/>
      <c r="G362" s="562"/>
      <c r="H362" s="562"/>
    </row>
    <row r="363" spans="1:8">
      <c r="A363" s="563" t="s">
        <v>893</v>
      </c>
      <c r="B363" s="562"/>
      <c r="C363" s="562"/>
      <c r="D363" s="562"/>
      <c r="E363" s="562"/>
      <c r="F363" s="562"/>
      <c r="G363" s="562"/>
      <c r="H363" s="562"/>
    </row>
    <row r="364" spans="1:8">
      <c r="A364" s="563" t="s">
        <v>894</v>
      </c>
      <c r="B364" s="562"/>
      <c r="C364" s="562"/>
      <c r="D364" s="562"/>
      <c r="E364" s="562"/>
      <c r="F364" s="562"/>
      <c r="G364" s="562"/>
      <c r="H364" s="562"/>
    </row>
    <row r="365" spans="1:8">
      <c r="A365" s="563" t="s">
        <v>895</v>
      </c>
      <c r="B365" s="562"/>
      <c r="C365" s="562"/>
      <c r="D365" s="562"/>
      <c r="E365" s="562"/>
      <c r="F365" s="562"/>
      <c r="G365" s="562"/>
      <c r="H365" s="562"/>
    </row>
    <row r="366" spans="1:8">
      <c r="A366" s="563" t="s">
        <v>896</v>
      </c>
      <c r="B366" s="562"/>
      <c r="C366" s="562"/>
      <c r="D366" s="562"/>
      <c r="E366" s="562"/>
      <c r="F366" s="562"/>
      <c r="G366" s="562"/>
      <c r="H366" s="562"/>
    </row>
    <row r="367" spans="1:8">
      <c r="A367" s="563" t="s">
        <v>897</v>
      </c>
      <c r="B367" s="562"/>
      <c r="C367" s="562"/>
      <c r="D367" s="562"/>
      <c r="E367" s="562"/>
      <c r="F367" s="562"/>
      <c r="G367" s="562"/>
      <c r="H367" s="562"/>
    </row>
    <row r="368" spans="1:8">
      <c r="A368" s="563" t="s">
        <v>898</v>
      </c>
      <c r="B368" s="562"/>
      <c r="C368" s="562"/>
      <c r="D368" s="562"/>
      <c r="E368" s="562"/>
      <c r="F368" s="562"/>
      <c r="G368" s="562"/>
      <c r="H368" s="562"/>
    </row>
    <row r="369" spans="1:8">
      <c r="A369" s="563" t="s">
        <v>899</v>
      </c>
      <c r="B369" s="562"/>
      <c r="C369" s="562"/>
      <c r="D369" s="562"/>
      <c r="E369" s="562"/>
      <c r="F369" s="562"/>
      <c r="G369" s="562"/>
      <c r="H369" s="562"/>
    </row>
    <row r="370" spans="1:8">
      <c r="A370" s="563" t="s">
        <v>900</v>
      </c>
      <c r="B370" s="562"/>
      <c r="C370" s="562"/>
      <c r="D370" s="562"/>
      <c r="E370" s="562"/>
      <c r="F370" s="562"/>
      <c r="G370" s="562"/>
      <c r="H370" s="562"/>
    </row>
    <row r="371" spans="1:8">
      <c r="A371" s="563" t="s">
        <v>901</v>
      </c>
      <c r="B371" s="562"/>
      <c r="C371" s="562"/>
      <c r="D371" s="562"/>
      <c r="E371" s="562"/>
      <c r="F371" s="562"/>
      <c r="G371" s="562"/>
      <c r="H371" s="562"/>
    </row>
    <row r="372" spans="1:8">
      <c r="A372" s="563" t="s">
        <v>902</v>
      </c>
      <c r="B372" s="562"/>
      <c r="C372" s="562"/>
      <c r="D372" s="562"/>
      <c r="E372" s="562"/>
      <c r="F372" s="562"/>
      <c r="G372" s="562"/>
      <c r="H372" s="562"/>
    </row>
    <row r="373" spans="1:8">
      <c r="A373" s="563" t="s">
        <v>903</v>
      </c>
      <c r="B373" s="562"/>
      <c r="C373" s="562"/>
      <c r="D373" s="562"/>
      <c r="E373" s="562"/>
      <c r="F373" s="562"/>
      <c r="G373" s="562"/>
      <c r="H373" s="562"/>
    </row>
    <row r="374" spans="1:8">
      <c r="A374" s="563" t="s">
        <v>904</v>
      </c>
      <c r="B374" s="562"/>
      <c r="C374" s="562"/>
      <c r="D374" s="562"/>
      <c r="E374" s="562"/>
      <c r="F374" s="562"/>
      <c r="G374" s="562"/>
      <c r="H374" s="562"/>
    </row>
    <row r="375" spans="1:8">
      <c r="A375" s="563" t="s">
        <v>905</v>
      </c>
      <c r="B375" s="562"/>
      <c r="C375" s="562"/>
      <c r="D375" s="562"/>
      <c r="E375" s="562"/>
      <c r="F375" s="562"/>
      <c r="G375" s="562"/>
      <c r="H375" s="562"/>
    </row>
    <row r="376" spans="1:8">
      <c r="A376" s="563" t="s">
        <v>906</v>
      </c>
      <c r="B376" s="562"/>
      <c r="C376" s="562"/>
      <c r="D376" s="562"/>
      <c r="E376" s="562"/>
      <c r="F376" s="562"/>
      <c r="G376" s="562"/>
      <c r="H376" s="562"/>
    </row>
    <row r="377" spans="1:8">
      <c r="A377" s="563" t="s">
        <v>907</v>
      </c>
      <c r="B377" s="562"/>
      <c r="C377" s="562"/>
      <c r="D377" s="562"/>
      <c r="E377" s="562"/>
      <c r="F377" s="562"/>
      <c r="G377" s="562"/>
      <c r="H377" s="562"/>
    </row>
    <row r="378" spans="1:8">
      <c r="A378" s="563" t="s">
        <v>908</v>
      </c>
      <c r="B378" s="562"/>
      <c r="C378" s="562"/>
      <c r="D378" s="562"/>
      <c r="E378" s="562"/>
      <c r="F378" s="562"/>
      <c r="G378" s="562"/>
      <c r="H378" s="562"/>
    </row>
    <row r="379" spans="1:8">
      <c r="A379" s="563" t="s">
        <v>909</v>
      </c>
      <c r="B379" s="562"/>
      <c r="C379" s="562"/>
      <c r="D379" s="562"/>
      <c r="E379" s="562"/>
      <c r="F379" s="562"/>
      <c r="G379" s="562"/>
      <c r="H379" s="562"/>
    </row>
    <row r="380" spans="1:8">
      <c r="A380" s="563" t="s">
        <v>910</v>
      </c>
      <c r="B380" s="562"/>
      <c r="C380" s="562"/>
      <c r="D380" s="562"/>
      <c r="E380" s="562"/>
      <c r="F380" s="562"/>
      <c r="G380" s="562"/>
      <c r="H380" s="562"/>
    </row>
    <row r="381" spans="1:8">
      <c r="A381" s="563" t="s">
        <v>911</v>
      </c>
      <c r="B381" s="562"/>
      <c r="C381" s="562"/>
      <c r="D381" s="562"/>
      <c r="E381" s="562"/>
      <c r="F381" s="562"/>
      <c r="G381" s="562"/>
      <c r="H381" s="562"/>
    </row>
    <row r="382" spans="1:8">
      <c r="A382" s="563" t="s">
        <v>912</v>
      </c>
      <c r="B382" s="562"/>
      <c r="C382" s="562"/>
      <c r="D382" s="562"/>
      <c r="E382" s="562"/>
      <c r="F382" s="562"/>
      <c r="G382" s="562"/>
      <c r="H382" s="562"/>
    </row>
    <row r="383" spans="1:8">
      <c r="A383" s="563" t="s">
        <v>913</v>
      </c>
      <c r="B383" s="562"/>
      <c r="C383" s="562"/>
      <c r="D383" s="562"/>
      <c r="E383" s="562"/>
      <c r="F383" s="562"/>
      <c r="G383" s="562"/>
      <c r="H383" s="562"/>
    </row>
    <row r="384" spans="1:8">
      <c r="A384" s="562"/>
      <c r="B384" s="562"/>
      <c r="C384" s="562"/>
      <c r="D384" s="562"/>
      <c r="E384" s="562"/>
      <c r="F384" s="562"/>
      <c r="G384" s="562"/>
      <c r="H384" s="562"/>
    </row>
    <row r="385" spans="1:8">
      <c r="A385" s="563" t="s">
        <v>914</v>
      </c>
      <c r="B385" s="562"/>
      <c r="C385" s="562"/>
      <c r="D385" s="562"/>
      <c r="E385" s="562"/>
      <c r="F385" s="562"/>
      <c r="G385" s="562"/>
      <c r="H385" s="562"/>
    </row>
    <row r="386" spans="1:8">
      <c r="A386" s="563" t="s">
        <v>915</v>
      </c>
      <c r="B386" s="562"/>
      <c r="C386" s="562"/>
      <c r="D386" s="562"/>
      <c r="E386" s="562"/>
      <c r="F386" s="562"/>
      <c r="G386" s="562"/>
      <c r="H386" s="562"/>
    </row>
    <row r="387" spans="1:8">
      <c r="A387" s="563" t="s">
        <v>916</v>
      </c>
      <c r="B387" s="562"/>
      <c r="C387" s="562"/>
      <c r="D387" s="562"/>
      <c r="E387" s="562"/>
      <c r="F387" s="562"/>
      <c r="G387" s="562"/>
      <c r="H387" s="562"/>
    </row>
    <row r="388" spans="1:8">
      <c r="A388" s="563" t="s">
        <v>917</v>
      </c>
      <c r="B388" s="562"/>
      <c r="C388" s="562"/>
      <c r="D388" s="562"/>
      <c r="E388" s="562"/>
      <c r="F388" s="562"/>
      <c r="G388" s="562"/>
      <c r="H388" s="562"/>
    </row>
    <row r="389" spans="1:8">
      <c r="A389" s="563" t="s">
        <v>918</v>
      </c>
      <c r="B389" s="562"/>
      <c r="C389" s="562"/>
      <c r="D389" s="562"/>
      <c r="E389" s="562"/>
      <c r="F389" s="562"/>
      <c r="G389" s="562"/>
      <c r="H389" s="562"/>
    </row>
    <row r="390" spans="1:8">
      <c r="A390" s="563" t="s">
        <v>919</v>
      </c>
      <c r="B390" s="562"/>
      <c r="C390" s="562"/>
      <c r="D390" s="562"/>
      <c r="E390" s="562"/>
      <c r="F390" s="562"/>
      <c r="G390" s="562"/>
      <c r="H390" s="562"/>
    </row>
    <row r="391" spans="1:8">
      <c r="A391" s="563" t="s">
        <v>920</v>
      </c>
      <c r="B391" s="562"/>
      <c r="C391" s="562"/>
      <c r="D391" s="562"/>
      <c r="E391" s="562"/>
      <c r="F391" s="562"/>
      <c r="G391" s="562"/>
      <c r="H391" s="562"/>
    </row>
    <row r="392" spans="1:8">
      <c r="A392" s="563" t="s">
        <v>921</v>
      </c>
      <c r="B392" s="562"/>
      <c r="C392" s="562"/>
      <c r="D392" s="562"/>
      <c r="E392" s="562"/>
      <c r="F392" s="562"/>
      <c r="G392" s="562"/>
      <c r="H392" s="562"/>
    </row>
    <row r="393" spans="1:8">
      <c r="A393" s="562"/>
      <c r="B393" s="562"/>
      <c r="C393" s="562"/>
      <c r="D393" s="562"/>
      <c r="E393" s="562"/>
      <c r="F393" s="562"/>
      <c r="G393" s="562"/>
      <c r="H393" s="562"/>
    </row>
    <row r="394" spans="1:8">
      <c r="A394" s="563" t="s">
        <v>914</v>
      </c>
      <c r="B394" s="562"/>
      <c r="C394" s="562"/>
      <c r="D394" s="562"/>
      <c r="E394" s="562"/>
      <c r="F394" s="562"/>
      <c r="G394" s="562"/>
      <c r="H394" s="562"/>
    </row>
    <row r="395" spans="1:8">
      <c r="A395" s="563" t="s">
        <v>922</v>
      </c>
      <c r="B395" s="562"/>
      <c r="C395" s="562"/>
      <c r="D395" s="562"/>
      <c r="E395" s="562"/>
      <c r="F395" s="562"/>
      <c r="G395" s="562"/>
      <c r="H395" s="562"/>
    </row>
    <row r="396" spans="1:8">
      <c r="A396" s="563" t="s">
        <v>923</v>
      </c>
      <c r="B396" s="562"/>
      <c r="C396" s="562"/>
      <c r="D396" s="562"/>
      <c r="E396" s="562"/>
      <c r="F396" s="562"/>
      <c r="G396" s="562"/>
      <c r="H396" s="562"/>
    </row>
    <row r="397" spans="1:8">
      <c r="A397" s="563" t="s">
        <v>924</v>
      </c>
      <c r="B397" s="562"/>
      <c r="C397" s="562"/>
      <c r="D397" s="562"/>
      <c r="E397" s="562"/>
      <c r="F397" s="562"/>
      <c r="G397" s="562"/>
      <c r="H397" s="562"/>
    </row>
    <row r="398" spans="1:8">
      <c r="A398" s="562"/>
      <c r="B398" s="562"/>
      <c r="C398" s="562"/>
      <c r="D398" s="562"/>
      <c r="E398" s="562"/>
      <c r="F398" s="562"/>
      <c r="G398" s="562"/>
      <c r="H398" s="562"/>
    </row>
    <row r="399" spans="1:8">
      <c r="A399" s="563" t="s">
        <v>925</v>
      </c>
      <c r="B399" s="562"/>
      <c r="C399" s="562"/>
      <c r="D399" s="562"/>
      <c r="E399" s="562"/>
      <c r="F399" s="562"/>
      <c r="G399" s="562"/>
      <c r="H399" s="562"/>
    </row>
    <row r="400" spans="1:8">
      <c r="A400" s="563" t="s">
        <v>926</v>
      </c>
      <c r="B400" s="562"/>
      <c r="C400" s="562"/>
      <c r="D400" s="562"/>
      <c r="E400" s="562"/>
      <c r="F400" s="562"/>
      <c r="G400" s="562"/>
      <c r="H400" s="562"/>
    </row>
    <row r="401" spans="1:8">
      <c r="A401" s="563" t="s">
        <v>927</v>
      </c>
      <c r="B401" s="562"/>
      <c r="C401" s="562"/>
      <c r="D401" s="562"/>
      <c r="E401" s="562"/>
      <c r="F401" s="562"/>
      <c r="G401" s="562"/>
      <c r="H401" s="562"/>
    </row>
    <row r="402" spans="1:8">
      <c r="A402" s="563" t="s">
        <v>928</v>
      </c>
      <c r="B402" s="562"/>
      <c r="C402" s="562"/>
      <c r="D402" s="562"/>
      <c r="E402" s="562"/>
      <c r="F402" s="562"/>
      <c r="G402" s="562"/>
      <c r="H402" s="562"/>
    </row>
    <row r="403" spans="1:8">
      <c r="A403" s="563" t="s">
        <v>929</v>
      </c>
      <c r="B403" s="562"/>
      <c r="C403" s="562"/>
      <c r="D403" s="562"/>
      <c r="E403" s="562"/>
      <c r="F403" s="562"/>
      <c r="G403" s="562"/>
      <c r="H403" s="562"/>
    </row>
    <row r="404" spans="1:8">
      <c r="A404" s="563" t="s">
        <v>930</v>
      </c>
      <c r="B404" s="562"/>
      <c r="C404" s="562"/>
      <c r="D404" s="562"/>
      <c r="E404" s="562"/>
      <c r="F404" s="562"/>
      <c r="G404" s="562"/>
      <c r="H404" s="562"/>
    </row>
    <row r="405" spans="1:8">
      <c r="A405" s="562"/>
      <c r="B405" s="562"/>
      <c r="C405" s="562"/>
      <c r="D405" s="562"/>
      <c r="E405" s="562"/>
      <c r="F405" s="562"/>
      <c r="G405" s="562"/>
      <c r="H405" s="562"/>
    </row>
    <row r="406" spans="1:8">
      <c r="A406" s="563" t="s">
        <v>931</v>
      </c>
      <c r="B406" s="562"/>
      <c r="C406" s="562"/>
      <c r="D406" s="562"/>
      <c r="E406" s="562"/>
      <c r="F406" s="562"/>
      <c r="G406" s="562"/>
      <c r="H406" s="562"/>
    </row>
    <row r="407" spans="1:8">
      <c r="A407" s="563" t="s">
        <v>932</v>
      </c>
      <c r="B407" s="562"/>
      <c r="C407" s="562"/>
      <c r="D407" s="562"/>
      <c r="E407" s="562"/>
      <c r="F407" s="562"/>
      <c r="G407" s="562"/>
      <c r="H407" s="562"/>
    </row>
    <row r="408" spans="1:8">
      <c r="A408" s="563" t="s">
        <v>933</v>
      </c>
      <c r="B408" s="562"/>
      <c r="C408" s="562"/>
      <c r="D408" s="562"/>
      <c r="E408" s="562"/>
      <c r="F408" s="562"/>
      <c r="G408" s="562"/>
      <c r="H408" s="562"/>
    </row>
    <row r="409" spans="1:8">
      <c r="A409" s="563" t="s">
        <v>934</v>
      </c>
      <c r="B409" s="562"/>
      <c r="C409" s="562"/>
      <c r="D409" s="562"/>
      <c r="E409" s="562"/>
      <c r="F409" s="562"/>
      <c r="G409" s="562"/>
      <c r="H409" s="562"/>
    </row>
    <row r="410" spans="1:8">
      <c r="A410" s="563" t="s">
        <v>935</v>
      </c>
      <c r="B410" s="562"/>
      <c r="C410" s="562"/>
      <c r="D410" s="562"/>
      <c r="E410" s="562"/>
      <c r="F410" s="562"/>
      <c r="G410" s="562"/>
      <c r="H410" s="562"/>
    </row>
    <row r="411" spans="1:8">
      <c r="A411" s="562"/>
      <c r="B411" s="562"/>
      <c r="C411" s="562"/>
      <c r="D411" s="562"/>
      <c r="E411" s="562"/>
      <c r="F411" s="562"/>
      <c r="G411" s="562"/>
      <c r="H411" s="562"/>
    </row>
    <row r="412" spans="1:8">
      <c r="A412" s="563" t="s">
        <v>936</v>
      </c>
      <c r="B412" s="562"/>
      <c r="C412" s="562"/>
      <c r="D412" s="562"/>
      <c r="E412" s="562"/>
      <c r="F412" s="562"/>
      <c r="G412" s="562"/>
      <c r="H412" s="562"/>
    </row>
    <row r="413" spans="1:8">
      <c r="A413" s="563" t="s">
        <v>937</v>
      </c>
      <c r="B413" s="562"/>
      <c r="C413" s="562"/>
      <c r="D413" s="562"/>
      <c r="E413" s="562"/>
      <c r="F413" s="562"/>
      <c r="G413" s="562"/>
      <c r="H413" s="562"/>
    </row>
    <row r="414" spans="1:8">
      <c r="A414" s="562"/>
      <c r="B414" s="562"/>
      <c r="C414" s="562"/>
      <c r="D414" s="562"/>
      <c r="E414" s="562"/>
      <c r="F414" s="562"/>
      <c r="G414" s="562"/>
      <c r="H414" s="562"/>
    </row>
    <row r="415" spans="1:8">
      <c r="A415" s="563" t="s">
        <v>938</v>
      </c>
      <c r="B415" s="562"/>
      <c r="C415" s="562"/>
      <c r="D415" s="562"/>
      <c r="E415" s="562"/>
      <c r="F415" s="562"/>
      <c r="G415" s="562"/>
      <c r="H415" s="562"/>
    </row>
    <row r="416" spans="1:8">
      <c r="A416" s="563" t="s">
        <v>939</v>
      </c>
      <c r="B416" s="562"/>
      <c r="C416" s="562"/>
      <c r="D416" s="562"/>
      <c r="E416" s="562"/>
      <c r="F416" s="562"/>
      <c r="G416" s="562"/>
      <c r="H416" s="562"/>
    </row>
    <row r="417" spans="1:8">
      <c r="A417" s="562"/>
      <c r="B417" s="562"/>
      <c r="C417" s="562"/>
      <c r="D417" s="562"/>
      <c r="E417" s="562"/>
      <c r="F417" s="562"/>
      <c r="G417" s="562"/>
      <c r="H417" s="562"/>
    </row>
    <row r="418" spans="1:8">
      <c r="A418" s="563" t="s">
        <v>940</v>
      </c>
      <c r="B418" s="562"/>
      <c r="C418" s="562"/>
      <c r="D418" s="562"/>
      <c r="E418" s="562"/>
      <c r="F418" s="562"/>
      <c r="G418" s="562"/>
      <c r="H418" s="562"/>
    </row>
    <row r="419" spans="1:8">
      <c r="A419" s="563" t="s">
        <v>941</v>
      </c>
      <c r="B419" s="562"/>
      <c r="C419" s="562"/>
      <c r="D419" s="562"/>
      <c r="E419" s="562"/>
      <c r="F419" s="562"/>
      <c r="G419" s="562"/>
      <c r="H419" s="562"/>
    </row>
    <row r="420" spans="1:8">
      <c r="A420" s="563" t="s">
        <v>942</v>
      </c>
      <c r="B420" s="562"/>
      <c r="C420" s="562"/>
      <c r="D420" s="562"/>
      <c r="E420" s="562"/>
      <c r="F420" s="562"/>
      <c r="G420" s="562"/>
      <c r="H420" s="562"/>
    </row>
    <row r="421" spans="1:8">
      <c r="A421" s="563" t="s">
        <v>943</v>
      </c>
      <c r="B421" s="562"/>
      <c r="C421" s="562"/>
      <c r="D421" s="562"/>
      <c r="E421" s="562"/>
      <c r="F421" s="562"/>
      <c r="G421" s="562"/>
      <c r="H421" s="562"/>
    </row>
    <row r="422" spans="1:8">
      <c r="A422" s="562"/>
      <c r="B422" s="562"/>
      <c r="C422" s="562"/>
      <c r="D422" s="562"/>
      <c r="E422" s="562"/>
      <c r="F422" s="562"/>
      <c r="G422" s="562"/>
      <c r="H422" s="562"/>
    </row>
    <row r="423" spans="1:8">
      <c r="A423" s="563" t="s">
        <v>944</v>
      </c>
      <c r="B423" s="562"/>
      <c r="C423" s="562"/>
      <c r="D423" s="562"/>
      <c r="E423" s="562"/>
      <c r="F423" s="562"/>
      <c r="G423" s="562"/>
      <c r="H423" s="562"/>
    </row>
    <row r="424" spans="1:8">
      <c r="A424" s="563" t="s">
        <v>945</v>
      </c>
      <c r="B424" s="562"/>
      <c r="C424" s="562"/>
      <c r="D424" s="562"/>
      <c r="E424" s="562"/>
      <c r="F424" s="562"/>
      <c r="G424" s="562"/>
      <c r="H424" s="562"/>
    </row>
    <row r="425" spans="1:8">
      <c r="A425" s="562"/>
      <c r="B425" s="562"/>
      <c r="C425" s="562"/>
      <c r="D425" s="562"/>
      <c r="E425" s="562"/>
      <c r="F425" s="562"/>
      <c r="G425" s="562"/>
      <c r="H425" s="562"/>
    </row>
    <row r="426" spans="1:8">
      <c r="A426" s="563" t="s">
        <v>946</v>
      </c>
      <c r="B426" s="562"/>
      <c r="C426" s="562"/>
      <c r="D426" s="562"/>
      <c r="E426" s="562"/>
      <c r="F426" s="562"/>
      <c r="G426" s="562"/>
      <c r="H426" s="562"/>
    </row>
    <row r="427" spans="1:8">
      <c r="A427" s="563" t="s">
        <v>947</v>
      </c>
      <c r="B427" s="562"/>
      <c r="C427" s="562"/>
      <c r="D427" s="562"/>
      <c r="E427" s="562"/>
      <c r="F427" s="562"/>
      <c r="G427" s="562"/>
      <c r="H427" s="562"/>
    </row>
    <row r="428" spans="1:8">
      <c r="A428" s="563" t="s">
        <v>948</v>
      </c>
      <c r="B428" s="562"/>
      <c r="C428" s="562"/>
      <c r="D428" s="562"/>
      <c r="E428" s="562"/>
      <c r="F428" s="562"/>
      <c r="G428" s="562"/>
      <c r="H428" s="562"/>
    </row>
    <row r="429" spans="1:8">
      <c r="A429" s="563" t="s">
        <v>949</v>
      </c>
      <c r="B429" s="562"/>
      <c r="C429" s="562"/>
      <c r="D429" s="562"/>
      <c r="E429" s="562"/>
      <c r="F429" s="562"/>
      <c r="G429" s="562"/>
      <c r="H429" s="562"/>
    </row>
    <row r="431" spans="1:8">
      <c r="A431" s="567" t="s">
        <v>950</v>
      </c>
    </row>
  </sheetData>
  <mergeCells count="3">
    <mergeCell ref="B132:C132"/>
    <mergeCell ref="D132:F132"/>
    <mergeCell ref="G132:H1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3D47A-335C-45C8-9320-D0CB12EB9C39}">
  <sheetPr codeName="Sheet5">
    <tabColor rgb="FF00B0F0"/>
  </sheetPr>
  <dimension ref="B2:T5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4" sqref="C4:P51"/>
    </sheetView>
  </sheetViews>
  <sheetFormatPr defaultColWidth="9.140625" defaultRowHeight="11.25" outlineLevelCol="1"/>
  <cols>
    <col min="1" max="1" width="1.42578125" style="3" customWidth="1"/>
    <col min="2" max="2" width="15.85546875" style="1" customWidth="1"/>
    <col min="3" max="3" width="18.85546875" style="3" customWidth="1"/>
    <col min="4" max="4" width="7.5703125" style="3" hidden="1" customWidth="1" outlineLevel="1"/>
    <col min="5" max="5" width="7.5703125" style="3" customWidth="1" collapsed="1"/>
    <col min="6" max="9" width="7.5703125" style="3" customWidth="1"/>
    <col min="10" max="10" width="2.42578125" style="3" customWidth="1"/>
    <col min="11" max="11" width="18.85546875" style="3" customWidth="1"/>
    <col min="12" max="16" width="7.5703125" style="3" customWidth="1"/>
    <col min="17" max="18" width="9.140625" style="3"/>
    <col min="19" max="20" width="9.140625" style="1"/>
    <col min="21" max="16384" width="9.140625" style="3"/>
  </cols>
  <sheetData>
    <row r="2" spans="2:19">
      <c r="C2" s="2" t="s">
        <v>0</v>
      </c>
    </row>
    <row r="3" spans="2:19">
      <c r="E3" s="4">
        <f>E7-SUM(E9:E13)</f>
        <v>0.56900000000001683</v>
      </c>
      <c r="F3" s="4">
        <f>F7-SUM(F9:F13)</f>
        <v>0.75999999999993406</v>
      </c>
      <c r="G3" s="4">
        <f>G7-SUM(G9:G13)</f>
        <v>0</v>
      </c>
      <c r="H3" s="4">
        <f>H7-SUM(H9:H13)</f>
        <v>0</v>
      </c>
      <c r="I3" s="4">
        <f>I7-SUM(I9:I13)</f>
        <v>0</v>
      </c>
    </row>
    <row r="4" spans="2:19">
      <c r="C4" s="5" t="s">
        <v>1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7"/>
      <c r="K4" s="8" t="s">
        <v>8</v>
      </c>
      <c r="L4" s="6" t="s">
        <v>9</v>
      </c>
      <c r="M4" s="6" t="s">
        <v>10</v>
      </c>
      <c r="N4" s="6" t="s">
        <v>452</v>
      </c>
      <c r="O4" s="6" t="s">
        <v>11</v>
      </c>
      <c r="P4" s="6" t="s">
        <v>12</v>
      </c>
    </row>
    <row r="5" spans="2:19">
      <c r="B5" s="1" t="s">
        <v>13</v>
      </c>
      <c r="C5" s="2" t="s">
        <v>14</v>
      </c>
      <c r="D5" s="9">
        <f>+VLOOKUP($B5,Segment!$1:$1048576,MATCH('Fin Sum'!D$4,Segment!$2:$2,FALSE),FALSE)</f>
        <v>160.096</v>
      </c>
      <c r="E5" s="9">
        <f>+VLOOKUP($B5,Segment!$1:$1048576,MATCH('Fin Sum'!E$4,Segment!$2:$2,FALSE),FALSE)</f>
        <v>332.97799999999995</v>
      </c>
      <c r="F5" s="9">
        <f>+VLOOKUP($B5,Segment!$1:$1048576,MATCH('Fin Sum'!F$4,Segment!$2:$2,FALSE),FALSE)</f>
        <v>516.55100000000004</v>
      </c>
      <c r="G5" s="9">
        <f>+VLOOKUP($B5,Segment!$1:$1048576,MATCH('Fin Sum'!G$4,Segment!$2:$2,FALSE),FALSE)</f>
        <v>804.40092093839905</v>
      </c>
      <c r="H5" s="9">
        <f>+VLOOKUP($B5,Segment!$1:$1048576,MATCH('Fin Sum'!H$4,Segment!$2:$2,FALSE),FALSE)</f>
        <v>907.57092833825106</v>
      </c>
      <c r="I5" s="9">
        <f>+VLOOKUP($B5,Segment!$1:$1048576,MATCH('Fin Sum'!I$4,Segment!$2:$2,FALSE),FALSE)</f>
        <v>1024.4944594516858</v>
      </c>
      <c r="J5" s="10"/>
      <c r="K5" s="11" t="s">
        <v>14</v>
      </c>
      <c r="L5" s="12">
        <f>+VLOOKUP($S5,Segment!$1:$1048576,MATCH('Fin Sum'!L$4,Segment!$2:$2,FALSE),FALSE)</f>
        <v>239.61099999999999</v>
      </c>
      <c r="M5" s="12">
        <f>+VLOOKUP($S5,Segment!$1:$1048576,MATCH('Fin Sum'!M$4,Segment!$2:$2,FALSE),FALSE)</f>
        <v>276.94</v>
      </c>
      <c r="N5" s="12">
        <f>+VLOOKUP($S5,Segment!$1:$1048576,MATCH('Fin Sum'!N$4,Segment!$2:$2,FALSE),FALSE)</f>
        <v>390.35900000000004</v>
      </c>
      <c r="O5" s="12">
        <f>+VLOOKUP($S5,Segment!$1:$1048576,MATCH('Fin Sum'!O$4,Segment!$2:$2,FALSE),FALSE)</f>
        <v>414.04192093839913</v>
      </c>
      <c r="P5" s="12">
        <f>+VLOOKUP($S5,Segment!$1:$1048576,MATCH('Fin Sum'!P$4,Segment!$2:$2,FALSE),FALSE)</f>
        <v>443.1688962706566</v>
      </c>
      <c r="S5" s="1" t="s">
        <v>13</v>
      </c>
    </row>
    <row r="6" spans="2:19">
      <c r="C6" s="13" t="s">
        <v>15</v>
      </c>
      <c r="D6" s="14"/>
      <c r="E6" s="14">
        <f>+E5/D5-1</f>
        <v>1.0798645812512491</v>
      </c>
      <c r="F6" s="14">
        <f>+F5/E5-1</f>
        <v>0.55130669293466861</v>
      </c>
      <c r="G6" s="14">
        <f>+G5/F5-1</f>
        <v>0.55725363214551704</v>
      </c>
      <c r="H6" s="14">
        <f>+H5/G5-1</f>
        <v>0.12825694838774648</v>
      </c>
      <c r="I6" s="14">
        <f>+I5/H5-1</f>
        <v>0.12883128740970129</v>
      </c>
      <c r="J6" s="10"/>
      <c r="K6" s="11" t="s">
        <v>16</v>
      </c>
      <c r="L6" s="12">
        <f>+VLOOKUP($S6,Segment!$1:$1048576,MATCH('Fin Sum'!L$4,Segment!$2:$2,FALSE),FALSE)</f>
        <v>157.19599999999997</v>
      </c>
      <c r="M6" s="12">
        <f>+VLOOKUP($S6,Segment!$1:$1048576,MATCH('Fin Sum'!M$4,Segment!$2:$2,FALSE),FALSE)</f>
        <v>178.96699999999998</v>
      </c>
      <c r="N6" s="12">
        <f>+VLOOKUP($S6,Segment!$1:$1048576,MATCH('Fin Sum'!N$4,Segment!$2:$2,FALSE),FALSE)</f>
        <v>208.62300000000005</v>
      </c>
      <c r="O6" s="12">
        <f>+VLOOKUP($S6,Segment!$1:$1048576,MATCH('Fin Sum'!O$4,Segment!$2:$2,FALSE),FALSE)</f>
        <v>217.95022047734645</v>
      </c>
      <c r="P6" s="12">
        <f>+VLOOKUP($S6,Segment!$1:$1048576,MATCH('Fin Sum'!P$4,Segment!$2:$2,FALSE),FALSE)</f>
        <v>232.11234618989971</v>
      </c>
      <c r="S6" s="1" t="s">
        <v>17</v>
      </c>
    </row>
    <row r="7" spans="2:19">
      <c r="B7" s="1" t="s">
        <v>17</v>
      </c>
      <c r="C7" s="2" t="s">
        <v>16</v>
      </c>
      <c r="D7" s="15">
        <f>+VLOOKUP($B7,Segment!$1:$1048576,MATCH('Fin Sum'!D$4,Segment!$2:$2,FALSE),FALSE)</f>
        <v>94.926000000000002</v>
      </c>
      <c r="E7" s="15">
        <f>+VLOOKUP($B7,Segment!$1:$1048576,MATCH('Fin Sum'!E$4,Segment!$2:$2,FALSE),FALSE)</f>
        <v>209.57099999999997</v>
      </c>
      <c r="F7" s="15">
        <f>+VLOOKUP($B7,Segment!$1:$1048576,MATCH('Fin Sum'!F$4,Segment!$2:$2,FALSE),FALSE)</f>
        <v>336.16300000000001</v>
      </c>
      <c r="G7" s="15">
        <f>+VLOOKUP($B7,Segment!$1:$1048576,MATCH('Fin Sum'!G$4,Segment!$2:$2,FALSE),FALSE)</f>
        <v>426.57322047734635</v>
      </c>
      <c r="H7" s="15">
        <f>+VLOOKUP($B7,Segment!$1:$1048576,MATCH('Fin Sum'!H$4,Segment!$2:$2,FALSE),FALSE)</f>
        <v>477.8138992898397</v>
      </c>
      <c r="I7" s="15">
        <f>+VLOOKUP($B7,Segment!$1:$1048576,MATCH('Fin Sum'!I$4,Segment!$2:$2,FALSE),FALSE)</f>
        <v>555.60262905462275</v>
      </c>
      <c r="J7" s="11"/>
      <c r="K7" s="11" t="s">
        <v>18</v>
      </c>
      <c r="L7" s="12">
        <f>+VLOOKUP($S7,Segment!$1:$1048576,MATCH('Fin Sum'!L$4,Segment!$2:$2,FALSE),FALSE)</f>
        <v>35.012</v>
      </c>
      <c r="M7" s="12">
        <f>+VLOOKUP($S7,Segment!$1:$1048576,MATCH('Fin Sum'!M$4,Segment!$2:$2,FALSE),FALSE)</f>
        <v>27.816000000000003</v>
      </c>
      <c r="N7" s="12">
        <f>+VLOOKUP($S7,Segment!$1:$1048576,MATCH('Fin Sum'!N$4,Segment!$2:$2,FALSE),FALSE)</f>
        <v>11.495000000000061</v>
      </c>
      <c r="O7" s="12">
        <f>+VLOOKUP($S7,Segment!$1:$1048576,MATCH('Fin Sum'!O$4,Segment!$2:$2,FALSE),FALSE)</f>
        <v>12.560903459738824</v>
      </c>
      <c r="P7" s="12">
        <f>+VLOOKUP($S7,Segment!$1:$1048576,MATCH('Fin Sum'!P$4,Segment!$2:$2,FALSE),FALSE)</f>
        <v>15.580014365489262</v>
      </c>
      <c r="S7" s="1" t="s">
        <v>19</v>
      </c>
    </row>
    <row r="8" spans="2:19">
      <c r="C8" s="13" t="s">
        <v>20</v>
      </c>
      <c r="D8" s="14">
        <f t="shared" ref="D8" si="0">+D7/D5</f>
        <v>0.59293174095542678</v>
      </c>
      <c r="E8" s="14">
        <f>+E7/E5</f>
        <v>0.6293839232621975</v>
      </c>
      <c r="F8" s="14">
        <f>+F7/F5</f>
        <v>0.65078375610539907</v>
      </c>
      <c r="G8" s="14">
        <f>+G7/G5</f>
        <v>0.53029926915015713</v>
      </c>
      <c r="H8" s="14">
        <f>+H7/H5</f>
        <v>0.52647554518379058</v>
      </c>
      <c r="I8" s="14">
        <f>+I7/I5</f>
        <v>0.54231882264349573</v>
      </c>
      <c r="J8" s="11"/>
      <c r="K8" s="11" t="s">
        <v>21</v>
      </c>
      <c r="L8" s="12">
        <f>+VLOOKUP($S8,Segment!$1:$1048576,MATCH('Fin Sum'!L$4,Segment!$2:$2,FALSE),FALSE)</f>
        <v>19.590999999999998</v>
      </c>
      <c r="M8" s="12">
        <f>+VLOOKUP($S8,Segment!$1:$1048576,MATCH('Fin Sum'!M$4,Segment!$2:$2,FALSE),FALSE)</f>
        <v>14.094000000000005</v>
      </c>
      <c r="N8" s="12">
        <f>+VLOOKUP($S8,Segment!$1:$1048576,MATCH('Fin Sum'!N$4,Segment!$2:$2,FALSE),FALSE)</f>
        <v>-2.2919999999999381</v>
      </c>
      <c r="O8" s="12">
        <f>+VLOOKUP($S8,Segment!$1:$1048576,MATCH('Fin Sum'!O$4,Segment!$2:$2,FALSE),FALSE)</f>
        <v>-5.4192889413725398</v>
      </c>
      <c r="P8" s="12">
        <f>+VLOOKUP($S8,Segment!$1:$1048576,MATCH('Fin Sum'!P$4,Segment!$2:$2,FALSE),FALSE)</f>
        <v>1.1802668155753155</v>
      </c>
      <c r="S8" s="1" t="s">
        <v>22</v>
      </c>
    </row>
    <row r="9" spans="2:19">
      <c r="B9" s="1" t="s">
        <v>23</v>
      </c>
      <c r="C9" s="11" t="s">
        <v>24</v>
      </c>
      <c r="D9" s="12">
        <f>+VLOOKUP($B9,Segment!$1:$1048576,MATCH('Fin Sum'!D$4,Segment!$2:$2,FALSE),FALSE)</f>
        <v>81.007999999999996</v>
      </c>
      <c r="E9" s="12">
        <f>+VLOOKUP($B9,Segment!$1:$1048576,MATCH('Fin Sum'!E$4,Segment!$2:$2,FALSE),FALSE)</f>
        <v>85.314999999999998</v>
      </c>
      <c r="F9" s="12">
        <f>+VLOOKUP($B9,Segment!$1:$1048576,MATCH('Fin Sum'!F$4,Segment!$2:$2,FALSE),FALSE)</f>
        <v>127.92999999999999</v>
      </c>
      <c r="G9" s="12">
        <f>+VLOOKUP($B9,Segment!$1:$1048576,MATCH('Fin Sum'!G$4,Segment!$2:$2,FALSE),FALSE)</f>
        <v>160.05099999999999</v>
      </c>
      <c r="H9" s="12">
        <f>+VLOOKUP($B9,Segment!$1:$1048576,MATCH('Fin Sum'!H$4,Segment!$2:$2,FALSE),FALSE)</f>
        <v>178</v>
      </c>
      <c r="I9" s="12">
        <f>+VLOOKUP($B9,Segment!$1:$1048576,MATCH('Fin Sum'!I$4,Segment!$2:$2,FALSE),FALSE)</f>
        <v>204.89889189033715</v>
      </c>
      <c r="J9" s="16"/>
      <c r="K9" s="17" t="s">
        <v>25</v>
      </c>
      <c r="L9" s="18">
        <f>+L7/L5</f>
        <v>0.14612016977517728</v>
      </c>
      <c r="M9" s="18">
        <f>+M7/M5</f>
        <v>0.10044052863436125</v>
      </c>
      <c r="N9" s="18">
        <f>+N7/N5</f>
        <v>2.9447252400995137E-2</v>
      </c>
      <c r="O9" s="18">
        <f>+O7/O5</f>
        <v>3.0337274620092461E-2</v>
      </c>
      <c r="P9" s="18">
        <f>+P7/P5</f>
        <v>3.5155929255409835E-2</v>
      </c>
    </row>
    <row r="10" spans="2:19">
      <c r="B10" s="1" t="s">
        <v>26</v>
      </c>
      <c r="C10" s="11" t="s">
        <v>27</v>
      </c>
      <c r="D10" s="12">
        <f>+VLOOKUP($B10,Segment!$1:$1048576,MATCH('Fin Sum'!D$4,Segment!$2:$2,FALSE),FALSE)</f>
        <v>37.97</v>
      </c>
      <c r="E10" s="12">
        <f>+VLOOKUP($B10,Segment!$1:$1048576,MATCH('Fin Sum'!E$4,Segment!$2:$2,FALSE),FALSE)</f>
        <v>33.463999999999999</v>
      </c>
      <c r="F10" s="12">
        <f>+VLOOKUP($B10,Segment!$1:$1048576,MATCH('Fin Sum'!F$4,Segment!$2:$2,FALSE),FALSE)</f>
        <v>55.952999999999996</v>
      </c>
      <c r="G10" s="12">
        <f>+VLOOKUP($B10,Segment!$1:$1048576,MATCH('Fin Sum'!G$4,Segment!$2:$2,FALSE),FALSE)</f>
        <v>99.456561644003799</v>
      </c>
      <c r="H10" s="12">
        <f>+VLOOKUP($B10,Segment!$1:$1048576,MATCH('Fin Sum'!H$4,Segment!$2:$2,FALSE),FALSE)</f>
        <v>111.88361268786198</v>
      </c>
      <c r="I10" s="12">
        <f>+VLOOKUP($B10,Segment!$1:$1048576,MATCH('Fin Sum'!I$4,Segment!$2:$2,FALSE),FALSE)</f>
        <v>125.8265484986255</v>
      </c>
      <c r="K10" s="19" t="s">
        <v>28</v>
      </c>
      <c r="L10" s="18">
        <f>+L5/$F$5</f>
        <v>0.4638670721768034</v>
      </c>
      <c r="M10" s="18">
        <f>+M5/$F$5</f>
        <v>0.53613292782319655</v>
      </c>
      <c r="N10" s="18">
        <f>+N5/$G$5</f>
        <v>0.48527915600172927</v>
      </c>
      <c r="O10" s="18">
        <f>+O5/$G$5</f>
        <v>0.51472084399827089</v>
      </c>
      <c r="P10" s="18">
        <f>+P5/$H$5</f>
        <v>0.48830221686595038</v>
      </c>
    </row>
    <row r="11" spans="2:19">
      <c r="B11" s="1" t="s">
        <v>29</v>
      </c>
      <c r="C11" s="11" t="s">
        <v>30</v>
      </c>
      <c r="D11" s="12">
        <f>+VLOOKUP($B11,Segment!$1:$1048576,MATCH('Fin Sum'!D$4,Segment!$2:$2,FALSE),FALSE)</f>
        <v>0</v>
      </c>
      <c r="E11" s="12">
        <f>+VLOOKUP($B11,Segment!$1:$1048576,MATCH('Fin Sum'!E$4,Segment!$2:$2,FALSE),FALSE)</f>
        <v>6.2509999999999994</v>
      </c>
      <c r="F11" s="12">
        <f>+VLOOKUP($B11,Segment!$1:$1048576,MATCH('Fin Sum'!F$4,Segment!$2:$2,FALSE),FALSE)</f>
        <v>16.670000000000002</v>
      </c>
      <c r="G11" s="12">
        <f>+VLOOKUP($B11,Segment!$1:$1048576,MATCH('Fin Sum'!G$4,Segment!$2:$2,FALSE),FALSE)</f>
        <v>39.551096046919959</v>
      </c>
      <c r="H11" s="12">
        <f>+VLOOKUP($B11,Segment!$1:$1048576,MATCH('Fin Sum'!H$4,Segment!$2:$2,FALSE),FALSE)</f>
        <v>45.378546416912556</v>
      </c>
      <c r="I11" s="12">
        <f>+VLOOKUP($B11,Segment!$1:$1048576,MATCH('Fin Sum'!I$4,Segment!$2:$2,FALSE),FALSE)</f>
        <v>51.224722972584289</v>
      </c>
      <c r="K11" s="19" t="s">
        <v>31</v>
      </c>
      <c r="L11" s="18">
        <f>+L7/$F$13</f>
        <v>0.56409099697106324</v>
      </c>
      <c r="M11" s="18">
        <f>+M7/$F$13</f>
        <v>0.44815363794547858</v>
      </c>
      <c r="N11" s="18">
        <f>+N7/$G$13</f>
        <v>0.47784528314385399</v>
      </c>
      <c r="O11" s="18">
        <f>+O7/$G$13</f>
        <v>0.52215471685615322</v>
      </c>
      <c r="P11" s="18">
        <f>+P7/$H$13</f>
        <v>0.48136421759070686</v>
      </c>
    </row>
    <row r="12" spans="2:19">
      <c r="B12" s="1" t="s">
        <v>32</v>
      </c>
      <c r="C12" s="20" t="s">
        <v>33</v>
      </c>
      <c r="D12" s="21">
        <f>+VLOOKUP($B12,Segment!$1:$1048576,MATCH('Fin Sum'!D$4,Segment!$2:$2,FALSE),FALSE)</f>
        <v>49.128</v>
      </c>
      <c r="E12" s="21">
        <f>+VLOOKUP($B12,Segment!$1:$1048576,MATCH('Fin Sum'!E$4,Segment!$2:$2,FALSE),FALSE)</f>
        <v>49.098999999999997</v>
      </c>
      <c r="F12" s="21">
        <f>+VLOOKUP($B12,Segment!$1:$1048576,MATCH('Fin Sum'!F$4,Segment!$2:$2,FALSE),FALSE)</f>
        <v>72.781999999999996</v>
      </c>
      <c r="G12" s="21">
        <f>+VLOOKUP($B12,Segment!$1:$1048576,MATCH('Fin Sum'!G$4,Segment!$2:$2,FALSE),FALSE)</f>
        <v>103.45865932668389</v>
      </c>
      <c r="H12" s="21">
        <f>+VLOOKUP($B12,Segment!$1:$1048576,MATCH('Fin Sum'!H$4,Segment!$2:$2,FALSE),FALSE)</f>
        <v>110.18536604228137</v>
      </c>
      <c r="I12" s="21">
        <f>+VLOOKUP($B12,Segment!$1:$1048576,MATCH('Fin Sum'!I$4,Segment!$2:$2,FALSE),FALSE)</f>
        <v>124.6377574314607</v>
      </c>
    </row>
    <row r="13" spans="2:19">
      <c r="B13" s="1" t="s">
        <v>34</v>
      </c>
      <c r="C13" s="2" t="s">
        <v>18</v>
      </c>
      <c r="D13" s="15">
        <f>+VLOOKUP($B13,Segment!$1:$1048576,MATCH('Fin Sum'!D$4,Segment!$2:$2,FALSE),FALSE)</f>
        <v>-73.180000000000007</v>
      </c>
      <c r="E13" s="15">
        <f>+VLOOKUP($B13,Segment!$1:$1048576,MATCH('Fin Sum'!E$4,Segment!$2:$2,FALSE),FALSE)</f>
        <v>34.872999999999948</v>
      </c>
      <c r="F13" s="15">
        <f>+VLOOKUP($B13,Segment!$1:$1048576,MATCH('Fin Sum'!F$4,Segment!$2:$2,FALSE),FALSE)</f>
        <v>62.068000000000083</v>
      </c>
      <c r="G13" s="15">
        <f>+VLOOKUP($B13,Segment!$1:$1048576,MATCH('Fin Sum'!G$4,Segment!$2:$2,FALSE),FALSE)</f>
        <v>24.055903459738712</v>
      </c>
      <c r="H13" s="15">
        <f>+VLOOKUP($B13,Segment!$1:$1048576,MATCH('Fin Sum'!H$4,Segment!$2:$2,FALSE),FALSE)</f>
        <v>32.366374142783911</v>
      </c>
      <c r="I13" s="15">
        <f>+VLOOKUP($B13,Segment!$1:$1048576,MATCH('Fin Sum'!I$4,Segment!$2:$2,FALSE),FALSE)</f>
        <v>49.014708261615063</v>
      </c>
      <c r="J13" s="22"/>
      <c r="K13" s="8" t="s">
        <v>35</v>
      </c>
      <c r="L13" s="6" t="s">
        <v>3</v>
      </c>
      <c r="M13" s="6" t="s">
        <v>4</v>
      </c>
      <c r="N13" s="6" t="s">
        <v>5</v>
      </c>
      <c r="O13" s="6" t="s">
        <v>6</v>
      </c>
      <c r="P13" s="6" t="s">
        <v>7</v>
      </c>
    </row>
    <row r="14" spans="2:19">
      <c r="C14" s="17" t="s">
        <v>36</v>
      </c>
      <c r="D14" s="23">
        <f t="shared" ref="D14" si="1">+D13/D5</f>
        <v>-0.45710073955626629</v>
      </c>
      <c r="E14" s="23">
        <f>+E13/E5</f>
        <v>0.10473064286529427</v>
      </c>
      <c r="F14" s="23">
        <f>+F13/F5</f>
        <v>0.1201585129057926</v>
      </c>
      <c r="G14" s="23">
        <f>+G13/G5</f>
        <v>2.9905365388785913E-2</v>
      </c>
      <c r="H14" s="23">
        <f>+H13/H5</f>
        <v>3.5662638733973399E-2</v>
      </c>
      <c r="I14" s="23">
        <f>+I13/I5</f>
        <v>4.784282414552829E-2</v>
      </c>
      <c r="K14" s="11" t="s">
        <v>18</v>
      </c>
      <c r="L14" s="12">
        <f ca="1">+VLOOKUP($S14,Model!$B:$BG,MATCH('Fin Sum'!L$32,Model!$B$4:$BG$4,FALSE),FALSE)</f>
        <v>34.872999999999948</v>
      </c>
      <c r="M14" s="12">
        <f ca="1">+VLOOKUP($S14,Model!$B:$BG,MATCH('Fin Sum'!M$32,Model!$B$4:$BG$4,FALSE),FALSE)</f>
        <v>62.068000000000083</v>
      </c>
      <c r="N14" s="12">
        <f ca="1">+VLOOKUP($S14,Model!$B:$BG,MATCH('Fin Sum'!N$32,Model!$B$4:$BG$4,FALSE),FALSE)</f>
        <v>24.055903459738712</v>
      </c>
      <c r="O14" s="12">
        <f ca="1">+VLOOKUP($S14,Model!$B:$BG,MATCH('Fin Sum'!O$32,Model!$B$4:$BG$4,FALSE),FALSE)</f>
        <v>32.366374142783911</v>
      </c>
      <c r="P14" s="12">
        <f ca="1">+VLOOKUP($S14,Model!$B:$BG,MATCH('Fin Sum'!P$32,Model!$B$4:$BG$4,FALSE),FALSE)</f>
        <v>49.014708261615063</v>
      </c>
      <c r="S14" s="1" t="s">
        <v>18</v>
      </c>
    </row>
    <row r="15" spans="2:19">
      <c r="B15" s="1" t="s">
        <v>37</v>
      </c>
      <c r="C15" s="2" t="s">
        <v>38</v>
      </c>
      <c r="D15" s="15">
        <f>+VLOOKUP($B15,Segment!$1:$1048576,MATCH('Fin Sum'!D$4,Segment!$2:$2,FALSE),FALSE)</f>
        <v>-67.801000000000002</v>
      </c>
      <c r="E15" s="15">
        <f>+VLOOKUP($B15,Segment!$1:$1048576,MATCH('Fin Sum'!E$4,Segment!$2:$2,FALSE),FALSE)</f>
        <v>39.357999999999947</v>
      </c>
      <c r="F15" s="15">
        <f>+VLOOKUP($B15,Segment!$1:$1048576,MATCH('Fin Sum'!F$4,Segment!$2:$2,FALSE),FALSE)</f>
        <v>67.363000000000085</v>
      </c>
      <c r="G15" s="15">
        <f>+VLOOKUP($B15,Segment!$1:$1048576,MATCH('Fin Sum'!G$4,Segment!$2:$2,FALSE),FALSE)</f>
        <v>43.99195148319869</v>
      </c>
      <c r="H15" s="15">
        <f>+VLOOKUP($B15,Segment!$1:$1048576,MATCH('Fin Sum'!H$4,Segment!$2:$2,FALSE),FALSE)</f>
        <v>55.055647351240182</v>
      </c>
      <c r="I15" s="15">
        <f>+VLOOKUP($B15,Segment!$1:$1048576,MATCH('Fin Sum'!I$4,Segment!$2:$2,FALSE),FALSE)</f>
        <v>74.6270697479072</v>
      </c>
      <c r="J15" s="11"/>
      <c r="K15" s="11" t="s">
        <v>39</v>
      </c>
      <c r="L15" s="12">
        <f ca="1">+VLOOKUP($S15,Model!$B:$BG,MATCH('Fin Sum'!L$32,Model!$B$4:$BG$4,FALSE),FALSE)</f>
        <v>4.4850000000000003</v>
      </c>
      <c r="M15" s="12">
        <f ca="1">+VLOOKUP($S15,Model!$B:$BG,MATCH('Fin Sum'!M$32,Model!$B$4:$BG$4,FALSE),FALSE)</f>
        <v>5.2949999999999999</v>
      </c>
      <c r="N15" s="12">
        <f ca="1">+VLOOKUP($S15,Model!$B:$BG,MATCH('Fin Sum'!N$32,Model!$B$4:$BG$4,FALSE),FALSE)</f>
        <v>19.936048023459978</v>
      </c>
      <c r="O15" s="12">
        <f ca="1">+VLOOKUP($S15,Model!$B:$BG,MATCH('Fin Sum'!O$32,Model!$B$4:$BG$4,FALSE),FALSE)</f>
        <v>22.689273208456274</v>
      </c>
      <c r="P15" s="12">
        <f ca="1">+VLOOKUP($S15,Model!$B:$BG,MATCH('Fin Sum'!P$32,Model!$B$4:$BG$4,FALSE),FALSE)</f>
        <v>25.612361486292137</v>
      </c>
      <c r="S15" s="1" t="s">
        <v>40</v>
      </c>
    </row>
    <row r="16" spans="2:19">
      <c r="B16" s="1" t="s">
        <v>41</v>
      </c>
      <c r="C16" s="11" t="s">
        <v>42</v>
      </c>
      <c r="D16" s="24">
        <f>+VLOOKUP($B16,Segment!$1:$1048576,MATCH('Fin Sum'!D$4,Segment!$2:$2,FALSE),FALSE)</f>
        <v>5.3789999999999996</v>
      </c>
      <c r="E16" s="24">
        <f>+VLOOKUP($B16,Segment!$1:$1048576,MATCH('Fin Sum'!E$4,Segment!$2:$2,FALSE),FALSE)</f>
        <v>4.4850000000000003</v>
      </c>
      <c r="F16" s="24">
        <f>+VLOOKUP($B16,Segment!$1:$1048576,MATCH('Fin Sum'!F$4,Segment!$2:$2,FALSE),FALSE)</f>
        <v>5.2949999999999999</v>
      </c>
      <c r="G16" s="24">
        <f>+VLOOKUP($B16,Segment!$1:$1048576,MATCH('Fin Sum'!G$4,Segment!$2:$2,FALSE),FALSE)</f>
        <v>19.936048023459978</v>
      </c>
      <c r="H16" s="24">
        <f>+VLOOKUP($B16,Segment!$1:$1048576,MATCH('Fin Sum'!H$4,Segment!$2:$2,FALSE),FALSE)</f>
        <v>22.689273208456274</v>
      </c>
      <c r="I16" s="24">
        <f>+VLOOKUP($B16,Segment!$1:$1048576,MATCH('Fin Sum'!I$4,Segment!$2:$2,FALSE),FALSE)</f>
        <v>25.612361486292137</v>
      </c>
      <c r="J16" s="11"/>
      <c r="K16" s="11" t="s">
        <v>43</v>
      </c>
      <c r="L16" s="12">
        <f ca="1">+VLOOKUP($S16,Model!$B:$BG,MATCH('Fin Sum'!L$32,Model!$B$4:$BG$4,FALSE),FALSE)</f>
        <v>0.68300000000000005</v>
      </c>
      <c r="M16" s="12">
        <f ca="1">+VLOOKUP($S16,Model!$B:$BG,MATCH('Fin Sum'!M$32,Model!$B$4:$BG$4,FALSE),FALSE)</f>
        <v>4.093</v>
      </c>
      <c r="N16" s="12">
        <f ca="1">+VLOOKUP($S16,Model!$B:$BG,MATCH('Fin Sum'!N$32,Model!$B$4:$BG$4,FALSE),FALSE)</f>
        <v>-21.915941291598358</v>
      </c>
      <c r="O16" s="12">
        <f ca="1">+VLOOKUP($S16,Model!$B:$BG,MATCH('Fin Sum'!O$32,Model!$B$4:$BG$4,FALSE),FALSE)</f>
        <v>-28.423615762765699</v>
      </c>
      <c r="P16" s="12">
        <f ca="1">+VLOOKUP($S16,Model!$B:$BG,MATCH('Fin Sum'!P$32,Model!$B$4:$BG$4,FALSE),FALSE)</f>
        <v>-25.293209520112114</v>
      </c>
      <c r="S16" s="1" t="s">
        <v>43</v>
      </c>
    </row>
    <row r="17" spans="2:20">
      <c r="B17" s="1" t="s">
        <v>44</v>
      </c>
      <c r="C17" s="11" t="s">
        <v>45</v>
      </c>
      <c r="D17" s="24">
        <f>+VLOOKUP($B17,Segment!$1:$1048576,MATCH('Fin Sum'!D$4,Segment!$2:$2,FALSE),FALSE)</f>
        <v>-18.748999999999999</v>
      </c>
      <c r="E17" s="24">
        <f>+VLOOKUP($B17,Segment!$1:$1048576,MATCH('Fin Sum'!E$4,Segment!$2:$2,FALSE),FALSE)</f>
        <v>-23.827000000000002</v>
      </c>
      <c r="F17" s="24">
        <f>+VLOOKUP($B17,Segment!$1:$1048576,MATCH('Fin Sum'!F$4,Segment!$2:$2,FALSE),FALSE)</f>
        <v>-6.891</v>
      </c>
      <c r="G17" s="24">
        <f>+VLOOKUP($B17,Segment!$1:$1048576,MATCH('Fin Sum'!G$4,Segment!$2:$2,FALSE),FALSE)</f>
        <v>0</v>
      </c>
      <c r="H17" s="24">
        <f>+VLOOKUP($B17,Segment!$1:$1048576,MATCH('Fin Sum'!H$4,Segment!$2:$2,FALSE),FALSE)</f>
        <v>0</v>
      </c>
      <c r="I17" s="24">
        <f>+VLOOKUP($B17,Segment!$1:$1048576,MATCH('Fin Sum'!I$4,Segment!$2:$2,FALSE),FALSE)</f>
        <v>0</v>
      </c>
      <c r="J17" s="11"/>
      <c r="K17" s="11" t="s">
        <v>46</v>
      </c>
      <c r="L17" s="12">
        <f ca="1">+VLOOKUP($S17,Model!$B:$BG,MATCH('Fin Sum'!L$32,Model!$B$4:$BG$4,FALSE),FALSE)</f>
        <v>-6.859</v>
      </c>
      <c r="M17" s="12">
        <f ca="1">+VLOOKUP($S17,Model!$B:$BG,MATCH('Fin Sum'!M$32,Model!$B$4:$BG$4,FALSE),FALSE)</f>
        <v>-2.0329999999999999</v>
      </c>
      <c r="N17" s="12">
        <f ca="1">+VLOOKUP($S17,Model!$B:$BG,MATCH('Fin Sum'!N$32,Model!$B$4:$BG$4,FALSE),FALSE)</f>
        <v>-5.0217488904869896</v>
      </c>
      <c r="O17" s="12">
        <f ca="1">+VLOOKUP($S17,Model!$B:$BG,MATCH('Fin Sum'!O$32,Model!$B$4:$BG$4,FALSE),FALSE)</f>
        <v>-0.92654821930424003</v>
      </c>
      <c r="P17" s="12">
        <f ca="1">+VLOOKUP($S17,Model!$B:$BG,MATCH('Fin Sum'!P$32,Model!$B$4:$BG$4,FALSE),FALSE)</f>
        <v>-5.5745522042531634</v>
      </c>
      <c r="S17" s="1" t="s">
        <v>46</v>
      </c>
    </row>
    <row r="18" spans="2:20">
      <c r="B18" s="1" t="s">
        <v>47</v>
      </c>
      <c r="C18" s="20" t="s">
        <v>48</v>
      </c>
      <c r="D18" s="25">
        <f>+VLOOKUP($B18,Segment!$1:$1048576,MATCH('Fin Sum'!D$4,Segment!$2:$2,FALSE),FALSE)</f>
        <v>6.6919999999999993</v>
      </c>
      <c r="E18" s="25">
        <f>+VLOOKUP($B18,Segment!$1:$1048576,MATCH('Fin Sum'!E$4,Segment!$2:$2,FALSE),FALSE)</f>
        <v>8.4140000000000015</v>
      </c>
      <c r="F18" s="25">
        <f>+VLOOKUP($B18,Segment!$1:$1048576,MATCH('Fin Sum'!F$4,Segment!$2:$2,FALSE),FALSE)</f>
        <v>17.262</v>
      </c>
      <c r="G18" s="25">
        <f>+VLOOKUP($B18,Segment!$1:$1048576,MATCH('Fin Sum'!G$4,Segment!$2:$2,FALSE),FALSE)</f>
        <v>34.870941291598356</v>
      </c>
      <c r="H18" s="25">
        <f>+VLOOKUP($B18,Segment!$1:$1048576,MATCH('Fin Sum'!H$4,Segment!$2:$2,FALSE),FALSE)</f>
        <v>28.423615762765699</v>
      </c>
      <c r="I18" s="25">
        <f>+VLOOKUP($B18,Segment!$1:$1048576,MATCH('Fin Sum'!I$4,Segment!$2:$2,FALSE),FALSE)</f>
        <v>25.293209520112114</v>
      </c>
      <c r="J18" s="11"/>
      <c r="K18" s="26" t="s">
        <v>49</v>
      </c>
      <c r="L18" s="12">
        <f ca="1">+VLOOKUP($S18,Model!$B:$BG,MATCH('Fin Sum'!L$32,Model!$B$4:$BG$4,FALSE),FALSE)</f>
        <v>-12.677</v>
      </c>
      <c r="M18" s="12">
        <f ca="1">+VLOOKUP($S18,Model!$B:$BG,MATCH('Fin Sum'!M$32,Model!$B$4:$BG$4,FALSE),FALSE)</f>
        <v>-23.265999999999998</v>
      </c>
      <c r="N18" s="12">
        <f ca="1">+VLOOKUP($S18,Model!$B:$BG,MATCH('Fin Sum'!N$32,Model!$B$4:$BG$4,FALSE),FALSE)</f>
        <v>-16.823032232843964</v>
      </c>
      <c r="O18" s="12">
        <f ca="1">+VLOOKUP($S18,Model!$B:$BG,MATCH('Fin Sum'!O$32,Model!$B$4:$BG$4,FALSE),FALSE)</f>
        <v>-3.610950258994805</v>
      </c>
      <c r="P18" s="12">
        <f ca="1">+VLOOKUP($S18,Model!$B:$BG,MATCH('Fin Sum'!P$32,Model!$B$4:$BG$4,FALSE),FALSE)</f>
        <v>-4.092323588970217</v>
      </c>
      <c r="S18" s="1" t="s">
        <v>50</v>
      </c>
    </row>
    <row r="19" spans="2:20">
      <c r="C19" s="2" t="s">
        <v>51</v>
      </c>
      <c r="D19" s="15">
        <f t="shared" ref="D19" si="2">+D15-D16+D17-D18</f>
        <v>-98.620999999999995</v>
      </c>
      <c r="E19" s="15">
        <f>+E15-E16+E17-E18</f>
        <v>2.6319999999999446</v>
      </c>
      <c r="F19" s="15">
        <f>+F15-F16+F17-F18</f>
        <v>37.915000000000084</v>
      </c>
      <c r="G19" s="15">
        <f>+G15-G16+G17-G18</f>
        <v>-10.815037831859645</v>
      </c>
      <c r="H19" s="15">
        <f>+H15-H16+H17-H18</f>
        <v>3.942758380018212</v>
      </c>
      <c r="I19" s="15">
        <f>+I15-I16+I17-I18</f>
        <v>23.721498741502948</v>
      </c>
      <c r="J19" s="11"/>
      <c r="K19" s="20" t="s">
        <v>52</v>
      </c>
      <c r="L19" s="21">
        <f ca="1">+L20-SUM(L14:L18)</f>
        <v>-6.231999999999946</v>
      </c>
      <c r="M19" s="21">
        <f t="shared" ref="M19:P19" ca="1" si="3">+M20-SUM(M14:M18)</f>
        <v>-18.66700000000009</v>
      </c>
      <c r="N19" s="21">
        <f t="shared" ca="1" si="3"/>
        <v>-51.699999999999825</v>
      </c>
      <c r="O19" s="21">
        <f t="shared" ca="1" si="3"/>
        <v>-36.090505775560658</v>
      </c>
      <c r="P19" s="21">
        <f t="shared" ca="1" si="3"/>
        <v>0</v>
      </c>
    </row>
    <row r="20" spans="2:20">
      <c r="B20" s="1" t="s">
        <v>53</v>
      </c>
      <c r="C20" s="20" t="s">
        <v>54</v>
      </c>
      <c r="D20" s="25">
        <f>+VLOOKUP($B20,Segment!$1:$1048576,MATCH('Fin Sum'!D$4,Segment!$2:$2,FALSE),FALSE)</f>
        <v>5.4569999999999999</v>
      </c>
      <c r="E20" s="25">
        <f>+VLOOKUP($B20,Segment!$1:$1048576,MATCH('Fin Sum'!E$4,Segment!$2:$2,FALSE),FALSE)</f>
        <v>-1.6140000000000001</v>
      </c>
      <c r="F20" s="25">
        <f>+VLOOKUP($B20,Segment!$1:$1048576,MATCH('Fin Sum'!F$4,Segment!$2:$2,FALSE),FALSE)</f>
        <v>4.2300000000000004</v>
      </c>
      <c r="G20" s="25">
        <f>+VLOOKUP($B20,Segment!$1:$1048576,MATCH('Fin Sum'!G$4,Segment!$2:$2,FALSE),FALSE)</f>
        <v>-4.208748890486989</v>
      </c>
      <c r="H20" s="25">
        <f>+VLOOKUP($B20,Segment!$1:$1048576,MATCH('Fin Sum'!H$4,Segment!$2:$2,FALSE),FALSE)</f>
        <v>0.92654821930424003</v>
      </c>
      <c r="I20" s="25">
        <f>+VLOOKUP($B20,Segment!$1:$1048576,MATCH('Fin Sum'!I$4,Segment!$2:$2,FALSE),FALSE)</f>
        <v>5.5745522042531634</v>
      </c>
      <c r="J20" s="11"/>
      <c r="K20" s="27" t="s">
        <v>55</v>
      </c>
      <c r="L20" s="28">
        <f ca="1">+VLOOKUP($S20,Model!$B:$BG,MATCH('Fin Sum'!L$32,Model!$B$4:$BG$4,FALSE),FALSE)</f>
        <v>14.273</v>
      </c>
      <c r="M20" s="28">
        <f ca="1">+VLOOKUP($S20,Model!$B:$BG,MATCH('Fin Sum'!M$32,Model!$B$4:$BG$4,FALSE),FALSE)</f>
        <v>27.49</v>
      </c>
      <c r="N20" s="28">
        <f ca="1">+VLOOKUP($S20,Model!$B:$BG,MATCH('Fin Sum'!N$32,Model!$B$4:$BG$4,FALSE),FALSE)</f>
        <v>-51.468770931730447</v>
      </c>
      <c r="O20" s="28">
        <f ca="1">+VLOOKUP($S20,Model!$B:$BG,MATCH('Fin Sum'!O$32,Model!$B$4:$BG$4,FALSE),FALSE)</f>
        <v>-13.995972665385224</v>
      </c>
      <c r="P20" s="28">
        <f ca="1">+VLOOKUP($S20,Model!$B:$BG,MATCH('Fin Sum'!P$32,Model!$B$4:$BG$4,FALSE),FALSE)</f>
        <v>39.666984434571702</v>
      </c>
      <c r="S20" s="1" t="s">
        <v>56</v>
      </c>
    </row>
    <row r="21" spans="2:20">
      <c r="C21" s="27" t="s">
        <v>21</v>
      </c>
      <c r="D21" s="28">
        <f t="shared" ref="D21" si="4">+D19-D20</f>
        <v>-104.07799999999999</v>
      </c>
      <c r="E21" s="28">
        <f>+E19-E20</f>
        <v>4.2459999999999445</v>
      </c>
      <c r="F21" s="28">
        <f>+F19-F20</f>
        <v>33.685000000000088</v>
      </c>
      <c r="G21" s="28">
        <f>+G19-G20</f>
        <v>-6.6062889413726555</v>
      </c>
      <c r="H21" s="28">
        <f>+H19-H20</f>
        <v>3.016210160713972</v>
      </c>
      <c r="I21" s="28">
        <f>+I19-I20</f>
        <v>18.146946537249786</v>
      </c>
      <c r="J21" s="11"/>
      <c r="K21" s="11" t="s">
        <v>57</v>
      </c>
      <c r="L21" s="12">
        <f ca="1">+VLOOKUP($S21,Model!$B:$BG,MATCH('Fin Sum'!L$32,Model!$B$4:$BG$4,FALSE),FALSE)</f>
        <v>-6.3070000000000004</v>
      </c>
      <c r="M21" s="12">
        <f ca="1">+VLOOKUP($S21,Model!$B:$BG,MATCH('Fin Sum'!M$32,Model!$B$4:$BG$4,FALSE),FALSE)</f>
        <v>-9.1170000000000009</v>
      </c>
      <c r="N21" s="12">
        <f ca="1">+VLOOKUP($S21,Model!$B:$BG,MATCH('Fin Sum'!N$32,Model!$B$4:$BG$4,FALSE),FALSE)</f>
        <v>-20.110023023459977</v>
      </c>
      <c r="O21" s="12">
        <f ca="1">+VLOOKUP($S21,Model!$B:$BG,MATCH('Fin Sum'!O$32,Model!$B$4:$BG$4,FALSE),FALSE)</f>
        <v>-27.227127850147532</v>
      </c>
      <c r="P21" s="12">
        <f ca="1">+VLOOKUP($S21,Model!$B:$BG,MATCH('Fin Sum'!P$32,Model!$B$4:$BG$4,FALSE),FALSE)</f>
        <v>-15.367416891775285</v>
      </c>
      <c r="S21" s="1" t="s">
        <v>58</v>
      </c>
    </row>
    <row r="22" spans="2:20">
      <c r="B22" s="1" t="s">
        <v>59</v>
      </c>
      <c r="C22" s="20"/>
      <c r="D22" s="25"/>
      <c r="E22" s="25"/>
      <c r="F22" s="25"/>
      <c r="G22" s="25"/>
      <c r="H22" s="29"/>
      <c r="I22" s="25"/>
      <c r="J22" s="11"/>
      <c r="K22" s="11" t="s">
        <v>60</v>
      </c>
      <c r="L22" s="12">
        <f ca="1">+VLOOKUP($S22,Model!$B:$BG,MATCH('Fin Sum'!L$32,Model!$B$4:$BG$4,FALSE),FALSE)</f>
        <v>-0.80200000000000005</v>
      </c>
      <c r="M22" s="12">
        <f ca="1">+VLOOKUP($S22,Model!$B:$BG,MATCH('Fin Sum'!M$32,Model!$B$4:$BG$4,FALSE),FALSE)</f>
        <v>-13.067</v>
      </c>
      <c r="N22" s="12">
        <f ca="1">+VLOOKUP($S22,Model!$B:$BG,MATCH('Fin Sum'!N$32,Model!$B$4:$BG$4,FALSE),FALSE)</f>
        <v>-16.08801841876798</v>
      </c>
      <c r="O22" s="12">
        <f ca="1">+VLOOKUP($S22,Model!$B:$BG,MATCH('Fin Sum'!O$32,Model!$B$4:$BG$4,FALSE),FALSE)</f>
        <v>-18.15141856676502</v>
      </c>
      <c r="P22" s="12">
        <f ca="1">+VLOOKUP($S22,Model!$B:$BG,MATCH('Fin Sum'!P$32,Model!$B$4:$BG$4,FALSE),FALSE)</f>
        <v>-20.489889189033715</v>
      </c>
      <c r="S22" s="1" t="s">
        <v>61</v>
      </c>
    </row>
    <row r="23" spans="2:20">
      <c r="C23" s="27" t="s">
        <v>62</v>
      </c>
      <c r="D23" s="28">
        <f>VLOOKUP($B22,Model!$B$9:$BG$347,MATCH('Fin Sum'!D$4,Model!$B$9:$BG$9,0),FALSE)</f>
        <v>-33.5</v>
      </c>
      <c r="E23" s="30">
        <f>VLOOKUP($B22,Model!$B$9:$BG$347,MATCH('Fin Sum'!E$4,Model!$B$9:$BG$9,0),FALSE)</f>
        <v>1.3116678508541426</v>
      </c>
      <c r="F23" s="30">
        <f>VLOOKUP($B22,Model!$B$9:$BG$347,MATCH('Fin Sum'!F$4,Model!$B$9:$BG$9,0),FALSE)</f>
        <v>9.7584504675713202</v>
      </c>
      <c r="G23" s="30">
        <f>VLOOKUP($B22,Model!$B$9:$BG$347,MATCH('Fin Sum'!G$4,Model!$B$9:$BG$9,0),FALSE)</f>
        <v>-1.9138234647127526</v>
      </c>
      <c r="H23" s="30">
        <f>VLOOKUP($B22,Model!$B$9:$BG$347,MATCH('Fin Sum'!H$4,Model!$B$9:$BG$9,0),FALSE)</f>
        <v>0.87378766374090999</v>
      </c>
      <c r="I23" s="30">
        <f>VLOOKUP($B22,Model!$B$9:$BG$347,MATCH('Fin Sum'!I$4,Model!$B$9:$BG$9,0),FALSE)</f>
        <v>5.257119754235311</v>
      </c>
      <c r="J23" s="11"/>
      <c r="K23" s="11" t="s">
        <v>63</v>
      </c>
      <c r="L23" s="12">
        <f ca="1">+VLOOKUP($S23,Model!$B:$BG,MATCH('Fin Sum'!L$32,Model!$B$4:$BG$4,FALSE),FALSE)</f>
        <v>0</v>
      </c>
      <c r="M23" s="12">
        <f ca="1">+VLOOKUP($S23,Model!$B:$BG,MATCH('Fin Sum'!M$32,Model!$B$4:$BG$4,FALSE),FALSE)</f>
        <v>-20.661999999999999</v>
      </c>
      <c r="N23" s="12">
        <f ca="1">+VLOOKUP($S23,Model!$B:$BG,MATCH('Fin Sum'!N$32,Model!$B$4:$BG$4,FALSE),FALSE)</f>
        <v>-224.65899999999999</v>
      </c>
      <c r="O23" s="12">
        <f ca="1">+VLOOKUP($S23,Model!$B:$BG,MATCH('Fin Sum'!O$32,Model!$B$4:$BG$4,FALSE),FALSE)</f>
        <v>0</v>
      </c>
      <c r="P23" s="12">
        <f ca="1">+VLOOKUP($S23,Model!$B:$BG,MATCH('Fin Sum'!P$32,Model!$B$4:$BG$4,FALSE),FALSE)</f>
        <v>0</v>
      </c>
      <c r="S23" s="1" t="s">
        <v>64</v>
      </c>
    </row>
    <row r="24" spans="2:20">
      <c r="J24" s="11"/>
      <c r="K24" s="20" t="s">
        <v>52</v>
      </c>
      <c r="L24" s="21">
        <f ca="1">+L25-SUM(L21:L23)</f>
        <v>-9.7300000000000022</v>
      </c>
      <c r="M24" s="21">
        <f t="shared" ref="M24:P24" ca="1" si="5">+M25-SUM(M21:M23)</f>
        <v>-43.840999999999994</v>
      </c>
      <c r="N24" s="21">
        <f t="shared" ca="1" si="5"/>
        <v>-10.418000000000006</v>
      </c>
      <c r="O24" s="21">
        <f t="shared" ca="1" si="5"/>
        <v>0</v>
      </c>
      <c r="P24" s="21">
        <f t="shared" ca="1" si="5"/>
        <v>0</v>
      </c>
    </row>
    <row r="25" spans="2:20">
      <c r="C25" s="8" t="s">
        <v>65</v>
      </c>
      <c r="D25" s="6" t="s">
        <v>2</v>
      </c>
      <c r="E25" s="6" t="s">
        <v>3</v>
      </c>
      <c r="F25" s="6" t="s">
        <v>4</v>
      </c>
      <c r="G25" s="6" t="s">
        <v>5</v>
      </c>
      <c r="H25" s="6" t="s">
        <v>6</v>
      </c>
      <c r="I25" s="6" t="s">
        <v>7</v>
      </c>
      <c r="J25" s="11"/>
      <c r="K25" s="31" t="s">
        <v>66</v>
      </c>
      <c r="L25" s="28">
        <f ca="1">+VLOOKUP($S25,Model!$B:$BG,MATCH('Fin Sum'!L$32,Model!$B$4:$BG$4,FALSE),FALSE)</f>
        <v>-16.839000000000002</v>
      </c>
      <c r="M25" s="28">
        <f ca="1">+VLOOKUP($S25,Model!$B:$BG,MATCH('Fin Sum'!M$32,Model!$B$4:$BG$4,FALSE),FALSE)</f>
        <v>-86.686999999999998</v>
      </c>
      <c r="N25" s="28">
        <f ca="1">+VLOOKUP($S25,Model!$B:$BG,MATCH('Fin Sum'!N$32,Model!$B$4:$BG$4,FALSE),FALSE)</f>
        <v>-271.27504144222797</v>
      </c>
      <c r="O25" s="28">
        <f ca="1">+VLOOKUP($S25,Model!$B:$BG,MATCH('Fin Sum'!O$32,Model!$B$4:$BG$4,FALSE),FALSE)</f>
        <v>-45.378546416912556</v>
      </c>
      <c r="P25" s="28">
        <f ca="1">+VLOOKUP($S25,Model!$B:$BG,MATCH('Fin Sum'!P$32,Model!$B$4:$BG$4,FALSE),FALSE)</f>
        <v>-35.857306080808996</v>
      </c>
      <c r="S25" s="1" t="s">
        <v>66</v>
      </c>
    </row>
    <row r="26" spans="2:20">
      <c r="C26" s="11" t="s">
        <v>67</v>
      </c>
      <c r="D26" s="32"/>
      <c r="E26" s="32">
        <f>+E9/E$5</f>
        <v>0.25621812852500769</v>
      </c>
      <c r="F26" s="32">
        <f t="shared" ref="F26:I26" si="6">+F9/F$5</f>
        <v>0.24766189592121587</v>
      </c>
      <c r="G26" s="32">
        <f t="shared" si="6"/>
        <v>0.19896919040481392</v>
      </c>
      <c r="H26" s="32">
        <f t="shared" si="6"/>
        <v>0.19612792173270177</v>
      </c>
      <c r="I26" s="32">
        <f t="shared" si="6"/>
        <v>0.2</v>
      </c>
      <c r="J26" s="11"/>
      <c r="K26" s="11" t="s">
        <v>68</v>
      </c>
      <c r="L26" s="12">
        <f ca="1">+VLOOKUP($S26,Model!$B:$BG,MATCH('Fin Sum'!L$32,Model!$B$4:$BG$4,FALSE),FALSE)+VLOOKUP($T27,Model!$B:$BG,MATCH('Fin Sum'!L$32,Model!$B$4:$BG$4,FALSE),FALSE)</f>
        <v>4.1879999999999997</v>
      </c>
      <c r="M26" s="12">
        <f ca="1">+VLOOKUP($S26,Model!$B:$BG,MATCH('Fin Sum'!M$32,Model!$B$4:$BG$4,FALSE),FALSE)+VLOOKUP($T27,Model!$B:$BG,MATCH('Fin Sum'!M$32,Model!$B$4:$BG$4,FALSE),FALSE)</f>
        <v>427.15899999999999</v>
      </c>
      <c r="N26" s="12">
        <f ca="1">+VLOOKUP($S26,Model!$B:$BG,MATCH('Fin Sum'!N$32,Model!$B$4:$BG$4,FALSE),FALSE)+VLOOKUP($T27,Model!$B:$BG,MATCH('Fin Sum'!N$32,Model!$B$4:$BG$4,FALSE),FALSE)</f>
        <v>-0.45100000000000001</v>
      </c>
      <c r="O26" s="12">
        <f ca="1">+VLOOKUP($S26,Model!$B:$BG,MATCH('Fin Sum'!O$32,Model!$B$4:$BG$4,FALSE),FALSE)+VLOOKUP($T27,Model!$B:$BG,MATCH('Fin Sum'!O$32,Model!$B$4:$BG$4,FALSE),FALSE)</f>
        <v>0</v>
      </c>
      <c r="P26" s="12">
        <f ca="1">+VLOOKUP($S26,Model!$B:$BG,MATCH('Fin Sum'!P$32,Model!$B$4:$BG$4,FALSE),FALSE)+VLOOKUP($T27,Model!$B:$BG,MATCH('Fin Sum'!P$32,Model!$B$4:$BG$4,FALSE),FALSE)</f>
        <v>0</v>
      </c>
      <c r="S26" s="1" t="s">
        <v>69</v>
      </c>
    </row>
    <row r="27" spans="2:20">
      <c r="C27" s="11" t="s">
        <v>70</v>
      </c>
      <c r="E27" s="32">
        <f t="shared" ref="E27:I29" si="7">+E10/E$5</f>
        <v>0.10049913207479173</v>
      </c>
      <c r="F27" s="32">
        <f t="shared" si="7"/>
        <v>0.10832037882029072</v>
      </c>
      <c r="G27" s="32">
        <f t="shared" si="7"/>
        <v>0.12364053677111612</v>
      </c>
      <c r="H27" s="32">
        <f t="shared" si="7"/>
        <v>0.12327809231694896</v>
      </c>
      <c r="I27" s="32">
        <f t="shared" si="7"/>
        <v>0.12281818348336257</v>
      </c>
      <c r="J27" s="11"/>
      <c r="K27" s="11" t="s">
        <v>71</v>
      </c>
      <c r="L27" s="12">
        <f ca="1">+VLOOKUP($S27,Model!$B:$BG,MATCH('Fin Sum'!L$32,Model!$B$4:$BG$4,FALSE),FALSE)</f>
        <v>4.1689999999999996</v>
      </c>
      <c r="M27" s="12">
        <f ca="1">+VLOOKUP($S27,Model!$B:$BG,MATCH('Fin Sum'!M$32,Model!$B$4:$BG$4,FALSE),FALSE)</f>
        <v>0.66200000000000003</v>
      </c>
      <c r="N27" s="12">
        <f ca="1">+VLOOKUP($S27,Model!$B:$BG,MATCH('Fin Sum'!N$32,Model!$B$4:$BG$4,FALSE),FALSE)</f>
        <v>0.67600000000000005</v>
      </c>
      <c r="O27" s="12">
        <f ca="1">+VLOOKUP($S27,Model!$B:$BG,MATCH('Fin Sum'!O$32,Model!$B$4:$BG$4,FALSE),FALSE)</f>
        <v>0</v>
      </c>
      <c r="P27" s="12">
        <f ca="1">+VLOOKUP($S27,Model!$B:$BG,MATCH('Fin Sum'!P$32,Model!$B$4:$BG$4,FALSE),FALSE)</f>
        <v>0</v>
      </c>
      <c r="S27" s="1" t="s">
        <v>72</v>
      </c>
      <c r="T27" s="1" t="s">
        <v>73</v>
      </c>
    </row>
    <row r="28" spans="2:20">
      <c r="C28" s="11" t="s">
        <v>74</v>
      </c>
      <c r="E28" s="32">
        <f t="shared" si="7"/>
        <v>1.8773012030824859E-2</v>
      </c>
      <c r="F28" s="32">
        <f t="shared" si="7"/>
        <v>3.2271740834883683E-2</v>
      </c>
      <c r="G28" s="32">
        <f t="shared" si="7"/>
        <v>4.9168387327031389E-2</v>
      </c>
      <c r="H28" s="32">
        <f t="shared" si="7"/>
        <v>0.05</v>
      </c>
      <c r="I28" s="32">
        <f t="shared" si="7"/>
        <v>0.05</v>
      </c>
      <c r="J28" s="11"/>
      <c r="K28" s="33" t="s">
        <v>52</v>
      </c>
      <c r="L28" s="34">
        <f ca="1">+L29-SUM(L26:L27)</f>
        <v>-1.266</v>
      </c>
      <c r="M28" s="34">
        <f t="shared" ref="M28:P28" ca="1" si="8">+M29-SUM(M26:M27)</f>
        <v>-11.03000000000003</v>
      </c>
      <c r="N28" s="34">
        <f t="shared" ca="1" si="8"/>
        <v>-3.1480000000000001</v>
      </c>
      <c r="O28" s="34">
        <f t="shared" ca="1" si="8"/>
        <v>0</v>
      </c>
      <c r="P28" s="34">
        <f t="shared" ca="1" si="8"/>
        <v>0</v>
      </c>
    </row>
    <row r="29" spans="2:20">
      <c r="C29" s="11" t="s">
        <v>75</v>
      </c>
      <c r="E29" s="32">
        <f t="shared" si="7"/>
        <v>0.14745418616244918</v>
      </c>
      <c r="F29" s="32">
        <f t="shared" si="7"/>
        <v>0.14089993050057012</v>
      </c>
      <c r="G29" s="32">
        <f t="shared" si="7"/>
        <v>0.1286157892584098</v>
      </c>
      <c r="H29" s="32">
        <f t="shared" si="7"/>
        <v>0.12140689240016661</v>
      </c>
      <c r="I29" s="32">
        <f t="shared" si="7"/>
        <v>0.12165781501460478</v>
      </c>
      <c r="J29" s="11"/>
      <c r="K29" s="31" t="s">
        <v>76</v>
      </c>
      <c r="L29" s="28">
        <f ca="1">+VLOOKUP($S29,Model!$B:$BG,MATCH('Fin Sum'!L$32,Model!$B$4:$BG$4,FALSE),FALSE)</f>
        <v>7.0909999999999993</v>
      </c>
      <c r="M29" s="28">
        <f ca="1">+VLOOKUP($S29,Model!$B:$BG,MATCH('Fin Sum'!M$32,Model!$B$4:$BG$4,FALSE),FALSE)</f>
        <v>416.79099999999994</v>
      </c>
      <c r="N29" s="28">
        <f ca="1">+VLOOKUP($S29,Model!$B:$BG,MATCH('Fin Sum'!N$32,Model!$B$4:$BG$4,FALSE),FALSE)</f>
        <v>-2.923</v>
      </c>
      <c r="O29" s="28">
        <f ca="1">+VLOOKUP($S29,Model!$B:$BG,MATCH('Fin Sum'!O$32,Model!$B$4:$BG$4,FALSE),FALSE)</f>
        <v>0</v>
      </c>
      <c r="P29" s="28">
        <f ca="1">+VLOOKUP($S29,Model!$B:$BG,MATCH('Fin Sum'!P$32,Model!$B$4:$BG$4,FALSE),FALSE)</f>
        <v>0</v>
      </c>
      <c r="S29" s="1" t="s">
        <v>76</v>
      </c>
    </row>
    <row r="30" spans="2:20">
      <c r="C30" s="35" t="s">
        <v>77</v>
      </c>
      <c r="D30" s="36"/>
      <c r="E30" s="37">
        <f>+SUM(E27:E29)</f>
        <v>0.2667263302680658</v>
      </c>
      <c r="F30" s="37">
        <f t="shared" ref="F30:I30" si="9">+SUM(F27:F29)</f>
        <v>0.28149205015574452</v>
      </c>
      <c r="G30" s="37">
        <f t="shared" si="9"/>
        <v>0.30142471335655729</v>
      </c>
      <c r="H30" s="37">
        <f t="shared" si="9"/>
        <v>0.29468498471711557</v>
      </c>
      <c r="I30" s="37">
        <f t="shared" si="9"/>
        <v>0.29447599849796735</v>
      </c>
      <c r="J30" s="11"/>
      <c r="K30" s="11" t="s">
        <v>78</v>
      </c>
      <c r="L30" s="12">
        <f ca="1">+VLOOKUP($S30,Model!$B:$BG,MATCH('Fin Sum'!L$32,Model!$B$4:$BG$4,FALSE),FALSE)</f>
        <v>4.5249999999999968</v>
      </c>
      <c r="M30" s="12">
        <f ca="1">+VLOOKUP($S30,Model!$B:$BG,MATCH('Fin Sum'!M$32,Model!$B$4:$BG$4,FALSE),FALSE)</f>
        <v>357.59399999999994</v>
      </c>
      <c r="N30" s="12">
        <f ca="1">+VLOOKUP($S30,Model!$B:$BG,MATCH('Fin Sum'!N$32,Model!$B$4:$BG$4,FALSE),FALSE)</f>
        <v>-325.66681237395841</v>
      </c>
      <c r="O30" s="12">
        <f ca="1">+VLOOKUP($S30,Model!$B:$BG,MATCH('Fin Sum'!O$32,Model!$B$4:$BG$4,FALSE),FALSE)</f>
        <v>-59.37451908229778</v>
      </c>
      <c r="P30" s="12">
        <f ca="1">+VLOOKUP($S30,Model!$B:$BG,MATCH('Fin Sum'!P$32,Model!$B$4:$BG$4,FALSE),FALSE)</f>
        <v>3.8096783537627061</v>
      </c>
      <c r="S30" s="1" t="s">
        <v>79</v>
      </c>
    </row>
    <row r="31" spans="2:20">
      <c r="J31" s="11"/>
      <c r="L31" s="38"/>
      <c r="M31" s="38"/>
      <c r="N31" s="38"/>
      <c r="O31" s="38"/>
      <c r="P31" s="38"/>
    </row>
    <row r="32" spans="2:20">
      <c r="B32" s="1" t="s">
        <v>80</v>
      </c>
      <c r="C32" s="11" t="s">
        <v>81</v>
      </c>
      <c r="D32" s="32">
        <v>0.10544018243655205</v>
      </c>
      <c r="E32" s="39">
        <f>VLOOKUP($B32,Model!$B$9:$BG$347,MATCH('Fin Sum'!E$4,Model!$B$9:$BG$9,0),FALSE)</f>
        <v>0.21008653953317416</v>
      </c>
      <c r="F32" s="32">
        <f>VLOOKUP($B32,Model!$B$9:$BG$347,MATCH('Fin Sum'!F$4,Model!$B$9:$BG$9,0),FALSE)</f>
        <v>0.17903981146416731</v>
      </c>
      <c r="G32" s="32">
        <f>VLOOKUP($B32,Model!$B$9:$BG$347,MATCH('Fin Sum'!G$4,Model!$B$9:$BG$9,0),FALSE)</f>
        <v>3.2380239775238337E-2</v>
      </c>
      <c r="H32" s="32">
        <f>VLOOKUP($B32,Model!$B$9:$BG$347,MATCH('Fin Sum'!H$4,Model!$B$9:$BG$9,0),FALSE)</f>
        <v>3.2129321979522361E-2</v>
      </c>
      <c r="I32" s="32">
        <f>VLOOKUP($B32,Model!$B$9:$BG$347,MATCH('Fin Sum'!I$4,Model!$B$9:$BG$9,0),FALSE)</f>
        <v>4.6841060124893662E-2</v>
      </c>
      <c r="J32" s="11"/>
      <c r="K32" s="8" t="s">
        <v>82</v>
      </c>
      <c r="L32" s="6" t="s">
        <v>3</v>
      </c>
      <c r="M32" s="6" t="s">
        <v>4</v>
      </c>
      <c r="N32" s="6" t="s">
        <v>5</v>
      </c>
      <c r="O32" s="6" t="s">
        <v>6</v>
      </c>
      <c r="P32" s="6" t="s">
        <v>7</v>
      </c>
    </row>
    <row r="33" spans="2:20">
      <c r="B33" s="1" t="s">
        <v>83</v>
      </c>
      <c r="C33" s="11" t="s">
        <v>84</v>
      </c>
      <c r="D33" s="32">
        <v>0.13897757506651467</v>
      </c>
      <c r="E33" s="39">
        <f>VLOOKUP($B33,Model!$B$9:$BG$347,MATCH('Fin Sum'!E$4,Model!$B$9:$BG$9,0),FALSE)</f>
        <v>5.3070356343819215E-2</v>
      </c>
      <c r="F33" s="32">
        <f>VLOOKUP($B33,Model!$B$9:$BG$347,MATCH('Fin Sum'!F$4,Model!$B$9:$BG$9,0),FALSE)</f>
        <v>0.32816990598665385</v>
      </c>
      <c r="G33" s="32">
        <f>VLOOKUP($B33,Model!$B$9:$BG$347,MATCH('Fin Sum'!G$4,Model!$B$9:$BG$9,0),FALSE)</f>
        <v>-1.8718040164031131E-2</v>
      </c>
      <c r="H33" s="32">
        <f>VLOOKUP($B33,Model!$B$9:$BG$347,MATCH('Fin Sum'!H$4,Model!$B$9:$BG$9,0),FALSE)</f>
        <v>7.2960580084009737E-3</v>
      </c>
      <c r="I33" s="32">
        <f>VLOOKUP($B33,Model!$B$9:$BG$347,MATCH('Fin Sum'!I$4,Model!$B$9:$BG$9,0),FALSE)</f>
        <v>4.3578583038716444E-2</v>
      </c>
      <c r="J33" s="11"/>
      <c r="K33" s="11" t="s">
        <v>85</v>
      </c>
      <c r="L33" s="12">
        <f ca="1">+VLOOKUP($S33,Model!$B:$BG,MATCH('Fin Sum'!L$32,Model!$B$4:$BG$4,FALSE),FALSE)</f>
        <v>84.295000000000002</v>
      </c>
      <c r="M33" s="12">
        <f ca="1">+VLOOKUP($S33,Model!$B:$BG,MATCH('Fin Sum'!M$32,Model!$B$4:$BG$4,FALSE),FALSE)</f>
        <v>439.99900000000002</v>
      </c>
      <c r="N33" s="12">
        <f ca="1">+VLOOKUP($S33,Model!$B:$BG,MATCH('Fin Sum'!N$32,Model!$B$4:$BG$4,FALSE),FALSE)</f>
        <v>125.51718762604156</v>
      </c>
      <c r="O33" s="12">
        <f ca="1">+VLOOKUP($S33,Model!$B:$BG,MATCH('Fin Sum'!O$32,Model!$B$4:$BG$4,FALSE),FALSE)</f>
        <v>66.142668543743781</v>
      </c>
      <c r="P33" s="12">
        <f ca="1">+VLOOKUP($S33,Model!$B:$BG,MATCH('Fin Sum'!P$32,Model!$B$4:$BG$4,FALSE),FALSE)</f>
        <v>69.952346897506487</v>
      </c>
      <c r="S33" s="1" t="s">
        <v>85</v>
      </c>
    </row>
    <row r="34" spans="2:20">
      <c r="C34" s="11"/>
      <c r="D34" s="16"/>
      <c r="E34" s="39"/>
      <c r="F34" s="32"/>
      <c r="G34" s="32"/>
      <c r="H34" s="32"/>
      <c r="I34" s="32"/>
      <c r="K34" s="11" t="s">
        <v>86</v>
      </c>
      <c r="L34" s="12">
        <f ca="1">+VLOOKUP($S34,Model!$B:$BG,MATCH('Fin Sum'!L$32,Model!$B$4:$BG$4,FALSE),FALSE)</f>
        <v>44.040999999999997</v>
      </c>
      <c r="M34" s="12">
        <f ca="1">+VLOOKUP($S34,Model!$B:$BG,MATCH('Fin Sum'!M$32,Model!$B$4:$BG$4,FALSE),FALSE)</f>
        <v>86.927999999999997</v>
      </c>
      <c r="N34" s="12">
        <f ca="1">+VLOOKUP($S34,Model!$B:$BG,MATCH('Fin Sum'!N$32,Model!$B$4:$BG$4,FALSE),FALSE)</f>
        <v>128.70414735014384</v>
      </c>
      <c r="O34" s="12">
        <f ca="1">+VLOOKUP($S34,Model!$B:$BG,MATCH('Fin Sum'!O$32,Model!$B$4:$BG$4,FALSE),FALSE)</f>
        <v>145.21134853412016</v>
      </c>
      <c r="P34" s="12">
        <f ca="1">+VLOOKUP($S34,Model!$B:$BG,MATCH('Fin Sum'!P$32,Model!$B$4:$BG$4,FALSE),FALSE)</f>
        <v>163.91911351226972</v>
      </c>
      <c r="S34" s="1" t="s">
        <v>87</v>
      </c>
    </row>
    <row r="35" spans="2:20">
      <c r="B35" s="1" t="s">
        <v>88</v>
      </c>
      <c r="C35" s="11" t="s">
        <v>89</v>
      </c>
      <c r="D35" s="24">
        <v>10679</v>
      </c>
      <c r="E35" s="24">
        <f>VLOOKUP($B35,Model!$B$9:$BG$347,MATCH('Fin Sum'!E$4,Model!$B$9:$BG$9,0),FALSE)</f>
        <v>-77.69</v>
      </c>
      <c r="F35" s="24">
        <f>VLOOKUP($B35,Model!$B$9:$BG$347,MATCH('Fin Sum'!F$4,Model!$B$9:$BG$9,0),FALSE)</f>
        <v>-86.425000000000054</v>
      </c>
      <c r="G35" s="24">
        <f>VLOOKUP($B35,Model!$B$9:$BG$347,MATCH('Fin Sum'!G$4,Model!$B$9:$BG$9,0),FALSE)</f>
        <v>258.65481237395846</v>
      </c>
      <c r="H35" s="24">
        <f>VLOOKUP($B35,Model!$B$9:$BG$347,MATCH('Fin Sum'!H$4,Model!$B$9:$BG$9,0),FALSE)</f>
        <v>318.02933145625627</v>
      </c>
      <c r="I35" s="24">
        <f>VLOOKUP($B35,Model!$B$9:$BG$347,MATCH('Fin Sum'!I$4,Model!$B$9:$BG$9,0),FALSE)</f>
        <v>314.21965310249357</v>
      </c>
      <c r="J35" s="11"/>
      <c r="K35" s="11" t="s">
        <v>90</v>
      </c>
      <c r="L35" s="12">
        <f ca="1">+VLOOKUP($S35,Model!$B:$BG,MATCH('Fin Sum'!L$32,Model!$B$4:$BG$4,FALSE),FALSE)</f>
        <v>12.738</v>
      </c>
      <c r="M35" s="12">
        <f ca="1">+VLOOKUP($S35,Model!$B:$BG,MATCH('Fin Sum'!M$32,Model!$B$4:$BG$4,FALSE),FALSE)</f>
        <v>23.62</v>
      </c>
      <c r="N35" s="12">
        <f ca="1">+VLOOKUP($S35,Model!$B:$BG,MATCH('Fin Sum'!N$32,Model!$B$4:$BG$4,FALSE),FALSE)</f>
        <v>36.198041442227954</v>
      </c>
      <c r="O35" s="12">
        <f ca="1">+VLOOKUP($S35,Model!$B:$BG,MATCH('Fin Sum'!O$32,Model!$B$4:$BG$4,FALSE),FALSE)</f>
        <v>40.840691775221295</v>
      </c>
      <c r="P35" s="12">
        <f ca="1">+VLOOKUP($S35,Model!$B:$BG,MATCH('Fin Sum'!P$32,Model!$B$4:$BG$4,FALSE),FALSE)</f>
        <v>46.102250675325855</v>
      </c>
      <c r="S35" s="1" t="s">
        <v>91</v>
      </c>
    </row>
    <row r="36" spans="2:20">
      <c r="B36" s="1" t="s">
        <v>92</v>
      </c>
      <c r="C36" s="11" t="s">
        <v>93</v>
      </c>
      <c r="D36" s="32">
        <v>0.67648549347523124</v>
      </c>
      <c r="E36" s="39">
        <f>VLOOKUP($B36,Model!$B$9:$BG$347,MATCH('Fin Sum'!E$4,Model!$B$9:$BG$9,0),FALSE)</f>
        <v>-2.3528777683412816</v>
      </c>
      <c r="F36" s="32">
        <f>VLOOKUP($B36,Model!$B$9:$BG$347,MATCH('Fin Sum'!F$4,Model!$B$9:$BG$9,0),FALSE)</f>
        <v>-0.29233614060783614</v>
      </c>
      <c r="G36" s="32">
        <f>VLOOKUP($B36,Model!$B$9:$BG$347,MATCH('Fin Sum'!G$4,Model!$B$9:$BG$9,0),FALSE)</f>
        <v>0.41455862080849298</v>
      </c>
      <c r="H36" s="32">
        <f>VLOOKUP($B36,Model!$B$9:$BG$347,MATCH('Fin Sum'!H$4,Model!$B$9:$BG$9,0),FALSE)</f>
        <v>0.45816126091544479</v>
      </c>
      <c r="I36" s="32">
        <f>VLOOKUP($B36,Model!$B$9:$BG$347,MATCH('Fin Sum'!I$4,Model!$B$9:$BG$9,0),FALSE)</f>
        <v>0.44490426378213643</v>
      </c>
      <c r="J36" s="11"/>
      <c r="K36" s="20" t="s">
        <v>52</v>
      </c>
      <c r="L36" s="21">
        <f ca="1">+L37-SUM(L33:L35)</f>
        <v>17.61699999999999</v>
      </c>
      <c r="M36" s="21">
        <f t="shared" ref="M36:P36" ca="1" si="10">+M37-SUM(M33:M35)</f>
        <v>19.57000000000005</v>
      </c>
      <c r="N36" s="21">
        <f t="shared" ca="1" si="10"/>
        <v>31.996999999999957</v>
      </c>
      <c r="O36" s="21">
        <f t="shared" ca="1" si="10"/>
        <v>31.996999999999986</v>
      </c>
      <c r="P36" s="21">
        <f t="shared" ca="1" si="10"/>
        <v>31.996999999999957</v>
      </c>
    </row>
    <row r="37" spans="2:20">
      <c r="J37" s="11"/>
      <c r="K37" s="2" t="s">
        <v>94</v>
      </c>
      <c r="L37" s="15">
        <f ca="1">+VLOOKUP($S37,Model!$B:$BG,MATCH('Fin Sum'!L$32,Model!$B$4:$BG$4,FALSE),FALSE)</f>
        <v>158.691</v>
      </c>
      <c r="M37" s="15">
        <f ca="1">+VLOOKUP($S37,Model!$B:$BG,MATCH('Fin Sum'!M$32,Model!$B$4:$BG$4,FALSE),FALSE)</f>
        <v>570.11700000000008</v>
      </c>
      <c r="N37" s="15">
        <f ca="1">+VLOOKUP($S37,Model!$B:$BG,MATCH('Fin Sum'!N$32,Model!$B$4:$BG$4,FALSE),FALSE)</f>
        <v>322.41637641841334</v>
      </c>
      <c r="O37" s="15">
        <f ca="1">+VLOOKUP($S37,Model!$B:$BG,MATCH('Fin Sum'!O$32,Model!$B$4:$BG$4,FALSE),FALSE)</f>
        <v>284.19170885308523</v>
      </c>
      <c r="P37" s="15">
        <f ca="1">+VLOOKUP($S37,Model!$B:$BG,MATCH('Fin Sum'!P$32,Model!$B$4:$BG$4,FALSE),FALSE)</f>
        <v>311.97071108510204</v>
      </c>
      <c r="S37" s="1" t="s">
        <v>95</v>
      </c>
    </row>
    <row r="38" spans="2:20">
      <c r="C38" s="8" t="s">
        <v>96</v>
      </c>
      <c r="D38" s="6" t="s">
        <v>2</v>
      </c>
      <c r="E38" s="6" t="s">
        <v>3</v>
      </c>
      <c r="F38" s="6" t="s">
        <v>4</v>
      </c>
      <c r="G38" s="6" t="s">
        <v>5</v>
      </c>
      <c r="H38" s="6" t="s">
        <v>6</v>
      </c>
      <c r="I38" s="6" t="s">
        <v>7</v>
      </c>
      <c r="J38" s="11"/>
      <c r="K38" s="11" t="s">
        <v>97</v>
      </c>
      <c r="L38" s="12">
        <f ca="1">+VLOOKUP($S38,Model!$B:$BG,MATCH('Fin Sum'!L$32,Model!$B$4:$BG$4,FALSE),FALSE)</f>
        <v>15.848000000000001</v>
      </c>
      <c r="M38" s="12">
        <f ca="1">+VLOOKUP($S38,Model!$B:$BG,MATCH('Fin Sum'!M$32,Model!$B$4:$BG$4,FALSE),FALSE)</f>
        <v>27.841000000000001</v>
      </c>
      <c r="N38" s="12">
        <f ca="1">+VLOOKUP($S38,Model!$B:$BG,MATCH('Fin Sum'!N$32,Model!$B$4:$BG$4,FALSE),FALSE)</f>
        <v>39.083311893137591</v>
      </c>
      <c r="O38" s="12">
        <f ca="1">+VLOOKUP($S38,Model!$B:$BG,MATCH('Fin Sum'!O$32,Model!$B$4:$BG$4,FALSE),FALSE)</f>
        <v>56.327159531564362</v>
      </c>
      <c r="P38" s="12">
        <f ca="1">+VLOOKUP($S38,Model!$B:$BG,MATCH('Fin Sum'!P$32,Model!$B$4:$BG$4,FALSE),FALSE)</f>
        <v>60.425137369371107</v>
      </c>
      <c r="S38" s="1" t="s">
        <v>98</v>
      </c>
    </row>
    <row r="39" spans="2:20">
      <c r="C39" s="40" t="s">
        <v>99</v>
      </c>
      <c r="D39" s="41"/>
      <c r="E39" s="41"/>
      <c r="F39" s="41"/>
      <c r="G39" s="41"/>
      <c r="H39" s="41"/>
      <c r="I39" s="41"/>
      <c r="J39" s="11"/>
      <c r="K39" s="11" t="s">
        <v>100</v>
      </c>
      <c r="L39" s="12">
        <f ca="1">+VLOOKUP($S39,Model!$B:$BG,MATCH('Fin Sum'!L$32,Model!$B$4:$BG$4,FALSE),FALSE)</f>
        <v>75.054000000000002</v>
      </c>
      <c r="M39" s="12">
        <f ca="1">+VLOOKUP($S39,Model!$B:$BG,MATCH('Fin Sum'!M$32,Model!$B$4:$BG$4,FALSE),FALSE)</f>
        <v>257.85899999999998</v>
      </c>
      <c r="N39" s="12">
        <f ca="1">+VLOOKUP($S39,Model!$B:$BG,MATCH('Fin Sum'!N$32,Model!$B$4:$BG$4,FALSE),FALSE)</f>
        <v>584.17200000000003</v>
      </c>
      <c r="O39" s="12">
        <f ca="1">+VLOOKUP($S39,Model!$B:$BG,MATCH('Fin Sum'!O$32,Model!$B$4:$BG$4,FALSE),FALSE)</f>
        <v>589.61742557002958</v>
      </c>
      <c r="P39" s="12">
        <f ca="1">+VLOOKUP($S39,Model!$B:$BG,MATCH('Fin Sum'!P$32,Model!$B$4:$BG$4,FALSE),FALSE)</f>
        <v>595.76439232673977</v>
      </c>
      <c r="S39" s="1" t="s">
        <v>101</v>
      </c>
    </row>
    <row r="40" spans="2:20">
      <c r="B40" s="1" t="s">
        <v>102</v>
      </c>
      <c r="C40" s="42" t="s">
        <v>103</v>
      </c>
      <c r="D40" s="43">
        <f>+VLOOKUP($B40,Segment!$1:$1048576,MATCH('Fin Sum'!D$38,Segment!$2:$2,FALSE),FALSE)</f>
        <v>156.369</v>
      </c>
      <c r="E40" s="43">
        <f>+VLOOKUP($B40,Segment!$1:$1048576,MATCH('Fin Sum'!E$38,Segment!$2:$2,FALSE),FALSE)</f>
        <v>329.20499999999998</v>
      </c>
      <c r="F40" s="43">
        <f>+VLOOKUP($B40,Segment!$1:$1048576,MATCH('Fin Sum'!F$38,Segment!$2:$2,FALSE),FALSE)</f>
        <v>508.50799999999998</v>
      </c>
      <c r="G40" s="43">
        <f>+VLOOKUP($B40,Segment!$1:$1048576,MATCH('Fin Sum'!G$38,Segment!$2:$2,FALSE),FALSE)</f>
        <v>622.87692093839905</v>
      </c>
      <c r="H40" s="43">
        <f>+VLOOKUP($B40,Segment!$1:$1048576,MATCH('Fin Sum'!H$38,Segment!$2:$2,FALSE),FALSE)</f>
        <v>704.17092833825109</v>
      </c>
      <c r="I40" s="43">
        <f>+VLOOKUP($B40,Segment!$1:$1048576,MATCH('Fin Sum'!I$38,Segment!$2:$2,FALSE),FALSE)</f>
        <v>810.92445945168561</v>
      </c>
      <c r="J40" s="11"/>
      <c r="K40" s="20" t="s">
        <v>52</v>
      </c>
      <c r="L40" s="21">
        <f ca="1">+L41-SUM(L38:L39)</f>
        <v>27.665000000000006</v>
      </c>
      <c r="M40" s="21">
        <f t="shared" ref="M40:P40" ca="1" si="11">+M41-SUM(M38:M39)</f>
        <v>84.562000000000012</v>
      </c>
      <c r="N40" s="21">
        <f t="shared" ca="1" si="11"/>
        <v>165.30399999999997</v>
      </c>
      <c r="O40" s="21">
        <f t="shared" ca="1" si="11"/>
        <v>165.30399999999997</v>
      </c>
      <c r="P40" s="21">
        <f t="shared" ca="1" si="11"/>
        <v>165.30399999999997</v>
      </c>
    </row>
    <row r="41" spans="2:20">
      <c r="B41" s="1" t="s">
        <v>104</v>
      </c>
      <c r="C41" s="3" t="s">
        <v>16</v>
      </c>
      <c r="D41" s="44">
        <f>+VLOOKUP($B41,Segment!$1:$1048576,MATCH('Fin Sum'!D$38,Segment!$2:$2,FALSE),FALSE)</f>
        <v>91.198999999999998</v>
      </c>
      <c r="E41" s="44">
        <f>+VLOOKUP($B41,Segment!$1:$1048576,MATCH('Fin Sum'!E$38,Segment!$2:$2,FALSE),FALSE)</f>
        <v>205.798</v>
      </c>
      <c r="F41" s="44">
        <f>+VLOOKUP($B41,Segment!$1:$1048576,MATCH('Fin Sum'!F$38,Segment!$2:$2,FALSE),FALSE)</f>
        <v>330.245</v>
      </c>
      <c r="G41" s="44">
        <f>+VLOOKUP($B41,Segment!$1:$1048576,MATCH('Fin Sum'!G$38,Segment!$2:$2,FALSE),FALSE)</f>
        <v>401.21065907165905</v>
      </c>
      <c r="H41" s="44">
        <f>+VLOOKUP($B41,Segment!$1:$1048576,MATCH('Fin Sum'!H$38,Segment!$2:$2,FALSE),FALSE)</f>
        <v>450.66939413648072</v>
      </c>
      <c r="I41" s="44">
        <f>+VLOOKUP($B41,Segment!$1:$1048576,MATCH('Fin Sum'!I$38,Segment!$2:$2,FALSE),FALSE)</f>
        <v>527.10089864359566</v>
      </c>
      <c r="J41" s="11"/>
      <c r="K41" s="45" t="s">
        <v>105</v>
      </c>
      <c r="L41" s="46">
        <f ca="1">+VLOOKUP($S41,Model!$B:$BG,MATCH('Fin Sum'!L$32,Model!$B$4:$BG$4,FALSE),FALSE)</f>
        <v>118.56700000000001</v>
      </c>
      <c r="M41" s="46">
        <f ca="1">+VLOOKUP($S41,Model!$B:$BG,MATCH('Fin Sum'!M$32,Model!$B$4:$BG$4,FALSE),FALSE)</f>
        <v>370.262</v>
      </c>
      <c r="N41" s="46">
        <f ca="1">+VLOOKUP($S41,Model!$B:$BG,MATCH('Fin Sum'!N$32,Model!$B$4:$BG$4,FALSE),FALSE)</f>
        <v>788.55931189313753</v>
      </c>
      <c r="O41" s="46">
        <f ca="1">+VLOOKUP($S41,Model!$B:$BG,MATCH('Fin Sum'!O$32,Model!$B$4:$BG$4,FALSE),FALSE)</f>
        <v>811.2485851015939</v>
      </c>
      <c r="P41" s="46">
        <f ca="1">+VLOOKUP($S41,Model!$B:$BG,MATCH('Fin Sum'!P$32,Model!$B$4:$BG$4,FALSE),FALSE)</f>
        <v>821.49352969611084</v>
      </c>
      <c r="S41" s="1" t="s">
        <v>106</v>
      </c>
    </row>
    <row r="42" spans="2:20">
      <c r="C42" s="47" t="s">
        <v>20</v>
      </c>
      <c r="D42" s="47">
        <f t="shared" ref="D42:I42" si="12">+D41/D$40</f>
        <v>0.58322941247945559</v>
      </c>
      <c r="E42" s="47">
        <f t="shared" si="12"/>
        <v>0.62513631323947083</v>
      </c>
      <c r="F42" s="47">
        <f t="shared" si="12"/>
        <v>0.64943914353363175</v>
      </c>
      <c r="G42" s="47">
        <f t="shared" si="12"/>
        <v>0.64412510013569402</v>
      </c>
      <c r="H42" s="47">
        <f t="shared" si="12"/>
        <v>0.64</v>
      </c>
      <c r="I42" s="47">
        <f t="shared" si="12"/>
        <v>0.65</v>
      </c>
      <c r="J42" s="11"/>
      <c r="K42" s="31" t="s">
        <v>107</v>
      </c>
      <c r="L42" s="28">
        <f ca="1">+L37+L41</f>
        <v>277.25800000000004</v>
      </c>
      <c r="M42" s="28">
        <f t="shared" ref="M42:P42" ca="1" si="13">+M37+M41</f>
        <v>940.37900000000013</v>
      </c>
      <c r="N42" s="28">
        <f t="shared" ca="1" si="13"/>
        <v>1110.9756883115508</v>
      </c>
      <c r="O42" s="28">
        <f t="shared" ca="1" si="13"/>
        <v>1095.4402939546792</v>
      </c>
      <c r="P42" s="28">
        <f t="shared" ca="1" si="13"/>
        <v>1133.464240781213</v>
      </c>
    </row>
    <row r="43" spans="2:20">
      <c r="B43" s="1" t="s">
        <v>108</v>
      </c>
      <c r="C43" s="42" t="s">
        <v>109</v>
      </c>
      <c r="D43" s="43">
        <f>+VLOOKUP($B43,Segment!$1:$1048576,MATCH('Fin Sum'!D$38,Segment!$2:$2,FALSE),FALSE)</f>
        <v>-36.533941958154273</v>
      </c>
      <c r="E43" s="43">
        <f>+VLOOKUP($B43,Segment!$1:$1048576,MATCH('Fin Sum'!E$38,Segment!$2:$2,FALSE),FALSE)</f>
        <v>96.99499999999999</v>
      </c>
      <c r="F43" s="43">
        <f>+VLOOKUP($B43,Segment!$1:$1048576,MATCH('Fin Sum'!F$38,Segment!$2:$2,FALSE),FALSE)</f>
        <v>173.91</v>
      </c>
      <c r="G43" s="43">
        <f>+VLOOKUP($B43,Segment!$1:$1048576,MATCH('Fin Sum'!G$38,Segment!$2:$2,FALSE),FALSE)</f>
        <v>227.16588857595494</v>
      </c>
      <c r="H43" s="43">
        <f>+VLOOKUP($B43,Segment!$1:$1048576,MATCH('Fin Sum'!H$38,Segment!$2:$2,FALSE),FALSE)</f>
        <v>271.58340129173928</v>
      </c>
      <c r="I43" s="43">
        <f>+VLOOKUP($B43,Segment!$1:$1048576,MATCH('Fin Sum'!I$38,Segment!$2:$2,FALSE),FALSE)</f>
        <v>322.48218813868323</v>
      </c>
      <c r="J43" s="11"/>
      <c r="K43" s="11" t="s">
        <v>110</v>
      </c>
      <c r="L43" s="12">
        <f ca="1">+VLOOKUP($S43,Model!$B:$BG,MATCH('Fin Sum'!L$32,Model!$B$4:$BG$4,FALSE),FALSE)</f>
        <v>54.334000000000003</v>
      </c>
      <c r="M43" s="12">
        <f ca="1">+VLOOKUP($S43,Model!$B:$BG,MATCH('Fin Sum'!M$32,Model!$B$4:$BG$4,FALSE),FALSE)</f>
        <v>86.79</v>
      </c>
      <c r="N43" s="12">
        <f ca="1">+VLOOKUP($S43,Model!$B:$BG,MATCH('Fin Sum'!N$32,Model!$B$4:$BG$4,FALSE),FALSE)</f>
        <v>136.74815655952784</v>
      </c>
      <c r="O43" s="12">
        <f ca="1">+VLOOKUP($S43,Model!$B:$BG,MATCH('Fin Sum'!O$32,Model!$B$4:$BG$4,FALSE),FALSE)</f>
        <v>154.2870578175027</v>
      </c>
      <c r="P43" s="12">
        <f ca="1">+VLOOKUP($S43,Model!$B:$BG,MATCH('Fin Sum'!P$32,Model!$B$4:$BG$4,FALSE),FALSE)</f>
        <v>174.1640581067866</v>
      </c>
      <c r="S43" s="1" t="s">
        <v>111</v>
      </c>
    </row>
    <row r="44" spans="2:20">
      <c r="C44" s="47" t="s">
        <v>112</v>
      </c>
      <c r="D44" s="47">
        <f t="shared" ref="D44:I44" si="14">+D43/D$40</f>
        <v>-0.23363928884979934</v>
      </c>
      <c r="E44" s="47">
        <f t="shared" si="14"/>
        <v>0.29463404261782172</v>
      </c>
      <c r="F44" s="47">
        <f t="shared" si="14"/>
        <v>0.34200051916587348</v>
      </c>
      <c r="G44" s="47">
        <f t="shared" si="14"/>
        <v>0.36470429540673427</v>
      </c>
      <c r="H44" s="47">
        <f t="shared" si="14"/>
        <v>0.38567823572699839</v>
      </c>
      <c r="I44" s="47">
        <f t="shared" si="14"/>
        <v>0.39767229164197693</v>
      </c>
      <c r="J44" s="11"/>
      <c r="K44" s="11" t="s">
        <v>113</v>
      </c>
      <c r="L44" s="12">
        <f ca="1">+VLOOKUP($S44,Model!$B:$BG,MATCH('Fin Sum'!L$32,Model!$B$4:$BG$4,FALSE),FALSE)+VLOOKUP($T45,Model!$B:$BG,MATCH('Fin Sum'!L$32,Model!$B$4:$BG$4,FALSE),FALSE)</f>
        <v>12.263999999999999</v>
      </c>
      <c r="M44" s="12">
        <f ca="1">+VLOOKUP($S44,Model!$B:$BG,MATCH('Fin Sum'!M$32,Model!$B$4:$BG$4,FALSE),FALSE)+VLOOKUP($T45,Model!$B:$BG,MATCH('Fin Sum'!M$32,Model!$B$4:$BG$4,FALSE),FALSE)</f>
        <v>360.16199999999998</v>
      </c>
      <c r="N44" s="12">
        <f ca="1">+VLOOKUP($S44,Model!$B:$BG,MATCH('Fin Sum'!N$32,Model!$B$4:$BG$4,FALSE),FALSE)+VLOOKUP($T45,Model!$B:$BG,MATCH('Fin Sum'!N$32,Model!$B$4:$BG$4,FALSE),FALSE)</f>
        <v>418.25300000000004</v>
      </c>
      <c r="O44" s="12">
        <f ca="1">+VLOOKUP($S44,Model!$B:$BG,MATCH('Fin Sum'!O$32,Model!$B$4:$BG$4,FALSE),FALSE)+VLOOKUP($T45,Model!$B:$BG,MATCH('Fin Sum'!O$32,Model!$B$4:$BG$4,FALSE),FALSE)</f>
        <v>418.25300000000004</v>
      </c>
      <c r="P44" s="12">
        <f ca="1">+VLOOKUP($S44,Model!$B:$BG,MATCH('Fin Sum'!P$32,Model!$B$4:$BG$4,FALSE),FALSE)+VLOOKUP($T45,Model!$B:$BG,MATCH('Fin Sum'!P$32,Model!$B$4:$BG$4,FALSE),FALSE)</f>
        <v>418.25300000000004</v>
      </c>
      <c r="S44" s="1" t="s">
        <v>114</v>
      </c>
    </row>
    <row r="45" spans="2:20">
      <c r="J45" s="11"/>
      <c r="K45" s="11" t="s">
        <v>115</v>
      </c>
      <c r="L45" s="12">
        <f ca="1">+VLOOKUP($S45,Model!$B:$BG,MATCH('Fin Sum'!L$32,Model!$B$4:$BG$4,FALSE),FALSE)+VLOOKUP($T46,Model!$B:$BG,MATCH('Fin Sum'!L$32,Model!$B$4:$BG$4,FALSE),FALSE)</f>
        <v>63.453000000000003</v>
      </c>
      <c r="M45" s="12">
        <f ca="1">+VLOOKUP($S45,Model!$B:$BG,MATCH('Fin Sum'!M$32,Model!$B$4:$BG$4,FALSE),FALSE)+VLOOKUP($T46,Model!$B:$BG,MATCH('Fin Sum'!M$32,Model!$B$4:$BG$4,FALSE),FALSE)</f>
        <v>72.049000000000007</v>
      </c>
      <c r="N45" s="12">
        <f ca="1">+VLOOKUP($S45,Model!$B:$BG,MATCH('Fin Sum'!N$32,Model!$B$4:$BG$4,FALSE),FALSE)+VLOOKUP($T46,Model!$B:$BG,MATCH('Fin Sum'!N$32,Model!$B$4:$BG$4,FALSE),FALSE)</f>
        <v>38.021000000000001</v>
      </c>
      <c r="O45" s="12">
        <f ca="1">+VLOOKUP($S45,Model!$B:$BG,MATCH('Fin Sum'!O$32,Model!$B$4:$BG$4,FALSE),FALSE)+VLOOKUP($T46,Model!$B:$BG,MATCH('Fin Sum'!O$32,Model!$B$4:$BG$4,FALSE),FALSE)</f>
        <v>1.9304942244393413</v>
      </c>
      <c r="P45" s="12">
        <f ca="1">+VLOOKUP($S45,Model!$B:$BG,MATCH('Fin Sum'!P$32,Model!$B$4:$BG$4,FALSE),FALSE)+VLOOKUP($T46,Model!$B:$BG,MATCH('Fin Sum'!P$32,Model!$B$4:$BG$4,FALSE),FALSE)</f>
        <v>1.9304942244393413</v>
      </c>
      <c r="S45" s="1" t="s">
        <v>115</v>
      </c>
      <c r="T45" s="1" t="s">
        <v>116</v>
      </c>
    </row>
    <row r="46" spans="2:20">
      <c r="C46" s="40" t="s">
        <v>117</v>
      </c>
      <c r="D46" s="41"/>
      <c r="E46" s="41"/>
      <c r="F46" s="41"/>
      <c r="G46" s="41"/>
      <c r="H46" s="41"/>
      <c r="I46" s="41"/>
      <c r="J46" s="10"/>
      <c r="K46" s="20" t="s">
        <v>52</v>
      </c>
      <c r="L46" s="21">
        <f ca="1">+L47-SUM(L43:L45)</f>
        <v>44.562000000000012</v>
      </c>
      <c r="M46" s="21">
        <f t="shared" ref="M46:P46" ca="1" si="15">+M47-SUM(M43:M45)</f>
        <v>68.440999999999917</v>
      </c>
      <c r="N46" s="21">
        <f t="shared" ca="1" si="15"/>
        <v>104.55082069339562</v>
      </c>
      <c r="O46" s="21">
        <f t="shared" ca="1" si="15"/>
        <v>104.55082069339551</v>
      </c>
      <c r="P46" s="21">
        <f t="shared" ca="1" si="15"/>
        <v>104.55082069339551</v>
      </c>
      <c r="T46" s="1" t="s">
        <v>118</v>
      </c>
    </row>
    <row r="47" spans="2:20">
      <c r="B47" s="1" t="s">
        <v>119</v>
      </c>
      <c r="C47" s="42" t="s">
        <v>103</v>
      </c>
      <c r="D47" s="43">
        <f>+VLOOKUP($B47,Segment!$1:$1048576,MATCH('Fin Sum'!D$38,Segment!$2:$2,FALSE),FALSE)</f>
        <v>3.7269999999999999</v>
      </c>
      <c r="E47" s="43">
        <f>+VLOOKUP($B47,Segment!$1:$1048576,MATCH('Fin Sum'!E$38,Segment!$2:$2,FALSE),FALSE)</f>
        <v>3.496</v>
      </c>
      <c r="F47" s="43">
        <f>+VLOOKUP($B47,Segment!$1:$1048576,MATCH('Fin Sum'!F$38,Segment!$2:$2,FALSE),FALSE)</f>
        <v>6.226</v>
      </c>
      <c r="G47" s="43">
        <f>+VLOOKUP($B47,Segment!$1:$1048576,MATCH('Fin Sum'!G$38,Segment!$2:$2,FALSE),FALSE)</f>
        <v>7.9939999999999998</v>
      </c>
      <c r="H47" s="43">
        <f>+VLOOKUP($B47,Segment!$1:$1048576,MATCH('Fin Sum'!H$38,Segment!$2:$2,FALSE),FALSE)</f>
        <v>8.4</v>
      </c>
      <c r="I47" s="43">
        <f>+VLOOKUP($B47,Segment!$1:$1048576,MATCH('Fin Sum'!I$38,Segment!$2:$2,FALSE),FALSE)</f>
        <v>8.82</v>
      </c>
      <c r="J47" s="11"/>
      <c r="K47" s="31" t="s">
        <v>120</v>
      </c>
      <c r="L47" s="28">
        <f ca="1">+VLOOKUP($S47,Model!$B:$BG,MATCH('Fin Sum'!L$32,Model!$B$4:$BG$4,FALSE),FALSE)</f>
        <v>174.613</v>
      </c>
      <c r="M47" s="28">
        <f ca="1">+VLOOKUP($S47,Model!$B:$BG,MATCH('Fin Sum'!M$32,Model!$B$4:$BG$4,FALSE),FALSE)</f>
        <v>587.44199999999989</v>
      </c>
      <c r="N47" s="28">
        <f ca="1">+VLOOKUP($S47,Model!$B:$BG,MATCH('Fin Sum'!N$32,Model!$B$4:$BG$4,FALSE),FALSE)</f>
        <v>697.57297725292347</v>
      </c>
      <c r="O47" s="28">
        <f ca="1">+VLOOKUP($S47,Model!$B:$BG,MATCH('Fin Sum'!O$32,Model!$B$4:$BG$4,FALSE),FALSE)</f>
        <v>679.02137273533765</v>
      </c>
      <c r="P47" s="28">
        <f ca="1">+VLOOKUP($S47,Model!$B:$BG,MATCH('Fin Sum'!P$32,Model!$B$4:$BG$4,FALSE),FALSE)</f>
        <v>698.89837302462149</v>
      </c>
      <c r="S47" s="1" t="s">
        <v>120</v>
      </c>
    </row>
    <row r="48" spans="2:20">
      <c r="B48" s="1" t="s">
        <v>121</v>
      </c>
      <c r="C48" s="3" t="s">
        <v>16</v>
      </c>
      <c r="D48" s="44">
        <f>+VLOOKUP($B48,Segment!$1:$1048576,MATCH('Fin Sum'!D$38,Segment!$2:$2,FALSE),FALSE)</f>
        <v>3.7269999999999999</v>
      </c>
      <c r="E48" s="44">
        <f>+VLOOKUP($B48,Segment!$1:$1048576,MATCH('Fin Sum'!E$38,Segment!$2:$2,FALSE),FALSE)</f>
        <v>3.496</v>
      </c>
      <c r="F48" s="44">
        <f>+VLOOKUP($B48,Segment!$1:$1048576,MATCH('Fin Sum'!F$38,Segment!$2:$2,FALSE),FALSE)</f>
        <v>6.226</v>
      </c>
      <c r="G48" s="44">
        <f>+VLOOKUP($B48,Segment!$1:$1048576,MATCH('Fin Sum'!G$38,Segment!$2:$2,FALSE),FALSE)</f>
        <v>7.7779999999999996</v>
      </c>
      <c r="H48" s="44">
        <f>+VLOOKUP($B48,Segment!$1:$1048576,MATCH('Fin Sum'!H$38,Segment!$2:$2,FALSE),FALSE)</f>
        <v>8.4</v>
      </c>
      <c r="I48" s="44">
        <f>+VLOOKUP($B48,Segment!$1:$1048576,MATCH('Fin Sum'!I$38,Segment!$2:$2,FALSE),FALSE)</f>
        <v>8.82</v>
      </c>
      <c r="J48" s="11"/>
      <c r="K48" s="11" t="s">
        <v>122</v>
      </c>
      <c r="L48" s="12">
        <f ca="1">+VLOOKUP($S48,Model!$B:$BG,MATCH('Fin Sum'!L$32,Model!$B$4:$BG$4,FALSE),FALSE)</f>
        <v>315.178</v>
      </c>
      <c r="M48" s="12">
        <f ca="1">+VLOOKUP($S48,Model!$B:$BG,MATCH('Fin Sum'!M$32,Model!$B$4:$BG$4,FALSE),FALSE)</f>
        <v>414.012</v>
      </c>
      <c r="N48" s="12">
        <f ca="1">+VLOOKUP($S48,Model!$B:$BG,MATCH('Fin Sum'!N$32,Model!$B$4:$BG$4,FALSE),FALSE)</f>
        <v>473.11</v>
      </c>
      <c r="O48" s="12">
        <f ca="1">+VLOOKUP($S48,Model!$B:$BG,MATCH('Fin Sum'!O$32,Model!$B$4:$BG$4,FALSE),FALSE)</f>
        <v>473.11</v>
      </c>
      <c r="P48" s="12">
        <f ca="1">+VLOOKUP($S48,Model!$B:$BG,MATCH('Fin Sum'!P$32,Model!$B$4:$BG$4,FALSE),FALSE)</f>
        <v>473.11</v>
      </c>
      <c r="S48" s="1" t="s">
        <v>123</v>
      </c>
    </row>
    <row r="49" spans="2:19">
      <c r="C49" s="47" t="s">
        <v>20</v>
      </c>
      <c r="D49" s="47">
        <f t="shared" ref="D49:I49" si="16">+D48/D$40</f>
        <v>2.3834647532439295E-2</v>
      </c>
      <c r="E49" s="47">
        <f t="shared" si="16"/>
        <v>1.0619522789751068E-2</v>
      </c>
      <c r="F49" s="47">
        <f t="shared" si="16"/>
        <v>1.2243661849961063E-2</v>
      </c>
      <c r="G49" s="47">
        <f t="shared" si="16"/>
        <v>1.2487218162268729E-2</v>
      </c>
      <c r="H49" s="47">
        <f t="shared" si="16"/>
        <v>1.1928921888074637E-2</v>
      </c>
      <c r="I49" s="47">
        <f t="shared" si="16"/>
        <v>1.0876475480791056E-2</v>
      </c>
      <c r="K49" s="11" t="s">
        <v>124</v>
      </c>
      <c r="L49" s="12">
        <f ca="1">+VLOOKUP($S49,Model!$B:$BG,MATCH('Fin Sum'!L$32,Model!$B$4:$BG$4,FALSE),FALSE)</f>
        <v>-187.119</v>
      </c>
      <c r="M49" s="12">
        <f ca="1">+VLOOKUP($S49,Model!$B:$BG,MATCH('Fin Sum'!M$32,Model!$B$4:$BG$4,FALSE),FALSE)</f>
        <v>-152.91399999999999</v>
      </c>
      <c r="N49" s="12">
        <f ca="1">+VLOOKUP($S49,Model!$B:$BG,MATCH('Fin Sum'!N$32,Model!$B$4:$BG$4,FALSE),FALSE)</f>
        <v>-159.52028894137266</v>
      </c>
      <c r="O49" s="12">
        <f ca="1">+VLOOKUP($S49,Model!$B:$BG,MATCH('Fin Sum'!O$32,Model!$B$4:$BG$4,FALSE),FALSE)</f>
        <v>-156.50407878065869</v>
      </c>
      <c r="P49" s="12">
        <f ca="1">+VLOOKUP($S49,Model!$B:$BG,MATCH('Fin Sum'!P$32,Model!$B$4:$BG$4,FALSE),FALSE)</f>
        <v>-138.3571322434089</v>
      </c>
      <c r="S49" s="1" t="s">
        <v>124</v>
      </c>
    </row>
    <row r="50" spans="2:19">
      <c r="B50" s="1" t="s">
        <v>125</v>
      </c>
      <c r="C50" s="42" t="s">
        <v>109</v>
      </c>
      <c r="D50" s="43">
        <f>+VLOOKUP($B50,Segment!$1:$1048576,MATCH('Fin Sum'!D$38,Segment!$2:$2,FALSE),FALSE)</f>
        <v>-25.884196821846306</v>
      </c>
      <c r="E50" s="43">
        <f>+VLOOKUP($B50,Segment!$1:$1048576,MATCH('Fin Sum'!E$38,Segment!$2:$2,FALSE),FALSE)</f>
        <v>-28.091999999999999</v>
      </c>
      <c r="F50" s="43">
        <f>+VLOOKUP($B50,Segment!$1:$1048576,MATCH('Fin Sum'!F$38,Segment!$2:$2,FALSE),FALSE)</f>
        <v>-49.898000000000003</v>
      </c>
      <c r="G50" s="43">
        <f>+VLOOKUP($B50,Segment!$1:$1048576,MATCH('Fin Sum'!G$38,Segment!$2:$2,FALSE),FALSE)</f>
        <v>-91.019697045568336</v>
      </c>
      <c r="H50" s="43">
        <f>+VLOOKUP($B50,Segment!$1:$1048576,MATCH('Fin Sum'!H$38,Segment!$2:$2,FALSE),FALSE)</f>
        <v>-107.65986379569354</v>
      </c>
      <c r="I50" s="43">
        <f>+VLOOKUP($B50,Segment!$1:$1048576,MATCH('Fin Sum'!I$38,Segment!$2:$2,FALSE),FALSE)</f>
        <v>-125.4771367141974</v>
      </c>
      <c r="K50" s="20" t="s">
        <v>52</v>
      </c>
      <c r="L50" s="21">
        <f ca="1">+L51-SUM(L48:L49)</f>
        <v>-25.413999999999987</v>
      </c>
      <c r="M50" s="21">
        <f t="shared" ref="M50:P50" ca="1" si="17">+M51-SUM(M48:M49)</f>
        <v>91.838999999999999</v>
      </c>
      <c r="N50" s="21">
        <f t="shared" ca="1" si="17"/>
        <v>99.812999999999988</v>
      </c>
      <c r="O50" s="21">
        <f t="shared" ca="1" si="17"/>
        <v>99.812999999999988</v>
      </c>
      <c r="P50" s="21">
        <f t="shared" ca="1" si="17"/>
        <v>99.812999999999988</v>
      </c>
    </row>
    <row r="51" spans="2:19">
      <c r="C51" s="48" t="s">
        <v>112</v>
      </c>
      <c r="D51" s="48">
        <f t="shared" ref="D51:I51" si="18">+D50/D$40</f>
        <v>-0.1655327898870384</v>
      </c>
      <c r="E51" s="48">
        <f t="shared" si="18"/>
        <v>-8.533284731398369E-2</v>
      </c>
      <c r="F51" s="48">
        <f t="shared" si="18"/>
        <v>-9.812628316565325E-2</v>
      </c>
      <c r="G51" s="48">
        <f t="shared" si="18"/>
        <v>-0.14612790101203629</v>
      </c>
      <c r="H51" s="48">
        <f t="shared" si="18"/>
        <v>-0.1528888221070932</v>
      </c>
      <c r="I51" s="48">
        <f t="shared" si="18"/>
        <v>-0.15473344681086568</v>
      </c>
      <c r="J51" s="11"/>
      <c r="K51" s="49" t="s">
        <v>126</v>
      </c>
      <c r="L51" s="50">
        <f ca="1">+VLOOKUP($S51,Model!$B:$BG,MATCH('Fin Sum'!L$32,Model!$B$4:$BG$4,FALSE),FALSE)</f>
        <v>102.64500000000001</v>
      </c>
      <c r="M51" s="50">
        <f ca="1">+VLOOKUP($S51,Model!$B:$BG,MATCH('Fin Sum'!M$32,Model!$B$4:$BG$4,FALSE),FALSE)</f>
        <v>352.93700000000001</v>
      </c>
      <c r="N51" s="50">
        <f ca="1">+VLOOKUP($S51,Model!$B:$BG,MATCH('Fin Sum'!N$32,Model!$B$4:$BG$4,FALSE),FALSE)</f>
        <v>413.40271105862735</v>
      </c>
      <c r="O51" s="50">
        <f ca="1">+VLOOKUP($S51,Model!$B:$BG,MATCH('Fin Sum'!O$32,Model!$B$4:$BG$4,FALSE),FALSE)</f>
        <v>416.41892121934131</v>
      </c>
      <c r="P51" s="50">
        <f ca="1">+VLOOKUP($S51,Model!$B:$BG,MATCH('Fin Sum'!P$32,Model!$B$4:$BG$4,FALSE),FALSE)</f>
        <v>434.5658677565911</v>
      </c>
      <c r="S51" s="1" t="s">
        <v>127</v>
      </c>
    </row>
    <row r="52" spans="2:19">
      <c r="C52" s="11"/>
      <c r="D52" s="15"/>
      <c r="E52" s="15"/>
      <c r="F52" s="15"/>
      <c r="G52" s="15"/>
      <c r="H52" s="15"/>
      <c r="I52" s="15"/>
      <c r="J52" s="11"/>
      <c r="K52" s="2"/>
      <c r="L52" s="15"/>
      <c r="M52" s="15"/>
      <c r="N52" s="15"/>
      <c r="O52" s="15"/>
      <c r="P52" s="15"/>
    </row>
    <row r="53" spans="2:19">
      <c r="C53" s="17"/>
      <c r="D53" s="23"/>
      <c r="E53" s="23"/>
      <c r="F53" s="23"/>
      <c r="G53" s="23"/>
      <c r="H53" s="23"/>
      <c r="I53" s="23"/>
      <c r="J53" s="11"/>
    </row>
    <row r="54" spans="2:19">
      <c r="D54" s="12"/>
      <c r="E54" s="12"/>
      <c r="F54" s="12"/>
      <c r="G54" s="12"/>
      <c r="H54" s="12"/>
      <c r="I54" s="12"/>
      <c r="J54" s="11"/>
      <c r="L54" s="38"/>
      <c r="M54" s="38"/>
      <c r="N54" s="38"/>
      <c r="O54" s="38"/>
      <c r="P54" s="38"/>
    </row>
    <row r="55" spans="2:19">
      <c r="C55" s="17"/>
      <c r="D55" s="23"/>
      <c r="E55" s="23"/>
      <c r="F55" s="23"/>
      <c r="G55" s="23"/>
      <c r="H55" s="23"/>
      <c r="I55" s="23"/>
    </row>
  </sheetData>
  <pageMargins left="0" right="0" top="0" bottom="0" header="0" footer="0"/>
  <pageSetup paperSize="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A82BD-3236-4C52-A107-047ABBDAFD35}">
  <sheetPr transitionEvaluation="1" codeName="Sheet3">
    <tabColor rgb="FF00B050"/>
  </sheetPr>
  <dimension ref="A1:DL414"/>
  <sheetViews>
    <sheetView showGridLines="0" zoomScale="70" zoomScaleNormal="70" workbookViewId="0">
      <pane xSplit="4" ySplit="9" topLeftCell="E254" activePane="bottomRight" state="frozen"/>
      <selection pane="topRight" activeCell="E1" sqref="E1"/>
      <selection pane="bottomLeft" activeCell="A10" sqref="A10"/>
      <selection pane="bottomRight" activeCell="DA268" sqref="DA268"/>
    </sheetView>
  </sheetViews>
  <sheetFormatPr defaultColWidth="3.5703125" defaultRowHeight="15" outlineLevelRow="2" outlineLevelCol="1"/>
  <cols>
    <col min="1" max="1" width="1.42578125" style="53" customWidth="1"/>
    <col min="2" max="2" width="44.140625" style="53" customWidth="1"/>
    <col min="3" max="3" width="3.42578125" style="53" customWidth="1"/>
    <col min="4" max="4" width="9.42578125" style="53" customWidth="1"/>
    <col min="5" max="7" width="9.42578125" style="53" hidden="1" customWidth="1" outlineLevel="1"/>
    <col min="8" max="8" width="9.140625" style="53" hidden="1" customWidth="1" outlineLevel="1"/>
    <col min="9" max="11" width="8.5703125" style="53" hidden="1" customWidth="1" outlineLevel="1"/>
    <col min="12" max="19" width="9.42578125" style="53" hidden="1" customWidth="1" outlineLevel="1"/>
    <col min="20" max="20" width="9.42578125" style="53" customWidth="1" collapsed="1"/>
    <col min="21" max="22" width="9.42578125" style="53" customWidth="1" outlineLevel="1"/>
    <col min="23" max="23" width="9.42578125" style="53" customWidth="1"/>
    <col min="24" max="25" width="9.42578125" style="53" customWidth="1" outlineLevel="1"/>
    <col min="26" max="26" width="9.42578125" style="53" customWidth="1"/>
    <col min="27" max="28" width="9.42578125" style="53" customWidth="1" outlineLevel="1"/>
    <col min="29" max="29" width="9.5703125" style="53" customWidth="1"/>
    <col min="30" max="31" width="9.42578125" style="53" customWidth="1" outlineLevel="1"/>
    <col min="32" max="32" width="9.42578125" style="53" customWidth="1"/>
    <col min="33" max="34" width="9.42578125" style="53" customWidth="1" outlineLevel="1"/>
    <col min="35" max="35" width="9.42578125" style="53" customWidth="1"/>
    <col min="36" max="37" width="9.42578125" style="53" hidden="1" customWidth="1" outlineLevel="1"/>
    <col min="38" max="38" width="9.42578125" style="53" customWidth="1" collapsed="1"/>
    <col min="39" max="40" width="9.42578125" style="53" hidden="1" customWidth="1" outlineLevel="1"/>
    <col min="41" max="41" width="9.42578125" style="53" customWidth="1" collapsed="1"/>
    <col min="42" max="43" width="9.42578125" style="53" hidden="1" customWidth="1" outlineLevel="1"/>
    <col min="44" max="44" width="9.42578125" style="53" customWidth="1" collapsed="1"/>
    <col min="45" max="46" width="9.42578125" style="53" hidden="1" customWidth="1" outlineLevel="1"/>
    <col min="47" max="47" width="9.42578125" style="53" customWidth="1" collapsed="1"/>
    <col min="48" max="49" width="9.42578125" style="53" hidden="1" customWidth="1" outlineLevel="1"/>
    <col min="50" max="50" width="9.42578125" style="53" customWidth="1" collapsed="1"/>
    <col min="51" max="52" width="9.42578125" style="53" hidden="1" customWidth="1" outlineLevel="1"/>
    <col min="53" max="53" width="9.42578125" style="53" customWidth="1" collapsed="1"/>
    <col min="54" max="55" width="9.42578125" style="53" hidden="1" customWidth="1" outlineLevel="1"/>
    <col min="56" max="56" width="9.42578125" style="53" customWidth="1" collapsed="1"/>
    <col min="57" max="58" width="9.42578125" style="53" hidden="1" customWidth="1" outlineLevel="1"/>
    <col min="59" max="59" width="9.42578125" style="53" customWidth="1" collapsed="1"/>
    <col min="60" max="60" width="9.42578125" style="53" customWidth="1"/>
    <col min="61" max="61" width="3.5703125" style="53"/>
    <col min="62" max="62" width="43.42578125" customWidth="1"/>
    <col min="64" max="64" width="40" bestFit="1" customWidth="1"/>
    <col min="65" max="65" width="11.140625" bestFit="1" customWidth="1"/>
    <col min="66" max="66" width="5.42578125" bestFit="1" customWidth="1"/>
    <col min="67" max="67" width="9.85546875" bestFit="1" customWidth="1"/>
    <col min="68" max="68" width="4.5703125" style="53" bestFit="1" customWidth="1"/>
    <col min="69" max="16384" width="3.5703125" style="53"/>
  </cols>
  <sheetData>
    <row r="1" spans="1:67" s="61" customFormat="1" outlineLevel="1">
      <c r="B1" s="61">
        <f ca="1">NOW()</f>
        <v>46043.529926967596</v>
      </c>
      <c r="E1" s="62"/>
      <c r="H1" s="62"/>
      <c r="K1" s="62"/>
      <c r="N1" s="62"/>
      <c r="Q1" s="62"/>
      <c r="T1" s="62"/>
      <c r="W1" s="62"/>
      <c r="Z1" s="62"/>
      <c r="AC1" s="62"/>
      <c r="AF1" s="62"/>
      <c r="AI1" s="62"/>
      <c r="AL1" s="62"/>
      <c r="AO1" s="62"/>
      <c r="AR1" s="62"/>
      <c r="AU1" s="62"/>
      <c r="AX1" s="62"/>
      <c r="BA1" s="62"/>
      <c r="BD1" s="62"/>
      <c r="BG1" s="62"/>
      <c r="BJ1"/>
      <c r="BK1"/>
      <c r="BL1"/>
      <c r="BM1"/>
      <c r="BN1"/>
      <c r="BO1"/>
    </row>
    <row r="2" spans="1:67" s="61" customFormat="1" outlineLevel="1">
      <c r="B2" s="64">
        <f ca="1">NOW()</f>
        <v>46043.529926967596</v>
      </c>
      <c r="E2" s="65" t="s">
        <v>149</v>
      </c>
      <c r="F2" s="66" t="s">
        <v>149</v>
      </c>
      <c r="G2" s="66" t="s">
        <v>149</v>
      </c>
      <c r="H2" s="65" t="s">
        <v>149</v>
      </c>
      <c r="I2" s="66" t="s">
        <v>149</v>
      </c>
      <c r="J2" s="66" t="s">
        <v>149</v>
      </c>
      <c r="K2" s="65" t="s">
        <v>149</v>
      </c>
      <c r="L2" s="66" t="s">
        <v>149</v>
      </c>
      <c r="M2" s="66" t="s">
        <v>150</v>
      </c>
      <c r="N2" s="65" t="s">
        <v>150</v>
      </c>
      <c r="O2" s="66" t="s">
        <v>149</v>
      </c>
      <c r="P2" s="66" t="s">
        <v>149</v>
      </c>
      <c r="Q2" s="65" t="s">
        <v>149</v>
      </c>
      <c r="R2" s="66" t="s">
        <v>149</v>
      </c>
      <c r="S2" s="66" t="s">
        <v>149</v>
      </c>
      <c r="T2" s="65" t="s">
        <v>149</v>
      </c>
      <c r="U2" s="66" t="s">
        <v>149</v>
      </c>
      <c r="V2" s="66" t="s">
        <v>149</v>
      </c>
      <c r="W2" s="65" t="s">
        <v>149</v>
      </c>
      <c r="X2" s="66" t="s">
        <v>149</v>
      </c>
      <c r="Y2" s="66" t="s">
        <v>149</v>
      </c>
      <c r="Z2" s="65" t="s">
        <v>149</v>
      </c>
      <c r="AA2" s="66" t="s">
        <v>149</v>
      </c>
      <c r="AB2" s="66" t="s">
        <v>150</v>
      </c>
      <c r="AC2" s="65" t="s">
        <v>150</v>
      </c>
      <c r="AD2" s="66" t="s">
        <v>150</v>
      </c>
      <c r="AE2" s="66" t="s">
        <v>150</v>
      </c>
      <c r="AF2" s="65" t="s">
        <v>150</v>
      </c>
      <c r="AG2" s="66" t="s">
        <v>150</v>
      </c>
      <c r="AH2" s="66" t="s">
        <v>150</v>
      </c>
      <c r="AI2" s="65" t="s">
        <v>150</v>
      </c>
      <c r="AJ2" s="66" t="s">
        <v>150</v>
      </c>
      <c r="AK2" s="66" t="s">
        <v>150</v>
      </c>
      <c r="AL2" s="65" t="s">
        <v>150</v>
      </c>
      <c r="AM2" s="66" t="s">
        <v>150</v>
      </c>
      <c r="AN2" s="66" t="s">
        <v>150</v>
      </c>
      <c r="AO2" s="65" t="s">
        <v>150</v>
      </c>
      <c r="AP2" s="66" t="s">
        <v>150</v>
      </c>
      <c r="AQ2" s="66" t="s">
        <v>150</v>
      </c>
      <c r="AR2" s="65" t="s">
        <v>150</v>
      </c>
      <c r="AS2" s="66" t="s">
        <v>150</v>
      </c>
      <c r="AT2" s="66" t="s">
        <v>150</v>
      </c>
      <c r="AU2" s="65" t="s">
        <v>150</v>
      </c>
      <c r="AV2" s="66" t="s">
        <v>150</v>
      </c>
      <c r="AW2" s="66" t="s">
        <v>150</v>
      </c>
      <c r="AX2" s="65" t="s">
        <v>150</v>
      </c>
      <c r="AY2" s="66" t="s">
        <v>150</v>
      </c>
      <c r="AZ2" s="66" t="s">
        <v>150</v>
      </c>
      <c r="BA2" s="65" t="s">
        <v>150</v>
      </c>
      <c r="BB2" s="66" t="s">
        <v>150</v>
      </c>
      <c r="BC2" s="66" t="s">
        <v>150</v>
      </c>
      <c r="BD2" s="65" t="s">
        <v>150</v>
      </c>
      <c r="BE2" s="66" t="s">
        <v>150</v>
      </c>
      <c r="BF2" s="66" t="s">
        <v>150</v>
      </c>
      <c r="BG2" s="65" t="s">
        <v>150</v>
      </c>
      <c r="BJ2"/>
      <c r="BK2"/>
      <c r="BL2"/>
      <c r="BM2"/>
      <c r="BN2"/>
      <c r="BO2"/>
    </row>
    <row r="3" spans="1:67" s="61" customFormat="1" outlineLevel="1">
      <c r="A3" s="67"/>
      <c r="B3" s="68" t="s">
        <v>151</v>
      </c>
      <c r="C3" s="69"/>
      <c r="D3" s="69"/>
      <c r="E3" s="62"/>
      <c r="H3" s="62"/>
      <c r="K3" s="62"/>
      <c r="N3" s="62"/>
      <c r="Q3" s="62"/>
      <c r="T3" s="62"/>
      <c r="W3" s="62"/>
      <c r="Z3" s="62"/>
      <c r="AC3" s="62"/>
      <c r="AF3" s="62"/>
      <c r="AI3" s="62"/>
      <c r="AL3" s="62"/>
      <c r="AO3" s="62"/>
      <c r="AR3" s="62"/>
      <c r="AU3" s="62"/>
      <c r="AX3" s="62"/>
      <c r="BA3" s="62"/>
      <c r="BD3" s="62"/>
      <c r="BG3" s="62"/>
      <c r="BJ3"/>
      <c r="BK3"/>
      <c r="BL3"/>
      <c r="BM3"/>
      <c r="BN3"/>
      <c r="BO3"/>
    </row>
    <row r="4" spans="1:67" s="61" customFormat="1" outlineLevel="1">
      <c r="A4" s="70" t="s">
        <v>152</v>
      </c>
      <c r="B4" s="71"/>
      <c r="D4" s="72" t="s">
        <v>153</v>
      </c>
      <c r="E4" s="73" t="str">
        <f>IF(E5="E","2017E","2017")</f>
        <v>2017</v>
      </c>
      <c r="F4" s="74" t="str">
        <f>IF(F5="E","1H18E","1H18")</f>
        <v>1H18</v>
      </c>
      <c r="G4" s="74" t="str">
        <f>IF(G5="E","2H18E","2H18")</f>
        <v>2H18</v>
      </c>
      <c r="H4" s="73" t="str">
        <f>IF(H5="E","2018E","2018")</f>
        <v>2018</v>
      </c>
      <c r="I4" s="74" t="str">
        <f>IF(I5="E","1H19E","1H19")</f>
        <v>1H19</v>
      </c>
      <c r="J4" s="74" t="str">
        <f>IF(J5="E","2H19E","2H19")</f>
        <v>2H19</v>
      </c>
      <c r="K4" s="73" t="str">
        <f>IF(K5="E","2019E","2019")</f>
        <v>2019</v>
      </c>
      <c r="L4" s="74" t="str">
        <f>IF(L5="E","1H20E","1H20")</f>
        <v>1H20</v>
      </c>
      <c r="M4" s="74" t="str">
        <f>IF(M5="E","2H20E","2H20")</f>
        <v>2H20E</v>
      </c>
      <c r="N4" s="73" t="str">
        <f>IF(N5="E","2020E","2020")</f>
        <v>2020E</v>
      </c>
      <c r="O4" s="74" t="str">
        <f>IF(O5="E","1H21E","1H21")</f>
        <v>1H21</v>
      </c>
      <c r="P4" s="74" t="str">
        <f>IF(P5="E","2H21E","2H21")</f>
        <v>2H21</v>
      </c>
      <c r="Q4" s="73" t="str">
        <f>IF(Q5="E","2021E","2021")</f>
        <v>2021</v>
      </c>
      <c r="R4" s="74" t="str">
        <f>IF(R5="E","1H22E","1H22")</f>
        <v>1H22</v>
      </c>
      <c r="S4" s="74" t="str">
        <f>IF(S5="E","2H22E","2H22")</f>
        <v>2H22</v>
      </c>
      <c r="T4" s="73" t="str">
        <f>IF(T5="E","2022E","2022")</f>
        <v>2022</v>
      </c>
      <c r="U4" s="74" t="str">
        <f>IF(U5="E","1H23E","1H23")</f>
        <v>1H23</v>
      </c>
      <c r="V4" s="74" t="str">
        <f>IF(V5="E","2H23E","2H23")</f>
        <v>2H23</v>
      </c>
      <c r="W4" s="73" t="str">
        <f>IF(W5="E","2023E","2023")</f>
        <v>2023</v>
      </c>
      <c r="X4" s="74" t="str">
        <f>IF(X5="E","1H24E","1H24")</f>
        <v>1H24</v>
      </c>
      <c r="Y4" s="74" t="str">
        <f>IF(Y5="E","2H24E","2H24")</f>
        <v>2H24</v>
      </c>
      <c r="Z4" s="73" t="str">
        <f>IF(Z5="E","2024E","2024")</f>
        <v>2024</v>
      </c>
      <c r="AA4" s="74" t="str">
        <f>IF(AA5="E","1H25E","1H25")</f>
        <v>1H25</v>
      </c>
      <c r="AB4" s="74" t="str">
        <f>IF(AB5="E","2H25E","2H25")</f>
        <v>2H25E</v>
      </c>
      <c r="AC4" s="73" t="str">
        <f>IF(AC5="E","2025E","2025")</f>
        <v>2025E</v>
      </c>
      <c r="AD4" s="74" t="str">
        <f>IF(AD5="E","1H26E","1H26")</f>
        <v>1H26E</v>
      </c>
      <c r="AE4" s="74" t="str">
        <f>IF(AE5="E","2H26E","2H26")</f>
        <v>2H26E</v>
      </c>
      <c r="AF4" s="73" t="str">
        <f>IF(AF5="E","2026E","2026")</f>
        <v>2026E</v>
      </c>
      <c r="AG4" s="74" t="str">
        <f>IF(AG5="E","1H27E","1H27")</f>
        <v>1H27E</v>
      </c>
      <c r="AH4" s="74" t="str">
        <f>IF(AH5="E","2H27E","2H27")</f>
        <v>2H27E</v>
      </c>
      <c r="AI4" s="73" t="str">
        <f>IF(AI5="E","2027E","2027")</f>
        <v>2027E</v>
      </c>
      <c r="AJ4" s="74" t="str">
        <f>IF(AJ5="E","1H28E","1H28")</f>
        <v>1H28E</v>
      </c>
      <c r="AK4" s="74" t="str">
        <f>IF(AK5="E","2H28E","2H28")</f>
        <v>2H28E</v>
      </c>
      <c r="AL4" s="73" t="str">
        <f>IF(AL5="E","2028E","2028")</f>
        <v>2028E</v>
      </c>
      <c r="AM4" s="74" t="str">
        <f>IF(AM5="E","1H29E","1H29")</f>
        <v>1H29E</v>
      </c>
      <c r="AN4" s="74" t="str">
        <f>IF(AN5="E","2H29E","2H29")</f>
        <v>2H29E</v>
      </c>
      <c r="AO4" s="73" t="str">
        <f>IF(AO5="E","2029E","2029")</f>
        <v>2029E</v>
      </c>
      <c r="AP4" s="74" t="str">
        <f>IF(AP5="E","1H30E","1H30")</f>
        <v>1H30E</v>
      </c>
      <c r="AQ4" s="74" t="str">
        <f>IF(AQ5="E","2H30E","2H30")</f>
        <v>2H30E</v>
      </c>
      <c r="AR4" s="73" t="str">
        <f>IF(AR5="E","2030E","2030")</f>
        <v>2030E</v>
      </c>
      <c r="AS4" s="74" t="str">
        <f>IF(AS5="E","1H31E","1H31")</f>
        <v>1H31E</v>
      </c>
      <c r="AT4" s="74" t="str">
        <f>IF(AT5="E","2H31E","2H31")</f>
        <v>2H31E</v>
      </c>
      <c r="AU4" s="73" t="str">
        <f>IF(AU5="E","2031E","2031")</f>
        <v>2031E</v>
      </c>
      <c r="AV4" s="74" t="str">
        <f>IF(AV5="E","1H32E","1H32")</f>
        <v>1H32E</v>
      </c>
      <c r="AW4" s="74" t="str">
        <f>IF(AW5="E","2H32E","2H32")</f>
        <v>2H32E</v>
      </c>
      <c r="AX4" s="73" t="str">
        <f>IF(AX5="E","2032E","2032")</f>
        <v>2032E</v>
      </c>
      <c r="AY4" s="74" t="str">
        <f>IF(AY5="E","1H33E","1H33")</f>
        <v>1H33E</v>
      </c>
      <c r="AZ4" s="74" t="str">
        <f>IF(AZ5="E","2H33E","2H33")</f>
        <v>2H33E</v>
      </c>
      <c r="BA4" s="73" t="str">
        <f>IF(BA5="E","2033E","2033")</f>
        <v>2033E</v>
      </c>
      <c r="BB4" s="74" t="str">
        <f>IF(BB5="E","1H34E","1H34")</f>
        <v>1H34E</v>
      </c>
      <c r="BC4" s="74" t="str">
        <f>IF(BC5="E","2H34E","2H34")</f>
        <v>2H34E</v>
      </c>
      <c r="BD4" s="73" t="str">
        <f>IF(BD5="E","2034E","2034")</f>
        <v>2034E</v>
      </c>
      <c r="BE4" s="74" t="str">
        <f>IF(BE5="E","1H35E","1H35")</f>
        <v>1H35E</v>
      </c>
      <c r="BF4" s="74" t="str">
        <f>IF(BF5="E","2H35E","2H35")</f>
        <v>2H35E</v>
      </c>
      <c r="BG4" s="73" t="str">
        <f>IF(BG5="E","2035E","2035")</f>
        <v>2035E</v>
      </c>
      <c r="BH4" s="74"/>
      <c r="BJ4"/>
      <c r="BK4"/>
      <c r="BL4"/>
      <c r="BM4"/>
      <c r="BN4"/>
      <c r="BO4"/>
    </row>
    <row r="5" spans="1:67" s="61" customFormat="1" outlineLevel="1">
      <c r="B5" s="70" t="s">
        <v>154</v>
      </c>
      <c r="D5" s="75"/>
      <c r="E5" s="76" t="str">
        <f>+E2</f>
        <v>A</v>
      </c>
      <c r="F5" s="77" t="str">
        <f t="shared" ref="F5:BG5" si="0">+F2</f>
        <v>A</v>
      </c>
      <c r="G5" s="77" t="str">
        <f t="shared" si="0"/>
        <v>A</v>
      </c>
      <c r="H5" s="76" t="str">
        <f t="shared" si="0"/>
        <v>A</v>
      </c>
      <c r="I5" s="77" t="str">
        <f t="shared" si="0"/>
        <v>A</v>
      </c>
      <c r="J5" s="77" t="str">
        <f t="shared" si="0"/>
        <v>A</v>
      </c>
      <c r="K5" s="76" t="str">
        <f t="shared" si="0"/>
        <v>A</v>
      </c>
      <c r="L5" s="77" t="str">
        <f t="shared" si="0"/>
        <v>A</v>
      </c>
      <c r="M5" s="77" t="str">
        <f t="shared" si="0"/>
        <v>E</v>
      </c>
      <c r="N5" s="76" t="str">
        <f t="shared" si="0"/>
        <v>E</v>
      </c>
      <c r="O5" s="77" t="str">
        <f t="shared" si="0"/>
        <v>A</v>
      </c>
      <c r="P5" s="77" t="str">
        <f t="shared" si="0"/>
        <v>A</v>
      </c>
      <c r="Q5" s="76" t="str">
        <f t="shared" si="0"/>
        <v>A</v>
      </c>
      <c r="R5" s="77" t="str">
        <f t="shared" si="0"/>
        <v>A</v>
      </c>
      <c r="S5" s="77" t="str">
        <f t="shared" si="0"/>
        <v>A</v>
      </c>
      <c r="T5" s="76" t="str">
        <f t="shared" si="0"/>
        <v>A</v>
      </c>
      <c r="U5" s="77" t="str">
        <f t="shared" si="0"/>
        <v>A</v>
      </c>
      <c r="V5" s="77" t="str">
        <f t="shared" si="0"/>
        <v>A</v>
      </c>
      <c r="W5" s="76" t="str">
        <f t="shared" si="0"/>
        <v>A</v>
      </c>
      <c r="X5" s="77" t="str">
        <f t="shared" si="0"/>
        <v>A</v>
      </c>
      <c r="Y5" s="77" t="str">
        <f t="shared" si="0"/>
        <v>A</v>
      </c>
      <c r="Z5" s="76" t="str">
        <f t="shared" si="0"/>
        <v>A</v>
      </c>
      <c r="AA5" s="77" t="str">
        <f t="shared" si="0"/>
        <v>A</v>
      </c>
      <c r="AB5" s="77" t="str">
        <f t="shared" si="0"/>
        <v>E</v>
      </c>
      <c r="AC5" s="76" t="str">
        <f t="shared" si="0"/>
        <v>E</v>
      </c>
      <c r="AD5" s="77" t="str">
        <f t="shared" si="0"/>
        <v>E</v>
      </c>
      <c r="AE5" s="77" t="str">
        <f t="shared" si="0"/>
        <v>E</v>
      </c>
      <c r="AF5" s="76" t="str">
        <f t="shared" si="0"/>
        <v>E</v>
      </c>
      <c r="AG5" s="77" t="str">
        <f t="shared" si="0"/>
        <v>E</v>
      </c>
      <c r="AH5" s="77" t="str">
        <f t="shared" si="0"/>
        <v>E</v>
      </c>
      <c r="AI5" s="76" t="str">
        <f t="shared" si="0"/>
        <v>E</v>
      </c>
      <c r="AJ5" s="77" t="str">
        <f t="shared" si="0"/>
        <v>E</v>
      </c>
      <c r="AK5" s="77" t="str">
        <f t="shared" si="0"/>
        <v>E</v>
      </c>
      <c r="AL5" s="76" t="str">
        <f t="shared" si="0"/>
        <v>E</v>
      </c>
      <c r="AM5" s="77" t="str">
        <f t="shared" si="0"/>
        <v>E</v>
      </c>
      <c r="AN5" s="77" t="str">
        <f t="shared" si="0"/>
        <v>E</v>
      </c>
      <c r="AO5" s="76" t="str">
        <f t="shared" si="0"/>
        <v>E</v>
      </c>
      <c r="AP5" s="77" t="str">
        <f t="shared" si="0"/>
        <v>E</v>
      </c>
      <c r="AQ5" s="77" t="str">
        <f t="shared" si="0"/>
        <v>E</v>
      </c>
      <c r="AR5" s="76" t="str">
        <f t="shared" si="0"/>
        <v>E</v>
      </c>
      <c r="AS5" s="77" t="str">
        <f t="shared" si="0"/>
        <v>E</v>
      </c>
      <c r="AT5" s="77" t="str">
        <f t="shared" si="0"/>
        <v>E</v>
      </c>
      <c r="AU5" s="76" t="str">
        <f t="shared" si="0"/>
        <v>E</v>
      </c>
      <c r="AV5" s="77" t="str">
        <f t="shared" si="0"/>
        <v>E</v>
      </c>
      <c r="AW5" s="77" t="str">
        <f t="shared" si="0"/>
        <v>E</v>
      </c>
      <c r="AX5" s="76" t="str">
        <f t="shared" si="0"/>
        <v>E</v>
      </c>
      <c r="AY5" s="77" t="str">
        <f t="shared" si="0"/>
        <v>E</v>
      </c>
      <c r="AZ5" s="77" t="str">
        <f t="shared" si="0"/>
        <v>E</v>
      </c>
      <c r="BA5" s="76" t="str">
        <f t="shared" si="0"/>
        <v>E</v>
      </c>
      <c r="BB5" s="77" t="str">
        <f t="shared" si="0"/>
        <v>E</v>
      </c>
      <c r="BC5" s="77" t="str">
        <f t="shared" si="0"/>
        <v>E</v>
      </c>
      <c r="BD5" s="76" t="str">
        <f t="shared" si="0"/>
        <v>E</v>
      </c>
      <c r="BE5" s="77" t="str">
        <f t="shared" si="0"/>
        <v>E</v>
      </c>
      <c r="BF5" s="77" t="str">
        <f t="shared" si="0"/>
        <v>E</v>
      </c>
      <c r="BG5" s="76" t="str">
        <f t="shared" si="0"/>
        <v>E</v>
      </c>
      <c r="BH5" s="77"/>
      <c r="BJ5"/>
      <c r="BK5"/>
      <c r="BL5"/>
      <c r="BM5"/>
      <c r="BN5"/>
      <c r="BO5"/>
    </row>
    <row r="6" spans="1:67" s="61" customFormat="1" outlineLevel="1">
      <c r="B6" s="70" t="s">
        <v>155</v>
      </c>
      <c r="E6" s="78"/>
      <c r="F6" s="79"/>
      <c r="G6" s="79"/>
      <c r="H6" s="78"/>
      <c r="I6" s="79"/>
      <c r="J6" s="79"/>
      <c r="K6" s="78"/>
      <c r="L6" s="79"/>
      <c r="M6" s="79"/>
      <c r="N6" s="78"/>
      <c r="O6" s="79"/>
      <c r="P6" s="79"/>
      <c r="Q6" s="78"/>
      <c r="R6" s="79"/>
      <c r="S6" s="79"/>
      <c r="T6" s="78"/>
      <c r="U6" s="79"/>
      <c r="V6" s="79"/>
      <c r="W6" s="78"/>
      <c r="X6" s="79"/>
      <c r="Y6" s="79"/>
      <c r="Z6" s="78"/>
      <c r="AA6" s="79"/>
      <c r="AB6" s="79"/>
      <c r="AC6" s="78"/>
      <c r="AD6" s="79"/>
      <c r="AE6" s="79"/>
      <c r="AF6" s="78"/>
      <c r="AG6" s="79"/>
      <c r="AH6" s="79"/>
      <c r="AI6" s="78"/>
      <c r="AJ6" s="79"/>
      <c r="AK6" s="79"/>
      <c r="AL6" s="78"/>
      <c r="AM6" s="79"/>
      <c r="AN6" s="79"/>
      <c r="AO6" s="78"/>
      <c r="AP6" s="79"/>
      <c r="AQ6" s="79"/>
      <c r="AR6" s="78"/>
      <c r="AS6" s="79"/>
      <c r="AT6" s="79"/>
      <c r="AU6" s="78"/>
      <c r="AV6" s="79"/>
      <c r="AW6" s="79"/>
      <c r="AX6" s="78"/>
      <c r="AY6" s="79"/>
      <c r="AZ6" s="79"/>
      <c r="BA6" s="78"/>
      <c r="BB6" s="79"/>
      <c r="BC6" s="79"/>
      <c r="BD6" s="78"/>
      <c r="BE6" s="79"/>
      <c r="BF6" s="79"/>
      <c r="BG6" s="78"/>
      <c r="BH6" s="79"/>
      <c r="BJ6"/>
      <c r="BK6"/>
      <c r="BL6"/>
      <c r="BM6"/>
      <c r="BN6"/>
      <c r="BO6"/>
    </row>
    <row r="7" spans="1:67" s="61" customFormat="1" outlineLevel="2">
      <c r="B7" s="61" t="s">
        <v>156</v>
      </c>
      <c r="D7" s="75"/>
      <c r="E7" s="80"/>
      <c r="F7" s="81">
        <v>43281</v>
      </c>
      <c r="G7" s="81">
        <f>+EOMONTH(F7,6)</f>
        <v>43465</v>
      </c>
      <c r="H7" s="82">
        <f>+G7</f>
        <v>43465</v>
      </c>
      <c r="I7" s="81">
        <f>+EOMONTH(G7,6)</f>
        <v>43646</v>
      </c>
      <c r="J7" s="81">
        <f>+EOMONTH(I7,6)</f>
        <v>43830</v>
      </c>
      <c r="K7" s="82">
        <f>+J7</f>
        <v>43830</v>
      </c>
      <c r="L7" s="81">
        <f t="shared" ref="L7" si="1">+EOMONTH(J7,6)</f>
        <v>44012</v>
      </c>
      <c r="M7" s="81">
        <f t="shared" ref="M7" si="2">+EOMONTH(L7,6)</f>
        <v>44196</v>
      </c>
      <c r="N7" s="82">
        <f t="shared" ref="N7" si="3">+M7</f>
        <v>44196</v>
      </c>
      <c r="O7" s="81">
        <f t="shared" ref="O7" si="4">+EOMONTH(M7,6)</f>
        <v>44377</v>
      </c>
      <c r="P7" s="81">
        <f t="shared" ref="P7" si="5">+EOMONTH(O7,6)</f>
        <v>44561</v>
      </c>
      <c r="Q7" s="82">
        <f t="shared" ref="Q7" si="6">+P7</f>
        <v>44561</v>
      </c>
      <c r="R7" s="81">
        <f t="shared" ref="R7" si="7">+EOMONTH(P7,6)</f>
        <v>44742</v>
      </c>
      <c r="S7" s="81">
        <f t="shared" ref="S7" si="8">+EOMONTH(R7,6)</f>
        <v>44926</v>
      </c>
      <c r="T7" s="82">
        <f t="shared" ref="T7" si="9">+S7</f>
        <v>44926</v>
      </c>
      <c r="U7" s="81">
        <f t="shared" ref="U7" si="10">+EOMONTH(S7,6)</f>
        <v>45107</v>
      </c>
      <c r="V7" s="81">
        <f t="shared" ref="V7" si="11">+EOMONTH(U7,6)</f>
        <v>45291</v>
      </c>
      <c r="W7" s="82">
        <f t="shared" ref="W7" si="12">+V7</f>
        <v>45291</v>
      </c>
      <c r="X7" s="81">
        <f t="shared" ref="X7" si="13">+EOMONTH(V7,6)</f>
        <v>45473</v>
      </c>
      <c r="Y7" s="81">
        <f t="shared" ref="Y7" si="14">+EOMONTH(X7,6)</f>
        <v>45657</v>
      </c>
      <c r="Z7" s="82">
        <f t="shared" ref="Z7" si="15">+Y7</f>
        <v>45657</v>
      </c>
      <c r="AA7" s="81">
        <f t="shared" ref="AA7" si="16">+EOMONTH(Y7,6)</f>
        <v>45838</v>
      </c>
      <c r="AB7" s="81">
        <f t="shared" ref="AB7" si="17">+EOMONTH(AA7,6)</f>
        <v>46022</v>
      </c>
      <c r="AC7" s="82">
        <f t="shared" ref="AC7" si="18">+AB7</f>
        <v>46022</v>
      </c>
      <c r="AD7" s="81">
        <f t="shared" ref="AD7" si="19">+EOMONTH(AB7,6)</f>
        <v>46203</v>
      </c>
      <c r="AE7" s="81">
        <f t="shared" ref="AE7" si="20">+EOMONTH(AD7,6)</f>
        <v>46387</v>
      </c>
      <c r="AF7" s="82">
        <f t="shared" ref="AF7" si="21">+AE7</f>
        <v>46387</v>
      </c>
      <c r="AG7" s="81">
        <f t="shared" ref="AG7" si="22">+EOMONTH(AE7,6)</f>
        <v>46568</v>
      </c>
      <c r="AH7" s="81">
        <f t="shared" ref="AH7" si="23">+EOMONTH(AG7,6)</f>
        <v>46752</v>
      </c>
      <c r="AI7" s="82">
        <f t="shared" ref="AI7" si="24">+AH7</f>
        <v>46752</v>
      </c>
      <c r="AJ7" s="81">
        <f t="shared" ref="AJ7" si="25">+EOMONTH(AH7,6)</f>
        <v>46934</v>
      </c>
      <c r="AK7" s="81">
        <f t="shared" ref="AK7" si="26">+EOMONTH(AJ7,6)</f>
        <v>47118</v>
      </c>
      <c r="AL7" s="82">
        <f t="shared" ref="AL7" si="27">+AK7</f>
        <v>47118</v>
      </c>
      <c r="AM7" s="81">
        <f t="shared" ref="AM7" si="28">+EOMONTH(AK7,6)</f>
        <v>47299</v>
      </c>
      <c r="AN7" s="81">
        <f t="shared" ref="AN7" si="29">+EOMONTH(AM7,6)</f>
        <v>47483</v>
      </c>
      <c r="AO7" s="82">
        <f t="shared" ref="AO7" si="30">+AN7</f>
        <v>47483</v>
      </c>
      <c r="AP7" s="81">
        <f t="shared" ref="AP7" si="31">+EOMONTH(AN7,6)</f>
        <v>47664</v>
      </c>
      <c r="AQ7" s="81">
        <f t="shared" ref="AQ7" si="32">+EOMONTH(AP7,6)</f>
        <v>47848</v>
      </c>
      <c r="AR7" s="82">
        <f t="shared" ref="AR7" si="33">+AQ7</f>
        <v>47848</v>
      </c>
      <c r="AS7" s="81">
        <f t="shared" ref="AS7" si="34">+EOMONTH(AQ7,6)</f>
        <v>48029</v>
      </c>
      <c r="AT7" s="81">
        <f t="shared" ref="AT7" si="35">+EOMONTH(AS7,6)</f>
        <v>48213</v>
      </c>
      <c r="AU7" s="82">
        <f t="shared" ref="AU7" si="36">+AT7</f>
        <v>48213</v>
      </c>
      <c r="AV7" s="81">
        <f t="shared" ref="AV7" si="37">+EOMONTH(AT7,6)</f>
        <v>48395</v>
      </c>
      <c r="AW7" s="81">
        <f t="shared" ref="AW7" si="38">+EOMONTH(AV7,6)</f>
        <v>48579</v>
      </c>
      <c r="AX7" s="82">
        <f t="shared" ref="AX7" si="39">+AW7</f>
        <v>48579</v>
      </c>
      <c r="AY7" s="81">
        <f t="shared" ref="AY7" si="40">+EOMONTH(AW7,6)</f>
        <v>48760</v>
      </c>
      <c r="AZ7" s="81">
        <f t="shared" ref="AZ7" si="41">+EOMONTH(AY7,6)</f>
        <v>48944</v>
      </c>
      <c r="BA7" s="82">
        <f t="shared" ref="BA7" si="42">+AZ7</f>
        <v>48944</v>
      </c>
      <c r="BB7" s="81">
        <f t="shared" ref="BB7" si="43">+EOMONTH(AZ7,6)</f>
        <v>49125</v>
      </c>
      <c r="BC7" s="81">
        <f t="shared" ref="BC7" si="44">+EOMONTH(BB7,6)</f>
        <v>49309</v>
      </c>
      <c r="BD7" s="82">
        <f t="shared" ref="BD7" si="45">+BC7</f>
        <v>49309</v>
      </c>
      <c r="BE7" s="81">
        <f t="shared" ref="BE7" si="46">+EOMONTH(BC7,6)</f>
        <v>49490</v>
      </c>
      <c r="BF7" s="81">
        <f t="shared" ref="BF7" si="47">+EOMONTH(BE7,6)</f>
        <v>49674</v>
      </c>
      <c r="BG7" s="82">
        <f t="shared" ref="BG7" si="48">+BF7</f>
        <v>49674</v>
      </c>
      <c r="BH7" s="83"/>
      <c r="BJ7"/>
      <c r="BK7"/>
      <c r="BL7"/>
      <c r="BM7"/>
      <c r="BN7"/>
      <c r="BO7"/>
    </row>
    <row r="8" spans="1:67" s="61" customFormat="1" outlineLevel="1">
      <c r="B8" s="70"/>
      <c r="E8" s="78"/>
      <c r="F8" s="79"/>
      <c r="G8" s="79"/>
      <c r="H8" s="78"/>
      <c r="I8" s="79">
        <f>I49*2</f>
        <v>0</v>
      </c>
      <c r="J8" s="79"/>
      <c r="K8" s="78"/>
      <c r="L8" s="79"/>
      <c r="M8" s="79"/>
      <c r="N8" s="78"/>
      <c r="O8" s="79"/>
      <c r="P8" s="79"/>
      <c r="Q8" s="78"/>
      <c r="R8" s="79"/>
      <c r="S8" s="79"/>
      <c r="T8" s="78"/>
      <c r="U8" s="79"/>
      <c r="V8" s="79"/>
      <c r="W8" s="78"/>
      <c r="X8" s="79"/>
      <c r="Y8" s="79"/>
      <c r="Z8" s="78"/>
      <c r="AA8" s="79"/>
      <c r="AB8" s="79"/>
      <c r="AC8" s="78"/>
      <c r="AD8" s="79"/>
      <c r="AE8" s="79"/>
      <c r="AF8" s="78"/>
      <c r="AG8" s="79"/>
      <c r="AH8" s="79"/>
      <c r="AI8" s="78"/>
      <c r="AJ8" s="79"/>
      <c r="AK8" s="79"/>
      <c r="AL8" s="78"/>
      <c r="AM8" s="79"/>
      <c r="AN8" s="79"/>
      <c r="AO8" s="78"/>
      <c r="AP8" s="79"/>
      <c r="AQ8" s="79"/>
      <c r="AR8" s="78"/>
      <c r="AS8" s="79"/>
      <c r="AT8" s="79"/>
      <c r="AU8" s="78"/>
      <c r="AV8" s="79"/>
      <c r="AW8" s="79"/>
      <c r="AX8" s="78"/>
      <c r="AY8" s="79"/>
      <c r="AZ8" s="79"/>
      <c r="BA8" s="78"/>
      <c r="BB8" s="79"/>
      <c r="BC8" s="79"/>
      <c r="BD8" s="78"/>
      <c r="BE8" s="79"/>
      <c r="BF8" s="79"/>
      <c r="BG8" s="78"/>
      <c r="BH8" s="79"/>
      <c r="BJ8"/>
      <c r="BK8"/>
      <c r="BL8"/>
      <c r="BM8"/>
      <c r="BN8"/>
      <c r="BO8"/>
    </row>
    <row r="9" spans="1:67" s="87" customFormat="1">
      <c r="A9" s="84" t="s">
        <v>157</v>
      </c>
      <c r="B9" s="63"/>
      <c r="C9" s="63"/>
      <c r="D9" s="85" t="str">
        <f t="shared" ref="D9:BG9" si="49">+D4</f>
        <v>Base</v>
      </c>
      <c r="E9" s="86" t="str">
        <f t="shared" si="49"/>
        <v>2017</v>
      </c>
      <c r="F9" s="85" t="str">
        <f t="shared" si="49"/>
        <v>1H18</v>
      </c>
      <c r="G9" s="85" t="str">
        <f t="shared" si="49"/>
        <v>2H18</v>
      </c>
      <c r="H9" s="86" t="str">
        <f t="shared" si="49"/>
        <v>2018</v>
      </c>
      <c r="I9" s="85" t="str">
        <f t="shared" si="49"/>
        <v>1H19</v>
      </c>
      <c r="J9" s="85" t="str">
        <f t="shared" si="49"/>
        <v>2H19</v>
      </c>
      <c r="K9" s="86" t="str">
        <f t="shared" si="49"/>
        <v>2019</v>
      </c>
      <c r="L9" s="85" t="str">
        <f t="shared" si="49"/>
        <v>1H20</v>
      </c>
      <c r="M9" s="85" t="str">
        <f t="shared" si="49"/>
        <v>2H20E</v>
      </c>
      <c r="N9" s="86" t="str">
        <f t="shared" si="49"/>
        <v>2020E</v>
      </c>
      <c r="O9" s="85" t="str">
        <f t="shared" si="49"/>
        <v>1H21</v>
      </c>
      <c r="P9" s="85" t="str">
        <f t="shared" si="49"/>
        <v>2H21</v>
      </c>
      <c r="Q9" s="86" t="str">
        <f t="shared" si="49"/>
        <v>2021</v>
      </c>
      <c r="R9" s="85" t="str">
        <f t="shared" si="49"/>
        <v>1H22</v>
      </c>
      <c r="S9" s="85" t="str">
        <f t="shared" si="49"/>
        <v>2H22</v>
      </c>
      <c r="T9" s="86" t="str">
        <f t="shared" si="49"/>
        <v>2022</v>
      </c>
      <c r="U9" s="85" t="str">
        <f t="shared" si="49"/>
        <v>1H23</v>
      </c>
      <c r="V9" s="85" t="str">
        <f t="shared" si="49"/>
        <v>2H23</v>
      </c>
      <c r="W9" s="86" t="str">
        <f t="shared" si="49"/>
        <v>2023</v>
      </c>
      <c r="X9" s="85" t="str">
        <f t="shared" si="49"/>
        <v>1H24</v>
      </c>
      <c r="Y9" s="85" t="str">
        <f t="shared" si="49"/>
        <v>2H24</v>
      </c>
      <c r="Z9" s="86" t="str">
        <f t="shared" si="49"/>
        <v>2024</v>
      </c>
      <c r="AA9" s="85" t="str">
        <f t="shared" si="49"/>
        <v>1H25</v>
      </c>
      <c r="AB9" s="85" t="str">
        <f t="shared" si="49"/>
        <v>2H25E</v>
      </c>
      <c r="AC9" s="86" t="str">
        <f t="shared" si="49"/>
        <v>2025E</v>
      </c>
      <c r="AD9" s="85" t="str">
        <f t="shared" si="49"/>
        <v>1H26E</v>
      </c>
      <c r="AE9" s="85" t="str">
        <f t="shared" si="49"/>
        <v>2H26E</v>
      </c>
      <c r="AF9" s="86" t="str">
        <f t="shared" si="49"/>
        <v>2026E</v>
      </c>
      <c r="AG9" s="85" t="str">
        <f t="shared" si="49"/>
        <v>1H27E</v>
      </c>
      <c r="AH9" s="85" t="str">
        <f t="shared" si="49"/>
        <v>2H27E</v>
      </c>
      <c r="AI9" s="86" t="str">
        <f t="shared" si="49"/>
        <v>2027E</v>
      </c>
      <c r="AJ9" s="85" t="str">
        <f t="shared" si="49"/>
        <v>1H28E</v>
      </c>
      <c r="AK9" s="85" t="str">
        <f t="shared" si="49"/>
        <v>2H28E</v>
      </c>
      <c r="AL9" s="86" t="str">
        <f t="shared" si="49"/>
        <v>2028E</v>
      </c>
      <c r="AM9" s="85" t="str">
        <f t="shared" si="49"/>
        <v>1H29E</v>
      </c>
      <c r="AN9" s="85" t="str">
        <f t="shared" si="49"/>
        <v>2H29E</v>
      </c>
      <c r="AO9" s="86" t="str">
        <f t="shared" si="49"/>
        <v>2029E</v>
      </c>
      <c r="AP9" s="85" t="str">
        <f t="shared" si="49"/>
        <v>1H30E</v>
      </c>
      <c r="AQ9" s="85" t="str">
        <f t="shared" si="49"/>
        <v>2H30E</v>
      </c>
      <c r="AR9" s="86" t="str">
        <f t="shared" si="49"/>
        <v>2030E</v>
      </c>
      <c r="AS9" s="85" t="str">
        <f t="shared" si="49"/>
        <v>1H31E</v>
      </c>
      <c r="AT9" s="85" t="str">
        <f t="shared" si="49"/>
        <v>2H31E</v>
      </c>
      <c r="AU9" s="86" t="str">
        <f t="shared" si="49"/>
        <v>2031E</v>
      </c>
      <c r="AV9" s="85" t="str">
        <f t="shared" si="49"/>
        <v>1H32E</v>
      </c>
      <c r="AW9" s="85" t="str">
        <f t="shared" si="49"/>
        <v>2H32E</v>
      </c>
      <c r="AX9" s="86" t="str">
        <f t="shared" si="49"/>
        <v>2032E</v>
      </c>
      <c r="AY9" s="85" t="str">
        <f t="shared" si="49"/>
        <v>1H33E</v>
      </c>
      <c r="AZ9" s="85" t="str">
        <f t="shared" si="49"/>
        <v>2H33E</v>
      </c>
      <c r="BA9" s="86" t="str">
        <f t="shared" si="49"/>
        <v>2033E</v>
      </c>
      <c r="BB9" s="85" t="str">
        <f t="shared" si="49"/>
        <v>1H34E</v>
      </c>
      <c r="BC9" s="85" t="str">
        <f t="shared" si="49"/>
        <v>2H34E</v>
      </c>
      <c r="BD9" s="86" t="str">
        <f t="shared" si="49"/>
        <v>2034E</v>
      </c>
      <c r="BE9" s="85" t="str">
        <f t="shared" si="49"/>
        <v>1H35E</v>
      </c>
      <c r="BF9" s="85" t="str">
        <f t="shared" si="49"/>
        <v>2H35E</v>
      </c>
      <c r="BG9" s="86" t="str">
        <f t="shared" si="49"/>
        <v>2035E</v>
      </c>
      <c r="BH9" s="85"/>
      <c r="BJ9"/>
      <c r="BK9"/>
      <c r="BL9"/>
      <c r="BM9"/>
      <c r="BN9"/>
      <c r="BO9"/>
    </row>
    <row r="10" spans="1:67" s="61" customFormat="1">
      <c r="B10" s="88" t="s">
        <v>158</v>
      </c>
      <c r="C10" s="88"/>
      <c r="D10" s="89" t="s">
        <v>159</v>
      </c>
      <c r="E10" s="90" t="s">
        <v>160</v>
      </c>
      <c r="F10" s="91">
        <f t="shared" ref="F10:BG10" si="50">+F79</f>
        <v>-5.1900069999999996</v>
      </c>
      <c r="G10" s="91">
        <f t="shared" si="50"/>
        <v>-8.6399930000000005</v>
      </c>
      <c r="H10" s="90">
        <f t="shared" si="50"/>
        <v>-13.83</v>
      </c>
      <c r="I10" s="91">
        <f t="shared" si="50"/>
        <v>-10.36951</v>
      </c>
      <c r="J10" s="91">
        <f t="shared" si="50"/>
        <v>-17.497489999999999</v>
      </c>
      <c r="K10" s="90">
        <f t="shared" si="50"/>
        <v>-27.867000000000001</v>
      </c>
      <c r="L10" s="91">
        <f t="shared" si="50"/>
        <v>-18.300999999999998</v>
      </c>
      <c r="M10" s="91">
        <f t="shared" si="50"/>
        <v>-26.586000000000002</v>
      </c>
      <c r="N10" s="90">
        <f t="shared" si="50"/>
        <v>-44.887</v>
      </c>
      <c r="O10" s="91">
        <f t="shared" si="50"/>
        <v>-32.514000000000003</v>
      </c>
      <c r="P10" s="91">
        <f t="shared" si="50"/>
        <v>-47.996000000000002</v>
      </c>
      <c r="Q10" s="90">
        <f t="shared" si="50"/>
        <v>-80.510000000000005</v>
      </c>
      <c r="R10" s="91">
        <f t="shared" si="50"/>
        <v>-70.891000000000005</v>
      </c>
      <c r="S10" s="91">
        <f t="shared" si="50"/>
        <v>-33.187999999999988</v>
      </c>
      <c r="T10" s="90">
        <f t="shared" si="50"/>
        <v>-104.07899999999999</v>
      </c>
      <c r="U10" s="91">
        <f t="shared" si="50"/>
        <v>-9.132999999999976</v>
      </c>
      <c r="V10" s="91">
        <f t="shared" si="50"/>
        <v>13.37899999999992</v>
      </c>
      <c r="W10" s="90">
        <f t="shared" si="50"/>
        <v>4.2459999999999445</v>
      </c>
      <c r="X10" s="91">
        <f t="shared" si="50"/>
        <v>19.590999999999998</v>
      </c>
      <c r="Y10" s="91">
        <f t="shared" si="50"/>
        <v>14.09400000000009</v>
      </c>
      <c r="Z10" s="90">
        <f t="shared" si="50"/>
        <v>33.685000000000088</v>
      </c>
      <c r="AA10" s="91">
        <f t="shared" si="50"/>
        <v>-2.2919999999999381</v>
      </c>
      <c r="AB10" s="91">
        <f t="shared" si="50"/>
        <v>-4.3142889413727179</v>
      </c>
      <c r="AC10" s="90">
        <f t="shared" si="50"/>
        <v>-6.6062889413726555</v>
      </c>
      <c r="AD10" s="91">
        <f t="shared" si="50"/>
        <v>1.1802668155753155</v>
      </c>
      <c r="AE10" s="91">
        <f t="shared" si="50"/>
        <v>1.8359433451386564</v>
      </c>
      <c r="AF10" s="90">
        <f t="shared" si="50"/>
        <v>3.016210160713972</v>
      </c>
      <c r="AG10" s="91">
        <f t="shared" si="50"/>
        <v>8.1996971486866901</v>
      </c>
      <c r="AH10" s="91">
        <f t="shared" si="50"/>
        <v>9.9472493885630957</v>
      </c>
      <c r="AI10" s="90">
        <f t="shared" si="50"/>
        <v>18.146946537249786</v>
      </c>
      <c r="AJ10" s="91">
        <f t="shared" si="50"/>
        <v>23.743273611796628</v>
      </c>
      <c r="AK10" s="91">
        <f t="shared" si="50"/>
        <v>26.315703092816694</v>
      </c>
      <c r="AL10" s="90">
        <f t="shared" si="50"/>
        <v>50.058976704613322</v>
      </c>
      <c r="AM10" s="91">
        <f t="shared" si="50"/>
        <v>56.040612981737056</v>
      </c>
      <c r="AN10" s="91">
        <f t="shared" si="50"/>
        <v>60.156292755720401</v>
      </c>
      <c r="AO10" s="90">
        <f t="shared" si="50"/>
        <v>116.19690573745746</v>
      </c>
      <c r="AP10" s="91">
        <f t="shared" si="50"/>
        <v>101.04642010326192</v>
      </c>
      <c r="AQ10" s="91">
        <f t="shared" si="50"/>
        <v>112.02024547327566</v>
      </c>
      <c r="AR10" s="90">
        <f t="shared" si="50"/>
        <v>213.06666557653759</v>
      </c>
      <c r="AS10" s="91">
        <f t="shared" si="50"/>
        <v>136.30997320063076</v>
      </c>
      <c r="AT10" s="91">
        <f t="shared" si="50"/>
        <v>150.30232914105179</v>
      </c>
      <c r="AU10" s="90">
        <f t="shared" si="50"/>
        <v>286.61230234168255</v>
      </c>
      <c r="AV10" s="91">
        <f t="shared" si="50"/>
        <v>176.27288968554677</v>
      </c>
      <c r="AW10" s="91">
        <f t="shared" si="50"/>
        <v>193.58381284505174</v>
      </c>
      <c r="AX10" s="90">
        <f t="shared" si="50"/>
        <v>369.85670253059851</v>
      </c>
      <c r="AY10" s="91">
        <f t="shared" si="50"/>
        <v>218.19586374069505</v>
      </c>
      <c r="AZ10" s="91">
        <f t="shared" si="50"/>
        <v>239.46535346212377</v>
      </c>
      <c r="BA10" s="90">
        <f t="shared" si="50"/>
        <v>457.66121720281882</v>
      </c>
      <c r="BB10" s="91">
        <f t="shared" si="50"/>
        <v>263.42603495306923</v>
      </c>
      <c r="BC10" s="91">
        <f t="shared" si="50"/>
        <v>288.48428267296333</v>
      </c>
      <c r="BD10" s="90">
        <f t="shared" si="50"/>
        <v>551.91031762603257</v>
      </c>
      <c r="BE10" s="91">
        <f t="shared" si="50"/>
        <v>309.57618750800617</v>
      </c>
      <c r="BF10" s="91">
        <f t="shared" si="50"/>
        <v>338.44045847942874</v>
      </c>
      <c r="BG10" s="90">
        <f t="shared" si="50"/>
        <v>648.01664598743491</v>
      </c>
      <c r="BH10" s="91"/>
      <c r="BJ10"/>
      <c r="BK10"/>
      <c r="BL10"/>
      <c r="BM10"/>
      <c r="BN10"/>
      <c r="BO10"/>
    </row>
    <row r="11" spans="1:67" s="70" customFormat="1">
      <c r="B11" s="71" t="s">
        <v>161</v>
      </c>
      <c r="C11" s="71"/>
      <c r="D11" s="92" t="s">
        <v>159</v>
      </c>
      <c r="E11" s="93">
        <f>E81</f>
        <v>-6.3771149999999999</v>
      </c>
      <c r="F11" s="94">
        <f t="shared" ref="F11:BG12" si="51">F81</f>
        <v>-5.1900069999999996</v>
      </c>
      <c r="G11" s="94">
        <f t="shared" si="51"/>
        <v>-8.6399930000000005</v>
      </c>
      <c r="H11" s="93">
        <f t="shared" si="51"/>
        <v>-13.83</v>
      </c>
      <c r="I11" s="94">
        <f t="shared" si="51"/>
        <v>-10.36951</v>
      </c>
      <c r="J11" s="94">
        <f t="shared" si="51"/>
        <v>-17.497489999999999</v>
      </c>
      <c r="K11" s="93">
        <f t="shared" si="51"/>
        <v>-27.867000000000001</v>
      </c>
      <c r="L11" s="94">
        <f t="shared" si="51"/>
        <v>-18.300999999999998</v>
      </c>
      <c r="M11" s="94">
        <f t="shared" si="51"/>
        <v>-26.586000000000002</v>
      </c>
      <c r="N11" s="93">
        <f t="shared" si="51"/>
        <v>-44.887</v>
      </c>
      <c r="O11" s="94">
        <f t="shared" si="51"/>
        <v>-32.514000000000003</v>
      </c>
      <c r="P11" s="94">
        <f t="shared" si="51"/>
        <v>-47.996000000000002</v>
      </c>
      <c r="Q11" s="93">
        <f t="shared" si="51"/>
        <v>-80.510000000000005</v>
      </c>
      <c r="R11" s="94">
        <f t="shared" si="51"/>
        <v>-70.891000000000005</v>
      </c>
      <c r="S11" s="94">
        <f t="shared" si="51"/>
        <v>-33.187999999999988</v>
      </c>
      <c r="T11" s="93">
        <f t="shared" si="51"/>
        <v>-104.07899999999999</v>
      </c>
      <c r="U11" s="94">
        <f t="shared" si="51"/>
        <v>-9.132999999999976</v>
      </c>
      <c r="V11" s="94">
        <f t="shared" si="51"/>
        <v>13.37899999999992</v>
      </c>
      <c r="W11" s="93">
        <f t="shared" si="51"/>
        <v>4.2459999999999445</v>
      </c>
      <c r="X11" s="94">
        <f t="shared" si="51"/>
        <v>19.590999999999998</v>
      </c>
      <c r="Y11" s="94">
        <f t="shared" si="51"/>
        <v>14.09400000000009</v>
      </c>
      <c r="Z11" s="93">
        <f t="shared" si="51"/>
        <v>33.685000000000088</v>
      </c>
      <c r="AA11" s="94">
        <f t="shared" si="51"/>
        <v>-2.2919999999999381</v>
      </c>
      <c r="AB11" s="94">
        <f t="shared" si="51"/>
        <v>-4.3142889413727179</v>
      </c>
      <c r="AC11" s="93">
        <f t="shared" si="51"/>
        <v>-6.6062889413726555</v>
      </c>
      <c r="AD11" s="94">
        <f t="shared" si="51"/>
        <v>1.1802668155753155</v>
      </c>
      <c r="AE11" s="94">
        <f t="shared" si="51"/>
        <v>1.8359433451386564</v>
      </c>
      <c r="AF11" s="93">
        <f t="shared" si="51"/>
        <v>3.016210160713972</v>
      </c>
      <c r="AG11" s="94">
        <f t="shared" si="51"/>
        <v>8.1996971486866901</v>
      </c>
      <c r="AH11" s="94">
        <f t="shared" si="51"/>
        <v>9.9472493885630957</v>
      </c>
      <c r="AI11" s="93">
        <f t="shared" si="51"/>
        <v>18.146946537249786</v>
      </c>
      <c r="AJ11" s="94">
        <f t="shared" si="51"/>
        <v>23.743273611796628</v>
      </c>
      <c r="AK11" s="94">
        <f t="shared" si="51"/>
        <v>26.315703092816694</v>
      </c>
      <c r="AL11" s="93">
        <f t="shared" si="51"/>
        <v>50.058976704613322</v>
      </c>
      <c r="AM11" s="94">
        <f t="shared" si="51"/>
        <v>56.040612981737056</v>
      </c>
      <c r="AN11" s="94">
        <f t="shared" si="51"/>
        <v>60.156292755720401</v>
      </c>
      <c r="AO11" s="93">
        <f t="shared" si="51"/>
        <v>116.19690573745746</v>
      </c>
      <c r="AP11" s="94">
        <f t="shared" si="51"/>
        <v>101.04642010326192</v>
      </c>
      <c r="AQ11" s="94">
        <f t="shared" si="51"/>
        <v>112.02024547327566</v>
      </c>
      <c r="AR11" s="93">
        <f t="shared" si="51"/>
        <v>213.06666557653759</v>
      </c>
      <c r="AS11" s="94">
        <f t="shared" si="51"/>
        <v>136.30997320063076</v>
      </c>
      <c r="AT11" s="94">
        <f t="shared" si="51"/>
        <v>150.30232914105179</v>
      </c>
      <c r="AU11" s="93">
        <f t="shared" si="51"/>
        <v>286.61230234168255</v>
      </c>
      <c r="AV11" s="94">
        <f t="shared" si="51"/>
        <v>176.27288968554677</v>
      </c>
      <c r="AW11" s="94">
        <f t="shared" si="51"/>
        <v>193.58381284505174</v>
      </c>
      <c r="AX11" s="93">
        <f t="shared" si="51"/>
        <v>369.85670253059851</v>
      </c>
      <c r="AY11" s="94">
        <f t="shared" si="51"/>
        <v>218.19586374069505</v>
      </c>
      <c r="AZ11" s="94">
        <f t="shared" si="51"/>
        <v>239.46535346212377</v>
      </c>
      <c r="BA11" s="93">
        <f t="shared" si="51"/>
        <v>457.66121720281882</v>
      </c>
      <c r="BB11" s="94">
        <f t="shared" si="51"/>
        <v>263.42603495306923</v>
      </c>
      <c r="BC11" s="94">
        <f t="shared" si="51"/>
        <v>288.48428267296333</v>
      </c>
      <c r="BD11" s="93">
        <f t="shared" si="51"/>
        <v>551.91031762603257</v>
      </c>
      <c r="BE11" s="94">
        <f t="shared" si="51"/>
        <v>309.57618750800617</v>
      </c>
      <c r="BF11" s="94">
        <f t="shared" si="51"/>
        <v>338.44045847942874</v>
      </c>
      <c r="BG11" s="93">
        <f t="shared" si="51"/>
        <v>648.01664598743491</v>
      </c>
      <c r="BH11" s="94"/>
      <c r="BJ11"/>
      <c r="BK11"/>
      <c r="BL11"/>
      <c r="BM11"/>
      <c r="BN11"/>
      <c r="BO11"/>
    </row>
    <row r="12" spans="1:67" s="70" customFormat="1">
      <c r="B12" s="71" t="s">
        <v>162</v>
      </c>
      <c r="C12" s="71"/>
      <c r="D12" s="92" t="s">
        <v>163</v>
      </c>
      <c r="E12" s="93">
        <f>E82</f>
        <v>-4.9800000000000004</v>
      </c>
      <c r="F12" s="94">
        <f t="shared" si="51"/>
        <v>-2.62</v>
      </c>
      <c r="G12" s="94">
        <f t="shared" si="51"/>
        <v>-4.22</v>
      </c>
      <c r="H12" s="93">
        <f t="shared" si="51"/>
        <v>-6.84</v>
      </c>
      <c r="I12" s="94">
        <f t="shared" si="51"/>
        <v>-4.75</v>
      </c>
      <c r="J12" s="94">
        <f t="shared" si="51"/>
        <v>-7.1899999999999995</v>
      </c>
      <c r="K12" s="93">
        <f t="shared" si="51"/>
        <v>-11.94</v>
      </c>
      <c r="L12" s="94">
        <f t="shared" si="51"/>
        <v>-7.22</v>
      </c>
      <c r="M12" s="94">
        <f t="shared" si="51"/>
        <v>-10.280000000000001</v>
      </c>
      <c r="N12" s="93">
        <f t="shared" si="51"/>
        <v>-17.5</v>
      </c>
      <c r="O12" s="94">
        <f t="shared" si="51"/>
        <v>-11.56</v>
      </c>
      <c r="P12" s="94">
        <f t="shared" si="51"/>
        <v>-16.939999999999998</v>
      </c>
      <c r="Q12" s="93">
        <f t="shared" si="51"/>
        <v>-28.5</v>
      </c>
      <c r="R12" s="94">
        <f t="shared" si="51"/>
        <v>-23.07</v>
      </c>
      <c r="S12" s="94">
        <f t="shared" si="51"/>
        <v>-10.43</v>
      </c>
      <c r="T12" s="93">
        <f t="shared" si="51"/>
        <v>-33.5</v>
      </c>
      <c r="U12" s="94">
        <f t="shared" si="51"/>
        <v>-2.8754297375079525</v>
      </c>
      <c r="V12" s="94">
        <f t="shared" si="51"/>
        <v>4.1330202959438758</v>
      </c>
      <c r="W12" s="93">
        <f t="shared" si="51"/>
        <v>1.3116678508541426</v>
      </c>
      <c r="X12" s="94">
        <f t="shared" si="51"/>
        <v>6.0520218714281295</v>
      </c>
      <c r="Y12" s="94">
        <f t="shared" si="51"/>
        <v>4.0829924562847175</v>
      </c>
      <c r="Z12" s="93">
        <f t="shared" si="51"/>
        <v>9.7584504675713202</v>
      </c>
      <c r="AA12" s="94">
        <f t="shared" si="51"/>
        <v>-0.66398600183086842</v>
      </c>
      <c r="AB12" s="94">
        <f t="shared" si="51"/>
        <v>-1.249837462881884</v>
      </c>
      <c r="AC12" s="93">
        <f t="shared" si="51"/>
        <v>-1.9138234647127526</v>
      </c>
      <c r="AD12" s="94">
        <f t="shared" si="51"/>
        <v>0.34192000173103221</v>
      </c>
      <c r="AE12" s="94">
        <f t="shared" si="51"/>
        <v>0.53186766200987767</v>
      </c>
      <c r="AF12" s="93">
        <f t="shared" si="51"/>
        <v>0.87378766374090999</v>
      </c>
      <c r="AG12" s="94">
        <f t="shared" si="51"/>
        <v>2.3754293743370831</v>
      </c>
      <c r="AH12" s="94">
        <f t="shared" si="51"/>
        <v>2.8816903798982283</v>
      </c>
      <c r="AI12" s="93">
        <f t="shared" si="51"/>
        <v>5.257119754235311</v>
      </c>
      <c r="AJ12" s="94">
        <f t="shared" si="51"/>
        <v>6.8783600854597005</v>
      </c>
      <c r="AK12" s="94">
        <f t="shared" si="51"/>
        <v>7.623585725116949</v>
      </c>
      <c r="AL12" s="93">
        <f t="shared" si="51"/>
        <v>14.50194581057665</v>
      </c>
      <c r="AM12" s="94">
        <f t="shared" si="51"/>
        <v>15.558711834302381</v>
      </c>
      <c r="AN12" s="94">
        <f t="shared" si="51"/>
        <v>16.701359499961242</v>
      </c>
      <c r="AO12" s="93">
        <f t="shared" si="51"/>
        <v>32.260071334263621</v>
      </c>
      <c r="AP12" s="94">
        <f t="shared" si="51"/>
        <v>28.053799711056982</v>
      </c>
      <c r="AQ12" s="94">
        <f t="shared" si="51"/>
        <v>31.100493484867808</v>
      </c>
      <c r="AR12" s="93">
        <f t="shared" si="51"/>
        <v>59.154293195924787</v>
      </c>
      <c r="AS12" s="94">
        <f t="shared" si="51"/>
        <v>37.844118405008153</v>
      </c>
      <c r="AT12" s="94">
        <f t="shared" si="51"/>
        <v>41.728855248107045</v>
      </c>
      <c r="AU12" s="93">
        <f t="shared" si="51"/>
        <v>79.572973653115199</v>
      </c>
      <c r="AV12" s="94">
        <f t="shared" si="51"/>
        <v>48.939134475758991</v>
      </c>
      <c r="AW12" s="94">
        <f t="shared" si="51"/>
        <v>53.745214400549642</v>
      </c>
      <c r="AX12" s="93">
        <f t="shared" si="51"/>
        <v>102.68434887630862</v>
      </c>
      <c r="AY12" s="94">
        <f t="shared" si="51"/>
        <v>60.578326801752155</v>
      </c>
      <c r="AZ12" s="94">
        <f t="shared" si="51"/>
        <v>66.483434612514515</v>
      </c>
      <c r="BA12" s="93">
        <f t="shared" si="51"/>
        <v>127.06176141426666</v>
      </c>
      <c r="BB12" s="94">
        <f t="shared" si="51"/>
        <v>73.135705507420909</v>
      </c>
      <c r="BC12" s="94">
        <f t="shared" si="51"/>
        <v>80.092696778616528</v>
      </c>
      <c r="BD12" s="93">
        <f t="shared" si="51"/>
        <v>153.22840228603744</v>
      </c>
      <c r="BE12" s="94">
        <f t="shared" si="51"/>
        <v>85.948501201596443</v>
      </c>
      <c r="BF12" s="94">
        <f t="shared" si="51"/>
        <v>93.962169333633767</v>
      </c>
      <c r="BG12" s="93">
        <f t="shared" si="51"/>
        <v>179.9106705352302</v>
      </c>
      <c r="BH12" s="94"/>
      <c r="BJ12"/>
      <c r="BK12"/>
      <c r="BL12"/>
      <c r="BM12"/>
      <c r="BN12"/>
      <c r="BO12"/>
    </row>
    <row r="13" spans="1:67" s="70" customFormat="1">
      <c r="B13" s="71" t="s">
        <v>164</v>
      </c>
      <c r="C13" s="71"/>
      <c r="D13" s="92" t="s">
        <v>165</v>
      </c>
      <c r="E13" s="93"/>
      <c r="F13" s="94" t="s">
        <v>598</v>
      </c>
      <c r="G13" s="94" t="s">
        <v>598</v>
      </c>
      <c r="H13" s="93" t="s">
        <v>598</v>
      </c>
      <c r="I13" s="94" t="s">
        <v>598</v>
      </c>
      <c r="J13" s="94" t="s">
        <v>598</v>
      </c>
      <c r="K13" s="93" t="s">
        <v>598</v>
      </c>
      <c r="L13" s="94" t="s">
        <v>598</v>
      </c>
      <c r="M13" s="94" t="s">
        <v>598</v>
      </c>
      <c r="N13" s="93" t="s">
        <v>598</v>
      </c>
      <c r="O13" s="94" t="s">
        <v>598</v>
      </c>
      <c r="P13" s="94" t="s">
        <v>598</v>
      </c>
      <c r="Q13" s="93" t="s">
        <v>598</v>
      </c>
      <c r="R13" s="94" t="s">
        <v>598</v>
      </c>
      <c r="S13" s="94" t="s">
        <v>598</v>
      </c>
      <c r="T13" s="93" t="s">
        <v>598</v>
      </c>
      <c r="U13" s="94" t="s">
        <v>598</v>
      </c>
      <c r="V13" s="94">
        <v>139.00246281485994</v>
      </c>
      <c r="W13" s="93">
        <v>875.98396137542352</v>
      </c>
      <c r="X13" s="94">
        <v>94.926953703231092</v>
      </c>
      <c r="Y13" s="94">
        <v>140.70562366964575</v>
      </c>
      <c r="Z13" s="93">
        <v>117.74410331007837</v>
      </c>
      <c r="AA13" s="94" t="s">
        <v>598</v>
      </c>
      <c r="AB13" s="94" t="s">
        <v>598</v>
      </c>
      <c r="AC13" s="93" t="s">
        <v>598</v>
      </c>
      <c r="AD13" s="94">
        <v>1680.2175862526008</v>
      </c>
      <c r="AE13" s="94">
        <v>1080.1559128994961</v>
      </c>
      <c r="AF13" s="93">
        <v>1314.9647765463237</v>
      </c>
      <c r="AG13" s="94">
        <v>241.85101279229869</v>
      </c>
      <c r="AH13" s="94">
        <v>199.3621535497125</v>
      </c>
      <c r="AI13" s="93">
        <v>218.5607430902306</v>
      </c>
      <c r="AJ13" s="94">
        <v>83.522815447601644</v>
      </c>
      <c r="AK13" s="94">
        <v>75.358239641384358</v>
      </c>
      <c r="AL13" s="93">
        <v>79.230747032719165</v>
      </c>
      <c r="AM13" s="94">
        <v>36.924650711339524</v>
      </c>
      <c r="AN13" s="94">
        <v>34.398397328153628</v>
      </c>
      <c r="AO13" s="93">
        <v>35.616784231336773</v>
      </c>
      <c r="AP13" s="94">
        <v>20.478509361196071</v>
      </c>
      <c r="AQ13" s="94">
        <v>18.47237569653123</v>
      </c>
      <c r="AR13" s="93">
        <v>19.42378038723918</v>
      </c>
      <c r="AS13" s="94">
        <v>15.180694496610938</v>
      </c>
      <c r="AT13" s="94">
        <v>13.767451720978164</v>
      </c>
      <c r="AU13" s="93">
        <v>14.43957599233214</v>
      </c>
      <c r="AV13" s="94">
        <v>11.739071525357012</v>
      </c>
      <c r="AW13" s="94">
        <v>10.689323810644705</v>
      </c>
      <c r="AX13" s="93">
        <v>11.189631259035016</v>
      </c>
      <c r="AY13" s="94">
        <v>9.4835897643740008</v>
      </c>
      <c r="AZ13" s="94">
        <v>8.6412503106730139</v>
      </c>
      <c r="BA13" s="93">
        <v>9.0428464646720119</v>
      </c>
      <c r="BB13" s="94">
        <v>7.8552602455131417</v>
      </c>
      <c r="BC13" s="94">
        <v>7.172938646178566</v>
      </c>
      <c r="BD13" s="93">
        <v>7.4986098063929223</v>
      </c>
      <c r="BE13" s="94">
        <v>6.6842352335206172</v>
      </c>
      <c r="BF13" s="94">
        <v>6.114162796306978</v>
      </c>
      <c r="BG13" s="93">
        <v>6.3865027937573178</v>
      </c>
      <c r="BH13" s="94"/>
      <c r="BJ13"/>
      <c r="BK13"/>
      <c r="BL13"/>
      <c r="BM13"/>
      <c r="BN13"/>
      <c r="BO13"/>
    </row>
    <row r="14" spans="1:67" s="70" customFormat="1">
      <c r="B14" s="71" t="s">
        <v>59</v>
      </c>
      <c r="C14" s="71"/>
      <c r="D14" s="95" t="s">
        <v>163</v>
      </c>
      <c r="E14" s="93">
        <f>E12</f>
        <v>-4.9800000000000004</v>
      </c>
      <c r="F14" s="94">
        <f t="shared" ref="F14:BG14" si="52">F12</f>
        <v>-2.62</v>
      </c>
      <c r="G14" s="94">
        <f t="shared" si="52"/>
        <v>-4.22</v>
      </c>
      <c r="H14" s="93">
        <f t="shared" si="52"/>
        <v>-6.84</v>
      </c>
      <c r="I14" s="94">
        <f t="shared" si="52"/>
        <v>-4.75</v>
      </c>
      <c r="J14" s="94">
        <f t="shared" si="52"/>
        <v>-7.1899999999999995</v>
      </c>
      <c r="K14" s="93">
        <f t="shared" si="52"/>
        <v>-11.94</v>
      </c>
      <c r="L14" s="94">
        <f t="shared" si="52"/>
        <v>-7.22</v>
      </c>
      <c r="M14" s="94">
        <f t="shared" si="52"/>
        <v>-10.280000000000001</v>
      </c>
      <c r="N14" s="93">
        <f t="shared" si="52"/>
        <v>-17.5</v>
      </c>
      <c r="O14" s="94">
        <f t="shared" si="52"/>
        <v>-11.56</v>
      </c>
      <c r="P14" s="94">
        <f t="shared" si="52"/>
        <v>-16.939999999999998</v>
      </c>
      <c r="Q14" s="93">
        <f t="shared" si="52"/>
        <v>-28.5</v>
      </c>
      <c r="R14" s="94">
        <f t="shared" si="52"/>
        <v>-23.07</v>
      </c>
      <c r="S14" s="94">
        <f t="shared" si="52"/>
        <v>-10.43</v>
      </c>
      <c r="T14" s="93">
        <f t="shared" si="52"/>
        <v>-33.5</v>
      </c>
      <c r="U14" s="94">
        <f t="shared" si="52"/>
        <v>-2.8754297375079525</v>
      </c>
      <c r="V14" s="94">
        <f t="shared" si="52"/>
        <v>4.1330202959438758</v>
      </c>
      <c r="W14" s="93">
        <f t="shared" si="52"/>
        <v>1.3116678508541426</v>
      </c>
      <c r="X14" s="94">
        <f t="shared" si="52"/>
        <v>6.0520218714281295</v>
      </c>
      <c r="Y14" s="94">
        <f t="shared" si="52"/>
        <v>4.0829924562847175</v>
      </c>
      <c r="Z14" s="93">
        <f t="shared" si="52"/>
        <v>9.7584504675713202</v>
      </c>
      <c r="AA14" s="94">
        <f t="shared" si="52"/>
        <v>-0.66398600183086842</v>
      </c>
      <c r="AB14" s="94">
        <f t="shared" si="52"/>
        <v>-1.249837462881884</v>
      </c>
      <c r="AC14" s="93">
        <f t="shared" si="52"/>
        <v>-1.9138234647127526</v>
      </c>
      <c r="AD14" s="94">
        <f t="shared" si="52"/>
        <v>0.34192000173103221</v>
      </c>
      <c r="AE14" s="94">
        <f t="shared" si="52"/>
        <v>0.53186766200987767</v>
      </c>
      <c r="AF14" s="93">
        <f t="shared" si="52"/>
        <v>0.87378766374090999</v>
      </c>
      <c r="AG14" s="94">
        <f t="shared" si="52"/>
        <v>2.3754293743370831</v>
      </c>
      <c r="AH14" s="94">
        <f t="shared" si="52"/>
        <v>2.8816903798982283</v>
      </c>
      <c r="AI14" s="93">
        <f t="shared" si="52"/>
        <v>5.257119754235311</v>
      </c>
      <c r="AJ14" s="94">
        <f t="shared" si="52"/>
        <v>6.8783600854597005</v>
      </c>
      <c r="AK14" s="94">
        <f t="shared" si="52"/>
        <v>7.623585725116949</v>
      </c>
      <c r="AL14" s="93">
        <f t="shared" si="52"/>
        <v>14.50194581057665</v>
      </c>
      <c r="AM14" s="94">
        <f t="shared" si="52"/>
        <v>15.558711834302381</v>
      </c>
      <c r="AN14" s="94">
        <f t="shared" si="52"/>
        <v>16.701359499961242</v>
      </c>
      <c r="AO14" s="93">
        <f t="shared" si="52"/>
        <v>32.260071334263621</v>
      </c>
      <c r="AP14" s="94">
        <f t="shared" si="52"/>
        <v>28.053799711056982</v>
      </c>
      <c r="AQ14" s="94">
        <f t="shared" si="52"/>
        <v>31.100493484867808</v>
      </c>
      <c r="AR14" s="93">
        <f t="shared" si="52"/>
        <v>59.154293195924787</v>
      </c>
      <c r="AS14" s="94">
        <f t="shared" si="52"/>
        <v>37.844118405008153</v>
      </c>
      <c r="AT14" s="94">
        <f t="shared" si="52"/>
        <v>41.728855248107045</v>
      </c>
      <c r="AU14" s="93">
        <f t="shared" si="52"/>
        <v>79.572973653115199</v>
      </c>
      <c r="AV14" s="94">
        <f t="shared" si="52"/>
        <v>48.939134475758991</v>
      </c>
      <c r="AW14" s="94">
        <f t="shared" si="52"/>
        <v>53.745214400549642</v>
      </c>
      <c r="AX14" s="93">
        <f t="shared" si="52"/>
        <v>102.68434887630862</v>
      </c>
      <c r="AY14" s="94">
        <f t="shared" si="52"/>
        <v>60.578326801752155</v>
      </c>
      <c r="AZ14" s="94">
        <f t="shared" si="52"/>
        <v>66.483434612514515</v>
      </c>
      <c r="BA14" s="93">
        <f t="shared" si="52"/>
        <v>127.06176141426666</v>
      </c>
      <c r="BB14" s="94">
        <f t="shared" si="52"/>
        <v>73.135705507420909</v>
      </c>
      <c r="BC14" s="94">
        <f t="shared" si="52"/>
        <v>80.092696778616528</v>
      </c>
      <c r="BD14" s="93">
        <f t="shared" si="52"/>
        <v>153.22840228603744</v>
      </c>
      <c r="BE14" s="94">
        <f t="shared" si="52"/>
        <v>85.948501201596443</v>
      </c>
      <c r="BF14" s="94">
        <f t="shared" si="52"/>
        <v>93.962169333633767</v>
      </c>
      <c r="BG14" s="93">
        <f t="shared" si="52"/>
        <v>179.9106705352302</v>
      </c>
      <c r="BH14" s="94"/>
      <c r="BJ14"/>
      <c r="BK14"/>
      <c r="BL14"/>
      <c r="BM14"/>
      <c r="BN14"/>
      <c r="BO14"/>
    </row>
    <row r="15" spans="1:67" s="70" customFormat="1">
      <c r="B15" s="71" t="s">
        <v>166</v>
      </c>
      <c r="C15" s="71"/>
      <c r="D15" s="92" t="s">
        <v>165</v>
      </c>
      <c r="E15" s="93">
        <v>-5.7130393530050769</v>
      </c>
      <c r="F15" s="94">
        <v>0.70850301139416194</v>
      </c>
      <c r="G15" s="94">
        <v>0.37385545905472595</v>
      </c>
      <c r="H15" s="93">
        <v>-142.57851839259231</v>
      </c>
      <c r="I15" s="94">
        <v>-122.26232977411753</v>
      </c>
      <c r="J15" s="94">
        <v>-81.048597100436396</v>
      </c>
      <c r="K15" s="93">
        <v>-97.459898154358257</v>
      </c>
      <c r="L15" s="94">
        <v>-98.080638520065619</v>
      </c>
      <c r="M15" s="94">
        <v>-66.74053184188854</v>
      </c>
      <c r="N15" s="93">
        <v>-78.983455221001762</v>
      </c>
      <c r="O15" s="94">
        <v>-62.525791069547729</v>
      </c>
      <c r="P15" s="94">
        <v>-39.530532494590915</v>
      </c>
      <c r="Q15" s="93">
        <v>-48.57301955764521</v>
      </c>
      <c r="R15" s="94">
        <v>-30.293875795576273</v>
      </c>
      <c r="S15" s="94">
        <v>-127.9595279453691</v>
      </c>
      <c r="T15" s="93">
        <v>-52.747022683793375</v>
      </c>
      <c r="U15" s="94">
        <v>91.301913010908649</v>
      </c>
      <c r="V15" s="94">
        <v>144.18570391764806</v>
      </c>
      <c r="W15" s="93">
        <v>111.65885126028748</v>
      </c>
      <c r="X15" s="94">
        <v>56.633614266305514</v>
      </c>
      <c r="Y15" s="94">
        <v>70.800049555458372</v>
      </c>
      <c r="Z15" s="93">
        <v>62.609929754462755</v>
      </c>
      <c r="AA15" s="94">
        <v>181.68799999999905</v>
      </c>
      <c r="AB15" s="94">
        <v>169.51988947387815</v>
      </c>
      <c r="AC15" s="93">
        <v>177.03121977943846</v>
      </c>
      <c r="AD15" s="94">
        <v>137.79098730471398</v>
      </c>
      <c r="AE15" s="94">
        <v>128.61693984710388</v>
      </c>
      <c r="AF15" s="93">
        <v>133.41069445738205</v>
      </c>
      <c r="AG15" s="94">
        <v>92.418765870212923</v>
      </c>
      <c r="AH15" s="94">
        <v>84.092874679162904</v>
      </c>
      <c r="AI15" s="93">
        <v>88.018697368868885</v>
      </c>
      <c r="AJ15" s="94">
        <v>48.691422879211167</v>
      </c>
      <c r="AK15" s="94">
        <v>45.170542299043056</v>
      </c>
      <c r="AL15" s="93">
        <v>46.760885340791745</v>
      </c>
      <c r="AM15" s="94">
        <v>22.534833052482355</v>
      </c>
      <c r="AN15" s="94">
        <v>21.021154313358572</v>
      </c>
      <c r="AO15" s="93">
        <v>21.611665427542771</v>
      </c>
      <c r="AP15" s="94">
        <v>14.368633740821679</v>
      </c>
      <c r="AQ15" s="94">
        <v>12.677861211535905</v>
      </c>
      <c r="AR15" s="93">
        <v>13.299029905484025</v>
      </c>
      <c r="AS15" s="94">
        <v>10.112950908431229</v>
      </c>
      <c r="AT15" s="94">
        <v>8.8572616801348492</v>
      </c>
      <c r="AU15" s="93">
        <v>9.2692049111553896</v>
      </c>
      <c r="AV15" s="94">
        <v>7.2226784241268289</v>
      </c>
      <c r="AW15" s="94">
        <v>6.2412701058684537</v>
      </c>
      <c r="AX15" s="93">
        <v>6.5202269251761447</v>
      </c>
      <c r="AY15" s="94">
        <v>5.1940343933755448</v>
      </c>
      <c r="AZ15" s="94">
        <v>4.381610530097114</v>
      </c>
      <c r="BA15" s="93">
        <v>4.577080193560942</v>
      </c>
      <c r="BB15" s="94">
        <v>3.6285617807228743</v>
      </c>
      <c r="BC15" s="94">
        <v>2.950706293908647</v>
      </c>
      <c r="BD15" s="93">
        <v>3.0798236925801272</v>
      </c>
      <c r="BE15" s="94">
        <v>2.3856515836036998</v>
      </c>
      <c r="BF15" s="94">
        <v>1.8103174946277052</v>
      </c>
      <c r="BG15" s="93">
        <v>1.8883859908776166</v>
      </c>
      <c r="BH15" s="94"/>
      <c r="BJ15"/>
      <c r="BK15"/>
      <c r="BL15"/>
      <c r="BM15"/>
      <c r="BN15"/>
      <c r="BO15"/>
    </row>
    <row r="16" spans="1:67" s="70" customFormat="1">
      <c r="B16" s="88" t="s">
        <v>167</v>
      </c>
      <c r="C16" s="71"/>
      <c r="D16" s="89"/>
      <c r="E16" s="93">
        <f>E12</f>
        <v>-4.9800000000000004</v>
      </c>
      <c r="F16" s="94">
        <f t="shared" ref="F16:BG16" si="53">F12</f>
        <v>-2.62</v>
      </c>
      <c r="G16" s="94">
        <f t="shared" si="53"/>
        <v>-4.22</v>
      </c>
      <c r="H16" s="93">
        <f t="shared" si="53"/>
        <v>-6.84</v>
      </c>
      <c r="I16" s="94">
        <f t="shared" si="53"/>
        <v>-4.75</v>
      </c>
      <c r="J16" s="94">
        <f t="shared" si="53"/>
        <v>-7.1899999999999995</v>
      </c>
      <c r="K16" s="93">
        <f t="shared" si="53"/>
        <v>-11.94</v>
      </c>
      <c r="L16" s="94">
        <f t="shared" si="53"/>
        <v>-7.22</v>
      </c>
      <c r="M16" s="94">
        <f t="shared" si="53"/>
        <v>-10.280000000000001</v>
      </c>
      <c r="N16" s="93">
        <f t="shared" si="53"/>
        <v>-17.5</v>
      </c>
      <c r="O16" s="94">
        <f t="shared" si="53"/>
        <v>-11.56</v>
      </c>
      <c r="P16" s="94">
        <f t="shared" si="53"/>
        <v>-16.939999999999998</v>
      </c>
      <c r="Q16" s="93">
        <f t="shared" si="53"/>
        <v>-28.5</v>
      </c>
      <c r="R16" s="94">
        <f t="shared" si="53"/>
        <v>-23.07</v>
      </c>
      <c r="S16" s="94">
        <f t="shared" si="53"/>
        <v>-10.43</v>
      </c>
      <c r="T16" s="93">
        <f t="shared" si="53"/>
        <v>-33.5</v>
      </c>
      <c r="U16" s="94">
        <f t="shared" si="53"/>
        <v>-2.8754297375079525</v>
      </c>
      <c r="V16" s="94">
        <f t="shared" si="53"/>
        <v>4.1330202959438758</v>
      </c>
      <c r="W16" s="93">
        <f t="shared" si="53"/>
        <v>1.3116678508541426</v>
      </c>
      <c r="X16" s="94">
        <f t="shared" si="53"/>
        <v>6.0520218714281295</v>
      </c>
      <c r="Y16" s="94">
        <f t="shared" si="53"/>
        <v>4.0829924562847175</v>
      </c>
      <c r="Z16" s="93">
        <f t="shared" si="53"/>
        <v>9.7584504675713202</v>
      </c>
      <c r="AA16" s="94">
        <f t="shared" si="53"/>
        <v>-0.66398600183086842</v>
      </c>
      <c r="AB16" s="94">
        <f t="shared" si="53"/>
        <v>-1.249837462881884</v>
      </c>
      <c r="AC16" s="93">
        <f t="shared" si="53"/>
        <v>-1.9138234647127526</v>
      </c>
      <c r="AD16" s="94">
        <f t="shared" si="53"/>
        <v>0.34192000173103221</v>
      </c>
      <c r="AE16" s="94">
        <f t="shared" si="53"/>
        <v>0.53186766200987767</v>
      </c>
      <c r="AF16" s="93">
        <f t="shared" si="53"/>
        <v>0.87378766374090999</v>
      </c>
      <c r="AG16" s="94">
        <f t="shared" si="53"/>
        <v>2.3754293743370831</v>
      </c>
      <c r="AH16" s="94">
        <f t="shared" si="53"/>
        <v>2.8816903798982283</v>
      </c>
      <c r="AI16" s="93">
        <f t="shared" si="53"/>
        <v>5.257119754235311</v>
      </c>
      <c r="AJ16" s="94">
        <f t="shared" si="53"/>
        <v>6.8783600854597005</v>
      </c>
      <c r="AK16" s="94">
        <f t="shared" si="53"/>
        <v>7.623585725116949</v>
      </c>
      <c r="AL16" s="93">
        <f t="shared" si="53"/>
        <v>14.50194581057665</v>
      </c>
      <c r="AM16" s="94">
        <f t="shared" si="53"/>
        <v>15.558711834302381</v>
      </c>
      <c r="AN16" s="94">
        <f t="shared" si="53"/>
        <v>16.701359499961242</v>
      </c>
      <c r="AO16" s="93">
        <f t="shared" si="53"/>
        <v>32.260071334263621</v>
      </c>
      <c r="AP16" s="94">
        <f t="shared" si="53"/>
        <v>28.053799711056982</v>
      </c>
      <c r="AQ16" s="94">
        <f t="shared" si="53"/>
        <v>31.100493484867808</v>
      </c>
      <c r="AR16" s="93">
        <f t="shared" si="53"/>
        <v>59.154293195924787</v>
      </c>
      <c r="AS16" s="94">
        <f t="shared" si="53"/>
        <v>37.844118405008153</v>
      </c>
      <c r="AT16" s="94">
        <f t="shared" si="53"/>
        <v>41.728855248107045</v>
      </c>
      <c r="AU16" s="93">
        <f t="shared" si="53"/>
        <v>79.572973653115199</v>
      </c>
      <c r="AV16" s="94">
        <f t="shared" si="53"/>
        <v>48.939134475758991</v>
      </c>
      <c r="AW16" s="94">
        <f t="shared" si="53"/>
        <v>53.745214400549642</v>
      </c>
      <c r="AX16" s="93">
        <f t="shared" si="53"/>
        <v>102.68434887630862</v>
      </c>
      <c r="AY16" s="94">
        <f t="shared" si="53"/>
        <v>60.578326801752155</v>
      </c>
      <c r="AZ16" s="94">
        <f t="shared" si="53"/>
        <v>66.483434612514515</v>
      </c>
      <c r="BA16" s="93">
        <f t="shared" si="53"/>
        <v>127.06176141426666</v>
      </c>
      <c r="BB16" s="94">
        <f t="shared" si="53"/>
        <v>73.135705507420909</v>
      </c>
      <c r="BC16" s="94">
        <f t="shared" si="53"/>
        <v>80.092696778616528</v>
      </c>
      <c r="BD16" s="93">
        <f t="shared" si="53"/>
        <v>153.22840228603744</v>
      </c>
      <c r="BE16" s="94">
        <f t="shared" si="53"/>
        <v>85.948501201596443</v>
      </c>
      <c r="BF16" s="94">
        <f t="shared" si="53"/>
        <v>93.962169333633767</v>
      </c>
      <c r="BG16" s="93">
        <f t="shared" si="53"/>
        <v>179.9106705352302</v>
      </c>
      <c r="BH16" s="94"/>
      <c r="BJ16"/>
      <c r="BK16"/>
      <c r="BL16"/>
      <c r="BM16"/>
      <c r="BN16"/>
      <c r="BO16"/>
    </row>
    <row r="17" spans="1:67" s="61" customFormat="1">
      <c r="B17" s="88" t="s">
        <v>168</v>
      </c>
      <c r="C17" s="88"/>
      <c r="D17" s="89" t="s">
        <v>165</v>
      </c>
      <c r="E17" s="90">
        <v>601.30055185005438</v>
      </c>
      <c r="F17" s="91">
        <v>0.69428911028343421</v>
      </c>
      <c r="G17" s="91">
        <v>0.36508755913923507</v>
      </c>
      <c r="H17" s="90">
        <v>-142.58936947950951</v>
      </c>
      <c r="I17" s="91">
        <v>-142.76582467878612</v>
      </c>
      <c r="J17" s="91">
        <v>-74.32571273155898</v>
      </c>
      <c r="K17" s="90">
        <v>-97.467350274486421</v>
      </c>
      <c r="L17" s="91">
        <v>-98.088097866626867</v>
      </c>
      <c r="M17" s="91">
        <v>-66.745678698874556</v>
      </c>
      <c r="N17" s="90">
        <v>-78.989546220534791</v>
      </c>
      <c r="O17" s="91">
        <v>-62.530578660112987</v>
      </c>
      <c r="P17" s="91">
        <v>-39.53353754307237</v>
      </c>
      <c r="Q17" s="90">
        <v>-48.576712001673911</v>
      </c>
      <c r="R17" s="91">
        <v>-31.6530994979837</v>
      </c>
      <c r="S17" s="91">
        <v>-273.93749077490804</v>
      </c>
      <c r="T17" s="90" t="s">
        <v>610</v>
      </c>
      <c r="U17" s="91">
        <v>165.98728116090027</v>
      </c>
      <c r="V17" s="91">
        <v>245.5501053029837</v>
      </c>
      <c r="W17" s="90">
        <v>98.942505208598121</v>
      </c>
      <c r="X17" s="91">
        <v>105.81585109168013</v>
      </c>
      <c r="Y17" s="91">
        <v>128.27160604660335</v>
      </c>
      <c r="Z17" s="90">
        <v>57.692993483069266</v>
      </c>
      <c r="AA17" s="91">
        <v>198.1644743833011</v>
      </c>
      <c r="AB17" s="91">
        <v>185.88315951598668</v>
      </c>
      <c r="AC17" s="90">
        <v>96.811934655831891</v>
      </c>
      <c r="AD17" s="91">
        <v>161.06504323309903</v>
      </c>
      <c r="AE17" s="91">
        <v>152.07275720446651</v>
      </c>
      <c r="AF17" s="90">
        <v>78.435558552359495</v>
      </c>
      <c r="AG17" s="91">
        <v>120.05683895892734</v>
      </c>
      <c r="AH17" s="91">
        <v>111.6161249138822</v>
      </c>
      <c r="AI17" s="90">
        <v>57.814286259356813</v>
      </c>
      <c r="AJ17" s="91">
        <v>73.620916222788878</v>
      </c>
      <c r="AK17" s="91">
        <v>68.941195102114193</v>
      </c>
      <c r="AL17" s="90">
        <v>35.522693004055334</v>
      </c>
      <c r="AM17" s="91">
        <v>37.164792872249016</v>
      </c>
      <c r="AN17" s="91">
        <v>34.808433902840036</v>
      </c>
      <c r="AO17" s="90">
        <v>17.858081975067222</v>
      </c>
      <c r="AP17" s="91">
        <v>24.68421879153582</v>
      </c>
      <c r="AQ17" s="91">
        <v>21.873808735919845</v>
      </c>
      <c r="AR17" s="90">
        <v>11.44923575421352</v>
      </c>
      <c r="AS17" s="91">
        <v>17.723867221687453</v>
      </c>
      <c r="AT17" s="91">
        <v>15.570716001350533</v>
      </c>
      <c r="AU17" s="90">
        <v>8.1355783125493168</v>
      </c>
      <c r="AV17" s="91">
        <v>12.844099785719406</v>
      </c>
      <c r="AW17" s="91">
        <v>11.124158498905116</v>
      </c>
      <c r="AX17" s="90">
        <v>5.8043746820759488</v>
      </c>
      <c r="AY17" s="91">
        <v>9.3332410594008959</v>
      </c>
      <c r="AZ17" s="91">
        <v>7.8885814136788079</v>
      </c>
      <c r="BA17" s="90">
        <v>4.1164726334415072</v>
      </c>
      <c r="BB17" s="91">
        <v>6.5745218482508472</v>
      </c>
      <c r="BC17" s="91">
        <v>5.354865947229392</v>
      </c>
      <c r="BD17" s="90">
        <v>2.7924814863961651</v>
      </c>
      <c r="BE17" s="91">
        <v>4.3512973567130508</v>
      </c>
      <c r="BF17" s="91">
        <v>3.306474740416244</v>
      </c>
      <c r="BG17" s="90">
        <v>1.7234224613833236</v>
      </c>
      <c r="BH17" s="91"/>
      <c r="BJ17"/>
      <c r="BK17"/>
      <c r="BL17"/>
      <c r="BM17"/>
      <c r="BN17"/>
      <c r="BO17"/>
    </row>
    <row r="18" spans="1:67" s="61" customFormat="1">
      <c r="B18" s="88"/>
      <c r="C18" s="88"/>
      <c r="D18" s="89"/>
      <c r="E18" s="90"/>
      <c r="F18" s="91"/>
      <c r="G18" s="91"/>
      <c r="H18" s="90"/>
      <c r="I18" s="91"/>
      <c r="J18" s="91"/>
      <c r="K18" s="90"/>
      <c r="L18" s="91"/>
      <c r="M18" s="91"/>
      <c r="N18" s="90"/>
      <c r="O18" s="91"/>
      <c r="P18" s="91"/>
      <c r="Q18" s="90"/>
      <c r="R18" s="91"/>
      <c r="S18" s="91"/>
      <c r="T18" s="90"/>
      <c r="U18" s="91"/>
      <c r="V18" s="91"/>
      <c r="W18" s="90"/>
      <c r="X18" s="91"/>
      <c r="Y18" s="91"/>
      <c r="Z18" s="90"/>
      <c r="AA18" s="91"/>
      <c r="AB18" s="91"/>
      <c r="AC18" s="90"/>
      <c r="AD18" s="91"/>
      <c r="AE18" s="91"/>
      <c r="AF18" s="90"/>
      <c r="AG18" s="91"/>
      <c r="AH18" s="91"/>
      <c r="AI18" s="90"/>
      <c r="AJ18" s="91"/>
      <c r="AK18" s="91"/>
      <c r="AL18" s="90"/>
      <c r="AM18" s="91"/>
      <c r="AN18" s="91"/>
      <c r="AO18" s="90"/>
      <c r="AP18" s="91"/>
      <c r="AQ18" s="91"/>
      <c r="AR18" s="90"/>
      <c r="AS18" s="91"/>
      <c r="AT18" s="91"/>
      <c r="AU18" s="90"/>
      <c r="AV18" s="91"/>
      <c r="AW18" s="91"/>
      <c r="AX18" s="90"/>
      <c r="AY18" s="91"/>
      <c r="AZ18" s="91"/>
      <c r="BA18" s="90"/>
      <c r="BB18" s="91"/>
      <c r="BC18" s="91"/>
      <c r="BD18" s="90"/>
      <c r="BE18" s="91"/>
      <c r="BF18" s="91"/>
      <c r="BG18" s="90"/>
      <c r="BH18" s="91"/>
      <c r="BJ18"/>
      <c r="BK18"/>
      <c r="BL18"/>
      <c r="BM18"/>
      <c r="BN18"/>
      <c r="BO18"/>
    </row>
    <row r="19" spans="1:67" s="61" customFormat="1">
      <c r="B19" s="96"/>
      <c r="C19" s="88"/>
      <c r="D19" s="89"/>
      <c r="E19" s="97"/>
      <c r="F19" s="98"/>
      <c r="G19" s="98"/>
      <c r="H19" s="99"/>
      <c r="I19" s="98"/>
      <c r="J19" s="98"/>
      <c r="K19" s="97"/>
      <c r="L19" s="100"/>
      <c r="M19" s="98"/>
      <c r="N19" s="101"/>
      <c r="O19" s="102"/>
      <c r="P19" s="103"/>
      <c r="Q19" s="101"/>
      <c r="R19" s="102"/>
      <c r="S19" s="98"/>
      <c r="T19" s="97"/>
      <c r="U19" s="100"/>
      <c r="V19" s="98"/>
      <c r="W19" s="97"/>
      <c r="X19" s="98"/>
      <c r="Y19" s="98"/>
      <c r="Z19" s="97"/>
      <c r="AA19" s="98"/>
      <c r="AB19" s="98"/>
      <c r="AC19" s="97"/>
      <c r="AD19" s="98"/>
      <c r="AE19" s="98"/>
      <c r="AF19" s="97"/>
      <c r="AG19" s="98"/>
      <c r="AH19" s="98"/>
      <c r="AI19" s="97"/>
      <c r="AJ19" s="98"/>
      <c r="AK19" s="98"/>
      <c r="AL19" s="97"/>
      <c r="AM19" s="98"/>
      <c r="AN19" s="98"/>
      <c r="AO19" s="97"/>
      <c r="AP19" s="98"/>
      <c r="AQ19" s="98"/>
      <c r="AR19" s="97"/>
      <c r="AS19" s="98"/>
      <c r="AT19" s="98"/>
      <c r="AU19" s="97"/>
      <c r="AV19" s="98"/>
      <c r="AW19" s="98"/>
      <c r="AX19" s="97"/>
      <c r="AY19" s="98"/>
      <c r="AZ19" s="98"/>
      <c r="BA19" s="97"/>
      <c r="BB19" s="98"/>
      <c r="BC19" s="98"/>
      <c r="BD19" s="97"/>
      <c r="BE19" s="98"/>
      <c r="BF19" s="98"/>
      <c r="BG19" s="97"/>
      <c r="BH19" s="98"/>
      <c r="BJ19"/>
      <c r="BK19"/>
      <c r="BL19"/>
      <c r="BM19"/>
      <c r="BN19"/>
      <c r="BO19"/>
    </row>
    <row r="20" spans="1:67" s="70" customFormat="1">
      <c r="B20" s="88" t="s">
        <v>169</v>
      </c>
      <c r="C20" s="71"/>
      <c r="D20" s="89" t="s">
        <v>159</v>
      </c>
      <c r="E20" s="90">
        <v>3917.4965949999996</v>
      </c>
      <c r="F20" s="91">
        <v>3939.8999699999999</v>
      </c>
      <c r="G20" s="91">
        <v>3941.8682979999999</v>
      </c>
      <c r="H20" s="90">
        <v>3941.8682979999999</v>
      </c>
      <c r="I20" s="91">
        <v>3957.5692609999996</v>
      </c>
      <c r="J20" s="91">
        <v>3923.4431199999999</v>
      </c>
      <c r="K20" s="90">
        <v>3923.4431199999999</v>
      </c>
      <c r="L20" s="91">
        <v>3944.6071199999997</v>
      </c>
      <c r="M20" s="91">
        <v>3890.1721199999997</v>
      </c>
      <c r="N20" s="90">
        <v>3890.1721199999997</v>
      </c>
      <c r="O20" s="91">
        <v>3917.9911199999997</v>
      </c>
      <c r="P20" s="91">
        <v>3946.41212</v>
      </c>
      <c r="Q20" s="90">
        <v>3946.41212</v>
      </c>
      <c r="R20" s="91">
        <v>3845.8681199999996</v>
      </c>
      <c r="S20" s="91">
        <v>3860.0271199999997</v>
      </c>
      <c r="T20" s="90">
        <v>3860.0271199999997</v>
      </c>
      <c r="U20" s="91">
        <v>3900.2351199999998</v>
      </c>
      <c r="V20" s="91">
        <v>3893.8791199999996</v>
      </c>
      <c r="W20" s="90">
        <v>3893.8791199999996</v>
      </c>
      <c r="X20" s="91">
        <v>3921.7645207131236</v>
      </c>
      <c r="Y20" s="91">
        <v>3886.0731199999996</v>
      </c>
      <c r="Z20" s="90">
        <v>3886.0731199999996</v>
      </c>
      <c r="AA20" s="91">
        <v>4177.0071200000002</v>
      </c>
      <c r="AB20" s="91">
        <v>4258.6459323739582</v>
      </c>
      <c r="AC20" s="90">
        <v>4258.6459323739582</v>
      </c>
      <c r="AD20" s="91">
        <v>4293.5711232847843</v>
      </c>
      <c r="AE20" s="91">
        <v>4318.0204514562556</v>
      </c>
      <c r="AF20" s="90">
        <v>4318.0204514562556</v>
      </c>
      <c r="AG20" s="91">
        <v>4318.404316906237</v>
      </c>
      <c r="AH20" s="91">
        <v>4314.2107731024935</v>
      </c>
      <c r="AI20" s="90">
        <v>4314.2107731024935</v>
      </c>
      <c r="AJ20" s="91">
        <v>4300.2311040812565</v>
      </c>
      <c r="AK20" s="91">
        <v>4280.4373850454285</v>
      </c>
      <c r="AL20" s="90">
        <v>4280.4373850454285</v>
      </c>
      <c r="AM20" s="91">
        <v>3900.9676674640409</v>
      </c>
      <c r="AN20" s="91">
        <v>3849.2911597810403</v>
      </c>
      <c r="AO20" s="90">
        <v>3849.2911597810403</v>
      </c>
      <c r="AP20" s="91">
        <v>3764.6807256594161</v>
      </c>
      <c r="AQ20" s="91">
        <v>3663.9576596830816</v>
      </c>
      <c r="AR20" s="90">
        <v>3663.9576596830816</v>
      </c>
      <c r="AS20" s="91">
        <v>3544.5133835917118</v>
      </c>
      <c r="AT20" s="91">
        <v>3407.2550982722669</v>
      </c>
      <c r="AU20" s="90">
        <v>3407.2550982722669</v>
      </c>
      <c r="AV20" s="91">
        <v>3249.025506827481</v>
      </c>
      <c r="AW20" s="91">
        <v>3070.2641287671577</v>
      </c>
      <c r="AX20" s="90">
        <v>3070.2641287671577</v>
      </c>
      <c r="AY20" s="91">
        <v>2870.7396032808992</v>
      </c>
      <c r="AZ20" s="91">
        <v>2647.8747259730899</v>
      </c>
      <c r="BA20" s="90">
        <v>2647.8747259730899</v>
      </c>
      <c r="BB20" s="91">
        <v>2403.9236614036158</v>
      </c>
      <c r="BC20" s="91">
        <v>2133.7535246167163</v>
      </c>
      <c r="BD20" s="90">
        <v>2133.7535246167163</v>
      </c>
      <c r="BE20" s="91">
        <v>1843.8032580410609</v>
      </c>
      <c r="BF20" s="91">
        <v>1525.2560656122164</v>
      </c>
      <c r="BG20" s="90">
        <v>1525.2560656122164</v>
      </c>
      <c r="BH20" s="91"/>
      <c r="BJ20"/>
      <c r="BK20"/>
      <c r="BL20"/>
      <c r="BM20"/>
      <c r="BN20"/>
      <c r="BO20"/>
    </row>
    <row r="21" spans="1:67" s="104" customFormat="1">
      <c r="E21" s="105"/>
      <c r="H21" s="105"/>
      <c r="K21" s="105"/>
      <c r="N21" s="105"/>
      <c r="Q21" s="105"/>
      <c r="T21" s="105"/>
      <c r="W21" s="105"/>
      <c r="Z21" s="105"/>
      <c r="AC21" s="105"/>
      <c r="AF21" s="105"/>
      <c r="AI21" s="105"/>
      <c r="AL21" s="105"/>
      <c r="AO21" s="105"/>
      <c r="AR21" s="105"/>
      <c r="AU21" s="105"/>
      <c r="AX21" s="105"/>
      <c r="BA21" s="105"/>
      <c r="BD21" s="105"/>
      <c r="BG21" s="105"/>
      <c r="BJ21"/>
      <c r="BK21"/>
      <c r="BL21"/>
      <c r="BM21"/>
      <c r="BN21"/>
      <c r="BO21"/>
    </row>
    <row r="22" spans="1:67" s="61" customFormat="1">
      <c r="B22" s="88" t="s">
        <v>170</v>
      </c>
      <c r="C22" s="88"/>
      <c r="D22" s="89" t="s">
        <v>163</v>
      </c>
      <c r="E22" s="90">
        <f t="shared" ref="E22:BG22" si="54">+(E128/E284)*100</f>
        <v>-4.7123511890229004</v>
      </c>
      <c r="F22" s="91">
        <f t="shared" si="54"/>
        <v>-3.6427456571831218</v>
      </c>
      <c r="G22" s="91">
        <f t="shared" si="54"/>
        <v>-6.6954725811877891</v>
      </c>
      <c r="H22" s="90">
        <f t="shared" si="54"/>
        <v>-10.265549860481684</v>
      </c>
      <c r="I22" s="91">
        <f t="shared" si="54"/>
        <v>-6.9214957233511569</v>
      </c>
      <c r="J22" s="91">
        <f t="shared" si="54"/>
        <v>-3.5773360692606575</v>
      </c>
      <c r="K22" s="90">
        <f t="shared" si="54"/>
        <v>-9.9954163221768599</v>
      </c>
      <c r="L22" s="91">
        <f t="shared" si="54"/>
        <v>-7.2875017723143563</v>
      </c>
      <c r="M22" s="91">
        <f t="shared" si="54"/>
        <v>7.9418201040925718</v>
      </c>
      <c r="N22" s="90">
        <f t="shared" si="54"/>
        <v>0.76184257067450267</v>
      </c>
      <c r="O22" s="91">
        <f t="shared" si="54"/>
        <v>-10.194292692782737</v>
      </c>
      <c r="P22" s="91">
        <f t="shared" si="54"/>
        <v>-10.871491038461272</v>
      </c>
      <c r="Q22" s="90">
        <f t="shared" si="54"/>
        <v>-21.022940688716755</v>
      </c>
      <c r="R22" s="91">
        <f t="shared" si="54"/>
        <v>-19.594156501204893</v>
      </c>
      <c r="S22" s="91">
        <f t="shared" si="54"/>
        <v>-1.2074915337170486</v>
      </c>
      <c r="T22" s="90">
        <f t="shared" si="54"/>
        <v>-20.592704188717629</v>
      </c>
      <c r="U22" s="91">
        <f t="shared" si="54"/>
        <v>2.1213889818601377</v>
      </c>
      <c r="V22" s="91">
        <f t="shared" si="54"/>
        <v>2.3277007197800503</v>
      </c>
      <c r="W22" s="90">
        <f t="shared" si="54"/>
        <v>4.4091934138580831</v>
      </c>
      <c r="X22" s="91">
        <f t="shared" si="54"/>
        <v>7.207685891693183</v>
      </c>
      <c r="Y22" s="91">
        <f t="shared" si="54"/>
        <v>1.2045609928502712</v>
      </c>
      <c r="Z22" s="90">
        <f t="shared" si="54"/>
        <v>7.9637762610519482</v>
      </c>
      <c r="AA22" s="91">
        <f t="shared" si="54"/>
        <v>5.1418357532706818</v>
      </c>
      <c r="AB22" s="91">
        <f t="shared" si="54"/>
        <v>-15.34142870891529</v>
      </c>
      <c r="AC22" s="90">
        <f t="shared" si="54"/>
        <v>-14.910359262700457</v>
      </c>
      <c r="AD22" s="91">
        <f t="shared" si="54"/>
        <v>-3.6984907057293679</v>
      </c>
      <c r="AE22" s="91">
        <f t="shared" si="54"/>
        <v>-0.35610350536291302</v>
      </c>
      <c r="AF22" s="90">
        <f t="shared" si="54"/>
        <v>-4.0545942110922812</v>
      </c>
      <c r="AG22" s="91">
        <f t="shared" si="54"/>
        <v>5.0026718852091614</v>
      </c>
      <c r="AH22" s="91">
        <f t="shared" si="54"/>
        <v>6.4887427742146047</v>
      </c>
      <c r="AI22" s="90">
        <f t="shared" si="54"/>
        <v>11.491414659423764</v>
      </c>
      <c r="AJ22" s="91">
        <f t="shared" si="54"/>
        <v>9.8319806713908307</v>
      </c>
      <c r="AK22" s="91">
        <f t="shared" si="54"/>
        <v>11.700915271048464</v>
      </c>
      <c r="AL22" s="90">
        <f t="shared" si="54"/>
        <v>21.532895942439289</v>
      </c>
      <c r="AM22" s="91">
        <f t="shared" si="54"/>
        <v>17.614097405828709</v>
      </c>
      <c r="AN22" s="91">
        <f t="shared" si="54"/>
        <v>21.746146695462649</v>
      </c>
      <c r="AO22" s="90">
        <f t="shared" si="54"/>
        <v>39.360244101291357</v>
      </c>
      <c r="AP22" s="91">
        <f t="shared" si="54"/>
        <v>31.856079379581843</v>
      </c>
      <c r="AQ22" s="91">
        <f t="shared" si="54"/>
        <v>36.909960532472795</v>
      </c>
      <c r="AR22" s="90">
        <f t="shared" si="54"/>
        <v>68.766039912054651</v>
      </c>
      <c r="AS22" s="91">
        <f t="shared" si="54"/>
        <v>42.783958714095981</v>
      </c>
      <c r="AT22" s="91">
        <f t="shared" si="54"/>
        <v>48.408107200763062</v>
      </c>
      <c r="AU22" s="90">
        <f t="shared" si="54"/>
        <v>91.192065914859043</v>
      </c>
      <c r="AV22" s="91">
        <f t="shared" si="54"/>
        <v>54.837660637779621</v>
      </c>
      <c r="AW22" s="91">
        <f t="shared" si="54"/>
        <v>61.31467818684024</v>
      </c>
      <c r="AX22" s="90">
        <f t="shared" si="54"/>
        <v>116.15233882461986</v>
      </c>
      <c r="AY22" s="91">
        <f t="shared" si="54"/>
        <v>67.546713316809218</v>
      </c>
      <c r="AZ22" s="91">
        <f t="shared" si="54"/>
        <v>74.910930488692813</v>
      </c>
      <c r="BA22" s="90">
        <f t="shared" si="54"/>
        <v>142.45764380550196</v>
      </c>
      <c r="BB22" s="91">
        <f t="shared" si="54"/>
        <v>81.114296088594912</v>
      </c>
      <c r="BC22" s="91">
        <f t="shared" si="54"/>
        <v>89.373713661487258</v>
      </c>
      <c r="BD22" s="90">
        <f t="shared" si="54"/>
        <v>170.48800975008217</v>
      </c>
      <c r="BE22" s="91">
        <f t="shared" si="54"/>
        <v>95.024660214816763</v>
      </c>
      <c r="BF22" s="91">
        <f t="shared" si="54"/>
        <v>104.03202062768182</v>
      </c>
      <c r="BG22" s="90">
        <f t="shared" si="54"/>
        <v>199.05668084249854</v>
      </c>
      <c r="BH22" s="91"/>
      <c r="BJ22"/>
      <c r="BK22"/>
      <c r="BL22"/>
      <c r="BM22"/>
      <c r="BN22"/>
      <c r="BO22"/>
    </row>
    <row r="23" spans="1:67" s="61" customFormat="1">
      <c r="B23" s="88" t="s">
        <v>171</v>
      </c>
      <c r="C23" s="88"/>
      <c r="D23" s="89" t="s">
        <v>165</v>
      </c>
      <c r="E23" s="90">
        <v>-243.82732820858448</v>
      </c>
      <c r="F23" s="91">
        <v>-157.71070891736423</v>
      </c>
      <c r="G23" s="91">
        <v>-85.804249518423489</v>
      </c>
      <c r="H23" s="90">
        <v>-111.92775989751864</v>
      </c>
      <c r="I23" s="91">
        <v>-83.002290684338718</v>
      </c>
      <c r="J23" s="91">
        <v>-160.59436096501111</v>
      </c>
      <c r="K23" s="90">
        <v>-114.95269060986587</v>
      </c>
      <c r="L23" s="91">
        <v>-78.833600038707232</v>
      </c>
      <c r="M23" s="91">
        <v>72.338581391934227</v>
      </c>
      <c r="N23" s="90">
        <v>1508.1856071428574</v>
      </c>
      <c r="O23" s="91">
        <v>-56.355062319010059</v>
      </c>
      <c r="P23" s="91">
        <v>-52.84463722294651</v>
      </c>
      <c r="Q23" s="90">
        <v>-54.654580299352752</v>
      </c>
      <c r="R23" s="91">
        <v>-29.319965876799678</v>
      </c>
      <c r="S23" s="91">
        <v>-475.77973340442696</v>
      </c>
      <c r="T23" s="90">
        <v>-55.796460215726135</v>
      </c>
      <c r="U23" s="91">
        <v>270.81313465494208</v>
      </c>
      <c r="V23" s="91">
        <v>246.81007962840076</v>
      </c>
      <c r="W23" s="90">
        <v>260.59187977299797</v>
      </c>
      <c r="X23" s="91">
        <v>79.70658109034801</v>
      </c>
      <c r="Y23" s="91">
        <v>476.9372438672446</v>
      </c>
      <c r="Z23" s="90">
        <v>144.27828737722808</v>
      </c>
      <c r="AA23" s="91">
        <v>111.73052340976956</v>
      </c>
      <c r="AB23" s="91">
        <v>-37.447620485707674</v>
      </c>
      <c r="AC23" s="90">
        <v>-77.060517440000396</v>
      </c>
      <c r="AD23" s="91">
        <v>-155.33363355761216</v>
      </c>
      <c r="AE23" s="91">
        <v>-1613.294986845227</v>
      </c>
      <c r="AF23" s="90">
        <v>-283.38224250817615</v>
      </c>
      <c r="AG23" s="91">
        <v>114.83863287107829</v>
      </c>
      <c r="AH23" s="91">
        <v>88.537952572721181</v>
      </c>
      <c r="AI23" s="90">
        <v>99.987689423228645</v>
      </c>
      <c r="AJ23" s="91">
        <v>58.43176661968878</v>
      </c>
      <c r="AK23" s="91">
        <v>49.09872319317477</v>
      </c>
      <c r="AL23" s="90">
        <v>53.360216994102977</v>
      </c>
      <c r="AM23" s="91">
        <v>32.61592046208915</v>
      </c>
      <c r="AN23" s="91">
        <v>26.418473490748131</v>
      </c>
      <c r="AO23" s="90">
        <v>29.191892129609602</v>
      </c>
      <c r="AP23" s="91">
        <v>18.034234318496388</v>
      </c>
      <c r="AQ23" s="91">
        <v>15.56490420775617</v>
      </c>
      <c r="AR23" s="90">
        <v>16.708828972403584</v>
      </c>
      <c r="AS23" s="91">
        <v>13.427929936056154</v>
      </c>
      <c r="AT23" s="91">
        <v>11.86784679717748</v>
      </c>
      <c r="AU23" s="90">
        <v>12.599780347917081</v>
      </c>
      <c r="AV23" s="91">
        <v>10.476376878925548</v>
      </c>
      <c r="AW23" s="91">
        <v>9.3696977133169224</v>
      </c>
      <c r="AX23" s="90">
        <v>9.8921813510349725</v>
      </c>
      <c r="AY23" s="91">
        <v>8.5052250774285092</v>
      </c>
      <c r="AZ23" s="91">
        <v>7.6691077824312437</v>
      </c>
      <c r="BA23" s="90">
        <v>8.0655552717742172</v>
      </c>
      <c r="BB23" s="91">
        <v>7.0825986010224113</v>
      </c>
      <c r="BC23" s="91">
        <v>6.4280645445257178</v>
      </c>
      <c r="BD23" s="90">
        <v>6.7394768798363911</v>
      </c>
      <c r="BE23" s="91">
        <v>6.0457990452295336</v>
      </c>
      <c r="BF23" s="91">
        <v>5.5223381852407432</v>
      </c>
      <c r="BG23" s="90">
        <v>5.7722252533143257</v>
      </c>
      <c r="BH23" s="91"/>
      <c r="BJ23"/>
      <c r="BK23"/>
      <c r="BL23"/>
      <c r="BM23"/>
      <c r="BN23"/>
      <c r="BO23"/>
    </row>
    <row r="24" spans="1:67" s="61" customFormat="1">
      <c r="B24" s="88" t="s">
        <v>172</v>
      </c>
      <c r="C24" s="88"/>
      <c r="D24" s="89" t="s">
        <v>173</v>
      </c>
      <c r="E24" s="90">
        <f>+E273</f>
        <v>0</v>
      </c>
      <c r="F24" s="91">
        <f t="shared" ref="F24:BG24" si="55">+F273</f>
        <v>0</v>
      </c>
      <c r="G24" s="91">
        <f t="shared" si="55"/>
        <v>0</v>
      </c>
      <c r="H24" s="90">
        <f t="shared" si="55"/>
        <v>0</v>
      </c>
      <c r="I24" s="91">
        <f t="shared" si="55"/>
        <v>0</v>
      </c>
      <c r="J24" s="91">
        <f t="shared" si="55"/>
        <v>0</v>
      </c>
      <c r="K24" s="90">
        <f t="shared" si="55"/>
        <v>0</v>
      </c>
      <c r="L24" s="91">
        <f t="shared" si="55"/>
        <v>0</v>
      </c>
      <c r="M24" s="91">
        <f t="shared" si="55"/>
        <v>0</v>
      </c>
      <c r="N24" s="90">
        <f t="shared" si="55"/>
        <v>0</v>
      </c>
      <c r="O24" s="91">
        <f t="shared" si="55"/>
        <v>0</v>
      </c>
      <c r="P24" s="91">
        <f t="shared" si="55"/>
        <v>0</v>
      </c>
      <c r="Q24" s="90">
        <f t="shared" si="55"/>
        <v>0</v>
      </c>
      <c r="R24" s="91">
        <f t="shared" si="55"/>
        <v>0</v>
      </c>
      <c r="S24" s="91">
        <f t="shared" si="55"/>
        <v>0</v>
      </c>
      <c r="T24" s="90">
        <f t="shared" si="55"/>
        <v>0</v>
      </c>
      <c r="U24" s="91">
        <f t="shared" si="55"/>
        <v>0</v>
      </c>
      <c r="V24" s="91">
        <f t="shared" si="55"/>
        <v>0</v>
      </c>
      <c r="W24" s="90">
        <f t="shared" si="55"/>
        <v>0</v>
      </c>
      <c r="X24" s="91">
        <f t="shared" si="55"/>
        <v>0</v>
      </c>
      <c r="Y24" s="91">
        <f t="shared" si="55"/>
        <v>0</v>
      </c>
      <c r="Z24" s="90">
        <f t="shared" si="55"/>
        <v>0</v>
      </c>
      <c r="AA24" s="91">
        <f t="shared" si="55"/>
        <v>0</v>
      </c>
      <c r="AB24" s="91">
        <f t="shared" si="55"/>
        <v>0</v>
      </c>
      <c r="AC24" s="90">
        <f t="shared" si="55"/>
        <v>0</v>
      </c>
      <c r="AD24" s="91">
        <f t="shared" si="55"/>
        <v>0</v>
      </c>
      <c r="AE24" s="91">
        <f t="shared" si="55"/>
        <v>0</v>
      </c>
      <c r="AF24" s="90">
        <f t="shared" si="55"/>
        <v>0</v>
      </c>
      <c r="AG24" s="91">
        <f t="shared" si="55"/>
        <v>0</v>
      </c>
      <c r="AH24" s="91">
        <f t="shared" si="55"/>
        <v>0</v>
      </c>
      <c r="AI24" s="90">
        <f t="shared" si="55"/>
        <v>0</v>
      </c>
      <c r="AJ24" s="91">
        <f t="shared" si="55"/>
        <v>0</v>
      </c>
      <c r="AK24" s="91">
        <f t="shared" si="55"/>
        <v>0</v>
      </c>
      <c r="AL24" s="90">
        <f t="shared" si="55"/>
        <v>0</v>
      </c>
      <c r="AM24" s="91">
        <f t="shared" si="55"/>
        <v>0</v>
      </c>
      <c r="AN24" s="91">
        <f t="shared" si="55"/>
        <v>0</v>
      </c>
      <c r="AO24" s="90">
        <f t="shared" si="55"/>
        <v>0</v>
      </c>
      <c r="AP24" s="91">
        <f t="shared" si="55"/>
        <v>0</v>
      </c>
      <c r="AQ24" s="91">
        <f t="shared" si="55"/>
        <v>0</v>
      </c>
      <c r="AR24" s="90">
        <f t="shared" si="55"/>
        <v>0</v>
      </c>
      <c r="AS24" s="91">
        <f t="shared" si="55"/>
        <v>0</v>
      </c>
      <c r="AT24" s="91">
        <f t="shared" si="55"/>
        <v>0</v>
      </c>
      <c r="AU24" s="90">
        <f t="shared" si="55"/>
        <v>0</v>
      </c>
      <c r="AV24" s="91">
        <f t="shared" si="55"/>
        <v>0</v>
      </c>
      <c r="AW24" s="91">
        <f t="shared" si="55"/>
        <v>0</v>
      </c>
      <c r="AX24" s="90">
        <f t="shared" si="55"/>
        <v>0</v>
      </c>
      <c r="AY24" s="91">
        <f t="shared" si="55"/>
        <v>0</v>
      </c>
      <c r="AZ24" s="91">
        <f t="shared" si="55"/>
        <v>0</v>
      </c>
      <c r="BA24" s="90">
        <f t="shared" si="55"/>
        <v>0</v>
      </c>
      <c r="BB24" s="91">
        <f t="shared" si="55"/>
        <v>0</v>
      </c>
      <c r="BC24" s="91">
        <f t="shared" si="55"/>
        <v>0</v>
      </c>
      <c r="BD24" s="90">
        <f t="shared" si="55"/>
        <v>0</v>
      </c>
      <c r="BE24" s="91">
        <f t="shared" si="55"/>
        <v>0</v>
      </c>
      <c r="BF24" s="91">
        <f t="shared" si="55"/>
        <v>0</v>
      </c>
      <c r="BG24" s="90">
        <f t="shared" si="55"/>
        <v>0</v>
      </c>
      <c r="BH24" s="91"/>
      <c r="BJ24"/>
      <c r="BK24"/>
      <c r="BL24"/>
      <c r="BM24"/>
      <c r="BN24"/>
      <c r="BO24"/>
    </row>
    <row r="25" spans="1:67" s="70" customFormat="1">
      <c r="B25" s="71" t="s">
        <v>174</v>
      </c>
      <c r="C25" s="71"/>
      <c r="D25" s="92" t="s">
        <v>175</v>
      </c>
      <c r="E25" s="108">
        <v>0</v>
      </c>
      <c r="F25" s="109">
        <v>0</v>
      </c>
      <c r="G25" s="109">
        <v>0</v>
      </c>
      <c r="H25" s="108">
        <v>0</v>
      </c>
      <c r="I25" s="109">
        <v>0</v>
      </c>
      <c r="J25" s="109">
        <v>0</v>
      </c>
      <c r="K25" s="108">
        <v>0</v>
      </c>
      <c r="L25" s="109">
        <v>0</v>
      </c>
      <c r="M25" s="109">
        <v>0</v>
      </c>
      <c r="N25" s="108">
        <v>0</v>
      </c>
      <c r="O25" s="109">
        <v>0</v>
      </c>
      <c r="P25" s="109">
        <v>0</v>
      </c>
      <c r="Q25" s="108">
        <v>0</v>
      </c>
      <c r="R25" s="109">
        <v>0</v>
      </c>
      <c r="S25" s="109">
        <v>0</v>
      </c>
      <c r="T25" s="108">
        <v>0</v>
      </c>
      <c r="U25" s="109">
        <v>0</v>
      </c>
      <c r="V25" s="109">
        <v>0</v>
      </c>
      <c r="W25" s="108">
        <v>0</v>
      </c>
      <c r="X25" s="109">
        <v>0</v>
      </c>
      <c r="Y25" s="109">
        <v>0</v>
      </c>
      <c r="Z25" s="108">
        <v>0</v>
      </c>
      <c r="AA25" s="109">
        <v>0</v>
      </c>
      <c r="AB25" s="109">
        <v>0</v>
      </c>
      <c r="AC25" s="108">
        <v>0</v>
      </c>
      <c r="AD25" s="109">
        <v>0</v>
      </c>
      <c r="AE25" s="109">
        <v>0</v>
      </c>
      <c r="AF25" s="108">
        <v>0</v>
      </c>
      <c r="AG25" s="109">
        <v>0</v>
      </c>
      <c r="AH25" s="109">
        <v>0</v>
      </c>
      <c r="AI25" s="108">
        <v>0</v>
      </c>
      <c r="AJ25" s="109">
        <v>0</v>
      </c>
      <c r="AK25" s="109">
        <v>0</v>
      </c>
      <c r="AL25" s="108">
        <v>0</v>
      </c>
      <c r="AM25" s="109">
        <v>0</v>
      </c>
      <c r="AN25" s="109">
        <v>0</v>
      </c>
      <c r="AO25" s="108">
        <v>0</v>
      </c>
      <c r="AP25" s="109">
        <v>0</v>
      </c>
      <c r="AQ25" s="109">
        <v>0</v>
      </c>
      <c r="AR25" s="108">
        <v>0</v>
      </c>
      <c r="AS25" s="109">
        <v>0</v>
      </c>
      <c r="AT25" s="109">
        <v>0</v>
      </c>
      <c r="AU25" s="108">
        <v>0</v>
      </c>
      <c r="AV25" s="109">
        <v>0</v>
      </c>
      <c r="AW25" s="109">
        <v>0</v>
      </c>
      <c r="AX25" s="108">
        <v>0</v>
      </c>
      <c r="AY25" s="109">
        <v>0</v>
      </c>
      <c r="AZ25" s="109">
        <v>0</v>
      </c>
      <c r="BA25" s="108">
        <v>0</v>
      </c>
      <c r="BB25" s="109">
        <v>0</v>
      </c>
      <c r="BC25" s="109">
        <v>0</v>
      </c>
      <c r="BD25" s="108">
        <v>0</v>
      </c>
      <c r="BE25" s="109">
        <v>0</v>
      </c>
      <c r="BF25" s="109">
        <v>0</v>
      </c>
      <c r="BG25" s="108">
        <v>0</v>
      </c>
      <c r="BH25" s="109"/>
      <c r="BJ25"/>
      <c r="BK25"/>
      <c r="BL25"/>
      <c r="BM25"/>
      <c r="BN25"/>
      <c r="BO25"/>
    </row>
    <row r="26" spans="1:67" s="70" customFormat="1">
      <c r="B26" s="71" t="s">
        <v>176</v>
      </c>
      <c r="C26" s="71"/>
      <c r="D26" s="92" t="s">
        <v>175</v>
      </c>
      <c r="E26" s="108"/>
      <c r="F26" s="109"/>
      <c r="G26" s="109"/>
      <c r="H26" s="108">
        <f t="shared" ref="H26:BG26" si="56">+(H12-E12)/E12</f>
        <v>0.37349397590361433</v>
      </c>
      <c r="I26" s="109">
        <f t="shared" si="56"/>
        <v>0.81297709923664119</v>
      </c>
      <c r="J26" s="109">
        <f t="shared" si="56"/>
        <v>0.70379146919431279</v>
      </c>
      <c r="K26" s="108">
        <f t="shared" si="56"/>
        <v>0.74561403508771928</v>
      </c>
      <c r="L26" s="109">
        <f t="shared" si="56"/>
        <v>0.51999999999999991</v>
      </c>
      <c r="M26" s="109">
        <f t="shared" si="56"/>
        <v>0.42976356050069564</v>
      </c>
      <c r="N26" s="108">
        <f t="shared" si="56"/>
        <v>0.46566164154103856</v>
      </c>
      <c r="O26" s="109">
        <f t="shared" si="56"/>
        <v>0.60110803324099737</v>
      </c>
      <c r="P26" s="109">
        <f t="shared" si="56"/>
        <v>0.64785992217898791</v>
      </c>
      <c r="Q26" s="108">
        <f t="shared" si="56"/>
        <v>0.62857142857142856</v>
      </c>
      <c r="R26" s="109">
        <f t="shared" si="56"/>
        <v>0.99567474048442905</v>
      </c>
      <c r="S26" s="109">
        <f t="shared" si="56"/>
        <v>-0.38429752066115697</v>
      </c>
      <c r="T26" s="108">
        <f t="shared" si="56"/>
        <v>0.17543859649122806</v>
      </c>
      <c r="U26" s="109">
        <f t="shared" si="56"/>
        <v>-0.87536065290385978</v>
      </c>
      <c r="V26" s="109">
        <f t="shared" si="56"/>
        <v>-1.3962627321135068</v>
      </c>
      <c r="W26" s="108">
        <f t="shared" si="56"/>
        <v>-1.0391542642046012</v>
      </c>
      <c r="X26" s="109">
        <f t="shared" si="56"/>
        <v>-3.1047364825103436</v>
      </c>
      <c r="Y26" s="109">
        <f t="shared" si="56"/>
        <v>-1.2104426321897161E-2</v>
      </c>
      <c r="Z26" s="108">
        <f t="shared" si="56"/>
        <v>6.4397268037153861</v>
      </c>
      <c r="AA26" s="109">
        <f t="shared" si="56"/>
        <v>-1.1097130869545559</v>
      </c>
      <c r="AB26" s="109">
        <f t="shared" si="56"/>
        <v>-1.3061081979120683</v>
      </c>
      <c r="AC26" s="108">
        <f t="shared" si="56"/>
        <v>-1.1961196063937254</v>
      </c>
      <c r="AD26" s="109">
        <f t="shared" si="56"/>
        <v>-1.514950617615771</v>
      </c>
      <c r="AE26" s="109">
        <f t="shared" si="56"/>
        <v>-1.4255494636746553</v>
      </c>
      <c r="AF26" s="108">
        <f t="shared" si="56"/>
        <v>-1.4565664910332037</v>
      </c>
      <c r="AG26" s="109">
        <f t="shared" si="56"/>
        <v>5.9473249950603648</v>
      </c>
      <c r="AH26" s="109">
        <f t="shared" si="56"/>
        <v>4.4180590130420647</v>
      </c>
      <c r="AI26" s="108">
        <f t="shared" si="56"/>
        <v>5.0164728484815493</v>
      </c>
      <c r="AJ26" s="109">
        <f t="shared" si="56"/>
        <v>1.8956281166554412</v>
      </c>
      <c r="AK26" s="109">
        <f t="shared" si="56"/>
        <v>1.6455256186773919</v>
      </c>
      <c r="AL26" s="108">
        <f t="shared" si="56"/>
        <v>1.7585344235107823</v>
      </c>
      <c r="AM26" s="109">
        <f t="shared" si="56"/>
        <v>1.2619798383617986</v>
      </c>
      <c r="AN26" s="109">
        <f t="shared" si="56"/>
        <v>1.1907485666405404</v>
      </c>
      <c r="AO26" s="108">
        <f t="shared" si="56"/>
        <v>1.2245339870692045</v>
      </c>
      <c r="AP26" s="109">
        <f t="shared" si="56"/>
        <v>0.80309269879313594</v>
      </c>
      <c r="AQ26" s="109">
        <f t="shared" si="56"/>
        <v>0.86215340643017602</v>
      </c>
      <c r="AR26" s="108">
        <f t="shared" si="56"/>
        <v>0.83366901402653271</v>
      </c>
      <c r="AS26" s="109">
        <f t="shared" si="56"/>
        <v>0.34898369542762742</v>
      </c>
      <c r="AT26" s="109">
        <f t="shared" si="56"/>
        <v>0.34174254400209281</v>
      </c>
      <c r="AU26" s="108">
        <f t="shared" si="56"/>
        <v>0.34517664490659622</v>
      </c>
      <c r="AV26" s="109">
        <f t="shared" si="56"/>
        <v>0.29317676136650506</v>
      </c>
      <c r="AW26" s="109">
        <f t="shared" si="56"/>
        <v>0.28796282766438214</v>
      </c>
      <c r="AX26" s="108">
        <f t="shared" si="56"/>
        <v>0.29044252290914147</v>
      </c>
      <c r="AY26" s="109">
        <f t="shared" si="56"/>
        <v>0.2378299585939429</v>
      </c>
      <c r="AZ26" s="109">
        <f t="shared" si="56"/>
        <v>0.23701124563445042</v>
      </c>
      <c r="BA26" s="108">
        <f t="shared" si="56"/>
        <v>0.23740144242743896</v>
      </c>
      <c r="BB26" s="109">
        <f t="shared" si="56"/>
        <v>0.20729160689373063</v>
      </c>
      <c r="BC26" s="109">
        <f t="shared" si="56"/>
        <v>0.20470155077608268</v>
      </c>
      <c r="BD26" s="108">
        <f t="shared" si="56"/>
        <v>0.20593639329820243</v>
      </c>
      <c r="BE26" s="109">
        <f t="shared" si="56"/>
        <v>0.1751920707577703</v>
      </c>
      <c r="BF26" s="109">
        <f t="shared" si="56"/>
        <v>0.17316775577370955</v>
      </c>
      <c r="BG26" s="108">
        <f t="shared" si="56"/>
        <v>0.17413395852933275</v>
      </c>
      <c r="BH26" s="109"/>
      <c r="BJ26"/>
      <c r="BK26"/>
      <c r="BL26"/>
      <c r="BM26"/>
      <c r="BN26"/>
      <c r="BO26"/>
    </row>
    <row r="27" spans="1:67" s="61" customFormat="1">
      <c r="B27" s="70"/>
      <c r="E27" s="78"/>
      <c r="F27" s="79"/>
      <c r="G27" s="79"/>
      <c r="H27" s="78"/>
      <c r="I27" s="79"/>
      <c r="J27" s="79"/>
      <c r="K27" s="78"/>
      <c r="L27" s="79"/>
      <c r="M27" s="79"/>
      <c r="N27" s="78"/>
      <c r="O27" s="79"/>
      <c r="P27" s="79"/>
      <c r="Q27" s="78"/>
      <c r="R27" s="79"/>
      <c r="S27" s="79"/>
      <c r="T27" s="78"/>
      <c r="U27" s="79"/>
      <c r="V27" s="79"/>
      <c r="W27" s="78"/>
      <c r="X27" s="79"/>
      <c r="Y27" s="79"/>
      <c r="Z27" s="110"/>
      <c r="AA27" s="79"/>
      <c r="AB27" s="79"/>
      <c r="AC27" s="110"/>
      <c r="AD27" s="79"/>
      <c r="AE27" s="79"/>
      <c r="AF27" s="110"/>
      <c r="AG27" s="79"/>
      <c r="AH27" s="79"/>
      <c r="AI27" s="110"/>
      <c r="AJ27" s="79"/>
      <c r="AK27" s="79"/>
      <c r="AL27" s="110"/>
      <c r="AM27" s="79"/>
      <c r="AN27" s="79"/>
      <c r="AO27" s="110"/>
      <c r="AP27" s="79"/>
      <c r="AQ27" s="79"/>
      <c r="AR27" s="110"/>
      <c r="AS27" s="79"/>
      <c r="AT27" s="79"/>
      <c r="AU27" s="110"/>
      <c r="AV27" s="79"/>
      <c r="AW27" s="79"/>
      <c r="AX27" s="110"/>
      <c r="AY27" s="79"/>
      <c r="AZ27" s="79"/>
      <c r="BA27" s="110"/>
      <c r="BB27" s="79"/>
      <c r="BC27" s="79"/>
      <c r="BD27" s="110"/>
      <c r="BE27" s="79"/>
      <c r="BF27" s="79"/>
      <c r="BG27" s="110"/>
      <c r="BH27" s="79"/>
      <c r="BJ27"/>
      <c r="BK27"/>
      <c r="BL27"/>
      <c r="BM27"/>
      <c r="BN27"/>
      <c r="BO27"/>
    </row>
    <row r="28" spans="1:67" s="87" customFormat="1">
      <c r="A28" s="84" t="s">
        <v>177</v>
      </c>
      <c r="B28" s="63"/>
      <c r="C28" s="63"/>
      <c r="D28" s="85" t="str">
        <f t="shared" ref="D28:BG28" si="57">+D4</f>
        <v>Base</v>
      </c>
      <c r="E28" s="111" t="str">
        <f t="shared" si="57"/>
        <v>2017</v>
      </c>
      <c r="F28" s="112" t="str">
        <f t="shared" si="57"/>
        <v>1H18</v>
      </c>
      <c r="G28" s="112" t="str">
        <f t="shared" si="57"/>
        <v>2H18</v>
      </c>
      <c r="H28" s="111" t="str">
        <f t="shared" si="57"/>
        <v>2018</v>
      </c>
      <c r="I28" s="112" t="str">
        <f t="shared" si="57"/>
        <v>1H19</v>
      </c>
      <c r="J28" s="112" t="str">
        <f t="shared" si="57"/>
        <v>2H19</v>
      </c>
      <c r="K28" s="111" t="str">
        <f t="shared" si="57"/>
        <v>2019</v>
      </c>
      <c r="L28" s="112" t="str">
        <f t="shared" si="57"/>
        <v>1H20</v>
      </c>
      <c r="M28" s="112" t="str">
        <f t="shared" si="57"/>
        <v>2H20E</v>
      </c>
      <c r="N28" s="111" t="str">
        <f t="shared" si="57"/>
        <v>2020E</v>
      </c>
      <c r="O28" s="112" t="str">
        <f t="shared" si="57"/>
        <v>1H21</v>
      </c>
      <c r="P28" s="112" t="str">
        <f t="shared" si="57"/>
        <v>2H21</v>
      </c>
      <c r="Q28" s="111" t="str">
        <f t="shared" si="57"/>
        <v>2021</v>
      </c>
      <c r="R28" s="112" t="str">
        <f t="shared" si="57"/>
        <v>1H22</v>
      </c>
      <c r="S28" s="112" t="str">
        <f t="shared" si="57"/>
        <v>2H22</v>
      </c>
      <c r="T28" s="111" t="str">
        <f t="shared" si="57"/>
        <v>2022</v>
      </c>
      <c r="U28" s="112" t="str">
        <f t="shared" si="57"/>
        <v>1H23</v>
      </c>
      <c r="V28" s="112" t="str">
        <f t="shared" si="57"/>
        <v>2H23</v>
      </c>
      <c r="W28" s="111" t="str">
        <f t="shared" si="57"/>
        <v>2023</v>
      </c>
      <c r="X28" s="112" t="str">
        <f t="shared" si="57"/>
        <v>1H24</v>
      </c>
      <c r="Y28" s="112" t="str">
        <f t="shared" si="57"/>
        <v>2H24</v>
      </c>
      <c r="Z28" s="111" t="str">
        <f t="shared" si="57"/>
        <v>2024</v>
      </c>
      <c r="AA28" s="112" t="str">
        <f t="shared" si="57"/>
        <v>1H25</v>
      </c>
      <c r="AB28" s="112" t="str">
        <f t="shared" si="57"/>
        <v>2H25E</v>
      </c>
      <c r="AC28" s="111" t="str">
        <f t="shared" si="57"/>
        <v>2025E</v>
      </c>
      <c r="AD28" s="112" t="str">
        <f t="shared" si="57"/>
        <v>1H26E</v>
      </c>
      <c r="AE28" s="112" t="str">
        <f t="shared" si="57"/>
        <v>2H26E</v>
      </c>
      <c r="AF28" s="111" t="str">
        <f t="shared" si="57"/>
        <v>2026E</v>
      </c>
      <c r="AG28" s="112" t="str">
        <f t="shared" si="57"/>
        <v>1H27E</v>
      </c>
      <c r="AH28" s="112" t="str">
        <f t="shared" si="57"/>
        <v>2H27E</v>
      </c>
      <c r="AI28" s="111" t="str">
        <f t="shared" si="57"/>
        <v>2027E</v>
      </c>
      <c r="AJ28" s="112" t="str">
        <f t="shared" si="57"/>
        <v>1H28E</v>
      </c>
      <c r="AK28" s="112" t="str">
        <f t="shared" si="57"/>
        <v>2H28E</v>
      </c>
      <c r="AL28" s="111" t="str">
        <f t="shared" si="57"/>
        <v>2028E</v>
      </c>
      <c r="AM28" s="112" t="str">
        <f t="shared" si="57"/>
        <v>1H29E</v>
      </c>
      <c r="AN28" s="112" t="str">
        <f t="shared" si="57"/>
        <v>2H29E</v>
      </c>
      <c r="AO28" s="111" t="str">
        <f t="shared" si="57"/>
        <v>2029E</v>
      </c>
      <c r="AP28" s="112" t="str">
        <f t="shared" si="57"/>
        <v>1H30E</v>
      </c>
      <c r="AQ28" s="112" t="str">
        <f t="shared" si="57"/>
        <v>2H30E</v>
      </c>
      <c r="AR28" s="111" t="str">
        <f t="shared" si="57"/>
        <v>2030E</v>
      </c>
      <c r="AS28" s="112" t="str">
        <f t="shared" si="57"/>
        <v>1H31E</v>
      </c>
      <c r="AT28" s="112" t="str">
        <f t="shared" si="57"/>
        <v>2H31E</v>
      </c>
      <c r="AU28" s="111" t="str">
        <f t="shared" si="57"/>
        <v>2031E</v>
      </c>
      <c r="AV28" s="112" t="str">
        <f t="shared" si="57"/>
        <v>1H32E</v>
      </c>
      <c r="AW28" s="112" t="str">
        <f t="shared" si="57"/>
        <v>2H32E</v>
      </c>
      <c r="AX28" s="111" t="str">
        <f t="shared" si="57"/>
        <v>2032E</v>
      </c>
      <c r="AY28" s="112" t="str">
        <f t="shared" si="57"/>
        <v>1H33E</v>
      </c>
      <c r="AZ28" s="112" t="str">
        <f t="shared" si="57"/>
        <v>2H33E</v>
      </c>
      <c r="BA28" s="111" t="str">
        <f t="shared" si="57"/>
        <v>2033E</v>
      </c>
      <c r="BB28" s="112" t="str">
        <f t="shared" si="57"/>
        <v>1H34E</v>
      </c>
      <c r="BC28" s="112" t="str">
        <f t="shared" si="57"/>
        <v>2H34E</v>
      </c>
      <c r="BD28" s="111" t="str">
        <f t="shared" si="57"/>
        <v>2034E</v>
      </c>
      <c r="BE28" s="112" t="str">
        <f t="shared" si="57"/>
        <v>1H35E</v>
      </c>
      <c r="BF28" s="112" t="str">
        <f t="shared" si="57"/>
        <v>2H35E</v>
      </c>
      <c r="BG28" s="111" t="str">
        <f t="shared" si="57"/>
        <v>2035E</v>
      </c>
      <c r="BH28" s="112"/>
      <c r="BJ28"/>
      <c r="BK28"/>
      <c r="BL28"/>
      <c r="BM28"/>
      <c r="BN28"/>
      <c r="BO28"/>
    </row>
    <row r="29" spans="1:67" s="70" customFormat="1">
      <c r="B29" s="70" t="s">
        <v>14</v>
      </c>
      <c r="D29" s="92" t="s">
        <v>159</v>
      </c>
      <c r="E29" s="113">
        <f>IF(Segment!E17&lt;&gt;"0",Segment!E17,0)</f>
        <v>0</v>
      </c>
      <c r="F29" s="114">
        <f>IF(Segment!F17&lt;&gt;"0",Segment!F17,0)</f>
        <v>0</v>
      </c>
      <c r="G29" s="94">
        <f>IF(Segment!G17&lt;&gt;"0",Segment!G17,0)</f>
        <v>0.19500000000000001</v>
      </c>
      <c r="H29" s="113">
        <f>IF(Segment!H17&lt;&gt;"0",Segment!H17,0)</f>
        <v>0.19500000000000001</v>
      </c>
      <c r="I29" s="114">
        <f>IF(Segment!I17&lt;&gt;"0",Segment!I17,0)</f>
        <v>1.817502</v>
      </c>
      <c r="J29" s="94">
        <f>IF(Segment!J17&lt;&gt;"0",Segment!J17,0)</f>
        <v>1.6674979999999999</v>
      </c>
      <c r="K29" s="113">
        <f>IF(Segment!K17&lt;&gt;"0",Segment!K17,0)</f>
        <v>3.4849999999999999</v>
      </c>
      <c r="L29" s="114">
        <f>IF(Segment!L17&lt;&gt;"0",Segment!L17,0)</f>
        <v>1.607</v>
      </c>
      <c r="M29" s="94">
        <f>IF(Segment!M17&lt;&gt;"0",Segment!M17,0)</f>
        <v>3.6059999999999999</v>
      </c>
      <c r="N29" s="113">
        <f>IF(Segment!N17&lt;&gt;"0",Segment!N17,0)</f>
        <v>5.2130000000000001</v>
      </c>
      <c r="O29" s="114">
        <f>IF(Segment!O17&lt;&gt;"0",Segment!O17,0)</f>
        <v>2.91</v>
      </c>
      <c r="P29" s="94">
        <f>IF(Segment!P17&lt;&gt;"0",Segment!P17,0)</f>
        <v>4.6859999999999999</v>
      </c>
      <c r="Q29" s="113">
        <f>IF(Segment!Q17&lt;&gt;"0",Segment!Q17,0)</f>
        <v>7.5960000000000001</v>
      </c>
      <c r="R29" s="114">
        <f>IF(Segment!R17&lt;&gt;"0",Segment!R17,0)</f>
        <v>24.047000000000001</v>
      </c>
      <c r="S29" s="94">
        <f>IF(Segment!S17&lt;&gt;"0",Segment!S17,0)</f>
        <v>136.04900000000001</v>
      </c>
      <c r="T29" s="115">
        <f>IF(Segment!T17&lt;&gt;"0",Segment!T17,0)</f>
        <v>160.096</v>
      </c>
      <c r="U29" s="116">
        <f>IF(Segment!U17&lt;&gt;"0",Segment!U17,0)</f>
        <v>148.78300000000002</v>
      </c>
      <c r="V29" s="117">
        <f>IF(Segment!V17&lt;&gt;"0",Segment!V17,0)</f>
        <v>184.19499999999999</v>
      </c>
      <c r="W29" s="115">
        <f>IF(Segment!W17&lt;&gt;"0",Segment!W17,0)</f>
        <v>332.97799999999995</v>
      </c>
      <c r="X29" s="116">
        <f>IF(Segment!X17&lt;&gt;"0",Segment!X17,0)</f>
        <v>239.61099999999999</v>
      </c>
      <c r="Y29" s="117">
        <f>IF(Segment!Y17&lt;&gt;"0",Segment!Y17,0)</f>
        <v>276.94</v>
      </c>
      <c r="Z29" s="115">
        <f>IF(Segment!Z17&lt;&gt;"0",Segment!Z17,0)</f>
        <v>516.55100000000004</v>
      </c>
      <c r="AA29" s="116">
        <f>IF(Segment!AA17&lt;&gt;"0",Segment!AA17,0)</f>
        <v>390.35900000000004</v>
      </c>
      <c r="AB29" s="117">
        <f>IF(Segment!AB17&lt;&gt;"0",Segment!AB17,0)</f>
        <v>414.04192093839913</v>
      </c>
      <c r="AC29" s="115">
        <f>IF(Segment!AC17&lt;&gt;"0",Segment!AC17,0)</f>
        <v>804.40092093839905</v>
      </c>
      <c r="AD29" s="116">
        <f>IF(Segment!AD17&lt;&gt;"0",Segment!AD17,0)</f>
        <v>443.1688962706566</v>
      </c>
      <c r="AE29" s="117">
        <f>IF(Segment!AE17&lt;&gt;"0",Segment!AE17,0)</f>
        <v>464.4020320675944</v>
      </c>
      <c r="AF29" s="115">
        <f>IF(Segment!AF17&lt;&gt;"0",Segment!AF17,0)</f>
        <v>907.57092833825106</v>
      </c>
      <c r="AG29" s="116">
        <f>IF(Segment!AG17&lt;&gt;"0",Segment!AG17,0)</f>
        <v>504.35681363132591</v>
      </c>
      <c r="AH29" s="117">
        <f>IF(Segment!AH17&lt;&gt;"0",Segment!AH17,0)</f>
        <v>520.13764582035969</v>
      </c>
      <c r="AI29" s="115">
        <f>IF(Segment!AI17&lt;&gt;"0",Segment!AI17,0)</f>
        <v>1024.4944594516858</v>
      </c>
      <c r="AJ29" s="116">
        <f>IF(Segment!AJ17&lt;&gt;"0",Segment!AJ17,0)</f>
        <v>570.26138339211218</v>
      </c>
      <c r="AK29" s="117">
        <f>IF(Segment!AK17&lt;&gt;"0",Segment!AK17,0)</f>
        <v>588.46961057138208</v>
      </c>
      <c r="AL29" s="115">
        <f>IF(Segment!AL17&lt;&gt;"0",Segment!AL17,0)</f>
        <v>1158.7309939634943</v>
      </c>
      <c r="AM29" s="116">
        <f>IF(Segment!AM17&lt;&gt;"0",Segment!AM17,0)</f>
        <v>736.71850236340163</v>
      </c>
      <c r="AN29" s="117">
        <f>IF(Segment!AN17&lt;&gt;"0",Segment!AN17,0)</f>
        <v>761.44294789864239</v>
      </c>
      <c r="AO29" s="115">
        <f>IF(Segment!AO17&lt;&gt;"0",Segment!AO17,0)</f>
        <v>1498.1614502620439</v>
      </c>
      <c r="AP29" s="116">
        <f>IF(Segment!AP17&lt;&gt;"0",Segment!AP17,0)</f>
        <v>860.89545926011556</v>
      </c>
      <c r="AQ29" s="117">
        <f>IF(Segment!AQ17&lt;&gt;"0",Segment!AQ17,0)</f>
        <v>920.63379046766545</v>
      </c>
      <c r="AR29" s="115">
        <f>IF(Segment!AR17&lt;&gt;"0",Segment!AR17,0)</f>
        <v>1781.529249727781</v>
      </c>
      <c r="AS29" s="116">
        <f>IF(Segment!AS17&lt;&gt;"0",Segment!AS17,0)</f>
        <v>990.24026062166809</v>
      </c>
      <c r="AT29" s="117">
        <f>IF(Segment!AT17&lt;&gt;"0",Segment!AT17,0)</f>
        <v>1060.0545098525668</v>
      </c>
      <c r="AU29" s="115">
        <f>IF(Segment!AU17&lt;&gt;"0",Segment!AU17,0)</f>
        <v>2050.2947704742351</v>
      </c>
      <c r="AV29" s="116">
        <f>IF(Segment!AV17&lt;&gt;"0",Segment!AV17,0)</f>
        <v>1122.5451900919854</v>
      </c>
      <c r="AW29" s="117">
        <f>IF(Segment!AW17&lt;&gt;"0",Segment!AW17,0)</f>
        <v>1202.4781430655109</v>
      </c>
      <c r="AX29" s="115">
        <f>IF(Segment!AX17&lt;&gt;"0",Segment!AX17,0)</f>
        <v>2325.0233331574964</v>
      </c>
      <c r="AY29" s="116">
        <f>IF(Segment!AY17&lt;&gt;"0",Segment!AY17,0)</f>
        <v>1250.5894364368601</v>
      </c>
      <c r="AZ29" s="117">
        <f>IF(Segment!AZ17&lt;&gt;"0",Segment!AZ17,0)</f>
        <v>1341.580142880111</v>
      </c>
      <c r="BA29" s="115">
        <f>IF(Segment!BA17&lt;&gt;"0",Segment!BA17,0)</f>
        <v>2592.1695793169711</v>
      </c>
      <c r="BB29" s="116">
        <f>IF(Segment!BB17&lt;&gt;"0",Segment!BB17,0)</f>
        <v>1377.5113207461102</v>
      </c>
      <c r="BC29" s="117">
        <f>IF(Segment!BC17&lt;&gt;"0",Segment!BC17,0)</f>
        <v>1478.3787136039491</v>
      </c>
      <c r="BD29" s="115">
        <f>IF(Segment!BD17&lt;&gt;"0",Segment!BD17,0)</f>
        <v>2855.8900343500591</v>
      </c>
      <c r="BE29" s="116">
        <f>IF(Segment!BE17&lt;&gt;"0",Segment!BE17,0)</f>
        <v>1494.7759016825362</v>
      </c>
      <c r="BF29" s="117">
        <f>IF(Segment!BF17&lt;&gt;"0",Segment!BF17,0)</f>
        <v>1604.6760579882953</v>
      </c>
      <c r="BG29" s="115">
        <f>IF(Segment!BG17&lt;&gt;"0",Segment!BG17,0)</f>
        <v>3099.4519596708315</v>
      </c>
      <c r="BH29" s="114"/>
      <c r="BJ29"/>
      <c r="BK29"/>
      <c r="BL29"/>
      <c r="BM29"/>
      <c r="BN29"/>
      <c r="BO29"/>
    </row>
    <row r="30" spans="1:67" s="118" customFormat="1">
      <c r="B30" s="118" t="s">
        <v>178</v>
      </c>
      <c r="D30" s="89" t="s">
        <v>175</v>
      </c>
      <c r="E30" s="119"/>
      <c r="F30" s="120"/>
      <c r="G30" s="120"/>
      <c r="H30" s="119" t="str">
        <f>IFERROR(+(H29-E29)/E29,"NA")</f>
        <v>NA</v>
      </c>
      <c r="I30" s="120" t="str">
        <f t="shared" ref="I30:BG30" si="58">IFERROR(+(I29-F29)/F29,"NA")</f>
        <v>NA</v>
      </c>
      <c r="J30" s="120">
        <f t="shared" si="58"/>
        <v>7.551271794871794</v>
      </c>
      <c r="K30" s="119">
        <f t="shared" si="58"/>
        <v>16.871794871794872</v>
      </c>
      <c r="L30" s="120">
        <f t="shared" si="58"/>
        <v>-0.11581940487548292</v>
      </c>
      <c r="M30" s="120">
        <f t="shared" si="58"/>
        <v>1.162521334358422</v>
      </c>
      <c r="N30" s="119">
        <f t="shared" si="58"/>
        <v>0.49583931133428988</v>
      </c>
      <c r="O30" s="120">
        <f t="shared" si="58"/>
        <v>0.81082762912258877</v>
      </c>
      <c r="P30" s="120">
        <f t="shared" si="58"/>
        <v>0.29950083194675542</v>
      </c>
      <c r="Q30" s="119">
        <f t="shared" si="58"/>
        <v>0.45712641473239979</v>
      </c>
      <c r="R30" s="120">
        <f t="shared" si="58"/>
        <v>7.263573883161512</v>
      </c>
      <c r="S30" s="120">
        <f t="shared" si="58"/>
        <v>28.033077251387112</v>
      </c>
      <c r="T30" s="119">
        <f t="shared" si="58"/>
        <v>20.076355976829909</v>
      </c>
      <c r="U30" s="120">
        <f t="shared" si="58"/>
        <v>5.1871751153990111</v>
      </c>
      <c r="V30" s="120">
        <f t="shared" si="58"/>
        <v>0.3538872024050157</v>
      </c>
      <c r="W30" s="119">
        <f t="shared" si="58"/>
        <v>1.0798645812512488</v>
      </c>
      <c r="X30" s="120">
        <f t="shared" si="58"/>
        <v>0.61047297070229778</v>
      </c>
      <c r="Y30" s="120">
        <f t="shared" si="58"/>
        <v>0.50351529628925873</v>
      </c>
      <c r="Z30" s="119">
        <f t="shared" si="58"/>
        <v>0.55130669293466872</v>
      </c>
      <c r="AA30" s="120">
        <f t="shared" si="58"/>
        <v>0.62913639190187454</v>
      </c>
      <c r="AB30" s="120">
        <f t="shared" si="58"/>
        <v>0.49506001638766206</v>
      </c>
      <c r="AC30" s="119">
        <f t="shared" si="58"/>
        <v>0.55725363214551704</v>
      </c>
      <c r="AD30" s="120">
        <f t="shared" si="58"/>
        <v>0.13528545843865919</v>
      </c>
      <c r="AE30" s="120">
        <f t="shared" si="58"/>
        <v>0.12163046441060207</v>
      </c>
      <c r="AF30" s="119">
        <f t="shared" si="58"/>
        <v>0.12825694838774651</v>
      </c>
      <c r="AG30" s="120">
        <f t="shared" si="58"/>
        <v>0.13806906999921764</v>
      </c>
      <c r="AH30" s="120">
        <f t="shared" si="58"/>
        <v>0.12001586966495635</v>
      </c>
      <c r="AI30" s="119">
        <f t="shared" si="58"/>
        <v>0.12883128740970137</v>
      </c>
      <c r="AJ30" s="120">
        <f t="shared" si="58"/>
        <v>0.13067052527015349</v>
      </c>
      <c r="AK30" s="120">
        <f t="shared" si="58"/>
        <v>0.13137284966799392</v>
      </c>
      <c r="AL30" s="119">
        <f t="shared" si="58"/>
        <v>0.13102709660689868</v>
      </c>
      <c r="AM30" s="120">
        <f t="shared" si="58"/>
        <v>0.29189617922424427</v>
      </c>
      <c r="AN30" s="120">
        <f t="shared" si="58"/>
        <v>0.29393758695425182</v>
      </c>
      <c r="AO30" s="119">
        <f t="shared" si="58"/>
        <v>0.2929329223666588</v>
      </c>
      <c r="AP30" s="120">
        <f t="shared" si="58"/>
        <v>0.16855414449121719</v>
      </c>
      <c r="AQ30" s="120">
        <f t="shared" si="58"/>
        <v>0.20906470144393977</v>
      </c>
      <c r="AR30" s="119">
        <f t="shared" si="58"/>
        <v>0.18914369971018355</v>
      </c>
      <c r="AS30" s="120">
        <f t="shared" si="58"/>
        <v>0.15024449248775931</v>
      </c>
      <c r="AT30" s="120">
        <f t="shared" si="58"/>
        <v>0.15143993282505749</v>
      </c>
      <c r="AU30" s="119">
        <f t="shared" si="58"/>
        <v>0.15086225544010665</v>
      </c>
      <c r="AV30" s="120">
        <f t="shared" si="58"/>
        <v>0.13360891768554931</v>
      </c>
      <c r="AW30" s="120">
        <f t="shared" si="58"/>
        <v>0.13435500900114333</v>
      </c>
      <c r="AX30" s="119">
        <f t="shared" si="58"/>
        <v>0.13399466585954192</v>
      </c>
      <c r="AY30" s="120">
        <f t="shared" si="58"/>
        <v>0.1140660059613121</v>
      </c>
      <c r="AZ30" s="120">
        <f t="shared" si="58"/>
        <v>0.11567944134101553</v>
      </c>
      <c r="BA30" s="119">
        <f t="shared" si="58"/>
        <v>0.11490045813719939</v>
      </c>
      <c r="BB30" s="120">
        <f t="shared" si="58"/>
        <v>0.10148965008921869</v>
      </c>
      <c r="BC30" s="120">
        <f t="shared" si="58"/>
        <v>0.10196824352972179</v>
      </c>
      <c r="BD30" s="119">
        <f t="shared" si="58"/>
        <v>0.10173734663708905</v>
      </c>
      <c r="BE30" s="120">
        <f t="shared" si="58"/>
        <v>8.5127852795366679E-2</v>
      </c>
      <c r="BF30" s="120">
        <f t="shared" si="58"/>
        <v>8.5429628566865742E-2</v>
      </c>
      <c r="BG30" s="119">
        <f t="shared" si="58"/>
        <v>8.5284069901592693E-2</v>
      </c>
      <c r="BH30" s="120"/>
      <c r="BJ30"/>
      <c r="BK30"/>
      <c r="BL30"/>
      <c r="BM30"/>
      <c r="BN30"/>
      <c r="BO30"/>
    </row>
    <row r="31" spans="1:67" s="61" customFormat="1">
      <c r="B31" s="61" t="s">
        <v>179</v>
      </c>
      <c r="D31" s="89" t="s">
        <v>159</v>
      </c>
      <c r="E31" s="90">
        <v>0</v>
      </c>
      <c r="F31" s="91">
        <v>0</v>
      </c>
      <c r="G31" s="91">
        <f>+H31-F31</f>
        <v>0</v>
      </c>
      <c r="H31" s="90">
        <v>0</v>
      </c>
      <c r="I31" s="91">
        <v>0</v>
      </c>
      <c r="J31" s="91">
        <f>+K31-I31</f>
        <v>0</v>
      </c>
      <c r="K31" s="90">
        <v>0</v>
      </c>
      <c r="L31" s="91">
        <v>0</v>
      </c>
      <c r="M31" s="91">
        <f>+N31-L31</f>
        <v>0</v>
      </c>
      <c r="N31" s="90">
        <v>0</v>
      </c>
      <c r="O31" s="91">
        <v>0</v>
      </c>
      <c r="P31" s="91">
        <f>+Q31-O31</f>
        <v>0</v>
      </c>
      <c r="Q31" s="90">
        <v>0</v>
      </c>
      <c r="R31" s="91">
        <v>0</v>
      </c>
      <c r="S31" s="91">
        <f>+T31-R31</f>
        <v>0</v>
      </c>
      <c r="T31" s="90">
        <v>0</v>
      </c>
      <c r="U31" s="91">
        <v>0</v>
      </c>
      <c r="V31" s="91">
        <f>+W31-U31</f>
        <v>0</v>
      </c>
      <c r="W31" s="90">
        <v>0</v>
      </c>
      <c r="X31" s="91">
        <v>0</v>
      </c>
      <c r="Y31" s="91">
        <f>+Z31-X31</f>
        <v>0</v>
      </c>
      <c r="Z31" s="90">
        <v>0</v>
      </c>
      <c r="AA31" s="91">
        <v>0</v>
      </c>
      <c r="AB31" s="91">
        <f>+AC31-AA31</f>
        <v>0</v>
      </c>
      <c r="AC31" s="90">
        <v>0</v>
      </c>
      <c r="AD31" s="91">
        <v>0</v>
      </c>
      <c r="AE31" s="91">
        <f>+AF31-AD31</f>
        <v>0</v>
      </c>
      <c r="AF31" s="90">
        <v>0</v>
      </c>
      <c r="AG31" s="91">
        <v>0</v>
      </c>
      <c r="AH31" s="91">
        <f>+AI31-AG31</f>
        <v>0</v>
      </c>
      <c r="AI31" s="90">
        <v>0</v>
      </c>
      <c r="AJ31" s="91">
        <v>0</v>
      </c>
      <c r="AK31" s="91">
        <f>+AL31-AJ31</f>
        <v>0</v>
      </c>
      <c r="AL31" s="90">
        <v>0</v>
      </c>
      <c r="AM31" s="91">
        <v>0</v>
      </c>
      <c r="AN31" s="91">
        <f>+AO31-AM31</f>
        <v>0</v>
      </c>
      <c r="AO31" s="90">
        <v>0</v>
      </c>
      <c r="AP31" s="91">
        <v>0</v>
      </c>
      <c r="AQ31" s="91">
        <f>+AR31-AP31</f>
        <v>0</v>
      </c>
      <c r="AR31" s="90">
        <v>0</v>
      </c>
      <c r="AS31" s="91">
        <v>0</v>
      </c>
      <c r="AT31" s="91">
        <f>+AU31-AS31</f>
        <v>0</v>
      </c>
      <c r="AU31" s="90">
        <v>0</v>
      </c>
      <c r="AV31" s="91">
        <v>0</v>
      </c>
      <c r="AW31" s="91">
        <f>+AX31-AV31</f>
        <v>0</v>
      </c>
      <c r="AX31" s="90">
        <v>0</v>
      </c>
      <c r="AY31" s="91">
        <v>1</v>
      </c>
      <c r="AZ31" s="91">
        <f>+BA31-AY31</f>
        <v>0</v>
      </c>
      <c r="BA31" s="90">
        <v>1</v>
      </c>
      <c r="BB31" s="91">
        <v>1</v>
      </c>
      <c r="BC31" s="91">
        <f>+BD31-BB31</f>
        <v>0</v>
      </c>
      <c r="BD31" s="90">
        <v>1</v>
      </c>
      <c r="BE31" s="91">
        <v>1</v>
      </c>
      <c r="BF31" s="91">
        <f>+BG31-BE31</f>
        <v>0</v>
      </c>
      <c r="BG31" s="90">
        <v>1</v>
      </c>
      <c r="BH31" s="91"/>
      <c r="BJ31"/>
      <c r="BK31"/>
      <c r="BL31"/>
      <c r="BM31"/>
      <c r="BN31"/>
      <c r="BO31"/>
    </row>
    <row r="32" spans="1:67" s="61" customFormat="1">
      <c r="B32" s="61" t="s">
        <v>180</v>
      </c>
      <c r="D32" s="89" t="s">
        <v>159</v>
      </c>
      <c r="E32" s="90">
        <f>+E29+E31</f>
        <v>0</v>
      </c>
      <c r="F32" s="91">
        <f>+F29+F31</f>
        <v>0</v>
      </c>
      <c r="G32" s="91">
        <f>+H32-F32</f>
        <v>0.19500000000000001</v>
      </c>
      <c r="H32" s="90">
        <f>+H29+H31</f>
        <v>0.19500000000000001</v>
      </c>
      <c r="I32" s="91">
        <f>+I29+I31</f>
        <v>1.817502</v>
      </c>
      <c r="J32" s="91">
        <f>+K32-I32</f>
        <v>1.6674979999999999</v>
      </c>
      <c r="K32" s="90">
        <f>+K29+K31</f>
        <v>3.4849999999999999</v>
      </c>
      <c r="L32" s="91">
        <f>+L29+L31</f>
        <v>1.607</v>
      </c>
      <c r="M32" s="91">
        <f>+N32-L32</f>
        <v>3.6059999999999999</v>
      </c>
      <c r="N32" s="90">
        <f>+N29+N31</f>
        <v>5.2130000000000001</v>
      </c>
      <c r="O32" s="91">
        <f>+O29+O31</f>
        <v>2.91</v>
      </c>
      <c r="P32" s="91">
        <f>+Q32-O32</f>
        <v>4.6859999999999999</v>
      </c>
      <c r="Q32" s="90">
        <f>+Q29+Q31</f>
        <v>7.5960000000000001</v>
      </c>
      <c r="R32" s="91">
        <f>+R29+R31</f>
        <v>24.047000000000001</v>
      </c>
      <c r="S32" s="91">
        <f>+T32-R32</f>
        <v>136.04900000000001</v>
      </c>
      <c r="T32" s="90">
        <f>+T29+T31</f>
        <v>160.096</v>
      </c>
      <c r="U32" s="91">
        <f>+U29+U31</f>
        <v>148.78300000000002</v>
      </c>
      <c r="V32" s="91">
        <f>+W32-U32</f>
        <v>184.19499999999994</v>
      </c>
      <c r="W32" s="90">
        <f>+W29+W31</f>
        <v>332.97799999999995</v>
      </c>
      <c r="X32" s="91">
        <f>+X29+X31</f>
        <v>239.61099999999999</v>
      </c>
      <c r="Y32" s="91">
        <f>+Z32-X32</f>
        <v>276.94000000000005</v>
      </c>
      <c r="Z32" s="90">
        <f>+Z29+Z31</f>
        <v>516.55100000000004</v>
      </c>
      <c r="AA32" s="91">
        <f>+AA29+AA31</f>
        <v>390.35900000000004</v>
      </c>
      <c r="AB32" s="91">
        <f>+AC32-AA32</f>
        <v>414.04192093839902</v>
      </c>
      <c r="AC32" s="90">
        <f>+AC29+AC31</f>
        <v>804.40092093839905</v>
      </c>
      <c r="AD32" s="91">
        <f>+AD29+AD31</f>
        <v>443.1688962706566</v>
      </c>
      <c r="AE32" s="91">
        <f>+AF32-AD32</f>
        <v>464.40203206759446</v>
      </c>
      <c r="AF32" s="90">
        <f>+AF29+AF31</f>
        <v>907.57092833825106</v>
      </c>
      <c r="AG32" s="91">
        <f>+AG29+AG31</f>
        <v>504.35681363132591</v>
      </c>
      <c r="AH32" s="91">
        <f>+AI32-AG32</f>
        <v>520.13764582035992</v>
      </c>
      <c r="AI32" s="90">
        <f>+AI29+AI31</f>
        <v>1024.4944594516858</v>
      </c>
      <c r="AJ32" s="91">
        <f>+AJ29+AJ31</f>
        <v>570.26138339211218</v>
      </c>
      <c r="AK32" s="91">
        <f>+AL32-AJ32</f>
        <v>588.46961057138208</v>
      </c>
      <c r="AL32" s="90">
        <f>+AL29+AL31</f>
        <v>1158.7309939634943</v>
      </c>
      <c r="AM32" s="91">
        <f>+AM29+AM31</f>
        <v>736.71850236340163</v>
      </c>
      <c r="AN32" s="91">
        <f>+AO32-AM32</f>
        <v>761.44294789864227</v>
      </c>
      <c r="AO32" s="90">
        <f>+AO29+AO31</f>
        <v>1498.1614502620439</v>
      </c>
      <c r="AP32" s="91">
        <f>+AP29+AP31</f>
        <v>860.89545926011556</v>
      </c>
      <c r="AQ32" s="91">
        <f>+AR32-AP32</f>
        <v>920.63379046766545</v>
      </c>
      <c r="AR32" s="90">
        <f>+AR29+AR31</f>
        <v>1781.529249727781</v>
      </c>
      <c r="AS32" s="91">
        <f>+AS29+AS31</f>
        <v>990.24026062166809</v>
      </c>
      <c r="AT32" s="91">
        <f>+AU32-AS32</f>
        <v>1060.054509852567</v>
      </c>
      <c r="AU32" s="90">
        <f>+AU29+AU31</f>
        <v>2050.2947704742351</v>
      </c>
      <c r="AV32" s="91">
        <f>+AV29+AV31</f>
        <v>1122.5451900919854</v>
      </c>
      <c r="AW32" s="91">
        <f>+AX32-AV32</f>
        <v>1202.4781430655109</v>
      </c>
      <c r="AX32" s="90">
        <f>+AX29+AX31</f>
        <v>2325.0233331574964</v>
      </c>
      <c r="AY32" s="91">
        <f>+AY29+AY31</f>
        <v>1251.5894364368601</v>
      </c>
      <c r="AZ32" s="91">
        <f>+BA32-AY32</f>
        <v>1341.580142880111</v>
      </c>
      <c r="BA32" s="90">
        <f>+BA29+BA31</f>
        <v>2593.1695793169711</v>
      </c>
      <c r="BB32" s="91">
        <f>+BB29+BB31</f>
        <v>1378.5113207461102</v>
      </c>
      <c r="BC32" s="91">
        <f>+BD32-BB32</f>
        <v>1478.3787136039489</v>
      </c>
      <c r="BD32" s="90">
        <f>+BD29+BD31</f>
        <v>2856.8900343500591</v>
      </c>
      <c r="BE32" s="91">
        <f>+BE29+BE31</f>
        <v>1495.7759016825362</v>
      </c>
      <c r="BF32" s="91">
        <f>+BG32-BE32</f>
        <v>1604.6760579882953</v>
      </c>
      <c r="BG32" s="90">
        <f>+BG29+BG31</f>
        <v>3100.4519596708315</v>
      </c>
      <c r="BH32" s="91"/>
      <c r="BJ32"/>
      <c r="BK32"/>
      <c r="BL32"/>
      <c r="BM32"/>
      <c r="BN32"/>
      <c r="BO32"/>
    </row>
    <row r="33" spans="2:67" s="61" customFormat="1">
      <c r="B33" s="88" t="s">
        <v>181</v>
      </c>
      <c r="D33" s="89" t="s">
        <v>159</v>
      </c>
      <c r="E33" s="90">
        <f>+SUM(E34:E38)</f>
        <v>0.15161700000000003</v>
      </c>
      <c r="F33" s="91">
        <f>+SUM(F34:F38)</f>
        <v>5.1178070000000009</v>
      </c>
      <c r="G33" s="91">
        <f t="shared" ref="G33:G44" si="59">+H33-F33</f>
        <v>6.5111929999999987</v>
      </c>
      <c r="H33" s="90">
        <f>+SUM(H34:H38)</f>
        <v>11.629</v>
      </c>
      <c r="I33" s="91">
        <f>+SUM(I34:I38)</f>
        <v>5.5979770000000002</v>
      </c>
      <c r="J33" s="91">
        <f t="shared" ref="J33:J44" si="60">+K33-I33</f>
        <v>5.8460229999999989</v>
      </c>
      <c r="K33" s="90">
        <f>+SUM(K34:K38)</f>
        <v>11.443999999999999</v>
      </c>
      <c r="L33" s="91">
        <f>+SUM(L34:L38)</f>
        <v>6.702</v>
      </c>
      <c r="M33" s="91">
        <f t="shared" ref="M33:M44" si="61">+N33-L33</f>
        <v>3.0150000000000006</v>
      </c>
      <c r="N33" s="90">
        <f>+SUM(N34:N38)</f>
        <v>9.7170000000000005</v>
      </c>
      <c r="O33" s="91">
        <f>+SUM(O34:O38)</f>
        <v>4.7819999999999991</v>
      </c>
      <c r="P33" s="91">
        <f t="shared" ref="P33:P44" si="62">+Q33-O33</f>
        <v>16.072999999999997</v>
      </c>
      <c r="Q33" s="90">
        <f>+SUM(Q34:Q38)</f>
        <v>20.854999999999997</v>
      </c>
      <c r="R33" s="91">
        <f>+SUM(R34:R38)</f>
        <v>1.8079999999999998</v>
      </c>
      <c r="S33" s="91">
        <f t="shared" ref="S33:S44" si="63">+T33-R33</f>
        <v>-2.8330000000000002</v>
      </c>
      <c r="T33" s="90">
        <f>+SUM(T34:T38)</f>
        <v>-1.0250000000000001</v>
      </c>
      <c r="U33" s="91">
        <f>+SUM(U34:U38)</f>
        <v>0.30299999999999999</v>
      </c>
      <c r="V33" s="91">
        <f t="shared" ref="V33:V44" si="64">+W33-U33</f>
        <v>0.36800000000000005</v>
      </c>
      <c r="W33" s="90">
        <f>+SUM(W34:W38)</f>
        <v>0.67100000000000004</v>
      </c>
      <c r="X33" s="91">
        <f>+SUM(X34:X38)</f>
        <v>0.89500000000000002</v>
      </c>
      <c r="Y33" s="91">
        <f t="shared" ref="Y33:Y44" si="65">+Z33-X33</f>
        <v>6.2850000000000001</v>
      </c>
      <c r="Z33" s="90">
        <f>+SUM(Z34:Z38)</f>
        <v>7.18</v>
      </c>
      <c r="AA33" s="91">
        <f>+SUM(AA34:AA38)</f>
        <v>3.6160000000000001</v>
      </c>
      <c r="AB33" s="91">
        <f t="shared" ref="AB33:AB44" si="66">+AC33-AA33</f>
        <v>2.0715600000000003</v>
      </c>
      <c r="AC33" s="90">
        <f>+SUM(AC34:AC38)</f>
        <v>5.6875600000000004</v>
      </c>
      <c r="AD33" s="91">
        <f>+SUM(AD34:AD38)</f>
        <v>1.2551718762604156</v>
      </c>
      <c r="AE33" s="91">
        <f t="shared" ref="AE33:AE44" si="67">+AF33-AD33</f>
        <v>0.9059199671521565</v>
      </c>
      <c r="AF33" s="90">
        <f>+SUM(AF34:AF38)</f>
        <v>2.1610918434125721</v>
      </c>
      <c r="AG33" s="91">
        <f>+SUM(AG34:AG38)</f>
        <v>0.66142668543743788</v>
      </c>
      <c r="AH33" s="91">
        <f t="shared" ref="AH33:AH44" si="68">+AI33-AG33</f>
        <v>0.65758803093763174</v>
      </c>
      <c r="AI33" s="90">
        <f>+SUM(AI34:AI38)</f>
        <v>1.3190147163750696</v>
      </c>
      <c r="AJ33" s="91">
        <f>+SUM(AJ34:AJ38)</f>
        <v>0.6995234689750649</v>
      </c>
      <c r="AK33" s="91">
        <f t="shared" ref="AK33:AK44" si="69">+AL33-AJ33</f>
        <v>0.8393201591874313</v>
      </c>
      <c r="AL33" s="90">
        <f>+SUM(AL34:AL38)</f>
        <v>1.5388436281624962</v>
      </c>
      <c r="AM33" s="91">
        <f>+SUM(AM34:AM38)</f>
        <v>1.0372573495457151</v>
      </c>
      <c r="AN33" s="91">
        <f t="shared" ref="AN33:AN44" si="70">+AO33-AM33</f>
        <v>1.4138445253595882</v>
      </c>
      <c r="AO33" s="90">
        <f>+SUM(AO34:AO38)</f>
        <v>2.4511018749053033</v>
      </c>
      <c r="AP33" s="91">
        <f>+SUM(AP34:AP38)</f>
        <v>1.9306096021895929</v>
      </c>
      <c r="AQ33" s="91">
        <f t="shared" ref="AQ33:AQ44" si="71">+AR33-AP33</f>
        <v>2.7767139434058343</v>
      </c>
      <c r="AR33" s="90">
        <f>+SUM(AR34:AR38)</f>
        <v>4.7073235455954272</v>
      </c>
      <c r="AS33" s="91">
        <f>+SUM(AS34:AS38)</f>
        <v>3.7839446031691835</v>
      </c>
      <c r="AT33" s="91">
        <f t="shared" ref="AT33:AT44" si="72">+AU33-AS33</f>
        <v>4.9783873640828791</v>
      </c>
      <c r="AU33" s="90">
        <f>+SUM(AU34:AU38)</f>
        <v>8.762331967252063</v>
      </c>
      <c r="AV33" s="91">
        <f>+SUM(AV34:AV38)</f>
        <v>6.350970217277327</v>
      </c>
      <c r="AW33" s="91">
        <f t="shared" ref="AW33:AW44" si="73">+AX33-AV33</f>
        <v>7.9332661317251887</v>
      </c>
      <c r="AX33" s="90">
        <f>+SUM(AX34:AX38)</f>
        <v>14.284236349002516</v>
      </c>
      <c r="AY33" s="91">
        <f>+SUM(AY34:AY38)</f>
        <v>9.7208799123284209</v>
      </c>
      <c r="AZ33" s="91">
        <f t="shared" ref="AZ33:AZ44" si="74">+BA33-AY33</f>
        <v>11.716125167191009</v>
      </c>
      <c r="BA33" s="90">
        <f>+SUM(BA34:BA38)</f>
        <v>21.43700507951943</v>
      </c>
      <c r="BB33" s="91">
        <f>+SUM(BB34:BB38)</f>
        <v>13.944773940269098</v>
      </c>
      <c r="BC33" s="91">
        <f t="shared" ref="BC33:BC44" si="75">+BD33-BB33</f>
        <v>16.38428458596384</v>
      </c>
      <c r="BD33" s="90">
        <f>+SUM(BD34:BD38)</f>
        <v>30.329058526232938</v>
      </c>
      <c r="BE33" s="91">
        <f>+SUM(BE34:BE38)</f>
        <v>19.085985953832836</v>
      </c>
      <c r="BF33" s="91">
        <f t="shared" ref="BF33:BF44" si="76">+BG33-BE33</f>
        <v>21.985488619589386</v>
      </c>
      <c r="BG33" s="90">
        <f>+SUM(BG34:BG38)</f>
        <v>41.071474573422222</v>
      </c>
      <c r="BH33" s="91"/>
      <c r="BJ33"/>
      <c r="BK33"/>
      <c r="BL33"/>
      <c r="BM33"/>
      <c r="BN33"/>
      <c r="BO33"/>
    </row>
    <row r="34" spans="2:67" s="61" customFormat="1">
      <c r="B34" s="121" t="s">
        <v>182</v>
      </c>
      <c r="D34" s="89" t="s">
        <v>159</v>
      </c>
      <c r="E34" s="90">
        <f>+E70</f>
        <v>3.8980000000000001E-2</v>
      </c>
      <c r="F34" s="91">
        <f>+F70</f>
        <v>0</v>
      </c>
      <c r="G34" s="91">
        <f t="shared" si="59"/>
        <v>0</v>
      </c>
      <c r="H34" s="90">
        <f>+H70</f>
        <v>0</v>
      </c>
      <c r="I34" s="91">
        <f>+I70</f>
        <v>0</v>
      </c>
      <c r="J34" s="91">
        <f t="shared" si="60"/>
        <v>0</v>
      </c>
      <c r="K34" s="90">
        <f>+K70</f>
        <v>0</v>
      </c>
      <c r="L34" s="91">
        <f>+L70</f>
        <v>0</v>
      </c>
      <c r="M34" s="91">
        <f t="shared" si="61"/>
        <v>0</v>
      </c>
      <c r="N34" s="90">
        <f>+N70</f>
        <v>0</v>
      </c>
      <c r="O34" s="91">
        <f>+O70</f>
        <v>0</v>
      </c>
      <c r="P34" s="91">
        <f t="shared" si="62"/>
        <v>0</v>
      </c>
      <c r="Q34" s="90">
        <f>+Q70</f>
        <v>0</v>
      </c>
      <c r="R34" s="91">
        <f>+R70</f>
        <v>1E-3</v>
      </c>
      <c r="S34" s="91">
        <f t="shared" si="63"/>
        <v>0</v>
      </c>
      <c r="T34" s="90">
        <f>+T70</f>
        <v>1E-3</v>
      </c>
      <c r="U34" s="91">
        <f>+U70</f>
        <v>0.30299999999999999</v>
      </c>
      <c r="V34" s="91">
        <f t="shared" si="64"/>
        <v>0.36800000000000005</v>
      </c>
      <c r="W34" s="90">
        <f>+W70</f>
        <v>0.67100000000000004</v>
      </c>
      <c r="X34" s="91">
        <f>+X70</f>
        <v>0.89500000000000002</v>
      </c>
      <c r="Y34" s="91">
        <f t="shared" si="65"/>
        <v>6.2850000000000001</v>
      </c>
      <c r="Z34" s="90">
        <f>+Z70</f>
        <v>7.18</v>
      </c>
      <c r="AA34" s="91">
        <f>+AA70</f>
        <v>3.6160000000000001</v>
      </c>
      <c r="AB34" s="91">
        <f t="shared" si="66"/>
        <v>2.0715600000000003</v>
      </c>
      <c r="AC34" s="90">
        <f>+AC70</f>
        <v>5.6875600000000004</v>
      </c>
      <c r="AD34" s="91">
        <f>+AD70</f>
        <v>1.2551718762604156</v>
      </c>
      <c r="AE34" s="91">
        <f t="shared" si="67"/>
        <v>0.9059199671521565</v>
      </c>
      <c r="AF34" s="90">
        <f>+AF70</f>
        <v>2.1610918434125721</v>
      </c>
      <c r="AG34" s="91">
        <f>+AG70</f>
        <v>0.66142668543743788</v>
      </c>
      <c r="AH34" s="91">
        <f t="shared" si="68"/>
        <v>0.65758803093763174</v>
      </c>
      <c r="AI34" s="90">
        <f>+AI70</f>
        <v>1.3190147163750696</v>
      </c>
      <c r="AJ34" s="91">
        <f>+AJ70</f>
        <v>0.6995234689750649</v>
      </c>
      <c r="AK34" s="91">
        <f t="shared" si="69"/>
        <v>0.8393201591874313</v>
      </c>
      <c r="AL34" s="90">
        <f>+AL70</f>
        <v>1.5388436281624962</v>
      </c>
      <c r="AM34" s="91">
        <f>+AM70</f>
        <v>1.0372573495457151</v>
      </c>
      <c r="AN34" s="91">
        <f t="shared" si="70"/>
        <v>1.4138445253595882</v>
      </c>
      <c r="AO34" s="90">
        <f>+AO70</f>
        <v>2.4511018749053033</v>
      </c>
      <c r="AP34" s="91">
        <f>+AP70</f>
        <v>1.9306096021895929</v>
      </c>
      <c r="AQ34" s="91">
        <f t="shared" si="71"/>
        <v>2.7767139434058343</v>
      </c>
      <c r="AR34" s="90">
        <f>+AR70</f>
        <v>4.7073235455954272</v>
      </c>
      <c r="AS34" s="91">
        <f>+AS70</f>
        <v>3.7839446031691835</v>
      </c>
      <c r="AT34" s="91">
        <f t="shared" si="72"/>
        <v>4.9783873640828791</v>
      </c>
      <c r="AU34" s="90">
        <f>+AU70</f>
        <v>8.762331967252063</v>
      </c>
      <c r="AV34" s="91">
        <f>+AV70</f>
        <v>6.350970217277327</v>
      </c>
      <c r="AW34" s="91">
        <f t="shared" si="73"/>
        <v>7.9332661317251887</v>
      </c>
      <c r="AX34" s="90">
        <f>+AX70</f>
        <v>14.284236349002516</v>
      </c>
      <c r="AY34" s="91">
        <f>+AY70</f>
        <v>9.7208799123284209</v>
      </c>
      <c r="AZ34" s="91">
        <f t="shared" si="74"/>
        <v>11.716125167191009</v>
      </c>
      <c r="BA34" s="90">
        <f>+BA70</f>
        <v>21.43700507951943</v>
      </c>
      <c r="BB34" s="91">
        <f>+BB70</f>
        <v>13.944773940269098</v>
      </c>
      <c r="BC34" s="91">
        <f t="shared" si="75"/>
        <v>16.38428458596384</v>
      </c>
      <c r="BD34" s="90">
        <f>+BD70</f>
        <v>30.329058526232938</v>
      </c>
      <c r="BE34" s="91">
        <f>+BE70</f>
        <v>19.085985953832836</v>
      </c>
      <c r="BF34" s="91">
        <f t="shared" si="76"/>
        <v>21.985488619589386</v>
      </c>
      <c r="BG34" s="90">
        <f>+BG70</f>
        <v>41.071474573422222</v>
      </c>
      <c r="BH34" s="91"/>
      <c r="BJ34"/>
      <c r="BK34"/>
      <c r="BL34"/>
      <c r="BM34"/>
      <c r="BN34"/>
      <c r="BO34"/>
    </row>
    <row r="35" spans="2:67" s="61" customFormat="1" outlineLevel="1">
      <c r="B35" s="122" t="s">
        <v>183</v>
      </c>
      <c r="D35" s="89" t="s">
        <v>159</v>
      </c>
      <c r="E35" s="90">
        <v>0.40346700000000002</v>
      </c>
      <c r="F35" s="91">
        <v>4.5726820000000004</v>
      </c>
      <c r="G35" s="91">
        <f t="shared" si="59"/>
        <v>5.5693179999999991</v>
      </c>
      <c r="H35" s="90">
        <v>10.141999999999999</v>
      </c>
      <c r="I35" s="91">
        <v>5.5300279999999997</v>
      </c>
      <c r="J35" s="91">
        <f t="shared" si="60"/>
        <v>6.1629719999999999</v>
      </c>
      <c r="K35" s="90">
        <v>11.693</v>
      </c>
      <c r="L35" s="91">
        <v>5.85</v>
      </c>
      <c r="M35" s="91">
        <f t="shared" si="61"/>
        <v>6.468</v>
      </c>
      <c r="N35" s="90">
        <v>12.318</v>
      </c>
      <c r="O35" s="91">
        <v>4.5979999999999999</v>
      </c>
      <c r="P35" s="91">
        <f t="shared" si="62"/>
        <v>13.976000000000003</v>
      </c>
      <c r="Q35" s="90">
        <v>18.574000000000002</v>
      </c>
      <c r="R35" s="91">
        <v>0</v>
      </c>
      <c r="S35" s="91">
        <f t="shared" si="63"/>
        <v>0</v>
      </c>
      <c r="T35" s="90">
        <v>0</v>
      </c>
      <c r="U35" s="91">
        <v>0</v>
      </c>
      <c r="V35" s="91">
        <f t="shared" si="64"/>
        <v>0</v>
      </c>
      <c r="W35" s="90">
        <v>0</v>
      </c>
      <c r="X35" s="91">
        <v>0</v>
      </c>
      <c r="Y35" s="91">
        <f t="shared" si="65"/>
        <v>0</v>
      </c>
      <c r="Z35" s="90">
        <v>0</v>
      </c>
      <c r="AA35" s="91">
        <v>0</v>
      </c>
      <c r="AB35" s="91">
        <f t="shared" si="66"/>
        <v>0</v>
      </c>
      <c r="AC35" s="90">
        <v>0</v>
      </c>
      <c r="AD35" s="91">
        <v>0</v>
      </c>
      <c r="AE35" s="91">
        <f t="shared" si="67"/>
        <v>0</v>
      </c>
      <c r="AF35" s="90">
        <v>0</v>
      </c>
      <c r="AG35" s="91">
        <v>0</v>
      </c>
      <c r="AH35" s="91">
        <f t="shared" si="68"/>
        <v>0</v>
      </c>
      <c r="AI35" s="90">
        <v>0</v>
      </c>
      <c r="AJ35" s="91">
        <v>0</v>
      </c>
      <c r="AK35" s="91">
        <f t="shared" si="69"/>
        <v>0</v>
      </c>
      <c r="AL35" s="90">
        <v>0</v>
      </c>
      <c r="AM35" s="91">
        <v>0</v>
      </c>
      <c r="AN35" s="91">
        <f t="shared" si="70"/>
        <v>0</v>
      </c>
      <c r="AO35" s="90">
        <v>0</v>
      </c>
      <c r="AP35" s="91">
        <v>0</v>
      </c>
      <c r="AQ35" s="91">
        <f t="shared" si="71"/>
        <v>0</v>
      </c>
      <c r="AR35" s="90">
        <v>0</v>
      </c>
      <c r="AS35" s="91">
        <v>0</v>
      </c>
      <c r="AT35" s="91">
        <f t="shared" si="72"/>
        <v>0</v>
      </c>
      <c r="AU35" s="90">
        <v>0</v>
      </c>
      <c r="AV35" s="91">
        <v>0</v>
      </c>
      <c r="AW35" s="91">
        <f t="shared" si="73"/>
        <v>0</v>
      </c>
      <c r="AX35" s="90">
        <v>0</v>
      </c>
      <c r="AY35" s="91">
        <v>0</v>
      </c>
      <c r="AZ35" s="91">
        <f t="shared" si="74"/>
        <v>0</v>
      </c>
      <c r="BA35" s="90">
        <v>0</v>
      </c>
      <c r="BB35" s="91">
        <v>0</v>
      </c>
      <c r="BC35" s="91">
        <f t="shared" si="75"/>
        <v>0</v>
      </c>
      <c r="BD35" s="90">
        <v>0</v>
      </c>
      <c r="BE35" s="91">
        <v>0</v>
      </c>
      <c r="BF35" s="91">
        <f t="shared" si="76"/>
        <v>0</v>
      </c>
      <c r="BG35" s="90">
        <v>0</v>
      </c>
      <c r="BH35" s="91"/>
      <c r="BJ35"/>
      <c r="BK35"/>
      <c r="BL35"/>
      <c r="BM35"/>
      <c r="BN35"/>
      <c r="BO35"/>
    </row>
    <row r="36" spans="2:67" s="61" customFormat="1" outlineLevel="1">
      <c r="B36" s="122" t="s">
        <v>184</v>
      </c>
      <c r="D36" s="89" t="s">
        <v>159</v>
      </c>
      <c r="E36" s="90">
        <v>-4.3553000000000001E-2</v>
      </c>
      <c r="F36" s="91">
        <v>2.9169999999999999E-3</v>
      </c>
      <c r="G36" s="91">
        <f t="shared" si="59"/>
        <v>-1.8917E-2</v>
      </c>
      <c r="H36" s="90">
        <v>-1.6E-2</v>
      </c>
      <c r="I36" s="91">
        <v>-4.2515999999999998E-2</v>
      </c>
      <c r="J36" s="91">
        <f t="shared" si="60"/>
        <v>-2.3484000000000005E-2</v>
      </c>
      <c r="K36" s="90">
        <v>-6.6000000000000003E-2</v>
      </c>
      <c r="L36" s="91">
        <v>0</v>
      </c>
      <c r="M36" s="91">
        <f t="shared" si="61"/>
        <v>-7.0000000000000001E-3</v>
      </c>
      <c r="N36" s="90">
        <v>-7.0000000000000001E-3</v>
      </c>
      <c r="O36" s="91">
        <v>7.9000000000000001E-2</v>
      </c>
      <c r="P36" s="91">
        <f t="shared" si="62"/>
        <v>-0.99299999999999999</v>
      </c>
      <c r="Q36" s="90">
        <v>-0.91400000000000003</v>
      </c>
      <c r="R36" s="91">
        <v>-0.49199999999999999</v>
      </c>
      <c r="S36" s="91">
        <f t="shared" si="63"/>
        <v>-0.17600000000000005</v>
      </c>
      <c r="T36" s="90">
        <v>-0.66800000000000004</v>
      </c>
      <c r="U36" s="91">
        <v>0</v>
      </c>
      <c r="V36" s="91">
        <f t="shared" si="64"/>
        <v>0</v>
      </c>
      <c r="W36" s="90">
        <v>0</v>
      </c>
      <c r="X36" s="91">
        <v>0</v>
      </c>
      <c r="Y36" s="91">
        <f t="shared" si="65"/>
        <v>0</v>
      </c>
      <c r="Z36" s="90">
        <v>0</v>
      </c>
      <c r="AA36" s="91">
        <v>0</v>
      </c>
      <c r="AB36" s="91">
        <f t="shared" si="66"/>
        <v>0</v>
      </c>
      <c r="AC36" s="90">
        <v>0</v>
      </c>
      <c r="AD36" s="91">
        <v>0</v>
      </c>
      <c r="AE36" s="91">
        <f t="shared" si="67"/>
        <v>0</v>
      </c>
      <c r="AF36" s="90">
        <v>0</v>
      </c>
      <c r="AG36" s="91">
        <v>0</v>
      </c>
      <c r="AH36" s="91">
        <f t="shared" si="68"/>
        <v>0</v>
      </c>
      <c r="AI36" s="90">
        <v>0</v>
      </c>
      <c r="AJ36" s="91">
        <v>0</v>
      </c>
      <c r="AK36" s="91">
        <f t="shared" si="69"/>
        <v>0</v>
      </c>
      <c r="AL36" s="90">
        <v>0</v>
      </c>
      <c r="AM36" s="91">
        <v>0</v>
      </c>
      <c r="AN36" s="91">
        <f t="shared" si="70"/>
        <v>0</v>
      </c>
      <c r="AO36" s="90">
        <v>0</v>
      </c>
      <c r="AP36" s="91">
        <v>0</v>
      </c>
      <c r="AQ36" s="91">
        <f t="shared" si="71"/>
        <v>0</v>
      </c>
      <c r="AR36" s="90">
        <v>0</v>
      </c>
      <c r="AS36" s="91">
        <v>0</v>
      </c>
      <c r="AT36" s="91">
        <f t="shared" si="72"/>
        <v>0</v>
      </c>
      <c r="AU36" s="90">
        <v>0</v>
      </c>
      <c r="AV36" s="91">
        <v>0</v>
      </c>
      <c r="AW36" s="91">
        <f t="shared" si="73"/>
        <v>0</v>
      </c>
      <c r="AX36" s="90">
        <v>0</v>
      </c>
      <c r="AY36" s="91">
        <v>0</v>
      </c>
      <c r="AZ36" s="91">
        <f t="shared" si="74"/>
        <v>0</v>
      </c>
      <c r="BA36" s="90">
        <v>0</v>
      </c>
      <c r="BB36" s="91">
        <v>0</v>
      </c>
      <c r="BC36" s="91">
        <f t="shared" si="75"/>
        <v>0</v>
      </c>
      <c r="BD36" s="90">
        <v>0</v>
      </c>
      <c r="BE36" s="91">
        <v>0</v>
      </c>
      <c r="BF36" s="91">
        <f t="shared" si="76"/>
        <v>0</v>
      </c>
      <c r="BG36" s="90">
        <v>0</v>
      </c>
      <c r="BH36" s="91"/>
      <c r="BJ36"/>
      <c r="BK36"/>
      <c r="BL36"/>
      <c r="BM36"/>
      <c r="BN36"/>
      <c r="BO36"/>
    </row>
    <row r="37" spans="2:67" s="61" customFormat="1" outlineLevel="1">
      <c r="B37" s="122" t="s">
        <v>185</v>
      </c>
      <c r="D37" s="89" t="s">
        <v>159</v>
      </c>
      <c r="E37" s="90">
        <v>-0.247277</v>
      </c>
      <c r="F37" s="91">
        <v>0.54220800000000002</v>
      </c>
      <c r="G37" s="91">
        <f t="shared" si="59"/>
        <v>0.96079199999999987</v>
      </c>
      <c r="H37" s="90">
        <v>1.5029999999999999</v>
      </c>
      <c r="I37" s="91">
        <v>0.103322</v>
      </c>
      <c r="J37" s="91">
        <f t="shared" si="60"/>
        <v>-0.49032200000000004</v>
      </c>
      <c r="K37" s="90">
        <v>-0.38700000000000001</v>
      </c>
      <c r="L37" s="91">
        <v>0.59299999999999997</v>
      </c>
      <c r="M37" s="91">
        <f t="shared" si="61"/>
        <v>-4.5229999999999997</v>
      </c>
      <c r="N37" s="90">
        <v>-3.93</v>
      </c>
      <c r="O37" s="91">
        <v>4.0000000000000001E-3</v>
      </c>
      <c r="P37" s="91">
        <f t="shared" si="62"/>
        <v>2.6080000000000001</v>
      </c>
      <c r="Q37" s="90">
        <v>2.6120000000000001</v>
      </c>
      <c r="R37" s="91">
        <v>2.298</v>
      </c>
      <c r="S37" s="91">
        <f t="shared" si="63"/>
        <v>-2.7469999999999999</v>
      </c>
      <c r="T37" s="90">
        <v>-0.44900000000000001</v>
      </c>
      <c r="U37" s="91">
        <v>0</v>
      </c>
      <c r="V37" s="91">
        <f t="shared" si="64"/>
        <v>0</v>
      </c>
      <c r="W37" s="90">
        <v>0</v>
      </c>
      <c r="X37" s="91">
        <v>0</v>
      </c>
      <c r="Y37" s="91">
        <f t="shared" si="65"/>
        <v>0</v>
      </c>
      <c r="Z37" s="90">
        <v>0</v>
      </c>
      <c r="AA37" s="91">
        <v>0</v>
      </c>
      <c r="AB37" s="91">
        <f t="shared" si="66"/>
        <v>0</v>
      </c>
      <c r="AC37" s="90">
        <v>0</v>
      </c>
      <c r="AD37" s="91">
        <v>0</v>
      </c>
      <c r="AE37" s="91">
        <f t="shared" si="67"/>
        <v>0</v>
      </c>
      <c r="AF37" s="90">
        <v>0</v>
      </c>
      <c r="AG37" s="91">
        <v>0</v>
      </c>
      <c r="AH37" s="91">
        <f t="shared" si="68"/>
        <v>0</v>
      </c>
      <c r="AI37" s="90">
        <v>0</v>
      </c>
      <c r="AJ37" s="91">
        <v>0</v>
      </c>
      <c r="AK37" s="91">
        <f t="shared" si="69"/>
        <v>0</v>
      </c>
      <c r="AL37" s="90">
        <v>0</v>
      </c>
      <c r="AM37" s="91">
        <v>0</v>
      </c>
      <c r="AN37" s="91">
        <f t="shared" si="70"/>
        <v>0</v>
      </c>
      <c r="AO37" s="90">
        <v>0</v>
      </c>
      <c r="AP37" s="91">
        <v>0</v>
      </c>
      <c r="AQ37" s="91">
        <f t="shared" si="71"/>
        <v>0</v>
      </c>
      <c r="AR37" s="90">
        <v>0</v>
      </c>
      <c r="AS37" s="91">
        <v>0</v>
      </c>
      <c r="AT37" s="91">
        <f t="shared" si="72"/>
        <v>0</v>
      </c>
      <c r="AU37" s="90">
        <v>0</v>
      </c>
      <c r="AV37" s="91">
        <v>0</v>
      </c>
      <c r="AW37" s="91">
        <f t="shared" si="73"/>
        <v>0</v>
      </c>
      <c r="AX37" s="90">
        <v>0</v>
      </c>
      <c r="AY37" s="91">
        <v>0</v>
      </c>
      <c r="AZ37" s="91">
        <f t="shared" si="74"/>
        <v>0</v>
      </c>
      <c r="BA37" s="90">
        <v>0</v>
      </c>
      <c r="BB37" s="91">
        <v>0</v>
      </c>
      <c r="BC37" s="91">
        <f t="shared" si="75"/>
        <v>0</v>
      </c>
      <c r="BD37" s="90">
        <v>0</v>
      </c>
      <c r="BE37" s="91">
        <v>0</v>
      </c>
      <c r="BF37" s="91">
        <f t="shared" si="76"/>
        <v>0</v>
      </c>
      <c r="BG37" s="90">
        <v>0</v>
      </c>
      <c r="BH37" s="91"/>
      <c r="BJ37"/>
      <c r="BK37"/>
      <c r="BL37"/>
      <c r="BM37"/>
      <c r="BN37"/>
      <c r="BO37"/>
    </row>
    <row r="38" spans="2:67" s="61" customFormat="1" outlineLevel="1">
      <c r="B38" s="121" t="s">
        <v>186</v>
      </c>
      <c r="D38" s="89" t="s">
        <v>159</v>
      </c>
      <c r="E38" s="90">
        <v>0</v>
      </c>
      <c r="F38" s="91">
        <v>0</v>
      </c>
      <c r="G38" s="91">
        <f t="shared" si="59"/>
        <v>0</v>
      </c>
      <c r="H38" s="90">
        <v>0</v>
      </c>
      <c r="I38" s="91">
        <v>7.143E-3</v>
      </c>
      <c r="J38" s="91">
        <f t="shared" si="60"/>
        <v>0.19685699999999998</v>
      </c>
      <c r="K38" s="90">
        <v>0.20399999999999999</v>
      </c>
      <c r="L38" s="91">
        <v>0.25900000000000001</v>
      </c>
      <c r="M38" s="91">
        <f t="shared" si="61"/>
        <v>1.077</v>
      </c>
      <c r="N38" s="90">
        <v>1.3360000000000001</v>
      </c>
      <c r="O38" s="91">
        <v>0.10100000000000001</v>
      </c>
      <c r="P38" s="91">
        <f t="shared" si="62"/>
        <v>0.48199999999999998</v>
      </c>
      <c r="Q38" s="90">
        <v>0.58299999999999996</v>
      </c>
      <c r="R38" s="91">
        <v>1E-3</v>
      </c>
      <c r="S38" s="91">
        <f t="shared" si="63"/>
        <v>0.09</v>
      </c>
      <c r="T38" s="90">
        <v>9.0999999999999998E-2</v>
      </c>
      <c r="U38" s="91">
        <v>0</v>
      </c>
      <c r="V38" s="91">
        <f t="shared" si="64"/>
        <v>0</v>
      </c>
      <c r="W38" s="90">
        <v>0</v>
      </c>
      <c r="X38" s="91">
        <v>0</v>
      </c>
      <c r="Y38" s="91">
        <f t="shared" si="65"/>
        <v>0</v>
      </c>
      <c r="Z38" s="90">
        <v>0</v>
      </c>
      <c r="AA38" s="91">
        <v>0</v>
      </c>
      <c r="AB38" s="91">
        <f t="shared" si="66"/>
        <v>0</v>
      </c>
      <c r="AC38" s="90">
        <v>0</v>
      </c>
      <c r="AD38" s="91">
        <v>0</v>
      </c>
      <c r="AE38" s="91">
        <f t="shared" si="67"/>
        <v>0</v>
      </c>
      <c r="AF38" s="90">
        <v>0</v>
      </c>
      <c r="AG38" s="91">
        <v>0</v>
      </c>
      <c r="AH38" s="91">
        <f t="shared" si="68"/>
        <v>0</v>
      </c>
      <c r="AI38" s="90">
        <v>0</v>
      </c>
      <c r="AJ38" s="91">
        <v>0</v>
      </c>
      <c r="AK38" s="91">
        <f t="shared" si="69"/>
        <v>0</v>
      </c>
      <c r="AL38" s="90">
        <v>0</v>
      </c>
      <c r="AM38" s="91">
        <v>0</v>
      </c>
      <c r="AN38" s="91">
        <f t="shared" si="70"/>
        <v>0</v>
      </c>
      <c r="AO38" s="90">
        <v>0</v>
      </c>
      <c r="AP38" s="91">
        <v>0</v>
      </c>
      <c r="AQ38" s="91">
        <f t="shared" si="71"/>
        <v>0</v>
      </c>
      <c r="AR38" s="90">
        <v>0</v>
      </c>
      <c r="AS38" s="91">
        <v>0</v>
      </c>
      <c r="AT38" s="91">
        <f t="shared" si="72"/>
        <v>0</v>
      </c>
      <c r="AU38" s="90">
        <v>0</v>
      </c>
      <c r="AV38" s="91">
        <v>0</v>
      </c>
      <c r="AW38" s="91">
        <f t="shared" si="73"/>
        <v>0</v>
      </c>
      <c r="AX38" s="90">
        <v>0</v>
      </c>
      <c r="AY38" s="91">
        <v>0</v>
      </c>
      <c r="AZ38" s="91">
        <f t="shared" si="74"/>
        <v>0</v>
      </c>
      <c r="BA38" s="90">
        <v>0</v>
      </c>
      <c r="BB38" s="91">
        <v>0</v>
      </c>
      <c r="BC38" s="91">
        <f t="shared" si="75"/>
        <v>0</v>
      </c>
      <c r="BD38" s="90">
        <v>0</v>
      </c>
      <c r="BE38" s="91">
        <v>0</v>
      </c>
      <c r="BF38" s="91">
        <f t="shared" si="76"/>
        <v>0</v>
      </c>
      <c r="BG38" s="90">
        <v>0</v>
      </c>
      <c r="BH38" s="91"/>
      <c r="BJ38"/>
      <c r="BK38"/>
      <c r="BL38"/>
      <c r="BM38"/>
      <c r="BN38"/>
      <c r="BO38"/>
    </row>
    <row r="39" spans="2:67" s="61" customFormat="1">
      <c r="B39" s="88" t="s">
        <v>187</v>
      </c>
      <c r="D39" s="89" t="s">
        <v>159</v>
      </c>
      <c r="E39" s="123">
        <f>SUM(E32:E33)</f>
        <v>0.15161700000000003</v>
      </c>
      <c r="F39" s="124">
        <f>SUM(F32:F33)</f>
        <v>5.1178070000000009</v>
      </c>
      <c r="G39" s="91">
        <f t="shared" si="59"/>
        <v>6.706192999999999</v>
      </c>
      <c r="H39" s="123">
        <f>SUM(H32:H33)</f>
        <v>11.824</v>
      </c>
      <c r="I39" s="124">
        <f>SUM(I32:I33)</f>
        <v>7.4154790000000004</v>
      </c>
      <c r="J39" s="91">
        <f t="shared" si="60"/>
        <v>7.5135209999999981</v>
      </c>
      <c r="K39" s="123">
        <f>SUM(K32:K33)</f>
        <v>14.928999999999998</v>
      </c>
      <c r="L39" s="124">
        <f>SUM(L32:L33)</f>
        <v>8.3089999999999993</v>
      </c>
      <c r="M39" s="91">
        <f t="shared" si="61"/>
        <v>6.6210000000000004</v>
      </c>
      <c r="N39" s="123">
        <f>SUM(N32:N33)</f>
        <v>14.93</v>
      </c>
      <c r="O39" s="124">
        <f>SUM(O32:O33)</f>
        <v>7.6919999999999993</v>
      </c>
      <c r="P39" s="91">
        <f t="shared" si="62"/>
        <v>20.758999999999997</v>
      </c>
      <c r="Q39" s="123">
        <f>SUM(Q32:Q33)</f>
        <v>28.450999999999997</v>
      </c>
      <c r="R39" s="124">
        <f>SUM(R32:R33)</f>
        <v>25.855</v>
      </c>
      <c r="S39" s="91">
        <f t="shared" si="63"/>
        <v>133.21600000000001</v>
      </c>
      <c r="T39" s="123">
        <f>SUM(T32:T33)</f>
        <v>159.071</v>
      </c>
      <c r="U39" s="124">
        <f>SUM(U32:U33)</f>
        <v>149.08600000000001</v>
      </c>
      <c r="V39" s="91">
        <f t="shared" si="64"/>
        <v>184.56299999999993</v>
      </c>
      <c r="W39" s="123">
        <f>SUM(W32:W33)</f>
        <v>333.64899999999994</v>
      </c>
      <c r="X39" s="124">
        <f>SUM(X32:X33)</f>
        <v>240.506</v>
      </c>
      <c r="Y39" s="91">
        <f t="shared" si="65"/>
        <v>283.22500000000002</v>
      </c>
      <c r="Z39" s="123">
        <f>SUM(Z32:Z33)</f>
        <v>523.73099999999999</v>
      </c>
      <c r="AA39" s="124">
        <f>SUM(AA32:AA33)</f>
        <v>393.97500000000002</v>
      </c>
      <c r="AB39" s="91">
        <f t="shared" si="66"/>
        <v>416.11348093839899</v>
      </c>
      <c r="AC39" s="123">
        <f>SUM(AC32:AC33)</f>
        <v>810.08848093839902</v>
      </c>
      <c r="AD39" s="124">
        <f>SUM(AD32:AD33)</f>
        <v>444.42406814691702</v>
      </c>
      <c r="AE39" s="91">
        <f t="shared" si="67"/>
        <v>465.30795203474662</v>
      </c>
      <c r="AF39" s="123">
        <f>SUM(AF32:AF33)</f>
        <v>909.73202018166364</v>
      </c>
      <c r="AG39" s="124">
        <f>SUM(AG32:AG33)</f>
        <v>505.01824031676335</v>
      </c>
      <c r="AH39" s="91">
        <f t="shared" si="68"/>
        <v>520.79523385129744</v>
      </c>
      <c r="AI39" s="123">
        <f>SUM(AI32:AI33)</f>
        <v>1025.8134741680608</v>
      </c>
      <c r="AJ39" s="124">
        <f>SUM(AJ32:AJ33)</f>
        <v>570.96090686108721</v>
      </c>
      <c r="AK39" s="91">
        <f t="shared" si="69"/>
        <v>589.30893073056961</v>
      </c>
      <c r="AL39" s="123">
        <f>SUM(AL32:AL33)</f>
        <v>1160.2698375916568</v>
      </c>
      <c r="AM39" s="124">
        <f>SUM(AM32:AM33)</f>
        <v>737.75575971294734</v>
      </c>
      <c r="AN39" s="91">
        <f t="shared" si="70"/>
        <v>762.85679242400192</v>
      </c>
      <c r="AO39" s="123">
        <f>SUM(AO32:AO33)</f>
        <v>1500.6125521369493</v>
      </c>
      <c r="AP39" s="124">
        <f>SUM(AP32:AP33)</f>
        <v>862.82606886230519</v>
      </c>
      <c r="AQ39" s="91">
        <f t="shared" si="71"/>
        <v>923.41050441107132</v>
      </c>
      <c r="AR39" s="123">
        <f>SUM(AR32:AR33)</f>
        <v>1786.2365732733765</v>
      </c>
      <c r="AS39" s="124">
        <f>SUM(AS32:AS33)</f>
        <v>994.02420522483726</v>
      </c>
      <c r="AT39" s="91">
        <f t="shared" si="72"/>
        <v>1065.0328972166499</v>
      </c>
      <c r="AU39" s="123">
        <f>SUM(AU32:AU33)</f>
        <v>2059.0571024414871</v>
      </c>
      <c r="AV39" s="124">
        <f>SUM(AV32:AV33)</f>
        <v>1128.8961603092628</v>
      </c>
      <c r="AW39" s="91">
        <f t="shared" si="73"/>
        <v>1210.4114091972363</v>
      </c>
      <c r="AX39" s="123">
        <f>SUM(AX32:AX33)</f>
        <v>2339.307569506499</v>
      </c>
      <c r="AY39" s="124">
        <f>SUM(AY32:AY33)</f>
        <v>1261.3103163491885</v>
      </c>
      <c r="AZ39" s="91">
        <f t="shared" si="74"/>
        <v>1353.2962680473022</v>
      </c>
      <c r="BA39" s="123">
        <f>SUM(BA32:BA33)</f>
        <v>2614.6065843964907</v>
      </c>
      <c r="BB39" s="124">
        <f>SUM(BB32:BB33)</f>
        <v>1392.4560946863792</v>
      </c>
      <c r="BC39" s="91">
        <f t="shared" si="75"/>
        <v>1494.7629981899129</v>
      </c>
      <c r="BD39" s="123">
        <f>SUM(BD32:BD33)</f>
        <v>2887.2190928762921</v>
      </c>
      <c r="BE39" s="124">
        <f>SUM(BE32:BE33)</f>
        <v>1514.8618876363689</v>
      </c>
      <c r="BF39" s="91">
        <f t="shared" si="76"/>
        <v>1626.6615466078847</v>
      </c>
      <c r="BG39" s="123">
        <f>SUM(BG32:BG33)</f>
        <v>3141.5234342442536</v>
      </c>
      <c r="BH39" s="124"/>
      <c r="BJ39"/>
      <c r="BK39"/>
      <c r="BL39"/>
      <c r="BM39"/>
      <c r="BN39"/>
      <c r="BO39"/>
    </row>
    <row r="40" spans="2:67" s="61" customFormat="1">
      <c r="B40" s="88" t="s">
        <v>188</v>
      </c>
      <c r="D40" s="89" t="s">
        <v>159</v>
      </c>
      <c r="E40" s="123">
        <f>+SUM(E41:E45)</f>
        <v>6.5155380000000003</v>
      </c>
      <c r="F40" s="124">
        <f>+SUM(F41:F45)</f>
        <v>-10.456847</v>
      </c>
      <c r="G40" s="91">
        <f t="shared" si="59"/>
        <v>-17.385153000000006</v>
      </c>
      <c r="H40" s="123">
        <f>+SUM(H41:H45)</f>
        <v>-27.842000000000006</v>
      </c>
      <c r="I40" s="124">
        <f>+SUM(I41:I45)</f>
        <v>-15.678905</v>
      </c>
      <c r="J40" s="91">
        <f t="shared" si="60"/>
        <v>-28.06309499999999</v>
      </c>
      <c r="K40" s="123">
        <f>+SUM(K41:K45)</f>
        <v>-43.74199999999999</v>
      </c>
      <c r="L40" s="124">
        <f>+SUM(L41:L45)</f>
        <v>-21.716000000000001</v>
      </c>
      <c r="M40" s="91">
        <f t="shared" si="61"/>
        <v>-32.750000000000007</v>
      </c>
      <c r="N40" s="123">
        <f>+SUM(N41:N45)</f>
        <v>-54.466000000000008</v>
      </c>
      <c r="O40" s="124">
        <f>+SUM(O41:O45)</f>
        <v>-34.241000000000007</v>
      </c>
      <c r="P40" s="91">
        <f t="shared" si="62"/>
        <v>-54.601999999999997</v>
      </c>
      <c r="Q40" s="123">
        <f>+SUM(Q41:Q45)</f>
        <v>-88.843000000000004</v>
      </c>
      <c r="R40" s="124">
        <f>+SUM(R41:R45)</f>
        <v>-84.802000000000007</v>
      </c>
      <c r="S40" s="91">
        <f t="shared" si="63"/>
        <v>-143.09499999999997</v>
      </c>
      <c r="T40" s="123">
        <f>+SUM(T41:T45)</f>
        <v>-227.89699999999996</v>
      </c>
      <c r="U40" s="124">
        <f>+SUM(U41:U45)</f>
        <v>125.28399999999999</v>
      </c>
      <c r="V40" s="91">
        <f t="shared" si="64"/>
        <v>168.33600000000001</v>
      </c>
      <c r="W40" s="123">
        <f>+SUM(W41:W45)</f>
        <v>293.62</v>
      </c>
      <c r="X40" s="124">
        <f>+SUM(X41:X45)</f>
        <v>202.54599999999999</v>
      </c>
      <c r="Y40" s="91">
        <f t="shared" si="65"/>
        <v>246.642</v>
      </c>
      <c r="Z40" s="123">
        <f>+SUM(Z41:Z45)</f>
        <v>449.18799999999999</v>
      </c>
      <c r="AA40" s="124">
        <f>+SUM(AA41:AA45)</f>
        <v>369.279</v>
      </c>
      <c r="AB40" s="91">
        <f t="shared" si="66"/>
        <v>391.12996945520035</v>
      </c>
      <c r="AC40" s="123">
        <f>+SUM(AC41:AC45)</f>
        <v>760.40896945520035</v>
      </c>
      <c r="AD40" s="124">
        <f>+SUM(AD41:AD45)</f>
        <v>416.50965949840094</v>
      </c>
      <c r="AE40" s="91">
        <f t="shared" si="67"/>
        <v>436.00562148860996</v>
      </c>
      <c r="AF40" s="123">
        <f>+SUM(AF41:AF45)</f>
        <v>852.5152809870109</v>
      </c>
      <c r="AG40" s="124">
        <f>+SUM(AG41:AG45)</f>
        <v>468.38464949344029</v>
      </c>
      <c r="AH40" s="91">
        <f t="shared" si="68"/>
        <v>481.48274021033831</v>
      </c>
      <c r="AI40" s="123">
        <f>+SUM(AI41:AI45)</f>
        <v>949.8673897037786</v>
      </c>
      <c r="AJ40" s="124">
        <f>+SUM(AJ41:AJ45)</f>
        <v>511.84685495745987</v>
      </c>
      <c r="AK40" s="91">
        <f t="shared" si="69"/>
        <v>526.37702023109443</v>
      </c>
      <c r="AL40" s="123">
        <f>+SUM(AL41:AL45)</f>
        <v>1038.2238751885543</v>
      </c>
      <c r="AM40" s="124">
        <f>+SUM(AM41:AM45)</f>
        <v>631.74636701814802</v>
      </c>
      <c r="AN40" s="91">
        <f t="shared" si="70"/>
        <v>650.84931503005896</v>
      </c>
      <c r="AO40" s="123">
        <f>+SUM(AO41:AO45)</f>
        <v>1282.595682048207</v>
      </c>
      <c r="AP40" s="124">
        <f>+SUM(AP41:AP45)</f>
        <v>708.36963871640762</v>
      </c>
      <c r="AQ40" s="91">
        <f t="shared" si="71"/>
        <v>753.11574622026103</v>
      </c>
      <c r="AR40" s="123">
        <f>+SUM(AR41:AR45)</f>
        <v>1461.4853849366687</v>
      </c>
      <c r="AS40" s="124">
        <f>+SUM(AS41:AS45)</f>
        <v>790.23800720520308</v>
      </c>
      <c r="AT40" s="91">
        <f t="shared" si="72"/>
        <v>841.21068160621576</v>
      </c>
      <c r="AU40" s="123">
        <f>+SUM(AU41:AU45)</f>
        <v>1631.4486888114188</v>
      </c>
      <c r="AV40" s="124">
        <f>+SUM(AV41:AV45)</f>
        <v>869.5632325366405</v>
      </c>
      <c r="AW40" s="91">
        <f t="shared" si="73"/>
        <v>926.45149987543277</v>
      </c>
      <c r="AX40" s="123">
        <f>+SUM(AX41:AX45)</f>
        <v>1796.0147324120733</v>
      </c>
      <c r="AY40" s="124">
        <f>+SUM(AY41:AY45)</f>
        <v>943.97500914324087</v>
      </c>
      <c r="AZ40" s="91">
        <f t="shared" si="74"/>
        <v>1005.8829386424577</v>
      </c>
      <c r="BA40" s="123">
        <f>+SUM(BA41:BA45)</f>
        <v>1949.8579477856986</v>
      </c>
      <c r="BB40" s="124">
        <f>+SUM(BB41:BB45)</f>
        <v>1012.8233335591394</v>
      </c>
      <c r="BC40" s="91">
        <f t="shared" si="75"/>
        <v>1079.8526728688157</v>
      </c>
      <c r="BD40" s="123">
        <f>+SUM(BD41:BD45)</f>
        <v>2092.6760064279551</v>
      </c>
      <c r="BE40" s="124">
        <f>+SUM(BE41:BE45)</f>
        <v>1071.9705151818794</v>
      </c>
      <c r="BF40" s="91">
        <f t="shared" si="76"/>
        <v>1143.291597080492</v>
      </c>
      <c r="BG40" s="123">
        <f>+SUM(BG41:BG45)</f>
        <v>2215.2621122623714</v>
      </c>
      <c r="BH40" s="124"/>
      <c r="BJ40"/>
      <c r="BK40"/>
      <c r="BL40"/>
      <c r="BM40"/>
      <c r="BN40"/>
      <c r="BO40"/>
    </row>
    <row r="41" spans="2:67" s="61" customFormat="1" outlineLevel="1">
      <c r="B41" s="125" t="s">
        <v>189</v>
      </c>
      <c r="D41" s="89" t="s">
        <v>159</v>
      </c>
      <c r="E41" s="123">
        <f>Segment!E48</f>
        <v>0</v>
      </c>
      <c r="F41" s="124">
        <f>Segment!F48</f>
        <v>0</v>
      </c>
      <c r="G41" s="91">
        <f t="shared" si="59"/>
        <v>0</v>
      </c>
      <c r="H41" s="123">
        <f>Segment!H48</f>
        <v>0</v>
      </c>
      <c r="I41" s="124">
        <f>Segment!I48</f>
        <v>0.72899999999999998</v>
      </c>
      <c r="J41" s="91">
        <f t="shared" si="60"/>
        <v>1.8140000000000001</v>
      </c>
      <c r="K41" s="123">
        <f>Segment!K48</f>
        <v>2.5430000000000001</v>
      </c>
      <c r="L41" s="124">
        <f>Segment!L48</f>
        <v>0.91700000000000004</v>
      </c>
      <c r="M41" s="91">
        <f t="shared" si="61"/>
        <v>1.107</v>
      </c>
      <c r="N41" s="123">
        <f>Segment!N48</f>
        <v>2.024</v>
      </c>
      <c r="O41" s="124">
        <f>Segment!O48</f>
        <v>0.875</v>
      </c>
      <c r="P41" s="91">
        <f t="shared" si="62"/>
        <v>1.673</v>
      </c>
      <c r="Q41" s="123">
        <f>Segment!Q48</f>
        <v>2.548</v>
      </c>
      <c r="R41" s="124">
        <f>Segment!R48</f>
        <v>10.568</v>
      </c>
      <c r="S41" s="91">
        <f t="shared" si="63"/>
        <v>54.602000000000004</v>
      </c>
      <c r="T41" s="126">
        <f>Segment!T48</f>
        <v>65.17</v>
      </c>
      <c r="U41" s="127">
        <f>Segment!U48</f>
        <v>55.018999999999998</v>
      </c>
      <c r="V41" s="128">
        <f t="shared" si="64"/>
        <v>68.388000000000005</v>
      </c>
      <c r="W41" s="126">
        <f>Segment!W48</f>
        <v>123.407</v>
      </c>
      <c r="X41" s="127">
        <f>Segment!X48</f>
        <v>82.415000000000006</v>
      </c>
      <c r="Y41" s="128">
        <f t="shared" si="65"/>
        <v>97.972999999999999</v>
      </c>
      <c r="Z41" s="126">
        <f>Segment!Z48</f>
        <v>180.38800000000001</v>
      </c>
      <c r="AA41" s="127">
        <f>Segment!AA48</f>
        <v>181.73599999999999</v>
      </c>
      <c r="AB41" s="128">
        <f t="shared" si="66"/>
        <v>196.09170046105271</v>
      </c>
      <c r="AC41" s="126">
        <f>Segment!AC48</f>
        <v>377.8277004610527</v>
      </c>
      <c r="AD41" s="127">
        <f>Segment!AD48</f>
        <v>211.05655008075689</v>
      </c>
      <c r="AE41" s="128">
        <f t="shared" si="67"/>
        <v>218.70047896765448</v>
      </c>
      <c r="AF41" s="126">
        <f>Segment!AF48</f>
        <v>429.75702904841137</v>
      </c>
      <c r="AG41" s="127">
        <f>Segment!AG48</f>
        <v>231.68426956545062</v>
      </c>
      <c r="AH41" s="128">
        <f t="shared" si="68"/>
        <v>237.2075608316124</v>
      </c>
      <c r="AI41" s="126">
        <f>Segment!AI48</f>
        <v>468.89183039706302</v>
      </c>
      <c r="AJ41" s="127">
        <f>Segment!AJ48</f>
        <v>254.08509161289174</v>
      </c>
      <c r="AK41" s="128">
        <f t="shared" si="69"/>
        <v>260.27588884263383</v>
      </c>
      <c r="AL41" s="126">
        <f>Segment!AL48</f>
        <v>514.36098045552558</v>
      </c>
      <c r="AM41" s="127">
        <f>Segment!AM48</f>
        <v>306.27354610888466</v>
      </c>
      <c r="AN41" s="128">
        <f t="shared" si="70"/>
        <v>314.37713198655655</v>
      </c>
      <c r="AO41" s="126">
        <f>Segment!AO48</f>
        <v>620.65067809544121</v>
      </c>
      <c r="AP41" s="127">
        <f>Segment!AP48</f>
        <v>341.67210314114857</v>
      </c>
      <c r="AQ41" s="128">
        <f t="shared" si="71"/>
        <v>360.65468236430877</v>
      </c>
      <c r="AR41" s="126">
        <f>Segment!AR48</f>
        <v>702.32678550545734</v>
      </c>
      <c r="AS41" s="127">
        <f>Segment!AS48</f>
        <v>378.32958089299257</v>
      </c>
      <c r="AT41" s="128">
        <f t="shared" si="72"/>
        <v>399.92568051854289</v>
      </c>
      <c r="AU41" s="126">
        <f>Segment!AU48</f>
        <v>778.25526141153546</v>
      </c>
      <c r="AV41" s="127">
        <f>Segment!AV48</f>
        <v>414.33946458828638</v>
      </c>
      <c r="AW41" s="128">
        <f t="shared" si="73"/>
        <v>438.43209540235506</v>
      </c>
      <c r="AX41" s="126">
        <f>Segment!AX48</f>
        <v>852.77155999064144</v>
      </c>
      <c r="AY41" s="127">
        <f>Segment!AY48</f>
        <v>447.82605440283362</v>
      </c>
      <c r="AZ41" s="128">
        <f t="shared" si="74"/>
        <v>474.53492558594041</v>
      </c>
      <c r="BA41" s="126">
        <f>Segment!BA48</f>
        <v>922.36097998877403</v>
      </c>
      <c r="BB41" s="127">
        <f>Segment!BB48</f>
        <v>479.56850045383158</v>
      </c>
      <c r="BC41" s="128">
        <f t="shared" si="75"/>
        <v>508.44799655028214</v>
      </c>
      <c r="BD41" s="126">
        <f>Segment!BD48</f>
        <v>988.01649700411372</v>
      </c>
      <c r="BE41" s="127">
        <f>Segment!BE48</f>
        <v>507.40249953864725</v>
      </c>
      <c r="BF41" s="128">
        <f t="shared" si="76"/>
        <v>538.10678573521716</v>
      </c>
      <c r="BG41" s="126">
        <f>Segment!BG48</f>
        <v>1045.5092852738644</v>
      </c>
      <c r="BH41" s="124"/>
      <c r="BJ41"/>
      <c r="BK41"/>
      <c r="BL41"/>
      <c r="BM41"/>
      <c r="BN41"/>
      <c r="BO41"/>
    </row>
    <row r="42" spans="2:67" s="61" customFormat="1" outlineLevel="1">
      <c r="B42" s="125" t="s">
        <v>190</v>
      </c>
      <c r="D42" s="89" t="s">
        <v>159</v>
      </c>
      <c r="E42" s="123">
        <f>Segment!E77</f>
        <v>-2.9770620000000001</v>
      </c>
      <c r="F42" s="124">
        <f>Segment!F77</f>
        <v>6.453843</v>
      </c>
      <c r="G42" s="91">
        <f t="shared" si="59"/>
        <v>12.238157000000001</v>
      </c>
      <c r="H42" s="123">
        <f>Segment!H77</f>
        <v>18.692</v>
      </c>
      <c r="I42" s="124">
        <f>Segment!I77</f>
        <v>7.8397079999999999</v>
      </c>
      <c r="J42" s="91">
        <f t="shared" si="60"/>
        <v>13.322291999999999</v>
      </c>
      <c r="K42" s="123">
        <f>Segment!K77</f>
        <v>21.161999999999999</v>
      </c>
      <c r="L42" s="124">
        <f>Segment!L77</f>
        <v>8.6050000000000004</v>
      </c>
      <c r="M42" s="91">
        <f t="shared" si="61"/>
        <v>14.48</v>
      </c>
      <c r="N42" s="123">
        <f>Segment!N77</f>
        <v>23.085000000000001</v>
      </c>
      <c r="O42" s="124">
        <f>Segment!O77</f>
        <v>13.67</v>
      </c>
      <c r="P42" s="91">
        <f t="shared" si="62"/>
        <v>20.464999999999996</v>
      </c>
      <c r="Q42" s="123">
        <f>Segment!Q77</f>
        <v>34.134999999999998</v>
      </c>
      <c r="R42" s="124">
        <f>Segment!R77</f>
        <v>24.843</v>
      </c>
      <c r="S42" s="91">
        <f t="shared" si="63"/>
        <v>56.164999999999992</v>
      </c>
      <c r="T42" s="126">
        <f>Segment!T77</f>
        <v>81.007999999999996</v>
      </c>
      <c r="U42" s="127">
        <f>Segment!U77</f>
        <v>32.741999999999997</v>
      </c>
      <c r="V42" s="128">
        <f t="shared" si="64"/>
        <v>52.573</v>
      </c>
      <c r="W42" s="126">
        <f>Segment!W77</f>
        <v>85.314999999999998</v>
      </c>
      <c r="X42" s="127">
        <f>Segment!X77</f>
        <v>55.437999999999995</v>
      </c>
      <c r="Y42" s="128">
        <f t="shared" si="65"/>
        <v>72.49199999999999</v>
      </c>
      <c r="Z42" s="126">
        <f>Segment!Z77</f>
        <v>127.92999999999999</v>
      </c>
      <c r="AA42" s="127">
        <f>Segment!AA77</f>
        <v>81.582999999999998</v>
      </c>
      <c r="AB42" s="128">
        <f t="shared" si="66"/>
        <v>78.467999999999989</v>
      </c>
      <c r="AC42" s="126">
        <f>Segment!AC77</f>
        <v>160.05099999999999</v>
      </c>
      <c r="AD42" s="127">
        <f>Segment!AD77</f>
        <v>86.5</v>
      </c>
      <c r="AE42" s="128">
        <f t="shared" si="67"/>
        <v>91.5</v>
      </c>
      <c r="AF42" s="126">
        <f>Segment!AF77</f>
        <v>178</v>
      </c>
      <c r="AG42" s="127">
        <f>Segment!AG77</f>
        <v>100.87136272626519</v>
      </c>
      <c r="AH42" s="128">
        <f t="shared" si="68"/>
        <v>104.02752916407196</v>
      </c>
      <c r="AI42" s="126">
        <f>Segment!AI77</f>
        <v>204.89889189033715</v>
      </c>
      <c r="AJ42" s="127">
        <f>Segment!AJ77</f>
        <v>114.05227667842244</v>
      </c>
      <c r="AK42" s="128">
        <f t="shared" si="69"/>
        <v>117.69392211427642</v>
      </c>
      <c r="AL42" s="126">
        <f>Segment!AL77</f>
        <v>231.74619879269886</v>
      </c>
      <c r="AM42" s="127">
        <f>Segment!AM77</f>
        <v>147.34370047268033</v>
      </c>
      <c r="AN42" s="128">
        <f t="shared" si="70"/>
        <v>152.28858957972852</v>
      </c>
      <c r="AO42" s="126">
        <f>Segment!AO77</f>
        <v>299.63229005240885</v>
      </c>
      <c r="AP42" s="127">
        <f>Segment!AP77</f>
        <v>166.04243437618535</v>
      </c>
      <c r="AQ42" s="128">
        <f t="shared" si="71"/>
        <v>177.71608621538311</v>
      </c>
      <c r="AR42" s="126">
        <f>Segment!AR77</f>
        <v>343.75852059156847</v>
      </c>
      <c r="AS42" s="127">
        <f>Segment!AS77</f>
        <v>188.64881203076681</v>
      </c>
      <c r="AT42" s="128">
        <f t="shared" si="72"/>
        <v>202.12056645879375</v>
      </c>
      <c r="AU42" s="126">
        <f>Segment!AU77</f>
        <v>390.76937848956055</v>
      </c>
      <c r="AV42" s="127">
        <f>Segment!AV77</f>
        <v>210.417216624509</v>
      </c>
      <c r="AW42" s="128">
        <f t="shared" si="73"/>
        <v>225.6139318412913</v>
      </c>
      <c r="AX42" s="126">
        <f>Segment!AX77</f>
        <v>436.0311484658003</v>
      </c>
      <c r="AY42" s="127">
        <f>Segment!AY77</f>
        <v>231.30238041670833</v>
      </c>
      <c r="AZ42" s="128">
        <f t="shared" si="74"/>
        <v>248.14701587103656</v>
      </c>
      <c r="BA42" s="126">
        <f>Segment!BA77</f>
        <v>479.44939628774489</v>
      </c>
      <c r="BB42" s="127">
        <f>Segment!BB77</f>
        <v>251.20904218874193</v>
      </c>
      <c r="BC42" s="128">
        <f t="shared" si="75"/>
        <v>269.61648755853571</v>
      </c>
      <c r="BD42" s="126">
        <f>Segment!BD77</f>
        <v>520.82552974727764</v>
      </c>
      <c r="BE42" s="127">
        <f>Segment!BE77</f>
        <v>268.74810479616235</v>
      </c>
      <c r="BF42" s="128">
        <f t="shared" si="76"/>
        <v>288.51735524970684</v>
      </c>
      <c r="BG42" s="126">
        <f>Segment!BG77</f>
        <v>557.26546004586919</v>
      </c>
      <c r="BH42" s="124"/>
      <c r="BJ42"/>
      <c r="BK42"/>
      <c r="BL42"/>
      <c r="BM42"/>
      <c r="BN42"/>
      <c r="BO42"/>
    </row>
    <row r="43" spans="2:67" s="61" customFormat="1" outlineLevel="1">
      <c r="B43" s="125" t="s">
        <v>191</v>
      </c>
      <c r="D43" s="89" t="s">
        <v>159</v>
      </c>
      <c r="E43" s="123">
        <f>Segment!E101</f>
        <v>-2.2812589999999999</v>
      </c>
      <c r="F43" s="124">
        <f>Segment!F101</f>
        <v>2.050932</v>
      </c>
      <c r="G43" s="91">
        <f t="shared" si="59"/>
        <v>2.1950680000000005</v>
      </c>
      <c r="H43" s="123">
        <f>Segment!H101</f>
        <v>4.2460000000000004</v>
      </c>
      <c r="I43" s="124">
        <f>Segment!I101</f>
        <v>1.9773419999999999</v>
      </c>
      <c r="J43" s="91">
        <f t="shared" si="60"/>
        <v>4.8486579999999995</v>
      </c>
      <c r="K43" s="123">
        <f>Segment!K101</f>
        <v>6.8259999999999996</v>
      </c>
      <c r="L43" s="124">
        <f>Segment!L101</f>
        <v>2.69</v>
      </c>
      <c r="M43" s="91">
        <f t="shared" si="61"/>
        <v>6.2249999999999996</v>
      </c>
      <c r="N43" s="123">
        <f>Segment!N101</f>
        <v>8.9149999999999991</v>
      </c>
      <c r="O43" s="124">
        <f>Segment!O101</f>
        <v>6.5190000000000001</v>
      </c>
      <c r="P43" s="91">
        <f t="shared" si="62"/>
        <v>10.363000000000001</v>
      </c>
      <c r="Q43" s="123">
        <f>Segment!Q101</f>
        <v>16.882000000000001</v>
      </c>
      <c r="R43" s="124">
        <f>Segment!R101</f>
        <v>22.753</v>
      </c>
      <c r="S43" s="91">
        <f t="shared" si="63"/>
        <v>15.216999999999999</v>
      </c>
      <c r="T43" s="126">
        <f>Segment!T101</f>
        <v>37.97</v>
      </c>
      <c r="U43" s="127">
        <f>Segment!U101</f>
        <v>16.330000000000002</v>
      </c>
      <c r="V43" s="128">
        <f t="shared" si="64"/>
        <v>17.133999999999997</v>
      </c>
      <c r="W43" s="126">
        <f>Segment!W101</f>
        <v>33.463999999999999</v>
      </c>
      <c r="X43" s="127">
        <f>Segment!X101</f>
        <v>24.641999999999999</v>
      </c>
      <c r="Y43" s="128">
        <f t="shared" si="65"/>
        <v>31.310999999999996</v>
      </c>
      <c r="Z43" s="126">
        <f>Segment!Z101</f>
        <v>55.952999999999996</v>
      </c>
      <c r="AA43" s="127">
        <f>Segment!AA101</f>
        <v>48.972999999999999</v>
      </c>
      <c r="AB43" s="128">
        <f t="shared" si="66"/>
        <v>50.4835616440038</v>
      </c>
      <c r="AC43" s="126">
        <f>Segment!AC101</f>
        <v>99.456561644003799</v>
      </c>
      <c r="AD43" s="127">
        <f>Segment!AD101</f>
        <v>54.108274977045539</v>
      </c>
      <c r="AE43" s="128">
        <f t="shared" si="67"/>
        <v>57.775337710816444</v>
      </c>
      <c r="AF43" s="126">
        <f>Segment!AF101</f>
        <v>111.88361268786198</v>
      </c>
      <c r="AG43" s="127">
        <f>Segment!AG101</f>
        <v>61.887520157025556</v>
      </c>
      <c r="AH43" s="128">
        <f t="shared" si="68"/>
        <v>63.939028341599943</v>
      </c>
      <c r="AI43" s="126">
        <f>Segment!AI101</f>
        <v>125.8265484986255</v>
      </c>
      <c r="AJ43" s="127">
        <f>Segment!AJ101</f>
        <v>61.108428296174111</v>
      </c>
      <c r="AK43" s="128">
        <f t="shared" si="69"/>
        <v>63.111333286662827</v>
      </c>
      <c r="AL43" s="126">
        <f>Segment!AL101</f>
        <v>124.21976158283694</v>
      </c>
      <c r="AM43" s="127">
        <f>Segment!AM101</f>
        <v>75.752072123179119</v>
      </c>
      <c r="AN43" s="128">
        <f t="shared" si="70"/>
        <v>78.331320815251047</v>
      </c>
      <c r="AO43" s="126">
        <f>Segment!AO101</f>
        <v>154.08339293843017</v>
      </c>
      <c r="AP43" s="127">
        <f>Segment!AP101</f>
        <v>86.936205170588735</v>
      </c>
      <c r="AQ43" s="128">
        <f t="shared" si="71"/>
        <v>93.030779626824582</v>
      </c>
      <c r="AR43" s="126">
        <f>Segment!AR101</f>
        <v>179.96698479741332</v>
      </c>
      <c r="AS43" s="127">
        <f>Segment!AS101</f>
        <v>98.35957673262736</v>
      </c>
      <c r="AT43" s="128">
        <f t="shared" si="72"/>
        <v>105.34100165571722</v>
      </c>
      <c r="AU43" s="126">
        <f>Segment!AU101</f>
        <v>203.70057838834458</v>
      </c>
      <c r="AV43" s="127">
        <f>Segment!AV101</f>
        <v>109.74833149049292</v>
      </c>
      <c r="AW43" s="128">
        <f t="shared" si="73"/>
        <v>117.59417159714295</v>
      </c>
      <c r="AX43" s="126">
        <f>Segment!AX101</f>
        <v>227.34250308763586</v>
      </c>
      <c r="AY43" s="127">
        <f>Segment!AY101</f>
        <v>120.41061235911849</v>
      </c>
      <c r="AZ43" s="128">
        <f t="shared" si="74"/>
        <v>129.18851585337919</v>
      </c>
      <c r="BA43" s="126">
        <f>Segment!BA101</f>
        <v>249.59912821249767</v>
      </c>
      <c r="BB43" s="127">
        <f>Segment!BB101</f>
        <v>130.69556479043098</v>
      </c>
      <c r="BC43" s="128">
        <f t="shared" si="75"/>
        <v>140.26694301759517</v>
      </c>
      <c r="BD43" s="126">
        <f>Segment!BD101</f>
        <v>270.96250780802615</v>
      </c>
      <c r="BE43" s="127">
        <f>Segment!BE101</f>
        <v>139.81990727266336</v>
      </c>
      <c r="BF43" s="128">
        <f t="shared" si="76"/>
        <v>150.0847838133167</v>
      </c>
      <c r="BG43" s="126">
        <f>Segment!BG101</f>
        <v>289.90469108598006</v>
      </c>
      <c r="BH43" s="124"/>
      <c r="BJ43"/>
      <c r="BK43"/>
      <c r="BL43"/>
      <c r="BM43"/>
      <c r="BN43"/>
      <c r="BO43"/>
    </row>
    <row r="44" spans="2:67" s="61" customFormat="1" outlineLevel="1">
      <c r="B44" s="125" t="s">
        <v>192</v>
      </c>
      <c r="D44" s="89" t="s">
        <v>159</v>
      </c>
      <c r="E44" s="123">
        <f>Segment!E116</f>
        <v>-1.26101</v>
      </c>
      <c r="F44" s="124">
        <f>Segment!F116</f>
        <v>1.952232</v>
      </c>
      <c r="G44" s="91">
        <f t="shared" si="59"/>
        <v>2.9447680000000003</v>
      </c>
      <c r="H44" s="123">
        <f>Segment!H116</f>
        <v>4.8970000000000002</v>
      </c>
      <c r="I44" s="124">
        <f>Segment!I116</f>
        <v>5.1328550000000002</v>
      </c>
      <c r="J44" s="91">
        <f t="shared" si="60"/>
        <v>3.841145</v>
      </c>
      <c r="K44" s="123">
        <f>Segment!K116</f>
        <v>8.9740000000000002</v>
      </c>
      <c r="L44" s="124">
        <f>Segment!L116</f>
        <v>7.1689999999999996</v>
      </c>
      <c r="M44" s="91">
        <f t="shared" si="61"/>
        <v>8.3910000000000018</v>
      </c>
      <c r="N44" s="123">
        <f>Segment!N116</f>
        <v>15.56</v>
      </c>
      <c r="O44" s="124">
        <f>Segment!O116</f>
        <v>10.631</v>
      </c>
      <c r="P44" s="91">
        <f t="shared" si="62"/>
        <v>19.472999999999999</v>
      </c>
      <c r="Q44" s="123">
        <f>Segment!Q116</f>
        <v>30.103999999999999</v>
      </c>
      <c r="R44" s="124">
        <f>Segment!R116</f>
        <v>0</v>
      </c>
      <c r="S44" s="91">
        <f t="shared" si="63"/>
        <v>0</v>
      </c>
      <c r="T44" s="126">
        <f>Segment!T116</f>
        <v>0</v>
      </c>
      <c r="U44" s="127">
        <f>Segment!U116</f>
        <v>2.7460000000000004</v>
      </c>
      <c r="V44" s="128">
        <f t="shared" si="64"/>
        <v>3.504999999999999</v>
      </c>
      <c r="W44" s="126">
        <f>Segment!W116</f>
        <v>6.2509999999999994</v>
      </c>
      <c r="X44" s="127">
        <f>Segment!X116</f>
        <v>8.4169999999999998</v>
      </c>
      <c r="Y44" s="128">
        <f t="shared" si="65"/>
        <v>8.2530000000000019</v>
      </c>
      <c r="Z44" s="126">
        <f>Segment!Z116</f>
        <v>16.670000000000002</v>
      </c>
      <c r="AA44" s="127">
        <f>Segment!AA116</f>
        <v>18.849</v>
      </c>
      <c r="AB44" s="128">
        <f t="shared" si="66"/>
        <v>20.702096046919959</v>
      </c>
      <c r="AC44" s="126">
        <f>Segment!AC116</f>
        <v>39.551096046919959</v>
      </c>
      <c r="AD44" s="127">
        <f>Segment!AD116</f>
        <v>22.158444813532832</v>
      </c>
      <c r="AE44" s="128">
        <f t="shared" si="67"/>
        <v>23.220101603379725</v>
      </c>
      <c r="AF44" s="126">
        <f>Segment!AF116</f>
        <v>45.378546416912556</v>
      </c>
      <c r="AG44" s="127">
        <f>Segment!AG116</f>
        <v>25.217840681566297</v>
      </c>
      <c r="AH44" s="128">
        <f t="shared" si="68"/>
        <v>26.006882291017991</v>
      </c>
      <c r="AI44" s="126">
        <f>Segment!AI116</f>
        <v>51.224722972584289</v>
      </c>
      <c r="AJ44" s="127">
        <f>Segment!AJ116</f>
        <v>27.372546402821385</v>
      </c>
      <c r="AK44" s="128">
        <f t="shared" si="69"/>
        <v>28.246541307426341</v>
      </c>
      <c r="AL44" s="126">
        <f>Segment!AL116</f>
        <v>55.619087710247726</v>
      </c>
      <c r="AM44" s="127">
        <f>Segment!AM116</f>
        <v>33.889051108716473</v>
      </c>
      <c r="AN44" s="128">
        <f t="shared" si="70"/>
        <v>35.026375603337556</v>
      </c>
      <c r="AO44" s="126">
        <f>Segment!AO116</f>
        <v>68.915426712054028</v>
      </c>
      <c r="AP44" s="127">
        <f>Segment!AP116</f>
        <v>37.87940020744508</v>
      </c>
      <c r="AQ44" s="128">
        <f t="shared" si="71"/>
        <v>40.507886780577287</v>
      </c>
      <c r="AR44" s="126">
        <f>Segment!AR116</f>
        <v>78.387286988022367</v>
      </c>
      <c r="AS44" s="127">
        <f>Segment!AS116</f>
        <v>41.590090946110053</v>
      </c>
      <c r="AT44" s="128">
        <f t="shared" si="72"/>
        <v>44.522289413807798</v>
      </c>
      <c r="AU44" s="126">
        <f>Segment!AU116</f>
        <v>86.11238035991785</v>
      </c>
      <c r="AV44" s="127">
        <f>Segment!AV116</f>
        <v>44.901807603679408</v>
      </c>
      <c r="AW44" s="128">
        <f t="shared" si="73"/>
        <v>48.099125722620435</v>
      </c>
      <c r="AX44" s="126">
        <f>Segment!AX116</f>
        <v>93.000933326299844</v>
      </c>
      <c r="AY44" s="127">
        <f>Segment!AY116</f>
        <v>47.522398584600673</v>
      </c>
      <c r="AZ44" s="128">
        <f t="shared" si="74"/>
        <v>50.98004542944421</v>
      </c>
      <c r="BA44" s="126">
        <f>Segment!BA116</f>
        <v>98.502444014044883</v>
      </c>
      <c r="BB44" s="127">
        <f>Segment!BB116</f>
        <v>49.59040754685995</v>
      </c>
      <c r="BC44" s="128">
        <f t="shared" si="75"/>
        <v>53.221633689742163</v>
      </c>
      <c r="BD44" s="126">
        <f>Segment!BD116</f>
        <v>102.81204123660211</v>
      </c>
      <c r="BE44" s="127">
        <f>Segment!BE116</f>
        <v>50.82238065720621</v>
      </c>
      <c r="BF44" s="128">
        <f t="shared" si="76"/>
        <v>54.558985971602013</v>
      </c>
      <c r="BG44" s="126">
        <f>Segment!BG116</f>
        <v>105.38136662880822</v>
      </c>
      <c r="BH44" s="124"/>
      <c r="BJ44"/>
      <c r="BK44"/>
      <c r="BL44"/>
      <c r="BM44"/>
      <c r="BN44"/>
      <c r="BO44"/>
    </row>
    <row r="45" spans="2:67" s="61" customFormat="1" outlineLevel="1">
      <c r="B45" s="125" t="s">
        <v>193</v>
      </c>
      <c r="D45" s="89" t="s">
        <v>159</v>
      </c>
      <c r="E45" s="123">
        <f>-((E39-SUM(E33))-E47+SUM(E41:E44))</f>
        <v>13.034869</v>
      </c>
      <c r="F45" s="124">
        <f t="shared" ref="F45:T45" si="77">-((F39-SUM(F33))-F47+SUM(F41:F44))</f>
        <v>-20.913854000000001</v>
      </c>
      <c r="G45" s="124">
        <f t="shared" si="77"/>
        <v>-34.763146000000006</v>
      </c>
      <c r="H45" s="123">
        <f t="shared" si="77"/>
        <v>-55.677000000000007</v>
      </c>
      <c r="I45" s="124">
        <f t="shared" si="77"/>
        <v>-31.357810000000001</v>
      </c>
      <c r="J45" s="124">
        <f t="shared" si="77"/>
        <v>-51.889189999999999</v>
      </c>
      <c r="K45" s="123">
        <f t="shared" si="77"/>
        <v>-83.246999999999986</v>
      </c>
      <c r="L45" s="124">
        <f t="shared" si="77"/>
        <v>-41.097000000000001</v>
      </c>
      <c r="M45" s="124">
        <f t="shared" si="77"/>
        <v>-62.953000000000003</v>
      </c>
      <c r="N45" s="123">
        <f t="shared" si="77"/>
        <v>-104.05000000000001</v>
      </c>
      <c r="O45" s="124">
        <f t="shared" si="77"/>
        <v>-65.936000000000007</v>
      </c>
      <c r="P45" s="124">
        <f t="shared" si="77"/>
        <v>-106.57599999999998</v>
      </c>
      <c r="Q45" s="123">
        <f t="shared" si="77"/>
        <v>-172.512</v>
      </c>
      <c r="R45" s="124">
        <f t="shared" si="77"/>
        <v>-142.96600000000001</v>
      </c>
      <c r="S45" s="124">
        <f t="shared" si="77"/>
        <v>-269.07900000000001</v>
      </c>
      <c r="T45" s="123">
        <f t="shared" si="77"/>
        <v>-412.04499999999996</v>
      </c>
      <c r="U45" s="124">
        <f>+U32-U47-SUM(U41:U44)</f>
        <v>18.447000000000003</v>
      </c>
      <c r="V45" s="91">
        <f t="shared" ref="V45:BG45" si="78">+V32-V47-SUM(V41:V44)</f>
        <v>26.736000000000018</v>
      </c>
      <c r="W45" s="123">
        <f t="shared" si="78"/>
        <v>45.183000000000021</v>
      </c>
      <c r="X45" s="124">
        <f t="shared" si="78"/>
        <v>31.633999999999986</v>
      </c>
      <c r="Y45" s="124">
        <f t="shared" si="78"/>
        <v>36.612999999999971</v>
      </c>
      <c r="Z45" s="123">
        <f t="shared" si="78"/>
        <v>68.247000000000014</v>
      </c>
      <c r="AA45" s="124">
        <f t="shared" si="78"/>
        <v>38.138000000000034</v>
      </c>
      <c r="AB45" s="124">
        <f t="shared" si="78"/>
        <v>45.384611303224005</v>
      </c>
      <c r="AC45" s="123">
        <f t="shared" si="78"/>
        <v>83.522611303223925</v>
      </c>
      <c r="AD45" s="124">
        <f t="shared" si="78"/>
        <v>42.686389627065694</v>
      </c>
      <c r="AE45" s="124">
        <f t="shared" si="78"/>
        <v>44.809703206759366</v>
      </c>
      <c r="AF45" s="123">
        <f t="shared" si="78"/>
        <v>87.49609283382506</v>
      </c>
      <c r="AG45" s="124">
        <f t="shared" si="78"/>
        <v>48.723656363132591</v>
      </c>
      <c r="AH45" s="124">
        <f t="shared" si="78"/>
        <v>50.301739582036078</v>
      </c>
      <c r="AI45" s="123">
        <f t="shared" si="78"/>
        <v>99.025395945168611</v>
      </c>
      <c r="AJ45" s="124">
        <f t="shared" si="78"/>
        <v>55.228511967150155</v>
      </c>
      <c r="AK45" s="124">
        <f t="shared" si="78"/>
        <v>57.049334680094887</v>
      </c>
      <c r="AL45" s="123">
        <f t="shared" si="78"/>
        <v>112.27784664724527</v>
      </c>
      <c r="AM45" s="124">
        <f t="shared" si="78"/>
        <v>68.487997204687531</v>
      </c>
      <c r="AN45" s="124">
        <f t="shared" si="78"/>
        <v>70.825897045185229</v>
      </c>
      <c r="AO45" s="123">
        <f t="shared" si="78"/>
        <v>139.31389424987265</v>
      </c>
      <c r="AP45" s="124">
        <f t="shared" si="78"/>
        <v>75.839495821039804</v>
      </c>
      <c r="AQ45" s="124">
        <f t="shared" si="78"/>
        <v>81.206311233167185</v>
      </c>
      <c r="AR45" s="123">
        <f t="shared" si="78"/>
        <v>157.04580705420722</v>
      </c>
      <c r="AS45" s="124">
        <f t="shared" si="78"/>
        <v>83.309946602706191</v>
      </c>
      <c r="AT45" s="124">
        <f t="shared" si="78"/>
        <v>89.301143559354159</v>
      </c>
      <c r="AU45" s="123">
        <f t="shared" si="78"/>
        <v>172.61109016206046</v>
      </c>
      <c r="AV45" s="124">
        <f t="shared" si="78"/>
        <v>90.15641222967281</v>
      </c>
      <c r="AW45" s="124">
        <f t="shared" si="78"/>
        <v>96.712175312023078</v>
      </c>
      <c r="AX45" s="123">
        <f t="shared" si="78"/>
        <v>186.86858754169589</v>
      </c>
      <c r="AY45" s="124">
        <f t="shared" si="78"/>
        <v>96.913563379979792</v>
      </c>
      <c r="AZ45" s="124">
        <f t="shared" si="78"/>
        <v>103.03243590265731</v>
      </c>
      <c r="BA45" s="123">
        <f t="shared" si="78"/>
        <v>199.9459992826371</v>
      </c>
      <c r="BB45" s="124">
        <f t="shared" si="78"/>
        <v>101.75981857927491</v>
      </c>
      <c r="BC45" s="124">
        <f t="shared" si="78"/>
        <v>108.29961205266079</v>
      </c>
      <c r="BD45" s="123">
        <f t="shared" si="78"/>
        <v>210.05943063193536</v>
      </c>
      <c r="BE45" s="124">
        <f t="shared" si="78"/>
        <v>105.17762291720021</v>
      </c>
      <c r="BF45" s="124">
        <f t="shared" si="78"/>
        <v>112.02368631064951</v>
      </c>
      <c r="BG45" s="123">
        <f t="shared" si="78"/>
        <v>217.20130922784938</v>
      </c>
      <c r="BH45" s="124"/>
      <c r="BJ45"/>
      <c r="BK45"/>
      <c r="BL45"/>
      <c r="BM45"/>
      <c r="BN45"/>
      <c r="BO45"/>
    </row>
    <row r="46" spans="2:67" s="61" customFormat="1">
      <c r="B46" s="88"/>
      <c r="D46" s="89"/>
      <c r="E46" s="123"/>
      <c r="F46" s="124"/>
      <c r="G46" s="91"/>
      <c r="H46" s="123"/>
      <c r="I46" s="124"/>
      <c r="J46" s="91"/>
      <c r="K46" s="123"/>
      <c r="L46" s="124"/>
      <c r="M46" s="91"/>
      <c r="N46" s="123"/>
      <c r="O46" s="124"/>
      <c r="P46" s="91"/>
      <c r="Q46" s="123"/>
      <c r="R46" s="124"/>
      <c r="S46" s="91"/>
      <c r="T46" s="123"/>
      <c r="U46" s="124"/>
      <c r="V46" s="91"/>
      <c r="W46" s="123"/>
      <c r="X46" s="124"/>
      <c r="Y46" s="91"/>
      <c r="Z46" s="123"/>
      <c r="AA46" s="124"/>
      <c r="AB46" s="91"/>
      <c r="AC46" s="123"/>
      <c r="AD46" s="124"/>
      <c r="AE46" s="91"/>
      <c r="AF46" s="123"/>
      <c r="AG46" s="124"/>
      <c r="AH46" s="91"/>
      <c r="AI46" s="123"/>
      <c r="AJ46" s="124"/>
      <c r="AK46" s="91"/>
      <c r="AL46" s="123"/>
      <c r="AM46" s="124"/>
      <c r="AN46" s="91"/>
      <c r="AO46" s="123"/>
      <c r="AP46" s="124"/>
      <c r="AQ46" s="91"/>
      <c r="AR46" s="123"/>
      <c r="AS46" s="124"/>
      <c r="AT46" s="91"/>
      <c r="AU46" s="123"/>
      <c r="AV46" s="124"/>
      <c r="AW46" s="91"/>
      <c r="AX46" s="123"/>
      <c r="AY46" s="124"/>
      <c r="AZ46" s="91"/>
      <c r="BA46" s="123"/>
      <c r="BB46" s="124"/>
      <c r="BC46" s="91"/>
      <c r="BD46" s="123"/>
      <c r="BE46" s="124"/>
      <c r="BF46" s="91"/>
      <c r="BG46" s="123"/>
      <c r="BH46" s="124"/>
      <c r="BJ46"/>
      <c r="BK46"/>
      <c r="BL46"/>
      <c r="BM46"/>
      <c r="BN46"/>
      <c r="BO46"/>
    </row>
    <row r="47" spans="2:67" s="70" customFormat="1">
      <c r="B47" s="71" t="s">
        <v>194</v>
      </c>
      <c r="D47" s="92" t="s">
        <v>159</v>
      </c>
      <c r="E47" s="113">
        <f>+E56+E49</f>
        <v>6.5155380000000003</v>
      </c>
      <c r="F47" s="114">
        <f>+F56+F49</f>
        <v>-10.456847000000002</v>
      </c>
      <c r="G47" s="94">
        <f>+H47-F47</f>
        <v>-17.190153000000002</v>
      </c>
      <c r="H47" s="129">
        <f>+H56+H49</f>
        <v>-27.647000000000002</v>
      </c>
      <c r="I47" s="130">
        <f>+I56+I49+I55</f>
        <v>-13.861402999999999</v>
      </c>
      <c r="J47" s="130">
        <f>+J56+J49+J55</f>
        <v>-26.395596999999999</v>
      </c>
      <c r="K47" s="113">
        <f>+K56+K49</f>
        <v>-40.256999999999998</v>
      </c>
      <c r="L47" s="114">
        <f>+L56+L49</f>
        <v>-20.109000000000002</v>
      </c>
      <c r="M47" s="94">
        <f>+N47-L47</f>
        <v>-29.143999999999998</v>
      </c>
      <c r="N47" s="113">
        <f>+N56+N49</f>
        <v>-49.253</v>
      </c>
      <c r="O47" s="114">
        <f>+O56+O49</f>
        <v>-31.331</v>
      </c>
      <c r="P47" s="94">
        <f>+Q47-O47</f>
        <v>-49.915999999999983</v>
      </c>
      <c r="Q47" s="113">
        <f>+Q56+Q49</f>
        <v>-81.246999999999986</v>
      </c>
      <c r="R47" s="114">
        <f>+R56+R49</f>
        <v>-60.75500000000001</v>
      </c>
      <c r="S47" s="94">
        <f>+T47-R47</f>
        <v>-7.0459999999999923</v>
      </c>
      <c r="T47" s="131">
        <f>+T56+T49</f>
        <v>-67.801000000000002</v>
      </c>
      <c r="U47" s="132">
        <f>+U56+U49</f>
        <v>23.499000000000024</v>
      </c>
      <c r="V47" s="94">
        <f>+W47-U47</f>
        <v>15.858999999999924</v>
      </c>
      <c r="W47" s="131">
        <f>+W56+W49</f>
        <v>39.357999999999947</v>
      </c>
      <c r="X47" s="132">
        <f>+X56+X49</f>
        <v>37.064999999999998</v>
      </c>
      <c r="Y47" s="94">
        <f>+Z47-X47</f>
        <v>30.298000000000087</v>
      </c>
      <c r="Z47" s="131">
        <f>+Z56+Z49</f>
        <v>67.363000000000085</v>
      </c>
      <c r="AA47" s="114">
        <f>+AA56+AA49</f>
        <v>21.080000000000062</v>
      </c>
      <c r="AB47" s="94">
        <f>+AC47-AA47</f>
        <v>22.911951483198628</v>
      </c>
      <c r="AC47" s="113">
        <f>+AC56+AC49</f>
        <v>43.99195148319869</v>
      </c>
      <c r="AD47" s="114">
        <f>+AD56+AD49</f>
        <v>26.659236772255678</v>
      </c>
      <c r="AE47" s="94">
        <f>+AF47-AD47</f>
        <v>28.396410578984511</v>
      </c>
      <c r="AF47" s="113">
        <f>+AF56+AF49</f>
        <v>55.055647351240189</v>
      </c>
      <c r="AG47" s="114">
        <f>+AG56+AG49</f>
        <v>35.972164137885628</v>
      </c>
      <c r="AH47" s="94">
        <f>+AI47-AG47</f>
        <v>38.654905610021572</v>
      </c>
      <c r="AI47" s="113">
        <f>+AI56+AI49</f>
        <v>74.6270697479072</v>
      </c>
      <c r="AJ47" s="114">
        <f>+AJ56+AJ49</f>
        <v>58.414528434652311</v>
      </c>
      <c r="AK47" s="94">
        <f>+AL47-AJ47</f>
        <v>62.092590340287728</v>
      </c>
      <c r="AL47" s="113">
        <f>+AL56+AL49</f>
        <v>120.50711877494004</v>
      </c>
      <c r="AM47" s="114">
        <f>+AM56+AM49</f>
        <v>104.97213534525363</v>
      </c>
      <c r="AN47" s="94">
        <f>+AO47-AM47</f>
        <v>110.59363286858334</v>
      </c>
      <c r="AO47" s="113">
        <f>+AO56+AO49</f>
        <v>215.56576821383698</v>
      </c>
      <c r="AP47" s="114">
        <f>+AP56+AP49</f>
        <v>152.52582054370797</v>
      </c>
      <c r="AQ47" s="94">
        <f>+AR47-AP47</f>
        <v>167.51804424740439</v>
      </c>
      <c r="AR47" s="113">
        <f>+AR56+AR49</f>
        <v>320.04386479111236</v>
      </c>
      <c r="AS47" s="114">
        <f>+AS56+AS49</f>
        <v>200.00225341646501</v>
      </c>
      <c r="AT47" s="94">
        <f>+AU47-AS47</f>
        <v>218.84382824635111</v>
      </c>
      <c r="AU47" s="113">
        <f>+AU56+AU49</f>
        <v>418.84608166281612</v>
      </c>
      <c r="AV47" s="114">
        <f>+AV56+AV49</f>
        <v>252.98195755534491</v>
      </c>
      <c r="AW47" s="94">
        <f>+AX47-AV47</f>
        <v>276.02664319007818</v>
      </c>
      <c r="AX47" s="113">
        <f>+AX56+AX49</f>
        <v>529.00860074542311</v>
      </c>
      <c r="AY47" s="114">
        <f>+AY56+AY49</f>
        <v>307.61442729361926</v>
      </c>
      <c r="AZ47" s="94">
        <f>+BA47-AY47</f>
        <v>335.69720423765324</v>
      </c>
      <c r="BA47" s="113">
        <f>+BA56+BA49</f>
        <v>643.3116315312725</v>
      </c>
      <c r="BB47" s="114">
        <f>+BB56+BB49</f>
        <v>365.68798718697082</v>
      </c>
      <c r="BC47" s="94">
        <f>+BD47-BB47</f>
        <v>398.52604073513288</v>
      </c>
      <c r="BD47" s="113">
        <f>+BD56+BD49</f>
        <v>764.2140279221037</v>
      </c>
      <c r="BE47" s="114">
        <f>+BE56+BE49</f>
        <v>423.80538650065688</v>
      </c>
      <c r="BF47" s="94">
        <f>+BG47-BE47</f>
        <v>461.38446090780297</v>
      </c>
      <c r="BG47" s="113">
        <f>+BG56+BG49</f>
        <v>885.18984740845985</v>
      </c>
      <c r="BH47" s="114"/>
      <c r="BJ47"/>
      <c r="BK47"/>
      <c r="BL47"/>
      <c r="BM47"/>
      <c r="BN47"/>
      <c r="BO47"/>
    </row>
    <row r="48" spans="2:67" s="133" customFormat="1">
      <c r="B48" s="118" t="s">
        <v>195</v>
      </c>
      <c r="D48" s="134" t="s">
        <v>175</v>
      </c>
      <c r="E48" s="135" t="str">
        <f>IFERROR(+E47/E29,"NA")</f>
        <v>NA</v>
      </c>
      <c r="F48" s="136" t="str">
        <f>IFERROR(+F47/F29,"NA")</f>
        <v>NA</v>
      </c>
      <c r="G48" s="136">
        <f t="shared" ref="G48:BG48" si="79">+G47/G29</f>
        <v>-88.154630769230778</v>
      </c>
      <c r="H48" s="135">
        <f t="shared" si="79"/>
        <v>-141.77948717948718</v>
      </c>
      <c r="I48" s="136">
        <f t="shared" si="79"/>
        <v>-7.6266232444310926</v>
      </c>
      <c r="J48" s="136">
        <f t="shared" si="79"/>
        <v>-15.829462464122896</v>
      </c>
      <c r="K48" s="135">
        <f t="shared" si="79"/>
        <v>-11.551506456241032</v>
      </c>
      <c r="L48" s="136">
        <f t="shared" si="79"/>
        <v>-12.513378967019293</v>
      </c>
      <c r="M48" s="136">
        <f t="shared" si="79"/>
        <v>-8.0820854132002218</v>
      </c>
      <c r="N48" s="135">
        <f t="shared" si="79"/>
        <v>-9.4481104929982731</v>
      </c>
      <c r="O48" s="136">
        <f t="shared" si="79"/>
        <v>-10.766666666666666</v>
      </c>
      <c r="P48" s="136">
        <f t="shared" si="79"/>
        <v>-10.652155356380705</v>
      </c>
      <c r="Q48" s="135">
        <f t="shared" si="79"/>
        <v>-10.696024223275407</v>
      </c>
      <c r="R48" s="136">
        <f t="shared" si="79"/>
        <v>-2.526510583440762</v>
      </c>
      <c r="S48" s="136">
        <f t="shared" si="79"/>
        <v>-5.179016383802889E-2</v>
      </c>
      <c r="T48" s="135">
        <f t="shared" si="79"/>
        <v>-0.42350214871077352</v>
      </c>
      <c r="U48" s="136">
        <f t="shared" si="79"/>
        <v>0.15794143148074727</v>
      </c>
      <c r="V48" s="136">
        <f t="shared" si="79"/>
        <v>8.6098971199000646E-2</v>
      </c>
      <c r="W48" s="135">
        <f t="shared" si="79"/>
        <v>0.11820000120128042</v>
      </c>
      <c r="X48" s="136">
        <f t="shared" si="79"/>
        <v>0.15468822382945691</v>
      </c>
      <c r="Y48" s="136">
        <f t="shared" si="79"/>
        <v>0.10940275872030074</v>
      </c>
      <c r="Z48" s="135">
        <f t="shared" si="79"/>
        <v>0.13040919483264979</v>
      </c>
      <c r="AA48" s="136">
        <f t="shared" si="79"/>
        <v>5.4001572911089687E-2</v>
      </c>
      <c r="AB48" s="136">
        <f t="shared" si="79"/>
        <v>5.5337274620092039E-2</v>
      </c>
      <c r="AC48" s="135">
        <f t="shared" si="79"/>
        <v>5.4689086422077315E-2</v>
      </c>
      <c r="AD48" s="136">
        <f t="shared" si="79"/>
        <v>6.0155929255409836E-2</v>
      </c>
      <c r="AE48" s="136">
        <f t="shared" si="79"/>
        <v>6.1146180718803081E-2</v>
      </c>
      <c r="AF48" s="135">
        <f t="shared" si="79"/>
        <v>6.0662638733973401E-2</v>
      </c>
      <c r="AG48" s="136">
        <f t="shared" si="79"/>
        <v>7.1322847566763548E-2</v>
      </c>
      <c r="AH48" s="136">
        <f t="shared" si="79"/>
        <v>7.4316685055655141E-2</v>
      </c>
      <c r="AI48" s="135">
        <f t="shared" si="79"/>
        <v>7.2842824145528284E-2</v>
      </c>
      <c r="AJ48" s="136">
        <f t="shared" si="79"/>
        <v>0.10243465564366724</v>
      </c>
      <c r="AK48" s="136">
        <f t="shared" si="79"/>
        <v>0.10551537279894221</v>
      </c>
      <c r="AL48" s="135">
        <f t="shared" si="79"/>
        <v>0.10399921932073271</v>
      </c>
      <c r="AM48" s="136">
        <f t="shared" si="79"/>
        <v>0.14248608526662734</v>
      </c>
      <c r="AN48" s="136">
        <f t="shared" si="79"/>
        <v>0.14524217891017194</v>
      </c>
      <c r="AO48" s="135">
        <f t="shared" si="79"/>
        <v>0.14388687425920105</v>
      </c>
      <c r="AP48" s="136">
        <f t="shared" si="79"/>
        <v>0.17717112908783852</v>
      </c>
      <c r="AQ48" s="136">
        <f t="shared" si="79"/>
        <v>0.18195947833101828</v>
      </c>
      <c r="AR48" s="135">
        <f t="shared" si="79"/>
        <v>0.17964558529702238</v>
      </c>
      <c r="AS48" s="136">
        <f t="shared" si="79"/>
        <v>0.20197346176462727</v>
      </c>
      <c r="AT48" s="136">
        <f t="shared" si="79"/>
        <v>0.20644582539136416</v>
      </c>
      <c r="AU48" s="135">
        <f t="shared" si="79"/>
        <v>0.20428578743628001</v>
      </c>
      <c r="AV48" s="136">
        <f t="shared" si="79"/>
        <v>0.2253646087375909</v>
      </c>
      <c r="AW48" s="136">
        <f t="shared" si="79"/>
        <v>0.22954815834439682</v>
      </c>
      <c r="AX48" s="135">
        <f t="shared" si="79"/>
        <v>0.2275282975448695</v>
      </c>
      <c r="AY48" s="136">
        <f t="shared" si="79"/>
        <v>0.24597555227242648</v>
      </c>
      <c r="AZ48" s="136">
        <f t="shared" si="79"/>
        <v>0.25022523329614643</v>
      </c>
      <c r="BA48" s="135">
        <f t="shared" si="79"/>
        <v>0.24817497923912185</v>
      </c>
      <c r="BB48" s="136">
        <f t="shared" si="79"/>
        <v>0.26547004128350893</v>
      </c>
      <c r="BC48" s="136">
        <f t="shared" si="79"/>
        <v>0.26956965564230667</v>
      </c>
      <c r="BD48" s="135">
        <f t="shared" si="79"/>
        <v>0.26759224575536672</v>
      </c>
      <c r="BE48" s="136">
        <f t="shared" si="79"/>
        <v>0.28352436376825241</v>
      </c>
      <c r="BF48" s="136">
        <f t="shared" si="79"/>
        <v>0.28752498587547842</v>
      </c>
      <c r="BG48" s="135">
        <f t="shared" si="79"/>
        <v>0.28559560171484927</v>
      </c>
      <c r="BH48" s="136"/>
      <c r="BJ48"/>
      <c r="BK48"/>
      <c r="BL48"/>
      <c r="BM48"/>
      <c r="BN48"/>
      <c r="BO48"/>
    </row>
    <row r="49" spans="2:67" s="61" customFormat="1">
      <c r="B49" s="88" t="s">
        <v>196</v>
      </c>
      <c r="D49" s="89" t="s">
        <v>159</v>
      </c>
      <c r="E49" s="90">
        <f>+SUM(E50:E54)</f>
        <v>0</v>
      </c>
      <c r="F49" s="91">
        <f>0.00193-F58-F65</f>
        <v>1.5999999999999999E-4</v>
      </c>
      <c r="G49" s="91">
        <f>+H49-F49</f>
        <v>-1.5999999999999999E-4</v>
      </c>
      <c r="H49" s="90">
        <f>+SUM(H50:H54)</f>
        <v>0</v>
      </c>
      <c r="I49" s="137">
        <f>+SUM(I50:I54)</f>
        <v>0</v>
      </c>
      <c r="J49" s="91">
        <f>+K49-I49</f>
        <v>0</v>
      </c>
      <c r="K49" s="90">
        <f>+SUM(K50:K54)</f>
        <v>0</v>
      </c>
      <c r="L49" s="91">
        <f>+SUM(L50:L54)</f>
        <v>0</v>
      </c>
      <c r="M49" s="91">
        <f>+N49-L49</f>
        <v>0</v>
      </c>
      <c r="N49" s="90">
        <f>+SUM(N50:N54)</f>
        <v>0</v>
      </c>
      <c r="O49" s="91">
        <f>+SUM(O50:O54)</f>
        <v>0</v>
      </c>
      <c r="P49" s="91">
        <f>+Q49-O49</f>
        <v>0</v>
      </c>
      <c r="Q49" s="90">
        <f>+SUM(Q50:Q54)</f>
        <v>0</v>
      </c>
      <c r="R49" s="128">
        <f>+Segment!R162</f>
        <v>0.63300000000000001</v>
      </c>
      <c r="S49" s="128">
        <f>+Segment!S162</f>
        <v>0.64800000000000002</v>
      </c>
      <c r="T49" s="138">
        <f>+Segment!T162</f>
        <v>1.2809999999999999</v>
      </c>
      <c r="U49" s="128">
        <f>+Segment!U162</f>
        <v>0.96300000000000008</v>
      </c>
      <c r="V49" s="128">
        <f>+Segment!V162</f>
        <v>1.05525</v>
      </c>
      <c r="W49" s="138">
        <f>+Segment!W162</f>
        <v>2.0182500000000001</v>
      </c>
      <c r="X49" s="128">
        <f>+Segment!X162</f>
        <v>1.0984499999999999</v>
      </c>
      <c r="Y49" s="128">
        <f>+Segment!Y162</f>
        <v>1.2843000000000002</v>
      </c>
      <c r="Z49" s="138">
        <f>+Segment!Z162</f>
        <v>2.3827500000000001</v>
      </c>
      <c r="AA49" s="128">
        <f>+Segment!AA162</f>
        <v>4.3132500000000009</v>
      </c>
      <c r="AB49" s="128">
        <f>+Segment!AB162</f>
        <v>4.5544611303223901</v>
      </c>
      <c r="AC49" s="138">
        <f>+Segment!AC162</f>
        <v>8.867711130322391</v>
      </c>
      <c r="AD49" s="128">
        <f>+Segment!AD162</f>
        <v>4.8748578589772222</v>
      </c>
      <c r="AE49" s="128">
        <f>+Segment!AE162</f>
        <v>5.1084223527435384</v>
      </c>
      <c r="AF49" s="138">
        <f>+Segment!AF162</f>
        <v>9.9832802117207606</v>
      </c>
      <c r="AG49" s="128">
        <f>+Segment!AG162</f>
        <v>5.5479249499445844</v>
      </c>
      <c r="AH49" s="128">
        <f>+Segment!AH162</f>
        <v>5.7215141040239565</v>
      </c>
      <c r="AI49" s="138">
        <f>+Segment!AI162</f>
        <v>11.26943905396854</v>
      </c>
      <c r="AJ49" s="128">
        <f>+Segment!AJ162</f>
        <v>6.2728752173132341</v>
      </c>
      <c r="AK49" s="128">
        <f>+Segment!AK162</f>
        <v>6.4731657162852025</v>
      </c>
      <c r="AL49" s="138">
        <f>+Segment!AL162</f>
        <v>12.746040933598437</v>
      </c>
      <c r="AM49" s="128">
        <f>+Segment!AM162</f>
        <v>8.103903525997417</v>
      </c>
      <c r="AN49" s="128">
        <f>+Segment!AN162</f>
        <v>8.3758724268850653</v>
      </c>
      <c r="AO49" s="138">
        <f>+Segment!AO162</f>
        <v>16.479775952882484</v>
      </c>
      <c r="AP49" s="128">
        <f>+Segment!AP162</f>
        <v>9.46985005186127</v>
      </c>
      <c r="AQ49" s="128">
        <f>+Segment!AQ162</f>
        <v>10.12697169514432</v>
      </c>
      <c r="AR49" s="138">
        <f>+Segment!AR162</f>
        <v>19.596821747005592</v>
      </c>
      <c r="AS49" s="128">
        <f>+Segment!AS162</f>
        <v>10.892642866838349</v>
      </c>
      <c r="AT49" s="128">
        <f>+Segment!AT162</f>
        <v>11.660599608378234</v>
      </c>
      <c r="AU49" s="138">
        <f>+Segment!AU162</f>
        <v>22.553242475216585</v>
      </c>
      <c r="AV49" s="128">
        <f>+Segment!AV162</f>
        <v>12.347997091011839</v>
      </c>
      <c r="AW49" s="128">
        <f>+Segment!AW162</f>
        <v>13.22725957372062</v>
      </c>
      <c r="AX49" s="138">
        <f>+Segment!AX162</f>
        <v>25.575256664732457</v>
      </c>
      <c r="AY49" s="128">
        <f>+Segment!AY162</f>
        <v>13.75648380080546</v>
      </c>
      <c r="AZ49" s="128">
        <f>+Segment!AZ162</f>
        <v>14.75738157168122</v>
      </c>
      <c r="BA49" s="138">
        <f>+Segment!BA162</f>
        <v>28.513865372486681</v>
      </c>
      <c r="BB49" s="128">
        <f>+Segment!BB162</f>
        <v>15.152624528207211</v>
      </c>
      <c r="BC49" s="128">
        <f>+Segment!BC162</f>
        <v>16.262165849643438</v>
      </c>
      <c r="BD49" s="138">
        <f>+Segment!BD162</f>
        <v>31.41479037785065</v>
      </c>
      <c r="BE49" s="128">
        <f>+Segment!BE162</f>
        <v>16.442534918507896</v>
      </c>
      <c r="BF49" s="128">
        <f>+Segment!BF162</f>
        <v>17.651436637871246</v>
      </c>
      <c r="BG49" s="138">
        <f>+Segment!BG162</f>
        <v>34.093971556379145</v>
      </c>
      <c r="BH49" s="91"/>
      <c r="BJ49"/>
      <c r="BK49"/>
      <c r="BL49"/>
      <c r="BM49"/>
      <c r="BN49"/>
      <c r="BO49"/>
    </row>
    <row r="50" spans="2:67" s="61" customFormat="1">
      <c r="B50" s="139" t="s">
        <v>197</v>
      </c>
      <c r="D50" s="89"/>
      <c r="E50" s="90"/>
      <c r="F50" s="91"/>
      <c r="G50" s="91"/>
      <c r="H50" s="90"/>
      <c r="I50" s="91"/>
      <c r="J50" s="91"/>
      <c r="K50" s="90"/>
      <c r="L50" s="91"/>
      <c r="M50" s="91"/>
      <c r="N50" s="90"/>
      <c r="O50" s="91"/>
      <c r="P50" s="91"/>
      <c r="Q50" s="90"/>
      <c r="R50" s="91"/>
      <c r="S50" s="91"/>
      <c r="T50" s="90"/>
      <c r="U50" s="91"/>
      <c r="V50" s="91"/>
      <c r="W50" s="90"/>
      <c r="X50" s="91"/>
      <c r="Y50" s="91"/>
      <c r="Z50" s="90"/>
      <c r="AA50" s="91"/>
      <c r="AB50" s="91"/>
      <c r="AC50" s="90"/>
      <c r="AD50" s="91"/>
      <c r="AE50" s="91"/>
      <c r="AF50" s="90"/>
      <c r="AG50" s="91"/>
      <c r="AH50" s="91"/>
      <c r="AI50" s="90"/>
      <c r="AJ50" s="91"/>
      <c r="AK50" s="91"/>
      <c r="AL50" s="90"/>
      <c r="AM50" s="91"/>
      <c r="AN50" s="91"/>
      <c r="AO50" s="90"/>
      <c r="AP50" s="91"/>
      <c r="AQ50" s="91"/>
      <c r="AR50" s="90"/>
      <c r="AS50" s="91"/>
      <c r="AT50" s="91"/>
      <c r="AU50" s="90"/>
      <c r="AV50" s="91"/>
      <c r="AW50" s="91"/>
      <c r="AX50" s="90"/>
      <c r="AY50" s="91"/>
      <c r="AZ50" s="91"/>
      <c r="BA50" s="90"/>
      <c r="BB50" s="91"/>
      <c r="BC50" s="91"/>
      <c r="BD50" s="90"/>
      <c r="BE50" s="91"/>
      <c r="BF50" s="91"/>
      <c r="BG50" s="90"/>
      <c r="BH50" s="91"/>
      <c r="BJ50"/>
      <c r="BK50"/>
      <c r="BL50"/>
      <c r="BM50"/>
      <c r="BN50"/>
      <c r="BO50"/>
    </row>
    <row r="51" spans="2:67" s="61" customFormat="1" outlineLevel="1">
      <c r="B51" s="139" t="s">
        <v>198</v>
      </c>
      <c r="D51" s="89" t="s">
        <v>159</v>
      </c>
      <c r="E51" s="90"/>
      <c r="F51" s="91"/>
      <c r="G51" s="91"/>
      <c r="H51" s="90"/>
      <c r="I51" s="91"/>
      <c r="J51" s="91"/>
      <c r="K51" s="90"/>
      <c r="L51" s="91"/>
      <c r="M51" s="91"/>
      <c r="N51" s="90"/>
      <c r="O51" s="91"/>
      <c r="P51" s="91"/>
      <c r="Q51" s="90"/>
      <c r="R51" s="91"/>
      <c r="S51" s="91"/>
      <c r="T51" s="90"/>
      <c r="U51" s="91"/>
      <c r="V51" s="91"/>
      <c r="W51" s="90"/>
      <c r="X51" s="91"/>
      <c r="Y51" s="91"/>
      <c r="Z51" s="90"/>
      <c r="AA51" s="91"/>
      <c r="AB51" s="91"/>
      <c r="AC51" s="90"/>
      <c r="AD51" s="91"/>
      <c r="AE51" s="91"/>
      <c r="AF51" s="90"/>
      <c r="AG51" s="91"/>
      <c r="AH51" s="91"/>
      <c r="AI51" s="90"/>
      <c r="AJ51" s="91"/>
      <c r="AK51" s="91"/>
      <c r="AL51" s="90"/>
      <c r="AM51" s="91"/>
      <c r="AN51" s="91"/>
      <c r="AO51" s="90"/>
      <c r="AP51" s="91"/>
      <c r="AQ51" s="91"/>
      <c r="AR51" s="90"/>
      <c r="AS51" s="91"/>
      <c r="AT51" s="91"/>
      <c r="AU51" s="90"/>
      <c r="AV51" s="91"/>
      <c r="AW51" s="91"/>
      <c r="AX51" s="90"/>
      <c r="AY51" s="91"/>
      <c r="AZ51" s="91"/>
      <c r="BA51" s="90"/>
      <c r="BB51" s="91"/>
      <c r="BC51" s="91"/>
      <c r="BD51" s="90"/>
      <c r="BE51" s="91"/>
      <c r="BF51" s="91"/>
      <c r="BG51" s="90"/>
      <c r="BH51" s="91"/>
      <c r="BJ51"/>
      <c r="BK51"/>
      <c r="BL51"/>
      <c r="BM51"/>
      <c r="BN51"/>
      <c r="BO51"/>
    </row>
    <row r="52" spans="2:67" s="61" customFormat="1" outlineLevel="1">
      <c r="B52" s="139" t="s">
        <v>199</v>
      </c>
      <c r="D52" s="89" t="s">
        <v>159</v>
      </c>
      <c r="E52" s="90"/>
      <c r="F52" s="91"/>
      <c r="G52" s="91"/>
      <c r="H52" s="90"/>
      <c r="I52" s="91"/>
      <c r="J52" s="91"/>
      <c r="K52" s="90"/>
      <c r="L52" s="91"/>
      <c r="M52" s="91"/>
      <c r="N52" s="90"/>
      <c r="O52" s="91"/>
      <c r="P52" s="91"/>
      <c r="Q52" s="90"/>
      <c r="R52" s="91"/>
      <c r="S52" s="91"/>
      <c r="T52" s="90"/>
      <c r="U52" s="91"/>
      <c r="V52" s="91"/>
      <c r="W52" s="90"/>
      <c r="X52" s="91"/>
      <c r="Y52" s="91"/>
      <c r="Z52" s="90"/>
      <c r="AA52" s="91"/>
      <c r="AB52" s="91"/>
      <c r="AC52" s="90"/>
      <c r="AD52" s="91"/>
      <c r="AE52" s="91"/>
      <c r="AF52" s="90"/>
      <c r="AG52" s="91"/>
      <c r="AH52" s="91"/>
      <c r="AI52" s="90"/>
      <c r="AJ52" s="91"/>
      <c r="AK52" s="91"/>
      <c r="AL52" s="90"/>
      <c r="AM52" s="91"/>
      <c r="AN52" s="91"/>
      <c r="AO52" s="90"/>
      <c r="AP52" s="91"/>
      <c r="AQ52" s="91"/>
      <c r="AR52" s="90"/>
      <c r="AS52" s="91"/>
      <c r="AT52" s="91"/>
      <c r="AU52" s="90"/>
      <c r="AV52" s="91"/>
      <c r="AW52" s="91"/>
      <c r="AX52" s="90"/>
      <c r="AY52" s="91"/>
      <c r="AZ52" s="91"/>
      <c r="BA52" s="90"/>
      <c r="BB52" s="91"/>
      <c r="BC52" s="91"/>
      <c r="BD52" s="90"/>
      <c r="BE52" s="91"/>
      <c r="BF52" s="91"/>
      <c r="BG52" s="90"/>
      <c r="BH52" s="91"/>
      <c r="BJ52"/>
      <c r="BK52"/>
      <c r="BL52"/>
      <c r="BM52"/>
      <c r="BN52"/>
      <c r="BO52"/>
    </row>
    <row r="53" spans="2:67" s="61" customFormat="1" outlineLevel="1">
      <c r="B53" s="139" t="s">
        <v>200</v>
      </c>
      <c r="D53" s="89"/>
      <c r="E53" s="90"/>
      <c r="F53" s="91"/>
      <c r="G53" s="91"/>
      <c r="H53" s="90"/>
      <c r="I53" s="91"/>
      <c r="J53" s="91"/>
      <c r="K53" s="90"/>
      <c r="L53" s="91"/>
      <c r="M53" s="91"/>
      <c r="N53" s="90"/>
      <c r="O53" s="91"/>
      <c r="P53" s="91"/>
      <c r="Q53" s="90"/>
      <c r="R53" s="91"/>
      <c r="S53" s="91"/>
      <c r="T53" s="90"/>
      <c r="U53" s="91"/>
      <c r="V53" s="91"/>
      <c r="W53" s="90"/>
      <c r="X53" s="91"/>
      <c r="Y53" s="91"/>
      <c r="Z53" s="90"/>
      <c r="AA53" s="91"/>
      <c r="AB53" s="91"/>
      <c r="AC53" s="90"/>
      <c r="AD53" s="91"/>
      <c r="AE53" s="91"/>
      <c r="AF53" s="90"/>
      <c r="AG53" s="91"/>
      <c r="AH53" s="91"/>
      <c r="AI53" s="90"/>
      <c r="AJ53" s="91"/>
      <c r="AK53" s="91"/>
      <c r="AL53" s="90"/>
      <c r="AM53" s="91"/>
      <c r="AN53" s="91"/>
      <c r="AO53" s="90"/>
      <c r="AP53" s="91"/>
      <c r="AQ53" s="91"/>
      <c r="AR53" s="90"/>
      <c r="AS53" s="91"/>
      <c r="AT53" s="91"/>
      <c r="AU53" s="90"/>
      <c r="AV53" s="91"/>
      <c r="AW53" s="91"/>
      <c r="AX53" s="90"/>
      <c r="AY53" s="91"/>
      <c r="AZ53" s="91"/>
      <c r="BA53" s="90"/>
      <c r="BB53" s="91"/>
      <c r="BC53" s="91"/>
      <c r="BD53" s="90"/>
      <c r="BE53" s="91"/>
      <c r="BF53" s="91"/>
      <c r="BG53" s="90"/>
      <c r="BH53" s="91"/>
      <c r="BJ53"/>
      <c r="BK53"/>
      <c r="BL53"/>
      <c r="BM53"/>
      <c r="BN53"/>
      <c r="BO53"/>
    </row>
    <row r="54" spans="2:67" s="61" customFormat="1" outlineLevel="1">
      <c r="B54" s="139" t="s">
        <v>201</v>
      </c>
      <c r="D54" s="89"/>
      <c r="E54" s="90"/>
      <c r="F54" s="91"/>
      <c r="G54" s="91"/>
      <c r="H54" s="90"/>
      <c r="I54" s="91"/>
      <c r="J54" s="91"/>
      <c r="K54" s="90"/>
      <c r="L54" s="91"/>
      <c r="M54" s="91"/>
      <c r="N54" s="90"/>
      <c r="O54" s="91"/>
      <c r="P54" s="91"/>
      <c r="Q54" s="90"/>
      <c r="R54" s="91"/>
      <c r="S54" s="91"/>
      <c r="T54" s="90"/>
      <c r="U54" s="91"/>
      <c r="V54" s="91"/>
      <c r="W54" s="90"/>
      <c r="X54" s="91"/>
      <c r="Y54" s="91"/>
      <c r="Z54" s="90"/>
      <c r="AA54" s="91"/>
      <c r="AB54" s="91"/>
      <c r="AC54" s="90"/>
      <c r="AD54" s="91"/>
      <c r="AE54" s="91"/>
      <c r="AF54" s="90"/>
      <c r="AG54" s="91"/>
      <c r="AH54" s="91"/>
      <c r="AI54" s="90"/>
      <c r="AJ54" s="91"/>
      <c r="AK54" s="91"/>
      <c r="AL54" s="90"/>
      <c r="AM54" s="91"/>
      <c r="AN54" s="91"/>
      <c r="AO54" s="90"/>
      <c r="AP54" s="91"/>
      <c r="AQ54" s="91"/>
      <c r="AR54" s="90"/>
      <c r="AS54" s="91"/>
      <c r="AT54" s="91"/>
      <c r="AU54" s="90"/>
      <c r="AV54" s="91"/>
      <c r="AW54" s="91"/>
      <c r="AX54" s="90"/>
      <c r="AY54" s="91"/>
      <c r="AZ54" s="91"/>
      <c r="BA54" s="90"/>
      <c r="BB54" s="91"/>
      <c r="BC54" s="91"/>
      <c r="BD54" s="90"/>
      <c r="BE54" s="91"/>
      <c r="BF54" s="91"/>
      <c r="BG54" s="90"/>
      <c r="BH54" s="91"/>
      <c r="BJ54"/>
      <c r="BK54"/>
      <c r="BL54"/>
      <c r="BM54"/>
      <c r="BN54"/>
      <c r="BO54"/>
    </row>
    <row r="55" spans="2:67" s="61" customFormat="1" outlineLevel="1">
      <c r="B55" s="139"/>
      <c r="D55" s="89"/>
      <c r="E55" s="90"/>
      <c r="F55" s="91"/>
      <c r="G55" s="91"/>
      <c r="H55" s="90"/>
      <c r="I55" s="137">
        <f>(2.323342)-I49-I58-I65</f>
        <v>2.3233419999999998</v>
      </c>
      <c r="J55" s="91">
        <f t="shared" ref="J55" si="80">K55-I55</f>
        <v>-2.3233419999999998</v>
      </c>
      <c r="K55" s="90"/>
      <c r="L55" s="91"/>
      <c r="M55" s="91"/>
      <c r="N55" s="90"/>
      <c r="O55" s="91"/>
      <c r="P55" s="91"/>
      <c r="Q55" s="90"/>
      <c r="R55" s="91"/>
      <c r="S55" s="91"/>
      <c r="T55" s="90"/>
      <c r="U55" s="91"/>
      <c r="V55" s="91"/>
      <c r="W55" s="90"/>
      <c r="X55" s="91"/>
      <c r="Y55" s="91"/>
      <c r="Z55" s="90"/>
      <c r="AA55" s="91"/>
      <c r="AB55" s="91"/>
      <c r="AC55" s="90"/>
      <c r="AD55" s="91"/>
      <c r="AE55" s="91"/>
      <c r="AF55" s="90"/>
      <c r="AG55" s="91"/>
      <c r="AH55" s="91"/>
      <c r="AI55" s="90"/>
      <c r="AJ55" s="91"/>
      <c r="AK55" s="91"/>
      <c r="AL55" s="90"/>
      <c r="AM55" s="91"/>
      <c r="AN55" s="91"/>
      <c r="AO55" s="90"/>
      <c r="AP55" s="91"/>
      <c r="AQ55" s="91"/>
      <c r="AR55" s="90"/>
      <c r="AS55" s="91"/>
      <c r="AT55" s="91"/>
      <c r="AU55" s="90"/>
      <c r="AV55" s="91"/>
      <c r="AW55" s="91"/>
      <c r="AX55" s="90"/>
      <c r="AY55" s="91"/>
      <c r="AZ55" s="91"/>
      <c r="BA55" s="90"/>
      <c r="BB55" s="91"/>
      <c r="BC55" s="91"/>
      <c r="BD55" s="90"/>
      <c r="BE55" s="91"/>
      <c r="BF55" s="91"/>
      <c r="BG55" s="90"/>
      <c r="BH55" s="91"/>
      <c r="BJ55"/>
      <c r="BK55"/>
      <c r="BL55"/>
      <c r="BM55"/>
      <c r="BN55"/>
      <c r="BO55"/>
    </row>
    <row r="56" spans="2:67" s="61" customFormat="1" outlineLevel="1">
      <c r="B56" s="71" t="s">
        <v>202</v>
      </c>
      <c r="D56" s="92" t="s">
        <v>159</v>
      </c>
      <c r="E56" s="113">
        <f>+E63+E58</f>
        <v>6.5155380000000003</v>
      </c>
      <c r="F56" s="114">
        <f>+F63+F58</f>
        <v>-10.457007000000001</v>
      </c>
      <c r="G56" s="94">
        <f>+H56-F56</f>
        <v>-17.189993000000001</v>
      </c>
      <c r="H56" s="129">
        <f>+H63+H58</f>
        <v>-27.647000000000002</v>
      </c>
      <c r="I56" s="114">
        <f>+I63+I58</f>
        <v>-16.184744999999999</v>
      </c>
      <c r="J56" s="94">
        <f>+K56-I56</f>
        <v>-24.072254999999998</v>
      </c>
      <c r="K56" s="113">
        <f>+K63+K58</f>
        <v>-40.256999999999998</v>
      </c>
      <c r="L56" s="114">
        <f>+L63+L58</f>
        <v>-20.109000000000002</v>
      </c>
      <c r="M56" s="94">
        <f>+N56-L56</f>
        <v>-29.143999999999998</v>
      </c>
      <c r="N56" s="113">
        <f>+N63+N58</f>
        <v>-49.253</v>
      </c>
      <c r="O56" s="114">
        <f>+O63+O58</f>
        <v>-31.331</v>
      </c>
      <c r="P56" s="94">
        <f>+Q56-O56</f>
        <v>-49.915999999999983</v>
      </c>
      <c r="Q56" s="113">
        <f>+Q63+Q58</f>
        <v>-81.246999999999986</v>
      </c>
      <c r="R56" s="114">
        <f>+R63+R58</f>
        <v>-61.388000000000012</v>
      </c>
      <c r="S56" s="94">
        <f>+T56-R56</f>
        <v>-7.6939999999999955</v>
      </c>
      <c r="T56" s="113">
        <f>+T63+T58</f>
        <v>-69.082000000000008</v>
      </c>
      <c r="U56" s="114">
        <f>+U63+U58</f>
        <v>22.536000000000023</v>
      </c>
      <c r="V56" s="94">
        <f>+W56-U56</f>
        <v>14.803749999999923</v>
      </c>
      <c r="W56" s="113">
        <f>+W63+W58</f>
        <v>37.339749999999945</v>
      </c>
      <c r="X56" s="114">
        <f>+X63+X58</f>
        <v>35.966549999999998</v>
      </c>
      <c r="Y56" s="94">
        <f>+Z56-X56</f>
        <v>29.013700000000085</v>
      </c>
      <c r="Z56" s="113">
        <f>+Z63+Z58</f>
        <v>64.980250000000083</v>
      </c>
      <c r="AA56" s="114">
        <f>+AA63+AA58</f>
        <v>16.766750000000062</v>
      </c>
      <c r="AB56" s="94">
        <f>+AC56-AA56</f>
        <v>18.357490352876237</v>
      </c>
      <c r="AC56" s="113">
        <f>+AC63+AC58</f>
        <v>35.124240352876299</v>
      </c>
      <c r="AD56" s="114">
        <f>+AD63+AD58</f>
        <v>21.784378913278456</v>
      </c>
      <c r="AE56" s="94">
        <f>+AF56-AD56</f>
        <v>23.287988226240973</v>
      </c>
      <c r="AF56" s="113">
        <f>+AF63+AF58</f>
        <v>45.072367139519429</v>
      </c>
      <c r="AG56" s="114">
        <f>+AG63+AG58</f>
        <v>30.424239187941044</v>
      </c>
      <c r="AH56" s="94">
        <f>+AI56-AG56</f>
        <v>32.933391505997619</v>
      </c>
      <c r="AI56" s="113">
        <f>+AI63+AI58</f>
        <v>63.35763069393866</v>
      </c>
      <c r="AJ56" s="114">
        <f>+AJ63+AJ58</f>
        <v>52.141653217339076</v>
      </c>
      <c r="AK56" s="94">
        <f>+AL56-AJ56</f>
        <v>55.619424624002527</v>
      </c>
      <c r="AL56" s="113">
        <f>+AL63+AL58</f>
        <v>107.7610778413416</v>
      </c>
      <c r="AM56" s="114">
        <f>+AM63+AM58</f>
        <v>96.868231819256209</v>
      </c>
      <c r="AN56" s="94">
        <f>+AO56-AM56</f>
        <v>102.21776044169829</v>
      </c>
      <c r="AO56" s="113">
        <f>+AO63+AO58</f>
        <v>199.0859922609545</v>
      </c>
      <c r="AP56" s="114">
        <f>+AP63+AP58</f>
        <v>143.05597049184669</v>
      </c>
      <c r="AQ56" s="94">
        <f>+AR56-AP56</f>
        <v>157.39107255226006</v>
      </c>
      <c r="AR56" s="113">
        <f>+AR63+AR58</f>
        <v>300.44704304410675</v>
      </c>
      <c r="AS56" s="114">
        <f>+AS63+AS58</f>
        <v>189.10961054962667</v>
      </c>
      <c r="AT56" s="94">
        <f>+AU56-AS56</f>
        <v>207.18322863797289</v>
      </c>
      <c r="AU56" s="113">
        <f>+AU63+AU58</f>
        <v>396.29283918759955</v>
      </c>
      <c r="AV56" s="114">
        <f>+AV63+AV58</f>
        <v>240.63396046433306</v>
      </c>
      <c r="AW56" s="94">
        <f>+AX56-AV56</f>
        <v>262.79938361635755</v>
      </c>
      <c r="AX56" s="113">
        <f>+AX63+AX58</f>
        <v>503.43334408069063</v>
      </c>
      <c r="AY56" s="114">
        <f>+AY63+AY58</f>
        <v>293.85794349281377</v>
      </c>
      <c r="AZ56" s="94">
        <f>+BA56-AY56</f>
        <v>320.93982266597209</v>
      </c>
      <c r="BA56" s="113">
        <f>+BA63+BA58</f>
        <v>614.79776615878586</v>
      </c>
      <c r="BB56" s="114">
        <f>+BB63+BB58</f>
        <v>350.53536265876363</v>
      </c>
      <c r="BC56" s="94">
        <f>+BD56-BB56</f>
        <v>382.26387488548943</v>
      </c>
      <c r="BD56" s="113">
        <f>+BD63+BD58</f>
        <v>732.79923754425306</v>
      </c>
      <c r="BE56" s="114">
        <f>+BE63+BE58</f>
        <v>407.36285158214901</v>
      </c>
      <c r="BF56" s="94">
        <f>+BG56-BE56</f>
        <v>443.73302426993166</v>
      </c>
      <c r="BG56" s="113">
        <f>+BG63+BG58</f>
        <v>851.09587585208067</v>
      </c>
      <c r="BH56" s="114"/>
      <c r="BJ56"/>
      <c r="BK56"/>
      <c r="BL56"/>
      <c r="BM56"/>
      <c r="BN56"/>
      <c r="BO56"/>
    </row>
    <row r="57" spans="2:67" s="61" customFormat="1" outlineLevel="1">
      <c r="B57" s="61" t="s">
        <v>203</v>
      </c>
      <c r="D57" s="89" t="s">
        <v>175</v>
      </c>
      <c r="E57" s="140" t="str">
        <f>IFERROR(+E56/E29,"NA")</f>
        <v>NA</v>
      </c>
      <c r="F57" s="141" t="str">
        <f>IFERROR(+F56/F29,"NA")</f>
        <v>NA</v>
      </c>
      <c r="G57" s="141">
        <f t="shared" ref="G57:BG57" si="81">+G56/G29</f>
        <v>-88.153810256410253</v>
      </c>
      <c r="H57" s="140">
        <f t="shared" si="81"/>
        <v>-141.77948717948718</v>
      </c>
      <c r="I57" s="141">
        <f t="shared" si="81"/>
        <v>-8.9049393068068152</v>
      </c>
      <c r="J57" s="141">
        <f t="shared" si="81"/>
        <v>-14.436152247259066</v>
      </c>
      <c r="K57" s="140">
        <f t="shared" si="81"/>
        <v>-11.551506456241032</v>
      </c>
      <c r="L57" s="141">
        <f t="shared" si="81"/>
        <v>-12.513378967019293</v>
      </c>
      <c r="M57" s="141">
        <f t="shared" si="81"/>
        <v>-8.0820854132002218</v>
      </c>
      <c r="N57" s="140">
        <f t="shared" si="81"/>
        <v>-9.4481104929982731</v>
      </c>
      <c r="O57" s="141">
        <f t="shared" si="81"/>
        <v>-10.766666666666666</v>
      </c>
      <c r="P57" s="141">
        <f t="shared" si="81"/>
        <v>-10.652155356380705</v>
      </c>
      <c r="Q57" s="140">
        <f t="shared" si="81"/>
        <v>-10.696024223275407</v>
      </c>
      <c r="R57" s="141">
        <f t="shared" si="81"/>
        <v>-2.5528340333513539</v>
      </c>
      <c r="S57" s="141">
        <f t="shared" si="81"/>
        <v>-5.6553153643172642E-2</v>
      </c>
      <c r="T57" s="140">
        <f t="shared" si="81"/>
        <v>-0.43150359784129527</v>
      </c>
      <c r="U57" s="141">
        <f t="shared" si="81"/>
        <v>0.15146891781991237</v>
      </c>
      <c r="V57" s="141">
        <f t="shared" si="81"/>
        <v>8.0369988327587197E-2</v>
      </c>
      <c r="W57" s="140">
        <f t="shared" si="81"/>
        <v>0.11213878995008665</v>
      </c>
      <c r="X57" s="141">
        <f t="shared" si="81"/>
        <v>0.15010391843446252</v>
      </c>
      <c r="Y57" s="141">
        <f t="shared" si="81"/>
        <v>0.10476529212103736</v>
      </c>
      <c r="Z57" s="140">
        <f t="shared" si="81"/>
        <v>0.12579638796556405</v>
      </c>
      <c r="AA57" s="141">
        <f t="shared" si="81"/>
        <v>4.2952128681547144E-2</v>
      </c>
      <c r="AB57" s="141">
        <f t="shared" si="81"/>
        <v>4.4337274620092036E-2</v>
      </c>
      <c r="AC57" s="140">
        <f t="shared" si="81"/>
        <v>4.3665092168095755E-2</v>
      </c>
      <c r="AD57" s="141">
        <f t="shared" si="81"/>
        <v>4.9155929255409833E-2</v>
      </c>
      <c r="AE57" s="141">
        <f t="shared" si="81"/>
        <v>5.0146180718803085E-2</v>
      </c>
      <c r="AF57" s="140">
        <f t="shared" si="81"/>
        <v>4.9662638733973405E-2</v>
      </c>
      <c r="AG57" s="141">
        <f t="shared" si="81"/>
        <v>6.0322847566763545E-2</v>
      </c>
      <c r="AH57" s="141">
        <f t="shared" si="81"/>
        <v>6.3316685055655145E-2</v>
      </c>
      <c r="AI57" s="140">
        <f t="shared" si="81"/>
        <v>6.1842824145528281E-2</v>
      </c>
      <c r="AJ57" s="141">
        <f t="shared" si="81"/>
        <v>9.1434655643667234E-2</v>
      </c>
      <c r="AK57" s="141">
        <f t="shared" si="81"/>
        <v>9.4515372798942218E-2</v>
      </c>
      <c r="AL57" s="140">
        <f t="shared" si="81"/>
        <v>9.2999219320732698E-2</v>
      </c>
      <c r="AM57" s="141">
        <f t="shared" si="81"/>
        <v>0.13148608526662733</v>
      </c>
      <c r="AN57" s="141">
        <f t="shared" si="81"/>
        <v>0.13424217891017196</v>
      </c>
      <c r="AO57" s="140">
        <f t="shared" si="81"/>
        <v>0.13288687425920104</v>
      </c>
      <c r="AP57" s="141">
        <f t="shared" si="81"/>
        <v>0.16617112908783851</v>
      </c>
      <c r="AQ57" s="141">
        <f t="shared" si="81"/>
        <v>0.17095947833101827</v>
      </c>
      <c r="AR57" s="140">
        <f t="shared" si="81"/>
        <v>0.16864558529702237</v>
      </c>
      <c r="AS57" s="141">
        <f t="shared" si="81"/>
        <v>0.19097346176462726</v>
      </c>
      <c r="AT57" s="141">
        <f t="shared" si="81"/>
        <v>0.19544582539136418</v>
      </c>
      <c r="AU57" s="140">
        <f t="shared" si="81"/>
        <v>0.19328578743628003</v>
      </c>
      <c r="AV57" s="141">
        <f t="shared" si="81"/>
        <v>0.21436460873759089</v>
      </c>
      <c r="AW57" s="141">
        <f t="shared" si="81"/>
        <v>0.21854815834439684</v>
      </c>
      <c r="AX57" s="140">
        <f t="shared" si="81"/>
        <v>0.21652829754486949</v>
      </c>
      <c r="AY57" s="141">
        <f t="shared" si="81"/>
        <v>0.23497555227242647</v>
      </c>
      <c r="AZ57" s="141">
        <f t="shared" si="81"/>
        <v>0.23922523329614648</v>
      </c>
      <c r="BA57" s="140">
        <f t="shared" si="81"/>
        <v>0.23717497923912187</v>
      </c>
      <c r="BB57" s="141">
        <f t="shared" si="81"/>
        <v>0.25447004128350897</v>
      </c>
      <c r="BC57" s="141">
        <f t="shared" si="81"/>
        <v>0.25856965564230666</v>
      </c>
      <c r="BD57" s="140">
        <f t="shared" si="81"/>
        <v>0.25659224575536671</v>
      </c>
      <c r="BE57" s="141">
        <f t="shared" si="81"/>
        <v>0.2725243637682524</v>
      </c>
      <c r="BF57" s="141">
        <f t="shared" si="81"/>
        <v>0.27652498587547836</v>
      </c>
      <c r="BG57" s="140">
        <f t="shared" si="81"/>
        <v>0.27459560171484926</v>
      </c>
      <c r="BH57" s="141"/>
      <c r="BJ57"/>
      <c r="BK57"/>
      <c r="BL57"/>
      <c r="BM57"/>
      <c r="BN57"/>
      <c r="BO57"/>
    </row>
    <row r="58" spans="2:67" s="61" customFormat="1">
      <c r="B58" s="88" t="s">
        <v>204</v>
      </c>
      <c r="D58" s="89" t="s">
        <v>159</v>
      </c>
      <c r="E58" s="123">
        <f>+SUM(E59:E61)</f>
        <v>0</v>
      </c>
      <c r="F58" s="124">
        <v>1.7700000000000001E-3</v>
      </c>
      <c r="G58" s="91">
        <f t="shared" ref="G58:G63" si="82">+H58-F58</f>
        <v>-1.7700000000000001E-3</v>
      </c>
      <c r="H58" s="142">
        <f>+SUM(H59:H61)</f>
        <v>0</v>
      </c>
      <c r="I58" s="143">
        <f>+SUM(I59:I61)</f>
        <v>0</v>
      </c>
      <c r="J58" s="91">
        <f t="shared" ref="J58:J63" si="83">+K58-I58</f>
        <v>0</v>
      </c>
      <c r="K58" s="142">
        <f>+SUM(K59:K61)</f>
        <v>0</v>
      </c>
      <c r="L58" s="124">
        <f>+SUM(L59:L61)</f>
        <v>0</v>
      </c>
      <c r="M58" s="91">
        <f t="shared" ref="M58:M63" si="84">+N58-L58</f>
        <v>0</v>
      </c>
      <c r="N58" s="123">
        <f>+SUM(N59:N61)</f>
        <v>0</v>
      </c>
      <c r="O58" s="124">
        <f>+SUM(O59:O61)</f>
        <v>0</v>
      </c>
      <c r="P58" s="91">
        <f t="shared" ref="P58:P63" si="85">+Q58-O58</f>
        <v>0</v>
      </c>
      <c r="Q58" s="123">
        <f>+SUM(Q59:Q61)</f>
        <v>0</v>
      </c>
      <c r="R58" s="127">
        <f>Segment!R164</f>
        <v>2.0880000000000001</v>
      </c>
      <c r="S58" s="128">
        <f>Segment!S164</f>
        <v>2.0099999999999998</v>
      </c>
      <c r="T58" s="126">
        <f>Segment!T164</f>
        <v>4.0979999999999999</v>
      </c>
      <c r="U58" s="127">
        <f>Segment!U164</f>
        <v>1.177</v>
      </c>
      <c r="V58" s="128">
        <f>Segment!V164</f>
        <v>1.2897500000000002</v>
      </c>
      <c r="W58" s="126">
        <f>Segment!W164</f>
        <v>2.4667500000000002</v>
      </c>
      <c r="X58" s="127">
        <f>Segment!X164</f>
        <v>1.3425499999999999</v>
      </c>
      <c r="Y58" s="128">
        <f>Segment!Y164</f>
        <v>1.5696999999999999</v>
      </c>
      <c r="Z58" s="126">
        <f>Segment!Z164</f>
        <v>2.9122499999999998</v>
      </c>
      <c r="AA58" s="127">
        <f>Segment!AA164</f>
        <v>5.2717499999999999</v>
      </c>
      <c r="AB58" s="128">
        <f>Segment!AB164</f>
        <v>5.7965868931375883</v>
      </c>
      <c r="AC58" s="126">
        <f>Segment!AC164</f>
        <v>11.068336893137587</v>
      </c>
      <c r="AD58" s="127">
        <f>Segment!AD164</f>
        <v>6.2043645477891927</v>
      </c>
      <c r="AE58" s="128">
        <f>Segment!AE164</f>
        <v>6.5016284489463221</v>
      </c>
      <c r="AF58" s="126">
        <f>Segment!AF164</f>
        <v>12.705992996735514</v>
      </c>
      <c r="AG58" s="127">
        <f>Segment!AG164</f>
        <v>7.0609953908385625</v>
      </c>
      <c r="AH58" s="128">
        <f>Segment!AH164</f>
        <v>7.2819270414850354</v>
      </c>
      <c r="AI58" s="126">
        <f>Segment!AI164</f>
        <v>14.342922432323597</v>
      </c>
      <c r="AJ58" s="127">
        <f>Segment!AJ164</f>
        <v>7.9836593674895706</v>
      </c>
      <c r="AK58" s="128">
        <f>Segment!AK164</f>
        <v>8.2385745479993489</v>
      </c>
      <c r="AL58" s="126">
        <f>Segment!AL164</f>
        <v>16.222233915488921</v>
      </c>
      <c r="AM58" s="127">
        <f>Segment!AM164</f>
        <v>10.314059033087624</v>
      </c>
      <c r="AN58" s="128">
        <f>Segment!AN164</f>
        <v>10.660201270580993</v>
      </c>
      <c r="AO58" s="126">
        <f>Segment!AO164</f>
        <v>20.974260303668615</v>
      </c>
      <c r="AP58" s="127">
        <f>Segment!AP164</f>
        <v>12.052536429641618</v>
      </c>
      <c r="AQ58" s="128">
        <f>Segment!AQ164</f>
        <v>12.888873066547317</v>
      </c>
      <c r="AR58" s="126">
        <f>Segment!AR164</f>
        <v>24.941409496188935</v>
      </c>
      <c r="AS58" s="127">
        <f>Segment!AS164</f>
        <v>13.863363648703354</v>
      </c>
      <c r="AT58" s="128">
        <f>Segment!AT164</f>
        <v>14.840763137935935</v>
      </c>
      <c r="AU58" s="126">
        <f>Segment!AU164</f>
        <v>28.704126786639289</v>
      </c>
      <c r="AV58" s="127">
        <f>Segment!AV164</f>
        <v>15.715632661287797</v>
      </c>
      <c r="AW58" s="128">
        <f>Segment!AW164</f>
        <v>16.834694002917153</v>
      </c>
      <c r="AX58" s="126">
        <f>Segment!AX164</f>
        <v>32.550326664204952</v>
      </c>
      <c r="AY58" s="127">
        <f>Segment!AY164</f>
        <v>17.508252110116043</v>
      </c>
      <c r="AZ58" s="128">
        <f>Segment!AZ164</f>
        <v>18.782122000321554</v>
      </c>
      <c r="BA58" s="126">
        <f>Segment!BA164</f>
        <v>36.290374110437597</v>
      </c>
      <c r="BB58" s="127">
        <f>Segment!BB164</f>
        <v>19.285158490445543</v>
      </c>
      <c r="BC58" s="128">
        <f>Segment!BC164</f>
        <v>20.697301990455287</v>
      </c>
      <c r="BD58" s="126">
        <f>Segment!BD164</f>
        <v>39.982460480900826</v>
      </c>
      <c r="BE58" s="127">
        <f>Segment!BE164</f>
        <v>20.926862623555508</v>
      </c>
      <c r="BF58" s="128">
        <f>Segment!BF164</f>
        <v>22.465464811836135</v>
      </c>
      <c r="BG58" s="126">
        <f>Segment!BG164</f>
        <v>43.392327435391643</v>
      </c>
      <c r="BH58" s="124"/>
      <c r="BJ58"/>
      <c r="BK58"/>
      <c r="BL58"/>
      <c r="BM58"/>
      <c r="BN58"/>
      <c r="BO58"/>
    </row>
    <row r="59" spans="2:67" s="61" customFormat="1" outlineLevel="1">
      <c r="B59" s="88" t="s">
        <v>205</v>
      </c>
      <c r="D59" s="89" t="s">
        <v>159</v>
      </c>
      <c r="E59" s="90"/>
      <c r="F59" s="91"/>
      <c r="G59" s="91"/>
      <c r="H59" s="90"/>
      <c r="I59" s="91"/>
      <c r="J59" s="91"/>
      <c r="K59" s="90"/>
      <c r="L59" s="91"/>
      <c r="M59" s="91"/>
      <c r="N59" s="90"/>
      <c r="O59" s="91"/>
      <c r="P59" s="91"/>
      <c r="Q59" s="90"/>
      <c r="R59" s="91"/>
      <c r="S59" s="91"/>
      <c r="T59" s="90"/>
      <c r="U59" s="91"/>
      <c r="V59" s="91"/>
      <c r="W59" s="90"/>
      <c r="X59" s="91"/>
      <c r="Y59" s="91"/>
      <c r="Z59" s="90"/>
      <c r="AA59" s="91"/>
      <c r="AB59" s="91"/>
      <c r="AC59" s="90"/>
      <c r="AD59" s="91"/>
      <c r="AE59" s="91"/>
      <c r="AF59" s="90"/>
      <c r="AG59" s="91"/>
      <c r="AH59" s="91"/>
      <c r="AI59" s="90"/>
      <c r="AJ59" s="91"/>
      <c r="AK59" s="91"/>
      <c r="AL59" s="90"/>
      <c r="AM59" s="91"/>
      <c r="AN59" s="91"/>
      <c r="AO59" s="90"/>
      <c r="AP59" s="91"/>
      <c r="AQ59" s="91"/>
      <c r="AR59" s="90"/>
      <c r="AS59" s="91"/>
      <c r="AT59" s="91"/>
      <c r="AU59" s="90"/>
      <c r="AV59" s="91"/>
      <c r="AW59" s="91"/>
      <c r="AX59" s="90"/>
      <c r="AY59" s="91"/>
      <c r="AZ59" s="91"/>
      <c r="BA59" s="90"/>
      <c r="BB59" s="91"/>
      <c r="BC59" s="91"/>
      <c r="BD59" s="90"/>
      <c r="BE59" s="91"/>
      <c r="BF59" s="91"/>
      <c r="BG59" s="90"/>
      <c r="BH59" s="91"/>
      <c r="BJ59"/>
      <c r="BK59"/>
      <c r="BL59"/>
      <c r="BM59"/>
      <c r="BN59"/>
      <c r="BO59"/>
    </row>
    <row r="60" spans="2:67" s="61" customFormat="1" outlineLevel="1">
      <c r="B60" s="88" t="s">
        <v>206</v>
      </c>
      <c r="D60" s="89" t="s">
        <v>159</v>
      </c>
      <c r="E60" s="90"/>
      <c r="F60" s="91"/>
      <c r="G60" s="91"/>
      <c r="H60" s="90"/>
      <c r="I60" s="91"/>
      <c r="J60" s="91"/>
      <c r="K60" s="90"/>
      <c r="L60" s="91"/>
      <c r="M60" s="91"/>
      <c r="N60" s="90"/>
      <c r="O60" s="91"/>
      <c r="P60" s="91"/>
      <c r="Q60" s="90"/>
      <c r="R60" s="91"/>
      <c r="S60" s="91"/>
      <c r="T60" s="90"/>
      <c r="U60" s="91"/>
      <c r="V60" s="91"/>
      <c r="W60" s="90"/>
      <c r="X60" s="91"/>
      <c r="Y60" s="91"/>
      <c r="Z60" s="90"/>
      <c r="AA60" s="91"/>
      <c r="AB60" s="91"/>
      <c r="AC60" s="90"/>
      <c r="AD60" s="91"/>
      <c r="AE60" s="91"/>
      <c r="AF60" s="90"/>
      <c r="AG60" s="91"/>
      <c r="AH60" s="91"/>
      <c r="AI60" s="90"/>
      <c r="AJ60" s="91"/>
      <c r="AK60" s="91"/>
      <c r="AL60" s="90"/>
      <c r="AM60" s="91"/>
      <c r="AN60" s="91"/>
      <c r="AO60" s="90"/>
      <c r="AP60" s="91"/>
      <c r="AQ60" s="91"/>
      <c r="AR60" s="90"/>
      <c r="AS60" s="91"/>
      <c r="AT60" s="91"/>
      <c r="AU60" s="90"/>
      <c r="AV60" s="91"/>
      <c r="AW60" s="91"/>
      <c r="AX60" s="90"/>
      <c r="AY60" s="91"/>
      <c r="AZ60" s="91"/>
      <c r="BA60" s="90"/>
      <c r="BB60" s="91"/>
      <c r="BC60" s="91"/>
      <c r="BD60" s="90"/>
      <c r="BE60" s="91"/>
      <c r="BF60" s="91"/>
      <c r="BG60" s="90"/>
      <c r="BH60" s="91"/>
      <c r="BJ60"/>
      <c r="BK60"/>
      <c r="BL60"/>
      <c r="BM60"/>
      <c r="BN60"/>
      <c r="BO60"/>
    </row>
    <row r="61" spans="2:67" s="61" customFormat="1" outlineLevel="1">
      <c r="B61" s="88" t="s">
        <v>207</v>
      </c>
      <c r="D61" s="89" t="s">
        <v>159</v>
      </c>
      <c r="E61" s="90"/>
      <c r="F61" s="91"/>
      <c r="G61" s="91"/>
      <c r="H61" s="90"/>
      <c r="I61" s="91"/>
      <c r="J61" s="91"/>
      <c r="K61" s="90"/>
      <c r="L61" s="91"/>
      <c r="M61" s="91"/>
      <c r="N61" s="90"/>
      <c r="O61" s="91"/>
      <c r="P61" s="91"/>
      <c r="Q61" s="90"/>
      <c r="R61" s="91"/>
      <c r="S61" s="91"/>
      <c r="T61" s="90"/>
      <c r="U61" s="91"/>
      <c r="V61" s="91"/>
      <c r="W61" s="90"/>
      <c r="X61" s="91"/>
      <c r="Y61" s="91"/>
      <c r="Z61" s="90"/>
      <c r="AA61" s="91"/>
      <c r="AB61" s="91"/>
      <c r="AC61" s="90"/>
      <c r="AD61" s="91"/>
      <c r="AE61" s="91"/>
      <c r="AF61" s="90"/>
      <c r="AG61" s="91"/>
      <c r="AH61" s="91"/>
      <c r="AI61" s="90"/>
      <c r="AJ61" s="91"/>
      <c r="AK61" s="91"/>
      <c r="AL61" s="90"/>
      <c r="AM61" s="91"/>
      <c r="AN61" s="91"/>
      <c r="AO61" s="90"/>
      <c r="AP61" s="91"/>
      <c r="AQ61" s="91"/>
      <c r="AR61" s="90"/>
      <c r="AS61" s="91"/>
      <c r="AT61" s="91"/>
      <c r="AU61" s="90"/>
      <c r="AV61" s="91"/>
      <c r="AW61" s="91"/>
      <c r="AX61" s="90"/>
      <c r="AY61" s="91"/>
      <c r="AZ61" s="91"/>
      <c r="BA61" s="90"/>
      <c r="BB61" s="91"/>
      <c r="BC61" s="91"/>
      <c r="BD61" s="90"/>
      <c r="BE61" s="91"/>
      <c r="BF61" s="91"/>
      <c r="BG61" s="90"/>
      <c r="BH61" s="91"/>
      <c r="BJ61"/>
      <c r="BK61"/>
      <c r="BL61"/>
      <c r="BM61"/>
      <c r="BN61"/>
      <c r="BO61"/>
    </row>
    <row r="62" spans="2:67" s="61" customFormat="1" outlineLevel="1">
      <c r="B62" s="88" t="s">
        <v>208</v>
      </c>
      <c r="D62" s="89" t="s">
        <v>159</v>
      </c>
      <c r="E62" s="90"/>
      <c r="F62" s="91"/>
      <c r="G62" s="91">
        <f t="shared" si="82"/>
        <v>0</v>
      </c>
      <c r="H62" s="90"/>
      <c r="I62" s="91"/>
      <c r="J62" s="91">
        <f t="shared" si="83"/>
        <v>0</v>
      </c>
      <c r="K62" s="90"/>
      <c r="L62" s="91"/>
      <c r="M62" s="91">
        <f t="shared" si="84"/>
        <v>0</v>
      </c>
      <c r="N62" s="90"/>
      <c r="O62" s="91"/>
      <c r="P62" s="91">
        <f t="shared" si="85"/>
        <v>0</v>
      </c>
      <c r="Q62" s="90"/>
      <c r="R62" s="91"/>
      <c r="S62" s="91">
        <f t="shared" ref="S62:S63" si="86">+T62-R62</f>
        <v>0</v>
      </c>
      <c r="T62" s="90"/>
      <c r="U62" s="91"/>
      <c r="V62" s="91"/>
      <c r="W62" s="90"/>
      <c r="X62" s="91"/>
      <c r="Y62" s="91"/>
      <c r="Z62" s="90"/>
      <c r="AA62" s="91"/>
      <c r="AB62" s="91"/>
      <c r="AC62" s="90"/>
      <c r="AD62" s="91"/>
      <c r="AE62" s="91"/>
      <c r="AF62" s="90"/>
      <c r="AG62" s="91"/>
      <c r="AH62" s="91"/>
      <c r="AI62" s="90"/>
      <c r="AJ62" s="91"/>
      <c r="AK62" s="91"/>
      <c r="AL62" s="90"/>
      <c r="AM62" s="91"/>
      <c r="AN62" s="91"/>
      <c r="AO62" s="90"/>
      <c r="AP62" s="91"/>
      <c r="AQ62" s="91"/>
      <c r="AR62" s="90"/>
      <c r="AS62" s="91"/>
      <c r="AT62" s="91"/>
      <c r="AU62" s="90"/>
      <c r="AV62" s="91"/>
      <c r="AW62" s="91"/>
      <c r="AX62" s="90"/>
      <c r="AY62" s="91"/>
      <c r="AZ62" s="91"/>
      <c r="BA62" s="90"/>
      <c r="BB62" s="91"/>
      <c r="BC62" s="91"/>
      <c r="BD62" s="90"/>
      <c r="BE62" s="91"/>
      <c r="BF62" s="91"/>
      <c r="BG62" s="90"/>
      <c r="BH62" s="91"/>
      <c r="BJ62"/>
      <c r="BK62"/>
      <c r="BL62"/>
      <c r="BM62"/>
      <c r="BN62"/>
      <c r="BO62"/>
    </row>
    <row r="63" spans="2:67" s="61" customFormat="1" outlineLevel="1">
      <c r="B63" s="71" t="s">
        <v>209</v>
      </c>
      <c r="D63" s="92" t="s">
        <v>159</v>
      </c>
      <c r="E63" s="113">
        <f>+E67+E65</f>
        <v>6.5155380000000003</v>
      </c>
      <c r="F63" s="114">
        <f>+F67+F65</f>
        <v>-10.458777000000001</v>
      </c>
      <c r="G63" s="94">
        <f t="shared" si="82"/>
        <v>-17.188223000000001</v>
      </c>
      <c r="H63" s="129">
        <f>+H67+H65</f>
        <v>-27.647000000000002</v>
      </c>
      <c r="I63" s="114">
        <f>+I67+I65</f>
        <v>-16.184744999999999</v>
      </c>
      <c r="J63" s="94">
        <f t="shared" si="83"/>
        <v>-24.072254999999998</v>
      </c>
      <c r="K63" s="113">
        <f>+K67+K65</f>
        <v>-40.256999999999998</v>
      </c>
      <c r="L63" s="114">
        <f>+L67+L65</f>
        <v>-20.109000000000002</v>
      </c>
      <c r="M63" s="94">
        <f t="shared" si="84"/>
        <v>-29.143999999999998</v>
      </c>
      <c r="N63" s="113">
        <f>+N67+N65</f>
        <v>-49.253</v>
      </c>
      <c r="O63" s="114">
        <f>+O67+O65</f>
        <v>-31.331</v>
      </c>
      <c r="P63" s="94">
        <f t="shared" si="85"/>
        <v>-49.915999999999983</v>
      </c>
      <c r="Q63" s="113">
        <f>+Q67+Q65</f>
        <v>-81.246999999999986</v>
      </c>
      <c r="R63" s="114">
        <f>+R67+R65</f>
        <v>-63.476000000000013</v>
      </c>
      <c r="S63" s="94">
        <f t="shared" si="86"/>
        <v>-9.7039999999999935</v>
      </c>
      <c r="T63" s="113">
        <f>+T67+T65</f>
        <v>-73.180000000000007</v>
      </c>
      <c r="U63" s="114">
        <f>+U67+U65</f>
        <v>21.359000000000023</v>
      </c>
      <c r="V63" s="94">
        <f t="shared" ref="V63" si="87">+W63-U63</f>
        <v>13.513999999999925</v>
      </c>
      <c r="W63" s="113">
        <f>+W67+W65</f>
        <v>34.872999999999948</v>
      </c>
      <c r="X63" s="114">
        <f>+X67+X65</f>
        <v>34.623999999999995</v>
      </c>
      <c r="Y63" s="94">
        <f t="shared" ref="Y63" si="88">+Z63-X63</f>
        <v>27.444000000000088</v>
      </c>
      <c r="Z63" s="113">
        <f>+Z67+Z65</f>
        <v>62.068000000000083</v>
      </c>
      <c r="AA63" s="114">
        <f>+AA67+AA65</f>
        <v>11.495000000000061</v>
      </c>
      <c r="AB63" s="94">
        <f t="shared" ref="AB63" si="89">+AC63-AA63</f>
        <v>12.56090345973865</v>
      </c>
      <c r="AC63" s="113">
        <f>+AC67+AC65</f>
        <v>24.055903459738712</v>
      </c>
      <c r="AD63" s="114">
        <f>+AD67+AD65</f>
        <v>15.580014365489262</v>
      </c>
      <c r="AE63" s="94">
        <f t="shared" ref="AE63" si="90">+AF63-AD63</f>
        <v>16.786359777294649</v>
      </c>
      <c r="AF63" s="113">
        <f>+AF67+AF65</f>
        <v>32.366374142783911</v>
      </c>
      <c r="AG63" s="114">
        <f>+AG67+AG65</f>
        <v>23.363243797102481</v>
      </c>
      <c r="AH63" s="94">
        <f t="shared" ref="AH63" si="91">+AI63-AG63</f>
        <v>25.651464464512582</v>
      </c>
      <c r="AI63" s="113">
        <f>+AI67+AI65</f>
        <v>49.014708261615063</v>
      </c>
      <c r="AJ63" s="114">
        <f>+AJ67+AJ65</f>
        <v>44.157993849849504</v>
      </c>
      <c r="AK63" s="94">
        <f t="shared" ref="AK63" si="92">+AL63-AJ63</f>
        <v>47.380850076003185</v>
      </c>
      <c r="AL63" s="113">
        <f>+AL67+AL65</f>
        <v>91.538843925852689</v>
      </c>
      <c r="AM63" s="114">
        <f>+AM67+AM65</f>
        <v>86.554172786168579</v>
      </c>
      <c r="AN63" s="94">
        <f t="shared" ref="AN63" si="93">+AO63-AM63</f>
        <v>91.557559171117305</v>
      </c>
      <c r="AO63" s="113">
        <f>+AO67+AO65</f>
        <v>178.11173195728588</v>
      </c>
      <c r="AP63" s="114">
        <f>+AP67+AP65</f>
        <v>131.00343406220509</v>
      </c>
      <c r="AQ63" s="94">
        <f t="shared" ref="AQ63" si="94">+AR63-AP63</f>
        <v>144.50219948571271</v>
      </c>
      <c r="AR63" s="113">
        <f>+AR67+AR65</f>
        <v>275.5056335479178</v>
      </c>
      <c r="AS63" s="114">
        <f>+AS67+AS65</f>
        <v>175.24624690092332</v>
      </c>
      <c r="AT63" s="94">
        <f t="shared" ref="AT63" si="95">+AU63-AS63</f>
        <v>192.34246550003695</v>
      </c>
      <c r="AU63" s="113">
        <f>+AU67+AU65</f>
        <v>367.58871240096028</v>
      </c>
      <c r="AV63" s="114">
        <f>+AV67+AV65</f>
        <v>224.91832780304526</v>
      </c>
      <c r="AW63" s="94">
        <f t="shared" ref="AW63" si="96">+AX63-AV63</f>
        <v>245.96468961344044</v>
      </c>
      <c r="AX63" s="113">
        <f>+AX67+AX65</f>
        <v>470.8830174164857</v>
      </c>
      <c r="AY63" s="114">
        <f>+AY67+AY65</f>
        <v>276.34969138269776</v>
      </c>
      <c r="AZ63" s="94">
        <f t="shared" ref="AZ63" si="97">+BA63-AY63</f>
        <v>302.15770066565051</v>
      </c>
      <c r="BA63" s="113">
        <f>+BA67+BA65</f>
        <v>578.50739204834827</v>
      </c>
      <c r="BB63" s="114">
        <f>+BB67+BB65</f>
        <v>331.25020416831808</v>
      </c>
      <c r="BC63" s="94">
        <f t="shared" ref="BC63" si="98">+BD63-BB63</f>
        <v>361.56657289503414</v>
      </c>
      <c r="BD63" s="113">
        <f>+BD67+BD65</f>
        <v>692.81677706335222</v>
      </c>
      <c r="BE63" s="114">
        <f>+BE67+BE65</f>
        <v>386.4359889585935</v>
      </c>
      <c r="BF63" s="94">
        <f t="shared" ref="BF63" si="99">+BG63-BE63</f>
        <v>421.26755945809555</v>
      </c>
      <c r="BG63" s="113">
        <f>+BG67+BG65</f>
        <v>807.70354841668905</v>
      </c>
      <c r="BH63" s="114"/>
      <c r="BJ63"/>
      <c r="BK63"/>
      <c r="BL63"/>
      <c r="BM63"/>
      <c r="BN63"/>
      <c r="BO63"/>
    </row>
    <row r="64" spans="2:67" s="61" customFormat="1" outlineLevel="1">
      <c r="B64" s="61" t="s">
        <v>210</v>
      </c>
      <c r="D64" s="89" t="s">
        <v>175</v>
      </c>
      <c r="E64" s="140" t="str">
        <f>IFERROR(+E63/E29,"NA")</f>
        <v>NA</v>
      </c>
      <c r="F64" s="141" t="str">
        <f>IFERROR(+F63/F29,"NA")</f>
        <v>NA</v>
      </c>
      <c r="G64" s="141">
        <f t="shared" ref="G64:BG64" si="100">+G63/G29</f>
        <v>-88.144733333333335</v>
      </c>
      <c r="H64" s="140">
        <f t="shared" si="100"/>
        <v>-141.77948717948718</v>
      </c>
      <c r="I64" s="141">
        <f t="shared" si="100"/>
        <v>-8.9049393068068152</v>
      </c>
      <c r="J64" s="141">
        <f t="shared" si="100"/>
        <v>-14.436152247259066</v>
      </c>
      <c r="K64" s="140">
        <f t="shared" si="100"/>
        <v>-11.551506456241032</v>
      </c>
      <c r="L64" s="141">
        <f t="shared" si="100"/>
        <v>-12.513378967019293</v>
      </c>
      <c r="M64" s="141">
        <f t="shared" si="100"/>
        <v>-8.0820854132002218</v>
      </c>
      <c r="N64" s="140">
        <f t="shared" si="100"/>
        <v>-9.4481104929982731</v>
      </c>
      <c r="O64" s="141">
        <f t="shared" si="100"/>
        <v>-10.766666666666666</v>
      </c>
      <c r="P64" s="141">
        <f t="shared" si="100"/>
        <v>-10.652155356380705</v>
      </c>
      <c r="Q64" s="140">
        <f t="shared" si="100"/>
        <v>-10.696024223275407</v>
      </c>
      <c r="R64" s="141">
        <f t="shared" si="100"/>
        <v>-2.6396639913502731</v>
      </c>
      <c r="S64" s="141">
        <f t="shared" si="100"/>
        <v>-7.1327242390609211E-2</v>
      </c>
      <c r="T64" s="140">
        <f t="shared" si="100"/>
        <v>-0.45710073955626629</v>
      </c>
      <c r="U64" s="141">
        <f t="shared" si="100"/>
        <v>0.14355806779000302</v>
      </c>
      <c r="V64" s="141">
        <f t="shared" si="100"/>
        <v>7.3367898151415215E-2</v>
      </c>
      <c r="W64" s="140">
        <f t="shared" si="100"/>
        <v>0.10473064286529427</v>
      </c>
      <c r="X64" s="141">
        <f t="shared" si="100"/>
        <v>0.14450087850724716</v>
      </c>
      <c r="Y64" s="141">
        <f t="shared" si="100"/>
        <v>9.9097277388604355E-2</v>
      </c>
      <c r="Z64" s="140">
        <f t="shared" si="100"/>
        <v>0.1201585129057926</v>
      </c>
      <c r="AA64" s="141">
        <f t="shared" si="100"/>
        <v>2.9447252400995137E-2</v>
      </c>
      <c r="AB64" s="141">
        <f t="shared" si="100"/>
        <v>3.0337274620092038E-2</v>
      </c>
      <c r="AC64" s="140">
        <f t="shared" si="100"/>
        <v>2.9905365388785913E-2</v>
      </c>
      <c r="AD64" s="141">
        <f t="shared" si="100"/>
        <v>3.5155929255409835E-2</v>
      </c>
      <c r="AE64" s="141">
        <f t="shared" si="100"/>
        <v>3.614618071880308E-2</v>
      </c>
      <c r="AF64" s="140">
        <f t="shared" si="100"/>
        <v>3.5662638733973399E-2</v>
      </c>
      <c r="AG64" s="141">
        <f t="shared" si="100"/>
        <v>4.6322847566763546E-2</v>
      </c>
      <c r="AH64" s="141">
        <f t="shared" si="100"/>
        <v>4.9316685055655146E-2</v>
      </c>
      <c r="AI64" s="140">
        <f t="shared" si="100"/>
        <v>4.784282414552829E-2</v>
      </c>
      <c r="AJ64" s="141">
        <f t="shared" si="100"/>
        <v>7.7434655643667236E-2</v>
      </c>
      <c r="AK64" s="141">
        <f t="shared" si="100"/>
        <v>8.0515372798942234E-2</v>
      </c>
      <c r="AL64" s="140">
        <f t="shared" si="100"/>
        <v>7.89992193207327E-2</v>
      </c>
      <c r="AM64" s="141">
        <f t="shared" si="100"/>
        <v>0.11748608526662731</v>
      </c>
      <c r="AN64" s="141">
        <f t="shared" si="100"/>
        <v>0.12024217891017196</v>
      </c>
      <c r="AO64" s="140">
        <f t="shared" si="100"/>
        <v>0.11888687425920104</v>
      </c>
      <c r="AP64" s="141">
        <f t="shared" si="100"/>
        <v>0.15217112908783853</v>
      </c>
      <c r="AQ64" s="141">
        <f t="shared" si="100"/>
        <v>0.15695947833101823</v>
      </c>
      <c r="AR64" s="140">
        <f t="shared" si="100"/>
        <v>0.15464558529702235</v>
      </c>
      <c r="AS64" s="141">
        <f t="shared" si="100"/>
        <v>0.17697346176462728</v>
      </c>
      <c r="AT64" s="141">
        <f t="shared" si="100"/>
        <v>0.18144582539136417</v>
      </c>
      <c r="AU64" s="140">
        <f t="shared" si="100"/>
        <v>0.17928578743628004</v>
      </c>
      <c r="AV64" s="141">
        <f t="shared" si="100"/>
        <v>0.2003646087375909</v>
      </c>
      <c r="AW64" s="141">
        <f t="shared" si="100"/>
        <v>0.20454815834439685</v>
      </c>
      <c r="AX64" s="140">
        <f t="shared" si="100"/>
        <v>0.20252829754486951</v>
      </c>
      <c r="AY64" s="141">
        <f t="shared" si="100"/>
        <v>0.22097555227242649</v>
      </c>
      <c r="AZ64" s="141">
        <f t="shared" si="100"/>
        <v>0.22522523329614647</v>
      </c>
      <c r="BA64" s="140">
        <f t="shared" si="100"/>
        <v>0.22317497923912186</v>
      </c>
      <c r="BB64" s="141">
        <f t="shared" si="100"/>
        <v>0.24047004128350896</v>
      </c>
      <c r="BC64" s="141">
        <f t="shared" si="100"/>
        <v>0.24456965564230668</v>
      </c>
      <c r="BD64" s="140">
        <f t="shared" si="100"/>
        <v>0.24259224575536673</v>
      </c>
      <c r="BE64" s="141">
        <f t="shared" si="100"/>
        <v>0.25852436376825244</v>
      </c>
      <c r="BF64" s="141">
        <f t="shared" si="100"/>
        <v>0.2625249858754784</v>
      </c>
      <c r="BG64" s="140">
        <f t="shared" si="100"/>
        <v>0.26059560171484925</v>
      </c>
      <c r="BH64" s="141"/>
      <c r="BJ64"/>
      <c r="BK64"/>
      <c r="BL64"/>
      <c r="BM64"/>
      <c r="BN64"/>
      <c r="BO64"/>
    </row>
    <row r="65" spans="2:67" s="61" customFormat="1" outlineLevel="1">
      <c r="B65" s="88" t="s">
        <v>211</v>
      </c>
      <c r="D65" s="89" t="s">
        <v>159</v>
      </c>
      <c r="E65" s="90">
        <v>0</v>
      </c>
      <c r="F65" s="91">
        <v>0</v>
      </c>
      <c r="G65" s="91">
        <f>+H65-F65</f>
        <v>0</v>
      </c>
      <c r="H65" s="90">
        <v>0</v>
      </c>
      <c r="I65" s="137">
        <v>0</v>
      </c>
      <c r="J65" s="91">
        <f>+K65-I65</f>
        <v>0</v>
      </c>
      <c r="K65" s="90">
        <v>0</v>
      </c>
      <c r="L65" s="91">
        <v>0</v>
      </c>
      <c r="M65" s="91">
        <f>+N65-L65</f>
        <v>0</v>
      </c>
      <c r="N65" s="90">
        <v>0</v>
      </c>
      <c r="O65" s="91">
        <v>0</v>
      </c>
      <c r="P65" s="91">
        <f>+Q65-O65</f>
        <v>0</v>
      </c>
      <c r="Q65" s="90">
        <v>0</v>
      </c>
      <c r="R65" s="91">
        <v>0</v>
      </c>
      <c r="S65" s="91">
        <f>+T65-R65</f>
        <v>0</v>
      </c>
      <c r="T65" s="90">
        <v>0</v>
      </c>
      <c r="U65" s="91">
        <v>0</v>
      </c>
      <c r="V65" s="91">
        <f>+W65-U65</f>
        <v>0</v>
      </c>
      <c r="W65" s="90">
        <v>0</v>
      </c>
      <c r="X65" s="91">
        <v>0</v>
      </c>
      <c r="Y65" s="91">
        <f>+Z65-X65</f>
        <v>0</v>
      </c>
      <c r="Z65" s="90">
        <v>0</v>
      </c>
      <c r="AA65" s="91">
        <v>0</v>
      </c>
      <c r="AB65" s="91">
        <f>+AC65-AA65</f>
        <v>0</v>
      </c>
      <c r="AC65" s="90">
        <v>0</v>
      </c>
      <c r="AD65" s="91">
        <v>0</v>
      </c>
      <c r="AE65" s="91">
        <f>+AF65-AD65</f>
        <v>0</v>
      </c>
      <c r="AF65" s="90">
        <v>0</v>
      </c>
      <c r="AG65" s="91">
        <v>0</v>
      </c>
      <c r="AH65" s="91">
        <f>+AI65-AG65</f>
        <v>0</v>
      </c>
      <c r="AI65" s="90">
        <v>0</v>
      </c>
      <c r="AJ65" s="91">
        <v>0</v>
      </c>
      <c r="AK65" s="91">
        <f>+AL65-AJ65</f>
        <v>0</v>
      </c>
      <c r="AL65" s="90">
        <v>0</v>
      </c>
      <c r="AM65" s="91">
        <v>0</v>
      </c>
      <c r="AN65" s="91">
        <f>+AO65-AM65</f>
        <v>0</v>
      </c>
      <c r="AO65" s="90">
        <v>0</v>
      </c>
      <c r="AP65" s="91">
        <v>0</v>
      </c>
      <c r="AQ65" s="91">
        <f>+AR65-AP65</f>
        <v>0</v>
      </c>
      <c r="AR65" s="90">
        <v>0</v>
      </c>
      <c r="AS65" s="91">
        <v>0</v>
      </c>
      <c r="AT65" s="91">
        <f>+AU65-AS65</f>
        <v>0</v>
      </c>
      <c r="AU65" s="90">
        <v>0</v>
      </c>
      <c r="AV65" s="91">
        <v>0</v>
      </c>
      <c r="AW65" s="91">
        <f>+AX65-AV65</f>
        <v>0</v>
      </c>
      <c r="AX65" s="90">
        <v>0</v>
      </c>
      <c r="AY65" s="91">
        <v>0</v>
      </c>
      <c r="AZ65" s="91">
        <f>+BA65-AY65</f>
        <v>0</v>
      </c>
      <c r="BA65" s="90">
        <v>0</v>
      </c>
      <c r="BB65" s="91">
        <v>0</v>
      </c>
      <c r="BC65" s="91">
        <f>+BD65-BB65</f>
        <v>0</v>
      </c>
      <c r="BD65" s="90">
        <v>0</v>
      </c>
      <c r="BE65" s="91">
        <v>0</v>
      </c>
      <c r="BF65" s="91">
        <f>+BG65-BE65</f>
        <v>0</v>
      </c>
      <c r="BG65" s="90">
        <v>0</v>
      </c>
      <c r="BH65" s="91"/>
      <c r="BJ65"/>
      <c r="BK65"/>
      <c r="BL65"/>
      <c r="BM65"/>
      <c r="BN65"/>
      <c r="BO65"/>
    </row>
    <row r="66" spans="2:67" s="61" customFormat="1">
      <c r="B66" s="88"/>
      <c r="D66" s="89"/>
      <c r="E66" s="123"/>
      <c r="F66" s="124"/>
      <c r="G66" s="124"/>
      <c r="H66" s="123"/>
      <c r="I66" s="124"/>
      <c r="J66" s="124"/>
      <c r="K66" s="123"/>
      <c r="L66" s="124"/>
      <c r="M66" s="124"/>
      <c r="N66" s="123"/>
      <c r="O66" s="124"/>
      <c r="P66" s="124"/>
      <c r="Q66" s="123"/>
      <c r="R66" s="124"/>
      <c r="S66" s="124"/>
      <c r="T66" s="123"/>
      <c r="U66" s="124"/>
      <c r="V66" s="91"/>
      <c r="W66" s="123"/>
      <c r="X66" s="124"/>
      <c r="Y66" s="91"/>
      <c r="Z66" s="123"/>
      <c r="AA66" s="124"/>
      <c r="AB66" s="91"/>
      <c r="AC66" s="123"/>
      <c r="AD66" s="124"/>
      <c r="AE66" s="91"/>
      <c r="AF66" s="123"/>
      <c r="AG66" s="124"/>
      <c r="AH66" s="91"/>
      <c r="AI66" s="123"/>
      <c r="AJ66" s="124"/>
      <c r="AK66" s="91"/>
      <c r="AL66" s="123"/>
      <c r="AM66" s="124"/>
      <c r="AN66" s="91"/>
      <c r="AO66" s="123"/>
      <c r="AP66" s="124"/>
      <c r="AQ66" s="91"/>
      <c r="AR66" s="123"/>
      <c r="AS66" s="124"/>
      <c r="AT66" s="91"/>
      <c r="AU66" s="123"/>
      <c r="AV66" s="124"/>
      <c r="AW66" s="91"/>
      <c r="AX66" s="123"/>
      <c r="AY66" s="124"/>
      <c r="AZ66" s="91"/>
      <c r="BA66" s="123"/>
      <c r="BB66" s="124"/>
      <c r="BC66" s="91"/>
      <c r="BD66" s="123"/>
      <c r="BE66" s="124"/>
      <c r="BF66" s="91"/>
      <c r="BG66" s="123"/>
      <c r="BH66" s="124"/>
      <c r="BJ66"/>
      <c r="BK66"/>
      <c r="BL66"/>
      <c r="BM66"/>
      <c r="BN66"/>
      <c r="BO66"/>
    </row>
    <row r="67" spans="2:67" s="70" customFormat="1">
      <c r="B67" s="144" t="s">
        <v>18</v>
      </c>
      <c r="D67" s="92" t="s">
        <v>159</v>
      </c>
      <c r="E67" s="113">
        <f>Segment!E196</f>
        <v>6.5155380000000003</v>
      </c>
      <c r="F67" s="114">
        <f>Segment!F196</f>
        <v>-10.458777000000001</v>
      </c>
      <c r="G67" s="114">
        <f>Segment!G196</f>
        <v>-17.188223000000004</v>
      </c>
      <c r="H67" s="113">
        <f>Segment!H196</f>
        <v>-27.647000000000002</v>
      </c>
      <c r="I67" s="114">
        <f>Segment!I196</f>
        <v>-16.184744999999999</v>
      </c>
      <c r="J67" s="114">
        <f>Segment!J196</f>
        <v>-24.204263000000001</v>
      </c>
      <c r="K67" s="113">
        <f>Segment!K196</f>
        <v>-40.256999999999998</v>
      </c>
      <c r="L67" s="114">
        <f>Segment!L196</f>
        <v>-20.109000000000002</v>
      </c>
      <c r="M67" s="114">
        <f>Segment!M196</f>
        <v>-29.144000000000002</v>
      </c>
      <c r="N67" s="113">
        <f>Segment!N196</f>
        <v>-49.253</v>
      </c>
      <c r="O67" s="114">
        <f>Segment!O196</f>
        <v>-31.331</v>
      </c>
      <c r="P67" s="114">
        <f>Segment!P196</f>
        <v>-49.915999999999997</v>
      </c>
      <c r="Q67" s="113">
        <f>Segment!Q196</f>
        <v>-81.246999999999986</v>
      </c>
      <c r="R67" s="114">
        <f>Segment!R196</f>
        <v>-63.476000000000013</v>
      </c>
      <c r="S67" s="114">
        <f>Segment!S196</f>
        <v>-15.082999999999982</v>
      </c>
      <c r="T67" s="115">
        <f>Segment!T196</f>
        <v>-73.180000000000007</v>
      </c>
      <c r="U67" s="116">
        <f>Segment!U196</f>
        <v>21.359000000000023</v>
      </c>
      <c r="V67" s="116">
        <f>Segment!V196</f>
        <v>13.502999999999988</v>
      </c>
      <c r="W67" s="115">
        <f>Segment!W196</f>
        <v>34.872999999999948</v>
      </c>
      <c r="X67" s="116">
        <f>Segment!X196</f>
        <v>34.623999999999995</v>
      </c>
      <c r="Y67" s="116">
        <f>Segment!Y196</f>
        <v>27.444000000000003</v>
      </c>
      <c r="Z67" s="115">
        <f>Segment!Z196</f>
        <v>62.068000000000083</v>
      </c>
      <c r="AA67" s="116">
        <f>Segment!AA196</f>
        <v>11.495000000000061</v>
      </c>
      <c r="AB67" s="116">
        <f>Segment!AB196</f>
        <v>12.560903459738824</v>
      </c>
      <c r="AC67" s="115">
        <f>Segment!AC196</f>
        <v>24.055903459738712</v>
      </c>
      <c r="AD67" s="116">
        <f>Segment!AD196</f>
        <v>15.580014365489262</v>
      </c>
      <c r="AE67" s="116">
        <f>Segment!AE196</f>
        <v>16.786359777294479</v>
      </c>
      <c r="AF67" s="115">
        <f>Segment!AF196</f>
        <v>32.366374142783911</v>
      </c>
      <c r="AG67" s="116">
        <f>Segment!AG196</f>
        <v>23.363243797102481</v>
      </c>
      <c r="AH67" s="116">
        <f>Segment!AH196</f>
        <v>25.651464464512458</v>
      </c>
      <c r="AI67" s="115">
        <f>Segment!AI196</f>
        <v>49.014708261615063</v>
      </c>
      <c r="AJ67" s="116">
        <f>Segment!AJ196</f>
        <v>44.157993849849504</v>
      </c>
      <c r="AK67" s="116">
        <f>Segment!AK196</f>
        <v>47.380850076003071</v>
      </c>
      <c r="AL67" s="115">
        <f>Segment!AL196</f>
        <v>91.538843925852689</v>
      </c>
      <c r="AM67" s="116">
        <f>Segment!AM196</f>
        <v>86.554172786168579</v>
      </c>
      <c r="AN67" s="116">
        <f>Segment!AN196</f>
        <v>91.557559171117532</v>
      </c>
      <c r="AO67" s="115">
        <f>Segment!AO196</f>
        <v>178.11173195728588</v>
      </c>
      <c r="AP67" s="116">
        <f>Segment!AP196</f>
        <v>131.00343406220509</v>
      </c>
      <c r="AQ67" s="116">
        <f>Segment!AQ196</f>
        <v>144.50219948571271</v>
      </c>
      <c r="AR67" s="115">
        <f>Segment!AR196</f>
        <v>275.5056335479178</v>
      </c>
      <c r="AS67" s="116">
        <f>Segment!AS196</f>
        <v>175.24624690092332</v>
      </c>
      <c r="AT67" s="116">
        <f>Segment!AT196</f>
        <v>192.34246550003661</v>
      </c>
      <c r="AU67" s="115">
        <f>Segment!AU196</f>
        <v>367.58871240096028</v>
      </c>
      <c r="AV67" s="116">
        <f>Segment!AV196</f>
        <v>224.91832780304526</v>
      </c>
      <c r="AW67" s="116">
        <f>Segment!AW196</f>
        <v>245.96468961344047</v>
      </c>
      <c r="AX67" s="115">
        <f>Segment!AX196</f>
        <v>470.8830174164857</v>
      </c>
      <c r="AY67" s="116">
        <f>Segment!AY196</f>
        <v>276.34969138269776</v>
      </c>
      <c r="AZ67" s="116">
        <f>Segment!AZ196</f>
        <v>302.15770066565028</v>
      </c>
      <c r="BA67" s="115">
        <f>Segment!BA196</f>
        <v>578.50739204834827</v>
      </c>
      <c r="BB67" s="116">
        <f>Segment!BB196</f>
        <v>331.25020416831808</v>
      </c>
      <c r="BC67" s="116">
        <f>Segment!BC196</f>
        <v>361.5665728950346</v>
      </c>
      <c r="BD67" s="115">
        <f>Segment!BD196</f>
        <v>692.81677706335222</v>
      </c>
      <c r="BE67" s="116">
        <f>Segment!BE196</f>
        <v>386.4359889585935</v>
      </c>
      <c r="BF67" s="116">
        <f>Segment!BF196</f>
        <v>421.267559458096</v>
      </c>
      <c r="BG67" s="115">
        <f>Segment!BG196</f>
        <v>807.70354841668905</v>
      </c>
      <c r="BH67" s="114"/>
      <c r="BJ67"/>
      <c r="BK67"/>
      <c r="BL67"/>
      <c r="BM67"/>
      <c r="BN67"/>
      <c r="BO67"/>
    </row>
    <row r="68" spans="2:67" s="118" customFormat="1">
      <c r="B68" s="118" t="s">
        <v>212</v>
      </c>
      <c r="D68" s="134" t="s">
        <v>175</v>
      </c>
      <c r="E68" s="135" t="str">
        <f>IFERROR(+E67/E29,"NA")</f>
        <v>NA</v>
      </c>
      <c r="F68" s="136" t="str">
        <f>IFERROR(+F67/F29,"NA")</f>
        <v>NA</v>
      </c>
      <c r="G68" s="136">
        <f t="shared" ref="G68:BG68" si="101">+G67/G29</f>
        <v>-88.144733333333349</v>
      </c>
      <c r="H68" s="135">
        <f t="shared" si="101"/>
        <v>-141.77948717948718</v>
      </c>
      <c r="I68" s="136">
        <f t="shared" si="101"/>
        <v>-8.9049393068068152</v>
      </c>
      <c r="J68" s="136">
        <f t="shared" si="101"/>
        <v>-14.515317559601272</v>
      </c>
      <c r="K68" s="135">
        <f t="shared" si="101"/>
        <v>-11.551506456241032</v>
      </c>
      <c r="L68" s="136">
        <f t="shared" si="101"/>
        <v>-12.513378967019293</v>
      </c>
      <c r="M68" s="136">
        <f t="shared" si="101"/>
        <v>-8.0820854132002218</v>
      </c>
      <c r="N68" s="135">
        <f t="shared" si="101"/>
        <v>-9.4481104929982731</v>
      </c>
      <c r="O68" s="136">
        <f t="shared" si="101"/>
        <v>-10.766666666666666</v>
      </c>
      <c r="P68" s="136">
        <f t="shared" si="101"/>
        <v>-10.652155356380709</v>
      </c>
      <c r="Q68" s="135">
        <f t="shared" si="101"/>
        <v>-10.696024223275407</v>
      </c>
      <c r="R68" s="136">
        <f t="shared" si="101"/>
        <v>-2.6396639913502731</v>
      </c>
      <c r="S68" s="136">
        <f t="shared" si="101"/>
        <v>-0.11086446794904764</v>
      </c>
      <c r="T68" s="135">
        <f t="shared" si="101"/>
        <v>-0.45710073955626629</v>
      </c>
      <c r="U68" s="136">
        <f t="shared" si="101"/>
        <v>0.14355806779000302</v>
      </c>
      <c r="V68" s="136">
        <f t="shared" si="101"/>
        <v>7.3308178832215798E-2</v>
      </c>
      <c r="W68" s="135">
        <f t="shared" si="101"/>
        <v>0.10473064286529427</v>
      </c>
      <c r="X68" s="136">
        <f t="shared" si="101"/>
        <v>0.14450087850724716</v>
      </c>
      <c r="Y68" s="136">
        <f t="shared" si="101"/>
        <v>9.9097277388604035E-2</v>
      </c>
      <c r="Z68" s="135">
        <f t="shared" si="101"/>
        <v>0.1201585129057926</v>
      </c>
      <c r="AA68" s="136">
        <f t="shared" si="101"/>
        <v>2.9447252400995137E-2</v>
      </c>
      <c r="AB68" s="136">
        <f t="shared" si="101"/>
        <v>3.0337274620092461E-2</v>
      </c>
      <c r="AC68" s="135">
        <f t="shared" si="101"/>
        <v>2.9905365388785913E-2</v>
      </c>
      <c r="AD68" s="136">
        <f t="shared" si="101"/>
        <v>3.5155929255409835E-2</v>
      </c>
      <c r="AE68" s="136">
        <f t="shared" si="101"/>
        <v>3.6146180718802712E-2</v>
      </c>
      <c r="AF68" s="135">
        <f t="shared" si="101"/>
        <v>3.5662638733973399E-2</v>
      </c>
      <c r="AG68" s="136">
        <f t="shared" si="101"/>
        <v>4.6322847566763546E-2</v>
      </c>
      <c r="AH68" s="136">
        <f t="shared" si="101"/>
        <v>4.9316685055654903E-2</v>
      </c>
      <c r="AI68" s="135">
        <f t="shared" si="101"/>
        <v>4.784282414552829E-2</v>
      </c>
      <c r="AJ68" s="136">
        <f t="shared" si="101"/>
        <v>7.7434655643667236E-2</v>
      </c>
      <c r="AK68" s="136">
        <f t="shared" si="101"/>
        <v>8.0515372798942039E-2</v>
      </c>
      <c r="AL68" s="135">
        <f t="shared" si="101"/>
        <v>7.89992193207327E-2</v>
      </c>
      <c r="AM68" s="136">
        <f t="shared" si="101"/>
        <v>0.11748608526662731</v>
      </c>
      <c r="AN68" s="136">
        <f t="shared" si="101"/>
        <v>0.12024217891017226</v>
      </c>
      <c r="AO68" s="135">
        <f t="shared" si="101"/>
        <v>0.11888687425920104</v>
      </c>
      <c r="AP68" s="136">
        <f t="shared" si="101"/>
        <v>0.15217112908783853</v>
      </c>
      <c r="AQ68" s="136">
        <f t="shared" si="101"/>
        <v>0.15695947833101823</v>
      </c>
      <c r="AR68" s="135">
        <f t="shared" si="101"/>
        <v>0.15464558529702235</v>
      </c>
      <c r="AS68" s="136">
        <f t="shared" si="101"/>
        <v>0.17697346176462728</v>
      </c>
      <c r="AT68" s="136">
        <f t="shared" si="101"/>
        <v>0.18144582539136384</v>
      </c>
      <c r="AU68" s="135">
        <f t="shared" si="101"/>
        <v>0.17928578743628004</v>
      </c>
      <c r="AV68" s="136">
        <f t="shared" si="101"/>
        <v>0.2003646087375909</v>
      </c>
      <c r="AW68" s="136">
        <f t="shared" si="101"/>
        <v>0.20454815834439688</v>
      </c>
      <c r="AX68" s="135">
        <f t="shared" si="101"/>
        <v>0.20252829754486951</v>
      </c>
      <c r="AY68" s="136">
        <f t="shared" si="101"/>
        <v>0.22097555227242649</v>
      </c>
      <c r="AZ68" s="136">
        <f t="shared" si="101"/>
        <v>0.2252252332961463</v>
      </c>
      <c r="BA68" s="135">
        <f t="shared" si="101"/>
        <v>0.22317497923912186</v>
      </c>
      <c r="BB68" s="136">
        <f t="shared" si="101"/>
        <v>0.24047004128350896</v>
      </c>
      <c r="BC68" s="136">
        <f t="shared" si="101"/>
        <v>0.24456965564230698</v>
      </c>
      <c r="BD68" s="135">
        <f t="shared" si="101"/>
        <v>0.24259224575536673</v>
      </c>
      <c r="BE68" s="136">
        <f t="shared" si="101"/>
        <v>0.25852436376825244</v>
      </c>
      <c r="BF68" s="136">
        <f t="shared" si="101"/>
        <v>0.26252498587547868</v>
      </c>
      <c r="BG68" s="135">
        <f t="shared" si="101"/>
        <v>0.26059560171484925</v>
      </c>
      <c r="BH68" s="136"/>
      <c r="BJ68"/>
      <c r="BK68"/>
      <c r="BL68"/>
      <c r="BM68"/>
      <c r="BN68"/>
      <c r="BO68"/>
    </row>
    <row r="69" spans="2:67" s="61" customFormat="1">
      <c r="B69" s="61" t="s">
        <v>213</v>
      </c>
      <c r="D69" s="89" t="s">
        <v>159</v>
      </c>
      <c r="E69" s="123">
        <f>(E70-E71)</f>
        <v>2.9579000000000001E-2</v>
      </c>
      <c r="F69" s="124">
        <f>(F70-F71)</f>
        <v>-1.5318999999999999E-2</v>
      </c>
      <c r="G69" s="91">
        <f>+H69-F69</f>
        <v>-1.3681000000000002E-2</v>
      </c>
      <c r="H69" s="123">
        <f>(H70-H71)</f>
        <v>-2.9000000000000001E-2</v>
      </c>
      <c r="I69" s="124">
        <f>(I70-I71)</f>
        <v>-1.0649189999999999</v>
      </c>
      <c r="J69" s="91">
        <f>+K69-I69</f>
        <v>-1.343081</v>
      </c>
      <c r="K69" s="123">
        <f>(K70-K71)</f>
        <v>-2.4079999999999999</v>
      </c>
      <c r="L69" s="124">
        <f>(L70-L71)</f>
        <v>-0.23499999999999999</v>
      </c>
      <c r="M69" s="91">
        <f>+N69-L69</f>
        <v>-1.504</v>
      </c>
      <c r="N69" s="123">
        <f>(N70-N71)</f>
        <v>-1.7390000000000001</v>
      </c>
      <c r="O69" s="124">
        <f>(O70-O71)</f>
        <v>-2.5049999999999999</v>
      </c>
      <c r="P69" s="91">
        <f>+Q69-O69</f>
        <v>-2.7130000000000001</v>
      </c>
      <c r="Q69" s="123">
        <f>(Q70-Q71)</f>
        <v>-5.218</v>
      </c>
      <c r="R69" s="124">
        <f>(R70-R71)</f>
        <v>-3.3160000000000003</v>
      </c>
      <c r="S69" s="91">
        <f>+T69-R69</f>
        <v>-3.375999999999999</v>
      </c>
      <c r="T69" s="123">
        <f>(T70-T71)</f>
        <v>-6.6919999999999993</v>
      </c>
      <c r="U69" s="124">
        <f>(U70-U71)</f>
        <v>-3.7930000000000001</v>
      </c>
      <c r="V69" s="91">
        <f>+W69-U69</f>
        <v>-4.6210000000000013</v>
      </c>
      <c r="W69" s="123">
        <f>(W70-W71)</f>
        <v>-8.4140000000000015</v>
      </c>
      <c r="X69" s="124">
        <f>(X70-X71)</f>
        <v>-4.8360000000000003</v>
      </c>
      <c r="Y69" s="91">
        <f>+Z69-X69</f>
        <v>-12.426</v>
      </c>
      <c r="Z69" s="123">
        <f>(Z70-Z71)</f>
        <v>-17.262</v>
      </c>
      <c r="AA69" s="124">
        <f>(AA70-AA71)</f>
        <v>-15.225999999999999</v>
      </c>
      <c r="AB69" s="91">
        <f>+AC69-AA69</f>
        <v>-19.644941291598357</v>
      </c>
      <c r="AC69" s="123">
        <f>(AC70-AC71)</f>
        <v>-34.870941291598356</v>
      </c>
      <c r="AD69" s="124">
        <f>(AD70-AD71)</f>
        <v>-14.037181926828719</v>
      </c>
      <c r="AE69" s="91">
        <f>+AF69-AD69</f>
        <v>-14.38643383593698</v>
      </c>
      <c r="AF69" s="123">
        <f>(AF70-AF71)</f>
        <v>-28.423615762765699</v>
      </c>
      <c r="AG69" s="124">
        <f>(AG70-AG71)</f>
        <v>-12.644685432806154</v>
      </c>
      <c r="AH69" s="91">
        <f>+AI69-AG69</f>
        <v>-12.64852408730596</v>
      </c>
      <c r="AI69" s="123">
        <f>(AI70-AI71)</f>
        <v>-25.293209520112114</v>
      </c>
      <c r="AJ69" s="124">
        <f>(AJ70-AJ71)</f>
        <v>-13.121034880180707</v>
      </c>
      <c r="AK69" s="91">
        <f>+AL69-AJ69</f>
        <v>-12.981238189968339</v>
      </c>
      <c r="AL69" s="123">
        <f>(AL70-AL71)</f>
        <v>-26.102273070149046</v>
      </c>
      <c r="AM69" s="124">
        <f>(AM70-AM71)</f>
        <v>-13.298469542067846</v>
      </c>
      <c r="AN69" s="91">
        <f>+AO69-AM69</f>
        <v>-12.921882366253971</v>
      </c>
      <c r="AO69" s="123">
        <f>(AO70-AO71)</f>
        <v>-26.220351908321817</v>
      </c>
      <c r="AP69" s="124">
        <f>(AP70-AP71)</f>
        <v>1.0833896021895923</v>
      </c>
      <c r="AQ69" s="91">
        <f>+AR69-AP69</f>
        <v>1.9294939434058338</v>
      </c>
      <c r="AR69" s="123">
        <f>(AR70-AR71)</f>
        <v>3.0128835455954261</v>
      </c>
      <c r="AS69" s="124">
        <f>(AS70-AS71)</f>
        <v>2.9367246031691829</v>
      </c>
      <c r="AT69" s="91">
        <f>+AU69-AS69</f>
        <v>4.131167364082879</v>
      </c>
      <c r="AU69" s="123">
        <f>(AU70-AU71)</f>
        <v>7.0678919672520619</v>
      </c>
      <c r="AV69" s="124">
        <f>(AV70-AV71)</f>
        <v>5.5037502172773261</v>
      </c>
      <c r="AW69" s="91">
        <f>+AX69-AV69</f>
        <v>7.0860461317251877</v>
      </c>
      <c r="AX69" s="123">
        <f>(AX70-AX71)</f>
        <v>12.589796349002514</v>
      </c>
      <c r="AY69" s="124">
        <f>(AY70-AY71)</f>
        <v>8.8736599123284208</v>
      </c>
      <c r="AZ69" s="91">
        <f>+BA69-AY69</f>
        <v>10.868905167191009</v>
      </c>
      <c r="BA69" s="123">
        <f>(BA70-BA71)</f>
        <v>19.74256507951943</v>
      </c>
      <c r="BB69" s="124">
        <f>(BB70-BB71)</f>
        <v>13.097553940269098</v>
      </c>
      <c r="BC69" s="91">
        <f>+BD69-BB69</f>
        <v>15.53706458596384</v>
      </c>
      <c r="BD69" s="123">
        <f>(BD70-BD71)</f>
        <v>28.634618526232938</v>
      </c>
      <c r="BE69" s="124">
        <f>(BE70-BE71)</f>
        <v>18.238765953832836</v>
      </c>
      <c r="BF69" s="91">
        <f>+BG69-BE69</f>
        <v>21.138268619589386</v>
      </c>
      <c r="BG69" s="123">
        <f>(BG70-BG71)</f>
        <v>39.377034573422222</v>
      </c>
      <c r="BH69" s="124"/>
      <c r="BJ69"/>
      <c r="BK69"/>
      <c r="BL69"/>
      <c r="BM69"/>
      <c r="BN69"/>
      <c r="BO69"/>
    </row>
    <row r="70" spans="2:67" s="61" customFormat="1" outlineLevel="1">
      <c r="B70" s="88" t="s">
        <v>214</v>
      </c>
      <c r="D70" s="89" t="s">
        <v>159</v>
      </c>
      <c r="E70" s="123">
        <f>IF(Segment!E200&lt;&gt;"",Segment!E200,0)</f>
        <v>3.8980000000000001E-2</v>
      </c>
      <c r="F70" s="124">
        <f>IF(Segment!F200&lt;&gt;"",Segment!F200,0)</f>
        <v>0</v>
      </c>
      <c r="G70" s="91">
        <f>H70-F70</f>
        <v>0</v>
      </c>
      <c r="H70" s="123">
        <f>IF(Segment!H200&lt;&gt;"",Segment!H200,0)</f>
        <v>0</v>
      </c>
      <c r="I70" s="124">
        <f>IF(Segment!I200&lt;&gt;"",Segment!I200,0)</f>
        <v>0</v>
      </c>
      <c r="J70" s="91">
        <f>K70-I70</f>
        <v>0</v>
      </c>
      <c r="K70" s="123">
        <f>IF(Segment!K200&lt;&gt;"",Segment!K200,0)</f>
        <v>0</v>
      </c>
      <c r="L70" s="124">
        <f>IF(Segment!L200&lt;&gt;"",Segment!L200,0)</f>
        <v>0</v>
      </c>
      <c r="M70" s="91">
        <f>N70-L70</f>
        <v>0</v>
      </c>
      <c r="N70" s="123">
        <f>IF(Segment!N200&lt;&gt;"",Segment!N200,0)</f>
        <v>0</v>
      </c>
      <c r="O70" s="124">
        <f>IF(Segment!O200&lt;&gt;"",Segment!O200,0)</f>
        <v>0</v>
      </c>
      <c r="P70" s="91">
        <f>Q70-O70</f>
        <v>0</v>
      </c>
      <c r="Q70" s="123">
        <f>IF(Segment!Q200&lt;&gt;"",Segment!Q200,0)</f>
        <v>0</v>
      </c>
      <c r="R70" s="124">
        <f>IF(Segment!R200&lt;&gt;"",Segment!R200,0)</f>
        <v>1E-3</v>
      </c>
      <c r="S70" s="91">
        <f>T70-R70</f>
        <v>0</v>
      </c>
      <c r="T70" s="126">
        <f>IF(Segment!T200&lt;&gt;"",Segment!T200,0)</f>
        <v>1E-3</v>
      </c>
      <c r="U70" s="127">
        <f>+Segment!U200</f>
        <v>0.30299999999999999</v>
      </c>
      <c r="V70" s="128">
        <f>+Segment!V200</f>
        <v>0.36800000000000005</v>
      </c>
      <c r="W70" s="126">
        <f>+Segment!W200</f>
        <v>0.67100000000000004</v>
      </c>
      <c r="X70" s="127">
        <f>+Segment!X200</f>
        <v>0.89500000000000002</v>
      </c>
      <c r="Y70" s="128">
        <f>+Segment!Y200</f>
        <v>6.2850000000000001</v>
      </c>
      <c r="Z70" s="126">
        <f>+Segment!Z200</f>
        <v>7.18</v>
      </c>
      <c r="AA70" s="127">
        <f>+Segment!AA200</f>
        <v>3.6160000000000001</v>
      </c>
      <c r="AB70" s="128">
        <f>+Segment!AB200</f>
        <v>2.0715600000000003</v>
      </c>
      <c r="AC70" s="126">
        <f>+Segment!AC200</f>
        <v>5.6875600000000004</v>
      </c>
      <c r="AD70" s="127">
        <f>+Segment!AD200</f>
        <v>1.2551718762604156</v>
      </c>
      <c r="AE70" s="128">
        <f>+Segment!AE200</f>
        <v>0.9059199671521565</v>
      </c>
      <c r="AF70" s="126">
        <f>+Segment!AF200</f>
        <v>2.1610918434125721</v>
      </c>
      <c r="AG70" s="127">
        <f>+Segment!AG200</f>
        <v>0.66142668543743788</v>
      </c>
      <c r="AH70" s="128">
        <f>+Segment!AH200</f>
        <v>0.65758803093763174</v>
      </c>
      <c r="AI70" s="126">
        <f>+Segment!AI200</f>
        <v>1.3190147163750696</v>
      </c>
      <c r="AJ70" s="127">
        <f>+Segment!AJ200</f>
        <v>0.6995234689750649</v>
      </c>
      <c r="AK70" s="128">
        <f>+Segment!AK200</f>
        <v>0.8393201591874313</v>
      </c>
      <c r="AL70" s="126">
        <f>+Segment!AL200</f>
        <v>1.5388436281624962</v>
      </c>
      <c r="AM70" s="127">
        <f>+Segment!AM200</f>
        <v>1.0372573495457151</v>
      </c>
      <c r="AN70" s="128">
        <f>+Segment!AN200</f>
        <v>1.4138445253595879</v>
      </c>
      <c r="AO70" s="126">
        <f>+Segment!AO200</f>
        <v>2.4511018749053033</v>
      </c>
      <c r="AP70" s="127">
        <f>+Segment!AP200</f>
        <v>1.9306096021895929</v>
      </c>
      <c r="AQ70" s="128">
        <f>+Segment!AQ200</f>
        <v>2.7767139434058343</v>
      </c>
      <c r="AR70" s="126">
        <f>+Segment!AR200</f>
        <v>4.7073235455954272</v>
      </c>
      <c r="AS70" s="127">
        <f>+Segment!AS200</f>
        <v>3.7839446031691835</v>
      </c>
      <c r="AT70" s="128">
        <f>+Segment!AT200</f>
        <v>4.97838736408288</v>
      </c>
      <c r="AU70" s="126">
        <f>+Segment!AU200</f>
        <v>8.762331967252063</v>
      </c>
      <c r="AV70" s="127">
        <f>+Segment!AV200</f>
        <v>6.350970217277327</v>
      </c>
      <c r="AW70" s="128">
        <f>+Segment!AW200</f>
        <v>7.9332661317251887</v>
      </c>
      <c r="AX70" s="126">
        <f>+Segment!AX200</f>
        <v>14.284236349002516</v>
      </c>
      <c r="AY70" s="127">
        <f>+Segment!AY200</f>
        <v>9.7208799123284209</v>
      </c>
      <c r="AZ70" s="128">
        <f>+Segment!AZ200</f>
        <v>11.716125167191008</v>
      </c>
      <c r="BA70" s="126">
        <f>+Segment!BA200</f>
        <v>21.43700507951943</v>
      </c>
      <c r="BB70" s="127">
        <f>+Segment!BB200</f>
        <v>13.944773940269098</v>
      </c>
      <c r="BC70" s="128">
        <f>+Segment!BC200</f>
        <v>16.38428458596384</v>
      </c>
      <c r="BD70" s="126">
        <f>+Segment!BD200</f>
        <v>30.329058526232938</v>
      </c>
      <c r="BE70" s="127">
        <f>+Segment!BE200</f>
        <v>19.085985953832836</v>
      </c>
      <c r="BF70" s="128">
        <f>+Segment!BF200</f>
        <v>21.985488619589386</v>
      </c>
      <c r="BG70" s="126">
        <f>+Segment!BG200</f>
        <v>41.071474573422222</v>
      </c>
      <c r="BH70" s="124"/>
      <c r="BJ70"/>
      <c r="BK70"/>
      <c r="BL70"/>
      <c r="BM70"/>
      <c r="BN70"/>
      <c r="BO70"/>
    </row>
    <row r="71" spans="2:67" s="61" customFormat="1" outlineLevel="1">
      <c r="B71" s="145" t="s">
        <v>215</v>
      </c>
      <c r="D71" s="89" t="s">
        <v>159</v>
      </c>
      <c r="E71" s="123">
        <f>IF(Segment!E201&lt;&gt;"",Segment!E201,0)</f>
        <v>9.4009999999999996E-3</v>
      </c>
      <c r="F71" s="124">
        <f>IF(Segment!F201&lt;&gt;"",Segment!F201,0)</f>
        <v>1.5318999999999999E-2</v>
      </c>
      <c r="G71" s="91">
        <f t="shared" ref="G71" si="102">H71-F71</f>
        <v>1.3681000000000002E-2</v>
      </c>
      <c r="H71" s="123">
        <f>IF(Segment!H201&lt;&gt;"",Segment!H201,0)</f>
        <v>2.9000000000000001E-2</v>
      </c>
      <c r="I71" s="124">
        <f>IF(Segment!I201&lt;&gt;"",Segment!I201,0)</f>
        <v>1.0649189999999999</v>
      </c>
      <c r="J71" s="91">
        <f t="shared" ref="J71" si="103">K71-I71</f>
        <v>1.343081</v>
      </c>
      <c r="K71" s="123">
        <f>IF(Segment!K201&lt;&gt;"",Segment!K201,0)</f>
        <v>2.4079999999999999</v>
      </c>
      <c r="L71" s="124">
        <f>IF(Segment!L201&lt;&gt;"",Segment!L201,0)</f>
        <v>0.23499999999999999</v>
      </c>
      <c r="M71" s="91">
        <f t="shared" ref="M71" si="104">N71-L71</f>
        <v>1.504</v>
      </c>
      <c r="N71" s="123">
        <f>IF(Segment!N201&lt;&gt;"",Segment!N201,0)</f>
        <v>1.7390000000000001</v>
      </c>
      <c r="O71" s="124">
        <f>IF(Segment!O201&lt;&gt;"",Segment!O201,0)</f>
        <v>2.5049999999999999</v>
      </c>
      <c r="P71" s="91">
        <f t="shared" ref="P71" si="105">Q71-O71</f>
        <v>2.7130000000000001</v>
      </c>
      <c r="Q71" s="123">
        <f>IF(Segment!Q201&lt;&gt;"",Segment!Q201,0)</f>
        <v>5.218</v>
      </c>
      <c r="R71" s="124">
        <f>IF(Segment!R201&lt;&gt;"",Segment!R201,0)</f>
        <v>3.3170000000000002</v>
      </c>
      <c r="S71" s="91">
        <f t="shared" ref="S71" si="106">T71-R71</f>
        <v>3.3759999999999994</v>
      </c>
      <c r="T71" s="126">
        <f>IF(Segment!T201&lt;&gt;"",Segment!T201,0)</f>
        <v>6.6929999999999996</v>
      </c>
      <c r="U71" s="127">
        <f>+Segment!U201</f>
        <v>4.0960000000000001</v>
      </c>
      <c r="V71" s="128">
        <f>+Segment!V201</f>
        <v>4.9890000000000008</v>
      </c>
      <c r="W71" s="126">
        <f>+Segment!W201</f>
        <v>9.0850000000000009</v>
      </c>
      <c r="X71" s="127">
        <f>+Segment!X201</f>
        <v>5.7309999999999999</v>
      </c>
      <c r="Y71" s="128">
        <f>+Segment!Y201</f>
        <v>18.710999999999999</v>
      </c>
      <c r="Z71" s="126">
        <f>+Segment!Z201</f>
        <v>24.442</v>
      </c>
      <c r="AA71" s="127">
        <f>+Segment!AA201</f>
        <v>18.841999999999999</v>
      </c>
      <c r="AB71" s="128">
        <f>+Segment!AB201</f>
        <v>21.716501291598355</v>
      </c>
      <c r="AC71" s="126">
        <f>+Segment!AC201</f>
        <v>40.558501291598354</v>
      </c>
      <c r="AD71" s="127">
        <f>+Segment!AD201</f>
        <v>15.292353803089135</v>
      </c>
      <c r="AE71" s="128">
        <f>+Segment!AE201</f>
        <v>15.292353803089135</v>
      </c>
      <c r="AF71" s="126">
        <f>+Segment!AF201</f>
        <v>30.58470760617827</v>
      </c>
      <c r="AG71" s="127">
        <f>+Segment!AG201</f>
        <v>13.306112118243592</v>
      </c>
      <c r="AH71" s="128">
        <f>+Segment!AH201</f>
        <v>13.306112118243592</v>
      </c>
      <c r="AI71" s="126">
        <f>+Segment!AI201</f>
        <v>26.612224236487183</v>
      </c>
      <c r="AJ71" s="127">
        <f>+Segment!AJ201</f>
        <v>13.820558349155771</v>
      </c>
      <c r="AK71" s="128">
        <f>+Segment!AK201</f>
        <v>13.820558349155771</v>
      </c>
      <c r="AL71" s="126">
        <f>+Segment!AL201</f>
        <v>27.641116698311542</v>
      </c>
      <c r="AM71" s="127">
        <f>+Segment!AM201</f>
        <v>14.335726891613561</v>
      </c>
      <c r="AN71" s="128">
        <f>+Segment!AN201</f>
        <v>14.335726891613561</v>
      </c>
      <c r="AO71" s="126">
        <f>+Segment!AO201</f>
        <v>28.671453783227122</v>
      </c>
      <c r="AP71" s="127">
        <f>+Segment!AP201</f>
        <v>0.84722000000000064</v>
      </c>
      <c r="AQ71" s="128">
        <f>+Segment!AQ201</f>
        <v>0.84722000000000064</v>
      </c>
      <c r="AR71" s="126">
        <f>+Segment!AR201</f>
        <v>1.6944400000000013</v>
      </c>
      <c r="AS71" s="127">
        <f>+Segment!AS201</f>
        <v>0.84722000000000064</v>
      </c>
      <c r="AT71" s="128">
        <f>+Segment!AT201</f>
        <v>0.84722000000000064</v>
      </c>
      <c r="AU71" s="126">
        <f>+Segment!AU201</f>
        <v>1.6944400000000013</v>
      </c>
      <c r="AV71" s="127">
        <f>+Segment!AV201</f>
        <v>0.84722000000000064</v>
      </c>
      <c r="AW71" s="128">
        <f>+Segment!AW201</f>
        <v>0.84722000000000064</v>
      </c>
      <c r="AX71" s="126">
        <f>+Segment!AX201</f>
        <v>1.6944400000000013</v>
      </c>
      <c r="AY71" s="127">
        <f>+Segment!AY201</f>
        <v>0.84722000000000064</v>
      </c>
      <c r="AZ71" s="128">
        <f>+Segment!AZ201</f>
        <v>0.84722000000000064</v>
      </c>
      <c r="BA71" s="126">
        <f>+Segment!BA201</f>
        <v>1.6944400000000013</v>
      </c>
      <c r="BB71" s="127">
        <f>+Segment!BB201</f>
        <v>0.84722000000000064</v>
      </c>
      <c r="BC71" s="128">
        <f>+Segment!BC201</f>
        <v>0.84722000000000064</v>
      </c>
      <c r="BD71" s="126">
        <f>+Segment!BD201</f>
        <v>1.6944400000000013</v>
      </c>
      <c r="BE71" s="127">
        <f>+Segment!BE201</f>
        <v>0.84722000000000064</v>
      </c>
      <c r="BF71" s="128">
        <f>+Segment!BF201</f>
        <v>0.84722000000000064</v>
      </c>
      <c r="BG71" s="126">
        <f>+Segment!BG201</f>
        <v>1.6944400000000013</v>
      </c>
      <c r="BH71" s="124"/>
      <c r="BJ71"/>
      <c r="BK71"/>
      <c r="BL71"/>
      <c r="BM71"/>
      <c r="BN71"/>
      <c r="BO71"/>
    </row>
    <row r="72" spans="2:67" s="61" customFormat="1" outlineLevel="1">
      <c r="B72" s="145"/>
      <c r="D72" s="89"/>
      <c r="E72" s="123"/>
      <c r="F72" s="124"/>
      <c r="G72" s="91"/>
      <c r="H72" s="123"/>
      <c r="I72" s="124"/>
      <c r="J72" s="91"/>
      <c r="K72" s="123"/>
      <c r="L72" s="124"/>
      <c r="M72" s="91"/>
      <c r="N72" s="123"/>
      <c r="O72" s="124"/>
      <c r="P72" s="91"/>
      <c r="Q72" s="123"/>
      <c r="R72" s="124"/>
      <c r="S72" s="91"/>
      <c r="T72" s="123"/>
      <c r="U72" s="124"/>
      <c r="V72" s="91"/>
      <c r="W72" s="123"/>
      <c r="X72" s="124"/>
      <c r="Y72" s="91"/>
      <c r="Z72" s="123"/>
      <c r="AA72" s="124"/>
      <c r="AB72" s="91"/>
      <c r="AC72" s="123"/>
      <c r="AD72" s="124"/>
      <c r="AE72" s="91"/>
      <c r="AF72" s="123"/>
      <c r="AG72" s="124"/>
      <c r="AH72" s="91"/>
      <c r="AI72" s="123"/>
      <c r="AJ72" s="124"/>
      <c r="AK72" s="91"/>
      <c r="AL72" s="123"/>
      <c r="AM72" s="124"/>
      <c r="AN72" s="91"/>
      <c r="AO72" s="123"/>
      <c r="AP72" s="124"/>
      <c r="AQ72" s="91"/>
      <c r="AR72" s="123"/>
      <c r="AS72" s="124"/>
      <c r="AT72" s="91"/>
      <c r="AU72" s="123"/>
      <c r="AV72" s="124"/>
      <c r="AW72" s="91"/>
      <c r="AX72" s="123"/>
      <c r="AY72" s="124"/>
      <c r="AZ72" s="91"/>
      <c r="BA72" s="123"/>
      <c r="BB72" s="124"/>
      <c r="BC72" s="91"/>
      <c r="BD72" s="123"/>
      <c r="BE72" s="124"/>
      <c r="BF72" s="91"/>
      <c r="BG72" s="123"/>
      <c r="BH72" s="124"/>
      <c r="BJ72"/>
      <c r="BK72"/>
      <c r="BL72"/>
      <c r="BM72"/>
      <c r="BN72"/>
      <c r="BO72"/>
    </row>
    <row r="73" spans="2:67" s="61" customFormat="1" outlineLevel="1">
      <c r="B73" s="145" t="s">
        <v>216</v>
      </c>
      <c r="D73" s="89"/>
      <c r="E73" s="123">
        <v>0</v>
      </c>
      <c r="F73" s="124">
        <v>0</v>
      </c>
      <c r="G73" s="91">
        <f t="shared" ref="G73" si="107">H73-F73</f>
        <v>0</v>
      </c>
      <c r="H73" s="123">
        <v>0</v>
      </c>
      <c r="I73" s="124">
        <v>-1.022</v>
      </c>
      <c r="J73" s="91">
        <f t="shared" ref="J73" si="108">K73-I73</f>
        <v>-1.2489999999999999</v>
      </c>
      <c r="K73" s="123">
        <v>-2.2709999999999999</v>
      </c>
      <c r="L73" s="124">
        <v>-5.6520000000000001</v>
      </c>
      <c r="M73" s="91">
        <f t="shared" ref="M73" si="109">N73-L73</f>
        <v>-1.0750000000000002</v>
      </c>
      <c r="N73" s="123">
        <v>-6.7270000000000003</v>
      </c>
      <c r="O73" s="124">
        <v>-3.3940000000000001</v>
      </c>
      <c r="P73" s="91">
        <f t="shared" ref="P73" si="110">Q73-O73</f>
        <v>-11.461</v>
      </c>
      <c r="Q73" s="123">
        <v>-14.855</v>
      </c>
      <c r="R73" s="124">
        <v>-5.718</v>
      </c>
      <c r="S73" s="91">
        <f t="shared" ref="S73" si="111">T73-R73</f>
        <v>-12.006</v>
      </c>
      <c r="T73" s="123">
        <v>-17.724</v>
      </c>
      <c r="U73" s="124">
        <v>0</v>
      </c>
      <c r="V73" s="91">
        <v>0</v>
      </c>
      <c r="W73" s="123">
        <v>0</v>
      </c>
      <c r="X73" s="124">
        <v>0</v>
      </c>
      <c r="Y73" s="91">
        <v>0</v>
      </c>
      <c r="Z73" s="123">
        <v>0</v>
      </c>
      <c r="AA73" s="124">
        <v>0</v>
      </c>
      <c r="AB73" s="91">
        <v>0</v>
      </c>
      <c r="AC73" s="123">
        <v>0</v>
      </c>
      <c r="AD73" s="124">
        <v>0</v>
      </c>
      <c r="AE73" s="91">
        <v>0</v>
      </c>
      <c r="AF73" s="123">
        <v>0</v>
      </c>
      <c r="AG73" s="124">
        <v>0</v>
      </c>
      <c r="AH73" s="91">
        <v>0</v>
      </c>
      <c r="AI73" s="123">
        <v>0</v>
      </c>
      <c r="AJ73" s="124">
        <v>0</v>
      </c>
      <c r="AK73" s="91">
        <v>0</v>
      </c>
      <c r="AL73" s="123">
        <v>0</v>
      </c>
      <c r="AM73" s="124">
        <v>0</v>
      </c>
      <c r="AN73" s="91">
        <v>0</v>
      </c>
      <c r="AO73" s="123">
        <v>0</v>
      </c>
      <c r="AP73" s="124">
        <v>0</v>
      </c>
      <c r="AQ73" s="91">
        <v>0</v>
      </c>
      <c r="AR73" s="123">
        <v>0</v>
      </c>
      <c r="AS73" s="124">
        <v>0</v>
      </c>
      <c r="AT73" s="91">
        <v>0</v>
      </c>
      <c r="AU73" s="123">
        <v>0</v>
      </c>
      <c r="AV73" s="124">
        <v>0</v>
      </c>
      <c r="AW73" s="91">
        <v>0</v>
      </c>
      <c r="AX73" s="123">
        <v>0</v>
      </c>
      <c r="AY73" s="124">
        <v>0</v>
      </c>
      <c r="AZ73" s="91">
        <v>0</v>
      </c>
      <c r="BA73" s="123">
        <v>0</v>
      </c>
      <c r="BB73" s="124">
        <v>0</v>
      </c>
      <c r="BC73" s="91">
        <v>0</v>
      </c>
      <c r="BD73" s="123">
        <v>0</v>
      </c>
      <c r="BE73" s="124">
        <v>0</v>
      </c>
      <c r="BF73" s="91">
        <v>0</v>
      </c>
      <c r="BG73" s="123">
        <v>0</v>
      </c>
      <c r="BH73" s="124"/>
      <c r="BJ73"/>
      <c r="BK73"/>
      <c r="BL73"/>
      <c r="BM73"/>
      <c r="BN73"/>
      <c r="BO73"/>
    </row>
    <row r="74" spans="2:67" s="61" customFormat="1" outlineLevel="1">
      <c r="B74" s="145" t="s">
        <v>217</v>
      </c>
      <c r="D74" s="89"/>
      <c r="E74" s="123">
        <f t="shared" ref="E74:T74" si="112">SUM(E35:E38)</f>
        <v>0.11263700000000001</v>
      </c>
      <c r="F74" s="124">
        <f t="shared" si="112"/>
        <v>5.1178070000000009</v>
      </c>
      <c r="G74" s="124">
        <f t="shared" si="112"/>
        <v>6.5111929999999987</v>
      </c>
      <c r="H74" s="123">
        <f t="shared" si="112"/>
        <v>11.629</v>
      </c>
      <c r="I74" s="124">
        <f t="shared" si="112"/>
        <v>5.5979770000000002</v>
      </c>
      <c r="J74" s="124">
        <f t="shared" si="112"/>
        <v>5.8460229999999997</v>
      </c>
      <c r="K74" s="123">
        <f t="shared" si="112"/>
        <v>11.443999999999999</v>
      </c>
      <c r="L74" s="124">
        <f t="shared" si="112"/>
        <v>6.702</v>
      </c>
      <c r="M74" s="124">
        <f t="shared" si="112"/>
        <v>3.0150000000000006</v>
      </c>
      <c r="N74" s="123">
        <f t="shared" si="112"/>
        <v>9.7170000000000005</v>
      </c>
      <c r="O74" s="124">
        <f t="shared" si="112"/>
        <v>4.7819999999999991</v>
      </c>
      <c r="P74" s="124">
        <f t="shared" si="112"/>
        <v>16.073000000000004</v>
      </c>
      <c r="Q74" s="123">
        <f t="shared" si="112"/>
        <v>20.854999999999997</v>
      </c>
      <c r="R74" s="124">
        <f t="shared" si="112"/>
        <v>1.8069999999999999</v>
      </c>
      <c r="S74" s="124">
        <f t="shared" si="112"/>
        <v>-2.8330000000000002</v>
      </c>
      <c r="T74" s="126">
        <f t="shared" si="112"/>
        <v>-1.026</v>
      </c>
      <c r="U74" s="127">
        <f>+Segment!U197</f>
        <v>-25.372</v>
      </c>
      <c r="V74" s="128">
        <f>+Segment!V197</f>
        <v>1.5449999999999982</v>
      </c>
      <c r="W74" s="126">
        <f>+Segment!W197</f>
        <v>-23.827000000000002</v>
      </c>
      <c r="X74" s="127">
        <f>+Segment!X197</f>
        <v>-6.915</v>
      </c>
      <c r="Y74" s="128">
        <f>+Segment!Y197</f>
        <v>2.4000000000000021E-2</v>
      </c>
      <c r="Z74" s="126">
        <f>+Segment!Z197</f>
        <v>-6.891</v>
      </c>
      <c r="AA74" s="127">
        <f>+Segment!AA197</f>
        <v>-1.105</v>
      </c>
      <c r="AB74" s="128">
        <f>+Segment!AB197</f>
        <v>0</v>
      </c>
      <c r="AC74" s="126">
        <f>+Segment!AC197</f>
        <v>0</v>
      </c>
      <c r="AD74" s="127">
        <f>+Segment!AD197</f>
        <v>0</v>
      </c>
      <c r="AE74" s="128">
        <f>+Segment!AE197</f>
        <v>0</v>
      </c>
      <c r="AF74" s="126">
        <f>+Segment!AF197</f>
        <v>0</v>
      </c>
      <c r="AG74" s="127">
        <f>+Segment!AG197</f>
        <v>0</v>
      </c>
      <c r="AH74" s="128">
        <f>+Segment!AH197</f>
        <v>0</v>
      </c>
      <c r="AI74" s="126">
        <f>+Segment!AI197</f>
        <v>0</v>
      </c>
      <c r="AJ74" s="127">
        <f>+Segment!AJ197</f>
        <v>0</v>
      </c>
      <c r="AK74" s="128">
        <f>+Segment!AK197</f>
        <v>0</v>
      </c>
      <c r="AL74" s="126">
        <f>+Segment!AL197</f>
        <v>0</v>
      </c>
      <c r="AM74" s="127">
        <f>+Segment!AM197</f>
        <v>0</v>
      </c>
      <c r="AN74" s="128">
        <f>+Segment!AN197</f>
        <v>0</v>
      </c>
      <c r="AO74" s="126">
        <f>+Segment!AO197</f>
        <v>0</v>
      </c>
      <c r="AP74" s="127">
        <f>+Segment!AP197</f>
        <v>0</v>
      </c>
      <c r="AQ74" s="128">
        <f>+Segment!AQ197</f>
        <v>0</v>
      </c>
      <c r="AR74" s="126">
        <f>+Segment!AR197</f>
        <v>0</v>
      </c>
      <c r="AS74" s="127">
        <f>+Segment!AS197</f>
        <v>0</v>
      </c>
      <c r="AT74" s="128">
        <f>+Segment!AT197</f>
        <v>0</v>
      </c>
      <c r="AU74" s="126">
        <f>+Segment!AU197</f>
        <v>0</v>
      </c>
      <c r="AV74" s="127">
        <f>+Segment!AV197</f>
        <v>0</v>
      </c>
      <c r="AW74" s="128">
        <f>+Segment!AW197</f>
        <v>0</v>
      </c>
      <c r="AX74" s="126">
        <f>+Segment!AX197</f>
        <v>0</v>
      </c>
      <c r="AY74" s="127">
        <f>+Segment!AY197</f>
        <v>0</v>
      </c>
      <c r="AZ74" s="128">
        <f>+Segment!AZ197</f>
        <v>0</v>
      </c>
      <c r="BA74" s="126">
        <f>+Segment!BA197</f>
        <v>0</v>
      </c>
      <c r="BB74" s="127">
        <f>+Segment!BB197</f>
        <v>0</v>
      </c>
      <c r="BC74" s="128">
        <f>+Segment!BC197</f>
        <v>0</v>
      </c>
      <c r="BD74" s="126">
        <f>+Segment!BD197</f>
        <v>0</v>
      </c>
      <c r="BE74" s="127">
        <f>+Segment!BE197</f>
        <v>0</v>
      </c>
      <c r="BF74" s="128">
        <f>+Segment!BF197</f>
        <v>0</v>
      </c>
      <c r="BG74" s="126">
        <f>+Segment!BG197</f>
        <v>0</v>
      </c>
      <c r="BH74" s="124"/>
      <c r="BJ74"/>
      <c r="BK74"/>
      <c r="BL74"/>
      <c r="BM74"/>
      <c r="BN74"/>
      <c r="BO74"/>
    </row>
    <row r="75" spans="2:67" s="61" customFormat="1" outlineLevel="1">
      <c r="B75" s="145"/>
      <c r="D75" s="89"/>
      <c r="E75" s="123"/>
      <c r="F75" s="124"/>
      <c r="G75" s="91"/>
      <c r="H75" s="123"/>
      <c r="I75" s="124"/>
      <c r="J75" s="91"/>
      <c r="K75" s="123"/>
      <c r="L75" s="124"/>
      <c r="M75" s="91"/>
      <c r="N75" s="123"/>
      <c r="O75" s="124"/>
      <c r="P75" s="91"/>
      <c r="Q75" s="123"/>
      <c r="R75" s="124"/>
      <c r="S75" s="91"/>
      <c r="T75" s="123"/>
      <c r="U75" s="124"/>
      <c r="V75" s="91"/>
      <c r="W75" s="123"/>
      <c r="X75" s="124"/>
      <c r="Y75" s="91"/>
      <c r="Z75" s="123"/>
      <c r="AA75" s="124"/>
      <c r="AB75" s="91"/>
      <c r="AC75" s="123"/>
      <c r="AD75" s="124"/>
      <c r="AE75" s="91"/>
      <c r="AF75" s="123"/>
      <c r="AG75" s="124"/>
      <c r="AH75" s="91"/>
      <c r="AI75" s="123"/>
      <c r="AJ75" s="124"/>
      <c r="AK75" s="91"/>
      <c r="AL75" s="123"/>
      <c r="AM75" s="124"/>
      <c r="AN75" s="91"/>
      <c r="AO75" s="123"/>
      <c r="AP75" s="124"/>
      <c r="AQ75" s="91"/>
      <c r="AR75" s="123"/>
      <c r="AS75" s="124"/>
      <c r="AT75" s="91"/>
      <c r="AU75" s="123"/>
      <c r="AV75" s="124"/>
      <c r="AW75" s="91"/>
      <c r="AX75" s="123"/>
      <c r="AY75" s="124"/>
      <c r="AZ75" s="91"/>
      <c r="BA75" s="123"/>
      <c r="BB75" s="124"/>
      <c r="BC75" s="91"/>
      <c r="BD75" s="123"/>
      <c r="BE75" s="124"/>
      <c r="BF75" s="91"/>
      <c r="BG75" s="123"/>
      <c r="BH75" s="124"/>
      <c r="BJ75"/>
      <c r="BK75"/>
      <c r="BL75"/>
      <c r="BM75"/>
      <c r="BN75"/>
      <c r="BO75"/>
    </row>
    <row r="76" spans="2:67" s="61" customFormat="1">
      <c r="B76" s="88" t="s">
        <v>218</v>
      </c>
      <c r="D76" s="89" t="s">
        <v>159</v>
      </c>
      <c r="E76" s="146">
        <v>-6.3771149999999999</v>
      </c>
      <c r="F76" s="147">
        <v>-5.1900069999999996</v>
      </c>
      <c r="G76" s="91">
        <f>+H76-F76</f>
        <v>-10.523993000000001</v>
      </c>
      <c r="H76" s="146">
        <v>-15.714</v>
      </c>
      <c r="I76" s="147">
        <v>-11.595413000000001</v>
      </c>
      <c r="J76" s="91">
        <f>+K76-I76</f>
        <v>-19.526586999999999</v>
      </c>
      <c r="K76" s="146">
        <v>-31.122</v>
      </c>
      <c r="L76" s="147">
        <v>-19.245999999999999</v>
      </c>
      <c r="M76" s="91">
        <f>+N76-L76</f>
        <v>-28.689000000000004</v>
      </c>
      <c r="N76" s="146">
        <v>-47.935000000000002</v>
      </c>
      <c r="O76" s="147">
        <v>-32.448</v>
      </c>
      <c r="P76" s="91">
        <f>+Q76-O76</f>
        <v>-48.017000000000003</v>
      </c>
      <c r="Q76" s="146">
        <v>-80.465000000000003</v>
      </c>
      <c r="R76" s="147">
        <v>-70.703000000000003</v>
      </c>
      <c r="S76" s="91">
        <f>+T76-R76</f>
        <v>-27.918999999999997</v>
      </c>
      <c r="T76" s="148">
        <v>-98.622</v>
      </c>
      <c r="U76" s="147">
        <f>+U67+U69+U73+U74</f>
        <v>-7.8059999999999761</v>
      </c>
      <c r="V76" s="91">
        <f t="shared" ref="V76:BG76" si="113">+V67+V69+V73+V74</f>
        <v>10.426999999999985</v>
      </c>
      <c r="W76" s="148">
        <f t="shared" si="113"/>
        <v>2.6319999999999446</v>
      </c>
      <c r="X76" s="149">
        <f t="shared" si="113"/>
        <v>22.872999999999998</v>
      </c>
      <c r="Y76" s="91">
        <f t="shared" si="113"/>
        <v>15.042000000000002</v>
      </c>
      <c r="Z76" s="148">
        <f t="shared" si="113"/>
        <v>37.915000000000084</v>
      </c>
      <c r="AA76" s="149">
        <f t="shared" si="113"/>
        <v>-4.8359999999999381</v>
      </c>
      <c r="AB76" s="91">
        <f t="shared" si="113"/>
        <v>-7.0840378318595327</v>
      </c>
      <c r="AC76" s="148">
        <f t="shared" si="113"/>
        <v>-10.815037831859645</v>
      </c>
      <c r="AD76" s="149">
        <f t="shared" si="113"/>
        <v>1.5428324386605432</v>
      </c>
      <c r="AE76" s="91">
        <f t="shared" si="113"/>
        <v>2.3999259413574983</v>
      </c>
      <c r="AF76" s="148">
        <f t="shared" si="113"/>
        <v>3.942758380018212</v>
      </c>
      <c r="AG76" s="149">
        <f t="shared" si="113"/>
        <v>10.718558364296326</v>
      </c>
      <c r="AH76" s="91">
        <f t="shared" si="113"/>
        <v>13.002940377206498</v>
      </c>
      <c r="AI76" s="148">
        <f t="shared" si="113"/>
        <v>23.721498741502948</v>
      </c>
      <c r="AJ76" s="149">
        <f t="shared" si="113"/>
        <v>31.036958969668795</v>
      </c>
      <c r="AK76" s="91">
        <f t="shared" si="113"/>
        <v>34.399611886034734</v>
      </c>
      <c r="AL76" s="148">
        <f t="shared" si="113"/>
        <v>65.43657085570365</v>
      </c>
      <c r="AM76" s="149">
        <f t="shared" si="113"/>
        <v>73.255703244100729</v>
      </c>
      <c r="AN76" s="91">
        <f t="shared" si="113"/>
        <v>78.635676804863564</v>
      </c>
      <c r="AO76" s="148">
        <f t="shared" si="113"/>
        <v>151.89138004896407</v>
      </c>
      <c r="AP76" s="149">
        <f t="shared" si="113"/>
        <v>132.08682366439467</v>
      </c>
      <c r="AQ76" s="91">
        <f t="shared" si="113"/>
        <v>146.43169342911855</v>
      </c>
      <c r="AR76" s="148">
        <f t="shared" si="113"/>
        <v>278.5185170935132</v>
      </c>
      <c r="AS76" s="149">
        <f t="shared" si="113"/>
        <v>178.18297150409251</v>
      </c>
      <c r="AT76" s="91">
        <f t="shared" si="113"/>
        <v>196.47363286411948</v>
      </c>
      <c r="AU76" s="148">
        <f t="shared" si="113"/>
        <v>374.65660436821236</v>
      </c>
      <c r="AV76" s="149">
        <f t="shared" si="113"/>
        <v>230.42207802032257</v>
      </c>
      <c r="AW76" s="91">
        <f t="shared" si="113"/>
        <v>253.05073574516567</v>
      </c>
      <c r="AX76" s="148">
        <f t="shared" si="113"/>
        <v>483.47281376548824</v>
      </c>
      <c r="AY76" s="149">
        <f t="shared" si="113"/>
        <v>285.22335129502619</v>
      </c>
      <c r="AZ76" s="91">
        <f t="shared" si="113"/>
        <v>313.02660583284131</v>
      </c>
      <c r="BA76" s="148">
        <f t="shared" si="113"/>
        <v>598.24995712786767</v>
      </c>
      <c r="BB76" s="149">
        <f t="shared" si="113"/>
        <v>344.34775810858719</v>
      </c>
      <c r="BC76" s="91">
        <f t="shared" si="113"/>
        <v>377.10363748099843</v>
      </c>
      <c r="BD76" s="148">
        <f t="shared" si="113"/>
        <v>721.4513955895851</v>
      </c>
      <c r="BE76" s="149">
        <f t="shared" si="113"/>
        <v>404.67475491242635</v>
      </c>
      <c r="BF76" s="91">
        <f t="shared" si="113"/>
        <v>442.40582807768538</v>
      </c>
      <c r="BG76" s="148">
        <f t="shared" si="113"/>
        <v>847.08058299011122</v>
      </c>
      <c r="BH76" s="149"/>
      <c r="BJ76"/>
      <c r="BK76"/>
      <c r="BL76"/>
      <c r="BM76"/>
      <c r="BN76"/>
      <c r="BO76"/>
    </row>
    <row r="77" spans="2:67" s="61" customFormat="1">
      <c r="B77" s="61" t="s">
        <v>219</v>
      </c>
      <c r="D77" s="89" t="s">
        <v>159</v>
      </c>
      <c r="E77" s="150">
        <v>0</v>
      </c>
      <c r="F77" s="151">
        <v>0</v>
      </c>
      <c r="G77" s="91">
        <f>H77-F77</f>
        <v>-1.8839999999999999</v>
      </c>
      <c r="H77" s="150">
        <v>-1.8839999999999999</v>
      </c>
      <c r="I77" s="151">
        <v>-1.225903</v>
      </c>
      <c r="J77" s="91">
        <f>K77-I77</f>
        <v>-2.0290970000000002</v>
      </c>
      <c r="K77" s="150">
        <v>-3.2549999999999999</v>
      </c>
      <c r="L77" s="151">
        <v>-0.94499999999999995</v>
      </c>
      <c r="M77" s="91">
        <f>N77-L77</f>
        <v>-2.1030000000000002</v>
      </c>
      <c r="N77" s="150">
        <v>-3.048</v>
      </c>
      <c r="O77" s="151">
        <v>6.6000000000000003E-2</v>
      </c>
      <c r="P77" s="91">
        <f>Q77-O77</f>
        <v>-2.1000000000000005E-2</v>
      </c>
      <c r="Q77" s="150">
        <v>4.4999999999999998E-2</v>
      </c>
      <c r="R77" s="151">
        <v>0.188</v>
      </c>
      <c r="S77" s="91">
        <f>T77-R77</f>
        <v>5.2690000000000001</v>
      </c>
      <c r="T77" s="138">
        <v>5.4569999999999999</v>
      </c>
      <c r="U77" s="152">
        <f>+Segment!U206</f>
        <v>1.327</v>
      </c>
      <c r="V77" s="128">
        <f>+Segment!V206</f>
        <v>-2.9409999999999998</v>
      </c>
      <c r="W77" s="138">
        <f>+Segment!W206</f>
        <v>-1.6140000000000001</v>
      </c>
      <c r="X77" s="128">
        <f>+Segment!X206</f>
        <v>3.282</v>
      </c>
      <c r="Y77" s="128">
        <f>+Segment!Y206</f>
        <v>0.9480000000000004</v>
      </c>
      <c r="Z77" s="138">
        <f>+Segment!Z206</f>
        <v>4.2300000000000004</v>
      </c>
      <c r="AA77" s="128">
        <f>+Segment!AA206</f>
        <v>-2.544</v>
      </c>
      <c r="AB77" s="128">
        <f>+Segment!AB206</f>
        <v>-1.6647488904869892</v>
      </c>
      <c r="AC77" s="138">
        <f>+Segment!AC206</f>
        <v>-4.208748890486989</v>
      </c>
      <c r="AD77" s="128">
        <f>+Segment!AD206</f>
        <v>0.36256562308522761</v>
      </c>
      <c r="AE77" s="128">
        <f>+Segment!AE206</f>
        <v>0.56398259621901248</v>
      </c>
      <c r="AF77" s="138">
        <f>+Segment!AF206</f>
        <v>0.92654821930424003</v>
      </c>
      <c r="AG77" s="128">
        <f>+Segment!AG206</f>
        <v>2.5188612156096366</v>
      </c>
      <c r="AH77" s="128">
        <f>+Segment!AH206</f>
        <v>3.0556909886435268</v>
      </c>
      <c r="AI77" s="138">
        <f>+Segment!AI206</f>
        <v>5.5745522042531634</v>
      </c>
      <c r="AJ77" s="128">
        <f>+Segment!AJ206</f>
        <v>7.2936853578721665</v>
      </c>
      <c r="AK77" s="128">
        <f>+Segment!AK206</f>
        <v>8.0839087932181624</v>
      </c>
      <c r="AL77" s="138">
        <f>+Segment!AL206</f>
        <v>15.377594151090328</v>
      </c>
      <c r="AM77" s="128">
        <f>+Segment!AM206</f>
        <v>17.21509026236367</v>
      </c>
      <c r="AN77" s="128">
        <f>+Segment!AN206</f>
        <v>18.479384049142936</v>
      </c>
      <c r="AO77" s="138">
        <f>+Segment!AO206</f>
        <v>35.69447431150661</v>
      </c>
      <c r="AP77" s="128">
        <f>+Segment!AP206</f>
        <v>31.040403561132745</v>
      </c>
      <c r="AQ77" s="128">
        <f>+Segment!AQ206</f>
        <v>34.41144795584286</v>
      </c>
      <c r="AR77" s="138">
        <f>+Segment!AR206</f>
        <v>65.451851516975609</v>
      </c>
      <c r="AS77" s="128">
        <f>+Segment!AS206</f>
        <v>41.872998303461735</v>
      </c>
      <c r="AT77" s="128">
        <f>+Segment!AT206</f>
        <v>46.171303723068078</v>
      </c>
      <c r="AU77" s="138">
        <f>+Segment!AU206</f>
        <v>88.044302026529806</v>
      </c>
      <c r="AV77" s="128">
        <f>+Segment!AV206</f>
        <v>54.149188334775801</v>
      </c>
      <c r="AW77" s="128">
        <f>+Segment!AW206</f>
        <v>59.466922900113929</v>
      </c>
      <c r="AX77" s="138">
        <f>+Segment!AX206</f>
        <v>113.61611123488973</v>
      </c>
      <c r="AY77" s="128">
        <f>+Segment!AY206</f>
        <v>67.027487554331145</v>
      </c>
      <c r="AZ77" s="128">
        <f>+Segment!AZ206</f>
        <v>73.56125237071771</v>
      </c>
      <c r="BA77" s="138">
        <f>+Segment!BA206</f>
        <v>140.58873992504886</v>
      </c>
      <c r="BB77" s="128">
        <f>+Segment!BB206</f>
        <v>80.921723155517981</v>
      </c>
      <c r="BC77" s="128">
        <f>+Segment!BC206</f>
        <v>88.619354808034629</v>
      </c>
      <c r="BD77" s="138">
        <f>+Segment!BD206</f>
        <v>169.5410779635526</v>
      </c>
      <c r="BE77" s="128">
        <f>+Segment!BE206</f>
        <v>95.098567404420194</v>
      </c>
      <c r="BF77" s="128">
        <f>+Segment!BF206</f>
        <v>103.96536959825606</v>
      </c>
      <c r="BG77" s="138">
        <f>+Segment!BG206</f>
        <v>199.06393700267625</v>
      </c>
      <c r="BH77" s="91"/>
      <c r="BJ77"/>
      <c r="BK77"/>
      <c r="BL77"/>
      <c r="BM77"/>
      <c r="BN77"/>
      <c r="BO77"/>
    </row>
    <row r="78" spans="2:67" s="61" customFormat="1">
      <c r="B78" s="153" t="s">
        <v>220</v>
      </c>
      <c r="D78" s="89" t="s">
        <v>175</v>
      </c>
      <c r="E78" s="119">
        <f t="shared" ref="E78:AA78" si="114">+E77/E76</f>
        <v>0</v>
      </c>
      <c r="F78" s="120">
        <f t="shared" si="114"/>
        <v>0</v>
      </c>
      <c r="G78" s="120">
        <f t="shared" si="114"/>
        <v>0.1790195033387042</v>
      </c>
      <c r="H78" s="119">
        <f t="shared" si="114"/>
        <v>0.1198930889652539</v>
      </c>
      <c r="I78" s="120">
        <f t="shared" si="114"/>
        <v>0.10572309929797238</v>
      </c>
      <c r="J78" s="120">
        <f t="shared" si="114"/>
        <v>0.10391457554768789</v>
      </c>
      <c r="K78" s="119">
        <f t="shared" si="114"/>
        <v>0.10458839406207827</v>
      </c>
      <c r="L78" s="120">
        <f t="shared" si="114"/>
        <v>4.9101111919359869E-2</v>
      </c>
      <c r="M78" s="120">
        <f t="shared" si="114"/>
        <v>7.3303356687232035E-2</v>
      </c>
      <c r="N78" s="119">
        <f t="shared" si="114"/>
        <v>6.3586106185459471E-2</v>
      </c>
      <c r="O78" s="120">
        <f t="shared" si="114"/>
        <v>-2.0340236686390532E-3</v>
      </c>
      <c r="P78" s="120">
        <f t="shared" si="114"/>
        <v>4.3734510694129171E-4</v>
      </c>
      <c r="Q78" s="119">
        <f t="shared" si="114"/>
        <v>-5.5924936307711422E-4</v>
      </c>
      <c r="R78" s="120">
        <f t="shared" si="114"/>
        <v>-2.6590102258744323E-3</v>
      </c>
      <c r="S78" s="120">
        <f t="shared" si="114"/>
        <v>-0.1887245245173538</v>
      </c>
      <c r="T78" s="154">
        <f t="shared" si="114"/>
        <v>-5.5332481596398371E-2</v>
      </c>
      <c r="U78" s="120">
        <f t="shared" si="114"/>
        <v>-0.16999743786830696</v>
      </c>
      <c r="V78" s="120">
        <f t="shared" si="114"/>
        <v>-0.28205620024935302</v>
      </c>
      <c r="W78" s="119">
        <f t="shared" si="114"/>
        <v>-0.61322188449849324</v>
      </c>
      <c r="X78" s="120">
        <f t="shared" si="114"/>
        <v>0.14348795523105848</v>
      </c>
      <c r="Y78" s="120">
        <f t="shared" si="114"/>
        <v>6.3023534104507395E-2</v>
      </c>
      <c r="Z78" s="119">
        <f t="shared" si="114"/>
        <v>0.11156534353158357</v>
      </c>
      <c r="AA78" s="120">
        <f t="shared" si="114"/>
        <v>0.52605459057072634</v>
      </c>
      <c r="AB78" s="120">
        <f t="shared" ref="AB78:BG78" si="115">+AB77/AB76</f>
        <v>0.23499999999999985</v>
      </c>
      <c r="AC78" s="119">
        <f t="shared" si="115"/>
        <v>0.38915711215439136</v>
      </c>
      <c r="AD78" s="120">
        <f t="shared" si="115"/>
        <v>0.23499999999999996</v>
      </c>
      <c r="AE78" s="120">
        <f t="shared" si="115"/>
        <v>0.23500000000000015</v>
      </c>
      <c r="AF78" s="119">
        <f t="shared" si="115"/>
        <v>0.23499999999998991</v>
      </c>
      <c r="AG78" s="120">
        <f t="shared" si="115"/>
        <v>0.23499999999999999</v>
      </c>
      <c r="AH78" s="120">
        <f t="shared" si="115"/>
        <v>0.23499999999999999</v>
      </c>
      <c r="AI78" s="119">
        <f t="shared" si="115"/>
        <v>0.23499999999999877</v>
      </c>
      <c r="AJ78" s="120">
        <f t="shared" si="115"/>
        <v>0.23499999999999999</v>
      </c>
      <c r="AK78" s="120">
        <f t="shared" si="115"/>
        <v>0.23499999999999999</v>
      </c>
      <c r="AL78" s="119">
        <f t="shared" si="115"/>
        <v>0.23499999999999954</v>
      </c>
      <c r="AM78" s="120">
        <f t="shared" si="115"/>
        <v>0.23499999999999999</v>
      </c>
      <c r="AN78" s="120">
        <f t="shared" si="115"/>
        <v>0.23499999999999999</v>
      </c>
      <c r="AO78" s="119">
        <f t="shared" si="115"/>
        <v>0.23500000000000035</v>
      </c>
      <c r="AP78" s="120">
        <f t="shared" si="115"/>
        <v>0.23499999999999999</v>
      </c>
      <c r="AQ78" s="120">
        <f t="shared" si="115"/>
        <v>0.23499999999999999</v>
      </c>
      <c r="AR78" s="119">
        <f t="shared" si="115"/>
        <v>0.23500000000000001</v>
      </c>
      <c r="AS78" s="120">
        <f t="shared" si="115"/>
        <v>0.23499999999999999</v>
      </c>
      <c r="AT78" s="120">
        <f t="shared" si="115"/>
        <v>0.23500000000000001</v>
      </c>
      <c r="AU78" s="119">
        <f t="shared" si="115"/>
        <v>0.23499999999999974</v>
      </c>
      <c r="AV78" s="120">
        <f t="shared" si="115"/>
        <v>0.23499999999999999</v>
      </c>
      <c r="AW78" s="120">
        <f t="shared" si="115"/>
        <v>0.23499999999999999</v>
      </c>
      <c r="AX78" s="119">
        <f t="shared" si="115"/>
        <v>0.23499999999999999</v>
      </c>
      <c r="AY78" s="120">
        <f t="shared" si="115"/>
        <v>0.23499999999999996</v>
      </c>
      <c r="AZ78" s="120">
        <f t="shared" si="115"/>
        <v>0.23500000000000001</v>
      </c>
      <c r="BA78" s="119">
        <f t="shared" si="115"/>
        <v>0.23499999999999993</v>
      </c>
      <c r="BB78" s="120">
        <f t="shared" si="115"/>
        <v>0.23499999999999999</v>
      </c>
      <c r="BC78" s="120">
        <f t="shared" si="115"/>
        <v>0.23499999999999999</v>
      </c>
      <c r="BD78" s="119">
        <f t="shared" si="115"/>
        <v>0.23500000000000013</v>
      </c>
      <c r="BE78" s="120">
        <f t="shared" si="115"/>
        <v>0.23500000000000001</v>
      </c>
      <c r="BF78" s="120">
        <f t="shared" si="115"/>
        <v>0.23499999999999999</v>
      </c>
      <c r="BG78" s="119">
        <f t="shared" si="115"/>
        <v>0.23500000000000013</v>
      </c>
      <c r="BH78" s="155"/>
      <c r="BJ78"/>
      <c r="BK78"/>
      <c r="BL78"/>
      <c r="BM78"/>
      <c r="BN78"/>
      <c r="BO78"/>
    </row>
    <row r="79" spans="2:67" s="70" customFormat="1">
      <c r="B79" s="156" t="s">
        <v>158</v>
      </c>
      <c r="D79" s="89" t="s">
        <v>159</v>
      </c>
      <c r="E79" s="93">
        <f>+E76-E77</f>
        <v>-6.3771149999999999</v>
      </c>
      <c r="F79" s="94">
        <f>+F76-F77</f>
        <v>-5.1900069999999996</v>
      </c>
      <c r="G79" s="94">
        <f t="shared" ref="G79:G80" si="116">+H79-F79</f>
        <v>-8.6399930000000005</v>
      </c>
      <c r="H79" s="93">
        <f>+H76-H77</f>
        <v>-13.83</v>
      </c>
      <c r="I79" s="94">
        <f>+I76-I77</f>
        <v>-10.36951</v>
      </c>
      <c r="J79" s="94">
        <f t="shared" ref="J79:J81" si="117">+K79-I79</f>
        <v>-17.497489999999999</v>
      </c>
      <c r="K79" s="93">
        <f>+K76-K77</f>
        <v>-27.867000000000001</v>
      </c>
      <c r="L79" s="94">
        <f>+L76-L77</f>
        <v>-18.300999999999998</v>
      </c>
      <c r="M79" s="94">
        <f t="shared" ref="M79:M81" si="118">+N79-L79</f>
        <v>-26.586000000000002</v>
      </c>
      <c r="N79" s="93">
        <f>+N76-N77</f>
        <v>-44.887</v>
      </c>
      <c r="O79" s="94">
        <f>+O76-O77</f>
        <v>-32.514000000000003</v>
      </c>
      <c r="P79" s="94">
        <f t="shared" ref="P79:P81" si="119">+Q79-O79</f>
        <v>-47.996000000000002</v>
      </c>
      <c r="Q79" s="93">
        <f>+Q76-Q77</f>
        <v>-80.510000000000005</v>
      </c>
      <c r="R79" s="94">
        <f>+R76-R77</f>
        <v>-70.891000000000005</v>
      </c>
      <c r="S79" s="94">
        <f t="shared" ref="S79:S81" si="120">+T79-R79</f>
        <v>-33.187999999999988</v>
      </c>
      <c r="T79" s="93">
        <f>+T76-T77</f>
        <v>-104.07899999999999</v>
      </c>
      <c r="U79" s="94">
        <f>+U76-U77</f>
        <v>-9.132999999999976</v>
      </c>
      <c r="V79" s="94">
        <f t="shared" ref="V79:V81" si="121">+W79-U79</f>
        <v>13.37899999999992</v>
      </c>
      <c r="W79" s="93">
        <f>+W76-W77</f>
        <v>4.2459999999999445</v>
      </c>
      <c r="X79" s="94">
        <f>+X76-X77</f>
        <v>19.590999999999998</v>
      </c>
      <c r="Y79" s="94">
        <f t="shared" ref="Y79:Y81" si="122">+Z79-X79</f>
        <v>14.09400000000009</v>
      </c>
      <c r="Z79" s="93">
        <f>+Z76-Z77</f>
        <v>33.685000000000088</v>
      </c>
      <c r="AA79" s="94">
        <f>+AA76-AA77</f>
        <v>-2.2919999999999381</v>
      </c>
      <c r="AB79" s="94">
        <f t="shared" ref="AB79:AB81" si="123">+AC79-AA79</f>
        <v>-4.3142889413727179</v>
      </c>
      <c r="AC79" s="93">
        <f>+AC76-AC77</f>
        <v>-6.6062889413726555</v>
      </c>
      <c r="AD79" s="94">
        <f>+AD76-AD77</f>
        <v>1.1802668155753155</v>
      </c>
      <c r="AE79" s="94">
        <f t="shared" ref="AE79:AE81" si="124">+AF79-AD79</f>
        <v>1.8359433451386564</v>
      </c>
      <c r="AF79" s="93">
        <f>+AF76-AF77</f>
        <v>3.016210160713972</v>
      </c>
      <c r="AG79" s="94">
        <f>+AG76-AG77</f>
        <v>8.1996971486866901</v>
      </c>
      <c r="AH79" s="94">
        <f t="shared" ref="AH79:AH81" si="125">+AI79-AG79</f>
        <v>9.9472493885630957</v>
      </c>
      <c r="AI79" s="93">
        <f>+AI76-AI77</f>
        <v>18.146946537249786</v>
      </c>
      <c r="AJ79" s="94">
        <f>+AJ76-AJ77</f>
        <v>23.743273611796628</v>
      </c>
      <c r="AK79" s="94">
        <f t="shared" ref="AK79:AK81" si="126">+AL79-AJ79</f>
        <v>26.315703092816694</v>
      </c>
      <c r="AL79" s="93">
        <f>+AL76-AL77</f>
        <v>50.058976704613322</v>
      </c>
      <c r="AM79" s="94">
        <f>+AM76-AM77</f>
        <v>56.040612981737056</v>
      </c>
      <c r="AN79" s="94">
        <f t="shared" ref="AN79:AN81" si="127">+AO79-AM79</f>
        <v>60.156292755720401</v>
      </c>
      <c r="AO79" s="93">
        <f>+AO76-AO77</f>
        <v>116.19690573745746</v>
      </c>
      <c r="AP79" s="94">
        <f>+AP76-AP77</f>
        <v>101.04642010326192</v>
      </c>
      <c r="AQ79" s="94">
        <f t="shared" ref="AQ79:AQ81" si="128">+AR79-AP79</f>
        <v>112.02024547327566</v>
      </c>
      <c r="AR79" s="93">
        <f>+AR76-AR77</f>
        <v>213.06666557653759</v>
      </c>
      <c r="AS79" s="94">
        <f>+AS76-AS77</f>
        <v>136.30997320063076</v>
      </c>
      <c r="AT79" s="94">
        <f t="shared" ref="AT79:AT81" si="129">+AU79-AS79</f>
        <v>150.30232914105179</v>
      </c>
      <c r="AU79" s="93">
        <f>+AU76-AU77</f>
        <v>286.61230234168255</v>
      </c>
      <c r="AV79" s="94">
        <f>+AV76-AV77</f>
        <v>176.27288968554677</v>
      </c>
      <c r="AW79" s="94">
        <f t="shared" ref="AW79:AW81" si="130">+AX79-AV79</f>
        <v>193.58381284505174</v>
      </c>
      <c r="AX79" s="93">
        <f>+AX76-AX77</f>
        <v>369.85670253059851</v>
      </c>
      <c r="AY79" s="94">
        <f>+AY76-AY77</f>
        <v>218.19586374069505</v>
      </c>
      <c r="AZ79" s="94">
        <f t="shared" ref="AZ79:AZ81" si="131">+BA79-AY79</f>
        <v>239.46535346212377</v>
      </c>
      <c r="BA79" s="93">
        <f>+BA76-BA77</f>
        <v>457.66121720281882</v>
      </c>
      <c r="BB79" s="94">
        <f>+BB76-BB77</f>
        <v>263.42603495306923</v>
      </c>
      <c r="BC79" s="94">
        <f t="shared" ref="BC79:BC81" si="132">+BD79-BB79</f>
        <v>288.48428267296333</v>
      </c>
      <c r="BD79" s="93">
        <f>+BD76-BD77</f>
        <v>551.91031762603257</v>
      </c>
      <c r="BE79" s="94">
        <f>+BE76-BE77</f>
        <v>309.57618750800617</v>
      </c>
      <c r="BF79" s="94">
        <f t="shared" ref="BF79:BF81" si="133">+BG79-BE79</f>
        <v>338.44045847942874</v>
      </c>
      <c r="BG79" s="93">
        <f>+BG76-BG77</f>
        <v>648.01664598743491</v>
      </c>
      <c r="BH79" s="94"/>
      <c r="BJ79"/>
      <c r="BK79"/>
      <c r="BL79"/>
      <c r="BM79"/>
      <c r="BN79"/>
      <c r="BO79"/>
    </row>
    <row r="80" spans="2:67" s="61" customFormat="1" outlineLevel="1">
      <c r="B80" s="88" t="s">
        <v>221</v>
      </c>
      <c r="D80" s="89" t="s">
        <v>159</v>
      </c>
      <c r="E80" s="123"/>
      <c r="F80" s="124"/>
      <c r="G80" s="91">
        <f t="shared" si="116"/>
        <v>0</v>
      </c>
      <c r="H80" s="123"/>
      <c r="I80" s="124"/>
      <c r="J80" s="91">
        <f t="shared" si="117"/>
        <v>0</v>
      </c>
      <c r="K80" s="123"/>
      <c r="L80" s="124"/>
      <c r="M80" s="91">
        <f t="shared" si="118"/>
        <v>0</v>
      </c>
      <c r="N80" s="123"/>
      <c r="O80" s="124"/>
      <c r="P80" s="91">
        <f t="shared" si="119"/>
        <v>0</v>
      </c>
      <c r="Q80" s="123"/>
      <c r="R80" s="124"/>
      <c r="S80" s="91">
        <f t="shared" si="120"/>
        <v>0</v>
      </c>
      <c r="T80" s="123"/>
      <c r="U80" s="124"/>
      <c r="V80" s="91">
        <f t="shared" si="121"/>
        <v>0</v>
      </c>
      <c r="W80" s="123"/>
      <c r="X80" s="124"/>
      <c r="Y80" s="91">
        <f t="shared" si="122"/>
        <v>0</v>
      </c>
      <c r="Z80" s="123"/>
      <c r="AA80" s="124"/>
      <c r="AB80" s="91">
        <f t="shared" si="123"/>
        <v>0</v>
      </c>
      <c r="AC80" s="123"/>
      <c r="AD80" s="124"/>
      <c r="AE80" s="91">
        <f t="shared" si="124"/>
        <v>0</v>
      </c>
      <c r="AF80" s="123"/>
      <c r="AG80" s="124"/>
      <c r="AH80" s="91">
        <f t="shared" si="125"/>
        <v>0</v>
      </c>
      <c r="AI80" s="123"/>
      <c r="AJ80" s="124"/>
      <c r="AK80" s="91">
        <f t="shared" si="126"/>
        <v>0</v>
      </c>
      <c r="AL80" s="123"/>
      <c r="AM80" s="124"/>
      <c r="AN80" s="91">
        <f t="shared" si="127"/>
        <v>0</v>
      </c>
      <c r="AO80" s="123"/>
      <c r="AP80" s="124"/>
      <c r="AQ80" s="91">
        <f t="shared" si="128"/>
        <v>0</v>
      </c>
      <c r="AR80" s="123"/>
      <c r="AS80" s="124"/>
      <c r="AT80" s="91">
        <f t="shared" si="129"/>
        <v>0</v>
      </c>
      <c r="AU80" s="123"/>
      <c r="AV80" s="124"/>
      <c r="AW80" s="91">
        <f t="shared" si="130"/>
        <v>0</v>
      </c>
      <c r="AX80" s="123"/>
      <c r="AY80" s="124"/>
      <c r="AZ80" s="91">
        <f t="shared" si="131"/>
        <v>0</v>
      </c>
      <c r="BA80" s="123"/>
      <c r="BB80" s="124"/>
      <c r="BC80" s="91">
        <f t="shared" si="132"/>
        <v>0</v>
      </c>
      <c r="BD80" s="123"/>
      <c r="BE80" s="124"/>
      <c r="BF80" s="91">
        <f t="shared" si="133"/>
        <v>0</v>
      </c>
      <c r="BG80" s="123"/>
      <c r="BH80" s="124"/>
      <c r="BJ80"/>
      <c r="BK80"/>
      <c r="BL80"/>
      <c r="BM80"/>
      <c r="BN80"/>
      <c r="BO80"/>
    </row>
    <row r="81" spans="1:67" s="61" customFormat="1" outlineLevel="1">
      <c r="B81" s="88" t="s">
        <v>222</v>
      </c>
      <c r="D81" s="89" t="s">
        <v>159</v>
      </c>
      <c r="E81" s="123">
        <f>+E79+E80</f>
        <v>-6.3771149999999999</v>
      </c>
      <c r="F81" s="124">
        <f>+F79+F80</f>
        <v>-5.1900069999999996</v>
      </c>
      <c r="G81" s="124">
        <f>+G79+G80</f>
        <v>-8.6399930000000005</v>
      </c>
      <c r="H81" s="123">
        <f>+H79+H80</f>
        <v>-13.83</v>
      </c>
      <c r="I81" s="124">
        <f>+I79+I80</f>
        <v>-10.36951</v>
      </c>
      <c r="J81" s="91">
        <f t="shared" si="117"/>
        <v>-17.497489999999999</v>
      </c>
      <c r="K81" s="123">
        <f>+K79+K80</f>
        <v>-27.867000000000001</v>
      </c>
      <c r="L81" s="124">
        <f>+L79+L80</f>
        <v>-18.300999999999998</v>
      </c>
      <c r="M81" s="91">
        <f t="shared" si="118"/>
        <v>-26.586000000000002</v>
      </c>
      <c r="N81" s="123">
        <f>+N79+N80</f>
        <v>-44.887</v>
      </c>
      <c r="O81" s="124">
        <f>+O79+O80</f>
        <v>-32.514000000000003</v>
      </c>
      <c r="P81" s="91">
        <f t="shared" si="119"/>
        <v>-47.996000000000002</v>
      </c>
      <c r="Q81" s="123">
        <f>+Q79+Q80</f>
        <v>-80.510000000000005</v>
      </c>
      <c r="R81" s="124">
        <f>+R79+R80</f>
        <v>-70.891000000000005</v>
      </c>
      <c r="S81" s="91">
        <f t="shared" si="120"/>
        <v>-33.187999999999988</v>
      </c>
      <c r="T81" s="123">
        <f>+T79+T80</f>
        <v>-104.07899999999999</v>
      </c>
      <c r="U81" s="124">
        <f>+U79+U80</f>
        <v>-9.132999999999976</v>
      </c>
      <c r="V81" s="91">
        <f t="shared" si="121"/>
        <v>13.37899999999992</v>
      </c>
      <c r="W81" s="123">
        <f>+W79+W80</f>
        <v>4.2459999999999445</v>
      </c>
      <c r="X81" s="124">
        <f>+X79+X80</f>
        <v>19.590999999999998</v>
      </c>
      <c r="Y81" s="91">
        <f t="shared" si="122"/>
        <v>14.09400000000009</v>
      </c>
      <c r="Z81" s="123">
        <f>+Z79+Z80</f>
        <v>33.685000000000088</v>
      </c>
      <c r="AA81" s="124">
        <f>+AA79+AA80</f>
        <v>-2.2919999999999381</v>
      </c>
      <c r="AB81" s="91">
        <f t="shared" si="123"/>
        <v>-4.3142889413727179</v>
      </c>
      <c r="AC81" s="123">
        <f>+AC79+AC80</f>
        <v>-6.6062889413726555</v>
      </c>
      <c r="AD81" s="124">
        <f>+AD79+AD80</f>
        <v>1.1802668155753155</v>
      </c>
      <c r="AE81" s="91">
        <f t="shared" si="124"/>
        <v>1.8359433451386564</v>
      </c>
      <c r="AF81" s="123">
        <f>+AF79+AF80</f>
        <v>3.016210160713972</v>
      </c>
      <c r="AG81" s="124">
        <f>+AG79+AG80</f>
        <v>8.1996971486866901</v>
      </c>
      <c r="AH81" s="91">
        <f t="shared" si="125"/>
        <v>9.9472493885630957</v>
      </c>
      <c r="AI81" s="123">
        <f>+AI79+AI80</f>
        <v>18.146946537249786</v>
      </c>
      <c r="AJ81" s="124">
        <f>+AJ79+AJ80</f>
        <v>23.743273611796628</v>
      </c>
      <c r="AK81" s="91">
        <f t="shared" si="126"/>
        <v>26.315703092816694</v>
      </c>
      <c r="AL81" s="123">
        <f>+AL79+AL80</f>
        <v>50.058976704613322</v>
      </c>
      <c r="AM81" s="124">
        <f>+AM79+AM80</f>
        <v>56.040612981737056</v>
      </c>
      <c r="AN81" s="91">
        <f t="shared" si="127"/>
        <v>60.156292755720401</v>
      </c>
      <c r="AO81" s="123">
        <f>+AO79+AO80</f>
        <v>116.19690573745746</v>
      </c>
      <c r="AP81" s="124">
        <f>+AP79+AP80</f>
        <v>101.04642010326192</v>
      </c>
      <c r="AQ81" s="91">
        <f t="shared" si="128"/>
        <v>112.02024547327566</v>
      </c>
      <c r="AR81" s="123">
        <f>+AR79+AR80</f>
        <v>213.06666557653759</v>
      </c>
      <c r="AS81" s="124">
        <f>+AS79+AS80</f>
        <v>136.30997320063076</v>
      </c>
      <c r="AT81" s="91">
        <f t="shared" si="129"/>
        <v>150.30232914105179</v>
      </c>
      <c r="AU81" s="123">
        <f>+AU79+AU80</f>
        <v>286.61230234168255</v>
      </c>
      <c r="AV81" s="124">
        <f>+AV79+AV80</f>
        <v>176.27288968554677</v>
      </c>
      <c r="AW81" s="91">
        <f t="shared" si="130"/>
        <v>193.58381284505174</v>
      </c>
      <c r="AX81" s="123">
        <f>+AX79+AX80</f>
        <v>369.85670253059851</v>
      </c>
      <c r="AY81" s="124">
        <f>+AY79+AY80</f>
        <v>218.19586374069505</v>
      </c>
      <c r="AZ81" s="91">
        <f t="shared" si="131"/>
        <v>239.46535346212377</v>
      </c>
      <c r="BA81" s="123">
        <f>+BA79+BA80</f>
        <v>457.66121720281882</v>
      </c>
      <c r="BB81" s="124">
        <f>+BB79+BB80</f>
        <v>263.42603495306923</v>
      </c>
      <c r="BC81" s="91">
        <f t="shared" si="132"/>
        <v>288.48428267296333</v>
      </c>
      <c r="BD81" s="123">
        <f>+BD79+BD80</f>
        <v>551.91031762603257</v>
      </c>
      <c r="BE81" s="124">
        <f>+BE79+BE80</f>
        <v>309.57618750800617</v>
      </c>
      <c r="BF81" s="91">
        <f t="shared" si="133"/>
        <v>338.44045847942874</v>
      </c>
      <c r="BG81" s="123">
        <f>+BG79+BG80</f>
        <v>648.01664598743491</v>
      </c>
      <c r="BH81" s="124"/>
      <c r="BJ81"/>
      <c r="BK81"/>
      <c r="BL81"/>
      <c r="BM81"/>
      <c r="BN81"/>
      <c r="BO81"/>
    </row>
    <row r="82" spans="1:67" s="61" customFormat="1" outlineLevel="1">
      <c r="B82" s="88" t="s">
        <v>223</v>
      </c>
      <c r="D82" s="89" t="s">
        <v>224</v>
      </c>
      <c r="E82" s="123">
        <v>-4.9800000000000004</v>
      </c>
      <c r="F82" s="124">
        <v>-2.62</v>
      </c>
      <c r="G82" s="124">
        <f>H82-F82</f>
        <v>-4.22</v>
      </c>
      <c r="H82" s="123">
        <v>-6.84</v>
      </c>
      <c r="I82" s="124">
        <v>-4.75</v>
      </c>
      <c r="J82" s="91">
        <f>K82-I82</f>
        <v>-7.1899999999999995</v>
      </c>
      <c r="K82" s="123">
        <v>-11.94</v>
      </c>
      <c r="L82" s="124">
        <v>-7.22</v>
      </c>
      <c r="M82" s="91">
        <f>N82-L82</f>
        <v>-10.280000000000001</v>
      </c>
      <c r="N82" s="123">
        <v>-17.5</v>
      </c>
      <c r="O82" s="124">
        <v>-11.56</v>
      </c>
      <c r="P82" s="91">
        <f>Q82-O82</f>
        <v>-16.939999999999998</v>
      </c>
      <c r="Q82" s="123">
        <v>-28.5</v>
      </c>
      <c r="R82" s="124">
        <v>-23.07</v>
      </c>
      <c r="S82" s="91">
        <f>T82-R82</f>
        <v>-10.43</v>
      </c>
      <c r="T82" s="90">
        <v>-33.5</v>
      </c>
      <c r="U82" s="124">
        <f t="shared" ref="U82:BG82" si="134">(U81/U284)*100</f>
        <v>-2.8754297375079525</v>
      </c>
      <c r="V82" s="91">
        <f t="shared" si="134"/>
        <v>4.1330202959438758</v>
      </c>
      <c r="W82" s="90">
        <f t="shared" si="134"/>
        <v>1.3116678508541426</v>
      </c>
      <c r="X82" s="91">
        <f t="shared" si="134"/>
        <v>6.0520218714281295</v>
      </c>
      <c r="Y82" s="91">
        <f t="shared" si="134"/>
        <v>4.0829924562847175</v>
      </c>
      <c r="Z82" s="90">
        <f t="shared" si="134"/>
        <v>9.7584504675713202</v>
      </c>
      <c r="AA82" s="91">
        <f t="shared" si="134"/>
        <v>-0.66398600183086842</v>
      </c>
      <c r="AB82" s="91">
        <f t="shared" si="134"/>
        <v>-1.249837462881884</v>
      </c>
      <c r="AC82" s="90">
        <f t="shared" si="134"/>
        <v>-1.9138234647127526</v>
      </c>
      <c r="AD82" s="91">
        <f t="shared" si="134"/>
        <v>0.34192000173103221</v>
      </c>
      <c r="AE82" s="91">
        <f t="shared" si="134"/>
        <v>0.53186766200987767</v>
      </c>
      <c r="AF82" s="90">
        <f t="shared" si="134"/>
        <v>0.87378766374090999</v>
      </c>
      <c r="AG82" s="91">
        <f t="shared" si="134"/>
        <v>2.3754293743370831</v>
      </c>
      <c r="AH82" s="91">
        <f t="shared" si="134"/>
        <v>2.8816903798982283</v>
      </c>
      <c r="AI82" s="90">
        <f t="shared" si="134"/>
        <v>5.257119754235311</v>
      </c>
      <c r="AJ82" s="91">
        <f t="shared" si="134"/>
        <v>6.8783600854597005</v>
      </c>
      <c r="AK82" s="91">
        <f t="shared" si="134"/>
        <v>7.623585725116949</v>
      </c>
      <c r="AL82" s="90">
        <f t="shared" si="134"/>
        <v>14.50194581057665</v>
      </c>
      <c r="AM82" s="91">
        <f t="shared" si="134"/>
        <v>15.558711834302381</v>
      </c>
      <c r="AN82" s="91">
        <f t="shared" si="134"/>
        <v>16.701359499961242</v>
      </c>
      <c r="AO82" s="90">
        <f t="shared" si="134"/>
        <v>32.260071334263621</v>
      </c>
      <c r="AP82" s="91">
        <f t="shared" si="134"/>
        <v>28.053799711056982</v>
      </c>
      <c r="AQ82" s="91">
        <f t="shared" si="134"/>
        <v>31.100493484867808</v>
      </c>
      <c r="AR82" s="90">
        <f t="shared" si="134"/>
        <v>59.154293195924787</v>
      </c>
      <c r="AS82" s="91">
        <f t="shared" si="134"/>
        <v>37.844118405008153</v>
      </c>
      <c r="AT82" s="91">
        <f t="shared" si="134"/>
        <v>41.728855248107045</v>
      </c>
      <c r="AU82" s="90">
        <f t="shared" si="134"/>
        <v>79.572973653115199</v>
      </c>
      <c r="AV82" s="91">
        <f t="shared" si="134"/>
        <v>48.939134475758991</v>
      </c>
      <c r="AW82" s="91">
        <f t="shared" si="134"/>
        <v>53.745214400549642</v>
      </c>
      <c r="AX82" s="90">
        <f t="shared" si="134"/>
        <v>102.68434887630862</v>
      </c>
      <c r="AY82" s="91">
        <f t="shared" si="134"/>
        <v>60.578326801752155</v>
      </c>
      <c r="AZ82" s="91">
        <f t="shared" si="134"/>
        <v>66.483434612514515</v>
      </c>
      <c r="BA82" s="90">
        <f t="shared" si="134"/>
        <v>127.06176141426666</v>
      </c>
      <c r="BB82" s="91">
        <f t="shared" si="134"/>
        <v>73.135705507420909</v>
      </c>
      <c r="BC82" s="91">
        <f t="shared" si="134"/>
        <v>80.092696778616528</v>
      </c>
      <c r="BD82" s="90">
        <f t="shared" si="134"/>
        <v>153.22840228603744</v>
      </c>
      <c r="BE82" s="91">
        <f t="shared" si="134"/>
        <v>85.948501201596443</v>
      </c>
      <c r="BF82" s="91">
        <f t="shared" si="134"/>
        <v>93.962169333633767</v>
      </c>
      <c r="BG82" s="90">
        <f t="shared" si="134"/>
        <v>179.9106705352302</v>
      </c>
      <c r="BH82" s="91"/>
      <c r="BJ82"/>
      <c r="BK82"/>
      <c r="BL82"/>
      <c r="BM82"/>
      <c r="BN82"/>
      <c r="BO82"/>
    </row>
    <row r="83" spans="1:67" s="61" customFormat="1" outlineLevel="1">
      <c r="B83" s="88"/>
      <c r="D83" s="89"/>
      <c r="E83" s="157"/>
      <c r="F83" s="158"/>
      <c r="G83" s="158"/>
      <c r="H83" s="157"/>
      <c r="I83" s="158"/>
      <c r="J83" s="158"/>
      <c r="K83" s="157"/>
      <c r="L83" s="158"/>
      <c r="M83" s="158"/>
      <c r="N83" s="157"/>
      <c r="O83" s="158"/>
      <c r="P83" s="158"/>
      <c r="Q83" s="157"/>
      <c r="R83" s="158"/>
      <c r="S83" s="158"/>
      <c r="T83" s="159"/>
      <c r="U83" s="158"/>
      <c r="V83" s="91"/>
      <c r="W83" s="159"/>
      <c r="X83" s="124"/>
      <c r="Y83" s="91"/>
      <c r="Z83" s="159"/>
      <c r="AA83" s="124"/>
      <c r="AB83" s="91"/>
      <c r="AC83" s="159"/>
      <c r="AD83" s="124"/>
      <c r="AE83" s="91"/>
      <c r="AF83" s="159"/>
      <c r="AG83" s="124"/>
      <c r="AH83" s="91"/>
      <c r="AI83" s="159"/>
      <c r="AJ83" s="124"/>
      <c r="AK83" s="91"/>
      <c r="AL83" s="159"/>
      <c r="AM83" s="124"/>
      <c r="AN83" s="91"/>
      <c r="AO83" s="159"/>
      <c r="AP83" s="124"/>
      <c r="AQ83" s="91"/>
      <c r="AR83" s="159"/>
      <c r="AS83" s="124"/>
      <c r="AT83" s="91"/>
      <c r="AU83" s="159"/>
      <c r="AV83" s="124"/>
      <c r="AW83" s="91"/>
      <c r="AX83" s="159"/>
      <c r="AY83" s="124"/>
      <c r="AZ83" s="91"/>
      <c r="BA83" s="159"/>
      <c r="BB83" s="124"/>
      <c r="BC83" s="91"/>
      <c r="BD83" s="159"/>
      <c r="BE83" s="124"/>
      <c r="BF83" s="91"/>
      <c r="BG83" s="159"/>
      <c r="BH83" s="160"/>
      <c r="BJ83"/>
      <c r="BK83"/>
      <c r="BL83"/>
      <c r="BM83"/>
      <c r="BN83"/>
      <c r="BO83"/>
    </row>
    <row r="84" spans="1:67" s="61" customFormat="1" outlineLevel="1">
      <c r="B84" s="161" t="s">
        <v>225</v>
      </c>
      <c r="D84" s="89"/>
      <c r="E84" s="162">
        <f>Segment!E179-E67</f>
        <v>3.7929999999999353E-3</v>
      </c>
      <c r="F84" s="163">
        <f>Segment!F179-F67</f>
        <v>1.7700000000004934E-3</v>
      </c>
      <c r="G84" s="163">
        <f>Segment!G179-G67</f>
        <v>5.2300000000009561E-3</v>
      </c>
      <c r="H84" s="162">
        <f>Segment!H179-H67</f>
        <v>7.0000000000014495E-3</v>
      </c>
      <c r="I84" s="163">
        <f>Segment!I179-I67</f>
        <v>2.3233419999999985</v>
      </c>
      <c r="J84" s="163">
        <f>Segment!J179-J67</f>
        <v>2.0456660000000007</v>
      </c>
      <c r="K84" s="162">
        <f>Segment!K179-K67</f>
        <v>4.2370000000000019</v>
      </c>
      <c r="L84" s="163">
        <f>Segment!L179-L67</f>
        <v>2.3350000000000009</v>
      </c>
      <c r="M84" s="163">
        <f>Segment!M179-M67</f>
        <v>2.5470000000000006</v>
      </c>
      <c r="N84" s="162">
        <f>Segment!N179-N67</f>
        <v>4.8819999999999979</v>
      </c>
      <c r="O84" s="163">
        <f>Segment!O179-O67</f>
        <v>2.5459999999999994</v>
      </c>
      <c r="P84" s="163">
        <f>Segment!P179-P67</f>
        <v>2.6280000000000001</v>
      </c>
      <c r="Q84" s="162">
        <f>Segment!Q179-Q67</f>
        <v>5.1739999999999924</v>
      </c>
      <c r="R84" s="163">
        <f>Segment!R179-R67</f>
        <v>2.7210000000000036</v>
      </c>
      <c r="S84" s="163">
        <f>Segment!S179-S67</f>
        <v>2.6579999999999995</v>
      </c>
      <c r="T84" s="164">
        <f>Segment!T179-T67</f>
        <v>5.3790000000000049</v>
      </c>
      <c r="U84" s="165">
        <f>Segment!U196-U67</f>
        <v>0</v>
      </c>
      <c r="V84" s="165">
        <f>Segment!V196-V67</f>
        <v>0</v>
      </c>
      <c r="W84" s="164">
        <f>Segment!W196-W67</f>
        <v>0</v>
      </c>
      <c r="X84" s="166">
        <f>Segment!X196-X67</f>
        <v>0</v>
      </c>
      <c r="Y84" s="167">
        <f>Segment!Y196-Y67</f>
        <v>0</v>
      </c>
      <c r="Z84" s="164">
        <f>Segment!Z196-Z67</f>
        <v>0</v>
      </c>
      <c r="AA84" s="166">
        <f>Segment!AA196-AA67</f>
        <v>0</v>
      </c>
      <c r="AB84" s="167">
        <f>Segment!AB196-AB67</f>
        <v>0</v>
      </c>
      <c r="AC84" s="164">
        <f>Segment!AC196-AC67</f>
        <v>0</v>
      </c>
      <c r="AD84" s="166">
        <f>Segment!AD196-AD67</f>
        <v>0</v>
      </c>
      <c r="AE84" s="167">
        <f>Segment!AE196-AE67</f>
        <v>0</v>
      </c>
      <c r="AF84" s="164">
        <f>Segment!AF196-AF67</f>
        <v>0</v>
      </c>
      <c r="AG84" s="166">
        <f>Segment!AG196-AG67</f>
        <v>0</v>
      </c>
      <c r="AH84" s="167">
        <f>Segment!AH196-AH67</f>
        <v>0</v>
      </c>
      <c r="AI84" s="164">
        <f>Segment!AI196-AI67</f>
        <v>0</v>
      </c>
      <c r="AJ84" s="166">
        <f>Segment!AJ196-AJ67</f>
        <v>0</v>
      </c>
      <c r="AK84" s="167">
        <f>Segment!AK196-AK67</f>
        <v>0</v>
      </c>
      <c r="AL84" s="164">
        <f>Segment!AL196-AL67</f>
        <v>0</v>
      </c>
      <c r="AM84" s="166">
        <f>Segment!AM196-AM67</f>
        <v>0</v>
      </c>
      <c r="AN84" s="167">
        <f>Segment!AN196-AN67</f>
        <v>0</v>
      </c>
      <c r="AO84" s="164">
        <f>Segment!AO196-AO67</f>
        <v>0</v>
      </c>
      <c r="AP84" s="166">
        <f>Segment!AP196-AP67</f>
        <v>0</v>
      </c>
      <c r="AQ84" s="167">
        <f>Segment!AQ196-AQ67</f>
        <v>0</v>
      </c>
      <c r="AR84" s="164">
        <f>Segment!AR196-AR67</f>
        <v>0</v>
      </c>
      <c r="AS84" s="166">
        <f>Segment!AS196-AS67</f>
        <v>0</v>
      </c>
      <c r="AT84" s="167">
        <f>Segment!AT196-AT67</f>
        <v>0</v>
      </c>
      <c r="AU84" s="164">
        <f>Segment!AU196-AU67</f>
        <v>0</v>
      </c>
      <c r="AV84" s="166">
        <f>Segment!AV196-AV67</f>
        <v>0</v>
      </c>
      <c r="AW84" s="167">
        <f>Segment!AW196-AW67</f>
        <v>0</v>
      </c>
      <c r="AX84" s="164">
        <f>Segment!AX196-AX67</f>
        <v>0</v>
      </c>
      <c r="AY84" s="166">
        <f>Segment!AY196-AY67</f>
        <v>0</v>
      </c>
      <c r="AZ84" s="167">
        <f>Segment!AZ196-AZ67</f>
        <v>0</v>
      </c>
      <c r="BA84" s="164">
        <f>Segment!BA196-BA67</f>
        <v>0</v>
      </c>
      <c r="BB84" s="166">
        <f>Segment!BB196-BB67</f>
        <v>0</v>
      </c>
      <c r="BC84" s="167">
        <f>Segment!BC196-BC67</f>
        <v>0</v>
      </c>
      <c r="BD84" s="164">
        <f>Segment!BD196-BD67</f>
        <v>0</v>
      </c>
      <c r="BE84" s="166">
        <f>Segment!BE196-BE67</f>
        <v>0</v>
      </c>
      <c r="BF84" s="167">
        <f>Segment!BF196-BF67</f>
        <v>0</v>
      </c>
      <c r="BG84" s="164">
        <f>Segment!BG196-BG67</f>
        <v>0</v>
      </c>
      <c r="BH84" s="160"/>
      <c r="BJ84"/>
      <c r="BK84"/>
      <c r="BL84"/>
      <c r="BM84"/>
      <c r="BN84"/>
      <c r="BO84"/>
    </row>
    <row r="85" spans="1:67" s="61" customFormat="1" outlineLevel="1">
      <c r="B85" s="88"/>
      <c r="D85" s="89"/>
      <c r="E85" s="157"/>
      <c r="F85" s="158"/>
      <c r="G85" s="158"/>
      <c r="H85" s="157"/>
      <c r="I85" s="158"/>
      <c r="J85" s="158"/>
      <c r="K85" s="157"/>
      <c r="L85" s="158"/>
      <c r="M85" s="158"/>
      <c r="N85" s="157"/>
      <c r="O85" s="158"/>
      <c r="P85" s="158"/>
      <c r="Q85" s="157"/>
      <c r="R85" s="158"/>
      <c r="S85" s="158"/>
      <c r="T85" s="159"/>
      <c r="U85" s="158"/>
      <c r="V85" s="91"/>
      <c r="W85" s="159"/>
      <c r="X85" s="124"/>
      <c r="Y85" s="91"/>
      <c r="Z85" s="159"/>
      <c r="AA85" s="124"/>
      <c r="AB85" s="91"/>
      <c r="AC85" s="159"/>
      <c r="AD85" s="124"/>
      <c r="AE85" s="91"/>
      <c r="AF85" s="159"/>
      <c r="AG85" s="124"/>
      <c r="AH85" s="91"/>
      <c r="AI85" s="159"/>
      <c r="AJ85" s="124"/>
      <c r="AK85" s="91"/>
      <c r="AL85" s="159"/>
      <c r="AM85" s="124"/>
      <c r="AN85" s="91"/>
      <c r="AO85" s="159"/>
      <c r="AP85" s="124"/>
      <c r="AQ85" s="91"/>
      <c r="AR85" s="159"/>
      <c r="AS85" s="124"/>
      <c r="AT85" s="91"/>
      <c r="AU85" s="159"/>
      <c r="AV85" s="124"/>
      <c r="AW85" s="91"/>
      <c r="AX85" s="159"/>
      <c r="AY85" s="124"/>
      <c r="AZ85" s="91"/>
      <c r="BA85" s="159"/>
      <c r="BB85" s="124"/>
      <c r="BC85" s="91"/>
      <c r="BD85" s="159"/>
      <c r="BE85" s="124"/>
      <c r="BF85" s="91"/>
      <c r="BG85" s="159"/>
      <c r="BH85" s="160"/>
      <c r="BJ85"/>
      <c r="BK85"/>
      <c r="BL85"/>
      <c r="BM85"/>
      <c r="BN85"/>
      <c r="BO85"/>
    </row>
    <row r="86" spans="1:67" s="61" customFormat="1" outlineLevel="1">
      <c r="B86" s="88" t="s">
        <v>226</v>
      </c>
      <c r="C86" s="88"/>
      <c r="D86" s="89" t="s">
        <v>159</v>
      </c>
      <c r="E86" s="90"/>
      <c r="F86" s="124">
        <f>+E90</f>
        <v>-6.3771149999999999</v>
      </c>
      <c r="G86" s="91">
        <f>+F90</f>
        <v>-11.567121999999999</v>
      </c>
      <c r="H86" s="90">
        <f>+E90</f>
        <v>-6.3771149999999999</v>
      </c>
      <c r="I86" s="124">
        <f>+H90</f>
        <v>-20.207115000000002</v>
      </c>
      <c r="J86" s="91">
        <f>+I90</f>
        <v>-30.576625</v>
      </c>
      <c r="K86" s="90">
        <f>+H90</f>
        <v>-20.207115000000002</v>
      </c>
      <c r="L86" s="124">
        <f>+K90</f>
        <v>-48.074115000000006</v>
      </c>
      <c r="M86" s="91">
        <f>+L90</f>
        <v>-66.375115000000008</v>
      </c>
      <c r="N86" s="90">
        <f>+K90</f>
        <v>-48.074115000000006</v>
      </c>
      <c r="O86" s="124">
        <f>+N90</f>
        <v>-92.961115000000007</v>
      </c>
      <c r="P86" s="91">
        <f>+O90</f>
        <v>-125.47511500000002</v>
      </c>
      <c r="Q86" s="90">
        <f>+N90</f>
        <v>-92.961115000000007</v>
      </c>
      <c r="R86" s="124">
        <f>+Q90</f>
        <v>-173.471115</v>
      </c>
      <c r="S86" s="91">
        <f>+R90</f>
        <v>-244.36211500000002</v>
      </c>
      <c r="T86" s="90">
        <f>+Q90</f>
        <v>-173.471115</v>
      </c>
      <c r="U86" s="124">
        <f>+T90</f>
        <v>-277.55011500000001</v>
      </c>
      <c r="V86" s="91">
        <f>+U90</f>
        <v>-286.68311499999999</v>
      </c>
      <c r="W86" s="90">
        <f>+T90</f>
        <v>-277.55011500000001</v>
      </c>
      <c r="X86" s="124">
        <f>+W90</f>
        <v>-273.30411500000008</v>
      </c>
      <c r="Y86" s="91">
        <f>+X90</f>
        <v>-253.71311500000007</v>
      </c>
      <c r="Z86" s="90">
        <f>+W90</f>
        <v>-273.30411500000008</v>
      </c>
      <c r="AA86" s="124">
        <f>+Z90</f>
        <v>-239.61911499999999</v>
      </c>
      <c r="AB86" s="91">
        <f>+AA90</f>
        <v>-241.91111499999994</v>
      </c>
      <c r="AC86" s="90">
        <f>+Z90</f>
        <v>-239.61911499999999</v>
      </c>
      <c r="AD86" s="124">
        <f>+AC90</f>
        <v>-246.22540394137266</v>
      </c>
      <c r="AE86" s="91">
        <f>+AD90</f>
        <v>-245.04513712579734</v>
      </c>
      <c r="AF86" s="90">
        <f>+AC90</f>
        <v>-246.22540394137266</v>
      </c>
      <c r="AG86" s="124">
        <f>+AF90</f>
        <v>-243.20919378065869</v>
      </c>
      <c r="AH86" s="91">
        <f>+AG90</f>
        <v>-235.00949663197201</v>
      </c>
      <c r="AI86" s="90">
        <f>+AF90</f>
        <v>-243.20919378065869</v>
      </c>
      <c r="AJ86" s="124">
        <f>+AI90</f>
        <v>-225.0622472434089</v>
      </c>
      <c r="AK86" s="91">
        <f>+AJ90</f>
        <v>-201.31897363161227</v>
      </c>
      <c r="AL86" s="90">
        <f>+AI90</f>
        <v>-225.0622472434089</v>
      </c>
      <c r="AM86" s="124">
        <f>+AL90</f>
        <v>-175.00327053879559</v>
      </c>
      <c r="AN86" s="91">
        <f>+AM90</f>
        <v>-118.96265755705853</v>
      </c>
      <c r="AO86" s="90">
        <f>+AL90</f>
        <v>-175.00327053879559</v>
      </c>
      <c r="AP86" s="124">
        <f>+AO90</f>
        <v>-58.806364801338134</v>
      </c>
      <c r="AQ86" s="91">
        <f>+AP90</f>
        <v>42.240055301923789</v>
      </c>
      <c r="AR86" s="90">
        <f>+AO90</f>
        <v>-58.806364801338134</v>
      </c>
      <c r="AS86" s="124">
        <f>+AR90</f>
        <v>154.26030077519945</v>
      </c>
      <c r="AT86" s="91">
        <f>+AS90</f>
        <v>290.57027397583022</v>
      </c>
      <c r="AU86" s="90">
        <f>+AR90</f>
        <v>154.26030077519945</v>
      </c>
      <c r="AV86" s="124">
        <f>+AU90</f>
        <v>440.87260311688203</v>
      </c>
      <c r="AW86" s="91">
        <f>+AV90</f>
        <v>617.14549280242886</v>
      </c>
      <c r="AX86" s="90">
        <f>+AU90</f>
        <v>440.87260311688203</v>
      </c>
      <c r="AY86" s="124">
        <f>+AX90</f>
        <v>810.72930564748049</v>
      </c>
      <c r="AZ86" s="91">
        <f>+AY90</f>
        <v>1028.9251693881756</v>
      </c>
      <c r="BA86" s="90">
        <f>+AX90</f>
        <v>810.72930564748049</v>
      </c>
      <c r="BB86" s="124">
        <f>+BA90</f>
        <v>1268.3905228502992</v>
      </c>
      <c r="BC86" s="91">
        <f>+BB90</f>
        <v>1531.8165578033686</v>
      </c>
      <c r="BD86" s="90">
        <f>+BA90</f>
        <v>1268.3905228502992</v>
      </c>
      <c r="BE86" s="124">
        <f>+BD90</f>
        <v>1820.3008404763318</v>
      </c>
      <c r="BF86" s="91">
        <f>+BE90</f>
        <v>2129.8770279843379</v>
      </c>
      <c r="BG86" s="90">
        <f>+BD90</f>
        <v>1820.3008404763318</v>
      </c>
      <c r="BH86" s="91"/>
      <c r="BJ86"/>
      <c r="BK86"/>
      <c r="BL86"/>
      <c r="BM86"/>
      <c r="BN86"/>
      <c r="BO86"/>
    </row>
    <row r="87" spans="1:67" s="61" customFormat="1" outlineLevel="1">
      <c r="B87" s="88" t="s">
        <v>227</v>
      </c>
      <c r="C87" s="88"/>
      <c r="D87" s="89" t="s">
        <v>159</v>
      </c>
      <c r="E87" s="90">
        <f>E79</f>
        <v>-6.3771149999999999</v>
      </c>
      <c r="F87" s="91">
        <f>+F86+F79</f>
        <v>-11.567121999999999</v>
      </c>
      <c r="G87" s="91">
        <f t="shared" ref="G87:H87" si="135">+G86+G79</f>
        <v>-20.207115000000002</v>
      </c>
      <c r="H87" s="90">
        <f t="shared" si="135"/>
        <v>-20.207115000000002</v>
      </c>
      <c r="I87" s="91">
        <f>+I86+I79</f>
        <v>-30.576625</v>
      </c>
      <c r="J87" s="91">
        <f t="shared" ref="J87:K87" si="136">+J86+J79</f>
        <v>-48.074114999999999</v>
      </c>
      <c r="K87" s="90">
        <f t="shared" si="136"/>
        <v>-48.074115000000006</v>
      </c>
      <c r="L87" s="91">
        <f>+L86+L79</f>
        <v>-66.375115000000008</v>
      </c>
      <c r="M87" s="91">
        <f t="shared" ref="M87:N87" si="137">+M86+M79</f>
        <v>-92.961115000000007</v>
      </c>
      <c r="N87" s="90">
        <f t="shared" si="137"/>
        <v>-92.961115000000007</v>
      </c>
      <c r="O87" s="91">
        <f>+O86+O79</f>
        <v>-125.47511500000002</v>
      </c>
      <c r="P87" s="91">
        <f t="shared" ref="P87:Q87" si="138">+P86+P79</f>
        <v>-173.47111500000003</v>
      </c>
      <c r="Q87" s="90">
        <f t="shared" si="138"/>
        <v>-173.471115</v>
      </c>
      <c r="R87" s="91">
        <f>+R86+R79</f>
        <v>-244.36211500000002</v>
      </c>
      <c r="S87" s="91">
        <f t="shared" ref="S87:T87" si="139">+S86+S79</f>
        <v>-277.55011500000001</v>
      </c>
      <c r="T87" s="90">
        <f t="shared" si="139"/>
        <v>-277.55011500000001</v>
      </c>
      <c r="U87" s="91">
        <f>+U86+U79</f>
        <v>-286.68311499999999</v>
      </c>
      <c r="V87" s="91">
        <f t="shared" ref="V87" si="140">+V86+V79</f>
        <v>-273.30411500000008</v>
      </c>
      <c r="W87" s="90">
        <f>+W86+W79</f>
        <v>-273.30411500000008</v>
      </c>
      <c r="X87" s="91">
        <f>+X86+X79</f>
        <v>-253.71311500000007</v>
      </c>
      <c r="Y87" s="91">
        <f t="shared" ref="Y87:Z87" si="141">+Y86+Y79</f>
        <v>-239.61911499999999</v>
      </c>
      <c r="Z87" s="90">
        <f t="shared" si="141"/>
        <v>-239.61911499999999</v>
      </c>
      <c r="AA87" s="91">
        <f>+AA86+AA79</f>
        <v>-241.91111499999994</v>
      </c>
      <c r="AB87" s="91">
        <f t="shared" ref="AB87:AC87" si="142">+AB86+AB79</f>
        <v>-246.22540394137266</v>
      </c>
      <c r="AC87" s="90">
        <f t="shared" si="142"/>
        <v>-246.22540394137266</v>
      </c>
      <c r="AD87" s="91">
        <f>+AD86+AD79</f>
        <v>-245.04513712579734</v>
      </c>
      <c r="AE87" s="91">
        <f t="shared" ref="AE87:AF87" si="143">+AE86+AE79</f>
        <v>-243.20919378065869</v>
      </c>
      <c r="AF87" s="90">
        <f t="shared" si="143"/>
        <v>-243.20919378065869</v>
      </c>
      <c r="AG87" s="91">
        <f>+AG86+AG79</f>
        <v>-235.00949663197201</v>
      </c>
      <c r="AH87" s="91">
        <f t="shared" ref="AH87:AI87" si="144">+AH86+AH79</f>
        <v>-225.0622472434089</v>
      </c>
      <c r="AI87" s="90">
        <f t="shared" si="144"/>
        <v>-225.0622472434089</v>
      </c>
      <c r="AJ87" s="91">
        <f>+AJ86+AJ79</f>
        <v>-201.31897363161227</v>
      </c>
      <c r="AK87" s="91">
        <f t="shared" ref="AK87:AL87" si="145">+AK86+AK79</f>
        <v>-175.00327053879556</v>
      </c>
      <c r="AL87" s="90">
        <f t="shared" si="145"/>
        <v>-175.00327053879559</v>
      </c>
      <c r="AM87" s="91">
        <f>+AM86+AM79</f>
        <v>-118.96265755705853</v>
      </c>
      <c r="AN87" s="91">
        <f t="shared" ref="AN87:AO87" si="146">+AN86+AN79</f>
        <v>-58.806364801338134</v>
      </c>
      <c r="AO87" s="90">
        <f t="shared" si="146"/>
        <v>-58.806364801338134</v>
      </c>
      <c r="AP87" s="91">
        <f>+AP86+AP79</f>
        <v>42.240055301923789</v>
      </c>
      <c r="AQ87" s="91">
        <f t="shared" ref="AQ87:AR87" si="147">+AQ86+AQ79</f>
        <v>154.26030077519945</v>
      </c>
      <c r="AR87" s="90">
        <f t="shared" si="147"/>
        <v>154.26030077519945</v>
      </c>
      <c r="AS87" s="91">
        <f>+AS86+AS79</f>
        <v>290.57027397583022</v>
      </c>
      <c r="AT87" s="91">
        <f t="shared" ref="AT87:AU87" si="148">+AT86+AT79</f>
        <v>440.87260311688203</v>
      </c>
      <c r="AU87" s="90">
        <f t="shared" si="148"/>
        <v>440.87260311688203</v>
      </c>
      <c r="AV87" s="91">
        <f>+AV86+AV79</f>
        <v>617.14549280242886</v>
      </c>
      <c r="AW87" s="91">
        <f t="shared" ref="AW87:AX87" si="149">+AW86+AW79</f>
        <v>810.7293056474806</v>
      </c>
      <c r="AX87" s="90">
        <f t="shared" si="149"/>
        <v>810.72930564748049</v>
      </c>
      <c r="AY87" s="91">
        <f>+AY86+AY79</f>
        <v>1028.9251693881756</v>
      </c>
      <c r="AZ87" s="91">
        <f t="shared" ref="AZ87:BA87" si="150">+AZ86+AZ79</f>
        <v>1268.3905228502995</v>
      </c>
      <c r="BA87" s="90">
        <f t="shared" si="150"/>
        <v>1268.3905228502992</v>
      </c>
      <c r="BB87" s="91">
        <f>+BB86+BB79</f>
        <v>1531.8165578033686</v>
      </c>
      <c r="BC87" s="91">
        <f t="shared" ref="BC87:BD87" si="151">+BC86+BC79</f>
        <v>1820.3008404763318</v>
      </c>
      <c r="BD87" s="90">
        <f t="shared" si="151"/>
        <v>1820.3008404763318</v>
      </c>
      <c r="BE87" s="91">
        <f>+BE86+BE79</f>
        <v>2129.8770279843379</v>
      </c>
      <c r="BF87" s="91">
        <f t="shared" ref="BF87:BG87" si="152">+BF86+BF79</f>
        <v>2468.3174864637667</v>
      </c>
      <c r="BG87" s="90">
        <f t="shared" si="152"/>
        <v>2468.3174864637667</v>
      </c>
      <c r="BH87" s="91"/>
      <c r="BJ87"/>
      <c r="BK87"/>
      <c r="BL87"/>
      <c r="BM87"/>
      <c r="BN87"/>
      <c r="BO87"/>
    </row>
    <row r="88" spans="1:67" s="61" customFormat="1" outlineLevel="1">
      <c r="B88" s="88" t="s">
        <v>228</v>
      </c>
      <c r="C88" s="88"/>
      <c r="D88" s="89" t="s">
        <v>159</v>
      </c>
      <c r="E88" s="90">
        <f>+E274</f>
        <v>0</v>
      </c>
      <c r="F88" s="91">
        <f>+F274</f>
        <v>0</v>
      </c>
      <c r="G88" s="91">
        <f>+H88-F88</f>
        <v>0</v>
      </c>
      <c r="H88" s="90">
        <f>+H274</f>
        <v>0</v>
      </c>
      <c r="I88" s="91">
        <f>+I274</f>
        <v>0</v>
      </c>
      <c r="J88" s="91">
        <f>+K88-I88</f>
        <v>0</v>
      </c>
      <c r="K88" s="90">
        <f>+K274</f>
        <v>0</v>
      </c>
      <c r="L88" s="91">
        <f>+L274</f>
        <v>0</v>
      </c>
      <c r="M88" s="91">
        <f>+N88-L88</f>
        <v>0</v>
      </c>
      <c r="N88" s="90">
        <f>+N274</f>
        <v>0</v>
      </c>
      <c r="O88" s="91">
        <f>+O274</f>
        <v>0</v>
      </c>
      <c r="P88" s="91">
        <f>+Q88-O88</f>
        <v>0</v>
      </c>
      <c r="Q88" s="90">
        <f>+Q274</f>
        <v>0</v>
      </c>
      <c r="R88" s="91">
        <f>+R274</f>
        <v>0</v>
      </c>
      <c r="S88" s="91">
        <f>+T88-R88</f>
        <v>0</v>
      </c>
      <c r="T88" s="90">
        <f>+T274</f>
        <v>0</v>
      </c>
      <c r="U88" s="91">
        <f>+U274</f>
        <v>0</v>
      </c>
      <c r="V88" s="91">
        <f>+W88-U88</f>
        <v>0</v>
      </c>
      <c r="W88" s="90">
        <f>+W274</f>
        <v>0</v>
      </c>
      <c r="X88" s="91">
        <f>+X274</f>
        <v>0</v>
      </c>
      <c r="Y88" s="91">
        <f>+Z88-X88</f>
        <v>0</v>
      </c>
      <c r="Z88" s="90">
        <f>+Z274</f>
        <v>0</v>
      </c>
      <c r="AA88" s="91">
        <f>+AA274</f>
        <v>0</v>
      </c>
      <c r="AB88" s="91">
        <f>+AC88-AA88</f>
        <v>0</v>
      </c>
      <c r="AC88" s="90">
        <f>+AC274</f>
        <v>0</v>
      </c>
      <c r="AD88" s="91">
        <f>+AD274</f>
        <v>0</v>
      </c>
      <c r="AE88" s="91">
        <f>+AF88-AD88</f>
        <v>0</v>
      </c>
      <c r="AF88" s="90">
        <f>+AF274</f>
        <v>0</v>
      </c>
      <c r="AG88" s="91">
        <f>+AG274</f>
        <v>0</v>
      </c>
      <c r="AH88" s="91">
        <f>+AI88-AG88</f>
        <v>0</v>
      </c>
      <c r="AI88" s="90">
        <f>+AI274</f>
        <v>0</v>
      </c>
      <c r="AJ88" s="91">
        <f>+AJ274</f>
        <v>0</v>
      </c>
      <c r="AK88" s="91">
        <f>+AL88-AJ88</f>
        <v>0</v>
      </c>
      <c r="AL88" s="90">
        <f>+AL274</f>
        <v>0</v>
      </c>
      <c r="AM88" s="91">
        <f>+AM274</f>
        <v>0</v>
      </c>
      <c r="AN88" s="91">
        <f>+AO88-AM88</f>
        <v>0</v>
      </c>
      <c r="AO88" s="90">
        <f>+AO274</f>
        <v>0</v>
      </c>
      <c r="AP88" s="91">
        <f>+AP274</f>
        <v>0</v>
      </c>
      <c r="AQ88" s="91">
        <f>+AR88-AP88</f>
        <v>0</v>
      </c>
      <c r="AR88" s="90">
        <f>+AR274</f>
        <v>0</v>
      </c>
      <c r="AS88" s="91">
        <f>+AS274</f>
        <v>0</v>
      </c>
      <c r="AT88" s="91">
        <f>+AU88-AS88</f>
        <v>0</v>
      </c>
      <c r="AU88" s="90">
        <f>+AU274</f>
        <v>0</v>
      </c>
      <c r="AV88" s="91">
        <f>+AV274</f>
        <v>0</v>
      </c>
      <c r="AW88" s="91">
        <f>+AX88-AV88</f>
        <v>0</v>
      </c>
      <c r="AX88" s="90">
        <f>+AX274</f>
        <v>0</v>
      </c>
      <c r="AY88" s="91">
        <f>+AY274</f>
        <v>0</v>
      </c>
      <c r="AZ88" s="91">
        <f>+BA88-AY88</f>
        <v>0</v>
      </c>
      <c r="BA88" s="90">
        <f>+BA274</f>
        <v>0</v>
      </c>
      <c r="BB88" s="91">
        <f>+BB274</f>
        <v>0</v>
      </c>
      <c r="BC88" s="91">
        <f>+BD88-BB88</f>
        <v>0</v>
      </c>
      <c r="BD88" s="90">
        <f>+BD274</f>
        <v>0</v>
      </c>
      <c r="BE88" s="91">
        <f>+BE274</f>
        <v>0</v>
      </c>
      <c r="BF88" s="91">
        <f>+BG88-BE88</f>
        <v>0</v>
      </c>
      <c r="BG88" s="90">
        <f>+BG274</f>
        <v>0</v>
      </c>
      <c r="BH88" s="91"/>
      <c r="BJ88"/>
      <c r="BK88"/>
      <c r="BL88"/>
      <c r="BM88"/>
      <c r="BN88"/>
      <c r="BO88"/>
    </row>
    <row r="89" spans="1:67" s="61" customFormat="1" outlineLevel="1">
      <c r="B89" s="88" t="s">
        <v>229</v>
      </c>
      <c r="C89" s="88"/>
      <c r="D89" s="89" t="s">
        <v>159</v>
      </c>
      <c r="E89" s="90"/>
      <c r="F89" s="91"/>
      <c r="G89" s="91">
        <f>+H89-F89</f>
        <v>0</v>
      </c>
      <c r="H89" s="90"/>
      <c r="I89" s="91"/>
      <c r="J89" s="91">
        <f>+K89-I89</f>
        <v>0</v>
      </c>
      <c r="K89" s="90"/>
      <c r="L89" s="91"/>
      <c r="M89" s="91">
        <f>+N89-L89</f>
        <v>0</v>
      </c>
      <c r="N89" s="90"/>
      <c r="O89" s="91"/>
      <c r="P89" s="91">
        <f>+Q89-O89</f>
        <v>0</v>
      </c>
      <c r="Q89" s="90"/>
      <c r="R89" s="91"/>
      <c r="S89" s="91">
        <f>+T89-R89</f>
        <v>0</v>
      </c>
      <c r="T89" s="90"/>
      <c r="U89" s="91"/>
      <c r="V89" s="91">
        <f>+W89-U89</f>
        <v>0</v>
      </c>
      <c r="W89" s="90"/>
      <c r="X89" s="91"/>
      <c r="Y89" s="91">
        <f>+Z89-X89</f>
        <v>0</v>
      </c>
      <c r="Z89" s="90"/>
      <c r="AA89" s="91"/>
      <c r="AB89" s="91">
        <f>+AC89-AA89</f>
        <v>0</v>
      </c>
      <c r="AC89" s="90"/>
      <c r="AD89" s="91"/>
      <c r="AE89" s="91">
        <f>+AF89-AD89</f>
        <v>0</v>
      </c>
      <c r="AF89" s="90"/>
      <c r="AG89" s="91"/>
      <c r="AH89" s="91">
        <f>+AI89-AG89</f>
        <v>0</v>
      </c>
      <c r="AI89" s="90"/>
      <c r="AJ89" s="91"/>
      <c r="AK89" s="91">
        <f>+AL89-AJ89</f>
        <v>0</v>
      </c>
      <c r="AL89" s="90"/>
      <c r="AM89" s="91"/>
      <c r="AN89" s="91">
        <f>+AO89-AM89</f>
        <v>0</v>
      </c>
      <c r="AO89" s="90"/>
      <c r="AP89" s="91"/>
      <c r="AQ89" s="91">
        <f>+AR89-AP89</f>
        <v>0</v>
      </c>
      <c r="AR89" s="90"/>
      <c r="AS89" s="91"/>
      <c r="AT89" s="91">
        <f>+AU89-AS89</f>
        <v>0</v>
      </c>
      <c r="AU89" s="90"/>
      <c r="AV89" s="91"/>
      <c r="AW89" s="91">
        <f>+AX89-AV89</f>
        <v>0</v>
      </c>
      <c r="AX89" s="90"/>
      <c r="AY89" s="91"/>
      <c r="AZ89" s="91">
        <f>+BA89-AY89</f>
        <v>0</v>
      </c>
      <c r="BA89" s="90"/>
      <c r="BB89" s="91"/>
      <c r="BC89" s="91">
        <f>+BD89-BB89</f>
        <v>0</v>
      </c>
      <c r="BD89" s="90"/>
      <c r="BE89" s="91"/>
      <c r="BF89" s="91">
        <f>+BG89-BE89</f>
        <v>0</v>
      </c>
      <c r="BG89" s="90"/>
      <c r="BH89" s="91"/>
      <c r="BJ89"/>
      <c r="BK89"/>
      <c r="BL89"/>
      <c r="BM89"/>
      <c r="BN89"/>
      <c r="BO89"/>
    </row>
    <row r="90" spans="1:67" s="61" customFormat="1" outlineLevel="1">
      <c r="B90" s="88" t="s">
        <v>230</v>
      </c>
      <c r="C90" s="88"/>
      <c r="D90" s="89" t="s">
        <v>159</v>
      </c>
      <c r="E90" s="90">
        <f t="shared" ref="E90:BG90" si="153">+E87-E88+E89</f>
        <v>-6.3771149999999999</v>
      </c>
      <c r="F90" s="91">
        <f t="shared" si="153"/>
        <v>-11.567121999999999</v>
      </c>
      <c r="G90" s="91">
        <f t="shared" si="153"/>
        <v>-20.207115000000002</v>
      </c>
      <c r="H90" s="90">
        <f t="shared" si="153"/>
        <v>-20.207115000000002</v>
      </c>
      <c r="I90" s="91">
        <f t="shared" si="153"/>
        <v>-30.576625</v>
      </c>
      <c r="J90" s="91">
        <f t="shared" si="153"/>
        <v>-48.074114999999999</v>
      </c>
      <c r="K90" s="90">
        <f t="shared" si="153"/>
        <v>-48.074115000000006</v>
      </c>
      <c r="L90" s="91">
        <f t="shared" si="153"/>
        <v>-66.375115000000008</v>
      </c>
      <c r="M90" s="91">
        <f t="shared" si="153"/>
        <v>-92.961115000000007</v>
      </c>
      <c r="N90" s="90">
        <f t="shared" si="153"/>
        <v>-92.961115000000007</v>
      </c>
      <c r="O90" s="91">
        <f t="shared" si="153"/>
        <v>-125.47511500000002</v>
      </c>
      <c r="P90" s="91">
        <f t="shared" si="153"/>
        <v>-173.47111500000003</v>
      </c>
      <c r="Q90" s="90">
        <f t="shared" si="153"/>
        <v>-173.471115</v>
      </c>
      <c r="R90" s="91">
        <f t="shared" si="153"/>
        <v>-244.36211500000002</v>
      </c>
      <c r="S90" s="91">
        <f t="shared" si="153"/>
        <v>-277.55011500000001</v>
      </c>
      <c r="T90" s="90">
        <f t="shared" si="153"/>
        <v>-277.55011500000001</v>
      </c>
      <c r="U90" s="91">
        <f t="shared" si="153"/>
        <v>-286.68311499999999</v>
      </c>
      <c r="V90" s="91">
        <f t="shared" si="153"/>
        <v>-273.30411500000008</v>
      </c>
      <c r="W90" s="90">
        <f t="shared" si="153"/>
        <v>-273.30411500000008</v>
      </c>
      <c r="X90" s="91">
        <f t="shared" si="153"/>
        <v>-253.71311500000007</v>
      </c>
      <c r="Y90" s="91">
        <f t="shared" si="153"/>
        <v>-239.61911499999999</v>
      </c>
      <c r="Z90" s="90">
        <f t="shared" si="153"/>
        <v>-239.61911499999999</v>
      </c>
      <c r="AA90" s="91">
        <f t="shared" si="153"/>
        <v>-241.91111499999994</v>
      </c>
      <c r="AB90" s="91">
        <f t="shared" si="153"/>
        <v>-246.22540394137266</v>
      </c>
      <c r="AC90" s="90">
        <f t="shared" si="153"/>
        <v>-246.22540394137266</v>
      </c>
      <c r="AD90" s="91">
        <f t="shared" si="153"/>
        <v>-245.04513712579734</v>
      </c>
      <c r="AE90" s="91">
        <f t="shared" si="153"/>
        <v>-243.20919378065869</v>
      </c>
      <c r="AF90" s="90">
        <f t="shared" si="153"/>
        <v>-243.20919378065869</v>
      </c>
      <c r="AG90" s="91">
        <f t="shared" si="153"/>
        <v>-235.00949663197201</v>
      </c>
      <c r="AH90" s="91">
        <f t="shared" si="153"/>
        <v>-225.0622472434089</v>
      </c>
      <c r="AI90" s="90">
        <f t="shared" si="153"/>
        <v>-225.0622472434089</v>
      </c>
      <c r="AJ90" s="91">
        <f t="shared" si="153"/>
        <v>-201.31897363161227</v>
      </c>
      <c r="AK90" s="91">
        <f t="shared" si="153"/>
        <v>-175.00327053879556</v>
      </c>
      <c r="AL90" s="90">
        <f t="shared" si="153"/>
        <v>-175.00327053879559</v>
      </c>
      <c r="AM90" s="91">
        <f t="shared" si="153"/>
        <v>-118.96265755705853</v>
      </c>
      <c r="AN90" s="91">
        <f t="shared" si="153"/>
        <v>-58.806364801338134</v>
      </c>
      <c r="AO90" s="90">
        <f t="shared" si="153"/>
        <v>-58.806364801338134</v>
      </c>
      <c r="AP90" s="91">
        <f t="shared" si="153"/>
        <v>42.240055301923789</v>
      </c>
      <c r="AQ90" s="91">
        <f t="shared" si="153"/>
        <v>154.26030077519945</v>
      </c>
      <c r="AR90" s="90">
        <f t="shared" si="153"/>
        <v>154.26030077519945</v>
      </c>
      <c r="AS90" s="91">
        <f t="shared" si="153"/>
        <v>290.57027397583022</v>
      </c>
      <c r="AT90" s="91">
        <f t="shared" si="153"/>
        <v>440.87260311688203</v>
      </c>
      <c r="AU90" s="90">
        <f t="shared" si="153"/>
        <v>440.87260311688203</v>
      </c>
      <c r="AV90" s="91">
        <f t="shared" si="153"/>
        <v>617.14549280242886</v>
      </c>
      <c r="AW90" s="91">
        <f t="shared" si="153"/>
        <v>810.7293056474806</v>
      </c>
      <c r="AX90" s="90">
        <f t="shared" si="153"/>
        <v>810.72930564748049</v>
      </c>
      <c r="AY90" s="91">
        <f t="shared" si="153"/>
        <v>1028.9251693881756</v>
      </c>
      <c r="AZ90" s="91">
        <f t="shared" si="153"/>
        <v>1268.3905228502995</v>
      </c>
      <c r="BA90" s="90">
        <f t="shared" si="153"/>
        <v>1268.3905228502992</v>
      </c>
      <c r="BB90" s="91">
        <f t="shared" si="153"/>
        <v>1531.8165578033686</v>
      </c>
      <c r="BC90" s="91">
        <f t="shared" si="153"/>
        <v>1820.3008404763318</v>
      </c>
      <c r="BD90" s="90">
        <f t="shared" si="153"/>
        <v>1820.3008404763318</v>
      </c>
      <c r="BE90" s="91">
        <f t="shared" si="153"/>
        <v>2129.8770279843379</v>
      </c>
      <c r="BF90" s="91">
        <f t="shared" si="153"/>
        <v>2468.3174864637667</v>
      </c>
      <c r="BG90" s="90">
        <f t="shared" si="153"/>
        <v>2468.3174864637667</v>
      </c>
      <c r="BH90" s="91"/>
      <c r="BJ90"/>
      <c r="BK90"/>
      <c r="BL90"/>
      <c r="BM90"/>
      <c r="BN90"/>
      <c r="BO90"/>
    </row>
    <row r="91" spans="1:67" s="61" customFormat="1" outlineLevel="1">
      <c r="B91" s="88"/>
      <c r="C91" s="88"/>
      <c r="D91" s="89"/>
      <c r="E91" s="168"/>
      <c r="F91" s="169"/>
      <c r="G91" s="169"/>
      <c r="H91" s="168"/>
      <c r="I91" s="169"/>
      <c r="J91" s="169"/>
      <c r="K91" s="168"/>
      <c r="L91" s="169"/>
      <c r="M91" s="169"/>
      <c r="N91" s="168"/>
      <c r="O91" s="169"/>
      <c r="P91" s="169"/>
      <c r="Q91" s="168"/>
      <c r="R91" s="169"/>
      <c r="S91" s="169"/>
      <c r="T91" s="168"/>
      <c r="U91" s="169"/>
      <c r="V91" s="169"/>
      <c r="W91" s="168"/>
      <c r="X91" s="169"/>
      <c r="Y91" s="169"/>
      <c r="Z91" s="168"/>
      <c r="AA91" s="169"/>
      <c r="AB91" s="169"/>
      <c r="AC91" s="168"/>
      <c r="AD91" s="169"/>
      <c r="AE91" s="169"/>
      <c r="AF91" s="168"/>
      <c r="AG91" s="169"/>
      <c r="AH91" s="169"/>
      <c r="AI91" s="168"/>
      <c r="AJ91" s="169"/>
      <c r="AK91" s="169"/>
      <c r="AL91" s="168"/>
      <c r="AM91" s="169"/>
      <c r="AN91" s="169"/>
      <c r="AO91" s="168"/>
      <c r="AP91" s="169"/>
      <c r="AQ91" s="169"/>
      <c r="AR91" s="168"/>
      <c r="AS91" s="169"/>
      <c r="AT91" s="169"/>
      <c r="AU91" s="168"/>
      <c r="AV91" s="169"/>
      <c r="AW91" s="169"/>
      <c r="AX91" s="168"/>
      <c r="AY91" s="169"/>
      <c r="AZ91" s="169"/>
      <c r="BA91" s="168"/>
      <c r="BB91" s="169"/>
      <c r="BC91" s="169"/>
      <c r="BD91" s="168"/>
      <c r="BE91" s="169"/>
      <c r="BF91" s="169"/>
      <c r="BG91" s="168"/>
      <c r="BH91" s="169"/>
      <c r="BJ91"/>
      <c r="BK91"/>
      <c r="BL91"/>
      <c r="BM91"/>
      <c r="BN91"/>
      <c r="BO91"/>
    </row>
    <row r="92" spans="1:67" s="170" customFormat="1">
      <c r="A92" s="84" t="s">
        <v>231</v>
      </c>
      <c r="B92" s="63"/>
      <c r="C92" s="63"/>
      <c r="D92" s="85" t="str">
        <f t="shared" ref="D92:BG92" si="154">+D4</f>
        <v>Base</v>
      </c>
      <c r="E92" s="86" t="str">
        <f t="shared" si="154"/>
        <v>2017</v>
      </c>
      <c r="F92" s="85" t="str">
        <f t="shared" si="154"/>
        <v>1H18</v>
      </c>
      <c r="G92" s="85" t="str">
        <f t="shared" si="154"/>
        <v>2H18</v>
      </c>
      <c r="H92" s="86" t="str">
        <f t="shared" si="154"/>
        <v>2018</v>
      </c>
      <c r="I92" s="85" t="str">
        <f t="shared" si="154"/>
        <v>1H19</v>
      </c>
      <c r="J92" s="85" t="str">
        <f t="shared" si="154"/>
        <v>2H19</v>
      </c>
      <c r="K92" s="86" t="str">
        <f t="shared" si="154"/>
        <v>2019</v>
      </c>
      <c r="L92" s="85" t="str">
        <f t="shared" si="154"/>
        <v>1H20</v>
      </c>
      <c r="M92" s="85" t="str">
        <f t="shared" si="154"/>
        <v>2H20E</v>
      </c>
      <c r="N92" s="86" t="str">
        <f t="shared" si="154"/>
        <v>2020E</v>
      </c>
      <c r="O92" s="85" t="str">
        <f t="shared" si="154"/>
        <v>1H21</v>
      </c>
      <c r="P92" s="85" t="str">
        <f t="shared" si="154"/>
        <v>2H21</v>
      </c>
      <c r="Q92" s="86" t="str">
        <f t="shared" si="154"/>
        <v>2021</v>
      </c>
      <c r="R92" s="85" t="str">
        <f t="shared" si="154"/>
        <v>1H22</v>
      </c>
      <c r="S92" s="85" t="str">
        <f t="shared" si="154"/>
        <v>2H22</v>
      </c>
      <c r="T92" s="86" t="str">
        <f t="shared" si="154"/>
        <v>2022</v>
      </c>
      <c r="U92" s="85" t="str">
        <f t="shared" si="154"/>
        <v>1H23</v>
      </c>
      <c r="V92" s="85" t="str">
        <f t="shared" si="154"/>
        <v>2H23</v>
      </c>
      <c r="W92" s="86" t="str">
        <f t="shared" si="154"/>
        <v>2023</v>
      </c>
      <c r="X92" s="85" t="str">
        <f t="shared" si="154"/>
        <v>1H24</v>
      </c>
      <c r="Y92" s="85" t="str">
        <f t="shared" si="154"/>
        <v>2H24</v>
      </c>
      <c r="Z92" s="86" t="str">
        <f t="shared" si="154"/>
        <v>2024</v>
      </c>
      <c r="AA92" s="85" t="str">
        <f t="shared" si="154"/>
        <v>1H25</v>
      </c>
      <c r="AB92" s="85" t="str">
        <f t="shared" si="154"/>
        <v>2H25E</v>
      </c>
      <c r="AC92" s="86" t="str">
        <f t="shared" si="154"/>
        <v>2025E</v>
      </c>
      <c r="AD92" s="85" t="str">
        <f t="shared" si="154"/>
        <v>1H26E</v>
      </c>
      <c r="AE92" s="85" t="str">
        <f t="shared" si="154"/>
        <v>2H26E</v>
      </c>
      <c r="AF92" s="86" t="str">
        <f t="shared" si="154"/>
        <v>2026E</v>
      </c>
      <c r="AG92" s="85" t="str">
        <f t="shared" si="154"/>
        <v>1H27E</v>
      </c>
      <c r="AH92" s="85" t="str">
        <f t="shared" si="154"/>
        <v>2H27E</v>
      </c>
      <c r="AI92" s="86" t="str">
        <f t="shared" si="154"/>
        <v>2027E</v>
      </c>
      <c r="AJ92" s="85" t="str">
        <f t="shared" si="154"/>
        <v>1H28E</v>
      </c>
      <c r="AK92" s="85" t="str">
        <f t="shared" si="154"/>
        <v>2H28E</v>
      </c>
      <c r="AL92" s="86" t="str">
        <f t="shared" si="154"/>
        <v>2028E</v>
      </c>
      <c r="AM92" s="85" t="str">
        <f t="shared" si="154"/>
        <v>1H29E</v>
      </c>
      <c r="AN92" s="85" t="str">
        <f t="shared" si="154"/>
        <v>2H29E</v>
      </c>
      <c r="AO92" s="86" t="str">
        <f t="shared" si="154"/>
        <v>2029E</v>
      </c>
      <c r="AP92" s="85" t="str">
        <f t="shared" si="154"/>
        <v>1H30E</v>
      </c>
      <c r="AQ92" s="85" t="str">
        <f t="shared" si="154"/>
        <v>2H30E</v>
      </c>
      <c r="AR92" s="86" t="str">
        <f t="shared" si="154"/>
        <v>2030E</v>
      </c>
      <c r="AS92" s="85" t="str">
        <f t="shared" si="154"/>
        <v>1H31E</v>
      </c>
      <c r="AT92" s="85" t="str">
        <f t="shared" si="154"/>
        <v>2H31E</v>
      </c>
      <c r="AU92" s="86" t="str">
        <f t="shared" si="154"/>
        <v>2031E</v>
      </c>
      <c r="AV92" s="85" t="str">
        <f t="shared" si="154"/>
        <v>1H32E</v>
      </c>
      <c r="AW92" s="85" t="str">
        <f t="shared" si="154"/>
        <v>2H32E</v>
      </c>
      <c r="AX92" s="86" t="str">
        <f t="shared" si="154"/>
        <v>2032E</v>
      </c>
      <c r="AY92" s="85" t="str">
        <f t="shared" si="154"/>
        <v>1H33E</v>
      </c>
      <c r="AZ92" s="85" t="str">
        <f t="shared" si="154"/>
        <v>2H33E</v>
      </c>
      <c r="BA92" s="86" t="str">
        <f t="shared" si="154"/>
        <v>2033E</v>
      </c>
      <c r="BB92" s="85" t="str">
        <f t="shared" si="154"/>
        <v>1H34E</v>
      </c>
      <c r="BC92" s="85" t="str">
        <f t="shared" si="154"/>
        <v>2H34E</v>
      </c>
      <c r="BD92" s="86" t="str">
        <f t="shared" si="154"/>
        <v>2034E</v>
      </c>
      <c r="BE92" s="85" t="str">
        <f t="shared" si="154"/>
        <v>1H35E</v>
      </c>
      <c r="BF92" s="85" t="str">
        <f t="shared" si="154"/>
        <v>2H35E</v>
      </c>
      <c r="BG92" s="86" t="str">
        <f t="shared" si="154"/>
        <v>2035E</v>
      </c>
      <c r="BH92" s="85"/>
      <c r="BJ92"/>
      <c r="BK92"/>
      <c r="BL92"/>
      <c r="BM92"/>
      <c r="BN92"/>
      <c r="BO92"/>
    </row>
    <row r="93" spans="1:67" s="61" customFormat="1">
      <c r="B93" s="88" t="s">
        <v>232</v>
      </c>
      <c r="C93" s="88"/>
      <c r="D93" s="89"/>
      <c r="E93" s="171"/>
      <c r="F93" s="75"/>
      <c r="G93" s="75"/>
      <c r="H93" s="171"/>
      <c r="I93" s="75"/>
      <c r="J93" s="75"/>
      <c r="K93" s="171"/>
      <c r="L93" s="75"/>
      <c r="M93" s="75"/>
      <c r="N93" s="171"/>
      <c r="O93" s="75"/>
      <c r="P93" s="75"/>
      <c r="Q93" s="171"/>
      <c r="R93" s="75"/>
      <c r="S93" s="75"/>
      <c r="T93" s="171"/>
      <c r="U93" s="75"/>
      <c r="V93" s="75"/>
      <c r="W93" s="171"/>
      <c r="X93" s="75"/>
      <c r="Y93" s="75"/>
      <c r="Z93" s="171"/>
      <c r="AA93" s="75"/>
      <c r="AB93" s="75"/>
      <c r="AC93" s="171"/>
      <c r="AD93" s="75"/>
      <c r="AE93" s="75"/>
      <c r="AF93" s="171"/>
      <c r="AG93" s="75"/>
      <c r="AH93" s="75"/>
      <c r="AI93" s="171"/>
      <c r="AJ93" s="75"/>
      <c r="AK93" s="75"/>
      <c r="AL93" s="171"/>
      <c r="AM93" s="75"/>
      <c r="AN93" s="75"/>
      <c r="AO93" s="171"/>
      <c r="AP93" s="75"/>
      <c r="AQ93" s="75"/>
      <c r="AR93" s="171"/>
      <c r="AS93" s="75"/>
      <c r="AT93" s="75"/>
      <c r="AU93" s="171"/>
      <c r="AV93" s="75"/>
      <c r="AW93" s="75"/>
      <c r="AX93" s="171"/>
      <c r="AY93" s="75"/>
      <c r="AZ93" s="75"/>
      <c r="BA93" s="171"/>
      <c r="BB93" s="75"/>
      <c r="BC93" s="75"/>
      <c r="BD93" s="171"/>
      <c r="BE93" s="75"/>
      <c r="BF93" s="75"/>
      <c r="BG93" s="171"/>
      <c r="BH93" s="75"/>
      <c r="BJ93"/>
      <c r="BK93"/>
      <c r="BL93"/>
      <c r="BM93"/>
      <c r="BN93"/>
      <c r="BO93"/>
    </row>
    <row r="94" spans="1:67" s="61" customFormat="1" outlineLevel="1">
      <c r="B94" s="88" t="s">
        <v>233</v>
      </c>
      <c r="C94" s="88"/>
      <c r="D94" s="89" t="s">
        <v>175</v>
      </c>
      <c r="E94" s="172"/>
      <c r="F94" s="173"/>
      <c r="G94" s="173"/>
      <c r="H94" s="172" t="str">
        <f>IFERROR((H29-E29)/E29,"NA")</f>
        <v>NA</v>
      </c>
      <c r="I94" s="173" t="str">
        <f>IFERROR(+(I29-F29)/F29,"NA")</f>
        <v>NA</v>
      </c>
      <c r="J94" s="173">
        <f>+(J29-G29)/G29</f>
        <v>7.551271794871794</v>
      </c>
      <c r="K94" s="172">
        <f>+(K29-H29)/H29</f>
        <v>16.871794871794872</v>
      </c>
      <c r="L94" s="173">
        <f>IFERROR(+(L29-I29)/I29,"NA")</f>
        <v>-0.11581940487548292</v>
      </c>
      <c r="M94" s="173">
        <f>+(M29-J29)/J29</f>
        <v>1.162521334358422</v>
      </c>
      <c r="N94" s="172">
        <f>+(N29-K29)/K29</f>
        <v>0.49583931133428988</v>
      </c>
      <c r="O94" s="173">
        <f>IFERROR(+(O29-L29)/L29,"NA")</f>
        <v>0.81082762912258877</v>
      </c>
      <c r="P94" s="173">
        <f>+(P29-M29)/M29</f>
        <v>0.29950083194675542</v>
      </c>
      <c r="Q94" s="172">
        <f>+(Q29-N29)/N29</f>
        <v>0.45712641473239979</v>
      </c>
      <c r="R94" s="173">
        <f>IFERROR(+(R29-O29)/O29,"NA")</f>
        <v>7.263573883161512</v>
      </c>
      <c r="S94" s="173">
        <f>+(S29-P29)/P29</f>
        <v>28.033077251387112</v>
      </c>
      <c r="T94" s="172">
        <f>+(T29-Q29)/Q29</f>
        <v>20.076355976829909</v>
      </c>
      <c r="U94" s="173">
        <f>IFERROR(+(U29-R29)/R29,"NA")</f>
        <v>5.1871751153990111</v>
      </c>
      <c r="V94" s="173">
        <f>+(V29-S29)/S29</f>
        <v>0.3538872024050157</v>
      </c>
      <c r="W94" s="172">
        <f>+(W29-T29)/T29</f>
        <v>1.0798645812512488</v>
      </c>
      <c r="X94" s="173">
        <f>IFERROR(+(X29-U29)/U29,"NA")</f>
        <v>0.61047297070229778</v>
      </c>
      <c r="Y94" s="173">
        <f>+(Y29-V29)/V29</f>
        <v>0.50351529628925873</v>
      </c>
      <c r="Z94" s="172">
        <f>+(Z29-W29)/W29</f>
        <v>0.55130669293466872</v>
      </c>
      <c r="AA94" s="173">
        <f>IFERROR(+(AA29-X29)/X29,"NA")</f>
        <v>0.62913639190187454</v>
      </c>
      <c r="AB94" s="173">
        <f>+(AB29-Y29)/Y29</f>
        <v>0.49506001638766206</v>
      </c>
      <c r="AC94" s="172">
        <f>+(AC29-Z29)/Z29</f>
        <v>0.55725363214551704</v>
      </c>
      <c r="AD94" s="173">
        <f>IFERROR(+(AD29-AA29)/AA29,"NA")</f>
        <v>0.13528545843865919</v>
      </c>
      <c r="AE94" s="173">
        <f>+(AE29-AB29)/AB29</f>
        <v>0.12163046441060207</v>
      </c>
      <c r="AF94" s="172">
        <f>+(AF29-AC29)/AC29</f>
        <v>0.12825694838774651</v>
      </c>
      <c r="AG94" s="173">
        <f>IFERROR(+(AG29-AD29)/AD29,"NA")</f>
        <v>0.13806906999921764</v>
      </c>
      <c r="AH94" s="173">
        <f>+(AH29-AE29)/AE29</f>
        <v>0.12001586966495635</v>
      </c>
      <c r="AI94" s="172">
        <f>+(AI29-AF29)/AF29</f>
        <v>0.12883128740970137</v>
      </c>
      <c r="AJ94" s="173">
        <f>IFERROR(+(AJ29-AG29)/AG29,"NA")</f>
        <v>0.13067052527015349</v>
      </c>
      <c r="AK94" s="173">
        <f>+(AK29-AH29)/AH29</f>
        <v>0.13137284966799392</v>
      </c>
      <c r="AL94" s="172">
        <f>+(AL29-AI29)/AI29</f>
        <v>0.13102709660689868</v>
      </c>
      <c r="AM94" s="173">
        <f>IFERROR(+(AM29-AJ29)/AJ29,"NA")</f>
        <v>0.29189617922424427</v>
      </c>
      <c r="AN94" s="173">
        <f>+(AN29-AK29)/AK29</f>
        <v>0.29393758695425182</v>
      </c>
      <c r="AO94" s="172">
        <f>+(AO29-AL29)/AL29</f>
        <v>0.2929329223666588</v>
      </c>
      <c r="AP94" s="173">
        <f>IFERROR(+(AP29-AM29)/AM29,"NA")</f>
        <v>0.16855414449121719</v>
      </c>
      <c r="AQ94" s="173">
        <f>+(AQ29-AN29)/AN29</f>
        <v>0.20906470144393977</v>
      </c>
      <c r="AR94" s="172">
        <f>+(AR29-AO29)/AO29</f>
        <v>0.18914369971018355</v>
      </c>
      <c r="AS94" s="173">
        <f>IFERROR(+(AS29-AP29)/AP29,"NA")</f>
        <v>0.15024449248775931</v>
      </c>
      <c r="AT94" s="173">
        <f>+(AT29-AQ29)/AQ29</f>
        <v>0.15143993282505749</v>
      </c>
      <c r="AU94" s="172">
        <f>+(AU29-AR29)/AR29</f>
        <v>0.15086225544010665</v>
      </c>
      <c r="AV94" s="173">
        <f>IFERROR(+(AV29-AS29)/AS29,"NA")</f>
        <v>0.13360891768554931</v>
      </c>
      <c r="AW94" s="173">
        <f>+(AW29-AT29)/AT29</f>
        <v>0.13435500900114333</v>
      </c>
      <c r="AX94" s="172">
        <f>+(AX29-AU29)/AU29</f>
        <v>0.13399466585954192</v>
      </c>
      <c r="AY94" s="173">
        <f>IFERROR(+(AY29-AV29)/AV29,"NA")</f>
        <v>0.1140660059613121</v>
      </c>
      <c r="AZ94" s="173">
        <f>+(AZ29-AW29)/AW29</f>
        <v>0.11567944134101553</v>
      </c>
      <c r="BA94" s="172">
        <f>+(BA29-AX29)/AX29</f>
        <v>0.11490045813719939</v>
      </c>
      <c r="BB94" s="173">
        <f>IFERROR(+(BB29-AY29)/AY29,"NA")</f>
        <v>0.10148965008921869</v>
      </c>
      <c r="BC94" s="173">
        <f>+(BC29-AZ29)/AZ29</f>
        <v>0.10196824352972179</v>
      </c>
      <c r="BD94" s="172">
        <f>+(BD29-BA29)/BA29</f>
        <v>0.10173734663708905</v>
      </c>
      <c r="BE94" s="173">
        <f>IFERROR(+(BE29-BB29)/BB29,"NA")</f>
        <v>8.5127852795366679E-2</v>
      </c>
      <c r="BF94" s="173">
        <f>+(BF29-BC29)/BC29</f>
        <v>8.5429628566865742E-2</v>
      </c>
      <c r="BG94" s="172">
        <f>+(BG29-BD29)/BD29</f>
        <v>8.5284069901592693E-2</v>
      </c>
      <c r="BH94" s="173"/>
      <c r="BJ94"/>
      <c r="BK94"/>
      <c r="BL94"/>
      <c r="BM94"/>
      <c r="BN94"/>
      <c r="BO94"/>
    </row>
    <row r="95" spans="1:67" s="61" customFormat="1" outlineLevel="1">
      <c r="B95" s="88" t="s">
        <v>234</v>
      </c>
      <c r="C95" s="88"/>
      <c r="D95" s="89" t="s">
        <v>175</v>
      </c>
      <c r="E95" s="172"/>
      <c r="F95" s="173"/>
      <c r="G95" s="173"/>
      <c r="H95" s="172">
        <f t="shared" ref="H95:BG95" si="155">+(H47-E47)/E47</f>
        <v>-5.2432413102340902</v>
      </c>
      <c r="I95" s="173">
        <f t="shared" si="155"/>
        <v>0.32558150654781476</v>
      </c>
      <c r="J95" s="173">
        <f t="shared" si="155"/>
        <v>0.53550681020698276</v>
      </c>
      <c r="K95" s="172">
        <f t="shared" si="155"/>
        <v>0.45610735341990072</v>
      </c>
      <c r="L95" s="173">
        <f t="shared" si="155"/>
        <v>0.45071894958973507</v>
      </c>
      <c r="M95" s="173">
        <f t="shared" si="155"/>
        <v>0.10412353999797769</v>
      </c>
      <c r="N95" s="172">
        <f t="shared" si="155"/>
        <v>0.22346424224358502</v>
      </c>
      <c r="O95" s="173">
        <f t="shared" si="155"/>
        <v>0.55805858073499415</v>
      </c>
      <c r="P95" s="173">
        <f t="shared" si="155"/>
        <v>0.71273675542135551</v>
      </c>
      <c r="Q95" s="172">
        <f t="shared" si="155"/>
        <v>0.64958479686516524</v>
      </c>
      <c r="R95" s="173">
        <f t="shared" si="155"/>
        <v>0.93913376528039361</v>
      </c>
      <c r="S95" s="173">
        <f t="shared" si="155"/>
        <v>-0.85884285599807686</v>
      </c>
      <c r="T95" s="172">
        <f t="shared" si="155"/>
        <v>-0.16549534136645028</v>
      </c>
      <c r="U95" s="173">
        <f t="shared" si="155"/>
        <v>-1.3867829808246239</v>
      </c>
      <c r="V95" s="173">
        <f t="shared" si="155"/>
        <v>-3.2507805847289157</v>
      </c>
      <c r="W95" s="172">
        <f t="shared" si="155"/>
        <v>-1.580492913083877</v>
      </c>
      <c r="X95" s="173">
        <f t="shared" si="155"/>
        <v>0.57730116175156221</v>
      </c>
      <c r="Y95" s="173">
        <f t="shared" si="155"/>
        <v>0.91046093700739217</v>
      </c>
      <c r="Z95" s="172">
        <f t="shared" si="155"/>
        <v>0.71154530209868827</v>
      </c>
      <c r="AA95" s="173">
        <f t="shared" si="155"/>
        <v>-0.43126939160933325</v>
      </c>
      <c r="AB95" s="173">
        <f t="shared" si="155"/>
        <v>-0.24378006854582607</v>
      </c>
      <c r="AC95" s="172">
        <f t="shared" si="155"/>
        <v>-0.34694191940384728</v>
      </c>
      <c r="AD95" s="173">
        <f t="shared" si="155"/>
        <v>0.2646696761032068</v>
      </c>
      <c r="AE95" s="173">
        <f t="shared" si="155"/>
        <v>0.23937110288521893</v>
      </c>
      <c r="AF95" s="172">
        <f t="shared" si="155"/>
        <v>0.25149363679096898</v>
      </c>
      <c r="AG95" s="173">
        <f t="shared" si="155"/>
        <v>0.34933210748636029</v>
      </c>
      <c r="AH95" s="173">
        <f t="shared" si="155"/>
        <v>0.36126027275535738</v>
      </c>
      <c r="AI95" s="172">
        <f t="shared" si="155"/>
        <v>0.3554843751415111</v>
      </c>
      <c r="AJ95" s="173">
        <f t="shared" si="155"/>
        <v>0.62388140482019383</v>
      </c>
      <c r="AK95" s="173">
        <f t="shared" si="155"/>
        <v>0.60633144384628279</v>
      </c>
      <c r="AL95" s="172">
        <f t="shared" si="155"/>
        <v>0.61479097574133912</v>
      </c>
      <c r="AM95" s="173">
        <f t="shared" si="155"/>
        <v>0.7970210178566246</v>
      </c>
      <c r="AN95" s="173">
        <f t="shared" si="155"/>
        <v>0.78110837802858635</v>
      </c>
      <c r="AO95" s="172">
        <f t="shared" si="155"/>
        <v>0.78882185886818146</v>
      </c>
      <c r="AP95" s="173">
        <f t="shared" si="155"/>
        <v>0.45301245937362455</v>
      </c>
      <c r="AQ95" s="173">
        <f t="shared" si="155"/>
        <v>0.5147168955600131</v>
      </c>
      <c r="AR95" s="172">
        <f t="shared" si="155"/>
        <v>0.48466923780604709</v>
      </c>
      <c r="AS95" s="173">
        <f t="shared" si="155"/>
        <v>0.31126816891407671</v>
      </c>
      <c r="AT95" s="173">
        <f t="shared" si="155"/>
        <v>0.30638958465360655</v>
      </c>
      <c r="AU95" s="172">
        <f t="shared" si="155"/>
        <v>0.30871460990570909</v>
      </c>
      <c r="AV95" s="173">
        <f t="shared" si="155"/>
        <v>0.26489553609458677</v>
      </c>
      <c r="AW95" s="173">
        <f t="shared" si="155"/>
        <v>0.26129507695943216</v>
      </c>
      <c r="AX95" s="172">
        <f t="shared" si="155"/>
        <v>0.26301432412895576</v>
      </c>
      <c r="AY95" s="173">
        <f t="shared" si="155"/>
        <v>0.2159540161132732</v>
      </c>
      <c r="AZ95" s="173">
        <f t="shared" si="155"/>
        <v>0.21617681669404851</v>
      </c>
      <c r="BA95" s="172">
        <f t="shared" si="155"/>
        <v>0.21607026922584172</v>
      </c>
      <c r="BB95" s="173">
        <f t="shared" si="155"/>
        <v>0.18878685373856052</v>
      </c>
      <c r="BC95" s="173">
        <f t="shared" si="155"/>
        <v>0.18715924858581973</v>
      </c>
      <c r="BD95" s="172">
        <f t="shared" si="155"/>
        <v>0.18793752586603732</v>
      </c>
      <c r="BE95" s="173">
        <f t="shared" si="155"/>
        <v>0.15892619213649889</v>
      </c>
      <c r="BF95" s="173">
        <f t="shared" si="155"/>
        <v>0.15772725931966602</v>
      </c>
      <c r="BG95" s="172">
        <f t="shared" si="155"/>
        <v>0.15830096683162065</v>
      </c>
      <c r="BH95" s="173"/>
      <c r="BJ95"/>
      <c r="BK95"/>
      <c r="BL95"/>
      <c r="BM95"/>
      <c r="BN95"/>
      <c r="BO95"/>
    </row>
    <row r="96" spans="1:67" s="61" customFormat="1" outlineLevel="1">
      <c r="B96" s="88" t="s">
        <v>235</v>
      </c>
      <c r="C96" s="88"/>
      <c r="D96" s="89" t="s">
        <v>175</v>
      </c>
      <c r="E96" s="172"/>
      <c r="F96" s="173"/>
      <c r="G96" s="173"/>
      <c r="H96" s="172">
        <f t="shared" ref="H96:BG96" si="156">+(H56-E56)/E56</f>
        <v>-5.2432413102340902</v>
      </c>
      <c r="I96" s="173">
        <f t="shared" si="156"/>
        <v>0.54774162434815221</v>
      </c>
      <c r="J96" s="173">
        <f t="shared" si="156"/>
        <v>0.40036444459285103</v>
      </c>
      <c r="K96" s="172">
        <f t="shared" si="156"/>
        <v>0.45610735341990072</v>
      </c>
      <c r="L96" s="173">
        <f t="shared" si="156"/>
        <v>0.24246628538169754</v>
      </c>
      <c r="M96" s="173">
        <f t="shared" si="156"/>
        <v>0.21068840455536883</v>
      </c>
      <c r="N96" s="172">
        <f t="shared" si="156"/>
        <v>0.22346424224358502</v>
      </c>
      <c r="O96" s="173">
        <f t="shared" si="156"/>
        <v>0.55805858073499415</v>
      </c>
      <c r="P96" s="173">
        <f t="shared" si="156"/>
        <v>0.71273675542135551</v>
      </c>
      <c r="Q96" s="172">
        <f t="shared" si="156"/>
        <v>0.64958479686516524</v>
      </c>
      <c r="R96" s="173">
        <f t="shared" si="156"/>
        <v>0.95933739746576918</v>
      </c>
      <c r="S96" s="173">
        <f t="shared" si="156"/>
        <v>-0.84586104655821781</v>
      </c>
      <c r="T96" s="172">
        <f t="shared" si="156"/>
        <v>-0.1497286053638901</v>
      </c>
      <c r="U96" s="173">
        <f t="shared" si="156"/>
        <v>-1.3671075780282795</v>
      </c>
      <c r="V96" s="173">
        <f t="shared" si="156"/>
        <v>-2.9240642058746986</v>
      </c>
      <c r="W96" s="172">
        <f t="shared" si="156"/>
        <v>-1.5405134477866873</v>
      </c>
      <c r="X96" s="173">
        <f t="shared" si="156"/>
        <v>0.59595979765708029</v>
      </c>
      <c r="Y96" s="173">
        <f t="shared" si="156"/>
        <v>0.959888541754639</v>
      </c>
      <c r="Z96" s="172">
        <f t="shared" si="156"/>
        <v>0.74024330639600366</v>
      </c>
      <c r="AA96" s="173">
        <f t="shared" si="156"/>
        <v>-0.53382378904843353</v>
      </c>
      <c r="AB96" s="173">
        <f t="shared" si="156"/>
        <v>-0.36728199599236971</v>
      </c>
      <c r="AC96" s="172">
        <f t="shared" si="156"/>
        <v>-0.45946283135450766</v>
      </c>
      <c r="AD96" s="173">
        <f t="shared" si="156"/>
        <v>0.29926067444665039</v>
      </c>
      <c r="AE96" s="173">
        <f t="shared" si="156"/>
        <v>0.26858234859931329</v>
      </c>
      <c r="AF96" s="172">
        <f t="shared" si="156"/>
        <v>0.2832268167709564</v>
      </c>
      <c r="AG96" s="173">
        <f t="shared" si="156"/>
        <v>0.39660806071437943</v>
      </c>
      <c r="AH96" s="173">
        <f t="shared" si="156"/>
        <v>0.41417932652886597</v>
      </c>
      <c r="AI96" s="172">
        <f t="shared" si="156"/>
        <v>0.40568678138909464</v>
      </c>
      <c r="AJ96" s="173">
        <f t="shared" si="156"/>
        <v>0.71381946135915042</v>
      </c>
      <c r="AK96" s="173">
        <f t="shared" si="156"/>
        <v>0.68884594269234223</v>
      </c>
      <c r="AL96" s="172">
        <f t="shared" si="156"/>
        <v>0.7008381888821319</v>
      </c>
      <c r="AM96" s="173">
        <f t="shared" si="156"/>
        <v>0.85778980607856614</v>
      </c>
      <c r="AN96" s="173">
        <f t="shared" si="156"/>
        <v>0.83780686572558105</v>
      </c>
      <c r="AO96" s="172">
        <f t="shared" si="156"/>
        <v>0.84747588135738638</v>
      </c>
      <c r="AP96" s="173">
        <f t="shared" si="156"/>
        <v>0.47680996963763028</v>
      </c>
      <c r="AQ96" s="173">
        <f t="shared" si="156"/>
        <v>0.5397624822941689</v>
      </c>
      <c r="AR96" s="172">
        <f t="shared" si="156"/>
        <v>0.50913200688821925</v>
      </c>
      <c r="AS96" s="173">
        <f t="shared" si="156"/>
        <v>0.32192742392674023</v>
      </c>
      <c r="AT96" s="173">
        <f t="shared" si="156"/>
        <v>0.31635946866795683</v>
      </c>
      <c r="AU96" s="172">
        <f t="shared" si="156"/>
        <v>0.31901061555604088</v>
      </c>
      <c r="AV96" s="173">
        <f t="shared" si="156"/>
        <v>0.272457596231923</v>
      </c>
      <c r="AW96" s="173">
        <f t="shared" si="156"/>
        <v>0.26843946464202961</v>
      </c>
      <c r="AX96" s="172">
        <f t="shared" si="156"/>
        <v>0.27035690352803032</v>
      </c>
      <c r="AY96" s="173">
        <f t="shared" si="156"/>
        <v>0.22118234236671516</v>
      </c>
      <c r="AZ96" s="173">
        <f t="shared" si="156"/>
        <v>0.22123506626822881</v>
      </c>
      <c r="BA96" s="172">
        <f t="shared" si="156"/>
        <v>0.22120986499504822</v>
      </c>
      <c r="BB96" s="173">
        <f t="shared" si="156"/>
        <v>0.19287353097309037</v>
      </c>
      <c r="BC96" s="173">
        <f t="shared" si="156"/>
        <v>0.19107648190901577</v>
      </c>
      <c r="BD96" s="172">
        <f t="shared" si="156"/>
        <v>0.19193542638050276</v>
      </c>
      <c r="BE96" s="173">
        <f t="shared" si="156"/>
        <v>0.16211627977376236</v>
      </c>
      <c r="BF96" s="173">
        <f t="shared" si="156"/>
        <v>0.16080292547355113</v>
      </c>
      <c r="BG96" s="172">
        <f t="shared" si="156"/>
        <v>0.1614311700217671</v>
      </c>
      <c r="BH96" s="173"/>
      <c r="BJ96"/>
      <c r="BK96"/>
      <c r="BL96"/>
      <c r="BM96"/>
      <c r="BN96"/>
      <c r="BO96"/>
    </row>
    <row r="97" spans="2:67" s="61" customFormat="1" outlineLevel="1">
      <c r="B97" s="88" t="s">
        <v>236</v>
      </c>
      <c r="C97" s="88"/>
      <c r="D97" s="89" t="s">
        <v>175</v>
      </c>
      <c r="E97" s="172"/>
      <c r="F97" s="173"/>
      <c r="G97" s="173"/>
      <c r="H97" s="172">
        <f t="shared" ref="H97:BG97" si="157">+(H63-E63)/E63</f>
        <v>-5.2432413102340902</v>
      </c>
      <c r="I97" s="173">
        <f t="shared" si="157"/>
        <v>0.54747969098107718</v>
      </c>
      <c r="J97" s="173">
        <f t="shared" si="157"/>
        <v>0.40050865060338103</v>
      </c>
      <c r="K97" s="172">
        <f t="shared" si="157"/>
        <v>0.45610735341990072</v>
      </c>
      <c r="L97" s="173">
        <f t="shared" si="157"/>
        <v>0.24246628538169754</v>
      </c>
      <c r="M97" s="173">
        <f t="shared" si="157"/>
        <v>0.21068840455536883</v>
      </c>
      <c r="N97" s="172">
        <f t="shared" si="157"/>
        <v>0.22346424224358502</v>
      </c>
      <c r="O97" s="173">
        <f t="shared" si="157"/>
        <v>0.55805858073499415</v>
      </c>
      <c r="P97" s="173">
        <f t="shared" si="157"/>
        <v>0.71273675542135551</v>
      </c>
      <c r="Q97" s="172">
        <f t="shared" si="157"/>
        <v>0.64958479686516524</v>
      </c>
      <c r="R97" s="173">
        <f t="shared" si="157"/>
        <v>1.0259806581341167</v>
      </c>
      <c r="S97" s="173">
        <f t="shared" si="157"/>
        <v>-0.80559339690680354</v>
      </c>
      <c r="T97" s="172">
        <f t="shared" si="157"/>
        <v>-9.9289819931812628E-2</v>
      </c>
      <c r="U97" s="173">
        <f t="shared" si="157"/>
        <v>-1.3364893818135992</v>
      </c>
      <c r="V97" s="173">
        <f t="shared" si="157"/>
        <v>-2.3926215993404711</v>
      </c>
      <c r="W97" s="172">
        <f t="shared" si="157"/>
        <v>-1.4765373052746644</v>
      </c>
      <c r="X97" s="173">
        <f t="shared" si="157"/>
        <v>0.62104967461023264</v>
      </c>
      <c r="Y97" s="173">
        <f t="shared" si="157"/>
        <v>1.0307828918159125</v>
      </c>
      <c r="Z97" s="172">
        <f t="shared" si="157"/>
        <v>0.77982966765119655</v>
      </c>
      <c r="AA97" s="173">
        <f t="shared" si="157"/>
        <v>-0.66800485212569138</v>
      </c>
      <c r="AB97" s="173">
        <f t="shared" si="157"/>
        <v>-0.54230784653335484</v>
      </c>
      <c r="AC97" s="172">
        <f t="shared" si="157"/>
        <v>-0.61242663756301663</v>
      </c>
      <c r="AD97" s="173">
        <f t="shared" si="157"/>
        <v>0.3553731505427733</v>
      </c>
      <c r="AE97" s="173">
        <f t="shared" si="157"/>
        <v>0.33639748375583139</v>
      </c>
      <c r="AF97" s="172">
        <f t="shared" si="157"/>
        <v>0.34546491662448103</v>
      </c>
      <c r="AG97" s="173">
        <f t="shared" si="157"/>
        <v>0.49956497144531359</v>
      </c>
      <c r="AH97" s="173">
        <f t="shared" si="157"/>
        <v>0.52811358774812733</v>
      </c>
      <c r="AI97" s="172">
        <f t="shared" si="157"/>
        <v>0.51437130539822606</v>
      </c>
      <c r="AJ97" s="173">
        <f t="shared" si="157"/>
        <v>0.89006262286771998</v>
      </c>
      <c r="AK97" s="173">
        <f t="shared" si="157"/>
        <v>0.84710117200333868</v>
      </c>
      <c r="AL97" s="172">
        <f t="shared" si="157"/>
        <v>0.86757908334914224</v>
      </c>
      <c r="AM97" s="173">
        <f t="shared" si="157"/>
        <v>0.96010201642037607</v>
      </c>
      <c r="AN97" s="173">
        <f t="shared" si="157"/>
        <v>0.93237476795478913</v>
      </c>
      <c r="AO97" s="172">
        <f t="shared" si="157"/>
        <v>0.94575028827716068</v>
      </c>
      <c r="AP97" s="173">
        <f t="shared" si="157"/>
        <v>0.5135426732787115</v>
      </c>
      <c r="AQ97" s="173">
        <f t="shared" si="157"/>
        <v>0.57826618352335113</v>
      </c>
      <c r="AR97" s="172">
        <f t="shared" si="157"/>
        <v>0.54681351149843727</v>
      </c>
      <c r="AS97" s="173">
        <f t="shared" si="157"/>
        <v>0.33772254258396139</v>
      </c>
      <c r="AT97" s="173">
        <f t="shared" si="157"/>
        <v>0.3310694659637643</v>
      </c>
      <c r="AU97" s="172">
        <f t="shared" si="157"/>
        <v>0.33423301609920353</v>
      </c>
      <c r="AV97" s="173">
        <f t="shared" si="157"/>
        <v>0.28344162446003418</v>
      </c>
      <c r="AW97" s="173">
        <f t="shared" si="157"/>
        <v>0.27878515529059383</v>
      </c>
      <c r="AX97" s="172">
        <f t="shared" si="157"/>
        <v>0.28100510579022769</v>
      </c>
      <c r="AY97" s="173">
        <f t="shared" si="157"/>
        <v>0.22866684134647094</v>
      </c>
      <c r="AZ97" s="173">
        <f t="shared" si="157"/>
        <v>0.22845966687545002</v>
      </c>
      <c r="BA97" s="172">
        <f t="shared" si="157"/>
        <v>0.22855862422549669</v>
      </c>
      <c r="BB97" s="173">
        <f t="shared" si="157"/>
        <v>0.19866319557271503</v>
      </c>
      <c r="BC97" s="173">
        <f t="shared" si="157"/>
        <v>0.19661544980818446</v>
      </c>
      <c r="BD97" s="172">
        <f t="shared" si="157"/>
        <v>0.197593646314982</v>
      </c>
      <c r="BE97" s="173">
        <f t="shared" si="157"/>
        <v>0.16659849290910589</v>
      </c>
      <c r="BF97" s="173">
        <f t="shared" si="157"/>
        <v>0.16511754968121212</v>
      </c>
      <c r="BG97" s="172">
        <f t="shared" si="157"/>
        <v>0.16582561963973833</v>
      </c>
      <c r="BH97" s="173"/>
      <c r="BJ97"/>
      <c r="BK97"/>
      <c r="BL97"/>
      <c r="BM97"/>
      <c r="BN97"/>
      <c r="BO97"/>
    </row>
    <row r="98" spans="2:67" s="61" customFormat="1" outlineLevel="1">
      <c r="B98" s="88" t="s">
        <v>237</v>
      </c>
      <c r="C98" s="88"/>
      <c r="D98" s="89" t="s">
        <v>175</v>
      </c>
      <c r="E98" s="172"/>
      <c r="F98" s="173"/>
      <c r="G98" s="173"/>
      <c r="H98" s="172">
        <f t="shared" ref="H98:BG98" si="158">+(H67-E67)/E67</f>
        <v>-5.2432413102340902</v>
      </c>
      <c r="I98" s="173">
        <f t="shared" si="158"/>
        <v>0.54747969098107718</v>
      </c>
      <c r="J98" s="173">
        <f t="shared" si="158"/>
        <v>0.40818879298924587</v>
      </c>
      <c r="K98" s="172">
        <f t="shared" si="158"/>
        <v>0.45610735341990072</v>
      </c>
      <c r="L98" s="173">
        <f t="shared" si="158"/>
        <v>0.24246628538169754</v>
      </c>
      <c r="M98" s="173">
        <f t="shared" si="158"/>
        <v>0.20408541255728385</v>
      </c>
      <c r="N98" s="172">
        <f t="shared" si="158"/>
        <v>0.22346424224358502</v>
      </c>
      <c r="O98" s="173">
        <f t="shared" si="158"/>
        <v>0.55805858073499415</v>
      </c>
      <c r="P98" s="173">
        <f t="shared" si="158"/>
        <v>0.71273675542135584</v>
      </c>
      <c r="Q98" s="172">
        <f t="shared" si="158"/>
        <v>0.64958479686516524</v>
      </c>
      <c r="R98" s="173">
        <f t="shared" si="158"/>
        <v>1.0259806581341167</v>
      </c>
      <c r="S98" s="173">
        <f t="shared" si="158"/>
        <v>-0.69783235836204849</v>
      </c>
      <c r="T98" s="172">
        <f t="shared" si="158"/>
        <v>-9.9289819931812628E-2</v>
      </c>
      <c r="U98" s="173">
        <f t="shared" si="158"/>
        <v>-1.3364893818135992</v>
      </c>
      <c r="V98" s="173">
        <f t="shared" si="158"/>
        <v>-1.8952463037857192</v>
      </c>
      <c r="W98" s="172">
        <f t="shared" si="158"/>
        <v>-1.4765373052746644</v>
      </c>
      <c r="X98" s="173">
        <f t="shared" si="158"/>
        <v>0.62104967461023264</v>
      </c>
      <c r="Y98" s="173">
        <f t="shared" si="158"/>
        <v>1.032437236169742</v>
      </c>
      <c r="Z98" s="172">
        <f t="shared" si="158"/>
        <v>0.77982966765119655</v>
      </c>
      <c r="AA98" s="173">
        <f t="shared" si="158"/>
        <v>-0.66800485212569138</v>
      </c>
      <c r="AB98" s="173">
        <f t="shared" si="158"/>
        <v>-0.54230784653334707</v>
      </c>
      <c r="AC98" s="172">
        <f t="shared" si="158"/>
        <v>-0.61242663756301663</v>
      </c>
      <c r="AD98" s="173">
        <f t="shared" si="158"/>
        <v>0.3553731505427733</v>
      </c>
      <c r="AE98" s="173">
        <f t="shared" si="158"/>
        <v>0.33639748375579925</v>
      </c>
      <c r="AF98" s="172">
        <f t="shared" si="158"/>
        <v>0.34546491662448103</v>
      </c>
      <c r="AG98" s="173">
        <f t="shared" si="158"/>
        <v>0.49956497144531359</v>
      </c>
      <c r="AH98" s="173">
        <f t="shared" si="158"/>
        <v>0.52811358774813544</v>
      </c>
      <c r="AI98" s="172">
        <f t="shared" si="158"/>
        <v>0.51437130539822606</v>
      </c>
      <c r="AJ98" s="173">
        <f t="shared" si="158"/>
        <v>0.89006262286771998</v>
      </c>
      <c r="AK98" s="173">
        <f t="shared" si="158"/>
        <v>0.84710117200334323</v>
      </c>
      <c r="AL98" s="172">
        <f t="shared" si="158"/>
        <v>0.86757908334914224</v>
      </c>
      <c r="AM98" s="173">
        <f t="shared" si="158"/>
        <v>0.96010201642037607</v>
      </c>
      <c r="AN98" s="173">
        <f t="shared" si="158"/>
        <v>0.93237476795479857</v>
      </c>
      <c r="AO98" s="172">
        <f t="shared" si="158"/>
        <v>0.94575028827716068</v>
      </c>
      <c r="AP98" s="173">
        <f t="shared" si="158"/>
        <v>0.5135426732787115</v>
      </c>
      <c r="AQ98" s="173">
        <f t="shared" si="158"/>
        <v>0.57826618352334724</v>
      </c>
      <c r="AR98" s="172">
        <f t="shared" si="158"/>
        <v>0.54681351149843727</v>
      </c>
      <c r="AS98" s="173">
        <f t="shared" si="158"/>
        <v>0.33772254258396139</v>
      </c>
      <c r="AT98" s="173">
        <f t="shared" si="158"/>
        <v>0.33106946596376197</v>
      </c>
      <c r="AU98" s="172">
        <f t="shared" si="158"/>
        <v>0.33423301609920353</v>
      </c>
      <c r="AV98" s="173">
        <f t="shared" si="158"/>
        <v>0.28344162446003418</v>
      </c>
      <c r="AW98" s="173">
        <f t="shared" si="158"/>
        <v>0.27878515529059628</v>
      </c>
      <c r="AX98" s="172">
        <f t="shared" si="158"/>
        <v>0.28100510579022769</v>
      </c>
      <c r="AY98" s="173">
        <f t="shared" si="158"/>
        <v>0.22866684134647094</v>
      </c>
      <c r="AZ98" s="173">
        <f t="shared" si="158"/>
        <v>0.22845966687544897</v>
      </c>
      <c r="BA98" s="172">
        <f t="shared" si="158"/>
        <v>0.22855862422549669</v>
      </c>
      <c r="BB98" s="173">
        <f t="shared" si="158"/>
        <v>0.19866319557271503</v>
      </c>
      <c r="BC98" s="173">
        <f t="shared" si="158"/>
        <v>0.19661544980818688</v>
      </c>
      <c r="BD98" s="172">
        <f t="shared" si="158"/>
        <v>0.197593646314982</v>
      </c>
      <c r="BE98" s="173">
        <f t="shared" si="158"/>
        <v>0.16659849290910589</v>
      </c>
      <c r="BF98" s="173">
        <f t="shared" si="158"/>
        <v>0.16511754968121192</v>
      </c>
      <c r="BG98" s="172">
        <f t="shared" si="158"/>
        <v>0.16582561963973833</v>
      </c>
      <c r="BH98" s="173"/>
      <c r="BJ98"/>
      <c r="BK98"/>
      <c r="BL98"/>
      <c r="BM98"/>
      <c r="BN98"/>
      <c r="BO98"/>
    </row>
    <row r="99" spans="2:67" s="61" customFormat="1" outlineLevel="1">
      <c r="B99" s="88" t="s">
        <v>238</v>
      </c>
      <c r="C99" s="88"/>
      <c r="D99" s="89" t="s">
        <v>175</v>
      </c>
      <c r="E99" s="172"/>
      <c r="F99" s="173"/>
      <c r="G99" s="173"/>
      <c r="H99" s="172">
        <f t="shared" ref="H99:BG99" si="159">+(H79-E79)/E79</f>
        <v>1.1686922691530575</v>
      </c>
      <c r="I99" s="173">
        <f t="shared" si="159"/>
        <v>0.99797611062952341</v>
      </c>
      <c r="J99" s="173">
        <f t="shared" si="159"/>
        <v>1.0251740944697523</v>
      </c>
      <c r="K99" s="172">
        <f t="shared" si="159"/>
        <v>1.0149674620390456</v>
      </c>
      <c r="L99" s="173">
        <f t="shared" si="159"/>
        <v>0.76488570819643342</v>
      </c>
      <c r="M99" s="173">
        <f t="shared" si="159"/>
        <v>0.51941792794280794</v>
      </c>
      <c r="N99" s="172">
        <f t="shared" si="159"/>
        <v>0.61075824451860616</v>
      </c>
      <c r="O99" s="173">
        <f t="shared" si="159"/>
        <v>0.77662422818425259</v>
      </c>
      <c r="P99" s="173">
        <f t="shared" si="159"/>
        <v>0.80531106597457303</v>
      </c>
      <c r="Q99" s="172">
        <f t="shared" si="159"/>
        <v>0.79361507786218732</v>
      </c>
      <c r="R99" s="173">
        <f t="shared" si="159"/>
        <v>1.1803223226917636</v>
      </c>
      <c r="S99" s="173">
        <f t="shared" si="159"/>
        <v>-0.30852571047587329</v>
      </c>
      <c r="T99" s="172">
        <f t="shared" si="159"/>
        <v>0.29274624270276967</v>
      </c>
      <c r="U99" s="173">
        <f t="shared" si="159"/>
        <v>-0.87116841347984975</v>
      </c>
      <c r="V99" s="173">
        <f t="shared" si="159"/>
        <v>-1.4031276364951164</v>
      </c>
      <c r="W99" s="172">
        <f t="shared" si="159"/>
        <v>-1.0407959338579342</v>
      </c>
      <c r="X99" s="173">
        <f t="shared" si="159"/>
        <v>-3.1450782875287473</v>
      </c>
      <c r="Y99" s="173">
        <f t="shared" si="159"/>
        <v>5.3441961282620125E-2</v>
      </c>
      <c r="Z99" s="172">
        <f t="shared" si="159"/>
        <v>6.9333490343854276</v>
      </c>
      <c r="AA99" s="173">
        <f t="shared" si="159"/>
        <v>-1.1169924965545373</v>
      </c>
      <c r="AB99" s="173">
        <f t="shared" si="159"/>
        <v>-1.3061081979120683</v>
      </c>
      <c r="AC99" s="172">
        <f t="shared" si="159"/>
        <v>-1.1961196063937254</v>
      </c>
      <c r="AD99" s="173">
        <f t="shared" si="159"/>
        <v>-1.5149506176157712</v>
      </c>
      <c r="AE99" s="173">
        <f t="shared" si="159"/>
        <v>-1.4255494636746553</v>
      </c>
      <c r="AF99" s="172">
        <f t="shared" si="159"/>
        <v>-1.4565664910332039</v>
      </c>
      <c r="AG99" s="173">
        <f t="shared" si="159"/>
        <v>5.9473249950603639</v>
      </c>
      <c r="AH99" s="173">
        <f t="shared" si="159"/>
        <v>4.4180590130420647</v>
      </c>
      <c r="AI99" s="172">
        <f t="shared" si="159"/>
        <v>5.0164728484815511</v>
      </c>
      <c r="AJ99" s="173">
        <f t="shared" si="159"/>
        <v>1.8956281166554407</v>
      </c>
      <c r="AK99" s="173">
        <f t="shared" si="159"/>
        <v>1.6455256186773919</v>
      </c>
      <c r="AL99" s="172">
        <f t="shared" si="159"/>
        <v>1.758534423510782</v>
      </c>
      <c r="AM99" s="173">
        <f t="shared" si="159"/>
        <v>1.3602732250827365</v>
      </c>
      <c r="AN99" s="173">
        <f t="shared" si="159"/>
        <v>1.2859466282753835</v>
      </c>
      <c r="AO99" s="172">
        <f t="shared" si="159"/>
        <v>1.321200180001862</v>
      </c>
      <c r="AP99" s="173">
        <f t="shared" si="159"/>
        <v>0.80309269879313605</v>
      </c>
      <c r="AQ99" s="173">
        <f t="shared" si="159"/>
        <v>0.86215340643017602</v>
      </c>
      <c r="AR99" s="172">
        <f t="shared" si="159"/>
        <v>0.83366901402653282</v>
      </c>
      <c r="AS99" s="173">
        <f t="shared" si="159"/>
        <v>0.34898369542762736</v>
      </c>
      <c r="AT99" s="173">
        <f t="shared" si="159"/>
        <v>0.34174254400209259</v>
      </c>
      <c r="AU99" s="172">
        <f t="shared" si="159"/>
        <v>0.34517664490659605</v>
      </c>
      <c r="AV99" s="173">
        <f t="shared" si="159"/>
        <v>0.29317676136650495</v>
      </c>
      <c r="AW99" s="173">
        <f t="shared" si="159"/>
        <v>0.28796282766438225</v>
      </c>
      <c r="AX99" s="172">
        <f t="shared" si="159"/>
        <v>0.29044252290914163</v>
      </c>
      <c r="AY99" s="173">
        <f t="shared" si="159"/>
        <v>0.23782995859394301</v>
      </c>
      <c r="AZ99" s="173">
        <f t="shared" si="159"/>
        <v>0.23701124563445042</v>
      </c>
      <c r="BA99" s="172">
        <f t="shared" si="159"/>
        <v>0.23740144242743899</v>
      </c>
      <c r="BB99" s="173">
        <f t="shared" si="159"/>
        <v>0.20729160689373072</v>
      </c>
      <c r="BC99" s="173">
        <f t="shared" si="159"/>
        <v>0.20470155077608287</v>
      </c>
      <c r="BD99" s="172">
        <f t="shared" si="159"/>
        <v>0.20593639329820243</v>
      </c>
      <c r="BE99" s="173">
        <f t="shared" si="159"/>
        <v>0.17519207075777016</v>
      </c>
      <c r="BF99" s="173">
        <f t="shared" si="159"/>
        <v>0.17316775577370921</v>
      </c>
      <c r="BG99" s="172">
        <f t="shared" si="159"/>
        <v>0.17413395852933261</v>
      </c>
      <c r="BH99" s="173"/>
      <c r="BJ99"/>
      <c r="BK99"/>
      <c r="BL99"/>
      <c r="BM99"/>
      <c r="BN99"/>
      <c r="BO99"/>
    </row>
    <row r="100" spans="2:67" s="61" customFormat="1" outlineLevel="1">
      <c r="B100" s="96"/>
      <c r="C100" s="88"/>
      <c r="D100" s="89"/>
      <c r="E100" s="172"/>
      <c r="F100" s="173"/>
      <c r="G100" s="173"/>
      <c r="H100" s="172"/>
      <c r="I100" s="173"/>
      <c r="J100" s="173"/>
      <c r="K100" s="172"/>
      <c r="L100" s="173"/>
      <c r="M100" s="173"/>
      <c r="N100" s="172"/>
      <c r="O100" s="173"/>
      <c r="P100" s="173"/>
      <c r="Q100" s="172"/>
      <c r="R100" s="173"/>
      <c r="S100" s="173"/>
      <c r="T100" s="172"/>
      <c r="U100" s="173"/>
      <c r="V100" s="173"/>
      <c r="W100" s="172"/>
      <c r="X100" s="173"/>
      <c r="Y100" s="173"/>
      <c r="Z100" s="172"/>
      <c r="AA100" s="173"/>
      <c r="AB100" s="173"/>
      <c r="AC100" s="172"/>
      <c r="AD100" s="173"/>
      <c r="AE100" s="173"/>
      <c r="AF100" s="172"/>
      <c r="AG100" s="173"/>
      <c r="AH100" s="173"/>
      <c r="AI100" s="172"/>
      <c r="AJ100" s="173"/>
      <c r="AK100" s="173"/>
      <c r="AL100" s="172"/>
      <c r="AM100" s="173"/>
      <c r="AN100" s="173"/>
      <c r="AO100" s="172"/>
      <c r="AP100" s="173"/>
      <c r="AQ100" s="173"/>
      <c r="AR100" s="172"/>
      <c r="AS100" s="173"/>
      <c r="AT100" s="173"/>
      <c r="AU100" s="172"/>
      <c r="AV100" s="173"/>
      <c r="AW100" s="173"/>
      <c r="AX100" s="172"/>
      <c r="AY100" s="173"/>
      <c r="AZ100" s="173"/>
      <c r="BA100" s="172"/>
      <c r="BB100" s="173"/>
      <c r="BC100" s="173"/>
      <c r="BD100" s="172"/>
      <c r="BE100" s="173"/>
      <c r="BF100" s="173"/>
      <c r="BG100" s="172"/>
      <c r="BH100" s="173"/>
      <c r="BJ100"/>
      <c r="BK100"/>
      <c r="BL100"/>
      <c r="BM100"/>
      <c r="BN100"/>
      <c r="BO100"/>
    </row>
    <row r="101" spans="2:67" s="61" customFormat="1">
      <c r="B101" s="88" t="s">
        <v>239</v>
      </c>
      <c r="C101" s="88"/>
      <c r="D101" s="89"/>
      <c r="E101" s="172"/>
      <c r="F101" s="173"/>
      <c r="G101" s="173"/>
      <c r="H101" s="172"/>
      <c r="I101" s="173"/>
      <c r="J101" s="173"/>
      <c r="K101" s="172"/>
      <c r="L101" s="173"/>
      <c r="M101" s="173"/>
      <c r="N101" s="172"/>
      <c r="O101" s="173"/>
      <c r="P101" s="173"/>
      <c r="Q101" s="172"/>
      <c r="R101" s="173"/>
      <c r="S101" s="173"/>
      <c r="T101" s="172"/>
      <c r="U101" s="173"/>
      <c r="V101" s="173"/>
      <c r="W101" s="172"/>
      <c r="X101" s="173"/>
      <c r="Y101" s="173"/>
      <c r="Z101" s="172"/>
      <c r="AA101" s="173"/>
      <c r="AB101" s="173"/>
      <c r="AC101" s="172"/>
      <c r="AD101" s="173"/>
      <c r="AE101" s="173"/>
      <c r="AF101" s="172"/>
      <c r="AG101" s="173"/>
      <c r="AH101" s="173"/>
      <c r="AI101" s="172"/>
      <c r="AJ101" s="173"/>
      <c r="AK101" s="173"/>
      <c r="AL101" s="172"/>
      <c r="AM101" s="173"/>
      <c r="AN101" s="173"/>
      <c r="AO101" s="172"/>
      <c r="AP101" s="173"/>
      <c r="AQ101" s="173"/>
      <c r="AR101" s="172"/>
      <c r="AS101" s="173"/>
      <c r="AT101" s="173"/>
      <c r="AU101" s="172"/>
      <c r="AV101" s="173"/>
      <c r="AW101" s="173"/>
      <c r="AX101" s="172"/>
      <c r="AY101" s="173"/>
      <c r="AZ101" s="173"/>
      <c r="BA101" s="172"/>
      <c r="BB101" s="173"/>
      <c r="BC101" s="173"/>
      <c r="BD101" s="172"/>
      <c r="BE101" s="173"/>
      <c r="BF101" s="173"/>
      <c r="BG101" s="172"/>
      <c r="BH101" s="173"/>
      <c r="BJ101"/>
      <c r="BK101"/>
      <c r="BL101"/>
      <c r="BM101"/>
      <c r="BN101"/>
      <c r="BO101"/>
    </row>
    <row r="102" spans="2:67" s="61" customFormat="1">
      <c r="B102" s="88" t="s">
        <v>240</v>
      </c>
      <c r="C102" s="88"/>
      <c r="D102" s="89" t="s">
        <v>175</v>
      </c>
      <c r="E102" s="172" t="str">
        <f t="shared" ref="E102:BG102" si="160">IFERROR(+E47/E29,"NA")</f>
        <v>NA</v>
      </c>
      <c r="F102" s="173" t="str">
        <f t="shared" si="160"/>
        <v>NA</v>
      </c>
      <c r="G102" s="173">
        <f t="shared" si="160"/>
        <v>-88.154630769230778</v>
      </c>
      <c r="H102" s="172">
        <f t="shared" si="160"/>
        <v>-141.77948717948718</v>
      </c>
      <c r="I102" s="173">
        <f t="shared" si="160"/>
        <v>-7.6266232444310926</v>
      </c>
      <c r="J102" s="173">
        <f t="shared" si="160"/>
        <v>-15.829462464122896</v>
      </c>
      <c r="K102" s="172">
        <f t="shared" si="160"/>
        <v>-11.551506456241032</v>
      </c>
      <c r="L102" s="173">
        <f t="shared" si="160"/>
        <v>-12.513378967019293</v>
      </c>
      <c r="M102" s="173">
        <f t="shared" si="160"/>
        <v>-8.0820854132002218</v>
      </c>
      <c r="N102" s="172">
        <f t="shared" si="160"/>
        <v>-9.4481104929982731</v>
      </c>
      <c r="O102" s="173">
        <f t="shared" si="160"/>
        <v>-10.766666666666666</v>
      </c>
      <c r="P102" s="173">
        <f t="shared" si="160"/>
        <v>-10.652155356380705</v>
      </c>
      <c r="Q102" s="172">
        <f t="shared" si="160"/>
        <v>-10.696024223275407</v>
      </c>
      <c r="R102" s="173">
        <f t="shared" si="160"/>
        <v>-2.526510583440762</v>
      </c>
      <c r="S102" s="173">
        <f t="shared" si="160"/>
        <v>-5.179016383802889E-2</v>
      </c>
      <c r="T102" s="172">
        <f t="shared" si="160"/>
        <v>-0.42350214871077352</v>
      </c>
      <c r="U102" s="173">
        <f t="shared" si="160"/>
        <v>0.15794143148074727</v>
      </c>
      <c r="V102" s="173">
        <f t="shared" si="160"/>
        <v>8.6098971199000646E-2</v>
      </c>
      <c r="W102" s="172">
        <f t="shared" si="160"/>
        <v>0.11820000120128042</v>
      </c>
      <c r="X102" s="173">
        <f t="shared" si="160"/>
        <v>0.15468822382945691</v>
      </c>
      <c r="Y102" s="173">
        <f t="shared" si="160"/>
        <v>0.10940275872030074</v>
      </c>
      <c r="Z102" s="172">
        <f t="shared" si="160"/>
        <v>0.13040919483264979</v>
      </c>
      <c r="AA102" s="173">
        <f t="shared" si="160"/>
        <v>5.4001572911089687E-2</v>
      </c>
      <c r="AB102" s="173">
        <f t="shared" si="160"/>
        <v>5.5337274620092039E-2</v>
      </c>
      <c r="AC102" s="172">
        <f t="shared" si="160"/>
        <v>5.4689086422077315E-2</v>
      </c>
      <c r="AD102" s="173">
        <f t="shared" si="160"/>
        <v>6.0155929255409836E-2</v>
      </c>
      <c r="AE102" s="173">
        <f t="shared" si="160"/>
        <v>6.1146180718803081E-2</v>
      </c>
      <c r="AF102" s="172">
        <f t="shared" si="160"/>
        <v>6.0662638733973401E-2</v>
      </c>
      <c r="AG102" s="173">
        <f t="shared" si="160"/>
        <v>7.1322847566763548E-2</v>
      </c>
      <c r="AH102" s="173">
        <f t="shared" si="160"/>
        <v>7.4316685055655141E-2</v>
      </c>
      <c r="AI102" s="172">
        <f t="shared" si="160"/>
        <v>7.2842824145528284E-2</v>
      </c>
      <c r="AJ102" s="173">
        <f t="shared" si="160"/>
        <v>0.10243465564366724</v>
      </c>
      <c r="AK102" s="173">
        <f t="shared" si="160"/>
        <v>0.10551537279894221</v>
      </c>
      <c r="AL102" s="172">
        <f t="shared" si="160"/>
        <v>0.10399921932073271</v>
      </c>
      <c r="AM102" s="173">
        <f t="shared" si="160"/>
        <v>0.14248608526662734</v>
      </c>
      <c r="AN102" s="173">
        <f t="shared" si="160"/>
        <v>0.14524217891017194</v>
      </c>
      <c r="AO102" s="172">
        <f t="shared" si="160"/>
        <v>0.14388687425920105</v>
      </c>
      <c r="AP102" s="173">
        <f t="shared" si="160"/>
        <v>0.17717112908783852</v>
      </c>
      <c r="AQ102" s="173">
        <f t="shared" si="160"/>
        <v>0.18195947833101828</v>
      </c>
      <c r="AR102" s="172">
        <f t="shared" si="160"/>
        <v>0.17964558529702238</v>
      </c>
      <c r="AS102" s="173">
        <f t="shared" si="160"/>
        <v>0.20197346176462727</v>
      </c>
      <c r="AT102" s="173">
        <f t="shared" si="160"/>
        <v>0.20644582539136416</v>
      </c>
      <c r="AU102" s="172">
        <f t="shared" si="160"/>
        <v>0.20428578743628001</v>
      </c>
      <c r="AV102" s="173">
        <f t="shared" si="160"/>
        <v>0.2253646087375909</v>
      </c>
      <c r="AW102" s="173">
        <f t="shared" si="160"/>
        <v>0.22954815834439682</v>
      </c>
      <c r="AX102" s="172">
        <f t="shared" si="160"/>
        <v>0.2275282975448695</v>
      </c>
      <c r="AY102" s="173">
        <f t="shared" si="160"/>
        <v>0.24597555227242648</v>
      </c>
      <c r="AZ102" s="173">
        <f t="shared" si="160"/>
        <v>0.25022523329614643</v>
      </c>
      <c r="BA102" s="172">
        <f t="shared" si="160"/>
        <v>0.24817497923912185</v>
      </c>
      <c r="BB102" s="173">
        <f t="shared" si="160"/>
        <v>0.26547004128350893</v>
      </c>
      <c r="BC102" s="173">
        <f t="shared" si="160"/>
        <v>0.26956965564230667</v>
      </c>
      <c r="BD102" s="172">
        <f t="shared" si="160"/>
        <v>0.26759224575536672</v>
      </c>
      <c r="BE102" s="173">
        <f t="shared" si="160"/>
        <v>0.28352436376825241</v>
      </c>
      <c r="BF102" s="173">
        <f t="shared" si="160"/>
        <v>0.28752498587547842</v>
      </c>
      <c r="BG102" s="172">
        <f t="shared" si="160"/>
        <v>0.28559560171484927</v>
      </c>
      <c r="BH102" s="173"/>
      <c r="BJ102"/>
      <c r="BK102"/>
      <c r="BL102"/>
      <c r="BM102"/>
      <c r="BN102"/>
      <c r="BO102"/>
    </row>
    <row r="103" spans="2:67" s="61" customFormat="1">
      <c r="B103" s="88" t="s">
        <v>241</v>
      </c>
      <c r="C103" s="88"/>
      <c r="D103" s="89" t="s">
        <v>175</v>
      </c>
      <c r="E103" s="172" t="str">
        <f t="shared" ref="E103:BG103" si="161">IFERROR(+E56/E29,"NA")</f>
        <v>NA</v>
      </c>
      <c r="F103" s="173" t="str">
        <f t="shared" si="161"/>
        <v>NA</v>
      </c>
      <c r="G103" s="173">
        <f t="shared" si="161"/>
        <v>-88.153810256410253</v>
      </c>
      <c r="H103" s="172">
        <f t="shared" si="161"/>
        <v>-141.77948717948718</v>
      </c>
      <c r="I103" s="173">
        <f t="shared" si="161"/>
        <v>-8.9049393068068152</v>
      </c>
      <c r="J103" s="173">
        <f t="shared" si="161"/>
        <v>-14.436152247259066</v>
      </c>
      <c r="K103" s="172">
        <f t="shared" si="161"/>
        <v>-11.551506456241032</v>
      </c>
      <c r="L103" s="173">
        <f t="shared" si="161"/>
        <v>-12.513378967019293</v>
      </c>
      <c r="M103" s="173">
        <f t="shared" si="161"/>
        <v>-8.0820854132002218</v>
      </c>
      <c r="N103" s="172">
        <f t="shared" si="161"/>
        <v>-9.4481104929982731</v>
      </c>
      <c r="O103" s="173">
        <f t="shared" si="161"/>
        <v>-10.766666666666666</v>
      </c>
      <c r="P103" s="173">
        <f t="shared" si="161"/>
        <v>-10.652155356380705</v>
      </c>
      <c r="Q103" s="172">
        <f t="shared" si="161"/>
        <v>-10.696024223275407</v>
      </c>
      <c r="R103" s="173">
        <f t="shared" si="161"/>
        <v>-2.5528340333513539</v>
      </c>
      <c r="S103" s="173">
        <f t="shared" si="161"/>
        <v>-5.6553153643172642E-2</v>
      </c>
      <c r="T103" s="172">
        <f t="shared" si="161"/>
        <v>-0.43150359784129527</v>
      </c>
      <c r="U103" s="173">
        <f t="shared" si="161"/>
        <v>0.15146891781991237</v>
      </c>
      <c r="V103" s="173">
        <f t="shared" si="161"/>
        <v>8.0369988327587197E-2</v>
      </c>
      <c r="W103" s="172">
        <f t="shared" si="161"/>
        <v>0.11213878995008665</v>
      </c>
      <c r="X103" s="173">
        <f t="shared" si="161"/>
        <v>0.15010391843446252</v>
      </c>
      <c r="Y103" s="173">
        <f t="shared" si="161"/>
        <v>0.10476529212103736</v>
      </c>
      <c r="Z103" s="172">
        <f t="shared" si="161"/>
        <v>0.12579638796556405</v>
      </c>
      <c r="AA103" s="173">
        <f t="shared" si="161"/>
        <v>4.2952128681547144E-2</v>
      </c>
      <c r="AB103" s="173">
        <f t="shared" si="161"/>
        <v>4.4337274620092036E-2</v>
      </c>
      <c r="AC103" s="172">
        <f t="shared" si="161"/>
        <v>4.3665092168095755E-2</v>
      </c>
      <c r="AD103" s="173">
        <f t="shared" si="161"/>
        <v>4.9155929255409833E-2</v>
      </c>
      <c r="AE103" s="173">
        <f t="shared" si="161"/>
        <v>5.0146180718803085E-2</v>
      </c>
      <c r="AF103" s="172">
        <f t="shared" si="161"/>
        <v>4.9662638733973405E-2</v>
      </c>
      <c r="AG103" s="173">
        <f t="shared" si="161"/>
        <v>6.0322847566763545E-2</v>
      </c>
      <c r="AH103" s="173">
        <f t="shared" si="161"/>
        <v>6.3316685055655145E-2</v>
      </c>
      <c r="AI103" s="172">
        <f t="shared" si="161"/>
        <v>6.1842824145528281E-2</v>
      </c>
      <c r="AJ103" s="173">
        <f t="shared" si="161"/>
        <v>9.1434655643667234E-2</v>
      </c>
      <c r="AK103" s="173">
        <f t="shared" si="161"/>
        <v>9.4515372798942218E-2</v>
      </c>
      <c r="AL103" s="172">
        <f t="shared" si="161"/>
        <v>9.2999219320732698E-2</v>
      </c>
      <c r="AM103" s="173">
        <f t="shared" si="161"/>
        <v>0.13148608526662733</v>
      </c>
      <c r="AN103" s="173">
        <f t="shared" si="161"/>
        <v>0.13424217891017196</v>
      </c>
      <c r="AO103" s="172">
        <f t="shared" si="161"/>
        <v>0.13288687425920104</v>
      </c>
      <c r="AP103" s="173">
        <f t="shared" si="161"/>
        <v>0.16617112908783851</v>
      </c>
      <c r="AQ103" s="173">
        <f t="shared" si="161"/>
        <v>0.17095947833101827</v>
      </c>
      <c r="AR103" s="172">
        <f t="shared" si="161"/>
        <v>0.16864558529702237</v>
      </c>
      <c r="AS103" s="173">
        <f t="shared" si="161"/>
        <v>0.19097346176462726</v>
      </c>
      <c r="AT103" s="173">
        <f t="shared" si="161"/>
        <v>0.19544582539136418</v>
      </c>
      <c r="AU103" s="172">
        <f t="shared" si="161"/>
        <v>0.19328578743628003</v>
      </c>
      <c r="AV103" s="173">
        <f t="shared" si="161"/>
        <v>0.21436460873759089</v>
      </c>
      <c r="AW103" s="173">
        <f t="shared" si="161"/>
        <v>0.21854815834439684</v>
      </c>
      <c r="AX103" s="172">
        <f t="shared" si="161"/>
        <v>0.21652829754486949</v>
      </c>
      <c r="AY103" s="173">
        <f t="shared" si="161"/>
        <v>0.23497555227242647</v>
      </c>
      <c r="AZ103" s="173">
        <f t="shared" si="161"/>
        <v>0.23922523329614648</v>
      </c>
      <c r="BA103" s="172">
        <f t="shared" si="161"/>
        <v>0.23717497923912187</v>
      </c>
      <c r="BB103" s="173">
        <f t="shared" si="161"/>
        <v>0.25447004128350897</v>
      </c>
      <c r="BC103" s="173">
        <f t="shared" si="161"/>
        <v>0.25856965564230666</v>
      </c>
      <c r="BD103" s="172">
        <f t="shared" si="161"/>
        <v>0.25659224575536671</v>
      </c>
      <c r="BE103" s="173">
        <f t="shared" si="161"/>
        <v>0.2725243637682524</v>
      </c>
      <c r="BF103" s="173">
        <f t="shared" si="161"/>
        <v>0.27652498587547836</v>
      </c>
      <c r="BG103" s="172">
        <f t="shared" si="161"/>
        <v>0.27459560171484926</v>
      </c>
      <c r="BH103" s="173"/>
      <c r="BJ103"/>
      <c r="BK103"/>
      <c r="BL103"/>
      <c r="BM103"/>
      <c r="BN103"/>
      <c r="BO103"/>
    </row>
    <row r="104" spans="2:67" s="70" customFormat="1">
      <c r="B104" s="71" t="s">
        <v>242</v>
      </c>
      <c r="C104" s="71"/>
      <c r="D104" s="92" t="s">
        <v>175</v>
      </c>
      <c r="E104" s="108" t="str">
        <f t="shared" ref="E104:BG104" si="162">IFERROR(+E63/E29,"NA")</f>
        <v>NA</v>
      </c>
      <c r="F104" s="109" t="str">
        <f t="shared" si="162"/>
        <v>NA</v>
      </c>
      <c r="G104" s="109">
        <f t="shared" si="162"/>
        <v>-88.144733333333335</v>
      </c>
      <c r="H104" s="108">
        <f t="shared" si="162"/>
        <v>-141.77948717948718</v>
      </c>
      <c r="I104" s="109">
        <f t="shared" si="162"/>
        <v>-8.9049393068068152</v>
      </c>
      <c r="J104" s="109">
        <f t="shared" si="162"/>
        <v>-14.436152247259066</v>
      </c>
      <c r="K104" s="108">
        <f t="shared" si="162"/>
        <v>-11.551506456241032</v>
      </c>
      <c r="L104" s="109">
        <f t="shared" si="162"/>
        <v>-12.513378967019293</v>
      </c>
      <c r="M104" s="109">
        <f t="shared" si="162"/>
        <v>-8.0820854132002218</v>
      </c>
      <c r="N104" s="108">
        <f t="shared" si="162"/>
        <v>-9.4481104929982731</v>
      </c>
      <c r="O104" s="109">
        <f t="shared" si="162"/>
        <v>-10.766666666666666</v>
      </c>
      <c r="P104" s="109">
        <f t="shared" si="162"/>
        <v>-10.652155356380705</v>
      </c>
      <c r="Q104" s="108">
        <f t="shared" si="162"/>
        <v>-10.696024223275407</v>
      </c>
      <c r="R104" s="109">
        <f t="shared" si="162"/>
        <v>-2.6396639913502731</v>
      </c>
      <c r="S104" s="109">
        <f t="shared" si="162"/>
        <v>-7.1327242390609211E-2</v>
      </c>
      <c r="T104" s="108">
        <f t="shared" si="162"/>
        <v>-0.45710073955626629</v>
      </c>
      <c r="U104" s="109">
        <f t="shared" si="162"/>
        <v>0.14355806779000302</v>
      </c>
      <c r="V104" s="109">
        <f t="shared" si="162"/>
        <v>7.3367898151415215E-2</v>
      </c>
      <c r="W104" s="108">
        <f t="shared" si="162"/>
        <v>0.10473064286529427</v>
      </c>
      <c r="X104" s="109">
        <f t="shared" si="162"/>
        <v>0.14450087850724716</v>
      </c>
      <c r="Y104" s="109">
        <f t="shared" si="162"/>
        <v>9.9097277388604355E-2</v>
      </c>
      <c r="Z104" s="108">
        <f t="shared" si="162"/>
        <v>0.1201585129057926</v>
      </c>
      <c r="AA104" s="109">
        <f t="shared" si="162"/>
        <v>2.9447252400995137E-2</v>
      </c>
      <c r="AB104" s="109">
        <f t="shared" si="162"/>
        <v>3.0337274620092038E-2</v>
      </c>
      <c r="AC104" s="108">
        <f t="shared" si="162"/>
        <v>2.9905365388785913E-2</v>
      </c>
      <c r="AD104" s="109">
        <f t="shared" si="162"/>
        <v>3.5155929255409835E-2</v>
      </c>
      <c r="AE104" s="109">
        <f t="shared" si="162"/>
        <v>3.614618071880308E-2</v>
      </c>
      <c r="AF104" s="108">
        <f t="shared" si="162"/>
        <v>3.5662638733973399E-2</v>
      </c>
      <c r="AG104" s="109">
        <f t="shared" si="162"/>
        <v>4.6322847566763546E-2</v>
      </c>
      <c r="AH104" s="109">
        <f t="shared" si="162"/>
        <v>4.9316685055655146E-2</v>
      </c>
      <c r="AI104" s="108">
        <f t="shared" si="162"/>
        <v>4.784282414552829E-2</v>
      </c>
      <c r="AJ104" s="109">
        <f t="shared" si="162"/>
        <v>7.7434655643667236E-2</v>
      </c>
      <c r="AK104" s="109">
        <f t="shared" si="162"/>
        <v>8.0515372798942234E-2</v>
      </c>
      <c r="AL104" s="108">
        <f t="shared" si="162"/>
        <v>7.89992193207327E-2</v>
      </c>
      <c r="AM104" s="109">
        <f t="shared" si="162"/>
        <v>0.11748608526662731</v>
      </c>
      <c r="AN104" s="109">
        <f t="shared" si="162"/>
        <v>0.12024217891017196</v>
      </c>
      <c r="AO104" s="108">
        <f t="shared" si="162"/>
        <v>0.11888687425920104</v>
      </c>
      <c r="AP104" s="109">
        <f t="shared" si="162"/>
        <v>0.15217112908783853</v>
      </c>
      <c r="AQ104" s="109">
        <f t="shared" si="162"/>
        <v>0.15695947833101823</v>
      </c>
      <c r="AR104" s="108">
        <f t="shared" si="162"/>
        <v>0.15464558529702235</v>
      </c>
      <c r="AS104" s="109">
        <f t="shared" si="162"/>
        <v>0.17697346176462728</v>
      </c>
      <c r="AT104" s="109">
        <f t="shared" si="162"/>
        <v>0.18144582539136417</v>
      </c>
      <c r="AU104" s="108">
        <f t="shared" si="162"/>
        <v>0.17928578743628004</v>
      </c>
      <c r="AV104" s="109">
        <f t="shared" si="162"/>
        <v>0.2003646087375909</v>
      </c>
      <c r="AW104" s="109">
        <f t="shared" si="162"/>
        <v>0.20454815834439685</v>
      </c>
      <c r="AX104" s="108">
        <f t="shared" si="162"/>
        <v>0.20252829754486951</v>
      </c>
      <c r="AY104" s="109">
        <f t="shared" si="162"/>
        <v>0.22097555227242649</v>
      </c>
      <c r="AZ104" s="109">
        <f t="shared" si="162"/>
        <v>0.22522523329614647</v>
      </c>
      <c r="BA104" s="108">
        <f t="shared" si="162"/>
        <v>0.22317497923912186</v>
      </c>
      <c r="BB104" s="109">
        <f t="shared" si="162"/>
        <v>0.24047004128350896</v>
      </c>
      <c r="BC104" s="109">
        <f t="shared" si="162"/>
        <v>0.24456965564230668</v>
      </c>
      <c r="BD104" s="108">
        <f t="shared" si="162"/>
        <v>0.24259224575536673</v>
      </c>
      <c r="BE104" s="109">
        <f t="shared" si="162"/>
        <v>0.25852436376825244</v>
      </c>
      <c r="BF104" s="109">
        <f t="shared" si="162"/>
        <v>0.2625249858754784</v>
      </c>
      <c r="BG104" s="108">
        <f t="shared" si="162"/>
        <v>0.26059560171484925</v>
      </c>
      <c r="BH104" s="109"/>
      <c r="BJ104"/>
      <c r="BK104"/>
      <c r="BL104"/>
      <c r="BM104"/>
      <c r="BN104"/>
      <c r="BO104"/>
    </row>
    <row r="105" spans="2:67" s="70" customFormat="1">
      <c r="B105" s="71" t="s">
        <v>243</v>
      </c>
      <c r="C105" s="71"/>
      <c r="D105" s="92" t="s">
        <v>175</v>
      </c>
      <c r="E105" s="108" t="str">
        <f t="shared" ref="E105:BG105" si="163">IFERROR(+E67/E29,"NA")</f>
        <v>NA</v>
      </c>
      <c r="F105" s="109" t="str">
        <f t="shared" si="163"/>
        <v>NA</v>
      </c>
      <c r="G105" s="109">
        <f t="shared" si="163"/>
        <v>-88.144733333333349</v>
      </c>
      <c r="H105" s="108">
        <f t="shared" si="163"/>
        <v>-141.77948717948718</v>
      </c>
      <c r="I105" s="109">
        <f t="shared" si="163"/>
        <v>-8.9049393068068152</v>
      </c>
      <c r="J105" s="109">
        <f t="shared" si="163"/>
        <v>-14.515317559601272</v>
      </c>
      <c r="K105" s="108">
        <f t="shared" si="163"/>
        <v>-11.551506456241032</v>
      </c>
      <c r="L105" s="109">
        <f t="shared" si="163"/>
        <v>-12.513378967019293</v>
      </c>
      <c r="M105" s="109">
        <f t="shared" si="163"/>
        <v>-8.0820854132002218</v>
      </c>
      <c r="N105" s="108">
        <f t="shared" si="163"/>
        <v>-9.4481104929982731</v>
      </c>
      <c r="O105" s="109">
        <f t="shared" si="163"/>
        <v>-10.766666666666666</v>
      </c>
      <c r="P105" s="109">
        <f t="shared" si="163"/>
        <v>-10.652155356380709</v>
      </c>
      <c r="Q105" s="108">
        <f t="shared" si="163"/>
        <v>-10.696024223275407</v>
      </c>
      <c r="R105" s="109">
        <f t="shared" si="163"/>
        <v>-2.6396639913502731</v>
      </c>
      <c r="S105" s="109">
        <f t="shared" si="163"/>
        <v>-0.11086446794904764</v>
      </c>
      <c r="T105" s="108">
        <f t="shared" si="163"/>
        <v>-0.45710073955626629</v>
      </c>
      <c r="U105" s="109">
        <f t="shared" si="163"/>
        <v>0.14355806779000302</v>
      </c>
      <c r="V105" s="109">
        <f t="shared" si="163"/>
        <v>7.3308178832215798E-2</v>
      </c>
      <c r="W105" s="108">
        <f t="shared" si="163"/>
        <v>0.10473064286529427</v>
      </c>
      <c r="X105" s="109">
        <f t="shared" si="163"/>
        <v>0.14450087850724716</v>
      </c>
      <c r="Y105" s="109">
        <f t="shared" si="163"/>
        <v>9.9097277388604035E-2</v>
      </c>
      <c r="Z105" s="108">
        <f t="shared" si="163"/>
        <v>0.1201585129057926</v>
      </c>
      <c r="AA105" s="109">
        <f t="shared" si="163"/>
        <v>2.9447252400995137E-2</v>
      </c>
      <c r="AB105" s="109">
        <f t="shared" si="163"/>
        <v>3.0337274620092461E-2</v>
      </c>
      <c r="AC105" s="108">
        <f t="shared" si="163"/>
        <v>2.9905365388785913E-2</v>
      </c>
      <c r="AD105" s="109">
        <f t="shared" si="163"/>
        <v>3.5155929255409835E-2</v>
      </c>
      <c r="AE105" s="109">
        <f t="shared" si="163"/>
        <v>3.6146180718802712E-2</v>
      </c>
      <c r="AF105" s="108">
        <f t="shared" si="163"/>
        <v>3.5662638733973399E-2</v>
      </c>
      <c r="AG105" s="109">
        <f t="shared" si="163"/>
        <v>4.6322847566763546E-2</v>
      </c>
      <c r="AH105" s="109">
        <f t="shared" si="163"/>
        <v>4.9316685055654903E-2</v>
      </c>
      <c r="AI105" s="108">
        <f t="shared" si="163"/>
        <v>4.784282414552829E-2</v>
      </c>
      <c r="AJ105" s="109">
        <f t="shared" si="163"/>
        <v>7.7434655643667236E-2</v>
      </c>
      <c r="AK105" s="109">
        <f t="shared" si="163"/>
        <v>8.0515372798942039E-2</v>
      </c>
      <c r="AL105" s="108">
        <f t="shared" si="163"/>
        <v>7.89992193207327E-2</v>
      </c>
      <c r="AM105" s="109">
        <f t="shared" si="163"/>
        <v>0.11748608526662731</v>
      </c>
      <c r="AN105" s="109">
        <f t="shared" si="163"/>
        <v>0.12024217891017226</v>
      </c>
      <c r="AO105" s="108">
        <f t="shared" si="163"/>
        <v>0.11888687425920104</v>
      </c>
      <c r="AP105" s="109">
        <f t="shared" si="163"/>
        <v>0.15217112908783853</v>
      </c>
      <c r="AQ105" s="109">
        <f t="shared" si="163"/>
        <v>0.15695947833101823</v>
      </c>
      <c r="AR105" s="108">
        <f t="shared" si="163"/>
        <v>0.15464558529702235</v>
      </c>
      <c r="AS105" s="109">
        <f t="shared" si="163"/>
        <v>0.17697346176462728</v>
      </c>
      <c r="AT105" s="109">
        <f t="shared" si="163"/>
        <v>0.18144582539136384</v>
      </c>
      <c r="AU105" s="108">
        <f t="shared" si="163"/>
        <v>0.17928578743628004</v>
      </c>
      <c r="AV105" s="109">
        <f t="shared" si="163"/>
        <v>0.2003646087375909</v>
      </c>
      <c r="AW105" s="109">
        <f t="shared" si="163"/>
        <v>0.20454815834439688</v>
      </c>
      <c r="AX105" s="108">
        <f t="shared" si="163"/>
        <v>0.20252829754486951</v>
      </c>
      <c r="AY105" s="109">
        <f t="shared" si="163"/>
        <v>0.22097555227242649</v>
      </c>
      <c r="AZ105" s="109">
        <f t="shared" si="163"/>
        <v>0.2252252332961463</v>
      </c>
      <c r="BA105" s="108">
        <f t="shared" si="163"/>
        <v>0.22317497923912186</v>
      </c>
      <c r="BB105" s="109">
        <f t="shared" si="163"/>
        <v>0.24047004128350896</v>
      </c>
      <c r="BC105" s="109">
        <f t="shared" si="163"/>
        <v>0.24456965564230698</v>
      </c>
      <c r="BD105" s="108">
        <f t="shared" si="163"/>
        <v>0.24259224575536673</v>
      </c>
      <c r="BE105" s="109">
        <f t="shared" si="163"/>
        <v>0.25852436376825244</v>
      </c>
      <c r="BF105" s="109">
        <f t="shared" si="163"/>
        <v>0.26252498587547868</v>
      </c>
      <c r="BG105" s="108">
        <f t="shared" si="163"/>
        <v>0.26059560171484925</v>
      </c>
      <c r="BH105" s="109"/>
      <c r="BJ105"/>
      <c r="BK105"/>
      <c r="BL105"/>
      <c r="BM105"/>
      <c r="BN105"/>
      <c r="BO105"/>
    </row>
    <row r="106" spans="2:67" s="61" customFormat="1">
      <c r="B106" s="88" t="s">
        <v>238</v>
      </c>
      <c r="C106" s="88"/>
      <c r="D106" s="89" t="s">
        <v>175</v>
      </c>
      <c r="E106" s="172" t="str">
        <f t="shared" ref="E106:BG106" si="164">IFERROR(E79/E29,"NA")</f>
        <v>NA</v>
      </c>
      <c r="F106" s="173" t="str">
        <f t="shared" si="164"/>
        <v>NA</v>
      </c>
      <c r="G106" s="173">
        <f t="shared" si="164"/>
        <v>-44.307656410256413</v>
      </c>
      <c r="H106" s="172">
        <f t="shared" si="164"/>
        <v>-70.92307692307692</v>
      </c>
      <c r="I106" s="173">
        <f t="shared" si="164"/>
        <v>-5.7053637355007041</v>
      </c>
      <c r="J106" s="173">
        <f t="shared" si="164"/>
        <v>-10.493259961930988</v>
      </c>
      <c r="K106" s="172">
        <f t="shared" si="164"/>
        <v>-7.9962697274031571</v>
      </c>
      <c r="L106" s="173">
        <f t="shared" si="164"/>
        <v>-11.388301182327318</v>
      </c>
      <c r="M106" s="173">
        <f t="shared" si="164"/>
        <v>-7.3727121464226295</v>
      </c>
      <c r="N106" s="172">
        <f t="shared" si="164"/>
        <v>-8.6105889123345474</v>
      </c>
      <c r="O106" s="173">
        <f t="shared" si="164"/>
        <v>-11.173195876288661</v>
      </c>
      <c r="P106" s="173">
        <f t="shared" si="164"/>
        <v>-10.242424242424242</v>
      </c>
      <c r="Q106" s="172">
        <f t="shared" si="164"/>
        <v>-10.598999473407057</v>
      </c>
      <c r="R106" s="173">
        <f t="shared" si="164"/>
        <v>-2.9480184638416436</v>
      </c>
      <c r="S106" s="173">
        <f t="shared" si="164"/>
        <v>-0.24394152106961453</v>
      </c>
      <c r="T106" s="172">
        <f t="shared" si="164"/>
        <v>-0.65010368778732752</v>
      </c>
      <c r="U106" s="173">
        <f t="shared" si="164"/>
        <v>-6.1384701209143348E-2</v>
      </c>
      <c r="V106" s="173">
        <f t="shared" si="164"/>
        <v>7.2634979233963573E-2</v>
      </c>
      <c r="W106" s="172">
        <f t="shared" si="164"/>
        <v>1.2751593198349275E-2</v>
      </c>
      <c r="X106" s="173">
        <f t="shared" si="164"/>
        <v>8.176168873716147E-2</v>
      </c>
      <c r="Y106" s="173">
        <f t="shared" si="164"/>
        <v>5.0891889940059547E-2</v>
      </c>
      <c r="Z106" s="172">
        <f t="shared" si="164"/>
        <v>6.5211373126758218E-2</v>
      </c>
      <c r="AA106" s="173">
        <f t="shared" si="164"/>
        <v>-5.8715182690803535E-3</v>
      </c>
      <c r="AB106" s="173">
        <f t="shared" si="164"/>
        <v>-1.0419932676369249E-2</v>
      </c>
      <c r="AC106" s="172">
        <f t="shared" si="164"/>
        <v>-8.2126819716539894E-3</v>
      </c>
      <c r="AD106" s="173">
        <f t="shared" si="164"/>
        <v>2.6632438005181913E-3</v>
      </c>
      <c r="AE106" s="173">
        <f t="shared" si="164"/>
        <v>3.9533490776617278E-3</v>
      </c>
      <c r="AF106" s="172">
        <f t="shared" si="164"/>
        <v>3.3233878108420772E-3</v>
      </c>
      <c r="AG106" s="173">
        <f t="shared" si="164"/>
        <v>1.6257730493714505E-2</v>
      </c>
      <c r="AH106" s="173">
        <f t="shared" si="164"/>
        <v>1.9124263487743366E-2</v>
      </c>
      <c r="AI106" s="172">
        <f t="shared" si="164"/>
        <v>1.7713074355679891E-2</v>
      </c>
      <c r="AJ106" s="173">
        <f t="shared" si="164"/>
        <v>4.1635773179245307E-2</v>
      </c>
      <c r="AK106" s="173">
        <f t="shared" si="164"/>
        <v>4.4718882029039911E-2</v>
      </c>
      <c r="AL106" s="172">
        <f t="shared" si="164"/>
        <v>4.3201551495040465E-2</v>
      </c>
      <c r="AM106" s="173">
        <f t="shared" si="164"/>
        <v>7.6067877760580341E-2</v>
      </c>
      <c r="AN106" s="173">
        <f t="shared" si="164"/>
        <v>7.9003020412407782E-2</v>
      </c>
      <c r="AO106" s="172">
        <f t="shared" si="164"/>
        <v>7.7559668697344611E-2</v>
      </c>
      <c r="AP106" s="173">
        <f t="shared" si="164"/>
        <v>0.11737362419137957</v>
      </c>
      <c r="AQ106" s="173">
        <f t="shared" si="164"/>
        <v>0.1216773125570064</v>
      </c>
      <c r="AR106" s="172">
        <f t="shared" si="164"/>
        <v>0.11959762412494453</v>
      </c>
      <c r="AS106" s="173">
        <f t="shared" si="164"/>
        <v>0.13765343484929204</v>
      </c>
      <c r="AT106" s="173">
        <f t="shared" si="164"/>
        <v>0.14178735880474294</v>
      </c>
      <c r="AU106" s="172">
        <f t="shared" si="164"/>
        <v>0.13979077860857483</v>
      </c>
      <c r="AV106" s="173">
        <f t="shared" si="164"/>
        <v>0.15702966013430811</v>
      </c>
      <c r="AW106" s="173">
        <f t="shared" si="164"/>
        <v>0.16098738589255615</v>
      </c>
      <c r="AX106" s="172">
        <f t="shared" si="164"/>
        <v>0.1590765551708743</v>
      </c>
      <c r="AY106" s="173">
        <f t="shared" si="164"/>
        <v>0.17447441772926839</v>
      </c>
      <c r="AZ106" s="173">
        <f t="shared" si="164"/>
        <v>0.17849500436704313</v>
      </c>
      <c r="BA106" s="172">
        <f t="shared" si="164"/>
        <v>0.17655527665107898</v>
      </c>
      <c r="BB106" s="173">
        <f t="shared" si="164"/>
        <v>0.19123329949142495</v>
      </c>
      <c r="BC106" s="173">
        <f t="shared" si="164"/>
        <v>0.19513557657341038</v>
      </c>
      <c r="BD106" s="172">
        <f t="shared" si="164"/>
        <v>0.1932533504398869</v>
      </c>
      <c r="BE106" s="173">
        <f t="shared" si="164"/>
        <v>0.20710541771481852</v>
      </c>
      <c r="BF106" s="173">
        <f t="shared" si="164"/>
        <v>0.21090889765234933</v>
      </c>
      <c r="BG106" s="172">
        <f t="shared" si="164"/>
        <v>0.20907458944976057</v>
      </c>
      <c r="BH106" s="173"/>
      <c r="BJ106"/>
      <c r="BK106"/>
      <c r="BL106"/>
      <c r="BM106"/>
      <c r="BN106"/>
      <c r="BO106"/>
    </row>
    <row r="107" spans="2:67" s="61" customFormat="1">
      <c r="B107" s="88" t="s">
        <v>244</v>
      </c>
      <c r="C107" s="88"/>
      <c r="D107" s="89"/>
      <c r="E107" s="172"/>
      <c r="F107" s="173"/>
      <c r="G107" s="173"/>
      <c r="H107" s="172"/>
      <c r="I107" s="173"/>
      <c r="J107" s="173"/>
      <c r="K107" s="172"/>
      <c r="L107" s="173"/>
      <c r="M107" s="173"/>
      <c r="N107" s="172"/>
      <c r="O107" s="173"/>
      <c r="P107" s="173"/>
      <c r="Q107" s="172"/>
      <c r="R107" s="173"/>
      <c r="S107" s="173"/>
      <c r="T107" s="172"/>
      <c r="U107" s="173"/>
      <c r="V107" s="173"/>
      <c r="W107" s="172"/>
      <c r="X107" s="173"/>
      <c r="Y107" s="173"/>
      <c r="Z107" s="172"/>
      <c r="AA107" s="173"/>
      <c r="AB107" s="173"/>
      <c r="AC107" s="172"/>
      <c r="AD107" s="173"/>
      <c r="AE107" s="173"/>
      <c r="AF107" s="172"/>
      <c r="AG107" s="173"/>
      <c r="AH107" s="173"/>
      <c r="AI107" s="172"/>
      <c r="AJ107" s="173"/>
      <c r="AK107" s="173"/>
      <c r="AL107" s="172"/>
      <c r="AM107" s="173"/>
      <c r="AN107" s="173"/>
      <c r="AO107" s="172"/>
      <c r="AP107" s="173"/>
      <c r="AQ107" s="173"/>
      <c r="AR107" s="172"/>
      <c r="AS107" s="173"/>
      <c r="AT107" s="173"/>
      <c r="AU107" s="172"/>
      <c r="AV107" s="173"/>
      <c r="AW107" s="173"/>
      <c r="AX107" s="172"/>
      <c r="AY107" s="173"/>
      <c r="AZ107" s="173"/>
      <c r="BA107" s="172"/>
      <c r="BB107" s="173"/>
      <c r="BC107" s="173"/>
      <c r="BD107" s="172"/>
      <c r="BE107" s="173"/>
      <c r="BF107" s="173"/>
      <c r="BG107" s="172"/>
      <c r="BH107" s="173"/>
      <c r="BJ107"/>
      <c r="BK107"/>
      <c r="BL107"/>
      <c r="BM107"/>
      <c r="BN107"/>
      <c r="BO107"/>
    </row>
    <row r="108" spans="2:67" s="61" customFormat="1" outlineLevel="1">
      <c r="B108" s="88" t="s">
        <v>245</v>
      </c>
      <c r="C108" s="88"/>
      <c r="D108" s="89" t="s">
        <v>159</v>
      </c>
      <c r="E108" s="90">
        <f>+E29/12</f>
        <v>0</v>
      </c>
      <c r="F108" s="91">
        <f>+F29/6</f>
        <v>0</v>
      </c>
      <c r="G108" s="91">
        <f>+G29/6</f>
        <v>3.2500000000000001E-2</v>
      </c>
      <c r="H108" s="90">
        <f>+H29/12</f>
        <v>1.6250000000000001E-2</v>
      </c>
      <c r="I108" s="91">
        <f>+I29/6</f>
        <v>0.30291699999999999</v>
      </c>
      <c r="J108" s="91">
        <f>+J29/6</f>
        <v>0.27791633333333332</v>
      </c>
      <c r="K108" s="90">
        <f>+K29/12</f>
        <v>0.29041666666666666</v>
      </c>
      <c r="L108" s="91">
        <f>+L29/6</f>
        <v>0.26783333333333331</v>
      </c>
      <c r="M108" s="91">
        <f>+M29/6</f>
        <v>0.60099999999999998</v>
      </c>
      <c r="N108" s="90">
        <f>+N29/12</f>
        <v>0.43441666666666667</v>
      </c>
      <c r="O108" s="91">
        <f>+O29/6</f>
        <v>0.48500000000000004</v>
      </c>
      <c r="P108" s="91">
        <f>+P29/6</f>
        <v>0.78100000000000003</v>
      </c>
      <c r="Q108" s="90">
        <f>+Q29/12</f>
        <v>0.63300000000000001</v>
      </c>
      <c r="R108" s="91">
        <f>+R29/6</f>
        <v>4.0078333333333331</v>
      </c>
      <c r="S108" s="91">
        <f>+S29/6</f>
        <v>22.674833333333336</v>
      </c>
      <c r="T108" s="90">
        <f>+T29/12</f>
        <v>13.341333333333333</v>
      </c>
      <c r="U108" s="91">
        <f>+U29/6</f>
        <v>24.797166666666669</v>
      </c>
      <c r="V108" s="91">
        <f>+V29/6</f>
        <v>30.699166666666667</v>
      </c>
      <c r="W108" s="90">
        <f>+W29/12</f>
        <v>27.748166666666663</v>
      </c>
      <c r="X108" s="91">
        <f>+X29/6</f>
        <v>39.935166666666667</v>
      </c>
      <c r="Y108" s="91">
        <f>+Y29/6</f>
        <v>46.156666666666666</v>
      </c>
      <c r="Z108" s="90">
        <f>+Z29/12</f>
        <v>43.04591666666667</v>
      </c>
      <c r="AA108" s="91">
        <f>+AA29/6</f>
        <v>65.059833333333344</v>
      </c>
      <c r="AB108" s="91">
        <f>+AB29/6</f>
        <v>69.006986823066526</v>
      </c>
      <c r="AC108" s="90">
        <f>+AC29/12</f>
        <v>67.033410078199921</v>
      </c>
      <c r="AD108" s="91">
        <f>+AD29/6</f>
        <v>73.861482711776105</v>
      </c>
      <c r="AE108" s="91">
        <f>+AE29/6</f>
        <v>77.400338677932396</v>
      </c>
      <c r="AF108" s="90">
        <f>+AF29/12</f>
        <v>75.630910694854251</v>
      </c>
      <c r="AG108" s="91">
        <f>+AG29/6</f>
        <v>84.059468938554318</v>
      </c>
      <c r="AH108" s="91">
        <f>+AH29/6</f>
        <v>86.68960763672662</v>
      </c>
      <c r="AI108" s="90">
        <f>+AI29/12</f>
        <v>85.374538287640476</v>
      </c>
      <c r="AJ108" s="91">
        <f>+AJ29/6</f>
        <v>95.043563898685363</v>
      </c>
      <c r="AK108" s="91">
        <f>+AK29/6</f>
        <v>98.078268428563675</v>
      </c>
      <c r="AL108" s="90">
        <f>+AL29/12</f>
        <v>96.560916163624526</v>
      </c>
      <c r="AM108" s="91">
        <f>+AM29/6</f>
        <v>122.78641706056693</v>
      </c>
      <c r="AN108" s="91">
        <f>+AN29/6</f>
        <v>126.90715798310707</v>
      </c>
      <c r="AO108" s="90">
        <f>+AO29/12</f>
        <v>124.84678752183699</v>
      </c>
      <c r="AP108" s="91">
        <f>+AP29/6</f>
        <v>143.48257654335259</v>
      </c>
      <c r="AQ108" s="91">
        <f>+AQ29/6</f>
        <v>153.43896507794423</v>
      </c>
      <c r="AR108" s="90">
        <f>+AR29/12</f>
        <v>148.46077081064843</v>
      </c>
      <c r="AS108" s="91">
        <f>+AS29/6</f>
        <v>165.04004343694467</v>
      </c>
      <c r="AT108" s="91">
        <f>+AT29/6</f>
        <v>176.67575164209447</v>
      </c>
      <c r="AU108" s="90">
        <f>+AU29/12</f>
        <v>170.8578975395196</v>
      </c>
      <c r="AV108" s="91">
        <f>+AV29/6</f>
        <v>187.09086501533091</v>
      </c>
      <c r="AW108" s="91">
        <f>+AW29/6</f>
        <v>200.41302384425182</v>
      </c>
      <c r="AX108" s="90">
        <f>+AX29/12</f>
        <v>193.75194442979137</v>
      </c>
      <c r="AY108" s="91">
        <f>+AY29/6</f>
        <v>208.43157273947668</v>
      </c>
      <c r="AZ108" s="91">
        <f>+AZ29/6</f>
        <v>223.59669048001851</v>
      </c>
      <c r="BA108" s="90">
        <f>+BA29/12</f>
        <v>216.01413160974758</v>
      </c>
      <c r="BB108" s="91">
        <f>+BB29/6</f>
        <v>229.58522012435171</v>
      </c>
      <c r="BC108" s="91">
        <f>+BC29/6</f>
        <v>246.39645226732486</v>
      </c>
      <c r="BD108" s="90">
        <f>+BD29/12</f>
        <v>237.99083619583826</v>
      </c>
      <c r="BE108" s="91">
        <f>+BE29/6</f>
        <v>249.12931694708936</v>
      </c>
      <c r="BF108" s="91">
        <f>+BF29/6</f>
        <v>267.44600966471586</v>
      </c>
      <c r="BG108" s="90">
        <f>+BG29/12</f>
        <v>258.28766330590264</v>
      </c>
      <c r="BH108" s="91"/>
      <c r="BJ108"/>
      <c r="BK108"/>
      <c r="BL108"/>
      <c r="BM108"/>
      <c r="BN108"/>
      <c r="BO108"/>
    </row>
    <row r="109" spans="2:67" s="61" customFormat="1" outlineLevel="1">
      <c r="B109" s="88" t="s">
        <v>246</v>
      </c>
      <c r="C109" s="88"/>
      <c r="D109" s="89" t="s">
        <v>175</v>
      </c>
      <c r="E109" s="172"/>
      <c r="F109" s="173"/>
      <c r="G109" s="173">
        <f>+(G71*2)/(((F210+F221)+(G210+G221))/2)</f>
        <v>2.6134738800659821E-2</v>
      </c>
      <c r="H109" s="172">
        <f>+(H71)/(((E210+E221)+(H210+H221))/2)</f>
        <v>2.7956307183903337E-2</v>
      </c>
      <c r="I109" s="173">
        <f>+(I71*2)/(((G210+G221)+(I210+I221))/2)</f>
        <v>1.2054510909030194</v>
      </c>
      <c r="J109" s="173">
        <f>+(J71*2)/(((I210+I221)+(J210+J221))/2)</f>
        <v>1.3651122045918567</v>
      </c>
      <c r="K109" s="172">
        <f>+(K71)/(((H210+H221)+(K210+K221))/2)</f>
        <v>1.2475930857023396</v>
      </c>
      <c r="L109" s="173">
        <f>+(L71*2)/(((J210+J221)+(L210+L221))/2)</f>
        <v>0.18056089127929312</v>
      </c>
      <c r="M109" s="173">
        <f>+(M71*2)/(((L210+L221)+(M210+M221))/2)</f>
        <v>1.1389625141991671</v>
      </c>
      <c r="N109" s="172">
        <f>+(N71)/(((K210+K221)+(N210+N221))/2)</f>
        <v>0.80175195942830801</v>
      </c>
      <c r="O109" s="173">
        <f>+(O71*2)/(((M210+M221)+(O210+O221))/2)</f>
        <v>2.5672559569561879</v>
      </c>
      <c r="P109" s="173">
        <f>+(P71*2)/(((O210+O221)+(P210+P221))/2)</f>
        <v>2.5624557260920895</v>
      </c>
      <c r="Q109" s="172">
        <f>+(Q71)/(((N210+N221)+(Q210+Q221))/2)</f>
        <v>2.1989043404972608</v>
      </c>
      <c r="R109" s="173">
        <f>+(R71*2)/(((P210+P221)+(R210+R221))/2)</f>
        <v>2.599020568070519</v>
      </c>
      <c r="S109" s="173">
        <f>+(S71*2)/(((R210+R221)+(S210+S221))/2)</f>
        <v>1.0378112511527819</v>
      </c>
      <c r="T109" s="172">
        <f>+(T71)/(((Q210+Q221)+(T210+T221))/2)</f>
        <v>1.0308817866769349</v>
      </c>
      <c r="U109" s="173">
        <f>+(U71*2)/(((S210+S221)+(U210+U221))/2)</f>
        <v>0.69574079578750692</v>
      </c>
      <c r="V109" s="173">
        <f>+(V71*2)/(((U210+U221)+(V210+V221))/2)</f>
        <v>0.78669137067844075</v>
      </c>
      <c r="W109" s="172">
        <f>+(W71)/(((T210+T221)+(W210+W221))/2)</f>
        <v>0.80008806693086754</v>
      </c>
      <c r="X109" s="173">
        <f>+(X71*2)/(((V210+V221)+(X210+X221))/2)</f>
        <v>0.93341888366003534</v>
      </c>
      <c r="Y109" s="173">
        <f>+(Y71*2)/(((X210+X221)+(Y210+Y221))/2)</f>
        <v>0.20094659072539797</v>
      </c>
      <c r="Z109" s="172">
        <f>+(Z71)/(((W210+W221)+(Z210+Z221))/2)</f>
        <v>0.13125829023752369</v>
      </c>
      <c r="AA109" s="173">
        <f>+(AA71*2)/(((Y210+Y221)+(AA210+AA221))/2)</f>
        <v>9.6822389085513508E-2</v>
      </c>
      <c r="AB109" s="173">
        <f>+(AB71*2)/(((AA210+AA221)+(AB210+AB221))/2)</f>
        <v>0.10384385188676878</v>
      </c>
      <c r="AC109" s="172">
        <f>+(AC71)/(((Z210+Z221)+(AC210+AC221))/2)</f>
        <v>0.10420791298111767</v>
      </c>
      <c r="AD109" s="173">
        <f>+(AD71*2)/(((AB210+AB221)+(AD210+AD221))/2)</f>
        <v>7.3124897146412016E-2</v>
      </c>
      <c r="AE109" s="173">
        <f>+(AE71*2)/(((AD210+AD221)+(AE210+AE221))/2)</f>
        <v>7.3124897146412016E-2</v>
      </c>
      <c r="AF109" s="172">
        <f>+(AF71)/(((AC210+AC221)+(AF210+AF221))/2)</f>
        <v>7.3124897146412016E-2</v>
      </c>
      <c r="AG109" s="173">
        <f>+(AG71*2)/(((AE210+AE221)+(AG210+AG221))/2)</f>
        <v>6.3627097083552728E-2</v>
      </c>
      <c r="AH109" s="173">
        <f>+(AH71*2)/(((AG210+AG221)+(AH210+AH221))/2)</f>
        <v>6.3627097083552728E-2</v>
      </c>
      <c r="AI109" s="172">
        <f>+(AI71)/(((AF210+AF221)+(AI210+AI221))/2)</f>
        <v>6.3627097083552728E-2</v>
      </c>
      <c r="AJ109" s="173">
        <f>+(AJ71*2)/(((AH210+AH221)+(AJ210+AJ221))/2)</f>
        <v>6.6087073370212621E-2</v>
      </c>
      <c r="AK109" s="173">
        <f>+(AK71*2)/(((AJ210+AJ221)+(AK210+AK221))/2)</f>
        <v>6.6087073370212621E-2</v>
      </c>
      <c r="AL109" s="172">
        <f>+(AL71)/(((AI210+AI221)+(AL210+AL221))/2)</f>
        <v>6.6087073370212621E-2</v>
      </c>
      <c r="AM109" s="173">
        <f>+(AM71*2)/(((AK210+AK221)+(AM210+AM221))/2)</f>
        <v>0.11591568050304579</v>
      </c>
      <c r="AN109" s="173">
        <f>+(AN71*2)/(((AM210+AM221)+(AN210+AN221))/2)</f>
        <v>0.37507461582934915</v>
      </c>
      <c r="AO109" s="172">
        <f>+(AO71)/(((AL210+AL221)+(AO210+AO221))/2)</f>
        <v>0.11591568050304579</v>
      </c>
      <c r="AP109" s="173">
        <f>+(AP71*2)/(((AN210+AN221)+(AP210+AP221))/2)</f>
        <v>2.2166348342534215E-2</v>
      </c>
      <c r="AQ109" s="173">
        <f>+(AQ71*2)/(((AP210+AP221)+(AQ210+AQ221))/2)</f>
        <v>2.2166348342534215E-2</v>
      </c>
      <c r="AR109" s="172">
        <f>+(AR71)/(((AO210+AO221)+(AR210+AR221))/2)</f>
        <v>2.2166348342534215E-2</v>
      </c>
      <c r="AS109" s="173">
        <f>+(AS71*2)/(((AQ210+AQ221)+(AS210+AS221))/2)</f>
        <v>2.2166348342534215E-2</v>
      </c>
      <c r="AT109" s="173">
        <f>+(AT71*2)/(((AS210+AS221)+(AT210+AT221))/2)</f>
        <v>2.2166348342534215E-2</v>
      </c>
      <c r="AU109" s="172">
        <f>+(AU71)/(((AR210+AR221)+(AU210+AU221))/2)</f>
        <v>2.2166348342534215E-2</v>
      </c>
      <c r="AV109" s="173">
        <f>+(AV71*2)/(((AT210+AT221)+(AV210+AV221))/2)</f>
        <v>2.2166348342534215E-2</v>
      </c>
      <c r="AW109" s="173">
        <f>+(AW71*2)/(((AV210+AV221)+(AW210+AW221))/2)</f>
        <v>2.2166348342534215E-2</v>
      </c>
      <c r="AX109" s="172">
        <f>+(AX71)/(((AU210+AU221)+(AX210+AX221))/2)</f>
        <v>2.2166348342534215E-2</v>
      </c>
      <c r="AY109" s="173">
        <f>+(AY71*2)/(((AW210+AW221)+(AY210+AY221))/2)</f>
        <v>2.2166348342534215E-2</v>
      </c>
      <c r="AZ109" s="173">
        <f>+(AZ71*2)/(((AY210+AY221)+(AZ210+AZ221))/2)</f>
        <v>2.2166348342534215E-2</v>
      </c>
      <c r="BA109" s="172">
        <f>+(BA71)/(((AX210+AX221)+(BA210+BA221))/2)</f>
        <v>2.2166348342534215E-2</v>
      </c>
      <c r="BB109" s="173">
        <f>+(BB71*2)/(((AZ210+AZ221)+(BB210+BB221))/2)</f>
        <v>2.2166348342534215E-2</v>
      </c>
      <c r="BC109" s="173">
        <f>+(BC71*2)/(((BB210+BB221)+(BC210+BC221))/2)</f>
        <v>2.2166348342534215E-2</v>
      </c>
      <c r="BD109" s="172">
        <f>+(BD71)/(((BA210+BA221)+(BD210+BD221))/2)</f>
        <v>2.2166348342534215E-2</v>
      </c>
      <c r="BE109" s="173">
        <f>+(BE71*2)/(((BC210+BC221)+(BE210+BE221))/2)</f>
        <v>2.2166348342534215E-2</v>
      </c>
      <c r="BF109" s="173">
        <f>+(BF71*2)/(((BE210+BE221)+(BF210+BF221))/2)</f>
        <v>2.2166348342534215E-2</v>
      </c>
      <c r="BG109" s="172">
        <f>+(BG71)/(((BD210+BD221)+(BG210+BG221))/2)</f>
        <v>2.2166348342534215E-2</v>
      </c>
      <c r="BH109" s="173"/>
      <c r="BJ109"/>
      <c r="BK109"/>
      <c r="BL109"/>
      <c r="BM109"/>
      <c r="BN109"/>
      <c r="BO109"/>
    </row>
    <row r="110" spans="2:67" s="61" customFormat="1" outlineLevel="1">
      <c r="B110" s="88" t="s">
        <v>247</v>
      </c>
      <c r="C110" s="88"/>
      <c r="D110" s="89"/>
      <c r="E110" s="172"/>
      <c r="F110" s="173"/>
      <c r="G110" s="173"/>
      <c r="H110" s="172"/>
      <c r="I110" s="173"/>
      <c r="J110" s="173"/>
      <c r="K110" s="172"/>
      <c r="L110" s="173"/>
      <c r="M110" s="173"/>
      <c r="N110" s="172"/>
      <c r="O110" s="173"/>
      <c r="P110" s="173"/>
      <c r="Q110" s="172"/>
      <c r="R110" s="173"/>
      <c r="S110" s="173"/>
      <c r="T110" s="172"/>
      <c r="U110" s="173"/>
      <c r="V110" s="173"/>
      <c r="W110" s="172"/>
      <c r="X110" s="173"/>
      <c r="Y110" s="173"/>
      <c r="Z110" s="172"/>
      <c r="AA110" s="173"/>
      <c r="AB110" s="173"/>
      <c r="AC110" s="172"/>
      <c r="AD110" s="173"/>
      <c r="AE110" s="173"/>
      <c r="AF110" s="172"/>
      <c r="AG110" s="173"/>
      <c r="AH110" s="173"/>
      <c r="AI110" s="172"/>
      <c r="AJ110" s="173"/>
      <c r="AK110" s="173"/>
      <c r="AL110" s="172"/>
      <c r="AM110" s="173"/>
      <c r="AN110" s="173"/>
      <c r="AO110" s="172"/>
      <c r="AP110" s="173"/>
      <c r="AQ110" s="173"/>
      <c r="AR110" s="172"/>
      <c r="AS110" s="173"/>
      <c r="AT110" s="173"/>
      <c r="AU110" s="172"/>
      <c r="AV110" s="173"/>
      <c r="AW110" s="173"/>
      <c r="AX110" s="172"/>
      <c r="AY110" s="173"/>
      <c r="AZ110" s="173"/>
      <c r="BA110" s="172"/>
      <c r="BB110" s="173"/>
      <c r="BC110" s="173"/>
      <c r="BD110" s="172"/>
      <c r="BE110" s="173"/>
      <c r="BF110" s="173"/>
      <c r="BG110" s="172"/>
      <c r="BH110" s="173"/>
      <c r="BJ110"/>
      <c r="BK110"/>
      <c r="BL110"/>
      <c r="BM110"/>
      <c r="BN110"/>
      <c r="BO110"/>
    </row>
    <row r="111" spans="2:67" s="70" customFormat="1" outlineLevel="1">
      <c r="B111" s="88" t="s">
        <v>248</v>
      </c>
      <c r="C111" s="71"/>
      <c r="D111" s="89" t="s">
        <v>175</v>
      </c>
      <c r="E111" s="172"/>
      <c r="F111" s="173"/>
      <c r="G111" s="173" t="str">
        <f>IFERROR(+(G29-F29)/F29,"NA")</f>
        <v>NA</v>
      </c>
      <c r="H111" s="172"/>
      <c r="I111" s="173">
        <f>+(I29-G29)/G29</f>
        <v>8.3205230769230756</v>
      </c>
      <c r="J111" s="173">
        <f>+(J29-I29)/I29</f>
        <v>-8.253305911080154E-2</v>
      </c>
      <c r="K111" s="172"/>
      <c r="L111" s="173">
        <f>+(L29-J29)/J29</f>
        <v>-3.6280703185251166E-2</v>
      </c>
      <c r="M111" s="173">
        <f>+(M29-L29)/L29</f>
        <v>1.2439327940261355</v>
      </c>
      <c r="N111" s="172"/>
      <c r="O111" s="173">
        <f>+(O29-M29)/M29</f>
        <v>-0.19301164725457565</v>
      </c>
      <c r="P111" s="173">
        <f>+(P29-O29)/O29</f>
        <v>0.61030927835051541</v>
      </c>
      <c r="Q111" s="172"/>
      <c r="R111" s="173">
        <f>+(R29-P29)/P29</f>
        <v>4.1316688006828857</v>
      </c>
      <c r="S111" s="173">
        <f>+(S29-R29)/R29</f>
        <v>4.6576288102466004</v>
      </c>
      <c r="T111" s="172"/>
      <c r="U111" s="173">
        <f>+(U29-S29)/S29</f>
        <v>9.3598629905401798E-2</v>
      </c>
      <c r="V111" s="173">
        <f>+(V29-U29)/U29</f>
        <v>0.23801106309188533</v>
      </c>
      <c r="W111" s="172"/>
      <c r="X111" s="173">
        <f>+(X29-V29)/V29</f>
        <v>0.30085507207036022</v>
      </c>
      <c r="Y111" s="173">
        <f>+(Y29-X29)/X29</f>
        <v>0.15579000964062589</v>
      </c>
      <c r="Z111" s="172"/>
      <c r="AA111" s="173">
        <f>+(AA29-Y29)/Y29</f>
        <v>0.40954358344767833</v>
      </c>
      <c r="AB111" s="173">
        <f>+(AB29-AA29)/AA29</f>
        <v>6.066959116710282E-2</v>
      </c>
      <c r="AC111" s="172"/>
      <c r="AD111" s="173">
        <f>+(AD29-AB29)/AB29</f>
        <v>7.0347889571768657E-2</v>
      </c>
      <c r="AE111" s="173">
        <f>+(AE29-AD29)/AD29</f>
        <v>4.7912062366331068E-2</v>
      </c>
      <c r="AF111" s="172"/>
      <c r="AG111" s="173">
        <f>+(AG29-AE29)/AE29</f>
        <v>8.6034898223520312E-2</v>
      </c>
      <c r="AH111" s="173">
        <f>+(AH29-AG29)/AG29</f>
        <v>3.1289023489963673E-2</v>
      </c>
      <c r="AI111" s="172"/>
      <c r="AJ111" s="173">
        <f>+(AJ29-AH29)/AH29</f>
        <v>9.6366294527090918E-2</v>
      </c>
      <c r="AK111" s="173">
        <f>+(AK29-AJ29)/AJ29</f>
        <v>3.1929616329552352E-2</v>
      </c>
      <c r="AL111" s="172"/>
      <c r="AM111" s="173">
        <f>+(AM29-AK29)/AK29</f>
        <v>0.25192276564303023</v>
      </c>
      <c r="AN111" s="173">
        <f>+(AN29-AM29)/AM29</f>
        <v>3.3560234276625939E-2</v>
      </c>
      <c r="AO111" s="172"/>
      <c r="AP111" s="173">
        <f>+(AP29-AN29)/AN29</f>
        <v>0.13061058827313685</v>
      </c>
      <c r="AQ111" s="173">
        <f>+(AQ29-AP29)/AP29</f>
        <v>6.9390923793338569E-2</v>
      </c>
      <c r="AR111" s="172"/>
      <c r="AS111" s="173">
        <f>+(AS29-AQ29)/AQ29</f>
        <v>7.5607120740858097E-2</v>
      </c>
      <c r="AT111" s="173">
        <f>+(AT29-AS29)/AS29</f>
        <v>7.0502333632718198E-2</v>
      </c>
      <c r="AU111" s="172"/>
      <c r="AV111" s="173">
        <f>+(AV29-AT29)/AT29</f>
        <v>5.8950440433586701E-2</v>
      </c>
      <c r="AW111" s="173">
        <f>+(AW29-AV29)/AV29</f>
        <v>7.1206890982246793E-2</v>
      </c>
      <c r="AX111" s="172"/>
      <c r="AY111" s="173">
        <f>+(AY29-AW29)/AW29</f>
        <v>4.0010118810723382E-2</v>
      </c>
      <c r="AZ111" s="173">
        <f>+(AZ29-AY29)/AY29</f>
        <v>7.2758256060837023E-2</v>
      </c>
      <c r="BA111" s="172"/>
      <c r="BB111" s="173">
        <f>+(BB29-AZ29)/AZ29</f>
        <v>2.6782729348439786E-2</v>
      </c>
      <c r="BC111" s="173">
        <f>+(BC29-BB29)/BB29</f>
        <v>7.3224365810079503E-2</v>
      </c>
      <c r="BD111" s="172"/>
      <c r="BE111" s="173">
        <f>+(BE29-BC29)/BC29</f>
        <v>1.1091331285888502E-2</v>
      </c>
      <c r="BF111" s="173">
        <f>+(BF29-BE29)/BE29</f>
        <v>7.3522831203027994E-2</v>
      </c>
      <c r="BG111" s="172"/>
      <c r="BH111" s="173"/>
      <c r="BJ111"/>
      <c r="BK111"/>
      <c r="BL111"/>
      <c r="BM111"/>
      <c r="BN111"/>
      <c r="BO111"/>
    </row>
    <row r="112" spans="2:67" s="61" customFormat="1" outlineLevel="1">
      <c r="B112" s="88" t="s">
        <v>249</v>
      </c>
      <c r="C112" s="88"/>
      <c r="D112" s="89" t="s">
        <v>175</v>
      </c>
      <c r="E112" s="172"/>
      <c r="F112" s="173"/>
      <c r="G112" s="173">
        <f>+(G47-F47)/F47</f>
        <v>0.64391360034243583</v>
      </c>
      <c r="H112" s="172"/>
      <c r="I112" s="173">
        <f>+(I47-G47)/G47</f>
        <v>-0.19364283726852241</v>
      </c>
      <c r="J112" s="173">
        <f>+(J47-I47)/I47</f>
        <v>0.90425146718553673</v>
      </c>
      <c r="K112" s="172"/>
      <c r="L112" s="173">
        <f>+(L47-J47)/J47</f>
        <v>-0.23816839603968787</v>
      </c>
      <c r="M112" s="173">
        <f>+(M47-L47)/L47</f>
        <v>0.44930130787209688</v>
      </c>
      <c r="N112" s="172"/>
      <c r="O112" s="173">
        <f>+(O47-M47)/M47</f>
        <v>7.5041174855888043E-2</v>
      </c>
      <c r="P112" s="173">
        <f>+(P47-O47)/O47</f>
        <v>0.5931824710350766</v>
      </c>
      <c r="Q112" s="172"/>
      <c r="R112" s="173">
        <f>+(R47-P47)/P47</f>
        <v>0.21714480326949337</v>
      </c>
      <c r="S112" s="173">
        <f>+(S47-R47)/R47</f>
        <v>-0.8840260060900339</v>
      </c>
      <c r="T112" s="172"/>
      <c r="U112" s="173">
        <f>+(U47-S47)/S47</f>
        <v>-4.3350837354527458</v>
      </c>
      <c r="V112" s="173">
        <f>+(V47-U47)/U47</f>
        <v>-0.32512021788161594</v>
      </c>
      <c r="W112" s="172"/>
      <c r="X112" s="173">
        <f>+(X47-V47)/V47</f>
        <v>1.3371587111419494</v>
      </c>
      <c r="Y112" s="173">
        <f>+(Y47-X47)/X47</f>
        <v>-0.18257115877512239</v>
      </c>
      <c r="Z112" s="172"/>
      <c r="AA112" s="173">
        <f>+(AA47-Y47)/Y47</f>
        <v>-0.30424450458776153</v>
      </c>
      <c r="AB112" s="173">
        <f>+(AB47-AA47)/AA47</f>
        <v>8.6904719316819742E-2</v>
      </c>
      <c r="AC112" s="172"/>
      <c r="AD112" s="173">
        <f>+(AD47-AB47)/AB47</f>
        <v>0.16355155482085149</v>
      </c>
      <c r="AE112" s="173">
        <f>+(AE47-AD47)/AD47</f>
        <v>6.5162173304852966E-2</v>
      </c>
      <c r="AF112" s="172"/>
      <c r="AG112" s="173">
        <f>+(AG47-AE47)/AE47</f>
        <v>0.26678560439282234</v>
      </c>
      <c r="AH112" s="173">
        <f>+(AH47-AG47)/AG47</f>
        <v>7.457826173184004E-2</v>
      </c>
      <c r="AI112" s="172"/>
      <c r="AJ112" s="173">
        <f>+(AJ47-AH47)/AH47</f>
        <v>0.51118021148415138</v>
      </c>
      <c r="AK112" s="173">
        <f>+(AK47-AJ47)/AJ47</f>
        <v>6.2964848030058557E-2</v>
      </c>
      <c r="AL112" s="172"/>
      <c r="AM112" s="173">
        <f>+(AM47-AK47)/AK47</f>
        <v>0.69057426610762984</v>
      </c>
      <c r="AN112" s="173">
        <f>+(AN47-AM47)/AM47</f>
        <v>5.3552283230598179E-2</v>
      </c>
      <c r="AO112" s="172"/>
      <c r="AP112" s="173">
        <f>+(AP47-AN47)/AN47</f>
        <v>0.37915553171991356</v>
      </c>
      <c r="AQ112" s="173">
        <f>+(AQ47-AP47)/AP47</f>
        <v>9.829302114391994E-2</v>
      </c>
      <c r="AR112" s="172"/>
      <c r="AS112" s="173">
        <f>+(AS47-AQ47)/AQ47</f>
        <v>0.19391468731025344</v>
      </c>
      <c r="AT112" s="173">
        <f>+(AT47-AS47)/AS47</f>
        <v>9.4206812713516067E-2</v>
      </c>
      <c r="AU112" s="172"/>
      <c r="AV112" s="173">
        <f>+(AV47-AT47)/AT47</f>
        <v>0.15599310971001989</v>
      </c>
      <c r="AW112" s="173">
        <f>+(AW47-AV47)/AV47</f>
        <v>9.109221012210636E-2</v>
      </c>
      <c r="AX112" s="172"/>
      <c r="AY112" s="173">
        <f>+(AY47-AW47)/AW47</f>
        <v>0.11443744610475526</v>
      </c>
      <c r="AZ112" s="173">
        <f>+(AZ47-AY47)/AY47</f>
        <v>9.1292132137966511E-2</v>
      </c>
      <c r="BA112" s="172"/>
      <c r="BB112" s="173">
        <f>+(BB47-AZ47)/AZ47</f>
        <v>8.9338792729670533E-2</v>
      </c>
      <c r="BC112" s="173">
        <f>+(BC47-BB47)/BB47</f>
        <v>8.9798010048857471E-2</v>
      </c>
      <c r="BD112" s="172"/>
      <c r="BE112" s="173">
        <f>+(BE47-BC47)/BC47</f>
        <v>6.343210526191205E-2</v>
      </c>
      <c r="BF112" s="173">
        <f>+(BF47-BE47)/BE47</f>
        <v>8.8670591748337413E-2</v>
      </c>
      <c r="BG112" s="172"/>
      <c r="BH112" s="173"/>
      <c r="BJ112"/>
      <c r="BK112"/>
      <c r="BL112"/>
      <c r="BM112"/>
      <c r="BN112"/>
      <c r="BO112"/>
    </row>
    <row r="113" spans="1:67" s="61" customFormat="1" outlineLevel="1">
      <c r="B113" s="88" t="s">
        <v>250</v>
      </c>
      <c r="C113" s="88"/>
      <c r="D113" s="89" t="s">
        <v>175</v>
      </c>
      <c r="E113" s="172"/>
      <c r="F113" s="173"/>
      <c r="G113" s="173">
        <f>+(G56-F56)/F56</f>
        <v>0.64387314649402072</v>
      </c>
      <c r="H113" s="172"/>
      <c r="I113" s="173">
        <f>+(I56-G56)/G56</f>
        <v>-5.8478674191432281E-2</v>
      </c>
      <c r="J113" s="173">
        <f>+(J56-I56)/I56</f>
        <v>0.48734224728285797</v>
      </c>
      <c r="K113" s="172"/>
      <c r="L113" s="173">
        <f>+(L56-J56)/J56</f>
        <v>-0.16463995583297023</v>
      </c>
      <c r="M113" s="173">
        <f>+(M56-L56)/L56</f>
        <v>0.44930130787209688</v>
      </c>
      <c r="N113" s="172"/>
      <c r="O113" s="173">
        <f>+(O56-M56)/M56</f>
        <v>7.5041174855888043E-2</v>
      </c>
      <c r="P113" s="173">
        <f>+(P56-O56)/O56</f>
        <v>0.5931824710350766</v>
      </c>
      <c r="Q113" s="172"/>
      <c r="R113" s="173">
        <f>+(R56-P56)/P56</f>
        <v>0.2298261078612075</v>
      </c>
      <c r="S113" s="173">
        <f>+(S56-R56)/R56</f>
        <v>-0.87466605851306456</v>
      </c>
      <c r="T113" s="172"/>
      <c r="U113" s="173">
        <f>+(U56-S56)/S56</f>
        <v>-3.9290356121653285</v>
      </c>
      <c r="V113" s="173">
        <f>+(V56-U56)/U56</f>
        <v>-0.3431065850195284</v>
      </c>
      <c r="W113" s="172"/>
      <c r="X113" s="173">
        <f>+(X56-V56)/V56</f>
        <v>1.4295567001604448</v>
      </c>
      <c r="Y113" s="173">
        <f>+(Y56-X56)/X56</f>
        <v>-0.19331434346635729</v>
      </c>
      <c r="Z113" s="172"/>
      <c r="AA113" s="173">
        <f>+(AA56-Y56)/Y56</f>
        <v>-0.42210921047642963</v>
      </c>
      <c r="AB113" s="173">
        <f>+(AB56-AA56)/AA56</f>
        <v>9.48746986074325E-2</v>
      </c>
      <c r="AC113" s="172"/>
      <c r="AD113" s="173">
        <f>+(AD56-AB56)/AB56</f>
        <v>0.18667522055188207</v>
      </c>
      <c r="AE113" s="173">
        <f>+(AE56-AD56)/AD56</f>
        <v>6.9022363178139853E-2</v>
      </c>
      <c r="AF113" s="172"/>
      <c r="AG113" s="173">
        <f>+(AG56-AE56)/AE56</f>
        <v>0.30643484067288057</v>
      </c>
      <c r="AH113" s="173">
        <f>+(AH56-AG56)/AG56</f>
        <v>8.2472146716855391E-2</v>
      </c>
      <c r="AI113" s="172"/>
      <c r="AJ113" s="173">
        <f>+(AJ56-AH56)/AH56</f>
        <v>0.58324578286579964</v>
      </c>
      <c r="AK113" s="173">
        <f>+(AK56-AJ56)/AJ56</f>
        <v>6.6698525882316284E-2</v>
      </c>
      <c r="AL113" s="172"/>
      <c r="AM113" s="173">
        <f>+(AM56-AK56)/AK56</f>
        <v>0.74162592428999685</v>
      </c>
      <c r="AN113" s="173">
        <f>+(AN56-AM56)/AM56</f>
        <v>5.5224798904388167E-2</v>
      </c>
      <c r="AO113" s="172"/>
      <c r="AP113" s="173">
        <f>+(AP56-AN56)/AN56</f>
        <v>0.3995216670144246</v>
      </c>
      <c r="AQ113" s="173">
        <f>+(AQ56-AP56)/AP56</f>
        <v>0.10020624802395349</v>
      </c>
      <c r="AR113" s="172"/>
      <c r="AS113" s="173">
        <f>+(AS56-AQ56)/AQ56</f>
        <v>0.20152691943080064</v>
      </c>
      <c r="AT113" s="173">
        <f>+(AT56-AS56)/AS56</f>
        <v>9.5572181846375781E-2</v>
      </c>
      <c r="AU113" s="172"/>
      <c r="AV113" s="173">
        <f>+(AV56-AT56)/AT56</f>
        <v>0.16145482453510362</v>
      </c>
      <c r="AW113" s="173">
        <f>+(AW56-AV56)/AV56</f>
        <v>9.2112614151608346E-2</v>
      </c>
      <c r="AX113" s="172"/>
      <c r="AY113" s="173">
        <f>+(AY56-AW56)/AW56</f>
        <v>0.11818353395301889</v>
      </c>
      <c r="AZ113" s="173">
        <f>+(AZ56-AY56)/AY56</f>
        <v>9.2159765535896068E-2</v>
      </c>
      <c r="BA113" s="172"/>
      <c r="BB113" s="173">
        <f>+(BB56-AZ56)/AZ56</f>
        <v>9.2215231338225068E-2</v>
      </c>
      <c r="BC113" s="173">
        <f>+(BC56-BB56)/BB56</f>
        <v>9.0514440500579732E-2</v>
      </c>
      <c r="BD113" s="172"/>
      <c r="BE113" s="173">
        <f>+(BE56-BC56)/BC56</f>
        <v>6.565877223993033E-2</v>
      </c>
      <c r="BF113" s="173">
        <f>+(BF56-BE56)/BE56</f>
        <v>8.9282006315807197E-2</v>
      </c>
      <c r="BG113" s="172"/>
      <c r="BH113" s="173"/>
      <c r="BJ113"/>
      <c r="BK113"/>
      <c r="BL113"/>
      <c r="BM113"/>
      <c r="BN113"/>
      <c r="BO113"/>
    </row>
    <row r="114" spans="1:67" s="61" customFormat="1" outlineLevel="1">
      <c r="B114" s="88" t="s">
        <v>251</v>
      </c>
      <c r="C114" s="88"/>
      <c r="D114" s="89" t="s">
        <v>175</v>
      </c>
      <c r="E114" s="172"/>
      <c r="F114" s="173"/>
      <c r="G114" s="173">
        <f>+(G63-F63)/F63</f>
        <v>0.64342570837871371</v>
      </c>
      <c r="H114" s="172"/>
      <c r="I114" s="173">
        <f>+(I63-G63)/G63</f>
        <v>-5.8381718691920693E-2</v>
      </c>
      <c r="J114" s="173">
        <f>+(J63-I63)/I63</f>
        <v>0.48734224728285797</v>
      </c>
      <c r="K114" s="172"/>
      <c r="L114" s="173">
        <f>+(L63-J63)/J63</f>
        <v>-0.16463995583297023</v>
      </c>
      <c r="M114" s="173">
        <f>+(M63-L63)/L63</f>
        <v>0.44930130787209688</v>
      </c>
      <c r="N114" s="172"/>
      <c r="O114" s="173">
        <f>+(O63-M63)/M63</f>
        <v>7.5041174855888043E-2</v>
      </c>
      <c r="P114" s="173">
        <f>+(P63-O63)/O63</f>
        <v>0.5931824710350766</v>
      </c>
      <c r="Q114" s="172"/>
      <c r="R114" s="173">
        <f>+(R63-P63)/P63</f>
        <v>0.27165638272297532</v>
      </c>
      <c r="S114" s="173">
        <f>+(S63-R63)/R63</f>
        <v>-0.84712332220051689</v>
      </c>
      <c r="T114" s="172"/>
      <c r="U114" s="173">
        <f>+(U63-S63)/S63</f>
        <v>-3.2010511129431203</v>
      </c>
      <c r="V114" s="173">
        <f>+(V63-U63)/U63</f>
        <v>-0.36729247623952854</v>
      </c>
      <c r="W114" s="172"/>
      <c r="X114" s="173">
        <f>+(X63-V63)/V63</f>
        <v>1.5620837649844745</v>
      </c>
      <c r="Y114" s="173">
        <f>+(Y63-X63)/X63</f>
        <v>-0.20737060998151308</v>
      </c>
      <c r="Z114" s="172"/>
      <c r="AA114" s="173">
        <f>+(AA63-Y63)/Y63</f>
        <v>-0.58114706311033293</v>
      </c>
      <c r="AB114" s="173">
        <f>+(AB63-AA63)/AA63</f>
        <v>9.2727573704965927E-2</v>
      </c>
      <c r="AC114" s="172"/>
      <c r="AD114" s="173">
        <f>+(AD63-AB63)/AB63</f>
        <v>0.24035778281615972</v>
      </c>
      <c r="AE114" s="173">
        <f>+(AE63-AD63)/AD63</f>
        <v>7.7429030776603125E-2</v>
      </c>
      <c r="AF114" s="172"/>
      <c r="AG114" s="173">
        <f>+(AG63-AE63)/AE63</f>
        <v>0.3917993005668669</v>
      </c>
      <c r="AH114" s="173">
        <f>+(AH63-AG63)/AG63</f>
        <v>9.7941051648568062E-2</v>
      </c>
      <c r="AI114" s="172"/>
      <c r="AJ114" s="173">
        <f>+(AJ63-AH63)/AH63</f>
        <v>0.72146092909976767</v>
      </c>
      <c r="AK114" s="173">
        <f>+(AK63-AJ63)/AJ63</f>
        <v>7.2984661330230807E-2</v>
      </c>
      <c r="AL114" s="172"/>
      <c r="AM114" s="173">
        <f>+(AM63-AK63)/AK63</f>
        <v>0.82677543031262268</v>
      </c>
      <c r="AN114" s="173">
        <f>+(AN63-AM63)/AM63</f>
        <v>5.7806414455713807E-2</v>
      </c>
      <c r="AO114" s="172"/>
      <c r="AP114" s="173">
        <f>+(AP63-AN63)/AN63</f>
        <v>0.43083143814881597</v>
      </c>
      <c r="AQ114" s="173">
        <f>+(AQ63-AP63)/AP63</f>
        <v>0.10304130971939199</v>
      </c>
      <c r="AR114" s="172"/>
      <c r="AS114" s="173">
        <f>+(AS63-AQ63)/AQ63</f>
        <v>0.21275833533765939</v>
      </c>
      <c r="AT114" s="173">
        <f>+(AT63-AS63)/AS63</f>
        <v>9.7555405045444951E-2</v>
      </c>
      <c r="AU114" s="172"/>
      <c r="AV114" s="173">
        <f>+(AV63-AT63)/AT63</f>
        <v>0.1693638595009174</v>
      </c>
      <c r="AW114" s="173">
        <f>+(AW63-AV63)/AV63</f>
        <v>9.357335178494168E-2</v>
      </c>
      <c r="AX114" s="172"/>
      <c r="AY114" s="173">
        <f>+(AY63-AW63)/AW63</f>
        <v>0.12353399919724478</v>
      </c>
      <c r="AZ114" s="173">
        <f>+(AZ63-AY63)/AY63</f>
        <v>9.338895641179859E-2</v>
      </c>
      <c r="BA114" s="172"/>
      <c r="BB114" s="173">
        <f>+(BB63-AZ63)/AZ63</f>
        <v>9.6282515516159489E-2</v>
      </c>
      <c r="BC114" s="173">
        <f>+(BC63-BB63)/BB63</f>
        <v>9.1521056727595002E-2</v>
      </c>
      <c r="BD114" s="172"/>
      <c r="BE114" s="173">
        <f>+(BE63-BC63)/BC63</f>
        <v>6.8782398396046301E-2</v>
      </c>
      <c r="BF114" s="173">
        <f>+(BF63-BE63)/BE63</f>
        <v>9.013542085810812E-2</v>
      </c>
      <c r="BG114" s="172"/>
      <c r="BH114" s="173"/>
      <c r="BJ114"/>
      <c r="BK114"/>
      <c r="BL114"/>
      <c r="BM114"/>
      <c r="BN114"/>
      <c r="BO114"/>
    </row>
    <row r="115" spans="1:67" s="61" customFormat="1" outlineLevel="1">
      <c r="B115" s="88" t="s">
        <v>252</v>
      </c>
      <c r="C115" s="88"/>
      <c r="D115" s="89" t="s">
        <v>175</v>
      </c>
      <c r="E115" s="172"/>
      <c r="F115" s="173"/>
      <c r="G115" s="173">
        <f>+(G67-F67)/F67</f>
        <v>0.64342570837871405</v>
      </c>
      <c r="H115" s="172"/>
      <c r="I115" s="173">
        <f>+(I67-G67)/G67</f>
        <v>-5.8381718691920888E-2</v>
      </c>
      <c r="J115" s="173">
        <f>+(J67-I67)/I67</f>
        <v>0.49549856979519924</v>
      </c>
      <c r="K115" s="172"/>
      <c r="L115" s="173">
        <f>+(L67-J67)/J67</f>
        <v>-0.1691959387484758</v>
      </c>
      <c r="M115" s="173">
        <f>+(M67-L67)/L67</f>
        <v>0.44930130787209704</v>
      </c>
      <c r="N115" s="172"/>
      <c r="O115" s="173">
        <f>+(O67-M67)/M67</f>
        <v>7.5041174855887918E-2</v>
      </c>
      <c r="P115" s="173">
        <f>+(P67-O67)/O67</f>
        <v>0.59318247103507704</v>
      </c>
      <c r="Q115" s="172"/>
      <c r="R115" s="173">
        <f>+(R67-P67)/P67</f>
        <v>0.27165638272297493</v>
      </c>
      <c r="S115" s="173">
        <f>+(S67-R67)/R67</f>
        <v>-0.76238263280610019</v>
      </c>
      <c r="T115" s="172"/>
      <c r="U115" s="173">
        <f>+(U67-S67)/S67</f>
        <v>-2.4160975933169828</v>
      </c>
      <c r="V115" s="173">
        <f>+(V67-U67)/U67</f>
        <v>-0.36780748162367277</v>
      </c>
      <c r="W115" s="172"/>
      <c r="X115" s="173">
        <f>+(X67-V67)/V67</f>
        <v>1.5641709249796363</v>
      </c>
      <c r="Y115" s="173">
        <f>+(Y67-X67)/X67</f>
        <v>-0.20737060998151552</v>
      </c>
      <c r="Z115" s="172"/>
      <c r="AA115" s="173">
        <f>+(AA67-Y67)/Y67</f>
        <v>-0.5811470631103316</v>
      </c>
      <c r="AB115" s="173">
        <f>+(AB67-AA67)/AA67</f>
        <v>9.2727573704981067E-2</v>
      </c>
      <c r="AC115" s="172"/>
      <c r="AD115" s="173">
        <f>+(AD67-AB67)/AB67</f>
        <v>0.24035778281614253</v>
      </c>
      <c r="AE115" s="173">
        <f>+(AE67-AD67)/AD67</f>
        <v>7.7429030776592175E-2</v>
      </c>
      <c r="AF115" s="172"/>
      <c r="AG115" s="173">
        <f>+(AG67-AE67)/AE67</f>
        <v>0.39179930056688106</v>
      </c>
      <c r="AH115" s="173">
        <f>+(AH67-AG67)/AG67</f>
        <v>9.7941051648562732E-2</v>
      </c>
      <c r="AI115" s="172"/>
      <c r="AJ115" s="173">
        <f>+(AJ67-AH67)/AH67</f>
        <v>0.72146092909977599</v>
      </c>
      <c r="AK115" s="173">
        <f>+(AK67-AJ67)/AJ67</f>
        <v>7.2984661330228226E-2</v>
      </c>
      <c r="AL115" s="172"/>
      <c r="AM115" s="173">
        <f>+(AM67-AK67)/AK67</f>
        <v>0.82677543031262701</v>
      </c>
      <c r="AN115" s="173">
        <f>+(AN67-AM67)/AM67</f>
        <v>5.7806414455716437E-2</v>
      </c>
      <c r="AO115" s="172"/>
      <c r="AP115" s="173">
        <f>+(AP67-AN67)/AN67</f>
        <v>0.43083143814881242</v>
      </c>
      <c r="AQ115" s="173">
        <f>+(AQ67-AP67)/AP67</f>
        <v>0.10304130971939199</v>
      </c>
      <c r="AR115" s="172"/>
      <c r="AS115" s="173">
        <f>+(AS67-AQ67)/AQ67</f>
        <v>0.21275833533765939</v>
      </c>
      <c r="AT115" s="173">
        <f>+(AT67-AS67)/AS67</f>
        <v>9.7555405045443008E-2</v>
      </c>
      <c r="AU115" s="172"/>
      <c r="AV115" s="173">
        <f>+(AV67-AT67)/AT67</f>
        <v>0.16936385950091945</v>
      </c>
      <c r="AW115" s="173">
        <f>+(AW67-AV67)/AV67</f>
        <v>9.3573351784941805E-2</v>
      </c>
      <c r="AX115" s="172"/>
      <c r="AY115" s="173">
        <f>+(AY67-AW67)/AW67</f>
        <v>0.12353399919724466</v>
      </c>
      <c r="AZ115" s="173">
        <f>+(AZ67-AY67)/AY67</f>
        <v>9.3388956411797772E-2</v>
      </c>
      <c r="BA115" s="172"/>
      <c r="BB115" s="173">
        <f>+(BB67-AZ67)/AZ67</f>
        <v>9.6282515516160308E-2</v>
      </c>
      <c r="BC115" s="173">
        <f>+(BC67-BB67)/BB67</f>
        <v>9.1521056727596375E-2</v>
      </c>
      <c r="BD115" s="172"/>
      <c r="BE115" s="173">
        <f>+(BE67-BC67)/BC67</f>
        <v>6.8782398396044955E-2</v>
      </c>
      <c r="BF115" s="173">
        <f>+(BF67-BE67)/BE67</f>
        <v>9.01354208581093E-2</v>
      </c>
      <c r="BG115" s="172"/>
      <c r="BH115" s="173"/>
      <c r="BJ115"/>
      <c r="BK115"/>
      <c r="BL115"/>
      <c r="BM115"/>
      <c r="BN115"/>
      <c r="BO115"/>
    </row>
    <row r="116" spans="1:67" s="61" customFormat="1" outlineLevel="1">
      <c r="B116" s="88" t="s">
        <v>253</v>
      </c>
      <c r="C116" s="88"/>
      <c r="D116" s="89" t="s">
        <v>175</v>
      </c>
      <c r="E116" s="172"/>
      <c r="F116" s="173"/>
      <c r="G116" s="173">
        <f>+(G79-F79)/F79</f>
        <v>0.66473629033641013</v>
      </c>
      <c r="H116" s="172"/>
      <c r="I116" s="173">
        <f>+(I79-G79)/G79</f>
        <v>0.20017574088312334</v>
      </c>
      <c r="J116" s="173">
        <f>+(J79-I79)/I79</f>
        <v>0.68739795805201975</v>
      </c>
      <c r="K116" s="172"/>
      <c r="L116" s="173">
        <f>+(L79-J79)/J79</f>
        <v>4.5921443589909142E-2</v>
      </c>
      <c r="M116" s="173">
        <f>+(M79-L79)/L79</f>
        <v>0.45270750232227769</v>
      </c>
      <c r="N116" s="172"/>
      <c r="O116" s="173">
        <f>+(O79-M79)/M79</f>
        <v>0.22297449785601445</v>
      </c>
      <c r="P116" s="173">
        <f>+(P79-O79)/O79</f>
        <v>0.47616411392015739</v>
      </c>
      <c r="Q116" s="172"/>
      <c r="R116" s="173">
        <f>+(R79-P79)/P79</f>
        <v>0.47701891824318698</v>
      </c>
      <c r="S116" s="173">
        <f>+(S79-R79)/R79</f>
        <v>-0.53184466293323573</v>
      </c>
      <c r="T116" s="172"/>
      <c r="U116" s="173">
        <f>+(U79-S79)/S79</f>
        <v>-0.72481017235145306</v>
      </c>
      <c r="V116" s="173">
        <f>+(V79-U79)/U79</f>
        <v>-2.4649074783751179</v>
      </c>
      <c r="W116" s="172"/>
      <c r="X116" s="173">
        <f>+(X79-V79)/V79</f>
        <v>0.46430973914344237</v>
      </c>
      <c r="Y116" s="173">
        <f>+(Y79-X79)/X79</f>
        <v>-0.2805880251135679</v>
      </c>
      <c r="Z116" s="172"/>
      <c r="AA116" s="173">
        <f>+(AA79-Y79)/Y79</f>
        <v>-1.1626223925074446</v>
      </c>
      <c r="AB116" s="173">
        <f>+(AB79-AA79)/AA79</f>
        <v>0.88232501805097485</v>
      </c>
      <c r="AC116" s="172"/>
      <c r="AD116" s="173">
        <f>+(AD79-AB79)/AB79</f>
        <v>-1.2735715738129905</v>
      </c>
      <c r="AE116" s="173">
        <f>+(AE79-AD79)/AD79</f>
        <v>0.55553246173725079</v>
      </c>
      <c r="AF116" s="172"/>
      <c r="AG116" s="173">
        <f>+(AG79-AE79)/AE79</f>
        <v>3.466203802202525</v>
      </c>
      <c r="AH116" s="173">
        <f>+(AH79-AG79)/AG79</f>
        <v>0.2131239981413586</v>
      </c>
      <c r="AI116" s="172"/>
      <c r="AJ116" s="173">
        <f>+(AJ79-AH79)/AH79</f>
        <v>1.3869185022238999</v>
      </c>
      <c r="AK116" s="173">
        <f>+(AK79-AJ79)/AJ79</f>
        <v>0.10834350490498404</v>
      </c>
      <c r="AL116" s="172"/>
      <c r="AM116" s="173">
        <f>+(AM79-AK79)/AK79</f>
        <v>1.1295502834972426</v>
      </c>
      <c r="AN116" s="173">
        <f>+(AN79-AM79)/AM79</f>
        <v>7.3441019913979069E-2</v>
      </c>
      <c r="AO116" s="172"/>
      <c r="AP116" s="173">
        <f>+(AP79-AN79)/AN79</f>
        <v>0.67973150396062576</v>
      </c>
      <c r="AQ116" s="173">
        <f>+(AQ79-AP79)/AP79</f>
        <v>0.10860182239805535</v>
      </c>
      <c r="AR116" s="172"/>
      <c r="AS116" s="173">
        <f>+(AS79-AQ79)/AQ79</f>
        <v>0.21683337350970033</v>
      </c>
      <c r="AT116" s="173">
        <f>+(AT79-AS79)/AS79</f>
        <v>0.10265100646616716</v>
      </c>
      <c r="AU116" s="172"/>
      <c r="AV116" s="173">
        <f>+(AV79-AT79)/AT79</f>
        <v>0.17278880968053939</v>
      </c>
      <c r="AW116" s="173">
        <f>+(AW79-AV79)/AV79</f>
        <v>9.8205249771453368E-2</v>
      </c>
      <c r="AX116" s="172"/>
      <c r="AY116" s="173">
        <f>+(AY79-AW79)/AW79</f>
        <v>0.12713899232547543</v>
      </c>
      <c r="AZ116" s="173">
        <f>+(AZ79-AY79)/AY79</f>
        <v>9.7478885973317456E-2</v>
      </c>
      <c r="BA116" s="172"/>
      <c r="BB116" s="173">
        <f>+(BB79-AZ79)/AZ79</f>
        <v>0.10005907386821752</v>
      </c>
      <c r="BC116" s="173">
        <f>+(BC79-BB79)/BB79</f>
        <v>9.5124415946048604E-2</v>
      </c>
      <c r="BD116" s="172"/>
      <c r="BE116" s="173">
        <f>+(BE79-BC79)/BC79</f>
        <v>7.3112838729427143E-2</v>
      </c>
      <c r="BF116" s="173">
        <f>+(BF79-BE79)/BE79</f>
        <v>9.3238020675204841E-2</v>
      </c>
      <c r="BG116" s="172"/>
      <c r="BH116" s="173"/>
      <c r="BJ116"/>
      <c r="BK116"/>
      <c r="BL116"/>
      <c r="BM116"/>
      <c r="BN116"/>
      <c r="BO116"/>
    </row>
    <row r="117" spans="1:67" s="61" customFormat="1" outlineLevel="1">
      <c r="B117" s="88" t="s">
        <v>254</v>
      </c>
      <c r="C117" s="88"/>
      <c r="D117" s="89" t="s">
        <v>175</v>
      </c>
      <c r="E117" s="172"/>
      <c r="F117" s="173">
        <f>+F29/H29</f>
        <v>0</v>
      </c>
      <c r="G117" s="173">
        <f>+G29/H29</f>
        <v>1</v>
      </c>
      <c r="H117" s="172"/>
      <c r="I117" s="173">
        <f>+I29/K29</f>
        <v>0.52152137733142034</v>
      </c>
      <c r="J117" s="173">
        <f>+J29/K29</f>
        <v>0.4784786226685796</v>
      </c>
      <c r="K117" s="172"/>
      <c r="L117" s="173">
        <f>+L29/N29</f>
        <v>0.30826779205831573</v>
      </c>
      <c r="M117" s="173">
        <f>+M29/N29</f>
        <v>0.69173220794168422</v>
      </c>
      <c r="N117" s="172"/>
      <c r="O117" s="173">
        <f>+O29/Q29</f>
        <v>0.38309636650868878</v>
      </c>
      <c r="P117" s="173">
        <f>+P29/Q29</f>
        <v>0.61690363349131117</v>
      </c>
      <c r="Q117" s="172"/>
      <c r="R117" s="173">
        <f>+R29/T29</f>
        <v>0.15020362782330601</v>
      </c>
      <c r="S117" s="173">
        <f>+S29/T29</f>
        <v>0.84979637217669401</v>
      </c>
      <c r="T117" s="172"/>
      <c r="U117" s="173">
        <f>+U29/W29</f>
        <v>0.44682531578662865</v>
      </c>
      <c r="V117" s="173">
        <f>+V29/W29</f>
        <v>0.55317468421337146</v>
      </c>
      <c r="W117" s="172"/>
      <c r="X117" s="173">
        <f>+X29/Z29</f>
        <v>0.4638670721768034</v>
      </c>
      <c r="Y117" s="173">
        <f>+Y29/Z29</f>
        <v>0.53613292782319655</v>
      </c>
      <c r="Z117" s="172"/>
      <c r="AA117" s="173">
        <f>+AA29/AC29</f>
        <v>0.48527915600172927</v>
      </c>
      <c r="AB117" s="173">
        <f>+AB29/AC29</f>
        <v>0.51472084399827089</v>
      </c>
      <c r="AC117" s="172"/>
      <c r="AD117" s="173">
        <f>+AD29/AF29</f>
        <v>0.48830221686595038</v>
      </c>
      <c r="AE117" s="173">
        <f>+AE29/AF29</f>
        <v>0.51169778313404957</v>
      </c>
      <c r="AF117" s="172"/>
      <c r="AG117" s="173">
        <f>+AG29/AI29</f>
        <v>0.49229823448851057</v>
      </c>
      <c r="AH117" s="173">
        <f>+AH29/AI29</f>
        <v>0.50770176551148927</v>
      </c>
      <c r="AI117" s="172"/>
      <c r="AJ117" s="173">
        <f>+AJ29/AL29</f>
        <v>0.49214303092170347</v>
      </c>
      <c r="AK117" s="173">
        <f>+AK29/AL29</f>
        <v>0.50785696907829647</v>
      </c>
      <c r="AL117" s="172"/>
      <c r="AM117" s="173">
        <f>+AM29/AO29</f>
        <v>0.49174840417535903</v>
      </c>
      <c r="AN117" s="173">
        <f>+AN29/AO29</f>
        <v>0.50825159582464108</v>
      </c>
      <c r="AO117" s="172"/>
      <c r="AP117" s="173">
        <f>+AP29/AR29</f>
        <v>0.48323397406562985</v>
      </c>
      <c r="AQ117" s="173">
        <f>+AQ29/AR29</f>
        <v>0.51676602593437015</v>
      </c>
      <c r="AR117" s="172"/>
      <c r="AS117" s="173">
        <f>+AS29/AU29</f>
        <v>0.48297458242681107</v>
      </c>
      <c r="AT117" s="173">
        <f>+AT29/AU29</f>
        <v>0.51702541757318887</v>
      </c>
      <c r="AU117" s="172"/>
      <c r="AV117" s="173">
        <f>+AV29/AX29</f>
        <v>0.48281029015201909</v>
      </c>
      <c r="AW117" s="173">
        <f>+AW29/AX29</f>
        <v>0.51718970984798085</v>
      </c>
      <c r="AX117" s="172"/>
      <c r="AY117" s="173">
        <f>+AY29/BA29</f>
        <v>0.48244892865627514</v>
      </c>
      <c r="AZ117" s="173">
        <f>+AZ29/BA29</f>
        <v>0.51755107134372491</v>
      </c>
      <c r="BA117" s="172"/>
      <c r="BB117" s="173">
        <f>+BB29/BD29</f>
        <v>0.4823404627551085</v>
      </c>
      <c r="BC117" s="173">
        <f>+BC29/BD29</f>
        <v>0.51765953724489155</v>
      </c>
      <c r="BD117" s="172"/>
      <c r="BE117" s="173">
        <f>+BE29/BG29</f>
        <v>0.4822710340834851</v>
      </c>
      <c r="BF117" s="173">
        <f>+BF29/BG29</f>
        <v>0.51772896591651496</v>
      </c>
      <c r="BG117" s="172"/>
      <c r="BH117" s="173"/>
      <c r="BJ117"/>
      <c r="BK117"/>
      <c r="BL117"/>
      <c r="BM117"/>
      <c r="BN117"/>
      <c r="BO117"/>
    </row>
    <row r="118" spans="1:67" s="61" customFormat="1">
      <c r="B118" s="88" t="s">
        <v>255</v>
      </c>
      <c r="C118" s="88"/>
      <c r="D118" s="89" t="s">
        <v>175</v>
      </c>
      <c r="E118" s="172"/>
      <c r="F118" s="173">
        <f>+F67/H67</f>
        <v>0.37829699424892393</v>
      </c>
      <c r="G118" s="173">
        <f>+G67/H67</f>
        <v>0.62170300575107618</v>
      </c>
      <c r="H118" s="172"/>
      <c r="I118" s="173">
        <f>+I67/K67</f>
        <v>0.40203554661301139</v>
      </c>
      <c r="J118" s="173">
        <f>+J67/K67</f>
        <v>0.60124358496658969</v>
      </c>
      <c r="K118" s="172"/>
      <c r="L118" s="173">
        <f>+L67/N67</f>
        <v>0.40827969869855646</v>
      </c>
      <c r="M118" s="173">
        <f>+M67/N67</f>
        <v>0.5917203013014436</v>
      </c>
      <c r="N118" s="172"/>
      <c r="O118" s="173">
        <f>+O67/Q67</f>
        <v>0.38562654621093706</v>
      </c>
      <c r="P118" s="173">
        <f>+P67/Q67</f>
        <v>0.61437345378906305</v>
      </c>
      <c r="Q118" s="172"/>
      <c r="R118" s="173">
        <f>+R67/T67</f>
        <v>0.86739546324132288</v>
      </c>
      <c r="S118" s="173">
        <f>+S67/T67</f>
        <v>0.20610822629133618</v>
      </c>
      <c r="T118" s="172"/>
      <c r="U118" s="173">
        <f>+U67/W67</f>
        <v>0.61247956872078846</v>
      </c>
      <c r="V118" s="173">
        <f>+V67/W67</f>
        <v>0.38720500100364202</v>
      </c>
      <c r="W118" s="172"/>
      <c r="X118" s="173">
        <f>+X67/Z67</f>
        <v>0.55783978861893324</v>
      </c>
      <c r="Y118" s="173">
        <f>+Y67/Z67</f>
        <v>0.44216021138106537</v>
      </c>
      <c r="Z118" s="172"/>
      <c r="AA118" s="173">
        <f>+AA67/AC67</f>
        <v>0.47784528314385399</v>
      </c>
      <c r="AB118" s="173">
        <f>+AB67/AC67</f>
        <v>0.52215471685615322</v>
      </c>
      <c r="AC118" s="172"/>
      <c r="AD118" s="173">
        <f>+AD67/AF67</f>
        <v>0.48136421759070686</v>
      </c>
      <c r="AE118" s="173">
        <f>+AE67/AF67</f>
        <v>0.51863578240928787</v>
      </c>
      <c r="AF118" s="172"/>
      <c r="AG118" s="173">
        <f>+AG67/AI67</f>
        <v>0.47665781610698599</v>
      </c>
      <c r="AH118" s="173">
        <f>+AH67/AI67</f>
        <v>0.52334218389301146</v>
      </c>
      <c r="AI118" s="172"/>
      <c r="AJ118" s="173">
        <f>+AJ67/AL67</f>
        <v>0.48239623700751438</v>
      </c>
      <c r="AK118" s="173">
        <f>+AK67/AL67</f>
        <v>0.51760376299248434</v>
      </c>
      <c r="AL118" s="172"/>
      <c r="AM118" s="173">
        <f>+AM67/AO67</f>
        <v>0.48595436041757029</v>
      </c>
      <c r="AN118" s="173">
        <f>+AN67/AO67</f>
        <v>0.51404563958243099</v>
      </c>
      <c r="AO118" s="172"/>
      <c r="AP118" s="173">
        <f>+AP67/AR67</f>
        <v>0.47550183411919267</v>
      </c>
      <c r="AQ118" s="173">
        <f>+AQ67/AR67</f>
        <v>0.52449816588080733</v>
      </c>
      <c r="AR118" s="172"/>
      <c r="AS118" s="173">
        <f>+AS67/AU67</f>
        <v>0.47674545215568898</v>
      </c>
      <c r="AT118" s="173">
        <f>+AT67/AU67</f>
        <v>0.52325454784431014</v>
      </c>
      <c r="AU118" s="172"/>
      <c r="AV118" s="173">
        <f>+AV67/AX67</f>
        <v>0.47765223948204089</v>
      </c>
      <c r="AW118" s="173">
        <f>+AW67/AX67</f>
        <v>0.52234776051795917</v>
      </c>
      <c r="AX118" s="172"/>
      <c r="AY118" s="173">
        <f>+AY67/BA67</f>
        <v>0.47769431329859663</v>
      </c>
      <c r="AZ118" s="173">
        <f>+AZ67/BA67</f>
        <v>0.52230568670140298</v>
      </c>
      <c r="BA118" s="172"/>
      <c r="BB118" s="173">
        <f>+BB67/BD67</f>
        <v>0.47812093346294365</v>
      </c>
      <c r="BC118" s="173">
        <f>+BC67/BD67</f>
        <v>0.52187906653705707</v>
      </c>
      <c r="BD118" s="172"/>
      <c r="BE118" s="173">
        <f>+BE67/BG67</f>
        <v>0.47843789929623248</v>
      </c>
      <c r="BF118" s="173">
        <f>+BF67/BG67</f>
        <v>0.52156210070376807</v>
      </c>
      <c r="BG118" s="172"/>
      <c r="BH118" s="173"/>
      <c r="BJ118"/>
      <c r="BK118"/>
      <c r="BL118"/>
      <c r="BM118"/>
      <c r="BN118"/>
      <c r="BO118"/>
    </row>
    <row r="119" spans="1:67" s="170" customFormat="1">
      <c r="A119" s="84" t="s">
        <v>256</v>
      </c>
      <c r="B119" s="63"/>
      <c r="C119" s="63"/>
      <c r="D119" s="85" t="str">
        <f t="shared" ref="D119:BG119" si="165">+D4</f>
        <v>Base</v>
      </c>
      <c r="E119" s="86" t="str">
        <f t="shared" si="165"/>
        <v>2017</v>
      </c>
      <c r="F119" s="85" t="str">
        <f t="shared" si="165"/>
        <v>1H18</v>
      </c>
      <c r="G119" s="85" t="str">
        <f t="shared" si="165"/>
        <v>2H18</v>
      </c>
      <c r="H119" s="86" t="str">
        <f t="shared" si="165"/>
        <v>2018</v>
      </c>
      <c r="I119" s="85" t="str">
        <f t="shared" si="165"/>
        <v>1H19</v>
      </c>
      <c r="J119" s="85" t="str">
        <f t="shared" si="165"/>
        <v>2H19</v>
      </c>
      <c r="K119" s="86" t="str">
        <f t="shared" si="165"/>
        <v>2019</v>
      </c>
      <c r="L119" s="85" t="str">
        <f t="shared" si="165"/>
        <v>1H20</v>
      </c>
      <c r="M119" s="85" t="str">
        <f t="shared" si="165"/>
        <v>2H20E</v>
      </c>
      <c r="N119" s="86" t="str">
        <f t="shared" si="165"/>
        <v>2020E</v>
      </c>
      <c r="O119" s="85" t="str">
        <f t="shared" si="165"/>
        <v>1H21</v>
      </c>
      <c r="P119" s="85" t="str">
        <f t="shared" si="165"/>
        <v>2H21</v>
      </c>
      <c r="Q119" s="86" t="str">
        <f t="shared" si="165"/>
        <v>2021</v>
      </c>
      <c r="R119" s="85" t="str">
        <f t="shared" si="165"/>
        <v>1H22</v>
      </c>
      <c r="S119" s="85" t="str">
        <f t="shared" si="165"/>
        <v>2H22</v>
      </c>
      <c r="T119" s="86" t="str">
        <f t="shared" si="165"/>
        <v>2022</v>
      </c>
      <c r="U119" s="85" t="str">
        <f t="shared" si="165"/>
        <v>1H23</v>
      </c>
      <c r="V119" s="85" t="str">
        <f t="shared" si="165"/>
        <v>2H23</v>
      </c>
      <c r="W119" s="86" t="str">
        <f t="shared" si="165"/>
        <v>2023</v>
      </c>
      <c r="X119" s="85" t="str">
        <f t="shared" si="165"/>
        <v>1H24</v>
      </c>
      <c r="Y119" s="85" t="str">
        <f t="shared" si="165"/>
        <v>2H24</v>
      </c>
      <c r="Z119" s="86" t="str">
        <f t="shared" si="165"/>
        <v>2024</v>
      </c>
      <c r="AA119" s="85" t="str">
        <f t="shared" si="165"/>
        <v>1H25</v>
      </c>
      <c r="AB119" s="85" t="str">
        <f t="shared" si="165"/>
        <v>2H25E</v>
      </c>
      <c r="AC119" s="86" t="str">
        <f t="shared" si="165"/>
        <v>2025E</v>
      </c>
      <c r="AD119" s="85" t="str">
        <f t="shared" si="165"/>
        <v>1H26E</v>
      </c>
      <c r="AE119" s="85" t="str">
        <f t="shared" si="165"/>
        <v>2H26E</v>
      </c>
      <c r="AF119" s="86" t="str">
        <f t="shared" si="165"/>
        <v>2026E</v>
      </c>
      <c r="AG119" s="85" t="str">
        <f t="shared" si="165"/>
        <v>1H27E</v>
      </c>
      <c r="AH119" s="85" t="str">
        <f t="shared" si="165"/>
        <v>2H27E</v>
      </c>
      <c r="AI119" s="86" t="str">
        <f t="shared" si="165"/>
        <v>2027E</v>
      </c>
      <c r="AJ119" s="85" t="str">
        <f t="shared" si="165"/>
        <v>1H28E</v>
      </c>
      <c r="AK119" s="85" t="str">
        <f t="shared" si="165"/>
        <v>2H28E</v>
      </c>
      <c r="AL119" s="86" t="str">
        <f t="shared" si="165"/>
        <v>2028E</v>
      </c>
      <c r="AM119" s="85" t="str">
        <f t="shared" si="165"/>
        <v>1H29E</v>
      </c>
      <c r="AN119" s="85" t="str">
        <f t="shared" si="165"/>
        <v>2H29E</v>
      </c>
      <c r="AO119" s="86" t="str">
        <f t="shared" si="165"/>
        <v>2029E</v>
      </c>
      <c r="AP119" s="85" t="str">
        <f t="shared" si="165"/>
        <v>1H30E</v>
      </c>
      <c r="AQ119" s="85" t="str">
        <f t="shared" si="165"/>
        <v>2H30E</v>
      </c>
      <c r="AR119" s="86" t="str">
        <f t="shared" si="165"/>
        <v>2030E</v>
      </c>
      <c r="AS119" s="85" t="str">
        <f t="shared" si="165"/>
        <v>1H31E</v>
      </c>
      <c r="AT119" s="85" t="str">
        <f t="shared" si="165"/>
        <v>2H31E</v>
      </c>
      <c r="AU119" s="86" t="str">
        <f t="shared" si="165"/>
        <v>2031E</v>
      </c>
      <c r="AV119" s="85" t="str">
        <f t="shared" si="165"/>
        <v>1H32E</v>
      </c>
      <c r="AW119" s="85" t="str">
        <f t="shared" si="165"/>
        <v>2H32E</v>
      </c>
      <c r="AX119" s="86" t="str">
        <f t="shared" si="165"/>
        <v>2032E</v>
      </c>
      <c r="AY119" s="85" t="str">
        <f t="shared" si="165"/>
        <v>1H33E</v>
      </c>
      <c r="AZ119" s="85" t="str">
        <f t="shared" si="165"/>
        <v>2H33E</v>
      </c>
      <c r="BA119" s="86" t="str">
        <f t="shared" si="165"/>
        <v>2033E</v>
      </c>
      <c r="BB119" s="85" t="str">
        <f t="shared" si="165"/>
        <v>1H34E</v>
      </c>
      <c r="BC119" s="85" t="str">
        <f t="shared" si="165"/>
        <v>2H34E</v>
      </c>
      <c r="BD119" s="86" t="str">
        <f t="shared" si="165"/>
        <v>2034E</v>
      </c>
      <c r="BE119" s="85" t="str">
        <f t="shared" si="165"/>
        <v>1H35E</v>
      </c>
      <c r="BF119" s="85" t="str">
        <f t="shared" si="165"/>
        <v>2H35E</v>
      </c>
      <c r="BG119" s="86" t="str">
        <f t="shared" si="165"/>
        <v>2035E</v>
      </c>
      <c r="BH119" s="85"/>
      <c r="BJ119"/>
      <c r="BK119"/>
      <c r="BL119"/>
      <c r="BM119"/>
      <c r="BN119"/>
      <c r="BO119"/>
    </row>
    <row r="120" spans="1:67" s="70" customFormat="1">
      <c r="B120" s="71" t="s">
        <v>18</v>
      </c>
      <c r="C120" s="71"/>
      <c r="D120" s="92" t="s">
        <v>159</v>
      </c>
      <c r="E120" s="90">
        <f t="shared" ref="E120:R120" si="166">+E67</f>
        <v>6.5155380000000003</v>
      </c>
      <c r="F120" s="91">
        <f t="shared" si="166"/>
        <v>-10.458777000000001</v>
      </c>
      <c r="G120" s="91">
        <f t="shared" si="166"/>
        <v>-17.188223000000004</v>
      </c>
      <c r="H120" s="90">
        <f t="shared" si="166"/>
        <v>-27.647000000000002</v>
      </c>
      <c r="I120" s="91">
        <f t="shared" si="166"/>
        <v>-16.184744999999999</v>
      </c>
      <c r="J120" s="91">
        <f t="shared" si="166"/>
        <v>-24.204263000000001</v>
      </c>
      <c r="K120" s="90">
        <f t="shared" si="166"/>
        <v>-40.256999999999998</v>
      </c>
      <c r="L120" s="91">
        <f t="shared" si="166"/>
        <v>-20.109000000000002</v>
      </c>
      <c r="M120" s="91">
        <f t="shared" si="166"/>
        <v>-29.144000000000002</v>
      </c>
      <c r="N120" s="90">
        <f t="shared" si="166"/>
        <v>-49.253</v>
      </c>
      <c r="O120" s="91">
        <f t="shared" si="166"/>
        <v>-31.331</v>
      </c>
      <c r="P120" s="91">
        <f t="shared" si="166"/>
        <v>-49.915999999999997</v>
      </c>
      <c r="Q120" s="90">
        <f t="shared" si="166"/>
        <v>-81.246999999999986</v>
      </c>
      <c r="R120" s="91">
        <f t="shared" si="166"/>
        <v>-63.476000000000013</v>
      </c>
      <c r="S120" s="91">
        <f>T120-R120</f>
        <v>-9.7039999999999935</v>
      </c>
      <c r="T120" s="90">
        <f>+T67</f>
        <v>-73.180000000000007</v>
      </c>
      <c r="U120" s="91">
        <f>+U67</f>
        <v>21.359000000000023</v>
      </c>
      <c r="V120" s="91">
        <f t="shared" ref="V120:V147" si="167">+W120-U120</f>
        <v>13.513999999999925</v>
      </c>
      <c r="W120" s="90">
        <f>+W67</f>
        <v>34.872999999999948</v>
      </c>
      <c r="X120" s="91">
        <f>+X67</f>
        <v>34.623999999999995</v>
      </c>
      <c r="Y120" s="91">
        <f t="shared" ref="Y120:Y147" si="168">+Z120-X120</f>
        <v>27.444000000000088</v>
      </c>
      <c r="Z120" s="90">
        <f>+Z67</f>
        <v>62.068000000000083</v>
      </c>
      <c r="AA120" s="91">
        <f>+AA67</f>
        <v>11.495000000000061</v>
      </c>
      <c r="AB120" s="91">
        <f>+AB67</f>
        <v>12.560903459738824</v>
      </c>
      <c r="AC120" s="90">
        <f>+SUM(AA120:AB120)</f>
        <v>24.055903459738886</v>
      </c>
      <c r="AD120" s="91">
        <f>+AD67</f>
        <v>15.580014365489262</v>
      </c>
      <c r="AE120" s="91">
        <f t="shared" ref="AE120:AE123" si="169">+AF120-AD120</f>
        <v>16.786359777294649</v>
      </c>
      <c r="AF120" s="90">
        <f>+AF67</f>
        <v>32.366374142783911</v>
      </c>
      <c r="AG120" s="91">
        <f>+AG67</f>
        <v>23.363243797102481</v>
      </c>
      <c r="AH120" s="91">
        <f t="shared" ref="AH120:AH123" si="170">+AI120-AG120</f>
        <v>25.651464464512582</v>
      </c>
      <c r="AI120" s="90">
        <f>+AI67</f>
        <v>49.014708261615063</v>
      </c>
      <c r="AJ120" s="91">
        <f>+AJ67</f>
        <v>44.157993849849504</v>
      </c>
      <c r="AK120" s="91">
        <f t="shared" ref="AK120:AK123" si="171">+AL120-AJ120</f>
        <v>47.380850076003185</v>
      </c>
      <c r="AL120" s="90">
        <f>+AL67</f>
        <v>91.538843925852689</v>
      </c>
      <c r="AM120" s="91">
        <f>+AM67</f>
        <v>86.554172786168579</v>
      </c>
      <c r="AN120" s="91">
        <f t="shared" ref="AN120:AN123" si="172">+AO120-AM120</f>
        <v>91.557559171117305</v>
      </c>
      <c r="AO120" s="90">
        <f>+AO67</f>
        <v>178.11173195728588</v>
      </c>
      <c r="AP120" s="91">
        <f>+AP67</f>
        <v>131.00343406220509</v>
      </c>
      <c r="AQ120" s="91">
        <f t="shared" ref="AQ120:AQ123" si="173">+AR120-AP120</f>
        <v>144.50219948571271</v>
      </c>
      <c r="AR120" s="90">
        <f>+AR67</f>
        <v>275.5056335479178</v>
      </c>
      <c r="AS120" s="91">
        <f>+AS67</f>
        <v>175.24624690092332</v>
      </c>
      <c r="AT120" s="91">
        <f t="shared" ref="AT120:AT123" si="174">+AU120-AS120</f>
        <v>192.34246550003695</v>
      </c>
      <c r="AU120" s="90">
        <f>+AU67</f>
        <v>367.58871240096028</v>
      </c>
      <c r="AV120" s="91">
        <f>+AV67</f>
        <v>224.91832780304526</v>
      </c>
      <c r="AW120" s="91">
        <f t="shared" ref="AW120:AW123" si="175">+AX120-AV120</f>
        <v>245.96468961344044</v>
      </c>
      <c r="AX120" s="90">
        <f>+AX67</f>
        <v>470.8830174164857</v>
      </c>
      <c r="AY120" s="91">
        <f>+AY67</f>
        <v>276.34969138269776</v>
      </c>
      <c r="AZ120" s="91">
        <f t="shared" ref="AZ120:AZ123" si="176">+BA120-AY120</f>
        <v>302.15770066565051</v>
      </c>
      <c r="BA120" s="90">
        <f>+BA67</f>
        <v>578.50739204834827</v>
      </c>
      <c r="BB120" s="91">
        <f>+BB67</f>
        <v>331.25020416831808</v>
      </c>
      <c r="BC120" s="91">
        <f t="shared" ref="BC120:BC123" si="177">+BD120-BB120</f>
        <v>361.56657289503414</v>
      </c>
      <c r="BD120" s="90">
        <f>+BD67</f>
        <v>692.81677706335222</v>
      </c>
      <c r="BE120" s="91">
        <f>+BE67</f>
        <v>386.4359889585935</v>
      </c>
      <c r="BF120" s="91">
        <f t="shared" ref="BF120:BF123" si="178">+BG120-BE120</f>
        <v>421.26755945809555</v>
      </c>
      <c r="BG120" s="90">
        <f>+BG67</f>
        <v>807.70354841668905</v>
      </c>
      <c r="BH120" s="91"/>
      <c r="BJ120"/>
      <c r="BK120"/>
      <c r="BL120"/>
      <c r="BM120"/>
      <c r="BN120"/>
      <c r="BO120"/>
    </row>
    <row r="121" spans="1:67" s="61" customFormat="1">
      <c r="B121" s="88" t="s">
        <v>43</v>
      </c>
      <c r="C121" s="88"/>
      <c r="D121" s="89" t="s">
        <v>159</v>
      </c>
      <c r="E121" s="174">
        <f t="shared" ref="E121:T121" si="179">-E69</f>
        <v>-2.9579000000000001E-2</v>
      </c>
      <c r="F121" s="175">
        <f t="shared" si="179"/>
        <v>1.5318999999999999E-2</v>
      </c>
      <c r="G121" s="91">
        <f t="shared" si="179"/>
        <v>1.3681000000000002E-2</v>
      </c>
      <c r="H121" s="176">
        <f t="shared" si="179"/>
        <v>2.9000000000000001E-2</v>
      </c>
      <c r="I121" s="175">
        <f t="shared" si="179"/>
        <v>1.0649189999999999</v>
      </c>
      <c r="J121" s="91">
        <f t="shared" si="179"/>
        <v>1.343081</v>
      </c>
      <c r="K121" s="174">
        <f t="shared" si="179"/>
        <v>2.4079999999999999</v>
      </c>
      <c r="L121" s="175">
        <f t="shared" si="179"/>
        <v>0.23499999999999999</v>
      </c>
      <c r="M121" s="91">
        <f t="shared" si="179"/>
        <v>1.504</v>
      </c>
      <c r="N121" s="174">
        <f t="shared" si="179"/>
        <v>1.7390000000000001</v>
      </c>
      <c r="O121" s="175">
        <f t="shared" si="179"/>
        <v>2.5049999999999999</v>
      </c>
      <c r="P121" s="91">
        <f t="shared" si="179"/>
        <v>2.7130000000000001</v>
      </c>
      <c r="Q121" s="174">
        <f t="shared" si="179"/>
        <v>5.218</v>
      </c>
      <c r="R121" s="175">
        <f t="shared" si="179"/>
        <v>3.3160000000000003</v>
      </c>
      <c r="S121" s="91">
        <f t="shared" si="179"/>
        <v>3.375999999999999</v>
      </c>
      <c r="T121" s="177">
        <f t="shared" si="179"/>
        <v>6.6919999999999993</v>
      </c>
      <c r="U121" s="178">
        <f>0.303-0.243</f>
        <v>0.06</v>
      </c>
      <c r="V121" s="91">
        <f t="shared" si="167"/>
        <v>0.623</v>
      </c>
      <c r="W121" s="177">
        <f>1.068-0.385</f>
        <v>0.68300000000000005</v>
      </c>
      <c r="X121" s="178">
        <f>0.895-0.442</f>
        <v>0.45300000000000001</v>
      </c>
      <c r="Y121" s="91">
        <f t="shared" si="168"/>
        <v>3.64</v>
      </c>
      <c r="Z121" s="177">
        <f>7.18-3.087</f>
        <v>4.093</v>
      </c>
      <c r="AA121" s="178">
        <f>3.616-5.887</f>
        <v>-2.2709999999999995</v>
      </c>
      <c r="AB121" s="91">
        <f>+AB69</f>
        <v>-19.644941291598357</v>
      </c>
      <c r="AC121" s="174">
        <f>+SUM(AA121:AB121)</f>
        <v>-21.915941291598358</v>
      </c>
      <c r="AD121" s="175">
        <f>IF(AD5="A","0",AD69)</f>
        <v>-14.037181926828719</v>
      </c>
      <c r="AE121" s="91">
        <f t="shared" si="169"/>
        <v>-14.38643383593698</v>
      </c>
      <c r="AF121" s="174">
        <f>IF(AF5="A","0",AF69)</f>
        <v>-28.423615762765699</v>
      </c>
      <c r="AG121" s="175">
        <f>IF(AG5="A","0",AG69)</f>
        <v>-12.644685432806154</v>
      </c>
      <c r="AH121" s="91">
        <f t="shared" si="170"/>
        <v>-12.64852408730596</v>
      </c>
      <c r="AI121" s="174">
        <f>IF(AI5="A","0",AI69)</f>
        <v>-25.293209520112114</v>
      </c>
      <c r="AJ121" s="175">
        <f>IF(AJ5="A","0",AJ69)</f>
        <v>-13.121034880180707</v>
      </c>
      <c r="AK121" s="91">
        <f t="shared" si="171"/>
        <v>-12.981238189968339</v>
      </c>
      <c r="AL121" s="174">
        <f>IF(AL5="A","0",AL69)</f>
        <v>-26.102273070149046</v>
      </c>
      <c r="AM121" s="175">
        <f>IF(AM5="A","0",AM69)</f>
        <v>-13.298469542067846</v>
      </c>
      <c r="AN121" s="91">
        <f t="shared" si="172"/>
        <v>-12.921882366253971</v>
      </c>
      <c r="AO121" s="174">
        <f>IF(AO5="A","0",AO69)</f>
        <v>-26.220351908321817</v>
      </c>
      <c r="AP121" s="175">
        <f>IF(AP5="A","0",AP69)</f>
        <v>1.0833896021895923</v>
      </c>
      <c r="AQ121" s="91">
        <f t="shared" si="173"/>
        <v>1.9294939434058338</v>
      </c>
      <c r="AR121" s="174">
        <f>IF(AR5="A","0",AR69)</f>
        <v>3.0128835455954261</v>
      </c>
      <c r="AS121" s="175">
        <f>IF(AS5="A","0",AS69)</f>
        <v>2.9367246031691829</v>
      </c>
      <c r="AT121" s="91">
        <f t="shared" si="174"/>
        <v>4.131167364082879</v>
      </c>
      <c r="AU121" s="174">
        <f>IF(AU5="A","0",AU69)</f>
        <v>7.0678919672520619</v>
      </c>
      <c r="AV121" s="175">
        <f>IF(AV5="A","0",AV69)</f>
        <v>5.5037502172773261</v>
      </c>
      <c r="AW121" s="91">
        <f t="shared" si="175"/>
        <v>7.0860461317251877</v>
      </c>
      <c r="AX121" s="174">
        <f>IF(AX5="A","0",AX69)</f>
        <v>12.589796349002514</v>
      </c>
      <c r="AY121" s="175">
        <f>IF(AY5="A","0",AY69)</f>
        <v>8.8736599123284208</v>
      </c>
      <c r="AZ121" s="91">
        <f t="shared" si="176"/>
        <v>10.868905167191009</v>
      </c>
      <c r="BA121" s="174">
        <f>IF(BA5="A","0",BA69)</f>
        <v>19.74256507951943</v>
      </c>
      <c r="BB121" s="175">
        <f>IF(BB5="A","0",BB69)</f>
        <v>13.097553940269098</v>
      </c>
      <c r="BC121" s="91">
        <f t="shared" si="177"/>
        <v>15.53706458596384</v>
      </c>
      <c r="BD121" s="174">
        <f>IF(BD5="A","0",BD69)</f>
        <v>28.634618526232938</v>
      </c>
      <c r="BE121" s="175">
        <f>IF(BE5="A","0",BE69)</f>
        <v>18.238765953832836</v>
      </c>
      <c r="BF121" s="91">
        <f t="shared" si="178"/>
        <v>21.138268619589386</v>
      </c>
      <c r="BG121" s="174">
        <f>IF(BG5="A","0",BG69)</f>
        <v>39.377034573422222</v>
      </c>
      <c r="BH121" s="175"/>
      <c r="BJ121"/>
      <c r="BK121"/>
      <c r="BL121"/>
      <c r="BM121"/>
      <c r="BN121"/>
      <c r="BO121"/>
    </row>
    <row r="122" spans="1:67" s="61" customFormat="1">
      <c r="B122" s="88" t="s">
        <v>40</v>
      </c>
      <c r="C122" s="88"/>
      <c r="D122" s="89" t="s">
        <v>159</v>
      </c>
      <c r="E122" s="90">
        <f>+E49+E58+E65</f>
        <v>0</v>
      </c>
      <c r="F122" s="91">
        <f>+F49+F58+F65</f>
        <v>1.9300000000000001E-3</v>
      </c>
      <c r="G122" s="91">
        <f t="shared" ref="G122:G144" si="180">+H122-F122</f>
        <v>-1.9300000000000001E-3</v>
      </c>
      <c r="H122" s="90">
        <f>+H49+H58+H65</f>
        <v>0</v>
      </c>
      <c r="I122" s="91">
        <f>+I49+I58+I65</f>
        <v>0</v>
      </c>
      <c r="J122" s="91">
        <f t="shared" ref="J122:J144" si="181">+K122-I122</f>
        <v>0</v>
      </c>
      <c r="K122" s="90">
        <f>+K49+K58+K65</f>
        <v>0</v>
      </c>
      <c r="L122" s="91">
        <f>+L49+L58+L65</f>
        <v>0</v>
      </c>
      <c r="M122" s="91">
        <f t="shared" ref="M122:M144" si="182">+N122-L122</f>
        <v>0</v>
      </c>
      <c r="N122" s="90">
        <f>+N49+N58+N65</f>
        <v>0</v>
      </c>
      <c r="O122" s="91">
        <f>+O49+O58+O65</f>
        <v>0</v>
      </c>
      <c r="P122" s="91">
        <f t="shared" ref="P122:P144" si="183">+Q122-O122</f>
        <v>0</v>
      </c>
      <c r="Q122" s="90">
        <f>+Q49+Q58+Q65</f>
        <v>0</v>
      </c>
      <c r="R122" s="91">
        <f>+R49+R58+R65</f>
        <v>2.7210000000000001</v>
      </c>
      <c r="S122" s="91">
        <f t="shared" ref="S122:S144" si="184">+T122-R122</f>
        <v>2.6579999999999995</v>
      </c>
      <c r="T122" s="90">
        <f>+T49+T58+T65</f>
        <v>5.3789999999999996</v>
      </c>
      <c r="U122" s="91">
        <f>+U49+U58+U65</f>
        <v>2.14</v>
      </c>
      <c r="V122" s="91">
        <f t="shared" si="167"/>
        <v>2.3450000000000002</v>
      </c>
      <c r="W122" s="90">
        <f>+W49+W58+W65</f>
        <v>4.4850000000000003</v>
      </c>
      <c r="X122" s="91">
        <f>+X49+X58+X65</f>
        <v>2.4409999999999998</v>
      </c>
      <c r="Y122" s="91">
        <f t="shared" si="168"/>
        <v>2.8540000000000001</v>
      </c>
      <c r="Z122" s="90">
        <f>+Z49+Z58+Z65</f>
        <v>5.2949999999999999</v>
      </c>
      <c r="AA122" s="91">
        <f>+AA49+AA58+AA65</f>
        <v>9.5850000000000009</v>
      </c>
      <c r="AB122" s="91">
        <f>+AB49+AB58+AB65</f>
        <v>10.351048023459978</v>
      </c>
      <c r="AC122" s="90">
        <f>+SUM(AA122:AB122)</f>
        <v>19.936048023459978</v>
      </c>
      <c r="AD122" s="91">
        <f>+AD49+AD58+AD65</f>
        <v>11.079222406766416</v>
      </c>
      <c r="AE122" s="91">
        <f t="shared" si="169"/>
        <v>11.610050801689859</v>
      </c>
      <c r="AF122" s="90">
        <f>+AF49+AF58+AF65</f>
        <v>22.689273208456274</v>
      </c>
      <c r="AG122" s="91">
        <f>+AG49+AG58+AG65</f>
        <v>12.608920340783147</v>
      </c>
      <c r="AH122" s="91">
        <f t="shared" si="170"/>
        <v>13.00344114550899</v>
      </c>
      <c r="AI122" s="90">
        <f>+AI49+AI58+AI65</f>
        <v>25.612361486292137</v>
      </c>
      <c r="AJ122" s="91">
        <f>+AJ49+AJ58+AJ65</f>
        <v>14.256534584802804</v>
      </c>
      <c r="AK122" s="91">
        <f t="shared" si="171"/>
        <v>14.711740264284554</v>
      </c>
      <c r="AL122" s="90">
        <f>+AL49+AL58+AL65</f>
        <v>28.968274849087358</v>
      </c>
      <c r="AM122" s="91">
        <f>+AM49+AM58+AM65</f>
        <v>18.417962559085041</v>
      </c>
      <c r="AN122" s="91">
        <f t="shared" si="172"/>
        <v>19.036073697466058</v>
      </c>
      <c r="AO122" s="90">
        <f>+AO49+AO58+AO65</f>
        <v>37.454036256551099</v>
      </c>
      <c r="AP122" s="91">
        <f>+AP49+AP58+AP65</f>
        <v>21.522386481502888</v>
      </c>
      <c r="AQ122" s="91">
        <f t="shared" si="173"/>
        <v>23.015844761691643</v>
      </c>
      <c r="AR122" s="90">
        <f>+AR49+AR58+AR65</f>
        <v>44.538231243194531</v>
      </c>
      <c r="AS122" s="91">
        <f>+AS49+AS58+AS65</f>
        <v>24.756006515541703</v>
      </c>
      <c r="AT122" s="91">
        <f t="shared" si="174"/>
        <v>26.501362746314168</v>
      </c>
      <c r="AU122" s="90">
        <f>+AU49+AU58+AU65</f>
        <v>51.257369261855871</v>
      </c>
      <c r="AV122" s="91">
        <f>+AV49+AV58+AV65</f>
        <v>28.063629752299637</v>
      </c>
      <c r="AW122" s="91">
        <f t="shared" si="175"/>
        <v>30.061953576637773</v>
      </c>
      <c r="AX122" s="90">
        <f>+AX49+AX58+AX65</f>
        <v>58.12558332893741</v>
      </c>
      <c r="AY122" s="91">
        <f>+AY49+AY58+AY65</f>
        <v>31.264735910921502</v>
      </c>
      <c r="AZ122" s="91">
        <f t="shared" si="176"/>
        <v>33.539503572002772</v>
      </c>
      <c r="BA122" s="90">
        <f>+BA49+BA58+BA65</f>
        <v>64.804239482924274</v>
      </c>
      <c r="BB122" s="91">
        <f>+BB49+BB58+BB65</f>
        <v>34.437783018652752</v>
      </c>
      <c r="BC122" s="91">
        <f t="shared" si="177"/>
        <v>36.959467840098725</v>
      </c>
      <c r="BD122" s="90">
        <f>+BD49+BD58+BD65</f>
        <v>71.397250858751477</v>
      </c>
      <c r="BE122" s="91">
        <f>+BE49+BE58+BE65</f>
        <v>37.369397542063403</v>
      </c>
      <c r="BF122" s="91">
        <f t="shared" si="178"/>
        <v>40.116901449707377</v>
      </c>
      <c r="BG122" s="90">
        <f>+BG49+BG58+BG65</f>
        <v>77.486298991770781</v>
      </c>
      <c r="BH122" s="91"/>
      <c r="BJ122"/>
      <c r="BK122"/>
      <c r="BL122"/>
      <c r="BM122"/>
      <c r="BN122"/>
      <c r="BO122"/>
    </row>
    <row r="123" spans="1:67" s="61" customFormat="1">
      <c r="B123" s="88" t="s">
        <v>46</v>
      </c>
      <c r="C123" s="88"/>
      <c r="D123" s="89" t="s">
        <v>159</v>
      </c>
      <c r="E123" s="174">
        <v>0</v>
      </c>
      <c r="F123" s="179">
        <v>0</v>
      </c>
      <c r="G123" s="91">
        <f t="shared" ref="G123" si="185">H123-F123</f>
        <v>0</v>
      </c>
      <c r="H123" s="176">
        <v>0</v>
      </c>
      <c r="I123" s="179">
        <v>0</v>
      </c>
      <c r="J123" s="91">
        <f t="shared" ref="J123" si="186">K123-I123</f>
        <v>0</v>
      </c>
      <c r="K123" s="174">
        <v>0</v>
      </c>
      <c r="L123" s="179">
        <v>0</v>
      </c>
      <c r="M123" s="91">
        <f t="shared" ref="M123" si="187">N123-L123</f>
        <v>0</v>
      </c>
      <c r="N123" s="176">
        <v>0</v>
      </c>
      <c r="O123" s="179">
        <v>0</v>
      </c>
      <c r="P123" s="91">
        <f t="shared" ref="P123" si="188">Q123-O123</f>
        <v>0</v>
      </c>
      <c r="Q123" s="176">
        <v>0</v>
      </c>
      <c r="R123" s="178">
        <v>0</v>
      </c>
      <c r="S123" s="91">
        <f t="shared" ref="S123" si="189">T123-R123</f>
        <v>-2.278</v>
      </c>
      <c r="T123" s="177">
        <v>-2.278</v>
      </c>
      <c r="U123" s="178">
        <v>-3.827</v>
      </c>
      <c r="V123" s="91">
        <f t="shared" si="167"/>
        <v>-3.032</v>
      </c>
      <c r="W123" s="177">
        <v>-6.859</v>
      </c>
      <c r="X123" s="178">
        <v>-4.508</v>
      </c>
      <c r="Y123" s="91">
        <f t="shared" si="168"/>
        <v>2.4750000000000001</v>
      </c>
      <c r="Z123" s="177">
        <v>-2.0329999999999999</v>
      </c>
      <c r="AA123" s="178">
        <v>-3.3570000000000002</v>
      </c>
      <c r="AB123" s="91">
        <f>+AB77</f>
        <v>-1.6647488904869892</v>
      </c>
      <c r="AC123" s="174">
        <f>+SUM(AA123:AB123)</f>
        <v>-5.0217488904869896</v>
      </c>
      <c r="AD123" s="175">
        <f>(IF(AD5="A","0",-AD77))</f>
        <v>-0.36256562308522761</v>
      </c>
      <c r="AE123" s="91">
        <f t="shared" si="169"/>
        <v>-0.56398259621901237</v>
      </c>
      <c r="AF123" s="174">
        <f>(IF(AF5="A","0",-AF77))</f>
        <v>-0.92654821930424003</v>
      </c>
      <c r="AG123" s="175">
        <f>(IF(AG5="A","0",-AG77))</f>
        <v>-2.5188612156096366</v>
      </c>
      <c r="AH123" s="91">
        <f t="shared" si="170"/>
        <v>-3.0556909886435268</v>
      </c>
      <c r="AI123" s="174">
        <f>(IF(AI5="A","0",-AI77))</f>
        <v>-5.5745522042531634</v>
      </c>
      <c r="AJ123" s="175">
        <f>(IF(AJ5="A","0",-AJ77))</f>
        <v>-7.2936853578721665</v>
      </c>
      <c r="AK123" s="91">
        <f t="shared" si="171"/>
        <v>-8.0839087932181606</v>
      </c>
      <c r="AL123" s="174">
        <f>(IF(AL5="A","0",-AL77))</f>
        <v>-15.377594151090328</v>
      </c>
      <c r="AM123" s="175">
        <f>(IF(AM5="A","0",-AM77))</f>
        <v>-17.21509026236367</v>
      </c>
      <c r="AN123" s="91">
        <f t="shared" si="172"/>
        <v>-18.47938404914294</v>
      </c>
      <c r="AO123" s="174">
        <f>(IF(AO5="A","0",-AO77))</f>
        <v>-35.69447431150661</v>
      </c>
      <c r="AP123" s="175">
        <f>(IF(AP5="A","0",-AP77))</f>
        <v>-31.040403561132745</v>
      </c>
      <c r="AQ123" s="91">
        <f t="shared" si="173"/>
        <v>-34.41144795584286</v>
      </c>
      <c r="AR123" s="174">
        <f>(IF(AR5="A","0",-AR77))</f>
        <v>-65.451851516975609</v>
      </c>
      <c r="AS123" s="175">
        <f>(IF(AS5="A","0",-AS77))</f>
        <v>-41.872998303461735</v>
      </c>
      <c r="AT123" s="91">
        <f t="shared" si="174"/>
        <v>-46.171303723068071</v>
      </c>
      <c r="AU123" s="174">
        <f>(IF(AU5="A","0",-AU77))</f>
        <v>-88.044302026529806</v>
      </c>
      <c r="AV123" s="175">
        <f>(IF(AV5="A","0",-AV77))</f>
        <v>-54.149188334775801</v>
      </c>
      <c r="AW123" s="91">
        <f t="shared" si="175"/>
        <v>-59.466922900113929</v>
      </c>
      <c r="AX123" s="174">
        <f>(IF(AX5="A","0",-AX77))</f>
        <v>-113.61611123488973</v>
      </c>
      <c r="AY123" s="175">
        <f>(IF(AY5="A","0",-AY77))</f>
        <v>-67.027487554331145</v>
      </c>
      <c r="AZ123" s="91">
        <f t="shared" si="176"/>
        <v>-73.56125237071771</v>
      </c>
      <c r="BA123" s="174">
        <f>(IF(BA5="A","0",-BA77))</f>
        <v>-140.58873992504886</v>
      </c>
      <c r="BB123" s="175">
        <f>(IF(BB5="A","0",-BB77))</f>
        <v>-80.921723155517981</v>
      </c>
      <c r="BC123" s="91">
        <f t="shared" si="177"/>
        <v>-88.619354808034615</v>
      </c>
      <c r="BD123" s="174">
        <f>(IF(BD5="A","0",-BD77))</f>
        <v>-169.5410779635526</v>
      </c>
      <c r="BE123" s="175">
        <f>(IF(BE5="A","0",-BE77))</f>
        <v>-95.098567404420194</v>
      </c>
      <c r="BF123" s="91">
        <f t="shared" si="178"/>
        <v>-103.96536959825606</v>
      </c>
      <c r="BG123" s="174">
        <f>(IF(BG5="A","0",-BG77))</f>
        <v>-199.06393700267625</v>
      </c>
      <c r="BH123" s="175"/>
      <c r="BJ123"/>
      <c r="BK123"/>
      <c r="BL123"/>
      <c r="BM123"/>
      <c r="BN123"/>
      <c r="BO123"/>
    </row>
    <row r="124" spans="1:67" s="70" customFormat="1">
      <c r="B124" s="71" t="s">
        <v>257</v>
      </c>
      <c r="C124" s="71"/>
      <c r="D124" s="92" t="s">
        <v>159</v>
      </c>
      <c r="E124" s="93">
        <f t="shared" ref="E124:Y124" si="190">+SUM(E120:E123)</f>
        <v>6.4859590000000003</v>
      </c>
      <c r="F124" s="94">
        <f t="shared" si="190"/>
        <v>-10.441528000000002</v>
      </c>
      <c r="G124" s="94">
        <f t="shared" si="190"/>
        <v>-17.176472000000008</v>
      </c>
      <c r="H124" s="93">
        <f t="shared" si="190"/>
        <v>-27.618000000000002</v>
      </c>
      <c r="I124" s="94">
        <f t="shared" si="190"/>
        <v>-15.119826</v>
      </c>
      <c r="J124" s="94">
        <f t="shared" si="190"/>
        <v>-22.861181999999999</v>
      </c>
      <c r="K124" s="93">
        <f t="shared" si="190"/>
        <v>-37.848999999999997</v>
      </c>
      <c r="L124" s="94">
        <f t="shared" si="190"/>
        <v>-19.874000000000002</v>
      </c>
      <c r="M124" s="94">
        <f t="shared" si="190"/>
        <v>-27.64</v>
      </c>
      <c r="N124" s="93">
        <f t="shared" si="190"/>
        <v>-47.514000000000003</v>
      </c>
      <c r="O124" s="94">
        <f t="shared" si="190"/>
        <v>-28.826000000000001</v>
      </c>
      <c r="P124" s="94">
        <f t="shared" si="190"/>
        <v>-47.202999999999996</v>
      </c>
      <c r="Q124" s="93">
        <f t="shared" si="190"/>
        <v>-76.028999999999982</v>
      </c>
      <c r="R124" s="94">
        <f t="shared" si="190"/>
        <v>-57.439000000000007</v>
      </c>
      <c r="S124" s="94">
        <f t="shared" si="190"/>
        <v>-5.9479999999999951</v>
      </c>
      <c r="T124" s="93">
        <f t="shared" si="190"/>
        <v>-63.387000000000015</v>
      </c>
      <c r="U124" s="94">
        <f t="shared" si="190"/>
        <v>19.732000000000021</v>
      </c>
      <c r="V124" s="94">
        <f t="shared" si="190"/>
        <v>13.449999999999925</v>
      </c>
      <c r="W124" s="93">
        <f t="shared" si="190"/>
        <v>33.181999999999945</v>
      </c>
      <c r="X124" s="94">
        <f t="shared" si="190"/>
        <v>33.01</v>
      </c>
      <c r="Y124" s="94">
        <f t="shared" si="190"/>
        <v>36.413000000000089</v>
      </c>
      <c r="Z124" s="93">
        <f>+SUM(Z120:Z123)</f>
        <v>69.423000000000087</v>
      </c>
      <c r="AA124" s="482">
        <f t="shared" ref="AA124" si="191">+SUM(AA120:AA123)</f>
        <v>15.452000000000062</v>
      </c>
      <c r="AB124" s="482">
        <f t="shared" ref="AB124:BG124" si="192">+SUM(AB120:AB123)</f>
        <v>1.6022613011134557</v>
      </c>
      <c r="AC124" s="483">
        <f t="shared" si="192"/>
        <v>17.054261301113517</v>
      </c>
      <c r="AD124" s="94">
        <f t="shared" si="192"/>
        <v>12.259489222341731</v>
      </c>
      <c r="AE124" s="94">
        <f t="shared" si="192"/>
        <v>13.445994146828514</v>
      </c>
      <c r="AF124" s="93">
        <f t="shared" si="192"/>
        <v>25.705483369170246</v>
      </c>
      <c r="AG124" s="94">
        <f t="shared" si="192"/>
        <v>20.808617489469835</v>
      </c>
      <c r="AH124" s="94">
        <f t="shared" si="192"/>
        <v>22.950690534072088</v>
      </c>
      <c r="AI124" s="93">
        <f t="shared" si="192"/>
        <v>43.759308023541919</v>
      </c>
      <c r="AJ124" s="94">
        <f t="shared" si="192"/>
        <v>37.999808196599432</v>
      </c>
      <c r="AK124" s="94">
        <f t="shared" si="192"/>
        <v>41.027443357101248</v>
      </c>
      <c r="AL124" s="93">
        <f t="shared" si="192"/>
        <v>79.027251553700665</v>
      </c>
      <c r="AM124" s="94">
        <f t="shared" si="192"/>
        <v>74.458575540822096</v>
      </c>
      <c r="AN124" s="94">
        <f t="shared" si="192"/>
        <v>79.192366453186452</v>
      </c>
      <c r="AO124" s="93">
        <f t="shared" si="192"/>
        <v>153.65094199400855</v>
      </c>
      <c r="AP124" s="94">
        <f t="shared" si="192"/>
        <v>122.5688065847648</v>
      </c>
      <c r="AQ124" s="94">
        <f t="shared" si="192"/>
        <v>135.03609023496733</v>
      </c>
      <c r="AR124" s="93">
        <f t="shared" si="192"/>
        <v>257.60489681973218</v>
      </c>
      <c r="AS124" s="94">
        <f t="shared" si="192"/>
        <v>161.06597971617248</v>
      </c>
      <c r="AT124" s="94">
        <f t="shared" si="192"/>
        <v>176.80369188736591</v>
      </c>
      <c r="AU124" s="93">
        <f t="shared" si="192"/>
        <v>337.86967160353839</v>
      </c>
      <c r="AV124" s="94">
        <f t="shared" si="192"/>
        <v>204.33651943784642</v>
      </c>
      <c r="AW124" s="94">
        <f t="shared" si="192"/>
        <v>223.6457664216895</v>
      </c>
      <c r="AX124" s="93">
        <f t="shared" si="192"/>
        <v>427.98228585953592</v>
      </c>
      <c r="AY124" s="94">
        <f t="shared" si="192"/>
        <v>249.46059965161655</v>
      </c>
      <c r="AZ124" s="94">
        <f t="shared" si="192"/>
        <v>273.00485703412664</v>
      </c>
      <c r="BA124" s="93">
        <f t="shared" si="192"/>
        <v>522.46545668574299</v>
      </c>
      <c r="BB124" s="94">
        <f t="shared" si="192"/>
        <v>297.86381797172191</v>
      </c>
      <c r="BC124" s="94">
        <f t="shared" si="192"/>
        <v>325.44375051306213</v>
      </c>
      <c r="BD124" s="93">
        <f t="shared" si="192"/>
        <v>623.30756848478404</v>
      </c>
      <c r="BE124" s="94">
        <f t="shared" si="192"/>
        <v>346.94558505006955</v>
      </c>
      <c r="BF124" s="94">
        <f t="shared" si="192"/>
        <v>378.55735992913623</v>
      </c>
      <c r="BG124" s="93">
        <f t="shared" si="192"/>
        <v>725.50294497920572</v>
      </c>
      <c r="BH124" s="94"/>
      <c r="BJ124"/>
      <c r="BK124"/>
      <c r="BL124"/>
      <c r="BM124"/>
      <c r="BN124"/>
      <c r="BO124"/>
    </row>
    <row r="125" spans="1:67" s="61" customFormat="1">
      <c r="B125" s="88" t="s">
        <v>50</v>
      </c>
      <c r="C125" s="88"/>
      <c r="D125" s="89" t="s">
        <v>159</v>
      </c>
      <c r="E125" s="174"/>
      <c r="F125" s="175">
        <f>(-((F171-E171)+(F172-E172)-(F203-E203)))+E177-F177+E182-F182</f>
        <v>-1.7816910000000004</v>
      </c>
      <c r="G125" s="91">
        <f t="shared" ref="G125" si="193">+H125-F125</f>
        <v>-1.7476079999999992</v>
      </c>
      <c r="H125" s="174">
        <f>(-((H171-E171)+(H172-E172)-(H203-E203)))+E177-H177+E182-H182</f>
        <v>-3.5292989999999995</v>
      </c>
      <c r="I125" s="175">
        <f>(-((I171-H171)+(I172-H172)-(I203-H203)))+H177-I177+H182-I182</f>
        <v>-8.8865029999999994</v>
      </c>
      <c r="J125" s="91">
        <f t="shared" ref="J125" si="194">+K125-I125</f>
        <v>7.2158420000000003</v>
      </c>
      <c r="K125" s="174">
        <f>(-((K171-H171)+(K172-H172)-(K203-H203)))+H177-K177+H182-K182</f>
        <v>-1.6706609999999995</v>
      </c>
      <c r="L125" s="175">
        <f>(-((L171-K171)+(L172-K172)-(L203-K203)))+K177-L177+K182-L182</f>
        <v>-9.6</v>
      </c>
      <c r="M125" s="91">
        <f t="shared" ref="M125" si="195">+N125-L125</f>
        <v>9.6720000000000006</v>
      </c>
      <c r="N125" s="174">
        <f>(-((N171-K171)+(N172-K172)-(N203-K203)))+K177-N177+K182-N182</f>
        <v>7.2000000000000064E-2</v>
      </c>
      <c r="O125" s="175">
        <f>(-((O171-N171)+(O172-N172)-(O203-N203)))+N177-O177+N182-O182</f>
        <v>-4.7549999999999999</v>
      </c>
      <c r="P125" s="91">
        <f t="shared" ref="P125" si="196">+Q125-O125</f>
        <v>3.079999999999997</v>
      </c>
      <c r="Q125" s="174">
        <f>(-((Q171-N171)+(Q172-N172)-(Q203-N203)))+N177-Q177+N182-Q182</f>
        <v>-1.6750000000000029</v>
      </c>
      <c r="R125" s="175">
        <f>(-((R171-Q171)+(R172-Q172)-(R203-Q203)))+Q177-R177+Q182-R182</f>
        <v>-0.26399999999999757</v>
      </c>
      <c r="S125" s="91">
        <f t="shared" ref="S125" si="197">+T125-R125</f>
        <v>-0.65499999999999403</v>
      </c>
      <c r="T125" s="174">
        <f>(-((T171-Q171)+(T172-Q172)-(T203-Q203)))+Q177-T177+Q182-T182</f>
        <v>-0.9189999999999916</v>
      </c>
      <c r="U125" s="175">
        <f>(-((U171-T171)+(U172-T172)-(U203-T203)))+T177-U177+T182-U182</f>
        <v>-21.486000000000011</v>
      </c>
      <c r="V125" s="91">
        <f t="shared" si="167"/>
        <v>8.8090000000000117</v>
      </c>
      <c r="W125" s="174">
        <f>(-((W171-T171)+(W172-T172)-(W203-T203)))+T177-W177+T182-W182+T170-W170</f>
        <v>-12.677</v>
      </c>
      <c r="X125" s="175">
        <f>(-((X171-W171)+(X172-W172)-(X203-W203)))+W177-X177+W182-X182+W170-X170</f>
        <v>15.468800777953504</v>
      </c>
      <c r="Y125" s="91">
        <f t="shared" si="168"/>
        <v>-38.734800777953502</v>
      </c>
      <c r="Z125" s="174">
        <f>(-((Z171-W171)+(Z172-W172)-(Z203-W203)))+W177-Z177+W182-Z182+W170-Z170</f>
        <v>-23.265999999999998</v>
      </c>
      <c r="AA125" s="175">
        <f>(-((AA171-Z171)+(AA172-Z172)-(AA203-Z203)))+Z177-AA177+Z182-AA182+Z170-AA170</f>
        <v>-13.964000000000006</v>
      </c>
      <c r="AB125" s="91">
        <f t="shared" ref="AB125" si="198">+AC125-AA125</f>
        <v>-2.8590322328439584</v>
      </c>
      <c r="AC125" s="174">
        <f>(-((AC171-Z171)+(AC172-Z172)-(AC203-Z203)))+Z177-AC177+Z182-AC182+Z170-AC170</f>
        <v>-16.823032232843964</v>
      </c>
      <c r="AD125" s="175">
        <f>(-((AD171-AC171)+(AD172-AC172)-(AD203-AC203)))+AC177-AD177+AC182-AD182+AC170-AD170</f>
        <v>-2.8677905061019899</v>
      </c>
      <c r="AE125" s="91">
        <f t="shared" ref="AE125:AE126" si="199">+AF125-AD125</f>
        <v>-0.74315975289281511</v>
      </c>
      <c r="AF125" s="174">
        <f>(-((AF171-AC171)+(AF172-AC172)-(AF203-AC203)))+AC177-AF177+AC182-AF182+AC170-AF170</f>
        <v>-3.610950258994805</v>
      </c>
      <c r="AG125" s="175">
        <f>(-((AG171-AF171)+(AG172-AF172)-(AG203-AF203)))+AF177-AG177+AF182-AG182+AF170-AG170</f>
        <v>-3.5399944623540378</v>
      </c>
      <c r="AH125" s="91">
        <f t="shared" ref="AH125:AH126" si="200">+AI125-AG125</f>
        <v>-0.55232912661617917</v>
      </c>
      <c r="AI125" s="174">
        <f>(-((AI171-AF171)+(AI172-AF172)-(AI203-AF203)))+AF177-AI177+AF182-AI182+AF170-AI170</f>
        <v>-4.092323588970217</v>
      </c>
      <c r="AJ125" s="175">
        <f>(-((AJ171-AI171)+(AJ172-AI172)-(AJ203-AI203)))+AI177-AJ177+AI182-AJ182+AI170-AJ170</f>
        <v>-4.0609907566388515</v>
      </c>
      <c r="AK125" s="91">
        <f t="shared" ref="AK125:AK126" si="201">+AL125-AJ125</f>
        <v>-0.63728795127448024</v>
      </c>
      <c r="AL125" s="174">
        <f>(-((AL171-AI171)+(AL172-AI172)-(AL203-AI203)))+AI177-AL177+AI182-AL182+AI170-AL170</f>
        <v>-4.6982787079133317</v>
      </c>
      <c r="AM125" s="175">
        <f>(-((AM171-AL171)+(AM172-AL172)-(AM203-AL203)))+AL177-AM177+AL182-AM182+AL170-AM170</f>
        <v>-11.014710376715783</v>
      </c>
      <c r="AN125" s="91">
        <f t="shared" ref="AN125:AN126" si="202">+AO125-AM125</f>
        <v>-0.8653555937334545</v>
      </c>
      <c r="AO125" s="174">
        <f>(-((AO171-AL171)+(AO172-AL172)-(AO203-AL203)))+AL177-AO177+AL182-AO182+AL170-AO170</f>
        <v>-11.880065970449238</v>
      </c>
      <c r="AP125" s="175">
        <f>(-((AP171-AO171)+(AP172-AO172)-(AP203-AO203)))+AO177-AP177+AO182-AP182+AO170-AP170</f>
        <v>-7.8270313890365628</v>
      </c>
      <c r="AQ125" s="91">
        <f t="shared" ref="AQ125:AQ126" si="203">+AR125-AP125</f>
        <v>-2.0908415922642121</v>
      </c>
      <c r="AR125" s="174">
        <f>(-((AR171-AO171)+(AR172-AO172)-(AR203-AO203)))+AO177-AR177+AO182-AR182+AO170-AR170</f>
        <v>-9.9178729813007749</v>
      </c>
      <c r="AS125" s="175">
        <f>(-((AS171-AR171)+(AS172-AR172)-(AS203-AR203)))+AR177-AS177+AR182-AS182+AR170-AS170</f>
        <v>-6.9632945030444233</v>
      </c>
      <c r="AT125" s="91">
        <f t="shared" ref="AT125:AT126" si="204">+AU125-AS125</f>
        <v>-2.4434987230814613</v>
      </c>
      <c r="AU125" s="174">
        <f>(-((AU171-AR171)+(AU172-AR172)-(AU203-AR203)))+AR177-AU177+AR182-AU182+AR170-AU170</f>
        <v>-9.4067932261258846</v>
      </c>
      <c r="AV125" s="175">
        <f>(-((AV171-AU171)+(AV172-AU172)-(AV203-AU203)))+AU177-AV177+AU182-AV182+AU170-AV170</f>
        <v>-6.8178463398407558</v>
      </c>
      <c r="AW125" s="91">
        <f t="shared" ref="AW125:AW126" si="205">+AX125-AV125</f>
        <v>-2.7976533540734039</v>
      </c>
      <c r="AX125" s="174">
        <f>(-((AX171-AU171)+(AX172-AU172)-(AX203-AU203)))+AU177-AX177+AU182-AX182+AU170-AX170</f>
        <v>-9.6154996939141597</v>
      </c>
      <c r="AY125" s="175">
        <f>(-((AY171-AX171)+(AY172-AX172)-(AY203-AX203)))+AX177-AY177+AX182-AY182+AX170-AY170</f>
        <v>-6.1654438900677917</v>
      </c>
      <c r="AZ125" s="91">
        <f t="shared" ref="AZ125:AZ126" si="206">+BA125-AY125</f>
        <v>-3.1846747255137871</v>
      </c>
      <c r="BA125" s="174">
        <f>(-((BA171-AX171)+(BA172-AX172)-(BA203-AX203)))+AX177-BA177+AX182-BA182+AX170-BA170</f>
        <v>-9.3501186155815788</v>
      </c>
      <c r="BB125" s="175">
        <f>(-((BB171-BA171)+(BB172-BA172)-(BB203-BA203)))+BA177-BB177+BA182-BB182+BA170-BB170</f>
        <v>-5.6998571761337473</v>
      </c>
      <c r="BC125" s="91">
        <f t="shared" ref="BC125:BC126" si="207">+BD125-BB125</f>
        <v>-3.5303587500243907</v>
      </c>
      <c r="BD125" s="174">
        <f>(-((BD171-BA171)+(BD172-BA172)-(BD203-BA203)))+BA177-BD177+BA182-BD182+BA170-BD170</f>
        <v>-9.230215926158138</v>
      </c>
      <c r="BE125" s="175">
        <f>(-((BE171-BD171)+(BE172-BD172)-(BE203-BD203)))+BD177-BE177+BD182-BE182+BD170-BE170</f>
        <v>-4.6781619155254077</v>
      </c>
      <c r="BF125" s="91">
        <f t="shared" ref="BF125:BF126" si="208">+BG125-BE125</f>
        <v>-3.8465054707016293</v>
      </c>
      <c r="BG125" s="174">
        <f>(-((BG171-BD171)+(BG172-BD172)-(BG203-BD203)))+BD177-BG177+BD182-BG182+BD170-BG170</f>
        <v>-8.524667386227037</v>
      </c>
      <c r="BH125" s="175"/>
      <c r="BJ125"/>
      <c r="BK125"/>
      <c r="BL125"/>
      <c r="BM125"/>
      <c r="BN125"/>
      <c r="BO125"/>
    </row>
    <row r="126" spans="1:67" s="61" customFormat="1">
      <c r="B126" s="88" t="s">
        <v>258</v>
      </c>
      <c r="C126" s="88"/>
      <c r="D126" s="89" t="s">
        <v>159</v>
      </c>
      <c r="E126" s="174"/>
      <c r="F126" s="175">
        <f>(((F214-E214)+(F224-E224)))</f>
        <v>0</v>
      </c>
      <c r="G126" s="91">
        <f t="shared" si="180"/>
        <v>0.215722</v>
      </c>
      <c r="H126" s="174">
        <f>(((H214-E214)+(H224-E224)))</f>
        <v>0.215722</v>
      </c>
      <c r="I126" s="175">
        <f>(((I214-H214)+(I224-H224)))</f>
        <v>0.291578</v>
      </c>
      <c r="J126" s="91">
        <f t="shared" si="181"/>
        <v>0.40970000000000006</v>
      </c>
      <c r="K126" s="174">
        <f>(((K214-H214)+(K224-H224)))</f>
        <v>0.70127800000000007</v>
      </c>
      <c r="L126" s="175">
        <f>(((L214-K214)+(L224-K224)))</f>
        <v>5.799999999999994E-2</v>
      </c>
      <c r="M126" s="91">
        <f t="shared" si="182"/>
        <v>31.972000000000001</v>
      </c>
      <c r="N126" s="174">
        <f>(((N214-K214)+(N224-K224)))</f>
        <v>32.03</v>
      </c>
      <c r="O126" s="175">
        <f>(((O214-N214)+(O224-N224)))</f>
        <v>2.2490000000000006</v>
      </c>
      <c r="P126" s="91">
        <f t="shared" si="183"/>
        <v>16.785000000000004</v>
      </c>
      <c r="Q126" s="174">
        <f>(((Q214-N214)+(Q224-N224)))</f>
        <v>19.034000000000006</v>
      </c>
      <c r="R126" s="175">
        <f>(((R214-Q214)+(R224-Q224)))</f>
        <v>2.2340000000000009</v>
      </c>
      <c r="S126" s="91">
        <f t="shared" si="184"/>
        <v>18.617999999999995</v>
      </c>
      <c r="T126" s="174">
        <f>(((T214-Q214)+(T224-Q224)))</f>
        <v>20.851999999999997</v>
      </c>
      <c r="U126" s="175">
        <f>+U128-U124-U125-U127</f>
        <v>16.49199999999999</v>
      </c>
      <c r="V126" s="91">
        <f t="shared" si="167"/>
        <v>-11.806999999999936</v>
      </c>
      <c r="W126" s="174">
        <f>+W128-W124-W125-W127</f>
        <v>4.6850000000000538</v>
      </c>
      <c r="X126" s="175">
        <f>+X128-X124-X125-X127</f>
        <v>-25.146800777953501</v>
      </c>
      <c r="Y126" s="91">
        <f t="shared" si="168"/>
        <v>30.381800777953408</v>
      </c>
      <c r="Z126" s="174">
        <f>+Z128-Z124-Z125-Z127</f>
        <v>5.2349999999999071</v>
      </c>
      <c r="AA126" s="175">
        <f>+AA128-AA124-AA125-AA127</f>
        <v>16.260999999999942</v>
      </c>
      <c r="AB126" s="91">
        <v>0</v>
      </c>
      <c r="AC126" s="174">
        <f>(((AC214-AA214)+(AC224-AA224)))</f>
        <v>0</v>
      </c>
      <c r="AD126" s="175">
        <f>(((AD214-AC214)+(AD224-AC224)))</f>
        <v>0</v>
      </c>
      <c r="AE126" s="91">
        <f t="shared" si="199"/>
        <v>0</v>
      </c>
      <c r="AF126" s="174">
        <f>(((AF214-AC214)+(AF224-AC224)))</f>
        <v>0</v>
      </c>
      <c r="AG126" s="175">
        <f>(((AG214-AF214)+(AG224-AF224)))</f>
        <v>0</v>
      </c>
      <c r="AH126" s="91">
        <f t="shared" si="200"/>
        <v>0</v>
      </c>
      <c r="AI126" s="174">
        <f>(((AI214-AF214)+(AI224-AF224)))</f>
        <v>0</v>
      </c>
      <c r="AJ126" s="175">
        <f>(((AJ214-AI214)+(AJ224-AI224)))</f>
        <v>0</v>
      </c>
      <c r="AK126" s="91">
        <f t="shared" si="201"/>
        <v>0</v>
      </c>
      <c r="AL126" s="174">
        <f>(((AL214-AI214)+(AL224-AI224)))</f>
        <v>0</v>
      </c>
      <c r="AM126" s="175">
        <f>(((AM214-AL214)+(AM224-AL224)))</f>
        <v>0</v>
      </c>
      <c r="AN126" s="91">
        <f t="shared" si="202"/>
        <v>0</v>
      </c>
      <c r="AO126" s="174">
        <f>(((AO214-AL214)+(AO224-AL224)))</f>
        <v>0</v>
      </c>
      <c r="AP126" s="175">
        <f>(((AP214-AO214)+(AP224-AO224)))</f>
        <v>0</v>
      </c>
      <c r="AQ126" s="91">
        <f t="shared" si="203"/>
        <v>0</v>
      </c>
      <c r="AR126" s="174">
        <f>(((AR214-AO214)+(AR224-AO224)))</f>
        <v>0</v>
      </c>
      <c r="AS126" s="175">
        <f>(((AS214-AR214)+(AS224-AR224)))</f>
        <v>0</v>
      </c>
      <c r="AT126" s="91">
        <f t="shared" si="204"/>
        <v>0</v>
      </c>
      <c r="AU126" s="174">
        <f>(((AU214-AR214)+(AU224-AR224)))</f>
        <v>0</v>
      </c>
      <c r="AV126" s="175">
        <f>(((AV214-AU214)+(AV224-AU224)))</f>
        <v>0</v>
      </c>
      <c r="AW126" s="91">
        <f t="shared" si="205"/>
        <v>0</v>
      </c>
      <c r="AX126" s="174">
        <f>(((AX214-AU214)+(AX224-AU224)))</f>
        <v>0</v>
      </c>
      <c r="AY126" s="175">
        <f>(((AY214-AX214)+(AY224-AX224)))</f>
        <v>0</v>
      </c>
      <c r="AZ126" s="91">
        <f t="shared" si="206"/>
        <v>0</v>
      </c>
      <c r="BA126" s="174">
        <f>(((BA214-AX214)+(BA224-AX224)))</f>
        <v>0</v>
      </c>
      <c r="BB126" s="175">
        <f>(((BB214-BA214)+(BB224-BA224)))</f>
        <v>0</v>
      </c>
      <c r="BC126" s="91">
        <f t="shared" si="207"/>
        <v>0</v>
      </c>
      <c r="BD126" s="174">
        <f>(((BD214-BA214)+(BD224-BA224)))</f>
        <v>0</v>
      </c>
      <c r="BE126" s="175">
        <f>(((BE214-BD214)+(BE224-BD224)))</f>
        <v>0</v>
      </c>
      <c r="BF126" s="91">
        <f t="shared" si="208"/>
        <v>0</v>
      </c>
      <c r="BG126" s="174">
        <f>(((BG214-BD214)+(BG224-BD224)))</f>
        <v>0</v>
      </c>
      <c r="BH126" s="175"/>
      <c r="BJ126"/>
      <c r="BK126"/>
      <c r="BL126"/>
      <c r="BM126"/>
      <c r="BN126"/>
      <c r="BO126"/>
    </row>
    <row r="127" spans="1:67" s="61" customFormat="1">
      <c r="B127" s="88" t="s">
        <v>259</v>
      </c>
      <c r="C127" s="88"/>
      <c r="D127" s="89" t="s">
        <v>159</v>
      </c>
      <c r="E127" s="90">
        <f>E128-E124-E125-E126</f>
        <v>-12.517474</v>
      </c>
      <c r="F127" s="91">
        <f>F128-F124-F125-F126</f>
        <v>5.0072360000000016</v>
      </c>
      <c r="G127" s="91">
        <f t="shared" si="180"/>
        <v>5.1752010000000004</v>
      </c>
      <c r="H127" s="90">
        <f>H128-H124-H125-H126</f>
        <v>10.182437000000002</v>
      </c>
      <c r="I127" s="91">
        <f>I128-I124-I125-I126</f>
        <v>8.6005690000000001</v>
      </c>
      <c r="J127" s="91">
        <f t="shared" si="181"/>
        <v>6.8848139999999969</v>
      </c>
      <c r="K127" s="90">
        <f>K128-K124-K125-K126</f>
        <v>15.485382999999997</v>
      </c>
      <c r="L127" s="91">
        <f>L128-L124-L125-L126</f>
        <v>10.944000000000001</v>
      </c>
      <c r="M127" s="91">
        <f t="shared" si="182"/>
        <v>6.427999999999999</v>
      </c>
      <c r="N127" s="90">
        <f>N128-N124-N125-N126</f>
        <v>17.372</v>
      </c>
      <c r="O127" s="91">
        <f>O128-O124-O125-O126</f>
        <v>2.6840000000000002</v>
      </c>
      <c r="P127" s="91">
        <f t="shared" si="183"/>
        <v>-3.3420000000000227</v>
      </c>
      <c r="Q127" s="90">
        <f>Q128-Q124-Q125-Q126</f>
        <v>-0.65800000000002257</v>
      </c>
      <c r="R127" s="91">
        <f>R128-R124-R125-R126</f>
        <v>-4.7499999999999973</v>
      </c>
      <c r="S127" s="91">
        <f t="shared" si="184"/>
        <v>-15.765999999999995</v>
      </c>
      <c r="T127" s="180">
        <f>T128-T124-T125-T126</f>
        <v>-20.515999999999991</v>
      </c>
      <c r="U127" s="91">
        <v>-8</v>
      </c>
      <c r="V127" s="91">
        <f t="shared" si="167"/>
        <v>-2.9169999999999998</v>
      </c>
      <c r="W127" s="180">
        <v>-10.917</v>
      </c>
      <c r="X127" s="181">
        <v>0</v>
      </c>
      <c r="Y127" s="91">
        <f t="shared" si="168"/>
        <v>-23.902000000000001</v>
      </c>
      <c r="Z127" s="180">
        <v>-23.902000000000001</v>
      </c>
      <c r="AA127" s="167">
        <v>0</v>
      </c>
      <c r="AB127" s="91">
        <f>+Segment!AB247</f>
        <v>-51.7</v>
      </c>
      <c r="AC127" s="90">
        <f>+SUM(AA127:AB127)</f>
        <v>-51.7</v>
      </c>
      <c r="AD127" s="91">
        <f>+Segment!AD247</f>
        <v>-22.158444813532832</v>
      </c>
      <c r="AE127" s="91">
        <f>+Segment!AE247</f>
        <v>-13.932060962027832</v>
      </c>
      <c r="AF127" s="90">
        <f t="shared" ref="AF127" si="209">+SUM(AD127:AE127)</f>
        <v>-36.090505775560665</v>
      </c>
      <c r="AG127" s="91">
        <f>+Segment!AG247</f>
        <v>0</v>
      </c>
      <c r="AH127" s="91">
        <f>+Segment!AH247</f>
        <v>0</v>
      </c>
      <c r="AI127" s="90">
        <f t="shared" ref="AI127" si="210">+SUM(AG127:AH127)</f>
        <v>0</v>
      </c>
      <c r="AJ127" s="91">
        <f>+Segment!AJ247</f>
        <v>0</v>
      </c>
      <c r="AK127" s="91">
        <f>+Segment!AK247</f>
        <v>0</v>
      </c>
      <c r="AL127" s="90">
        <f t="shared" ref="AL127" si="211">+SUM(AJ127:AK127)</f>
        <v>0</v>
      </c>
      <c r="AM127" s="91">
        <f>+Segment!AM247</f>
        <v>0</v>
      </c>
      <c r="AN127" s="91">
        <f>+Segment!AN247</f>
        <v>0</v>
      </c>
      <c r="AO127" s="90">
        <f t="shared" ref="AO127" si="212">+SUM(AM127:AN127)</f>
        <v>0</v>
      </c>
      <c r="AP127" s="91">
        <f>+Segment!AP247</f>
        <v>0</v>
      </c>
      <c r="AQ127" s="91">
        <f>+Segment!AQ247</f>
        <v>0</v>
      </c>
      <c r="AR127" s="90">
        <f t="shared" ref="AR127" si="213">+SUM(AP127:AQ127)</f>
        <v>0</v>
      </c>
      <c r="AS127" s="91">
        <f>+Segment!AS247</f>
        <v>0</v>
      </c>
      <c r="AT127" s="91">
        <f>+Segment!AT247</f>
        <v>0</v>
      </c>
      <c r="AU127" s="90">
        <f t="shared" ref="AU127" si="214">+SUM(AS127:AT127)</f>
        <v>0</v>
      </c>
      <c r="AV127" s="91">
        <f>+Segment!AV247</f>
        <v>0</v>
      </c>
      <c r="AW127" s="91">
        <f>+Segment!AW247</f>
        <v>0</v>
      </c>
      <c r="AX127" s="90">
        <f t="shared" ref="AX127" si="215">+SUM(AV127:AW127)</f>
        <v>0</v>
      </c>
      <c r="AY127" s="91">
        <f>+Segment!AY247</f>
        <v>0</v>
      </c>
      <c r="AZ127" s="91">
        <f>+Segment!AZ247</f>
        <v>0</v>
      </c>
      <c r="BA127" s="90">
        <f t="shared" ref="BA127" si="216">+SUM(AY127:AZ127)</f>
        <v>0</v>
      </c>
      <c r="BB127" s="91">
        <f>+Segment!BB247</f>
        <v>0</v>
      </c>
      <c r="BC127" s="91">
        <f>+Segment!BC247</f>
        <v>0</v>
      </c>
      <c r="BD127" s="90">
        <f t="shared" ref="BD127" si="217">+SUM(BB127:BC127)</f>
        <v>0</v>
      </c>
      <c r="BE127" s="91">
        <f>+Segment!BE247</f>
        <v>0</v>
      </c>
      <c r="BF127" s="91">
        <f>+Segment!BF247</f>
        <v>0</v>
      </c>
      <c r="BG127" s="90">
        <f t="shared" ref="BG127" si="218">+SUM(BE127:BF127)</f>
        <v>0</v>
      </c>
      <c r="BH127" s="91"/>
      <c r="BJ127"/>
      <c r="BK127"/>
      <c r="BL127"/>
      <c r="BM127"/>
      <c r="BN127"/>
      <c r="BO127"/>
    </row>
    <row r="128" spans="1:67" s="70" customFormat="1">
      <c r="B128" s="71" t="s">
        <v>56</v>
      </c>
      <c r="C128" s="71"/>
      <c r="D128" s="92" t="s">
        <v>159</v>
      </c>
      <c r="E128" s="182">
        <v>-6.0315149999999997</v>
      </c>
      <c r="F128" s="183">
        <v>-7.2159830000000005</v>
      </c>
      <c r="G128" s="94">
        <f t="shared" ref="G128" si="219">+(G124+G125+G126+G127)</f>
        <v>-13.533157000000006</v>
      </c>
      <c r="H128" s="182">
        <v>-20.749140000000001</v>
      </c>
      <c r="I128" s="183">
        <v>-15.114182</v>
      </c>
      <c r="J128" s="94">
        <f t="shared" ref="J128" si="220">+(J124+J125+J126+J127)</f>
        <v>-8.3508260000000014</v>
      </c>
      <c r="K128" s="182">
        <v>-23.332999999999998</v>
      </c>
      <c r="L128" s="183">
        <v>-18.472000000000001</v>
      </c>
      <c r="M128" s="94">
        <f t="shared" ref="M128" si="221">+(M124+M125+M126+M127)</f>
        <v>20.432000000000002</v>
      </c>
      <c r="N128" s="182">
        <v>1.96</v>
      </c>
      <c r="O128" s="183">
        <v>-28.648</v>
      </c>
      <c r="P128" s="94">
        <f t="shared" ref="P128" si="222">+(P124+P125+P126+P127)</f>
        <v>-30.680000000000017</v>
      </c>
      <c r="Q128" s="182">
        <v>-59.328000000000003</v>
      </c>
      <c r="R128" s="184">
        <v>-60.219000000000001</v>
      </c>
      <c r="S128" s="94">
        <f t="shared" ref="S128" si="223">+(S124+S125+S126+S127)</f>
        <v>-3.7509999999999888</v>
      </c>
      <c r="T128" s="185">
        <v>-63.97</v>
      </c>
      <c r="U128" s="184">
        <v>6.7380000000000004</v>
      </c>
      <c r="V128" s="94">
        <f t="shared" ref="V128:Y128" si="224">+(V124+V125+V126+V127)</f>
        <v>7.5350000000000001</v>
      </c>
      <c r="W128" s="185">
        <v>14.273</v>
      </c>
      <c r="X128" s="184">
        <v>23.332000000000001</v>
      </c>
      <c r="Y128" s="94">
        <f t="shared" si="224"/>
        <v>4.1579999999999941</v>
      </c>
      <c r="Z128" s="185">
        <v>27.49</v>
      </c>
      <c r="AA128" s="184">
        <v>17.748999999999999</v>
      </c>
      <c r="AB128" s="94">
        <f t="shared" ref="AB128:BG128" si="225">+(AB124+AB125+AB126+AB127)</f>
        <v>-52.956770931730503</v>
      </c>
      <c r="AC128" s="187">
        <f t="shared" si="225"/>
        <v>-51.468770931730447</v>
      </c>
      <c r="AD128" s="186">
        <f t="shared" si="225"/>
        <v>-12.76674609729309</v>
      </c>
      <c r="AE128" s="94">
        <f t="shared" si="225"/>
        <v>-1.2292265680921322</v>
      </c>
      <c r="AF128" s="187">
        <f t="shared" si="225"/>
        <v>-13.995972665385224</v>
      </c>
      <c r="AG128" s="186">
        <f t="shared" si="225"/>
        <v>17.268623027115797</v>
      </c>
      <c r="AH128" s="94">
        <f t="shared" si="225"/>
        <v>22.398361407455909</v>
      </c>
      <c r="AI128" s="187">
        <f t="shared" si="225"/>
        <v>39.666984434571702</v>
      </c>
      <c r="AJ128" s="186">
        <f t="shared" si="225"/>
        <v>33.93881743996058</v>
      </c>
      <c r="AK128" s="94">
        <f t="shared" si="225"/>
        <v>40.390155405826768</v>
      </c>
      <c r="AL128" s="187">
        <f t="shared" si="225"/>
        <v>74.328972845787334</v>
      </c>
      <c r="AM128" s="186">
        <f t="shared" si="225"/>
        <v>63.443865164106313</v>
      </c>
      <c r="AN128" s="94">
        <f t="shared" si="225"/>
        <v>78.327010859452997</v>
      </c>
      <c r="AO128" s="187">
        <f t="shared" si="225"/>
        <v>141.77087602355931</v>
      </c>
      <c r="AP128" s="186">
        <f t="shared" si="225"/>
        <v>114.74177519572824</v>
      </c>
      <c r="AQ128" s="94">
        <f t="shared" si="225"/>
        <v>132.94524864270312</v>
      </c>
      <c r="AR128" s="187">
        <f t="shared" si="225"/>
        <v>247.6870238384314</v>
      </c>
      <c r="AS128" s="186">
        <f t="shared" si="225"/>
        <v>154.10268521312804</v>
      </c>
      <c r="AT128" s="94">
        <f t="shared" si="225"/>
        <v>174.36019316428445</v>
      </c>
      <c r="AU128" s="187">
        <f t="shared" si="225"/>
        <v>328.46287837741249</v>
      </c>
      <c r="AV128" s="186">
        <f t="shared" si="225"/>
        <v>197.51867309800565</v>
      </c>
      <c r="AW128" s="94">
        <f t="shared" si="225"/>
        <v>220.84811306761611</v>
      </c>
      <c r="AX128" s="187">
        <f t="shared" si="225"/>
        <v>418.36678616562176</v>
      </c>
      <c r="AY128" s="186">
        <f t="shared" si="225"/>
        <v>243.29515576154876</v>
      </c>
      <c r="AZ128" s="94">
        <f t="shared" si="225"/>
        <v>269.82018230861286</v>
      </c>
      <c r="BA128" s="187">
        <f t="shared" si="225"/>
        <v>513.11533807016144</v>
      </c>
      <c r="BB128" s="186">
        <f t="shared" si="225"/>
        <v>292.1639607955882</v>
      </c>
      <c r="BC128" s="94">
        <f t="shared" si="225"/>
        <v>321.91339176303774</v>
      </c>
      <c r="BD128" s="187">
        <f t="shared" si="225"/>
        <v>614.07735255862588</v>
      </c>
      <c r="BE128" s="186">
        <f t="shared" si="225"/>
        <v>342.26742313454417</v>
      </c>
      <c r="BF128" s="94">
        <f t="shared" si="225"/>
        <v>374.7108544584346</v>
      </c>
      <c r="BG128" s="187">
        <f t="shared" si="225"/>
        <v>716.97827759297866</v>
      </c>
      <c r="BH128" s="186"/>
      <c r="BJ128"/>
      <c r="BK128"/>
      <c r="BL128"/>
      <c r="BM128"/>
      <c r="BN128"/>
      <c r="BO128"/>
    </row>
    <row r="129" spans="2:67" s="70" customFormat="1">
      <c r="B129" s="88" t="s">
        <v>58</v>
      </c>
      <c r="C129" s="71"/>
      <c r="D129" s="89" t="s">
        <v>159</v>
      </c>
      <c r="E129" s="180">
        <v>-6.0000000000000001E-3</v>
      </c>
      <c r="F129" s="181">
        <v>-7.0000000000000007E-2</v>
      </c>
      <c r="G129" s="91">
        <f>+H129-F129</f>
        <v>7.2000000000000008E-2</v>
      </c>
      <c r="H129" s="180">
        <v>2E-3</v>
      </c>
      <c r="I129" s="181">
        <v>-6.0999999999999999E-2</v>
      </c>
      <c r="J129" s="91">
        <f>+K129-I129</f>
        <v>-0.34300000000000003</v>
      </c>
      <c r="K129" s="180">
        <v>-0.40400000000000003</v>
      </c>
      <c r="L129" s="181">
        <v>-0.2</v>
      </c>
      <c r="M129" s="91">
        <f>+N129-L129</f>
        <v>-4.7999999999999987E-2</v>
      </c>
      <c r="N129" s="180">
        <v>-0.248</v>
      </c>
      <c r="O129" s="181">
        <v>-0.32900000000000001</v>
      </c>
      <c r="P129" s="91">
        <f>+Q129-O129</f>
        <v>-1.01</v>
      </c>
      <c r="Q129" s="90">
        <v>-1.339</v>
      </c>
      <c r="R129" s="181">
        <v>-2.3740000000000001</v>
      </c>
      <c r="S129" s="91">
        <f>+T129-R129</f>
        <v>-4.6639999999999997</v>
      </c>
      <c r="T129" s="180">
        <v>-7.0380000000000003</v>
      </c>
      <c r="U129" s="181">
        <v>-2.0699999999999998</v>
      </c>
      <c r="V129" s="91">
        <f>+W129-U129</f>
        <v>-4.2370000000000001</v>
      </c>
      <c r="W129" s="180">
        <v>-6.3070000000000004</v>
      </c>
      <c r="X129" s="181">
        <v>-3.0670000000000002</v>
      </c>
      <c r="Y129" s="91">
        <f>+Z129-X129</f>
        <v>-6.0500000000000007</v>
      </c>
      <c r="Z129" s="180">
        <v>-9.1170000000000009</v>
      </c>
      <c r="AA129" s="181">
        <v>-6.6680000000000001</v>
      </c>
      <c r="AB129" s="91">
        <f>+Segment!AB212</f>
        <v>-13.442023023459978</v>
      </c>
      <c r="AC129" s="90">
        <f>+Segment!AC212</f>
        <v>-20.110023023459977</v>
      </c>
      <c r="AD129" s="91">
        <f>+Segment!AD212</f>
        <v>-13.295066888119697</v>
      </c>
      <c r="AE129" s="91">
        <f>+Segment!AE212</f>
        <v>-13.932060962027835</v>
      </c>
      <c r="AF129" s="90">
        <f>+Segment!AF212</f>
        <v>-27.227127850147532</v>
      </c>
      <c r="AG129" s="91">
        <f>+Segment!AG212</f>
        <v>-7.565352204469888</v>
      </c>
      <c r="AH129" s="91">
        <f>+Segment!AH212</f>
        <v>-7.8020646873053972</v>
      </c>
      <c r="AI129" s="90">
        <f>+Segment!AI212</f>
        <v>-15.367416891775285</v>
      </c>
      <c r="AJ129" s="91">
        <f>+Segment!AJ212</f>
        <v>-8.5539207508816819</v>
      </c>
      <c r="AK129" s="91">
        <f>+Segment!AK212</f>
        <v>-8.8270441585707307</v>
      </c>
      <c r="AL129" s="90">
        <f>+Segment!AL212</f>
        <v>-17.380964909452413</v>
      </c>
      <c r="AM129" s="91">
        <f>+Segment!AM212</f>
        <v>-11.050777535451024</v>
      </c>
      <c r="AN129" s="91">
        <f>+Segment!AN212</f>
        <v>-11.421644218479633</v>
      </c>
      <c r="AO129" s="90">
        <f>+Segment!AO212</f>
        <v>-22.472421753930657</v>
      </c>
      <c r="AP129" s="91">
        <f>+Segment!AP212</f>
        <v>-12.913431888901734</v>
      </c>
      <c r="AQ129" s="91">
        <f>+Segment!AQ212</f>
        <v>-13.809506857014981</v>
      </c>
      <c r="AR129" s="90">
        <f>+Segment!AR212</f>
        <v>-26.722938745916714</v>
      </c>
      <c r="AS129" s="91">
        <f>+Segment!AS212</f>
        <v>-14.85360390932502</v>
      </c>
      <c r="AT129" s="91">
        <f>+Segment!AT212</f>
        <v>-15.900817647788504</v>
      </c>
      <c r="AU129" s="90">
        <f>+Segment!AU212</f>
        <v>-30.754421557113524</v>
      </c>
      <c r="AV129" s="91">
        <f>+Segment!AV212</f>
        <v>-16.838177851379783</v>
      </c>
      <c r="AW129" s="91">
        <f>+Segment!AW212</f>
        <v>-18.037172145982659</v>
      </c>
      <c r="AX129" s="90">
        <f>+Segment!AX212</f>
        <v>-34.875349997362441</v>
      </c>
      <c r="AY129" s="91">
        <f>+Segment!AY212</f>
        <v>-18.758841546552901</v>
      </c>
      <c r="AZ129" s="91">
        <f>+Segment!AZ212</f>
        <v>-20.123702143201662</v>
      </c>
      <c r="BA129" s="90">
        <f>+Segment!BA212</f>
        <v>-38.882543689754563</v>
      </c>
      <c r="BB129" s="91">
        <f>+Segment!BB212</f>
        <v>-20.662669811191652</v>
      </c>
      <c r="BC129" s="91">
        <f>+Segment!BC212</f>
        <v>-22.175680704059236</v>
      </c>
      <c r="BD129" s="90">
        <f>+Segment!BD212</f>
        <v>-42.838350515250887</v>
      </c>
      <c r="BE129" s="91">
        <f>+Segment!BE212</f>
        <v>-22.421638525238041</v>
      </c>
      <c r="BF129" s="91">
        <f>+Segment!BF212</f>
        <v>-24.070140869824431</v>
      </c>
      <c r="BG129" s="90">
        <f>+Segment!BG212</f>
        <v>-46.491779395062473</v>
      </c>
      <c r="BH129" s="91"/>
      <c r="BJ129"/>
      <c r="BK129"/>
      <c r="BL129"/>
      <c r="BM129"/>
      <c r="BN129"/>
      <c r="BO129"/>
    </row>
    <row r="130" spans="2:67" s="70" customFormat="1">
      <c r="B130" s="88" t="s">
        <v>64</v>
      </c>
      <c r="C130" s="71"/>
      <c r="D130" s="89" t="s">
        <v>159</v>
      </c>
      <c r="E130" s="150">
        <v>4.3819999999999996E-3</v>
      </c>
      <c r="F130" s="151">
        <v>0</v>
      </c>
      <c r="G130" s="91">
        <f t="shared" ref="G130:G131" si="226">H130-F130</f>
        <v>-2.6931250000000002</v>
      </c>
      <c r="H130" s="150">
        <v>-2.6931250000000002</v>
      </c>
      <c r="I130" s="151">
        <v>0</v>
      </c>
      <c r="J130" s="91">
        <f t="shared" ref="J130:J131" si="227">K130-I130</f>
        <v>0</v>
      </c>
      <c r="K130" s="150">
        <v>0</v>
      </c>
      <c r="L130" s="151">
        <v>0</v>
      </c>
      <c r="M130" s="91">
        <f t="shared" ref="M130:M131" si="228">N130-L130</f>
        <v>-0.32200000000000001</v>
      </c>
      <c r="N130" s="150">
        <v>-0.32200000000000001</v>
      </c>
      <c r="O130" s="151">
        <v>0</v>
      </c>
      <c r="P130" s="91">
        <f t="shared" ref="P130:P131" si="229">Q130-O130</f>
        <v>0</v>
      </c>
      <c r="Q130" s="150">
        <v>0</v>
      </c>
      <c r="R130" s="181">
        <v>0</v>
      </c>
      <c r="S130" s="91">
        <f t="shared" ref="S130:S131" si="230">T130-R130</f>
        <v>-0.97299999999999998</v>
      </c>
      <c r="T130" s="180">
        <v>-0.97299999999999998</v>
      </c>
      <c r="U130" s="181">
        <v>8.5999999999999993E-2</v>
      </c>
      <c r="V130" s="91">
        <f t="shared" ref="V130:V142" si="231">+W130-U130</f>
        <v>-8.5999999999999993E-2</v>
      </c>
      <c r="W130" s="180">
        <v>0</v>
      </c>
      <c r="X130" s="181">
        <v>-15.54</v>
      </c>
      <c r="Y130" s="91">
        <f t="shared" ref="Y130:Y131" si="232">+Z130-X130</f>
        <v>-5.1219999999999999</v>
      </c>
      <c r="Z130" s="180">
        <v>-20.661999999999999</v>
      </c>
      <c r="AA130" s="181">
        <v>-224.65899999999999</v>
      </c>
      <c r="AB130" s="91">
        <v>0</v>
      </c>
      <c r="AC130" s="90">
        <f>+SUM(AA130:AB130)</f>
        <v>-224.65899999999999</v>
      </c>
      <c r="AD130" s="91"/>
      <c r="AE130" s="91"/>
      <c r="AF130" s="90"/>
      <c r="AG130" s="91"/>
      <c r="AH130" s="91"/>
      <c r="AI130" s="90"/>
      <c r="AJ130" s="91"/>
      <c r="AK130" s="91"/>
      <c r="AL130" s="90"/>
      <c r="AM130" s="91"/>
      <c r="AN130" s="91"/>
      <c r="AO130" s="90"/>
      <c r="AP130" s="91"/>
      <c r="AQ130" s="91"/>
      <c r="AR130" s="90"/>
      <c r="AS130" s="91"/>
      <c r="AT130" s="91"/>
      <c r="AU130" s="90"/>
      <c r="AV130" s="91"/>
      <c r="AW130" s="91"/>
      <c r="AX130" s="90"/>
      <c r="AY130" s="91"/>
      <c r="AZ130" s="91"/>
      <c r="BA130" s="90"/>
      <c r="BB130" s="91"/>
      <c r="BC130" s="91"/>
      <c r="BD130" s="90"/>
      <c r="BE130" s="91"/>
      <c r="BF130" s="91"/>
      <c r="BG130" s="90"/>
      <c r="BH130" s="91"/>
      <c r="BJ130"/>
      <c r="BK130"/>
      <c r="BL130"/>
      <c r="BM130"/>
      <c r="BN130"/>
      <c r="BO130"/>
    </row>
    <row r="131" spans="2:67" s="61" customFormat="1">
      <c r="B131" s="88" t="s">
        <v>61</v>
      </c>
      <c r="C131" s="88"/>
      <c r="D131" s="89" t="s">
        <v>159</v>
      </c>
      <c r="E131" s="150">
        <v>0</v>
      </c>
      <c r="F131" s="151">
        <v>0</v>
      </c>
      <c r="G131" s="91">
        <f t="shared" si="226"/>
        <v>0</v>
      </c>
      <c r="H131" s="150">
        <v>0</v>
      </c>
      <c r="I131" s="151">
        <v>-5.0861000000000003E-2</v>
      </c>
      <c r="J131" s="91">
        <f t="shared" si="227"/>
        <v>-1.4138999999999999E-2</v>
      </c>
      <c r="K131" s="150">
        <v>-6.5000000000000002E-2</v>
      </c>
      <c r="L131" s="151">
        <v>0</v>
      </c>
      <c r="M131" s="91">
        <f t="shared" si="228"/>
        <v>-7.3999999999999996E-2</v>
      </c>
      <c r="N131" s="150">
        <v>-7.3999999999999996E-2</v>
      </c>
      <c r="O131" s="151">
        <v>-3.0000000000000001E-3</v>
      </c>
      <c r="P131" s="91">
        <f t="shared" si="229"/>
        <v>3.0000000000000001E-3</v>
      </c>
      <c r="Q131" s="150">
        <v>0</v>
      </c>
      <c r="R131" s="181">
        <v>-6.8230000000000004</v>
      </c>
      <c r="S131" s="91">
        <f t="shared" si="230"/>
        <v>0</v>
      </c>
      <c r="T131" s="180">
        <v>-6.8230000000000004</v>
      </c>
      <c r="U131" s="181">
        <v>0</v>
      </c>
      <c r="V131" s="91">
        <f t="shared" si="231"/>
        <v>-0.80200000000000005</v>
      </c>
      <c r="W131" s="180">
        <v>-0.80200000000000005</v>
      </c>
      <c r="X131" s="181">
        <v>-7.7030000000000003</v>
      </c>
      <c r="Y131" s="91">
        <f t="shared" si="232"/>
        <v>-5.3639999999999999</v>
      </c>
      <c r="Z131" s="180">
        <v>-13.067</v>
      </c>
      <c r="AA131" s="181">
        <v>-17.109000000000002</v>
      </c>
      <c r="AB131" s="91">
        <f>Segment!AB215</f>
        <v>-8.2808384187679831</v>
      </c>
      <c r="AC131" s="90">
        <f>Segment!AC215</f>
        <v>-16.08801841876798</v>
      </c>
      <c r="AD131" s="91">
        <f>Segment!AD215</f>
        <v>-8.8633779254131326</v>
      </c>
      <c r="AE131" s="91">
        <f>Segment!AE215</f>
        <v>-9.2880406413518877</v>
      </c>
      <c r="AF131" s="90">
        <f>Segment!AF215</f>
        <v>-18.15141856676502</v>
      </c>
      <c r="AG131" s="91">
        <f>Segment!AG215</f>
        <v>-10.087136272626518</v>
      </c>
      <c r="AH131" s="91">
        <f>Segment!AH215</f>
        <v>-10.402752916407197</v>
      </c>
      <c r="AI131" s="90">
        <f>Segment!AI215</f>
        <v>-20.489889189033715</v>
      </c>
      <c r="AJ131" s="91">
        <f>Segment!AJ215</f>
        <v>-11.405227667842244</v>
      </c>
      <c r="AK131" s="91">
        <f>Segment!AK215</f>
        <v>-11.769392211427643</v>
      </c>
      <c r="AL131" s="90">
        <f>Segment!AL215</f>
        <v>-23.174619879269887</v>
      </c>
      <c r="AM131" s="91">
        <f>Segment!AM215</f>
        <v>-14.734370047268033</v>
      </c>
      <c r="AN131" s="91">
        <f>Segment!AN215</f>
        <v>-15.228858957972847</v>
      </c>
      <c r="AO131" s="90">
        <f>Segment!AO215</f>
        <v>-29.96322900524088</v>
      </c>
      <c r="AP131" s="91">
        <f>Segment!AP215</f>
        <v>-17.217909185202313</v>
      </c>
      <c r="AQ131" s="91">
        <f>Segment!AQ215</f>
        <v>-18.412675809353306</v>
      </c>
      <c r="AR131" s="90">
        <f>Segment!AR215</f>
        <v>-35.630584994555619</v>
      </c>
      <c r="AS131" s="91">
        <f>Segment!AS215</f>
        <v>-19.804805212433362</v>
      </c>
      <c r="AT131" s="91">
        <f>Segment!AT215</f>
        <v>-21.201090197051339</v>
      </c>
      <c r="AU131" s="90">
        <f>Segment!AU215</f>
        <v>-41.005895409484701</v>
      </c>
      <c r="AV131" s="91">
        <f>Segment!AV215</f>
        <v>-22.450903801839708</v>
      </c>
      <c r="AW131" s="91">
        <f>Segment!AW215</f>
        <v>-24.049562861310221</v>
      </c>
      <c r="AX131" s="90">
        <f>Segment!AX215</f>
        <v>-46.500466663149929</v>
      </c>
      <c r="AY131" s="91">
        <f>Segment!AY215</f>
        <v>-25.011788728737201</v>
      </c>
      <c r="AZ131" s="91">
        <f>Segment!AZ215</f>
        <v>-26.831602857602221</v>
      </c>
      <c r="BA131" s="90">
        <f>Segment!BA215</f>
        <v>-51.843391586339422</v>
      </c>
      <c r="BB131" s="91">
        <f>Segment!BB215</f>
        <v>-27.550226414922204</v>
      </c>
      <c r="BC131" s="91">
        <f>Segment!BC215</f>
        <v>-29.567574272078982</v>
      </c>
      <c r="BD131" s="90">
        <f>Segment!BD215</f>
        <v>-57.117800687001186</v>
      </c>
      <c r="BE131" s="91">
        <f>Segment!BE215</f>
        <v>-29.895518033650724</v>
      </c>
      <c r="BF131" s="91">
        <f>Segment!BF215</f>
        <v>-32.093521159765906</v>
      </c>
      <c r="BG131" s="90">
        <f>Segment!BG215</f>
        <v>-61.98903919341663</v>
      </c>
      <c r="BH131" s="91"/>
      <c r="BJ131"/>
      <c r="BK131"/>
      <c r="BL131"/>
      <c r="BM131"/>
      <c r="BN131"/>
      <c r="BO131"/>
    </row>
    <row r="132" spans="2:67" s="61" customFormat="1">
      <c r="B132" s="88" t="s">
        <v>260</v>
      </c>
      <c r="C132" s="88"/>
      <c r="D132" s="89"/>
      <c r="E132" s="90"/>
      <c r="F132" s="91"/>
      <c r="G132" s="91"/>
      <c r="H132" s="90"/>
      <c r="I132" s="91"/>
      <c r="J132" s="91"/>
      <c r="K132" s="90"/>
      <c r="L132" s="91"/>
      <c r="M132" s="91"/>
      <c r="N132" s="90"/>
      <c r="O132" s="91"/>
      <c r="P132" s="91"/>
      <c r="Q132" s="90"/>
      <c r="R132" s="181"/>
      <c r="S132" s="91"/>
      <c r="T132" s="90"/>
      <c r="U132" s="91"/>
      <c r="V132" s="91"/>
      <c r="W132" s="90"/>
      <c r="X132" s="91"/>
      <c r="Y132" s="91"/>
      <c r="Z132" s="90"/>
      <c r="AA132" s="91"/>
      <c r="AB132" s="91"/>
      <c r="AC132" s="90"/>
      <c r="AD132" s="91"/>
      <c r="AE132" s="91"/>
      <c r="AF132" s="90"/>
      <c r="AG132" s="91"/>
      <c r="AH132" s="91"/>
      <c r="AI132" s="90"/>
      <c r="AJ132" s="91"/>
      <c r="AK132" s="91"/>
      <c r="AL132" s="90"/>
      <c r="AM132" s="91"/>
      <c r="AN132" s="91"/>
      <c r="AO132" s="90"/>
      <c r="AP132" s="91"/>
      <c r="AQ132" s="91"/>
      <c r="AR132" s="90"/>
      <c r="AS132" s="91"/>
      <c r="AT132" s="91"/>
      <c r="AU132" s="90"/>
      <c r="AV132" s="91"/>
      <c r="AW132" s="91"/>
      <c r="AX132" s="90"/>
      <c r="AY132" s="91"/>
      <c r="AZ132" s="91"/>
      <c r="BA132" s="90"/>
      <c r="BB132" s="91"/>
      <c r="BC132" s="91"/>
      <c r="BD132" s="90"/>
      <c r="BE132" s="91"/>
      <c r="BF132" s="91"/>
      <c r="BG132" s="90"/>
      <c r="BH132" s="91"/>
      <c r="BJ132"/>
      <c r="BK132"/>
      <c r="BL132"/>
      <c r="BM132"/>
      <c r="BN132"/>
      <c r="BO132"/>
    </row>
    <row r="133" spans="2:67" s="61" customFormat="1">
      <c r="B133" s="139" t="s">
        <v>261</v>
      </c>
      <c r="C133" s="88"/>
      <c r="D133" s="89"/>
      <c r="E133" s="90"/>
      <c r="F133" s="91"/>
      <c r="G133" s="91"/>
      <c r="H133" s="90"/>
      <c r="I133" s="91"/>
      <c r="J133" s="91"/>
      <c r="K133" s="90"/>
      <c r="L133" s="91"/>
      <c r="M133" s="91"/>
      <c r="N133" s="90"/>
      <c r="O133" s="91"/>
      <c r="P133" s="91"/>
      <c r="Q133" s="90"/>
      <c r="R133" s="181"/>
      <c r="S133" s="91"/>
      <c r="T133" s="90"/>
      <c r="U133" s="91"/>
      <c r="V133" s="91"/>
      <c r="W133" s="90"/>
      <c r="X133" s="91"/>
      <c r="Y133" s="91"/>
      <c r="Z133" s="90"/>
      <c r="AA133" s="91"/>
      <c r="AB133" s="91"/>
      <c r="AC133" s="90"/>
      <c r="AD133" s="91"/>
      <c r="AE133" s="91"/>
      <c r="AF133" s="90"/>
      <c r="AG133" s="91"/>
      <c r="AH133" s="91"/>
      <c r="AI133" s="90"/>
      <c r="AJ133" s="91"/>
      <c r="AK133" s="91"/>
      <c r="AL133" s="90"/>
      <c r="AM133" s="91"/>
      <c r="AN133" s="91"/>
      <c r="AO133" s="90"/>
      <c r="AP133" s="91"/>
      <c r="AQ133" s="91"/>
      <c r="AR133" s="90"/>
      <c r="AS133" s="91"/>
      <c r="AT133" s="91"/>
      <c r="AU133" s="90"/>
      <c r="AV133" s="91"/>
      <c r="AW133" s="91"/>
      <c r="AX133" s="90"/>
      <c r="AY133" s="91"/>
      <c r="AZ133" s="91"/>
      <c r="BA133" s="90"/>
      <c r="BB133" s="91"/>
      <c r="BC133" s="91"/>
      <c r="BD133" s="90"/>
      <c r="BE133" s="91"/>
      <c r="BF133" s="91"/>
      <c r="BG133" s="90"/>
      <c r="BH133" s="91"/>
      <c r="BJ133"/>
      <c r="BK133"/>
      <c r="BL133"/>
      <c r="BM133"/>
      <c r="BN133"/>
      <c r="BO133"/>
    </row>
    <row r="134" spans="2:67" s="61" customFormat="1" outlineLevel="1">
      <c r="B134" s="139" t="s">
        <v>262</v>
      </c>
      <c r="C134" s="88"/>
      <c r="D134" s="89" t="s">
        <v>159</v>
      </c>
      <c r="E134" s="174"/>
      <c r="F134" s="175"/>
      <c r="G134" s="175"/>
      <c r="H134" s="174"/>
      <c r="I134" s="175"/>
      <c r="J134" s="175"/>
      <c r="K134" s="174"/>
      <c r="L134" s="175"/>
      <c r="M134" s="175"/>
      <c r="N134" s="174"/>
      <c r="O134" s="175"/>
      <c r="P134" s="175"/>
      <c r="Q134" s="174"/>
      <c r="R134" s="178"/>
      <c r="S134" s="175"/>
      <c r="T134" s="174"/>
      <c r="U134" s="175"/>
      <c r="V134" s="91"/>
      <c r="W134" s="174"/>
      <c r="X134" s="91"/>
      <c r="Y134" s="91"/>
      <c r="Z134" s="174"/>
      <c r="AA134" s="91"/>
      <c r="AB134" s="91"/>
      <c r="AC134" s="174"/>
      <c r="AD134" s="91"/>
      <c r="AE134" s="91"/>
      <c r="AF134" s="174"/>
      <c r="AG134" s="91"/>
      <c r="AH134" s="91"/>
      <c r="AI134" s="174"/>
      <c r="AJ134" s="91"/>
      <c r="AK134" s="91"/>
      <c r="AL134" s="174"/>
      <c r="AM134" s="91"/>
      <c r="AN134" s="91"/>
      <c r="AO134" s="174"/>
      <c r="AP134" s="91"/>
      <c r="AQ134" s="91"/>
      <c r="AR134" s="174"/>
      <c r="AS134" s="91"/>
      <c r="AT134" s="91"/>
      <c r="AU134" s="174"/>
      <c r="AV134" s="91"/>
      <c r="AW134" s="91"/>
      <c r="AX134" s="174"/>
      <c r="AY134" s="91"/>
      <c r="AZ134" s="91"/>
      <c r="BA134" s="174"/>
      <c r="BB134" s="91"/>
      <c r="BC134" s="91"/>
      <c r="BD134" s="174"/>
      <c r="BE134" s="91"/>
      <c r="BF134" s="91"/>
      <c r="BG134" s="174"/>
      <c r="BH134" s="175"/>
      <c r="BJ134"/>
      <c r="BK134"/>
      <c r="BL134"/>
      <c r="BM134"/>
      <c r="BN134"/>
      <c r="BO134"/>
    </row>
    <row r="135" spans="2:67" s="61" customFormat="1" outlineLevel="1">
      <c r="B135" s="139" t="s">
        <v>263</v>
      </c>
      <c r="C135" s="88"/>
      <c r="D135" s="89" t="s">
        <v>159</v>
      </c>
      <c r="E135" s="174"/>
      <c r="F135" s="175"/>
      <c r="G135" s="175"/>
      <c r="H135" s="174"/>
      <c r="I135" s="175"/>
      <c r="J135" s="175"/>
      <c r="K135" s="174"/>
      <c r="L135" s="175"/>
      <c r="M135" s="175"/>
      <c r="N135" s="174"/>
      <c r="O135" s="175"/>
      <c r="P135" s="175"/>
      <c r="Q135" s="174"/>
      <c r="R135" s="178"/>
      <c r="S135" s="175"/>
      <c r="T135" s="174"/>
      <c r="U135" s="175"/>
      <c r="V135" s="91"/>
      <c r="W135" s="174"/>
      <c r="X135" s="91"/>
      <c r="Y135" s="91"/>
      <c r="Z135" s="174"/>
      <c r="AA135" s="91"/>
      <c r="AB135" s="91"/>
      <c r="AC135" s="174"/>
      <c r="AD135" s="91"/>
      <c r="AE135" s="91"/>
      <c r="AF135" s="174"/>
      <c r="AG135" s="91"/>
      <c r="AH135" s="91"/>
      <c r="AI135" s="174"/>
      <c r="AJ135" s="91"/>
      <c r="AK135" s="91"/>
      <c r="AL135" s="174"/>
      <c r="AM135" s="91"/>
      <c r="AN135" s="91"/>
      <c r="AO135" s="174"/>
      <c r="AP135" s="91"/>
      <c r="AQ135" s="91"/>
      <c r="AR135" s="174"/>
      <c r="AS135" s="91"/>
      <c r="AT135" s="91"/>
      <c r="AU135" s="174"/>
      <c r="AV135" s="91"/>
      <c r="AW135" s="91"/>
      <c r="AX135" s="174"/>
      <c r="AY135" s="91"/>
      <c r="AZ135" s="91"/>
      <c r="BA135" s="174"/>
      <c r="BB135" s="91"/>
      <c r="BC135" s="91"/>
      <c r="BD135" s="174"/>
      <c r="BE135" s="91"/>
      <c r="BF135" s="91"/>
      <c r="BG135" s="174"/>
      <c r="BH135" s="175"/>
      <c r="BJ135"/>
      <c r="BK135"/>
      <c r="BL135"/>
      <c r="BM135"/>
      <c r="BN135"/>
      <c r="BO135"/>
    </row>
    <row r="136" spans="2:67" s="61" customFormat="1" outlineLevel="1">
      <c r="B136" s="139" t="s">
        <v>264</v>
      </c>
      <c r="C136" s="88"/>
      <c r="D136" s="89" t="s">
        <v>159</v>
      </c>
      <c r="E136" s="174"/>
      <c r="F136" s="175"/>
      <c r="G136" s="175"/>
      <c r="H136" s="174"/>
      <c r="I136" s="175"/>
      <c r="J136" s="175"/>
      <c r="K136" s="174"/>
      <c r="L136" s="175"/>
      <c r="M136" s="175"/>
      <c r="N136" s="174"/>
      <c r="O136" s="175"/>
      <c r="P136" s="175"/>
      <c r="Q136" s="174"/>
      <c r="R136" s="178"/>
      <c r="S136" s="175"/>
      <c r="T136" s="174"/>
      <c r="U136" s="175"/>
      <c r="V136" s="91"/>
      <c r="W136" s="174"/>
      <c r="X136" s="91"/>
      <c r="Y136" s="91"/>
      <c r="Z136" s="174"/>
      <c r="AA136" s="91"/>
      <c r="AB136" s="91"/>
      <c r="AC136" s="174"/>
      <c r="AD136" s="91"/>
      <c r="AE136" s="91"/>
      <c r="AF136" s="174"/>
      <c r="AG136" s="91"/>
      <c r="AH136" s="91"/>
      <c r="AI136" s="174"/>
      <c r="AJ136" s="91"/>
      <c r="AK136" s="91"/>
      <c r="AL136" s="174"/>
      <c r="AM136" s="91"/>
      <c r="AN136" s="91"/>
      <c r="AO136" s="174"/>
      <c r="AP136" s="91"/>
      <c r="AQ136" s="91"/>
      <c r="AR136" s="174"/>
      <c r="AS136" s="91"/>
      <c r="AT136" s="91"/>
      <c r="AU136" s="174"/>
      <c r="AV136" s="91"/>
      <c r="AW136" s="91"/>
      <c r="AX136" s="174"/>
      <c r="AY136" s="91"/>
      <c r="AZ136" s="91"/>
      <c r="BA136" s="174"/>
      <c r="BB136" s="91"/>
      <c r="BC136" s="91"/>
      <c r="BD136" s="174"/>
      <c r="BE136" s="91"/>
      <c r="BF136" s="91"/>
      <c r="BG136" s="174"/>
      <c r="BH136" s="175"/>
      <c r="BJ136"/>
      <c r="BK136"/>
      <c r="BL136"/>
      <c r="BM136"/>
      <c r="BN136"/>
      <c r="BO136"/>
    </row>
    <row r="137" spans="2:67" s="61" customFormat="1" outlineLevel="1">
      <c r="B137" s="139" t="s">
        <v>229</v>
      </c>
      <c r="C137" s="88"/>
      <c r="D137" s="89"/>
      <c r="E137" s="174">
        <f>E131-SUM(E132:E136)</f>
        <v>0</v>
      </c>
      <c r="F137" s="175">
        <f t="shared" ref="F137:Q137" si="233">F131-SUM(F132:F136)</f>
        <v>0</v>
      </c>
      <c r="G137" s="175">
        <f t="shared" si="233"/>
        <v>0</v>
      </c>
      <c r="H137" s="174">
        <f t="shared" si="233"/>
        <v>0</v>
      </c>
      <c r="I137" s="175">
        <f t="shared" si="233"/>
        <v>-5.0861000000000003E-2</v>
      </c>
      <c r="J137" s="175">
        <f t="shared" si="233"/>
        <v>-1.4138999999999999E-2</v>
      </c>
      <c r="K137" s="174">
        <f t="shared" si="233"/>
        <v>-6.5000000000000002E-2</v>
      </c>
      <c r="L137" s="175">
        <f t="shared" si="233"/>
        <v>0</v>
      </c>
      <c r="M137" s="175">
        <f t="shared" si="233"/>
        <v>-7.3999999999999996E-2</v>
      </c>
      <c r="N137" s="174">
        <f t="shared" si="233"/>
        <v>-7.3999999999999996E-2</v>
      </c>
      <c r="O137" s="175">
        <f t="shared" si="233"/>
        <v>-3.0000000000000001E-3</v>
      </c>
      <c r="P137" s="175">
        <f t="shared" si="233"/>
        <v>3.0000000000000001E-3</v>
      </c>
      <c r="Q137" s="174">
        <f t="shared" si="233"/>
        <v>0</v>
      </c>
      <c r="R137" s="178"/>
      <c r="S137" s="175"/>
      <c r="T137" s="174"/>
      <c r="U137" s="175"/>
      <c r="V137" s="91"/>
      <c r="W137" s="174"/>
      <c r="X137" s="91"/>
      <c r="Y137" s="91"/>
      <c r="Z137" s="174"/>
      <c r="AA137" s="91"/>
      <c r="AB137" s="91"/>
      <c r="AC137" s="174"/>
      <c r="AD137" s="91"/>
      <c r="AE137" s="91"/>
      <c r="AF137" s="174"/>
      <c r="AG137" s="91"/>
      <c r="AH137" s="91"/>
      <c r="AI137" s="174"/>
      <c r="AJ137" s="91"/>
      <c r="AK137" s="91"/>
      <c r="AL137" s="174"/>
      <c r="AM137" s="91"/>
      <c r="AN137" s="91"/>
      <c r="AO137" s="174"/>
      <c r="AP137" s="91"/>
      <c r="AQ137" s="91"/>
      <c r="AR137" s="174"/>
      <c r="AS137" s="91"/>
      <c r="AT137" s="91"/>
      <c r="AU137" s="174"/>
      <c r="AV137" s="91"/>
      <c r="AW137" s="91"/>
      <c r="AX137" s="174"/>
      <c r="AY137" s="91"/>
      <c r="AZ137" s="91"/>
      <c r="BA137" s="174"/>
      <c r="BB137" s="91"/>
      <c r="BC137" s="91"/>
      <c r="BD137" s="174"/>
      <c r="BE137" s="91"/>
      <c r="BF137" s="91"/>
      <c r="BG137" s="174"/>
      <c r="BH137" s="175"/>
      <c r="BJ137"/>
      <c r="BK137"/>
      <c r="BL137"/>
      <c r="BM137"/>
      <c r="BN137"/>
      <c r="BO137"/>
    </row>
    <row r="138" spans="2:67" s="61" customFormat="1">
      <c r="B138" s="88" t="s">
        <v>265</v>
      </c>
      <c r="C138" s="88"/>
      <c r="D138" s="89" t="s">
        <v>159</v>
      </c>
      <c r="E138" s="176">
        <v>0</v>
      </c>
      <c r="F138" s="179">
        <v>-5.3800000000000002E-3</v>
      </c>
      <c r="G138" s="91">
        <f t="shared" ref="G138:G140" si="234">H138-F138</f>
        <v>5.3800000000000002E-3</v>
      </c>
      <c r="H138" s="176">
        <v>0</v>
      </c>
      <c r="I138" s="179">
        <v>0</v>
      </c>
      <c r="J138" s="91">
        <f t="shared" ref="J138:J140" si="235">K138-I138</f>
        <v>0</v>
      </c>
      <c r="K138" s="176">
        <v>0</v>
      </c>
      <c r="L138" s="179">
        <v>0</v>
      </c>
      <c r="M138" s="91">
        <f t="shared" ref="M138:M140" si="236">N138-L138</f>
        <v>0</v>
      </c>
      <c r="N138" s="176">
        <v>0</v>
      </c>
      <c r="O138" s="179">
        <v>0</v>
      </c>
      <c r="P138" s="91">
        <f t="shared" ref="P138:P140" si="237">Q138-O138</f>
        <v>0</v>
      </c>
      <c r="Q138" s="176">
        <v>0</v>
      </c>
      <c r="R138" s="178">
        <v>0</v>
      </c>
      <c r="S138" s="91">
        <f t="shared" ref="S138:S140" si="238">T138-R138</f>
        <v>0</v>
      </c>
      <c r="T138" s="174">
        <v>0</v>
      </c>
      <c r="U138" s="178">
        <v>0</v>
      </c>
      <c r="V138" s="91">
        <f>+U138</f>
        <v>0</v>
      </c>
      <c r="W138" s="174">
        <f t="shared" ref="W138:BG138" si="239">+V138</f>
        <v>0</v>
      </c>
      <c r="X138" s="91">
        <f t="shared" si="239"/>
        <v>0</v>
      </c>
      <c r="Y138" s="91">
        <f t="shared" si="239"/>
        <v>0</v>
      </c>
      <c r="Z138" s="174">
        <f t="shared" si="239"/>
        <v>0</v>
      </c>
      <c r="AA138" s="91">
        <f t="shared" si="239"/>
        <v>0</v>
      </c>
      <c r="AB138" s="91">
        <f t="shared" si="239"/>
        <v>0</v>
      </c>
      <c r="AC138" s="174">
        <f t="shared" si="239"/>
        <v>0</v>
      </c>
      <c r="AD138" s="91">
        <f t="shared" si="239"/>
        <v>0</v>
      </c>
      <c r="AE138" s="91">
        <f t="shared" si="239"/>
        <v>0</v>
      </c>
      <c r="AF138" s="174">
        <f t="shared" si="239"/>
        <v>0</v>
      </c>
      <c r="AG138" s="91">
        <f t="shared" si="239"/>
        <v>0</v>
      </c>
      <c r="AH138" s="91">
        <f t="shared" si="239"/>
        <v>0</v>
      </c>
      <c r="AI138" s="174">
        <f t="shared" si="239"/>
        <v>0</v>
      </c>
      <c r="AJ138" s="91">
        <f t="shared" si="239"/>
        <v>0</v>
      </c>
      <c r="AK138" s="91">
        <f t="shared" si="239"/>
        <v>0</v>
      </c>
      <c r="AL138" s="174">
        <f t="shared" si="239"/>
        <v>0</v>
      </c>
      <c r="AM138" s="91">
        <f t="shared" si="239"/>
        <v>0</v>
      </c>
      <c r="AN138" s="91">
        <f t="shared" si="239"/>
        <v>0</v>
      </c>
      <c r="AO138" s="174">
        <f t="shared" si="239"/>
        <v>0</v>
      </c>
      <c r="AP138" s="91">
        <f t="shared" si="239"/>
        <v>0</v>
      </c>
      <c r="AQ138" s="91">
        <f t="shared" si="239"/>
        <v>0</v>
      </c>
      <c r="AR138" s="174">
        <f t="shared" si="239"/>
        <v>0</v>
      </c>
      <c r="AS138" s="91">
        <f t="shared" si="239"/>
        <v>0</v>
      </c>
      <c r="AT138" s="91">
        <f t="shared" si="239"/>
        <v>0</v>
      </c>
      <c r="AU138" s="174">
        <f t="shared" si="239"/>
        <v>0</v>
      </c>
      <c r="AV138" s="91">
        <f t="shared" si="239"/>
        <v>0</v>
      </c>
      <c r="AW138" s="91">
        <f t="shared" si="239"/>
        <v>0</v>
      </c>
      <c r="AX138" s="174">
        <f t="shared" si="239"/>
        <v>0</v>
      </c>
      <c r="AY138" s="91">
        <f t="shared" si="239"/>
        <v>0</v>
      </c>
      <c r="AZ138" s="91">
        <f t="shared" si="239"/>
        <v>0</v>
      </c>
      <c r="BA138" s="174">
        <f t="shared" si="239"/>
        <v>0</v>
      </c>
      <c r="BB138" s="91">
        <f t="shared" si="239"/>
        <v>0</v>
      </c>
      <c r="BC138" s="91">
        <f t="shared" si="239"/>
        <v>0</v>
      </c>
      <c r="BD138" s="174">
        <f t="shared" si="239"/>
        <v>0</v>
      </c>
      <c r="BE138" s="91">
        <f t="shared" si="239"/>
        <v>0</v>
      </c>
      <c r="BF138" s="91">
        <f t="shared" si="239"/>
        <v>0</v>
      </c>
      <c r="BG138" s="174">
        <f t="shared" si="239"/>
        <v>0</v>
      </c>
      <c r="BH138" s="175"/>
      <c r="BJ138"/>
      <c r="BK138"/>
      <c r="BL138"/>
      <c r="BM138"/>
      <c r="BN138"/>
      <c r="BO138"/>
    </row>
    <row r="139" spans="2:67" s="61" customFormat="1">
      <c r="B139" s="88" t="s">
        <v>266</v>
      </c>
      <c r="C139" s="88"/>
      <c r="D139" s="89"/>
      <c r="E139" s="176">
        <v>0</v>
      </c>
      <c r="F139" s="151">
        <v>0</v>
      </c>
      <c r="G139" s="91">
        <f t="shared" si="234"/>
        <v>0</v>
      </c>
      <c r="H139" s="176">
        <v>0</v>
      </c>
      <c r="I139" s="151">
        <v>0</v>
      </c>
      <c r="J139" s="91">
        <f t="shared" si="235"/>
        <v>0</v>
      </c>
      <c r="K139" s="176">
        <v>0</v>
      </c>
      <c r="L139" s="151">
        <v>-0.44400000000000001</v>
      </c>
      <c r="M139" s="91">
        <f t="shared" si="236"/>
        <v>-3.0000000000000027E-3</v>
      </c>
      <c r="N139" s="176">
        <v>-0.44700000000000001</v>
      </c>
      <c r="O139" s="179">
        <v>-0.44600000000000001</v>
      </c>
      <c r="P139" s="91">
        <f t="shared" si="237"/>
        <v>-0.94100000000000006</v>
      </c>
      <c r="Q139" s="176">
        <v>-1.387</v>
      </c>
      <c r="R139" s="178">
        <v>-2.1379999999999999</v>
      </c>
      <c r="S139" s="91">
        <f t="shared" si="238"/>
        <v>-2.4999999999999911E-2</v>
      </c>
      <c r="T139" s="174">
        <v>-2.1629999999999998</v>
      </c>
      <c r="U139" s="181">
        <v>0</v>
      </c>
      <c r="V139" s="91">
        <f t="shared" si="231"/>
        <v>0</v>
      </c>
      <c r="W139" s="174"/>
      <c r="X139" s="91"/>
      <c r="Y139" s="91"/>
      <c r="Z139" s="174"/>
      <c r="AA139" s="91"/>
      <c r="AB139" s="91"/>
      <c r="AC139" s="174"/>
      <c r="AD139" s="91"/>
      <c r="AE139" s="91"/>
      <c r="AF139" s="174"/>
      <c r="AG139" s="91"/>
      <c r="AH139" s="91"/>
      <c r="AI139" s="174"/>
      <c r="AJ139" s="91"/>
      <c r="AK139" s="91"/>
      <c r="AL139" s="174"/>
      <c r="AM139" s="91"/>
      <c r="AN139" s="91"/>
      <c r="AO139" s="174"/>
      <c r="AP139" s="91"/>
      <c r="AQ139" s="91"/>
      <c r="AR139" s="174"/>
      <c r="AS139" s="91"/>
      <c r="AT139" s="91"/>
      <c r="AU139" s="174"/>
      <c r="AV139" s="91"/>
      <c r="AW139" s="91"/>
      <c r="AX139" s="174"/>
      <c r="AY139" s="91"/>
      <c r="AZ139" s="91"/>
      <c r="BA139" s="174"/>
      <c r="BB139" s="91"/>
      <c r="BC139" s="91"/>
      <c r="BD139" s="174"/>
      <c r="BE139" s="91"/>
      <c r="BF139" s="91"/>
      <c r="BG139" s="174"/>
      <c r="BH139" s="175"/>
      <c r="BJ139"/>
      <c r="BK139"/>
      <c r="BL139"/>
      <c r="BM139"/>
      <c r="BN139"/>
      <c r="BO139"/>
    </row>
    <row r="140" spans="2:67" s="61" customFormat="1">
      <c r="B140" s="88" t="s">
        <v>267</v>
      </c>
      <c r="C140" s="88"/>
      <c r="D140" s="89"/>
      <c r="E140" s="176">
        <v>0</v>
      </c>
      <c r="F140" s="151">
        <v>-15.666399999999999</v>
      </c>
      <c r="G140" s="91">
        <f t="shared" si="234"/>
        <v>15.666399999999999</v>
      </c>
      <c r="H140" s="176">
        <v>0</v>
      </c>
      <c r="I140" s="179">
        <v>0</v>
      </c>
      <c r="J140" s="91">
        <f t="shared" si="235"/>
        <v>0</v>
      </c>
      <c r="K140" s="176">
        <v>0</v>
      </c>
      <c r="L140" s="179">
        <v>0</v>
      </c>
      <c r="M140" s="91">
        <f t="shared" si="236"/>
        <v>0</v>
      </c>
      <c r="N140" s="176">
        <v>0</v>
      </c>
      <c r="O140" s="179">
        <v>0</v>
      </c>
      <c r="P140" s="91">
        <f t="shared" si="237"/>
        <v>0</v>
      </c>
      <c r="Q140" s="176">
        <v>0</v>
      </c>
      <c r="R140" s="178">
        <v>0</v>
      </c>
      <c r="S140" s="91">
        <f t="shared" si="238"/>
        <v>0</v>
      </c>
      <c r="T140" s="180">
        <v>0</v>
      </c>
      <c r="U140" s="181">
        <v>0</v>
      </c>
      <c r="V140" s="91">
        <f t="shared" si="231"/>
        <v>-8.6980000000000004</v>
      </c>
      <c r="W140" s="180">
        <v>-8.6980000000000004</v>
      </c>
      <c r="X140" s="181">
        <v>-1.302</v>
      </c>
      <c r="Y140" s="91">
        <f>+Z140-X140</f>
        <v>-31.610999999999997</v>
      </c>
      <c r="Z140" s="180">
        <v>-32.912999999999997</v>
      </c>
      <c r="AA140" s="181">
        <v>-0.82599999999999996</v>
      </c>
      <c r="AB140" s="91">
        <v>0</v>
      </c>
      <c r="AC140" s="174">
        <f>+SUM(AA140:AB140)</f>
        <v>-0.82599999999999996</v>
      </c>
      <c r="AD140" s="91"/>
      <c r="AE140" s="91"/>
      <c r="AF140" s="174"/>
      <c r="AG140" s="91"/>
      <c r="AH140" s="91"/>
      <c r="AI140" s="174"/>
      <c r="AJ140" s="91"/>
      <c r="AK140" s="91"/>
      <c r="AL140" s="174"/>
      <c r="AM140" s="91"/>
      <c r="AN140" s="91"/>
      <c r="AO140" s="174"/>
      <c r="AP140" s="91"/>
      <c r="AQ140" s="91"/>
      <c r="AR140" s="174"/>
      <c r="AS140" s="91"/>
      <c r="AT140" s="91"/>
      <c r="AU140" s="174"/>
      <c r="AV140" s="91"/>
      <c r="AW140" s="91"/>
      <c r="AX140" s="174"/>
      <c r="AY140" s="91"/>
      <c r="AZ140" s="91"/>
      <c r="BA140" s="174"/>
      <c r="BB140" s="91"/>
      <c r="BC140" s="91"/>
      <c r="BD140" s="174"/>
      <c r="BE140" s="91"/>
      <c r="BF140" s="91"/>
      <c r="BG140" s="174"/>
      <c r="BH140" s="175"/>
      <c r="BJ140"/>
      <c r="BK140"/>
      <c r="BL140"/>
      <c r="BM140"/>
      <c r="BN140"/>
      <c r="BO140"/>
    </row>
    <row r="141" spans="2:67" s="61" customFormat="1">
      <c r="B141" s="88" t="s">
        <v>268</v>
      </c>
      <c r="C141" s="88"/>
      <c r="D141" s="89"/>
      <c r="E141" s="176">
        <v>0</v>
      </c>
      <c r="F141" s="179">
        <v>0</v>
      </c>
      <c r="G141" s="179">
        <v>0</v>
      </c>
      <c r="H141" s="176">
        <v>0</v>
      </c>
      <c r="I141" s="179">
        <v>0</v>
      </c>
      <c r="J141" s="179">
        <v>0</v>
      </c>
      <c r="K141" s="176">
        <v>0</v>
      </c>
      <c r="L141" s="179">
        <v>0</v>
      </c>
      <c r="M141" s="179">
        <v>0</v>
      </c>
      <c r="N141" s="176">
        <v>0</v>
      </c>
      <c r="O141" s="179">
        <v>0</v>
      </c>
      <c r="P141" s="179">
        <v>0</v>
      </c>
      <c r="Q141" s="176">
        <v>0</v>
      </c>
      <c r="R141" s="178">
        <v>0</v>
      </c>
      <c r="S141" s="179">
        <v>0</v>
      </c>
      <c r="T141" s="177">
        <v>0</v>
      </c>
      <c r="U141" s="181">
        <v>0</v>
      </c>
      <c r="V141" s="91">
        <f t="shared" si="231"/>
        <v>-0.995</v>
      </c>
      <c r="W141" s="177">
        <v>-0.995</v>
      </c>
      <c r="X141" s="181">
        <v>-3.2000000000000001E-2</v>
      </c>
      <c r="Y141" s="91">
        <f>+Z141-X141</f>
        <v>-2.5009999999999999</v>
      </c>
      <c r="Z141" s="177">
        <v>-2.5329999999999999</v>
      </c>
      <c r="AA141" s="181">
        <v>-5.0149999999999997</v>
      </c>
      <c r="AB141" s="91">
        <v>0</v>
      </c>
      <c r="AC141" s="174">
        <f>+SUM(AA141:AB141)</f>
        <v>-5.0149999999999997</v>
      </c>
      <c r="AD141" s="91"/>
      <c r="AE141" s="91"/>
      <c r="AF141" s="174"/>
      <c r="AG141" s="91"/>
      <c r="AH141" s="91"/>
      <c r="AI141" s="174"/>
      <c r="AJ141" s="91"/>
      <c r="AK141" s="91"/>
      <c r="AL141" s="174"/>
      <c r="AM141" s="91"/>
      <c r="AN141" s="91"/>
      <c r="AO141" s="174"/>
      <c r="AP141" s="91"/>
      <c r="AQ141" s="91"/>
      <c r="AR141" s="174"/>
      <c r="AS141" s="91"/>
      <c r="AT141" s="91"/>
      <c r="AU141" s="174"/>
      <c r="AV141" s="91"/>
      <c r="AW141" s="91"/>
      <c r="AX141" s="174"/>
      <c r="AY141" s="91"/>
      <c r="AZ141" s="91"/>
      <c r="BA141" s="174"/>
      <c r="BB141" s="91"/>
      <c r="BC141" s="91"/>
      <c r="BD141" s="174"/>
      <c r="BE141" s="91"/>
      <c r="BF141" s="91"/>
      <c r="BG141" s="174"/>
      <c r="BH141" s="175"/>
      <c r="BJ141"/>
      <c r="BK141"/>
      <c r="BL141"/>
      <c r="BM141"/>
      <c r="BN141"/>
      <c r="BO141"/>
    </row>
    <row r="142" spans="2:67" s="61" customFormat="1">
      <c r="B142" s="88" t="s">
        <v>269</v>
      </c>
      <c r="C142" s="88"/>
      <c r="D142" s="89" t="s">
        <v>159</v>
      </c>
      <c r="E142" s="176">
        <v>0</v>
      </c>
      <c r="F142" s="179">
        <v>0</v>
      </c>
      <c r="G142" s="179">
        <v>0</v>
      </c>
      <c r="H142" s="176">
        <v>0</v>
      </c>
      <c r="I142" s="179">
        <v>0</v>
      </c>
      <c r="J142" s="179">
        <v>0</v>
      </c>
      <c r="K142" s="176">
        <v>0</v>
      </c>
      <c r="L142" s="179">
        <v>0</v>
      </c>
      <c r="M142" s="179">
        <v>0</v>
      </c>
      <c r="N142" s="176">
        <v>0</v>
      </c>
      <c r="O142" s="179">
        <v>0</v>
      </c>
      <c r="P142" s="179">
        <v>0</v>
      </c>
      <c r="Q142" s="176">
        <v>0</v>
      </c>
      <c r="R142" s="178">
        <v>0</v>
      </c>
      <c r="S142" s="179">
        <v>0</v>
      </c>
      <c r="T142" s="177">
        <v>0</v>
      </c>
      <c r="U142" s="178">
        <v>0</v>
      </c>
      <c r="V142" s="91">
        <f t="shared" si="231"/>
        <v>-3.6999999999999998E-2</v>
      </c>
      <c r="W142" s="177">
        <v>-3.6999999999999998E-2</v>
      </c>
      <c r="X142" s="178">
        <v>-2.7869999999999999</v>
      </c>
      <c r="Y142" s="91">
        <f t="shared" si="168"/>
        <v>-5.6079999999999997</v>
      </c>
      <c r="Z142" s="177">
        <v>-8.3949999999999996</v>
      </c>
      <c r="AA142" s="178">
        <v>-4.577</v>
      </c>
      <c r="AB142" s="91">
        <v>0</v>
      </c>
      <c r="AC142" s="174">
        <f>+SUM(AA142:AB142)</f>
        <v>-4.577</v>
      </c>
      <c r="AD142" s="175">
        <f>AC198-AD198+AC197-AD197+AC185-AD185</f>
        <v>0</v>
      </c>
      <c r="AE142" s="91">
        <f t="shared" ref="AE142" si="240">+AF142-AD142</f>
        <v>0</v>
      </c>
      <c r="AF142" s="174">
        <f>AC198-AF198+AC197-AF197+AC185-AF185</f>
        <v>0</v>
      </c>
      <c r="AG142" s="175">
        <f>AF198-AG198+AF197-AG197+AF185-AG185</f>
        <v>0</v>
      </c>
      <c r="AH142" s="91">
        <f t="shared" ref="AH142" si="241">+AI142-AG142</f>
        <v>0</v>
      </c>
      <c r="AI142" s="174">
        <f>AF198-AI198+AF197-AI197+AF185-AI185</f>
        <v>0</v>
      </c>
      <c r="AJ142" s="175">
        <f>AI198-AJ198+AI197-AJ197+AI185-AJ185</f>
        <v>0</v>
      </c>
      <c r="AK142" s="91">
        <f t="shared" ref="AK142" si="242">+AL142-AJ142</f>
        <v>0</v>
      </c>
      <c r="AL142" s="174">
        <f>AI198-AL198+AI197-AL197+AI185-AL185</f>
        <v>0</v>
      </c>
      <c r="AM142" s="175">
        <f>AL198-AM198+AL197-AM197+AL185-AM185</f>
        <v>0</v>
      </c>
      <c r="AN142" s="91">
        <f t="shared" ref="AN142" si="243">+AO142-AM142</f>
        <v>0</v>
      </c>
      <c r="AO142" s="174">
        <f>AL198-AO198+AL197-AO197+AL185-AO185</f>
        <v>0</v>
      </c>
      <c r="AP142" s="175">
        <f>AO198-AP198+AO197-AP197+AO185-AP185</f>
        <v>0</v>
      </c>
      <c r="AQ142" s="91">
        <f t="shared" ref="AQ142" si="244">+AR142-AP142</f>
        <v>0</v>
      </c>
      <c r="AR142" s="174">
        <f>AO198-AR198+AO197-AR197+AO185-AR185</f>
        <v>0</v>
      </c>
      <c r="AS142" s="175">
        <f>AR198-AS198+AR197-AS197+AR185-AS185</f>
        <v>0</v>
      </c>
      <c r="AT142" s="91">
        <f t="shared" ref="AT142" si="245">+AU142-AS142</f>
        <v>0</v>
      </c>
      <c r="AU142" s="174">
        <f>AR198-AU198+AR197-AU197+AR185-AU185</f>
        <v>0</v>
      </c>
      <c r="AV142" s="175">
        <f>AU198-AV198+AU197-AV197+AU185-AV185</f>
        <v>0</v>
      </c>
      <c r="AW142" s="91">
        <f t="shared" ref="AW142" si="246">+AX142-AV142</f>
        <v>0</v>
      </c>
      <c r="AX142" s="174">
        <f>AU198-AX198+AU197-AX197+AU185-AX185</f>
        <v>0</v>
      </c>
      <c r="AY142" s="175">
        <f>AX198-AY198+AX197-AY197+AX185-AY185</f>
        <v>0</v>
      </c>
      <c r="AZ142" s="91">
        <f t="shared" ref="AZ142" si="247">+BA142-AY142</f>
        <v>0</v>
      </c>
      <c r="BA142" s="174">
        <f>AX198-BA198+AX197-BA197+AX185-BA185</f>
        <v>0</v>
      </c>
      <c r="BB142" s="175">
        <f>BA198-BB198+BA197-BB197+BA185-BB185</f>
        <v>0</v>
      </c>
      <c r="BC142" s="91">
        <f t="shared" ref="BC142" si="248">+BD142-BB142</f>
        <v>0</v>
      </c>
      <c r="BD142" s="174">
        <f>BA198-BD198+BA197-BD197+BA185-BD185</f>
        <v>0</v>
      </c>
      <c r="BE142" s="175">
        <f>BD198-BE198+BD197-BE197+BD185-BE185</f>
        <v>0</v>
      </c>
      <c r="BF142" s="91">
        <f t="shared" ref="BF142" si="249">+BG142-BE142</f>
        <v>0</v>
      </c>
      <c r="BG142" s="174">
        <f>BD198-BG198+BD197-BG197+BD185-BG185</f>
        <v>0</v>
      </c>
      <c r="BH142" s="175"/>
      <c r="BJ142"/>
      <c r="BK142"/>
      <c r="BL142"/>
      <c r="BM142"/>
      <c r="BN142"/>
      <c r="BO142"/>
    </row>
    <row r="143" spans="2:67" s="70" customFormat="1">
      <c r="B143" s="71" t="s">
        <v>66</v>
      </c>
      <c r="C143" s="71"/>
      <c r="D143" s="92" t="s">
        <v>159</v>
      </c>
      <c r="E143" s="93">
        <f>+E129+E130+E131+E138+E142+E139+E140+E141</f>
        <v>-1.6180000000000005E-3</v>
      </c>
      <c r="F143" s="94">
        <f t="shared" ref="F143:Y143" si="250">+F129+F130+F131+F138+F142+F139+F140+F141</f>
        <v>-15.741779999999999</v>
      </c>
      <c r="G143" s="94">
        <f t="shared" si="250"/>
        <v>13.050654999999999</v>
      </c>
      <c r="H143" s="93">
        <f>+H129+H130+H131+H138+H142+H139+H140+H141</f>
        <v>-2.6911250000000004</v>
      </c>
      <c r="I143" s="94">
        <f t="shared" si="250"/>
        <v>-0.111861</v>
      </c>
      <c r="J143" s="94">
        <f t="shared" si="250"/>
        <v>-0.35713900000000004</v>
      </c>
      <c r="K143" s="93">
        <f t="shared" si="250"/>
        <v>-0.46900000000000003</v>
      </c>
      <c r="L143" s="94">
        <f t="shared" si="250"/>
        <v>-0.64400000000000002</v>
      </c>
      <c r="M143" s="94">
        <f t="shared" si="250"/>
        <v>-0.44700000000000001</v>
      </c>
      <c r="N143" s="93">
        <f t="shared" si="250"/>
        <v>-1.091</v>
      </c>
      <c r="O143" s="94">
        <f t="shared" si="250"/>
        <v>-0.77800000000000002</v>
      </c>
      <c r="P143" s="94">
        <f t="shared" si="250"/>
        <v>-1.9480000000000002</v>
      </c>
      <c r="Q143" s="93">
        <f t="shared" si="250"/>
        <v>-2.726</v>
      </c>
      <c r="R143" s="94">
        <f t="shared" si="250"/>
        <v>-11.335000000000001</v>
      </c>
      <c r="S143" s="94">
        <f t="shared" si="250"/>
        <v>-5.661999999999999</v>
      </c>
      <c r="T143" s="188">
        <f t="shared" si="250"/>
        <v>-16.997</v>
      </c>
      <c r="U143" s="94">
        <f t="shared" si="250"/>
        <v>-1.9839999999999998</v>
      </c>
      <c r="V143" s="94">
        <f t="shared" si="250"/>
        <v>-14.854999999999999</v>
      </c>
      <c r="W143" s="189">
        <f>+W129+W130+W131+W138+W142+W139+W140+W141</f>
        <v>-16.839000000000002</v>
      </c>
      <c r="X143" s="94">
        <f t="shared" si="250"/>
        <v>-30.430999999999997</v>
      </c>
      <c r="Y143" s="94">
        <f t="shared" si="250"/>
        <v>-56.255999999999993</v>
      </c>
      <c r="Z143" s="188">
        <f>+Z129+Z130+Z131+Z138+Z142+Z139+Z140+Z141</f>
        <v>-86.686999999999998</v>
      </c>
      <c r="AA143" s="94">
        <f t="shared" ref="AA143" si="251">+AA129+AA130+AA131+AA138+AA142+AA139+AA140+AA141</f>
        <v>-258.85399999999998</v>
      </c>
      <c r="AB143" s="94">
        <f t="shared" ref="AB143" si="252">+AB129+AB130+AB131+AB138+AB142+AB139+AB140+AB141</f>
        <v>-21.722861442227959</v>
      </c>
      <c r="AC143" s="93">
        <f>+AC129+AC130+AC131+AC138+AC142+AC139+AC140+AC141</f>
        <v>-271.27504144222797</v>
      </c>
      <c r="AD143" s="94">
        <f t="shared" ref="AD143:AE143" si="253">+AD129+AD130+AD131+AD138+AD142+AD139+AD140+AD141</f>
        <v>-22.158444813532832</v>
      </c>
      <c r="AE143" s="94">
        <f t="shared" si="253"/>
        <v>-23.220101603379725</v>
      </c>
      <c r="AF143" s="93">
        <f>+AF129+AF130+AF131+AF138+AF142+AF139+AF140+AF141</f>
        <v>-45.378546416912556</v>
      </c>
      <c r="AG143" s="94">
        <f t="shared" ref="AG143:AH143" si="254">+AG129+AG130+AG131+AG138+AG142+AG139+AG140+AG141</f>
        <v>-17.652488477096405</v>
      </c>
      <c r="AH143" s="94">
        <f t="shared" si="254"/>
        <v>-18.204817603712595</v>
      </c>
      <c r="AI143" s="93">
        <f>+AI129+AI130+AI131+AI138+AI142+AI139+AI140+AI141</f>
        <v>-35.857306080808996</v>
      </c>
      <c r="AJ143" s="94">
        <f t="shared" ref="AJ143:AK143" si="255">+AJ129+AJ130+AJ131+AJ138+AJ142+AJ139+AJ140+AJ141</f>
        <v>-19.959148418723927</v>
      </c>
      <c r="AK143" s="94">
        <f t="shared" si="255"/>
        <v>-20.596436369998372</v>
      </c>
      <c r="AL143" s="93">
        <f>+AL129+AL130+AL131+AL138+AL142+AL139+AL140+AL141</f>
        <v>-40.5555847887223</v>
      </c>
      <c r="AM143" s="94">
        <f t="shared" ref="AM143:AN143" si="256">+AM129+AM130+AM131+AM138+AM142+AM139+AM140+AM141</f>
        <v>-25.785147582719055</v>
      </c>
      <c r="AN143" s="94">
        <f t="shared" si="256"/>
        <v>-26.650503176452482</v>
      </c>
      <c r="AO143" s="93">
        <f>+AO129+AO130+AO131+AO138+AO142+AO139+AO140+AO141</f>
        <v>-52.435650759171537</v>
      </c>
      <c r="AP143" s="94">
        <f t="shared" ref="AP143:AQ143" si="257">+AP129+AP130+AP131+AP138+AP142+AP139+AP140+AP141</f>
        <v>-30.131341074104046</v>
      </c>
      <c r="AQ143" s="94">
        <f t="shared" si="257"/>
        <v>-32.222182666368283</v>
      </c>
      <c r="AR143" s="93">
        <f>+AR129+AR130+AR131+AR138+AR142+AR139+AR140+AR141</f>
        <v>-62.353523740472333</v>
      </c>
      <c r="AS143" s="94">
        <f t="shared" ref="AS143:AT143" si="258">+AS129+AS130+AS131+AS138+AS142+AS139+AS140+AS141</f>
        <v>-34.658409121758382</v>
      </c>
      <c r="AT143" s="94">
        <f t="shared" si="258"/>
        <v>-37.101907844839843</v>
      </c>
      <c r="AU143" s="93">
        <f>+AU129+AU130+AU131+AU138+AU142+AU139+AU140+AU141</f>
        <v>-71.760316966598225</v>
      </c>
      <c r="AV143" s="94">
        <f t="shared" ref="AV143:AW143" si="259">+AV129+AV130+AV131+AV138+AV142+AV139+AV140+AV141</f>
        <v>-39.28908165321949</v>
      </c>
      <c r="AW143" s="94">
        <f t="shared" si="259"/>
        <v>-42.08673500729288</v>
      </c>
      <c r="AX143" s="93">
        <f>+AX129+AX130+AX131+AX138+AX142+AX139+AX140+AX141</f>
        <v>-81.375816660512371</v>
      </c>
      <c r="AY143" s="94">
        <f t="shared" ref="AY143:AZ143" si="260">+AY129+AY130+AY131+AY138+AY142+AY139+AY140+AY141</f>
        <v>-43.770630275290102</v>
      </c>
      <c r="AZ143" s="94">
        <f t="shared" si="260"/>
        <v>-46.955305000803882</v>
      </c>
      <c r="BA143" s="93">
        <f>+BA129+BA130+BA131+BA138+BA142+BA139+BA140+BA141</f>
        <v>-90.725935276093992</v>
      </c>
      <c r="BB143" s="94">
        <f t="shared" ref="BB143:BC143" si="261">+BB129+BB130+BB131+BB138+BB142+BB139+BB140+BB141</f>
        <v>-48.212896226113855</v>
      </c>
      <c r="BC143" s="94">
        <f t="shared" si="261"/>
        <v>-51.743254976138218</v>
      </c>
      <c r="BD143" s="93">
        <f>+BD129+BD130+BD131+BD138+BD142+BD139+BD140+BD141</f>
        <v>-99.956151202252073</v>
      </c>
      <c r="BE143" s="94">
        <f t="shared" ref="BE143:BF143" si="262">+BE129+BE130+BE131+BE138+BE142+BE139+BE140+BE141</f>
        <v>-52.317156558888769</v>
      </c>
      <c r="BF143" s="94">
        <f t="shared" si="262"/>
        <v>-56.163662029590341</v>
      </c>
      <c r="BG143" s="93">
        <f>+BG129+BG130+BG131+BG138+BG142+BG139+BG140+BG141</f>
        <v>-108.48081858847911</v>
      </c>
      <c r="BH143" s="94"/>
      <c r="BJ143"/>
      <c r="BK143"/>
      <c r="BL143"/>
      <c r="BM143"/>
      <c r="BN143"/>
      <c r="BO143"/>
    </row>
    <row r="144" spans="2:67" s="61" customFormat="1">
      <c r="B144" s="88" t="s">
        <v>72</v>
      </c>
      <c r="C144" s="88"/>
      <c r="D144" s="89" t="s">
        <v>159</v>
      </c>
      <c r="E144" s="90">
        <f>+SUM(E145:E146)</f>
        <v>58.550151</v>
      </c>
      <c r="F144" s="91">
        <f>+SUM(F145:F146)</f>
        <v>0</v>
      </c>
      <c r="G144" s="91">
        <f t="shared" si="180"/>
        <v>0</v>
      </c>
      <c r="H144" s="90">
        <f>+SUM(H145:H146)</f>
        <v>0</v>
      </c>
      <c r="I144" s="91">
        <f>+SUM(I145:I146)</f>
        <v>0</v>
      </c>
      <c r="J144" s="91">
        <f t="shared" si="181"/>
        <v>45.253999999999998</v>
      </c>
      <c r="K144" s="90">
        <f>+SUM(K145:K146)</f>
        <v>45.253999999999998</v>
      </c>
      <c r="L144" s="91">
        <f>+SUM(L145:L146)</f>
        <v>0.41899999999999998</v>
      </c>
      <c r="M144" s="91">
        <f t="shared" si="182"/>
        <v>34.732000000000006</v>
      </c>
      <c r="N144" s="90">
        <f>+SUM(N145:N146)</f>
        <v>35.151000000000003</v>
      </c>
      <c r="O144" s="91">
        <f>+SUM(O145:O146)</f>
        <v>0.85</v>
      </c>
      <c r="P144" s="91">
        <f t="shared" si="183"/>
        <v>2.9319999999999999</v>
      </c>
      <c r="Q144" s="90">
        <f>+SUM(Q145:Q146)</f>
        <v>3.782</v>
      </c>
      <c r="R144" s="91">
        <f>+SUM(R145:R146)</f>
        <v>179.41800000000001</v>
      </c>
      <c r="S144" s="91">
        <f t="shared" si="184"/>
        <v>1.6209999999999809</v>
      </c>
      <c r="T144" s="90">
        <f>+SUM(T145:T146)</f>
        <v>181.03899999999999</v>
      </c>
      <c r="U144" s="91">
        <f>+SUM(U145:U146)</f>
        <v>1.639</v>
      </c>
      <c r="V144" s="91">
        <f t="shared" si="167"/>
        <v>2.5299999999999994</v>
      </c>
      <c r="W144" s="90">
        <f>+SUM(W145:W146)</f>
        <v>4.1689999999999996</v>
      </c>
      <c r="X144" s="91">
        <f>+SUM(X145:X146)</f>
        <v>0.42</v>
      </c>
      <c r="Y144" s="91">
        <f t="shared" si="168"/>
        <v>0.24200000000000005</v>
      </c>
      <c r="Z144" s="90">
        <f>+SUM(Z145:Z146)</f>
        <v>0.66200000000000003</v>
      </c>
      <c r="AA144" s="91">
        <f>+SUM(AA145:AA146)</f>
        <v>0.67600000000000005</v>
      </c>
      <c r="AB144" s="91">
        <f t="shared" ref="AB144" si="263">+AC144-AA144</f>
        <v>0</v>
      </c>
      <c r="AC144" s="90">
        <f>+SUM(AC145:AC146)</f>
        <v>0.67600000000000005</v>
      </c>
      <c r="AD144" s="91">
        <f>+SUM(AD145:AD146)</f>
        <v>0</v>
      </c>
      <c r="AE144" s="91">
        <f t="shared" ref="AE144:AE147" si="264">+AF144-AD144</f>
        <v>0</v>
      </c>
      <c r="AF144" s="90">
        <f>+SUM(AF145:AF146)</f>
        <v>0</v>
      </c>
      <c r="AG144" s="91">
        <f>+SUM(AG145:AG146)</f>
        <v>0</v>
      </c>
      <c r="AH144" s="91">
        <f t="shared" ref="AH144:AH147" si="265">+AI144-AG144</f>
        <v>0</v>
      </c>
      <c r="AI144" s="90">
        <f>+SUM(AI145:AI146)</f>
        <v>0</v>
      </c>
      <c r="AJ144" s="91">
        <f>+SUM(AJ145:AJ146)</f>
        <v>0</v>
      </c>
      <c r="AK144" s="91">
        <f t="shared" ref="AK144:AK147" si="266">+AL144-AJ144</f>
        <v>0</v>
      </c>
      <c r="AL144" s="90">
        <f>+SUM(AL145:AL146)</f>
        <v>0</v>
      </c>
      <c r="AM144" s="91">
        <f>+SUM(AM145:AM146)</f>
        <v>0</v>
      </c>
      <c r="AN144" s="91">
        <f t="shared" ref="AN144:AN147" si="267">+AO144-AM144</f>
        <v>0</v>
      </c>
      <c r="AO144" s="90">
        <f>+SUM(AO145:AO146)</f>
        <v>0</v>
      </c>
      <c r="AP144" s="91">
        <f>+SUM(AP145:AP146)</f>
        <v>0</v>
      </c>
      <c r="AQ144" s="91">
        <f t="shared" ref="AQ144:AQ147" si="268">+AR144-AP144</f>
        <v>0</v>
      </c>
      <c r="AR144" s="90">
        <f>+SUM(AR145:AR146)</f>
        <v>0</v>
      </c>
      <c r="AS144" s="91">
        <f>+SUM(AS145:AS146)</f>
        <v>0</v>
      </c>
      <c r="AT144" s="91">
        <f t="shared" ref="AT144:AT147" si="269">+AU144-AS144</f>
        <v>0</v>
      </c>
      <c r="AU144" s="90">
        <f>+SUM(AU145:AU146)</f>
        <v>0</v>
      </c>
      <c r="AV144" s="91">
        <f>+SUM(AV145:AV146)</f>
        <v>0</v>
      </c>
      <c r="AW144" s="91">
        <f t="shared" ref="AW144:AW147" si="270">+AX144-AV144</f>
        <v>0</v>
      </c>
      <c r="AX144" s="90">
        <f>+SUM(AX145:AX146)</f>
        <v>0</v>
      </c>
      <c r="AY144" s="91">
        <f>+SUM(AY145:AY146)</f>
        <v>0</v>
      </c>
      <c r="AZ144" s="91">
        <f t="shared" ref="AZ144:AZ147" si="271">+BA144-AY144</f>
        <v>0</v>
      </c>
      <c r="BA144" s="90">
        <f>+SUM(BA145:BA146)</f>
        <v>0</v>
      </c>
      <c r="BB144" s="91">
        <f>+SUM(BB145:BB146)</f>
        <v>0</v>
      </c>
      <c r="BC144" s="91">
        <f t="shared" ref="BC144:BC147" si="272">+BD144-BB144</f>
        <v>0</v>
      </c>
      <c r="BD144" s="90">
        <f>+SUM(BD145:BD146)</f>
        <v>0</v>
      </c>
      <c r="BE144" s="91">
        <f>+SUM(BE145:BE146)</f>
        <v>0</v>
      </c>
      <c r="BF144" s="91">
        <f t="shared" ref="BF144:BF147" si="273">+BG144-BE144</f>
        <v>0</v>
      </c>
      <c r="BG144" s="90">
        <f>+SUM(BG145:BG146)</f>
        <v>0</v>
      </c>
      <c r="BH144" s="91"/>
      <c r="BJ144"/>
      <c r="BK144"/>
      <c r="BL144"/>
      <c r="BM144"/>
      <c r="BN144"/>
      <c r="BO144"/>
    </row>
    <row r="145" spans="2:67" s="61" customFormat="1" outlineLevel="1">
      <c r="B145" s="88" t="s">
        <v>270</v>
      </c>
      <c r="C145" s="88"/>
      <c r="D145" s="89" t="s">
        <v>159</v>
      </c>
      <c r="E145" s="176">
        <v>58.550151</v>
      </c>
      <c r="F145" s="151">
        <v>0</v>
      </c>
      <c r="G145" s="91">
        <f t="shared" ref="G145" si="274">H145-F145</f>
        <v>0</v>
      </c>
      <c r="H145" s="176">
        <v>0</v>
      </c>
      <c r="I145" s="151">
        <v>0</v>
      </c>
      <c r="J145" s="91">
        <f t="shared" ref="J145" si="275">K145-I145</f>
        <v>45.253999999999998</v>
      </c>
      <c r="K145" s="176">
        <v>45.253999999999998</v>
      </c>
      <c r="L145" s="151">
        <v>0.41899999999999998</v>
      </c>
      <c r="M145" s="91">
        <f t="shared" ref="M145" si="276">N145-L145</f>
        <v>34.732000000000006</v>
      </c>
      <c r="N145" s="176">
        <v>35.151000000000003</v>
      </c>
      <c r="O145" s="179">
        <v>0.85</v>
      </c>
      <c r="P145" s="91">
        <f t="shared" ref="P145" si="277">Q145-O145</f>
        <v>2.9319999999999999</v>
      </c>
      <c r="Q145" s="176">
        <v>3.782</v>
      </c>
      <c r="R145" s="179">
        <v>179.41800000000001</v>
      </c>
      <c r="S145" s="91">
        <f t="shared" ref="S145" si="278">T145-R145</f>
        <v>1.6209999999999809</v>
      </c>
      <c r="T145" s="177">
        <v>181.03899999999999</v>
      </c>
      <c r="U145" s="181">
        <v>1.639</v>
      </c>
      <c r="V145" s="91">
        <f t="shared" si="167"/>
        <v>2.5299999999999994</v>
      </c>
      <c r="W145" s="177">
        <v>4.1689999999999996</v>
      </c>
      <c r="X145" s="181">
        <v>0.42</v>
      </c>
      <c r="Y145" s="91">
        <f t="shared" si="168"/>
        <v>0.24200000000000005</v>
      </c>
      <c r="Z145" s="177">
        <v>0.66200000000000003</v>
      </c>
      <c r="AA145" s="181">
        <v>0.67600000000000005</v>
      </c>
      <c r="AB145" s="91">
        <v>0</v>
      </c>
      <c r="AC145" s="174">
        <f>+SUM(AA145:AB145)</f>
        <v>0.67600000000000005</v>
      </c>
      <c r="AD145" s="91">
        <v>0</v>
      </c>
      <c r="AE145" s="91">
        <f t="shared" ref="AE145" si="279">+AD145</f>
        <v>0</v>
      </c>
      <c r="AF145" s="174">
        <f t="shared" ref="AF145" si="280">+SUM(AD145:AE145)</f>
        <v>0</v>
      </c>
      <c r="AG145" s="91">
        <v>0</v>
      </c>
      <c r="AH145" s="91">
        <f t="shared" ref="AH145" si="281">+AG145</f>
        <v>0</v>
      </c>
      <c r="AI145" s="174">
        <f t="shared" ref="AI145" si="282">+SUM(AG145:AH145)</f>
        <v>0</v>
      </c>
      <c r="AJ145" s="91">
        <v>0</v>
      </c>
      <c r="AK145" s="91">
        <f t="shared" ref="AK145" si="283">+AJ145</f>
        <v>0</v>
      </c>
      <c r="AL145" s="174">
        <f t="shared" ref="AL145" si="284">+SUM(AJ145:AK145)</f>
        <v>0</v>
      </c>
      <c r="AM145" s="91">
        <v>0</v>
      </c>
      <c r="AN145" s="91">
        <f t="shared" ref="AN145" si="285">+AM145</f>
        <v>0</v>
      </c>
      <c r="AO145" s="174">
        <f t="shared" ref="AO145" si="286">+SUM(AM145:AN145)</f>
        <v>0</v>
      </c>
      <c r="AP145" s="91">
        <v>0</v>
      </c>
      <c r="AQ145" s="91">
        <f t="shared" ref="AQ145" si="287">+AP145</f>
        <v>0</v>
      </c>
      <c r="AR145" s="174">
        <f t="shared" ref="AR145" si="288">+SUM(AP145:AQ145)</f>
        <v>0</v>
      </c>
      <c r="AS145" s="91">
        <v>0</v>
      </c>
      <c r="AT145" s="91">
        <f t="shared" ref="AT145" si="289">+AS145</f>
        <v>0</v>
      </c>
      <c r="AU145" s="174">
        <f t="shared" ref="AU145" si="290">+SUM(AS145:AT145)</f>
        <v>0</v>
      </c>
      <c r="AV145" s="91">
        <v>0</v>
      </c>
      <c r="AW145" s="91">
        <f t="shared" ref="AW145" si="291">+AV145</f>
        <v>0</v>
      </c>
      <c r="AX145" s="174">
        <f t="shared" ref="AX145" si="292">+SUM(AV145:AW145)</f>
        <v>0</v>
      </c>
      <c r="AY145" s="91">
        <v>0</v>
      </c>
      <c r="AZ145" s="91">
        <f t="shared" ref="AZ145" si="293">+AY145</f>
        <v>0</v>
      </c>
      <c r="BA145" s="174">
        <f t="shared" ref="BA145" si="294">+SUM(AY145:AZ145)</f>
        <v>0</v>
      </c>
      <c r="BB145" s="91">
        <v>0</v>
      </c>
      <c r="BC145" s="91">
        <f t="shared" ref="BC145" si="295">+BB145</f>
        <v>0</v>
      </c>
      <c r="BD145" s="174">
        <f t="shared" ref="BD145" si="296">+SUM(BB145:BC145)</f>
        <v>0</v>
      </c>
      <c r="BE145" s="91">
        <v>0</v>
      </c>
      <c r="BF145" s="91">
        <f t="shared" ref="BF145" si="297">+BE145</f>
        <v>0</v>
      </c>
      <c r="BG145" s="174">
        <f t="shared" ref="BG145" si="298">+SUM(BE145:BF145)</f>
        <v>0</v>
      </c>
      <c r="BH145" s="175"/>
      <c r="BJ145"/>
      <c r="BK145"/>
      <c r="BL145"/>
      <c r="BM145"/>
      <c r="BN145"/>
      <c r="BO145"/>
    </row>
    <row r="146" spans="2:67" s="61" customFormat="1" outlineLevel="1">
      <c r="B146" s="88" t="s">
        <v>271</v>
      </c>
      <c r="C146" s="88"/>
      <c r="D146" s="89" t="s">
        <v>159</v>
      </c>
      <c r="E146" s="174"/>
      <c r="F146" s="91"/>
      <c r="G146" s="91"/>
      <c r="H146" s="174"/>
      <c r="I146" s="91"/>
      <c r="J146" s="91"/>
      <c r="K146" s="174"/>
      <c r="L146" s="91"/>
      <c r="M146" s="91"/>
      <c r="N146" s="174"/>
      <c r="O146" s="175"/>
      <c r="P146" s="91"/>
      <c r="Q146" s="174"/>
      <c r="R146" s="175"/>
      <c r="S146" s="91"/>
      <c r="T146" s="174"/>
      <c r="U146" s="175"/>
      <c r="V146" s="91"/>
      <c r="W146" s="174"/>
      <c r="X146" s="91"/>
      <c r="Y146" s="91"/>
      <c r="Z146" s="174"/>
      <c r="AA146" s="91"/>
      <c r="AB146" s="91"/>
      <c r="AC146" s="174"/>
      <c r="AD146" s="91"/>
      <c r="AE146" s="91"/>
      <c r="AF146" s="174"/>
      <c r="AG146" s="91"/>
      <c r="AH146" s="91"/>
      <c r="AI146" s="174"/>
      <c r="AJ146" s="91"/>
      <c r="AK146" s="91"/>
      <c r="AL146" s="174"/>
      <c r="AM146" s="91"/>
      <c r="AN146" s="91"/>
      <c r="AO146" s="174"/>
      <c r="AP146" s="91"/>
      <c r="AQ146" s="91"/>
      <c r="AR146" s="174"/>
      <c r="AS146" s="91"/>
      <c r="AT146" s="91"/>
      <c r="AU146" s="174"/>
      <c r="AV146" s="91"/>
      <c r="AW146" s="91"/>
      <c r="AX146" s="174"/>
      <c r="AY146" s="91"/>
      <c r="AZ146" s="91"/>
      <c r="BA146" s="174"/>
      <c r="BB146" s="91"/>
      <c r="BC146" s="91"/>
      <c r="BD146" s="174"/>
      <c r="BE146" s="91"/>
      <c r="BF146" s="91"/>
      <c r="BG146" s="174"/>
      <c r="BH146" s="175"/>
      <c r="BJ146"/>
      <c r="BK146"/>
      <c r="BL146"/>
      <c r="BM146"/>
      <c r="BN146"/>
      <c r="BO146"/>
    </row>
    <row r="147" spans="2:67" s="61" customFormat="1">
      <c r="B147" s="88" t="s">
        <v>272</v>
      </c>
      <c r="C147" s="88"/>
      <c r="D147" s="89" t="s">
        <v>159</v>
      </c>
      <c r="E147" s="176">
        <v>0</v>
      </c>
      <c r="F147" s="179">
        <v>0</v>
      </c>
      <c r="G147" s="91">
        <f>+H147-F147</f>
        <v>0</v>
      </c>
      <c r="H147" s="176">
        <v>0</v>
      </c>
      <c r="I147" s="179">
        <v>0</v>
      </c>
      <c r="J147" s="91">
        <f>+K147-I147</f>
        <v>0</v>
      </c>
      <c r="K147" s="176">
        <v>0</v>
      </c>
      <c r="L147" s="179">
        <v>0</v>
      </c>
      <c r="M147" s="91">
        <f>+N147-L147</f>
        <v>0</v>
      </c>
      <c r="N147" s="176">
        <v>0</v>
      </c>
      <c r="O147" s="179">
        <v>0</v>
      </c>
      <c r="P147" s="91">
        <f>+Q147-O147</f>
        <v>0</v>
      </c>
      <c r="Q147" s="176">
        <v>0</v>
      </c>
      <c r="R147" s="179">
        <v>0</v>
      </c>
      <c r="S147" s="91">
        <f>+T147-R147</f>
        <v>0</v>
      </c>
      <c r="T147" s="90">
        <v>0</v>
      </c>
      <c r="U147" s="178">
        <v>0</v>
      </c>
      <c r="V147" s="91">
        <f t="shared" si="167"/>
        <v>0</v>
      </c>
      <c r="W147" s="90">
        <v>0</v>
      </c>
      <c r="X147" s="91">
        <f>-X88</f>
        <v>0</v>
      </c>
      <c r="Y147" s="91">
        <f t="shared" si="168"/>
        <v>0</v>
      </c>
      <c r="Z147" s="90">
        <f>-Z88</f>
        <v>0</v>
      </c>
      <c r="AA147" s="91">
        <f>-AA88</f>
        <v>0</v>
      </c>
      <c r="AB147" s="91"/>
      <c r="AC147" s="90">
        <f>-AC88</f>
        <v>0</v>
      </c>
      <c r="AD147" s="91">
        <f>-AD88</f>
        <v>0</v>
      </c>
      <c r="AE147" s="91">
        <f t="shared" si="264"/>
        <v>0</v>
      </c>
      <c r="AF147" s="90">
        <f>-AF88</f>
        <v>0</v>
      </c>
      <c r="AG147" s="91">
        <f>-AG88</f>
        <v>0</v>
      </c>
      <c r="AH147" s="91">
        <f t="shared" si="265"/>
        <v>0</v>
      </c>
      <c r="AI147" s="90">
        <f>-AI88</f>
        <v>0</v>
      </c>
      <c r="AJ147" s="91">
        <f>-AJ88</f>
        <v>0</v>
      </c>
      <c r="AK147" s="91">
        <f t="shared" si="266"/>
        <v>0</v>
      </c>
      <c r="AL147" s="90">
        <f>-AL88</f>
        <v>0</v>
      </c>
      <c r="AM147" s="91">
        <f>-AM88</f>
        <v>0</v>
      </c>
      <c r="AN147" s="91">
        <f t="shared" si="267"/>
        <v>0</v>
      </c>
      <c r="AO147" s="90">
        <f>-AO88</f>
        <v>0</v>
      </c>
      <c r="AP147" s="91">
        <f>-AP88</f>
        <v>0</v>
      </c>
      <c r="AQ147" s="91">
        <f t="shared" si="268"/>
        <v>0</v>
      </c>
      <c r="AR147" s="90">
        <f>-AR88</f>
        <v>0</v>
      </c>
      <c r="AS147" s="91">
        <f>-AS88</f>
        <v>0</v>
      </c>
      <c r="AT147" s="91">
        <f t="shared" si="269"/>
        <v>0</v>
      </c>
      <c r="AU147" s="90">
        <f>-AU88</f>
        <v>0</v>
      </c>
      <c r="AV147" s="91">
        <f>-AV88</f>
        <v>0</v>
      </c>
      <c r="AW147" s="91">
        <f t="shared" si="270"/>
        <v>0</v>
      </c>
      <c r="AX147" s="90">
        <f>-AX88</f>
        <v>0</v>
      </c>
      <c r="AY147" s="91">
        <f>-AY88</f>
        <v>0</v>
      </c>
      <c r="AZ147" s="91">
        <f t="shared" si="271"/>
        <v>0</v>
      </c>
      <c r="BA147" s="90">
        <f>-BA88</f>
        <v>0</v>
      </c>
      <c r="BB147" s="91">
        <f>-BB88</f>
        <v>0</v>
      </c>
      <c r="BC147" s="91">
        <f t="shared" si="272"/>
        <v>0</v>
      </c>
      <c r="BD147" s="90">
        <f>-BD88</f>
        <v>0</v>
      </c>
      <c r="BE147" s="91">
        <f>-BE88</f>
        <v>0</v>
      </c>
      <c r="BF147" s="91">
        <f t="shared" si="273"/>
        <v>0</v>
      </c>
      <c r="BG147" s="90">
        <f>-BG88</f>
        <v>0</v>
      </c>
      <c r="BH147" s="91"/>
      <c r="BJ147"/>
      <c r="BK147"/>
      <c r="BL147"/>
      <c r="BM147"/>
      <c r="BN147"/>
      <c r="BO147"/>
    </row>
    <row r="148" spans="2:67" s="61" customFormat="1">
      <c r="B148" s="88" t="s">
        <v>273</v>
      </c>
      <c r="C148" s="88"/>
      <c r="D148" s="89"/>
      <c r="E148" s="176">
        <v>0</v>
      </c>
      <c r="F148" s="151">
        <v>0</v>
      </c>
      <c r="G148" s="91">
        <f t="shared" ref="G148:G151" si="299">H148-F148</f>
        <v>0</v>
      </c>
      <c r="H148" s="176">
        <v>0</v>
      </c>
      <c r="I148" s="151">
        <v>-0.122006</v>
      </c>
      <c r="J148" s="91">
        <f t="shared" ref="J148:J151" si="300">K148-I148</f>
        <v>-0.101994</v>
      </c>
      <c r="K148" s="176">
        <v>-0.224</v>
      </c>
      <c r="L148" s="151">
        <v>-0.218</v>
      </c>
      <c r="M148" s="91">
        <f t="shared" ref="M148:M151" si="301">N148-L148</f>
        <v>-0.28400000000000003</v>
      </c>
      <c r="N148" s="176">
        <v>-0.502</v>
      </c>
      <c r="O148" s="179">
        <v>-0.19500000000000001</v>
      </c>
      <c r="P148" s="91">
        <f t="shared" ref="P148:P151" si="302">Q148-O148</f>
        <v>-0.40099999999999997</v>
      </c>
      <c r="Q148" s="176">
        <v>-0.59599999999999997</v>
      </c>
      <c r="R148" s="179">
        <v>-0.41799999999999998</v>
      </c>
      <c r="S148" s="91">
        <f t="shared" ref="S148:S151" si="303">T148-R148</f>
        <v>-0.84600000000000009</v>
      </c>
      <c r="T148" s="180">
        <v>-1.264</v>
      </c>
      <c r="U148" s="181">
        <v>-0.439</v>
      </c>
      <c r="V148" s="91">
        <f>W148-U148</f>
        <v>-0.82699999999999996</v>
      </c>
      <c r="W148" s="180">
        <v>-1.266</v>
      </c>
      <c r="X148" s="181">
        <v>-0.48899999999999999</v>
      </c>
      <c r="Y148" s="91">
        <f>Z148-X148</f>
        <v>-0.82799999999999996</v>
      </c>
      <c r="Z148" s="180">
        <v>-1.3169999999999999</v>
      </c>
      <c r="AA148" s="181">
        <v>-3.1480000000000001</v>
      </c>
      <c r="AB148" s="91">
        <v>0</v>
      </c>
      <c r="AC148" s="90">
        <f>AA148</f>
        <v>-3.1480000000000001</v>
      </c>
      <c r="AD148" s="91">
        <f>+AB148</f>
        <v>0</v>
      </c>
      <c r="AE148" s="91">
        <f>+AD148</f>
        <v>0</v>
      </c>
      <c r="AF148" s="90">
        <f>+SUM(AD148:AE148)</f>
        <v>0</v>
      </c>
      <c r="AG148" s="91">
        <f t="shared" ref="AG148" si="304">+AE148</f>
        <v>0</v>
      </c>
      <c r="AH148" s="91">
        <f t="shared" ref="AH148" si="305">+AG148</f>
        <v>0</v>
      </c>
      <c r="AI148" s="90">
        <f t="shared" ref="AI148" si="306">+SUM(AG148:AH148)</f>
        <v>0</v>
      </c>
      <c r="AJ148" s="91">
        <f t="shared" ref="AJ148" si="307">+AH148</f>
        <v>0</v>
      </c>
      <c r="AK148" s="91">
        <f t="shared" ref="AK148" si="308">+AJ148</f>
        <v>0</v>
      </c>
      <c r="AL148" s="90">
        <f t="shared" ref="AL148" si="309">+SUM(AJ148:AK148)</f>
        <v>0</v>
      </c>
      <c r="AM148" s="91">
        <f t="shared" ref="AM148" si="310">+AK148</f>
        <v>0</v>
      </c>
      <c r="AN148" s="91">
        <f t="shared" ref="AN148" si="311">+AM148</f>
        <v>0</v>
      </c>
      <c r="AO148" s="90">
        <f t="shared" ref="AO148" si="312">+SUM(AM148:AN148)</f>
        <v>0</v>
      </c>
      <c r="AP148" s="91">
        <f t="shared" ref="AP148" si="313">+AN148</f>
        <v>0</v>
      </c>
      <c r="AQ148" s="91">
        <f t="shared" ref="AQ148" si="314">+AP148</f>
        <v>0</v>
      </c>
      <c r="AR148" s="90">
        <f t="shared" ref="AR148" si="315">+SUM(AP148:AQ148)</f>
        <v>0</v>
      </c>
      <c r="AS148" s="91">
        <f t="shared" ref="AS148" si="316">+AQ148</f>
        <v>0</v>
      </c>
      <c r="AT148" s="91">
        <f t="shared" ref="AT148" si="317">+AS148</f>
        <v>0</v>
      </c>
      <c r="AU148" s="90">
        <f t="shared" ref="AU148" si="318">+SUM(AS148:AT148)</f>
        <v>0</v>
      </c>
      <c r="AV148" s="91">
        <f t="shared" ref="AV148" si="319">+AT148</f>
        <v>0</v>
      </c>
      <c r="AW148" s="91">
        <f t="shared" ref="AW148" si="320">+AV148</f>
        <v>0</v>
      </c>
      <c r="AX148" s="90">
        <f t="shared" ref="AX148" si="321">+SUM(AV148:AW148)</f>
        <v>0</v>
      </c>
      <c r="AY148" s="91">
        <f t="shared" ref="AY148" si="322">+AW148</f>
        <v>0</v>
      </c>
      <c r="AZ148" s="91">
        <f t="shared" ref="AZ148" si="323">+AY148</f>
        <v>0</v>
      </c>
      <c r="BA148" s="90">
        <f t="shared" ref="BA148" si="324">+SUM(AY148:AZ148)</f>
        <v>0</v>
      </c>
      <c r="BB148" s="91">
        <f t="shared" ref="BB148" si="325">+AZ148</f>
        <v>0</v>
      </c>
      <c r="BC148" s="91">
        <f t="shared" ref="BC148" si="326">+BB148</f>
        <v>0</v>
      </c>
      <c r="BD148" s="90">
        <f t="shared" ref="BD148" si="327">+SUM(BB148:BC148)</f>
        <v>0</v>
      </c>
      <c r="BE148" s="91">
        <f t="shared" ref="BE148" si="328">+BC148</f>
        <v>0</v>
      </c>
      <c r="BF148" s="91">
        <f t="shared" ref="BF148" si="329">+BE148</f>
        <v>0</v>
      </c>
      <c r="BG148" s="90">
        <f t="shared" ref="BG148" si="330">+SUM(BE148:BF148)</f>
        <v>0</v>
      </c>
      <c r="BH148" s="91"/>
      <c r="BJ148"/>
      <c r="BK148"/>
      <c r="BL148"/>
      <c r="BM148"/>
      <c r="BN148"/>
      <c r="BO148"/>
    </row>
    <row r="149" spans="2:67" s="61" customFormat="1">
      <c r="B149" s="88" t="s">
        <v>69</v>
      </c>
      <c r="C149" s="88"/>
      <c r="D149" s="89" t="s">
        <v>159</v>
      </c>
      <c r="E149" s="176">
        <v>0</v>
      </c>
      <c r="F149" s="151">
        <v>0</v>
      </c>
      <c r="G149" s="91">
        <f t="shared" si="299"/>
        <v>0</v>
      </c>
      <c r="H149" s="176">
        <v>0</v>
      </c>
      <c r="I149" s="151">
        <v>0</v>
      </c>
      <c r="J149" s="91">
        <f t="shared" si="300"/>
        <v>0</v>
      </c>
      <c r="K149" s="176">
        <v>0</v>
      </c>
      <c r="L149" s="151">
        <v>0.57299999999999995</v>
      </c>
      <c r="M149" s="91">
        <f t="shared" si="301"/>
        <v>-0.57299999999999995</v>
      </c>
      <c r="N149" s="176">
        <v>0</v>
      </c>
      <c r="O149" s="179">
        <v>0</v>
      </c>
      <c r="P149" s="91">
        <f t="shared" si="302"/>
        <v>0</v>
      </c>
      <c r="Q149" s="176">
        <v>0</v>
      </c>
      <c r="R149" s="179">
        <v>0</v>
      </c>
      <c r="S149" s="91">
        <f t="shared" si="303"/>
        <v>3.0139999999999998</v>
      </c>
      <c r="T149" s="177">
        <v>3.0139999999999998</v>
      </c>
      <c r="U149" s="181">
        <v>1.6779999999999999</v>
      </c>
      <c r="V149" s="91">
        <f>+W149-U149</f>
        <v>2.5099999999999998</v>
      </c>
      <c r="W149" s="177">
        <v>4.1879999999999997</v>
      </c>
      <c r="X149" s="178">
        <v>1.7889999999999999</v>
      </c>
      <c r="Y149" s="91">
        <f>+Z149-X149</f>
        <v>426.11500000000001</v>
      </c>
      <c r="Z149" s="177">
        <v>427.904</v>
      </c>
      <c r="AA149" s="178">
        <v>0</v>
      </c>
      <c r="AB149" s="91">
        <f>+AC149-AA149</f>
        <v>0</v>
      </c>
      <c r="AC149" s="174">
        <v>0</v>
      </c>
      <c r="AD149" s="175" t="str">
        <f>IF(AD210-AC210+AD221-AC221&gt;0,AD210-AC210+AD221-AC221,"0")</f>
        <v>0</v>
      </c>
      <c r="AE149" s="91">
        <f>+AF149-AD149</f>
        <v>0</v>
      </c>
      <c r="AF149" s="174" t="str">
        <f>IF(AF210-AC210+AF221-AC221&gt;0,AF210-AC210+AF221-AC221,"0")</f>
        <v>0</v>
      </c>
      <c r="AG149" s="175" t="str">
        <f>IF(AG210-AF210+AG221-AF221&gt;0,AG210-AF210+AG221-AF221,"0")</f>
        <v>0</v>
      </c>
      <c r="AH149" s="91">
        <f>+AI149-AG149</f>
        <v>0</v>
      </c>
      <c r="AI149" s="174" t="str">
        <f>IF(AI210-AF210+AI221-AF221&gt;0,AI210-AF210+AI221-AF221,"0")</f>
        <v>0</v>
      </c>
      <c r="AJ149" s="175" t="str">
        <f>IF(AJ210-AI210+AJ221-AI221&gt;0,AJ210-AI210+AJ221-AI221,"0")</f>
        <v>0</v>
      </c>
      <c r="AK149" s="91">
        <f>+AL149-AJ149</f>
        <v>0</v>
      </c>
      <c r="AL149" s="174" t="str">
        <f>IF(AL210-AI210+AL221-AI221&gt;0,AL210-AI210+AL221-AI221,"0")</f>
        <v>0</v>
      </c>
      <c r="AM149" s="175" t="str">
        <f>IF(AM210-AL210+AM221-AL221&gt;0,AM210-AL210+AM221-AL221,"0")</f>
        <v>0</v>
      </c>
      <c r="AN149" s="91">
        <f>+AO149-AM149</f>
        <v>0</v>
      </c>
      <c r="AO149" s="174" t="str">
        <f>IF(AO210-AL210+AO221-AL221&gt;0,AO210-AL210+AO221-AL221,"0")</f>
        <v>0</v>
      </c>
      <c r="AP149" s="175" t="str">
        <f>IF(AP210-AO210+AP221-AO221&gt;0,AP210-AO210+AP221-AO221,"0")</f>
        <v>0</v>
      </c>
      <c r="AQ149" s="91">
        <f>+AR149-AP149</f>
        <v>0</v>
      </c>
      <c r="AR149" s="174" t="str">
        <f>IF(AR210-AO210+AR221-AO221&gt;0,AR210-AO210+AR221-AO221,"0")</f>
        <v>0</v>
      </c>
      <c r="AS149" s="175" t="str">
        <f>IF(AS210-AR210+AS221-AR221&gt;0,AS210-AR210+AS221-AR221,"0")</f>
        <v>0</v>
      </c>
      <c r="AT149" s="91">
        <f>+AU149-AS149</f>
        <v>0</v>
      </c>
      <c r="AU149" s="174" t="str">
        <f>IF(AU210-AR210+AU221-AR221&gt;0,AU210-AR210+AU221-AR221,"0")</f>
        <v>0</v>
      </c>
      <c r="AV149" s="175" t="str">
        <f>IF(AV210-AU210+AV221-AU221&gt;0,AV210-AU210+AV221-AU221,"0")</f>
        <v>0</v>
      </c>
      <c r="AW149" s="91">
        <f>+AX149-AV149</f>
        <v>0</v>
      </c>
      <c r="AX149" s="174" t="str">
        <f>IF(AX210-AU210+AX221-AU221&gt;0,AX210-AU210+AX221-AU221,"0")</f>
        <v>0</v>
      </c>
      <c r="AY149" s="175" t="str">
        <f>IF(AY210-AX210+AY221-AX221&gt;0,AY210-AX210+AY221-AX221,"0")</f>
        <v>0</v>
      </c>
      <c r="AZ149" s="91">
        <f>+BA149-AY149</f>
        <v>0</v>
      </c>
      <c r="BA149" s="174" t="str">
        <f>IF(BA210-AX210+BA221-AX221&gt;0,BA210-AX210+BA221-AX221,"0")</f>
        <v>0</v>
      </c>
      <c r="BB149" s="175" t="str">
        <f>IF(BB210-BA210+BB221-BA221&gt;0,BB210-BA210+BB221-BA221,"0")</f>
        <v>0</v>
      </c>
      <c r="BC149" s="91">
        <f>+BD149-BB149</f>
        <v>0</v>
      </c>
      <c r="BD149" s="174" t="str">
        <f>IF(BD210-BA210+BD221-BA221&gt;0,BD210-BA210+BD221-BA221,"0")</f>
        <v>0</v>
      </c>
      <c r="BE149" s="175" t="str">
        <f>IF(BE210-BD210+BE221-BD221&gt;0,BE210-BD210+BE221-BD221,"0")</f>
        <v>0</v>
      </c>
      <c r="BF149" s="91">
        <f>+BG149-BE149</f>
        <v>0</v>
      </c>
      <c r="BG149" s="174" t="str">
        <f>IF(BG210-BD210+BG221-BD221&gt;0,BG210-BD210+BG221-BD221,"0")</f>
        <v>0</v>
      </c>
      <c r="BH149" s="175"/>
      <c r="BJ149"/>
      <c r="BK149"/>
      <c r="BL149"/>
      <c r="BM149"/>
      <c r="BN149"/>
      <c r="BO149"/>
    </row>
    <row r="150" spans="2:67" s="61" customFormat="1">
      <c r="B150" s="88" t="s">
        <v>73</v>
      </c>
      <c r="C150" s="88"/>
      <c r="D150" s="89" t="s">
        <v>159</v>
      </c>
      <c r="E150" s="176">
        <v>-0.76917999999999997</v>
      </c>
      <c r="F150" s="151">
        <v>0</v>
      </c>
      <c r="G150" s="91">
        <f t="shared" si="299"/>
        <v>-0.86935399999999996</v>
      </c>
      <c r="H150" s="176">
        <v>-0.86935399999999996</v>
      </c>
      <c r="I150" s="151">
        <v>-0.310421</v>
      </c>
      <c r="J150" s="91">
        <f t="shared" si="300"/>
        <v>-0.632579</v>
      </c>
      <c r="K150" s="176">
        <v>-0.94299999999999995</v>
      </c>
      <c r="L150" s="151">
        <v>-0.28799999999999998</v>
      </c>
      <c r="M150" s="91">
        <f t="shared" si="301"/>
        <v>-0.11400000000000005</v>
      </c>
      <c r="N150" s="176">
        <v>-0.40200000000000002</v>
      </c>
      <c r="O150" s="179">
        <v>-0.316</v>
      </c>
      <c r="P150" s="91">
        <f t="shared" si="302"/>
        <v>-2.4000000000000021E-2</v>
      </c>
      <c r="Q150" s="176">
        <v>-0.34</v>
      </c>
      <c r="R150" s="179">
        <v>-1.2999999999999999E-2</v>
      </c>
      <c r="S150" s="91">
        <f t="shared" si="303"/>
        <v>0</v>
      </c>
      <c r="T150" s="177">
        <v>-1.2999999999999999E-2</v>
      </c>
      <c r="U150" s="181">
        <v>0</v>
      </c>
      <c r="V150" s="91">
        <f>+W150-U150</f>
        <v>0</v>
      </c>
      <c r="W150" s="177">
        <v>0</v>
      </c>
      <c r="X150" s="178">
        <v>-0.29799999999999999</v>
      </c>
      <c r="Y150" s="91">
        <f>+Z150-X150</f>
        <v>-0.44700000000000001</v>
      </c>
      <c r="Z150" s="177">
        <v>-0.745</v>
      </c>
      <c r="AA150" s="178">
        <v>-0.45100000000000001</v>
      </c>
      <c r="AB150" s="91">
        <v>0</v>
      </c>
      <c r="AC150" s="174">
        <f>+AA150+AB150</f>
        <v>-0.45100000000000001</v>
      </c>
      <c r="AD150" s="175" t="str">
        <f>IF(AD210-AC210+AD221-AC221&lt;0,AD210-AC210+AD221-AC221,"0")</f>
        <v>0</v>
      </c>
      <c r="AE150" s="91">
        <f>+AF150-AD150</f>
        <v>0</v>
      </c>
      <c r="AF150" s="174" t="str">
        <f>IF(AF210-AC210+AF221-AC221&lt;0,AF210-AC210+AF221-AC221,"0")</f>
        <v>0</v>
      </c>
      <c r="AG150" s="175" t="str">
        <f>IF(AG210-AF210+AG221-AF221&lt;0,AG210-AF210+AG221-AF221,"0")</f>
        <v>0</v>
      </c>
      <c r="AH150" s="91">
        <f>+AI150-AG150</f>
        <v>0</v>
      </c>
      <c r="AI150" s="174" t="str">
        <f>IF(AI210-AF210+AI221-AF221&lt;0,AI210-AF210+AI221-AF221,"0")</f>
        <v>0</v>
      </c>
      <c r="AJ150" s="175">
        <v>0</v>
      </c>
      <c r="AK150" s="91">
        <f>+AL150-AJ150</f>
        <v>0</v>
      </c>
      <c r="AL150" s="174">
        <v>0</v>
      </c>
      <c r="AM150" s="175">
        <v>0</v>
      </c>
      <c r="AN150" s="91">
        <f t="shared" ref="AN150" si="331">+AO150-AM150</f>
        <v>0</v>
      </c>
      <c r="AO150" s="174">
        <v>0</v>
      </c>
      <c r="AP150" s="175">
        <v>0</v>
      </c>
      <c r="AQ150" s="91">
        <f t="shared" ref="AQ150" si="332">+AR150-AP150</f>
        <v>0</v>
      </c>
      <c r="AR150" s="174">
        <v>0</v>
      </c>
      <c r="AS150" s="175">
        <v>0</v>
      </c>
      <c r="AT150" s="91">
        <f t="shared" ref="AT150" si="333">+AU150-AS150</f>
        <v>0</v>
      </c>
      <c r="AU150" s="174">
        <v>0</v>
      </c>
      <c r="AV150" s="175">
        <v>0</v>
      </c>
      <c r="AW150" s="91">
        <f t="shared" ref="AW150" si="334">+AX150-AV150</f>
        <v>0</v>
      </c>
      <c r="AX150" s="174">
        <v>0</v>
      </c>
      <c r="AY150" s="175">
        <v>0</v>
      </c>
      <c r="AZ150" s="91">
        <f t="shared" ref="AZ150" si="335">+BA150-AY150</f>
        <v>0</v>
      </c>
      <c r="BA150" s="174">
        <v>0</v>
      </c>
      <c r="BB150" s="175">
        <v>0</v>
      </c>
      <c r="BC150" s="91">
        <f t="shared" ref="BC150" si="336">+BD150-BB150</f>
        <v>0</v>
      </c>
      <c r="BD150" s="174">
        <v>0</v>
      </c>
      <c r="BE150" s="175">
        <v>0</v>
      </c>
      <c r="BF150" s="91">
        <f t="shared" ref="BF150" si="337">+BG150-BE150</f>
        <v>0</v>
      </c>
      <c r="BG150" s="174">
        <v>0</v>
      </c>
      <c r="BH150" s="175"/>
      <c r="BJ150"/>
      <c r="BK150"/>
      <c r="BL150"/>
      <c r="BM150"/>
      <c r="BN150"/>
      <c r="BO150"/>
    </row>
    <row r="151" spans="2:67" s="61" customFormat="1">
      <c r="B151" s="88" t="s">
        <v>274</v>
      </c>
      <c r="C151" s="88"/>
      <c r="D151" s="89" t="s">
        <v>159</v>
      </c>
      <c r="E151" s="176">
        <v>-2.9892379999999998</v>
      </c>
      <c r="F151" s="151">
        <v>0</v>
      </c>
      <c r="G151" s="91">
        <f t="shared" si="299"/>
        <v>0</v>
      </c>
      <c r="H151" s="176">
        <v>0</v>
      </c>
      <c r="I151" s="151">
        <v>0</v>
      </c>
      <c r="J151" s="91">
        <f t="shared" si="300"/>
        <v>-1.3640000000000001</v>
      </c>
      <c r="K151" s="176">
        <v>-1.3640000000000001</v>
      </c>
      <c r="L151" s="151">
        <v>0</v>
      </c>
      <c r="M151" s="91">
        <f t="shared" si="301"/>
        <v>-0.13</v>
      </c>
      <c r="N151" s="176">
        <v>-0.13</v>
      </c>
      <c r="O151" s="179">
        <v>0</v>
      </c>
      <c r="P151" s="91">
        <f t="shared" si="302"/>
        <v>0</v>
      </c>
      <c r="Q151" s="176">
        <v>0</v>
      </c>
      <c r="R151" s="179">
        <v>-7.8159999999999998</v>
      </c>
      <c r="S151" s="91">
        <f t="shared" si="303"/>
        <v>0</v>
      </c>
      <c r="T151" s="177">
        <v>-7.8159999999999998</v>
      </c>
      <c r="U151" s="181">
        <v>0</v>
      </c>
      <c r="V151" s="91">
        <f>+W151-U151</f>
        <v>0</v>
      </c>
      <c r="W151" s="177">
        <v>0</v>
      </c>
      <c r="X151" s="175">
        <v>0</v>
      </c>
      <c r="Y151" s="91">
        <f>+Z151-X151</f>
        <v>-9.7129999999999992</v>
      </c>
      <c r="Z151" s="177">
        <v>-9.7129999999999992</v>
      </c>
      <c r="AA151" s="175">
        <v>0</v>
      </c>
      <c r="AB151" s="91">
        <f>+AC151-AA151</f>
        <v>0</v>
      </c>
      <c r="AC151" s="174">
        <v>0</v>
      </c>
      <c r="AD151" s="175">
        <f>+AD215+AD216+AD217-AC215-AC216-AC217+AD226+AD227+AD228+AD229+AD230-SUM(AC226:AC230)+AD238-AC238+AD225-AC225+AD245-AC245</f>
        <v>0</v>
      </c>
      <c r="AE151" s="91">
        <f>+AF151-AD151</f>
        <v>0</v>
      </c>
      <c r="AF151" s="174">
        <f>AF226+AF227+AF228+AF229+AF230-SUM(AC226:AC230)+AF238-AC238+AF225-AC225+AF245-AC245-Segment!AE247</f>
        <v>0</v>
      </c>
      <c r="AG151" s="175">
        <f>+AG215+AG216+AG217-AF215-AF216-AF217+AG226+AG227+AG228+AG229+AG230-SUM(AF226:AF230)+AG238-AF238+AG225-AF225+AG245-AF245</f>
        <v>0</v>
      </c>
      <c r="AH151" s="91">
        <f>+AI151-AG151</f>
        <v>0</v>
      </c>
      <c r="AI151" s="174">
        <f>AI226+AI227+AI228+AI229+AI230-SUM(AF226:AF230)+AI238-AF238+AI225-AF225+AI245-AF245</f>
        <v>0</v>
      </c>
      <c r="AJ151" s="175">
        <f>+AJ215+AJ216+AJ217-AI215-AI216-AI217+AJ226+AJ227+AJ228+AJ229+AJ230-SUM(AI226:AI230)+AJ238-AI238+AJ225-AI225+AJ245-AI245</f>
        <v>0</v>
      </c>
      <c r="AK151" s="91">
        <f>+AL151-AJ151</f>
        <v>0</v>
      </c>
      <c r="AL151" s="174">
        <f>AL226+AL227+AL228+AL229+AL230-SUM(AI226:AI230)+AL238-AI238+AL225-AI225+AL245-AI245</f>
        <v>0</v>
      </c>
      <c r="AM151" s="175">
        <f>+AM215+AM216+AM217-AL215-AL216-AL217+AM226+AM227+AM228+AM229+AM230-SUM(AL226:AL230)+AM238-AL238+AM225-AL225+AM245-AL245</f>
        <v>0</v>
      </c>
      <c r="AN151" s="91">
        <f>+AO151-AM151</f>
        <v>0</v>
      </c>
      <c r="AO151" s="174">
        <f>AO226+AO227+AO228+AO229+AO230-SUM(AL226:AL230)+AO238-AL238+AO225-AL225+AO245-AL245</f>
        <v>0</v>
      </c>
      <c r="AP151" s="175">
        <f>+AP215+AP216+AP217-AO215-AO216-AO217+AP226+AP227+AP228+AP229+AP230-SUM(AO226:AO230)+AP238-AO238+AP225-AO225+AP245-AO245</f>
        <v>0</v>
      </c>
      <c r="AQ151" s="91">
        <f>+AR151-AP151</f>
        <v>0</v>
      </c>
      <c r="AR151" s="174">
        <f>AR226+AR227+AR228+AR229+AR230-SUM(AO226:AO230)+AR238-AO238+AR225-AO225+AR245-AO245</f>
        <v>0</v>
      </c>
      <c r="AS151" s="175">
        <f>+AS215+AS216+AS217-AR215-AR216-AR217+AS226+AS227+AS228+AS229+AS230-SUM(AR226:AR230)+AS238-AR238+AS225-AR225+AS245-AR245</f>
        <v>0</v>
      </c>
      <c r="AT151" s="91">
        <f>+AU151-AS151</f>
        <v>0</v>
      </c>
      <c r="AU151" s="174">
        <f>AU226+AU227+AU228+AU229+AU230-SUM(AR226:AR230)+AU238-AR238+AU225-AR225+AU245-AR245</f>
        <v>0</v>
      </c>
      <c r="AV151" s="175">
        <f>+AV215+AV216+AV217-AU215-AU216-AU217+AV226+AV227+AV228+AV229+AV230-SUM(AU226:AU230)+AV238-AU238+AV225-AU225+AV245-AU245</f>
        <v>0</v>
      </c>
      <c r="AW151" s="91">
        <f>+AX151-AV151</f>
        <v>0</v>
      </c>
      <c r="AX151" s="174">
        <f>AX226+AX227+AX228+AX229+AX230-SUM(AU226:AU230)+AX238-AU238+AX225-AU225+AX245-AU245</f>
        <v>0</v>
      </c>
      <c r="AY151" s="175">
        <f>+AY215+AY216+AY217-AX215-AX216-AX217+AY226+AY227+AY228+AY229+AY230-SUM(AX226:AX230)+AY238-AX238+AY225-AX225+AY245-AX245</f>
        <v>0</v>
      </c>
      <c r="AZ151" s="91">
        <f>+BA151-AY151</f>
        <v>0</v>
      </c>
      <c r="BA151" s="174">
        <f>BA226+BA227+BA228+BA229+BA230-SUM(AX226:AX230)+BA238-AX238+BA225-AX225+BA245-AX245</f>
        <v>0</v>
      </c>
      <c r="BB151" s="175">
        <f>+BB215+BB216+BB217-BA215-BA216-BA217+BB226+BB227+BB228+BB229+BB230-SUM(BA226:BA230)+BB238-BA238+BB225-BA225+BB245-BA245</f>
        <v>0</v>
      </c>
      <c r="BC151" s="91">
        <f>+BD151-BB151</f>
        <v>0</v>
      </c>
      <c r="BD151" s="174">
        <f>BD226+BD227+BD228+BD229+BD230-SUM(BA226:BA230)+BD238-BA238+BD225-BA225+BD245-BA245</f>
        <v>0</v>
      </c>
      <c r="BE151" s="175">
        <f>+BE215+BE216+BE217-BD215-BD216-BD217+BE226+BE227+BE228+BE229+BE230-SUM(BD226:BD230)+BE238-BD238+BE225-BD225+BE245-BD245</f>
        <v>0</v>
      </c>
      <c r="BF151" s="91">
        <f>+BG151-BE151</f>
        <v>0</v>
      </c>
      <c r="BG151" s="174">
        <f>BG226+BG227+BG228+BG229+BG230-SUM(BD226:BD230)+BG238-BD238+BG225-BD225+BG245-BD245</f>
        <v>0</v>
      </c>
      <c r="BH151" s="175"/>
      <c r="BI151" s="175"/>
      <c r="BJ151"/>
      <c r="BK151"/>
      <c r="BL151"/>
      <c r="BM151"/>
      <c r="BN151"/>
      <c r="BO151"/>
    </row>
    <row r="152" spans="2:67" s="70" customFormat="1">
      <c r="B152" s="71" t="s">
        <v>76</v>
      </c>
      <c r="C152" s="71"/>
      <c r="D152" s="92" t="s">
        <v>159</v>
      </c>
      <c r="E152" s="93">
        <f>SUM(E144,E147:E151)</f>
        <v>54.791733000000001</v>
      </c>
      <c r="F152" s="94">
        <f t="shared" ref="F152:U152" si="338">SUM(F144,F148:F151)</f>
        <v>0</v>
      </c>
      <c r="G152" s="94">
        <f t="shared" si="338"/>
        <v>-0.86935399999999996</v>
      </c>
      <c r="H152" s="93">
        <f t="shared" si="338"/>
        <v>-0.86935399999999996</v>
      </c>
      <c r="I152" s="94">
        <f t="shared" si="338"/>
        <v>-0.43242700000000001</v>
      </c>
      <c r="J152" s="94">
        <f t="shared" si="338"/>
        <v>43.155427000000003</v>
      </c>
      <c r="K152" s="93">
        <f t="shared" si="338"/>
        <v>42.723000000000006</v>
      </c>
      <c r="L152" s="94">
        <f t="shared" si="338"/>
        <v>0.48599999999999993</v>
      </c>
      <c r="M152" s="94">
        <f t="shared" si="338"/>
        <v>33.631000000000007</v>
      </c>
      <c r="N152" s="93">
        <f t="shared" si="338"/>
        <v>34.116999999999997</v>
      </c>
      <c r="O152" s="94">
        <f t="shared" si="338"/>
        <v>0.33900000000000002</v>
      </c>
      <c r="P152" s="94">
        <f t="shared" si="338"/>
        <v>2.5070000000000001</v>
      </c>
      <c r="Q152" s="93">
        <f t="shared" si="338"/>
        <v>2.8460000000000001</v>
      </c>
      <c r="R152" s="94">
        <f t="shared" si="338"/>
        <v>171.17099999999999</v>
      </c>
      <c r="S152" s="94">
        <f t="shared" si="338"/>
        <v>3.7889999999999806</v>
      </c>
      <c r="T152" s="188">
        <f t="shared" si="338"/>
        <v>174.95999999999998</v>
      </c>
      <c r="U152" s="94">
        <f t="shared" si="338"/>
        <v>2.8780000000000001</v>
      </c>
      <c r="V152" s="94">
        <f>+W152-U152</f>
        <v>4.2129999999999992</v>
      </c>
      <c r="W152" s="188">
        <f>+SUM(W147:W151,W144)</f>
        <v>7.0909999999999993</v>
      </c>
      <c r="X152" s="94">
        <f t="shared" ref="X152:BG152" si="339">+SUM(X147:X151,X144)</f>
        <v>1.4219999999999997</v>
      </c>
      <c r="Y152" s="94">
        <f t="shared" si="339"/>
        <v>415.36900000000003</v>
      </c>
      <c r="Z152" s="188">
        <f t="shared" si="339"/>
        <v>416.79099999999994</v>
      </c>
      <c r="AA152" s="94">
        <f t="shared" ref="AA152" si="340">+SUM(AA147:AA151,AA144)</f>
        <v>-2.923</v>
      </c>
      <c r="AB152" s="94">
        <f t="shared" si="339"/>
        <v>0</v>
      </c>
      <c r="AC152" s="93">
        <f t="shared" si="339"/>
        <v>-2.923</v>
      </c>
      <c r="AD152" s="94">
        <f t="shared" si="339"/>
        <v>0</v>
      </c>
      <c r="AE152" s="94">
        <f t="shared" si="339"/>
        <v>0</v>
      </c>
      <c r="AF152" s="93">
        <f t="shared" si="339"/>
        <v>0</v>
      </c>
      <c r="AG152" s="94">
        <f t="shared" si="339"/>
        <v>0</v>
      </c>
      <c r="AH152" s="94">
        <f t="shared" si="339"/>
        <v>0</v>
      </c>
      <c r="AI152" s="93">
        <f t="shared" si="339"/>
        <v>0</v>
      </c>
      <c r="AJ152" s="94">
        <f t="shared" si="339"/>
        <v>0</v>
      </c>
      <c r="AK152" s="94">
        <f t="shared" si="339"/>
        <v>0</v>
      </c>
      <c r="AL152" s="93">
        <f t="shared" si="339"/>
        <v>0</v>
      </c>
      <c r="AM152" s="94">
        <f t="shared" si="339"/>
        <v>0</v>
      </c>
      <c r="AN152" s="94">
        <f t="shared" si="339"/>
        <v>0</v>
      </c>
      <c r="AO152" s="93">
        <f t="shared" si="339"/>
        <v>0</v>
      </c>
      <c r="AP152" s="94">
        <f t="shared" si="339"/>
        <v>0</v>
      </c>
      <c r="AQ152" s="94">
        <f t="shared" si="339"/>
        <v>0</v>
      </c>
      <c r="AR152" s="93">
        <f t="shared" si="339"/>
        <v>0</v>
      </c>
      <c r="AS152" s="94">
        <f t="shared" si="339"/>
        <v>0</v>
      </c>
      <c r="AT152" s="94">
        <f t="shared" si="339"/>
        <v>0</v>
      </c>
      <c r="AU152" s="93">
        <f t="shared" si="339"/>
        <v>0</v>
      </c>
      <c r="AV152" s="94">
        <f t="shared" si="339"/>
        <v>0</v>
      </c>
      <c r="AW152" s="94">
        <f t="shared" si="339"/>
        <v>0</v>
      </c>
      <c r="AX152" s="93">
        <f t="shared" si="339"/>
        <v>0</v>
      </c>
      <c r="AY152" s="94">
        <f t="shared" si="339"/>
        <v>0</v>
      </c>
      <c r="AZ152" s="94">
        <f t="shared" si="339"/>
        <v>0</v>
      </c>
      <c r="BA152" s="93">
        <f t="shared" si="339"/>
        <v>0</v>
      </c>
      <c r="BB152" s="94">
        <f t="shared" si="339"/>
        <v>0</v>
      </c>
      <c r="BC152" s="94">
        <f t="shared" si="339"/>
        <v>0</v>
      </c>
      <c r="BD152" s="93">
        <f t="shared" si="339"/>
        <v>0</v>
      </c>
      <c r="BE152" s="94">
        <f t="shared" si="339"/>
        <v>0</v>
      </c>
      <c r="BF152" s="94">
        <f t="shared" si="339"/>
        <v>0</v>
      </c>
      <c r="BG152" s="93">
        <f t="shared" si="339"/>
        <v>0</v>
      </c>
      <c r="BH152" s="94"/>
      <c r="BJ152"/>
      <c r="BK152"/>
      <c r="BL152"/>
      <c r="BM152"/>
      <c r="BN152"/>
      <c r="BO152"/>
    </row>
    <row r="153" spans="2:67" s="70" customFormat="1">
      <c r="B153" s="71"/>
      <c r="C153" s="71"/>
      <c r="D153" s="89"/>
      <c r="E153" s="174"/>
      <c r="F153" s="91"/>
      <c r="G153" s="91"/>
      <c r="H153" s="174"/>
      <c r="I153" s="91"/>
      <c r="J153" s="91"/>
      <c r="K153" s="174"/>
      <c r="L153" s="91"/>
      <c r="M153" s="91"/>
      <c r="N153" s="174"/>
      <c r="O153" s="175"/>
      <c r="P153" s="91"/>
      <c r="Q153" s="174"/>
      <c r="R153" s="175"/>
      <c r="S153" s="91"/>
      <c r="T153" s="174"/>
      <c r="U153" s="91"/>
      <c r="V153" s="91"/>
      <c r="W153" s="174"/>
      <c r="X153" s="91"/>
      <c r="Y153" s="91"/>
      <c r="Z153" s="174"/>
      <c r="AA153" s="91"/>
      <c r="AB153" s="91"/>
      <c r="AC153" s="174"/>
      <c r="AD153" s="91"/>
      <c r="AE153" s="91"/>
      <c r="AF153" s="174"/>
      <c r="AG153" s="91"/>
      <c r="AH153" s="91"/>
      <c r="AI153" s="174"/>
      <c r="AJ153" s="91"/>
      <c r="AK153" s="91"/>
      <c r="AL153" s="174"/>
      <c r="AM153" s="91"/>
      <c r="AN153" s="91"/>
      <c r="AO153" s="174"/>
      <c r="AP153" s="91"/>
      <c r="AQ153" s="91"/>
      <c r="AR153" s="174"/>
      <c r="AS153" s="91"/>
      <c r="AT153" s="91"/>
      <c r="AU153" s="174"/>
      <c r="AV153" s="91"/>
      <c r="AW153" s="91"/>
      <c r="AX153" s="174"/>
      <c r="AY153" s="91"/>
      <c r="AZ153" s="91"/>
      <c r="BA153" s="174"/>
      <c r="BB153" s="91"/>
      <c r="BC153" s="91"/>
      <c r="BD153" s="174"/>
      <c r="BE153" s="91"/>
      <c r="BF153" s="91"/>
      <c r="BG153" s="174"/>
      <c r="BH153" s="175"/>
      <c r="BJ153"/>
      <c r="BK153"/>
      <c r="BL153"/>
      <c r="BM153"/>
      <c r="BN153"/>
      <c r="BO153"/>
    </row>
    <row r="154" spans="2:67" s="70" customFormat="1">
      <c r="B154" s="71" t="s">
        <v>79</v>
      </c>
      <c r="C154" s="71"/>
      <c r="D154" s="92" t="s">
        <v>159</v>
      </c>
      <c r="E154" s="113">
        <f>E152+E143+E128</f>
        <v>48.758600000000001</v>
      </c>
      <c r="F154" s="114">
        <f t="shared" ref="F154:W154" si="341">F152+F143+F128</f>
        <v>-22.957763</v>
      </c>
      <c r="G154" s="114">
        <f t="shared" si="341"/>
        <v>-1.3518560000000068</v>
      </c>
      <c r="H154" s="113">
        <f t="shared" si="341"/>
        <v>-24.309619000000001</v>
      </c>
      <c r="I154" s="114">
        <f t="shared" si="341"/>
        <v>-15.658469999999999</v>
      </c>
      <c r="J154" s="114">
        <f t="shared" si="341"/>
        <v>34.447462000000002</v>
      </c>
      <c r="K154" s="113">
        <f t="shared" si="341"/>
        <v>18.921000000000006</v>
      </c>
      <c r="L154" s="114">
        <f t="shared" si="341"/>
        <v>-18.630000000000003</v>
      </c>
      <c r="M154" s="114">
        <f t="shared" si="341"/>
        <v>53.616000000000007</v>
      </c>
      <c r="N154" s="113">
        <f t="shared" si="341"/>
        <v>34.985999999999997</v>
      </c>
      <c r="O154" s="114">
        <f t="shared" si="341"/>
        <v>-29.087</v>
      </c>
      <c r="P154" s="114">
        <f t="shared" si="341"/>
        <v>-30.121000000000016</v>
      </c>
      <c r="Q154" s="113">
        <f t="shared" si="341"/>
        <v>-59.208000000000006</v>
      </c>
      <c r="R154" s="114">
        <f t="shared" si="341"/>
        <v>99.61699999999999</v>
      </c>
      <c r="S154" s="114">
        <f t="shared" si="341"/>
        <v>-5.6240000000000077</v>
      </c>
      <c r="T154" s="113">
        <f t="shared" si="341"/>
        <v>93.992999999999967</v>
      </c>
      <c r="U154" s="114">
        <f t="shared" si="341"/>
        <v>7.6320000000000006</v>
      </c>
      <c r="V154" s="114">
        <f t="shared" si="341"/>
        <v>-3.1069999999999993</v>
      </c>
      <c r="W154" s="113">
        <f t="shared" si="341"/>
        <v>4.5249999999999968</v>
      </c>
      <c r="X154" s="114">
        <f>X152+X143+X128</f>
        <v>-5.676999999999996</v>
      </c>
      <c r="Y154" s="94">
        <f t="shared" ref="Y154:BG154" si="342">Y152+Y143+Y128</f>
        <v>363.27100000000007</v>
      </c>
      <c r="Z154" s="113">
        <f t="shared" si="342"/>
        <v>357.59399999999994</v>
      </c>
      <c r="AA154" s="114">
        <f>AA152+AA143+AA128</f>
        <v>-244.02799999999999</v>
      </c>
      <c r="AB154" s="94">
        <f t="shared" si="342"/>
        <v>-74.679632373958469</v>
      </c>
      <c r="AC154" s="113">
        <f t="shared" si="342"/>
        <v>-325.66681237395841</v>
      </c>
      <c r="AD154" s="114">
        <f t="shared" si="342"/>
        <v>-34.925190910825918</v>
      </c>
      <c r="AE154" s="94">
        <f t="shared" si="342"/>
        <v>-24.449328171471855</v>
      </c>
      <c r="AF154" s="113">
        <f t="shared" si="342"/>
        <v>-59.37451908229778</v>
      </c>
      <c r="AG154" s="114">
        <f t="shared" si="342"/>
        <v>-0.38386544998060756</v>
      </c>
      <c r="AH154" s="94">
        <f t="shared" si="342"/>
        <v>4.1935438037433137</v>
      </c>
      <c r="AI154" s="113">
        <f t="shared" si="342"/>
        <v>3.8096783537627061</v>
      </c>
      <c r="AJ154" s="114">
        <f t="shared" si="342"/>
        <v>13.979669021236653</v>
      </c>
      <c r="AK154" s="94">
        <f t="shared" si="342"/>
        <v>19.793719035828396</v>
      </c>
      <c r="AL154" s="113">
        <f t="shared" si="342"/>
        <v>33.773388057065034</v>
      </c>
      <c r="AM154" s="114">
        <f t="shared" si="342"/>
        <v>37.658717581387258</v>
      </c>
      <c r="AN154" s="94">
        <f t="shared" si="342"/>
        <v>51.676507683000516</v>
      </c>
      <c r="AO154" s="113">
        <f t="shared" si="342"/>
        <v>89.335225264387773</v>
      </c>
      <c r="AP154" s="114">
        <f t="shared" si="342"/>
        <v>84.610434121624195</v>
      </c>
      <c r="AQ154" s="94">
        <f t="shared" si="342"/>
        <v>100.72306597633484</v>
      </c>
      <c r="AR154" s="113">
        <f t="shared" si="342"/>
        <v>185.33350009795907</v>
      </c>
      <c r="AS154" s="114">
        <f t="shared" si="342"/>
        <v>119.44427609136966</v>
      </c>
      <c r="AT154" s="94">
        <f t="shared" si="342"/>
        <v>137.25828531944461</v>
      </c>
      <c r="AU154" s="113">
        <f t="shared" si="342"/>
        <v>256.70256141081427</v>
      </c>
      <c r="AV154" s="114">
        <f t="shared" si="342"/>
        <v>158.22959144478617</v>
      </c>
      <c r="AW154" s="94">
        <f t="shared" si="342"/>
        <v>178.76137806032324</v>
      </c>
      <c r="AX154" s="113">
        <f t="shared" si="342"/>
        <v>336.99096950510938</v>
      </c>
      <c r="AY154" s="114">
        <f t="shared" si="342"/>
        <v>199.52452548625865</v>
      </c>
      <c r="AZ154" s="94">
        <f t="shared" si="342"/>
        <v>222.86487730780897</v>
      </c>
      <c r="BA154" s="113">
        <f t="shared" si="342"/>
        <v>422.38940279406745</v>
      </c>
      <c r="BB154" s="114">
        <f t="shared" si="342"/>
        <v>243.95106456947434</v>
      </c>
      <c r="BC154" s="94">
        <f t="shared" si="342"/>
        <v>270.17013678689955</v>
      </c>
      <c r="BD154" s="113">
        <f t="shared" si="342"/>
        <v>514.12120135637383</v>
      </c>
      <c r="BE154" s="114">
        <f t="shared" si="342"/>
        <v>289.95026657565541</v>
      </c>
      <c r="BF154" s="94">
        <f t="shared" si="342"/>
        <v>318.54719242884426</v>
      </c>
      <c r="BG154" s="113">
        <f t="shared" si="342"/>
        <v>608.49745900449955</v>
      </c>
      <c r="BH154" s="114"/>
      <c r="BJ154"/>
      <c r="BK154"/>
      <c r="BL154"/>
      <c r="BM154"/>
      <c r="BN154"/>
      <c r="BO154"/>
    </row>
    <row r="155" spans="2:67" s="190" customFormat="1">
      <c r="E155" s="174"/>
      <c r="F155" s="175"/>
      <c r="G155" s="175"/>
      <c r="H155" s="174"/>
      <c r="I155" s="175"/>
      <c r="J155" s="175"/>
      <c r="K155" s="174"/>
      <c r="L155" s="175"/>
      <c r="M155" s="175"/>
      <c r="N155" s="174"/>
      <c r="O155" s="175"/>
      <c r="P155" s="175"/>
      <c r="Q155" s="174"/>
      <c r="R155" s="175"/>
      <c r="S155" s="175"/>
      <c r="T155" s="174"/>
      <c r="U155" s="175"/>
      <c r="V155" s="175"/>
      <c r="W155" s="174"/>
      <c r="X155" s="175"/>
      <c r="Y155" s="175"/>
      <c r="Z155" s="174"/>
      <c r="AA155" s="175"/>
      <c r="AB155" s="175"/>
      <c r="AC155" s="174"/>
      <c r="AD155" s="175"/>
      <c r="AE155" s="175"/>
      <c r="AF155" s="174"/>
      <c r="AG155" s="175"/>
      <c r="AH155" s="175"/>
      <c r="AI155" s="174"/>
      <c r="AJ155" s="175"/>
      <c r="AK155" s="175"/>
      <c r="AL155" s="174"/>
      <c r="AM155" s="175"/>
      <c r="AN155" s="175"/>
      <c r="AO155" s="174"/>
      <c r="AP155" s="175"/>
      <c r="AQ155" s="175"/>
      <c r="AR155" s="174"/>
      <c r="AS155" s="175"/>
      <c r="AT155" s="175"/>
      <c r="AU155" s="174"/>
      <c r="AV155" s="175"/>
      <c r="AW155" s="175"/>
      <c r="AX155" s="174"/>
      <c r="AY155" s="175"/>
      <c r="AZ155" s="175"/>
      <c r="BA155" s="174"/>
      <c r="BB155" s="175"/>
      <c r="BC155" s="175"/>
      <c r="BD155" s="174"/>
      <c r="BE155" s="175"/>
      <c r="BF155" s="175"/>
      <c r="BG155" s="174"/>
      <c r="BH155" s="175"/>
      <c r="BJ155"/>
      <c r="BK155"/>
      <c r="BL155"/>
      <c r="BM155"/>
      <c r="BN155"/>
      <c r="BO155"/>
    </row>
    <row r="156" spans="2:67" s="190" customFormat="1">
      <c r="E156" s="174"/>
      <c r="F156" s="175"/>
      <c r="G156" s="175"/>
      <c r="H156" s="174"/>
      <c r="I156" s="175"/>
      <c r="J156" s="175"/>
      <c r="K156" s="174"/>
      <c r="L156" s="175"/>
      <c r="M156" s="175"/>
      <c r="N156" s="174"/>
      <c r="O156" s="175"/>
      <c r="P156" s="175"/>
      <c r="Q156" s="174"/>
      <c r="R156" s="175"/>
      <c r="S156" s="175"/>
      <c r="T156" s="174"/>
      <c r="U156" s="175"/>
      <c r="V156" s="175"/>
      <c r="W156" s="174"/>
      <c r="X156" s="175"/>
      <c r="Y156" s="175"/>
      <c r="Z156" s="174"/>
      <c r="AA156" s="175"/>
      <c r="AB156" s="175"/>
      <c r="AC156" s="174"/>
      <c r="AD156" s="175"/>
      <c r="AE156" s="175"/>
      <c r="AF156" s="174"/>
      <c r="AG156" s="175"/>
      <c r="AH156" s="175"/>
      <c r="AI156" s="174"/>
      <c r="AJ156" s="175"/>
      <c r="AK156" s="175"/>
      <c r="AL156" s="174"/>
      <c r="AM156" s="175"/>
      <c r="AN156" s="175"/>
      <c r="AO156" s="174"/>
      <c r="AP156" s="175"/>
      <c r="AQ156" s="175"/>
      <c r="AR156" s="174"/>
      <c r="AS156" s="175"/>
      <c r="AT156" s="175"/>
      <c r="AU156" s="174"/>
      <c r="AV156" s="175"/>
      <c r="AW156" s="175"/>
      <c r="AX156" s="174"/>
      <c r="AY156" s="175"/>
      <c r="AZ156" s="175"/>
      <c r="BA156" s="174"/>
      <c r="BB156" s="175"/>
      <c r="BC156" s="175"/>
      <c r="BD156" s="174"/>
      <c r="BE156" s="175"/>
      <c r="BF156" s="175"/>
      <c r="BG156" s="174"/>
      <c r="BH156" s="175"/>
      <c r="BJ156"/>
      <c r="BK156"/>
      <c r="BL156"/>
      <c r="BM156"/>
      <c r="BN156"/>
      <c r="BO156"/>
    </row>
    <row r="157" spans="2:67" s="190" customFormat="1">
      <c r="B157" s="191" t="s">
        <v>275</v>
      </c>
      <c r="D157" s="89"/>
      <c r="E157" s="174"/>
      <c r="F157" s="175"/>
      <c r="G157" s="175"/>
      <c r="H157" s="174"/>
      <c r="I157" s="175"/>
      <c r="J157" s="175"/>
      <c r="K157" s="174"/>
      <c r="L157" s="175"/>
      <c r="M157" s="175"/>
      <c r="N157" s="174"/>
      <c r="O157" s="175"/>
      <c r="P157" s="175"/>
      <c r="Q157" s="174"/>
      <c r="R157" s="175"/>
      <c r="S157" s="175"/>
      <c r="T157" s="174"/>
      <c r="U157" s="175"/>
      <c r="V157" s="175"/>
      <c r="W157" s="174"/>
      <c r="X157" s="175"/>
      <c r="Y157" s="175"/>
      <c r="Z157" s="174"/>
      <c r="AA157" s="175"/>
      <c r="AB157" s="175"/>
      <c r="AC157" s="174"/>
      <c r="AD157" s="175"/>
      <c r="AE157" s="175"/>
      <c r="AF157" s="174"/>
      <c r="AG157" s="175"/>
      <c r="AH157" s="175"/>
      <c r="AI157" s="174"/>
      <c r="AJ157" s="175"/>
      <c r="AK157" s="175"/>
      <c r="AL157" s="174"/>
      <c r="AM157" s="175"/>
      <c r="AN157" s="175"/>
      <c r="AO157" s="174"/>
      <c r="AP157" s="175"/>
      <c r="AQ157" s="175"/>
      <c r="AR157" s="174"/>
      <c r="AS157" s="175"/>
      <c r="AT157" s="175"/>
      <c r="AU157" s="174"/>
      <c r="AV157" s="175"/>
      <c r="AW157" s="175"/>
      <c r="AX157" s="174"/>
      <c r="AY157" s="175"/>
      <c r="AZ157" s="175"/>
      <c r="BA157" s="174"/>
      <c r="BB157" s="175"/>
      <c r="BC157" s="175"/>
      <c r="BD157" s="174"/>
      <c r="BE157" s="175"/>
      <c r="BF157" s="175"/>
      <c r="BG157" s="174"/>
      <c r="BH157" s="175"/>
      <c r="BJ157"/>
      <c r="BK157"/>
      <c r="BL157"/>
      <c r="BM157"/>
      <c r="BN157"/>
      <c r="BO157"/>
    </row>
    <row r="158" spans="2:67" s="190" customFormat="1">
      <c r="B158" s="71" t="s">
        <v>56</v>
      </c>
      <c r="D158" s="89" t="s">
        <v>159</v>
      </c>
      <c r="E158" s="90">
        <f>+E128</f>
        <v>-6.0315149999999997</v>
      </c>
      <c r="F158" s="91">
        <f>+F128</f>
        <v>-7.2159830000000005</v>
      </c>
      <c r="G158" s="91">
        <f>+H158-F158</f>
        <v>-13.533156999999999</v>
      </c>
      <c r="H158" s="90">
        <f>+H128</f>
        <v>-20.749140000000001</v>
      </c>
      <c r="I158" s="91">
        <f>+I128</f>
        <v>-15.114182</v>
      </c>
      <c r="J158" s="91">
        <f>+K158-I158</f>
        <v>-8.2188179999999988</v>
      </c>
      <c r="K158" s="90">
        <f>+K128</f>
        <v>-23.332999999999998</v>
      </c>
      <c r="L158" s="91">
        <f>+L128</f>
        <v>-18.472000000000001</v>
      </c>
      <c r="M158" s="91">
        <f>+N158-L158</f>
        <v>20.432000000000002</v>
      </c>
      <c r="N158" s="90">
        <f>+N128</f>
        <v>1.96</v>
      </c>
      <c r="O158" s="91">
        <f>+O128</f>
        <v>-28.648</v>
      </c>
      <c r="P158" s="91">
        <f>+Q158-O158</f>
        <v>-30.680000000000003</v>
      </c>
      <c r="Q158" s="90">
        <f>+Q128</f>
        <v>-59.328000000000003</v>
      </c>
      <c r="R158" s="91">
        <f>+R128</f>
        <v>-60.219000000000001</v>
      </c>
      <c r="S158" s="91">
        <f>+T158-R158</f>
        <v>-3.7509999999999977</v>
      </c>
      <c r="T158" s="90">
        <f>+T128</f>
        <v>-63.97</v>
      </c>
      <c r="U158" s="91">
        <f>+U128</f>
        <v>6.7380000000000004</v>
      </c>
      <c r="V158" s="91">
        <f>+W158-U158</f>
        <v>7.5349999999999993</v>
      </c>
      <c r="W158" s="90">
        <f>+W128</f>
        <v>14.273</v>
      </c>
      <c r="X158" s="91">
        <f>+X128</f>
        <v>23.332000000000001</v>
      </c>
      <c r="Y158" s="91">
        <f>+Z158-X158</f>
        <v>4.1579999999999977</v>
      </c>
      <c r="Z158" s="90">
        <f>+Z128</f>
        <v>27.49</v>
      </c>
      <c r="AA158" s="91">
        <f>+AA128</f>
        <v>17.748999999999999</v>
      </c>
      <c r="AB158" s="91">
        <f>+AC158-AA158</f>
        <v>-69.217770931730442</v>
      </c>
      <c r="AC158" s="90">
        <f>+AC128</f>
        <v>-51.468770931730447</v>
      </c>
      <c r="AD158" s="91">
        <f>+AD128</f>
        <v>-12.76674609729309</v>
      </c>
      <c r="AE158" s="91">
        <f>+AF158-AD158</f>
        <v>-1.2292265680921339</v>
      </c>
      <c r="AF158" s="90">
        <f>+AF128</f>
        <v>-13.995972665385224</v>
      </c>
      <c r="AG158" s="91">
        <f>+AG128</f>
        <v>17.268623027115797</v>
      </c>
      <c r="AH158" s="91">
        <f>+AI158-AG158</f>
        <v>22.398361407455905</v>
      </c>
      <c r="AI158" s="90">
        <f>+AI128</f>
        <v>39.666984434571702</v>
      </c>
      <c r="AJ158" s="91">
        <f>+AJ128</f>
        <v>33.93881743996058</v>
      </c>
      <c r="AK158" s="91">
        <f>+AL158-AJ158</f>
        <v>40.390155405826754</v>
      </c>
      <c r="AL158" s="90">
        <f>+AL128</f>
        <v>74.328972845787334</v>
      </c>
      <c r="AM158" s="91">
        <f>+AM128</f>
        <v>63.443865164106313</v>
      </c>
      <c r="AN158" s="91">
        <f>+AO158-AM158</f>
        <v>78.327010859452997</v>
      </c>
      <c r="AO158" s="90">
        <f>+AO128</f>
        <v>141.77087602355931</v>
      </c>
      <c r="AP158" s="91">
        <f>+AP128</f>
        <v>114.74177519572824</v>
      </c>
      <c r="AQ158" s="91">
        <f>+AR158-AP158</f>
        <v>132.94524864270318</v>
      </c>
      <c r="AR158" s="90">
        <f>+AR128</f>
        <v>247.6870238384314</v>
      </c>
      <c r="AS158" s="91">
        <f>+AS128</f>
        <v>154.10268521312804</v>
      </c>
      <c r="AT158" s="91">
        <f>+AU158-AS158</f>
        <v>174.36019316428445</v>
      </c>
      <c r="AU158" s="90">
        <f>+AU128</f>
        <v>328.46287837741249</v>
      </c>
      <c r="AV158" s="91">
        <f>+AV128</f>
        <v>197.51867309800565</v>
      </c>
      <c r="AW158" s="91">
        <f>+AX158-AV158</f>
        <v>220.84811306761611</v>
      </c>
      <c r="AX158" s="90">
        <f>+AX128</f>
        <v>418.36678616562176</v>
      </c>
      <c r="AY158" s="91">
        <f>+AY128</f>
        <v>243.29515576154876</v>
      </c>
      <c r="AZ158" s="91">
        <f>+BA158-AY158</f>
        <v>269.82018230861269</v>
      </c>
      <c r="BA158" s="90">
        <f>+BA128</f>
        <v>513.11533807016144</v>
      </c>
      <c r="BB158" s="91">
        <f>+BB128</f>
        <v>292.1639607955882</v>
      </c>
      <c r="BC158" s="91">
        <f>+BD158-BB158</f>
        <v>321.91339176303768</v>
      </c>
      <c r="BD158" s="90">
        <f>+BD128</f>
        <v>614.07735255862588</v>
      </c>
      <c r="BE158" s="91">
        <f>+BE128</f>
        <v>342.26742313454417</v>
      </c>
      <c r="BF158" s="91">
        <f>+BG158-BE158</f>
        <v>374.71085445843448</v>
      </c>
      <c r="BG158" s="90">
        <f>+BG128</f>
        <v>716.97827759297866</v>
      </c>
      <c r="BH158" s="91"/>
      <c r="BJ158"/>
      <c r="BK158"/>
      <c r="BL158"/>
      <c r="BM158"/>
      <c r="BN158"/>
      <c r="BO158"/>
    </row>
    <row r="159" spans="2:67" s="190" customFormat="1">
      <c r="B159" s="88" t="s">
        <v>276</v>
      </c>
      <c r="D159" s="89" t="s">
        <v>159</v>
      </c>
      <c r="E159" s="90">
        <f t="shared" ref="E159:M159" si="343">E129</f>
        <v>-6.0000000000000001E-3</v>
      </c>
      <c r="F159" s="91">
        <f t="shared" si="343"/>
        <v>-7.0000000000000007E-2</v>
      </c>
      <c r="G159" s="91">
        <f t="shared" si="343"/>
        <v>7.2000000000000008E-2</v>
      </c>
      <c r="H159" s="90">
        <f t="shared" si="343"/>
        <v>2E-3</v>
      </c>
      <c r="I159" s="91">
        <f t="shared" si="343"/>
        <v>-6.0999999999999999E-2</v>
      </c>
      <c r="J159" s="91">
        <f t="shared" si="343"/>
        <v>-0.34300000000000003</v>
      </c>
      <c r="K159" s="90">
        <f t="shared" si="343"/>
        <v>-0.40400000000000003</v>
      </c>
      <c r="L159" s="91">
        <f t="shared" si="343"/>
        <v>-0.2</v>
      </c>
      <c r="M159" s="91">
        <f t="shared" si="343"/>
        <v>-4.7999999999999987E-2</v>
      </c>
      <c r="N159" s="90">
        <f t="shared" ref="N159:BG159" si="344">N129+N148</f>
        <v>-0.75</v>
      </c>
      <c r="O159" s="91">
        <f t="shared" si="344"/>
        <v>-0.52400000000000002</v>
      </c>
      <c r="P159" s="91">
        <f t="shared" si="344"/>
        <v>-1.411</v>
      </c>
      <c r="Q159" s="90">
        <f t="shared" si="344"/>
        <v>-1.9350000000000001</v>
      </c>
      <c r="R159" s="91">
        <f t="shared" si="344"/>
        <v>-2.7920000000000003</v>
      </c>
      <c r="S159" s="91">
        <f t="shared" si="344"/>
        <v>-5.51</v>
      </c>
      <c r="T159" s="90">
        <f t="shared" si="344"/>
        <v>-8.3019999999999996</v>
      </c>
      <c r="U159" s="91">
        <f t="shared" si="344"/>
        <v>-2.5089999999999999</v>
      </c>
      <c r="V159" s="91">
        <f t="shared" si="344"/>
        <v>-5.0640000000000001</v>
      </c>
      <c r="W159" s="90">
        <f t="shared" si="344"/>
        <v>-7.5730000000000004</v>
      </c>
      <c r="X159" s="91">
        <f t="shared" si="344"/>
        <v>-3.556</v>
      </c>
      <c r="Y159" s="91">
        <f t="shared" si="344"/>
        <v>-6.878000000000001</v>
      </c>
      <c r="Z159" s="90">
        <f t="shared" si="344"/>
        <v>-10.434000000000001</v>
      </c>
      <c r="AA159" s="91">
        <f t="shared" ref="AA159" si="345">AA129+AA148</f>
        <v>-9.8160000000000007</v>
      </c>
      <c r="AB159" s="91">
        <f t="shared" si="344"/>
        <v>-13.442023023459978</v>
      </c>
      <c r="AC159" s="90">
        <f t="shared" si="344"/>
        <v>-23.258023023459977</v>
      </c>
      <c r="AD159" s="91">
        <f t="shared" si="344"/>
        <v>-13.295066888119697</v>
      </c>
      <c r="AE159" s="91">
        <f t="shared" si="344"/>
        <v>-13.932060962027835</v>
      </c>
      <c r="AF159" s="90">
        <f t="shared" si="344"/>
        <v>-27.227127850147532</v>
      </c>
      <c r="AG159" s="91">
        <f t="shared" si="344"/>
        <v>-7.565352204469888</v>
      </c>
      <c r="AH159" s="91">
        <f t="shared" si="344"/>
        <v>-7.8020646873053972</v>
      </c>
      <c r="AI159" s="90">
        <f t="shared" si="344"/>
        <v>-15.367416891775285</v>
      </c>
      <c r="AJ159" s="91">
        <f t="shared" si="344"/>
        <v>-8.5539207508816819</v>
      </c>
      <c r="AK159" s="91">
        <f t="shared" si="344"/>
        <v>-8.8270441585707307</v>
      </c>
      <c r="AL159" s="90">
        <f t="shared" si="344"/>
        <v>-17.380964909452413</v>
      </c>
      <c r="AM159" s="91">
        <f t="shared" si="344"/>
        <v>-11.050777535451024</v>
      </c>
      <c r="AN159" s="91">
        <f t="shared" si="344"/>
        <v>-11.421644218479633</v>
      </c>
      <c r="AO159" s="90">
        <f t="shared" si="344"/>
        <v>-22.472421753930657</v>
      </c>
      <c r="AP159" s="91">
        <f t="shared" si="344"/>
        <v>-12.913431888901734</v>
      </c>
      <c r="AQ159" s="91">
        <f t="shared" si="344"/>
        <v>-13.809506857014981</v>
      </c>
      <c r="AR159" s="90">
        <f t="shared" si="344"/>
        <v>-26.722938745916714</v>
      </c>
      <c r="AS159" s="91">
        <f t="shared" si="344"/>
        <v>-14.85360390932502</v>
      </c>
      <c r="AT159" s="91">
        <f t="shared" si="344"/>
        <v>-15.900817647788504</v>
      </c>
      <c r="AU159" s="90">
        <f t="shared" si="344"/>
        <v>-30.754421557113524</v>
      </c>
      <c r="AV159" s="91">
        <f t="shared" si="344"/>
        <v>-16.838177851379783</v>
      </c>
      <c r="AW159" s="91">
        <f t="shared" si="344"/>
        <v>-18.037172145982659</v>
      </c>
      <c r="AX159" s="90">
        <f t="shared" si="344"/>
        <v>-34.875349997362441</v>
      </c>
      <c r="AY159" s="91">
        <f t="shared" si="344"/>
        <v>-18.758841546552901</v>
      </c>
      <c r="AZ159" s="91">
        <f t="shared" si="344"/>
        <v>-20.123702143201662</v>
      </c>
      <c r="BA159" s="90">
        <f t="shared" si="344"/>
        <v>-38.882543689754563</v>
      </c>
      <c r="BB159" s="91">
        <f t="shared" si="344"/>
        <v>-20.662669811191652</v>
      </c>
      <c r="BC159" s="91">
        <f t="shared" si="344"/>
        <v>-22.175680704059236</v>
      </c>
      <c r="BD159" s="90">
        <f t="shared" si="344"/>
        <v>-42.838350515250887</v>
      </c>
      <c r="BE159" s="91">
        <f t="shared" si="344"/>
        <v>-22.421638525238041</v>
      </c>
      <c r="BF159" s="91">
        <f t="shared" si="344"/>
        <v>-24.070140869824431</v>
      </c>
      <c r="BG159" s="90">
        <f t="shared" si="344"/>
        <v>-46.491779395062473</v>
      </c>
      <c r="BH159" s="91"/>
      <c r="BJ159"/>
      <c r="BK159"/>
      <c r="BL159"/>
      <c r="BM159"/>
      <c r="BN159"/>
      <c r="BO159"/>
    </row>
    <row r="160" spans="2:67" s="190" customFormat="1">
      <c r="B160" s="88" t="s">
        <v>272</v>
      </c>
      <c r="D160" s="89" t="s">
        <v>159</v>
      </c>
      <c r="E160" s="90">
        <f>-E147</f>
        <v>0</v>
      </c>
      <c r="F160" s="91">
        <f>-F147</f>
        <v>0</v>
      </c>
      <c r="G160" s="91">
        <f>+H160-F160</f>
        <v>0</v>
      </c>
      <c r="H160" s="90">
        <f>-H147</f>
        <v>0</v>
      </c>
      <c r="I160" s="91">
        <f>-I147</f>
        <v>0</v>
      </c>
      <c r="J160" s="91">
        <f>+K160-I160</f>
        <v>0</v>
      </c>
      <c r="K160" s="90">
        <f>-K147</f>
        <v>0</v>
      </c>
      <c r="L160" s="91">
        <f>-L147</f>
        <v>0</v>
      </c>
      <c r="M160" s="91">
        <f>+N160-L160</f>
        <v>0</v>
      </c>
      <c r="N160" s="90">
        <f>-N147</f>
        <v>0</v>
      </c>
      <c r="O160" s="91">
        <f>-O147</f>
        <v>0</v>
      </c>
      <c r="P160" s="91">
        <f>+Q160-O160</f>
        <v>0</v>
      </c>
      <c r="Q160" s="90">
        <f>-Q147</f>
        <v>0</v>
      </c>
      <c r="R160" s="91">
        <f>-R147</f>
        <v>0</v>
      </c>
      <c r="S160" s="91">
        <f>+T160-R160</f>
        <v>0</v>
      </c>
      <c r="T160" s="90">
        <f>-T147</f>
        <v>0</v>
      </c>
      <c r="U160" s="91">
        <f>-U147</f>
        <v>0</v>
      </c>
      <c r="V160" s="91">
        <f>+W160-U160</f>
        <v>0</v>
      </c>
      <c r="W160" s="90">
        <f>-W147</f>
        <v>0</v>
      </c>
      <c r="X160" s="91">
        <f>-X147</f>
        <v>0</v>
      </c>
      <c r="Y160" s="91">
        <f>+Z160-X160</f>
        <v>0</v>
      </c>
      <c r="Z160" s="90">
        <f>-Z147</f>
        <v>0</v>
      </c>
      <c r="AA160" s="91">
        <f>-AA147</f>
        <v>0</v>
      </c>
      <c r="AB160" s="91">
        <f>+AC160-AA160</f>
        <v>0</v>
      </c>
      <c r="AC160" s="90">
        <f>-AC147</f>
        <v>0</v>
      </c>
      <c r="AD160" s="91">
        <f>-AD147</f>
        <v>0</v>
      </c>
      <c r="AE160" s="91">
        <f>+AF160-AD160</f>
        <v>0</v>
      </c>
      <c r="AF160" s="90">
        <f>-AF147</f>
        <v>0</v>
      </c>
      <c r="AG160" s="91">
        <f>-AG147</f>
        <v>0</v>
      </c>
      <c r="AH160" s="91">
        <f>+AI160-AG160</f>
        <v>0</v>
      </c>
      <c r="AI160" s="90">
        <f>-AI147</f>
        <v>0</v>
      </c>
      <c r="AJ160" s="91">
        <f>-AJ147</f>
        <v>0</v>
      </c>
      <c r="AK160" s="91">
        <f>+AL160-AJ160</f>
        <v>0</v>
      </c>
      <c r="AL160" s="90">
        <f>-AL147</f>
        <v>0</v>
      </c>
      <c r="AM160" s="91">
        <f>-AM147</f>
        <v>0</v>
      </c>
      <c r="AN160" s="91">
        <f>+AO160-AM160</f>
        <v>0</v>
      </c>
      <c r="AO160" s="90">
        <f>-AO147</f>
        <v>0</v>
      </c>
      <c r="AP160" s="91">
        <f>-AP147</f>
        <v>0</v>
      </c>
      <c r="AQ160" s="91">
        <f>+AR160-AP160</f>
        <v>0</v>
      </c>
      <c r="AR160" s="90">
        <f>-AR147</f>
        <v>0</v>
      </c>
      <c r="AS160" s="91">
        <f>-AS147</f>
        <v>0</v>
      </c>
      <c r="AT160" s="91">
        <f>+AU160-AS160</f>
        <v>0</v>
      </c>
      <c r="AU160" s="90">
        <f>-AU147</f>
        <v>0</v>
      </c>
      <c r="AV160" s="91">
        <f>-AV147</f>
        <v>0</v>
      </c>
      <c r="AW160" s="91">
        <f>+AX160-AV160</f>
        <v>0</v>
      </c>
      <c r="AX160" s="90">
        <f>-AX147</f>
        <v>0</v>
      </c>
      <c r="AY160" s="91">
        <f>-AY147</f>
        <v>0</v>
      </c>
      <c r="AZ160" s="91">
        <f>+BA160-AY160</f>
        <v>0</v>
      </c>
      <c r="BA160" s="90">
        <f>-BA147</f>
        <v>0</v>
      </c>
      <c r="BB160" s="91">
        <f>-BB147</f>
        <v>0</v>
      </c>
      <c r="BC160" s="91">
        <f>+BD160-BB160</f>
        <v>0</v>
      </c>
      <c r="BD160" s="90">
        <f>-BD147</f>
        <v>0</v>
      </c>
      <c r="BE160" s="91">
        <f>-BE147</f>
        <v>0</v>
      </c>
      <c r="BF160" s="91">
        <f>+BG160-BE160</f>
        <v>0</v>
      </c>
      <c r="BG160" s="90">
        <f>-BG147</f>
        <v>0</v>
      </c>
      <c r="BH160" s="91"/>
      <c r="BJ160"/>
      <c r="BK160"/>
      <c r="BL160"/>
      <c r="BM160"/>
      <c r="BN160"/>
      <c r="BO160"/>
    </row>
    <row r="161" spans="1:67" s="192" customFormat="1">
      <c r="B161" s="71" t="s">
        <v>277</v>
      </c>
      <c r="D161" s="92" t="s">
        <v>159</v>
      </c>
      <c r="E161" s="90">
        <f t="shared" ref="E161:BG161" si="346">+E158+E159-E160</f>
        <v>-6.037515</v>
      </c>
      <c r="F161" s="91">
        <f t="shared" si="346"/>
        <v>-7.2859830000000008</v>
      </c>
      <c r="G161" s="91">
        <f t="shared" si="346"/>
        <v>-13.461157</v>
      </c>
      <c r="H161" s="90">
        <f t="shared" si="346"/>
        <v>-20.747140000000002</v>
      </c>
      <c r="I161" s="91">
        <f t="shared" si="346"/>
        <v>-15.175182</v>
      </c>
      <c r="J161" s="91">
        <f t="shared" si="346"/>
        <v>-8.5618179999999988</v>
      </c>
      <c r="K161" s="90">
        <f t="shared" si="346"/>
        <v>-23.736999999999998</v>
      </c>
      <c r="L161" s="91">
        <f t="shared" si="346"/>
        <v>-18.672000000000001</v>
      </c>
      <c r="M161" s="91">
        <f t="shared" si="346"/>
        <v>20.384000000000004</v>
      </c>
      <c r="N161" s="90">
        <f t="shared" si="346"/>
        <v>1.21</v>
      </c>
      <c r="O161" s="91">
        <f t="shared" si="346"/>
        <v>-29.172000000000001</v>
      </c>
      <c r="P161" s="91">
        <f t="shared" si="346"/>
        <v>-32.091000000000001</v>
      </c>
      <c r="Q161" s="90">
        <f t="shared" si="346"/>
        <v>-61.263000000000005</v>
      </c>
      <c r="R161" s="91">
        <f t="shared" si="346"/>
        <v>-63.011000000000003</v>
      </c>
      <c r="S161" s="91">
        <f t="shared" si="346"/>
        <v>-9.2609999999999975</v>
      </c>
      <c r="T161" s="90">
        <f t="shared" si="346"/>
        <v>-72.271999999999991</v>
      </c>
      <c r="U161" s="91">
        <f t="shared" si="346"/>
        <v>4.229000000000001</v>
      </c>
      <c r="V161" s="91">
        <f t="shared" si="346"/>
        <v>2.4709999999999992</v>
      </c>
      <c r="W161" s="90">
        <f t="shared" si="346"/>
        <v>6.6999999999999993</v>
      </c>
      <c r="X161" s="91">
        <f t="shared" si="346"/>
        <v>19.776</v>
      </c>
      <c r="Y161" s="91">
        <f t="shared" si="346"/>
        <v>-2.7200000000000033</v>
      </c>
      <c r="Z161" s="90">
        <f t="shared" si="346"/>
        <v>17.055999999999997</v>
      </c>
      <c r="AA161" s="91">
        <f t="shared" ref="AA161" si="347">+AA158+AA159-AA160</f>
        <v>7.9329999999999981</v>
      </c>
      <c r="AB161" s="91">
        <f t="shared" si="346"/>
        <v>-82.659793955190423</v>
      </c>
      <c r="AC161" s="90">
        <f t="shared" si="346"/>
        <v>-74.726793955190431</v>
      </c>
      <c r="AD161" s="91">
        <f t="shared" si="346"/>
        <v>-26.061812985412786</v>
      </c>
      <c r="AE161" s="91">
        <f t="shared" si="346"/>
        <v>-15.161287530119969</v>
      </c>
      <c r="AF161" s="90">
        <f t="shared" si="346"/>
        <v>-41.223100515532757</v>
      </c>
      <c r="AG161" s="91">
        <f t="shared" si="346"/>
        <v>9.7032708226459086</v>
      </c>
      <c r="AH161" s="91">
        <f t="shared" si="346"/>
        <v>14.596296720150509</v>
      </c>
      <c r="AI161" s="90">
        <f t="shared" si="346"/>
        <v>24.299567542796417</v>
      </c>
      <c r="AJ161" s="91">
        <f t="shared" si="346"/>
        <v>25.3848966890789</v>
      </c>
      <c r="AK161" s="91">
        <f t="shared" si="346"/>
        <v>31.563111247256025</v>
      </c>
      <c r="AL161" s="90">
        <f t="shared" si="346"/>
        <v>56.948007936334918</v>
      </c>
      <c r="AM161" s="91">
        <f t="shared" si="346"/>
        <v>52.393087628655287</v>
      </c>
      <c r="AN161" s="91">
        <f t="shared" si="346"/>
        <v>66.905366640973369</v>
      </c>
      <c r="AO161" s="90">
        <f t="shared" si="346"/>
        <v>119.29845426962865</v>
      </c>
      <c r="AP161" s="91">
        <f t="shared" si="346"/>
        <v>101.8283433068265</v>
      </c>
      <c r="AQ161" s="91">
        <f t="shared" si="346"/>
        <v>119.1357417856882</v>
      </c>
      <c r="AR161" s="90">
        <f t="shared" si="346"/>
        <v>220.96408509251469</v>
      </c>
      <c r="AS161" s="91">
        <f t="shared" si="346"/>
        <v>139.24908130380302</v>
      </c>
      <c r="AT161" s="91">
        <f t="shared" si="346"/>
        <v>158.45937551649595</v>
      </c>
      <c r="AU161" s="90">
        <f t="shared" si="346"/>
        <v>297.70845682029898</v>
      </c>
      <c r="AV161" s="91">
        <f t="shared" si="346"/>
        <v>180.68049524662587</v>
      </c>
      <c r="AW161" s="91">
        <f t="shared" si="346"/>
        <v>202.81094092163346</v>
      </c>
      <c r="AX161" s="90">
        <f t="shared" si="346"/>
        <v>383.49143616825933</v>
      </c>
      <c r="AY161" s="91">
        <f t="shared" si="346"/>
        <v>224.53631421499585</v>
      </c>
      <c r="AZ161" s="91">
        <f t="shared" si="346"/>
        <v>249.69648016541103</v>
      </c>
      <c r="BA161" s="90">
        <f t="shared" si="346"/>
        <v>474.23279438040686</v>
      </c>
      <c r="BB161" s="91">
        <f t="shared" si="346"/>
        <v>271.50129098439652</v>
      </c>
      <c r="BC161" s="91">
        <f t="shared" si="346"/>
        <v>299.73771105897845</v>
      </c>
      <c r="BD161" s="90">
        <f t="shared" si="346"/>
        <v>571.23900204337497</v>
      </c>
      <c r="BE161" s="91">
        <f t="shared" si="346"/>
        <v>319.84578460930612</v>
      </c>
      <c r="BF161" s="91">
        <f t="shared" si="346"/>
        <v>350.64071358861003</v>
      </c>
      <c r="BG161" s="90">
        <f t="shared" si="346"/>
        <v>670.48649819791615</v>
      </c>
      <c r="BH161" s="91"/>
      <c r="BJ161"/>
      <c r="BK161"/>
      <c r="BL161"/>
      <c r="BM161"/>
      <c r="BN161"/>
      <c r="BO161"/>
    </row>
    <row r="162" spans="1:67" s="190" customFormat="1" outlineLevel="1">
      <c r="B162" s="71" t="s">
        <v>278</v>
      </c>
      <c r="D162" s="89"/>
      <c r="E162" s="174">
        <f t="shared" ref="E162:S162" si="348">+E128+E129+E131</f>
        <v>-6.037515</v>
      </c>
      <c r="F162" s="175">
        <f t="shared" si="348"/>
        <v>-7.2859830000000008</v>
      </c>
      <c r="G162" s="175">
        <f t="shared" si="348"/>
        <v>-13.461157000000007</v>
      </c>
      <c r="H162" s="174">
        <f t="shared" si="348"/>
        <v>-20.747140000000002</v>
      </c>
      <c r="I162" s="175">
        <f t="shared" si="348"/>
        <v>-15.226042999999999</v>
      </c>
      <c r="J162" s="175">
        <f t="shared" si="348"/>
        <v>-8.7079650000000015</v>
      </c>
      <c r="K162" s="174">
        <f t="shared" si="348"/>
        <v>-23.802</v>
      </c>
      <c r="L162" s="175">
        <f t="shared" si="348"/>
        <v>-18.672000000000001</v>
      </c>
      <c r="M162" s="175">
        <f t="shared" si="348"/>
        <v>20.310000000000002</v>
      </c>
      <c r="N162" s="174">
        <f t="shared" si="348"/>
        <v>1.6379999999999999</v>
      </c>
      <c r="O162" s="175">
        <f t="shared" si="348"/>
        <v>-28.98</v>
      </c>
      <c r="P162" s="175">
        <f t="shared" si="348"/>
        <v>-31.687000000000019</v>
      </c>
      <c r="Q162" s="174">
        <f t="shared" si="348"/>
        <v>-60.667000000000002</v>
      </c>
      <c r="R162" s="175">
        <f t="shared" si="348"/>
        <v>-69.415999999999997</v>
      </c>
      <c r="S162" s="175">
        <f t="shared" si="348"/>
        <v>-8.4149999999999885</v>
      </c>
      <c r="T162" s="174">
        <f>+T128+T129+T131</f>
        <v>-77.830999999999989</v>
      </c>
      <c r="U162" s="175">
        <f t="shared" ref="U162:BG162" si="349">+U128+U129+U131</f>
        <v>4.668000000000001</v>
      </c>
      <c r="V162" s="175">
        <f t="shared" si="349"/>
        <v>2.496</v>
      </c>
      <c r="W162" s="174">
        <f t="shared" si="349"/>
        <v>7.1639999999999997</v>
      </c>
      <c r="X162" s="175">
        <f t="shared" si="349"/>
        <v>12.562000000000001</v>
      </c>
      <c r="Y162" s="175">
        <f t="shared" si="349"/>
        <v>-7.2560000000000064</v>
      </c>
      <c r="Z162" s="174">
        <f t="shared" si="349"/>
        <v>5.3059999999999974</v>
      </c>
      <c r="AA162" s="175">
        <f t="shared" ref="AA162" si="350">+AA128+AA129+AA131</f>
        <v>-6.0280000000000022</v>
      </c>
      <c r="AB162" s="175">
        <f t="shared" si="349"/>
        <v>-74.679632373958469</v>
      </c>
      <c r="AC162" s="174">
        <f t="shared" si="349"/>
        <v>-87.666812373958408</v>
      </c>
      <c r="AD162" s="175">
        <f t="shared" si="349"/>
        <v>-34.925190910825918</v>
      </c>
      <c r="AE162" s="175">
        <f t="shared" si="349"/>
        <v>-24.449328171471855</v>
      </c>
      <c r="AF162" s="174">
        <f t="shared" si="349"/>
        <v>-59.37451908229778</v>
      </c>
      <c r="AG162" s="175">
        <f t="shared" si="349"/>
        <v>-0.38386544998060934</v>
      </c>
      <c r="AH162" s="175">
        <f t="shared" si="349"/>
        <v>4.1935438037433155</v>
      </c>
      <c r="AI162" s="174">
        <f t="shared" si="349"/>
        <v>3.8096783537627026</v>
      </c>
      <c r="AJ162" s="175">
        <f t="shared" si="349"/>
        <v>13.979669021236656</v>
      </c>
      <c r="AK162" s="175">
        <f t="shared" si="349"/>
        <v>19.793719035828396</v>
      </c>
      <c r="AL162" s="174">
        <f t="shared" si="349"/>
        <v>33.773388057065034</v>
      </c>
      <c r="AM162" s="175">
        <f t="shared" si="349"/>
        <v>37.658717581387251</v>
      </c>
      <c r="AN162" s="175">
        <f t="shared" si="349"/>
        <v>51.676507683000523</v>
      </c>
      <c r="AO162" s="174">
        <f t="shared" si="349"/>
        <v>89.335225264387773</v>
      </c>
      <c r="AP162" s="175">
        <f t="shared" si="349"/>
        <v>84.610434121624181</v>
      </c>
      <c r="AQ162" s="175">
        <f t="shared" si="349"/>
        <v>100.72306597633484</v>
      </c>
      <c r="AR162" s="174">
        <f t="shared" si="349"/>
        <v>185.33350009795907</v>
      </c>
      <c r="AS162" s="175">
        <f t="shared" si="349"/>
        <v>119.44427609136966</v>
      </c>
      <c r="AT162" s="175">
        <f t="shared" si="349"/>
        <v>137.25828531944461</v>
      </c>
      <c r="AU162" s="174">
        <f t="shared" si="349"/>
        <v>256.70256141081427</v>
      </c>
      <c r="AV162" s="175">
        <f t="shared" si="349"/>
        <v>158.22959144478617</v>
      </c>
      <c r="AW162" s="175">
        <f t="shared" si="349"/>
        <v>178.76137806032324</v>
      </c>
      <c r="AX162" s="174">
        <f t="shared" si="349"/>
        <v>336.99096950510938</v>
      </c>
      <c r="AY162" s="175">
        <f t="shared" si="349"/>
        <v>199.52452548625865</v>
      </c>
      <c r="AZ162" s="175">
        <f t="shared" si="349"/>
        <v>222.86487730780897</v>
      </c>
      <c r="BA162" s="174">
        <f t="shared" si="349"/>
        <v>422.38940279406745</v>
      </c>
      <c r="BB162" s="175">
        <f t="shared" si="349"/>
        <v>243.95106456947431</v>
      </c>
      <c r="BC162" s="175">
        <f t="shared" si="349"/>
        <v>270.17013678689955</v>
      </c>
      <c r="BD162" s="174">
        <f t="shared" si="349"/>
        <v>514.12120135637383</v>
      </c>
      <c r="BE162" s="175">
        <f t="shared" si="349"/>
        <v>289.95026657565541</v>
      </c>
      <c r="BF162" s="175">
        <f t="shared" si="349"/>
        <v>318.54719242884426</v>
      </c>
      <c r="BG162" s="174">
        <f t="shared" si="349"/>
        <v>608.49745900449955</v>
      </c>
      <c r="BH162" s="175"/>
      <c r="BJ162"/>
      <c r="BK162"/>
      <c r="BL162"/>
      <c r="BM162"/>
      <c r="BN162"/>
      <c r="BO162"/>
    </row>
    <row r="163" spans="1:67" s="61" customFormat="1" outlineLevel="1">
      <c r="B163" s="88" t="s">
        <v>279</v>
      </c>
      <c r="C163" s="88"/>
      <c r="D163" s="89" t="s">
        <v>159</v>
      </c>
      <c r="E163" s="90">
        <v>0</v>
      </c>
      <c r="F163" s="91">
        <f>+E165</f>
        <v>48.758600000000001</v>
      </c>
      <c r="G163" s="91">
        <f>+F165</f>
        <v>26.374993</v>
      </c>
      <c r="H163" s="90">
        <f>+E165</f>
        <v>48.758600000000001</v>
      </c>
      <c r="I163" s="91">
        <f>+H165+0.001</f>
        <v>25.772221000000002</v>
      </c>
      <c r="J163" s="91">
        <f>+I165</f>
        <v>10.145499000000003</v>
      </c>
      <c r="K163" s="90">
        <f>+H165+0.001</f>
        <v>25.772221000000002</v>
      </c>
      <c r="L163" s="91">
        <f>+K165</f>
        <v>44.598221000000009</v>
      </c>
      <c r="M163" s="91">
        <f>+L165</f>
        <v>24.378221000000007</v>
      </c>
      <c r="N163" s="90">
        <f>+K165</f>
        <v>44.598221000000009</v>
      </c>
      <c r="O163" s="91">
        <f>+N165</f>
        <v>77.945221000000018</v>
      </c>
      <c r="P163" s="91">
        <f>+O165</f>
        <v>49.615221000000012</v>
      </c>
      <c r="Q163" s="90">
        <v>77.944999999999993</v>
      </c>
      <c r="R163" s="91">
        <f>+Q165</f>
        <v>22.036999999999988</v>
      </c>
      <c r="S163" s="91">
        <f>+R165</f>
        <v>122.60799999999998</v>
      </c>
      <c r="T163" s="90">
        <v>22.036999999999999</v>
      </c>
      <c r="U163" s="181">
        <v>78.778000000000006</v>
      </c>
      <c r="V163" s="91">
        <f>+U165</f>
        <v>87.328000000000017</v>
      </c>
      <c r="W163" s="90">
        <f>+U163</f>
        <v>78.778000000000006</v>
      </c>
      <c r="X163" s="193">
        <f>+W165</f>
        <v>84.295000000000002</v>
      </c>
      <c r="Y163" s="91">
        <f>+X165</f>
        <v>79.01100000000001</v>
      </c>
      <c r="Z163" s="194">
        <f>+W165</f>
        <v>84.295000000000002</v>
      </c>
      <c r="AA163" s="193">
        <f>+Z165</f>
        <v>439.99899999999997</v>
      </c>
      <c r="AB163" s="91">
        <f>+AA165</f>
        <v>207.15599999999998</v>
      </c>
      <c r="AC163" s="90">
        <f>+Z165</f>
        <v>439.99899999999997</v>
      </c>
      <c r="AD163" s="91">
        <f>+AC165</f>
        <v>125.51718762604156</v>
      </c>
      <c r="AE163" s="91">
        <f>+AD165</f>
        <v>90.591996715215643</v>
      </c>
      <c r="AF163" s="90">
        <f>+AC165</f>
        <v>125.51718762604156</v>
      </c>
      <c r="AG163" s="91">
        <f>+AF165</f>
        <v>66.142668543743781</v>
      </c>
      <c r="AH163" s="91">
        <f>+AG165</f>
        <v>65.758803093763177</v>
      </c>
      <c r="AI163" s="90">
        <f>+AF165</f>
        <v>66.142668543743781</v>
      </c>
      <c r="AJ163" s="91">
        <f>+AI165</f>
        <v>69.952346897506487</v>
      </c>
      <c r="AK163" s="91">
        <f>+AJ165</f>
        <v>83.932015918743133</v>
      </c>
      <c r="AL163" s="90">
        <f>+AI165</f>
        <v>69.952346897506487</v>
      </c>
      <c r="AM163" s="91">
        <f>+AL165</f>
        <v>103.72573495457152</v>
      </c>
      <c r="AN163" s="91">
        <f>+AM165</f>
        <v>141.38445253595879</v>
      </c>
      <c r="AO163" s="90">
        <f>+AL165</f>
        <v>103.72573495457152</v>
      </c>
      <c r="AP163" s="91">
        <f>+AO165</f>
        <v>193.06096021895928</v>
      </c>
      <c r="AQ163" s="91">
        <f>+AP165</f>
        <v>277.67139434058345</v>
      </c>
      <c r="AR163" s="90">
        <f>+AO165</f>
        <v>193.06096021895928</v>
      </c>
      <c r="AS163" s="91">
        <f>+AR165</f>
        <v>378.39446031691836</v>
      </c>
      <c r="AT163" s="91">
        <f>+AS165</f>
        <v>497.83873640828801</v>
      </c>
      <c r="AU163" s="90">
        <f>+AR165</f>
        <v>378.39446031691836</v>
      </c>
      <c r="AV163" s="91">
        <f>+AU165</f>
        <v>635.09702172773268</v>
      </c>
      <c r="AW163" s="91">
        <f>+AV165</f>
        <v>793.32661317251882</v>
      </c>
      <c r="AX163" s="90">
        <f>+AU165</f>
        <v>635.09702172773268</v>
      </c>
      <c r="AY163" s="91">
        <f>+AX165</f>
        <v>972.08799123284211</v>
      </c>
      <c r="AZ163" s="91">
        <f>+AY165</f>
        <v>1171.6125167191008</v>
      </c>
      <c r="BA163" s="90">
        <f>+AX165</f>
        <v>972.08799123284211</v>
      </c>
      <c r="BB163" s="91">
        <f>+BA165</f>
        <v>1394.4773940269097</v>
      </c>
      <c r="BC163" s="91">
        <f>+BB165</f>
        <v>1638.428458596384</v>
      </c>
      <c r="BD163" s="90">
        <f>+BA165</f>
        <v>1394.4773940269097</v>
      </c>
      <c r="BE163" s="91">
        <f>+BD165</f>
        <v>1908.5985953832835</v>
      </c>
      <c r="BF163" s="91">
        <f>+BE165</f>
        <v>2198.5488619589387</v>
      </c>
      <c r="BG163" s="90">
        <f>+BD165</f>
        <v>1908.5985953832835</v>
      </c>
      <c r="BH163" s="91"/>
      <c r="BJ163"/>
      <c r="BK163"/>
      <c r="BL163"/>
      <c r="BM163"/>
      <c r="BN163"/>
      <c r="BO163"/>
    </row>
    <row r="164" spans="1:67" s="61" customFormat="1" outlineLevel="1">
      <c r="B164" s="88" t="s">
        <v>280</v>
      </c>
      <c r="C164" s="88"/>
      <c r="D164" s="89" t="s">
        <v>159</v>
      </c>
      <c r="E164" s="195">
        <v>0</v>
      </c>
      <c r="F164" s="91">
        <v>0.574156</v>
      </c>
      <c r="G164" s="91">
        <f>H164-F164</f>
        <v>0.74808400000000008</v>
      </c>
      <c r="H164" s="195">
        <v>1.3222400000000001</v>
      </c>
      <c r="I164" s="91">
        <v>3.1747999999999998E-2</v>
      </c>
      <c r="J164" s="91">
        <f>K164-I164</f>
        <v>-0.126748</v>
      </c>
      <c r="K164" s="195">
        <v>-9.5000000000000001E-2</v>
      </c>
      <c r="L164" s="91">
        <v>-1.59</v>
      </c>
      <c r="M164" s="91">
        <f>N164-L164</f>
        <v>-4.8999999999999932E-2</v>
      </c>
      <c r="N164" s="195">
        <v>-1.639</v>
      </c>
      <c r="O164" s="196">
        <v>0.75700000000000001</v>
      </c>
      <c r="P164" s="91">
        <f>Q164-O164</f>
        <v>2.5429999999999997</v>
      </c>
      <c r="Q164" s="195">
        <v>3.3</v>
      </c>
      <c r="R164" s="196">
        <v>0.95399999999999996</v>
      </c>
      <c r="S164" s="91">
        <v>-0.65500000000000003</v>
      </c>
      <c r="T164" s="180">
        <v>0.29899999999999999</v>
      </c>
      <c r="U164" s="181">
        <v>0.91800000000000004</v>
      </c>
      <c r="V164" s="91">
        <f>W164-U164</f>
        <v>7.3999999999999955E-2</v>
      </c>
      <c r="W164" s="180">
        <v>0.99199999999999999</v>
      </c>
      <c r="X164" s="181">
        <v>0.39300000000000002</v>
      </c>
      <c r="Y164" s="91">
        <f>Z164-X164</f>
        <v>-2.2829999999999999</v>
      </c>
      <c r="Z164" s="180">
        <v>-1.89</v>
      </c>
      <c r="AA164" s="181">
        <v>11.185</v>
      </c>
      <c r="AB164" s="91"/>
      <c r="AC164" s="195">
        <f>+SUM(AA164:AB164)</f>
        <v>11.185</v>
      </c>
      <c r="AD164" s="91"/>
      <c r="AE164" s="91"/>
      <c r="AF164" s="195"/>
      <c r="AG164" s="91"/>
      <c r="AH164" s="91"/>
      <c r="AI164" s="195"/>
      <c r="AJ164" s="91"/>
      <c r="AK164" s="91"/>
      <c r="AL164" s="195"/>
      <c r="AM164" s="91"/>
      <c r="AN164" s="91"/>
      <c r="AO164" s="195"/>
      <c r="AP164" s="91"/>
      <c r="AQ164" s="91"/>
      <c r="AR164" s="195"/>
      <c r="AS164" s="91"/>
      <c r="AT164" s="91"/>
      <c r="AU164" s="195"/>
      <c r="AV164" s="91"/>
      <c r="AW164" s="91"/>
      <c r="AX164" s="195"/>
      <c r="AY164" s="91"/>
      <c r="AZ164" s="91"/>
      <c r="BA164" s="195"/>
      <c r="BB164" s="91"/>
      <c r="BC164" s="91"/>
      <c r="BD164" s="195"/>
      <c r="BE164" s="91"/>
      <c r="BF164" s="91"/>
      <c r="BG164" s="195"/>
      <c r="BH164" s="196"/>
      <c r="BJ164"/>
      <c r="BK164"/>
      <c r="BL164"/>
      <c r="BM164"/>
      <c r="BN164"/>
      <c r="BO164"/>
    </row>
    <row r="165" spans="1:67" s="61" customFormat="1" outlineLevel="1">
      <c r="B165" s="88" t="s">
        <v>281</v>
      </c>
      <c r="C165" s="88"/>
      <c r="D165" s="89" t="s">
        <v>159</v>
      </c>
      <c r="E165" s="90">
        <f>+E163+E154+E164</f>
        <v>48.758600000000001</v>
      </c>
      <c r="F165" s="91">
        <f>+F163+F154+F164</f>
        <v>26.374993</v>
      </c>
      <c r="G165" s="91">
        <f>+H165</f>
        <v>25.771221000000001</v>
      </c>
      <c r="H165" s="90">
        <f>+H163+H154+H164</f>
        <v>25.771221000000001</v>
      </c>
      <c r="I165" s="91">
        <f>+I163+I154+I164</f>
        <v>10.145499000000003</v>
      </c>
      <c r="J165" s="91">
        <f>+K165</f>
        <v>44.598221000000009</v>
      </c>
      <c r="K165" s="90">
        <f>+K163+K154+K164</f>
        <v>44.598221000000009</v>
      </c>
      <c r="L165" s="91">
        <f>+L163+L154+L164</f>
        <v>24.378221000000007</v>
      </c>
      <c r="M165" s="91">
        <f>+N165</f>
        <v>77.945221000000018</v>
      </c>
      <c r="N165" s="90">
        <f>+N163+N154+N164</f>
        <v>77.945221000000018</v>
      </c>
      <c r="O165" s="91">
        <f>+O163+O154+O164</f>
        <v>49.615221000000012</v>
      </c>
      <c r="P165" s="91">
        <f>+Q165</f>
        <v>22.036999999999988</v>
      </c>
      <c r="Q165" s="90">
        <f>+Q163+Q154+Q164</f>
        <v>22.036999999999988</v>
      </c>
      <c r="R165" s="91">
        <f>+R163+R154+R164</f>
        <v>122.60799999999998</v>
      </c>
      <c r="S165" s="91">
        <f>+T165</f>
        <v>116.32899999999998</v>
      </c>
      <c r="T165" s="180">
        <f>+T163+T154+T164</f>
        <v>116.32899999999998</v>
      </c>
      <c r="U165" s="91">
        <f>+U163+U154+U164</f>
        <v>87.328000000000017</v>
      </c>
      <c r="V165" s="91">
        <f>+V163+V154+V164</f>
        <v>84.295000000000016</v>
      </c>
      <c r="W165" s="90">
        <f>+W163+W154+W164</f>
        <v>84.295000000000002</v>
      </c>
      <c r="X165" s="91">
        <f>+X163+X154+X164</f>
        <v>79.01100000000001</v>
      </c>
      <c r="Y165" s="91">
        <f>+Z165</f>
        <v>439.99899999999997</v>
      </c>
      <c r="Z165" s="90">
        <f>+Z163+Z154+Z164</f>
        <v>439.99899999999997</v>
      </c>
      <c r="AA165" s="91">
        <f>+AA163+AA154+AA164</f>
        <v>207.15599999999998</v>
      </c>
      <c r="AB165" s="91">
        <f>+AC165</f>
        <v>125.51718762604156</v>
      </c>
      <c r="AC165" s="90">
        <f>+AC163+AC154+AC164</f>
        <v>125.51718762604156</v>
      </c>
      <c r="AD165" s="91">
        <f>+AD163+AD154+AD164</f>
        <v>90.591996715215643</v>
      </c>
      <c r="AE165" s="91">
        <f>+AF165</f>
        <v>66.142668543743781</v>
      </c>
      <c r="AF165" s="90">
        <f>+AF163+AF154+AF164</f>
        <v>66.142668543743781</v>
      </c>
      <c r="AG165" s="91">
        <f>+AG163+AG154+AG164</f>
        <v>65.758803093763177</v>
      </c>
      <c r="AH165" s="91">
        <f>+AI165</f>
        <v>69.952346897506487</v>
      </c>
      <c r="AI165" s="90">
        <f>+AI163+AI154+AI164</f>
        <v>69.952346897506487</v>
      </c>
      <c r="AJ165" s="91">
        <f>+AJ163+AJ154+AJ164</f>
        <v>83.932015918743133</v>
      </c>
      <c r="AK165" s="91">
        <f>+AL165</f>
        <v>103.72573495457152</v>
      </c>
      <c r="AL165" s="90">
        <f>+AL163+AL154+AL164</f>
        <v>103.72573495457152</v>
      </c>
      <c r="AM165" s="91">
        <f>+AM163+AM154+AM164</f>
        <v>141.38445253595879</v>
      </c>
      <c r="AN165" s="91">
        <f>+AO165</f>
        <v>193.06096021895928</v>
      </c>
      <c r="AO165" s="90">
        <f>+AO163+AO154+AO164</f>
        <v>193.06096021895928</v>
      </c>
      <c r="AP165" s="91">
        <f>+AP163+AP154+AP164</f>
        <v>277.67139434058345</v>
      </c>
      <c r="AQ165" s="91">
        <f>+AR165</f>
        <v>378.39446031691836</v>
      </c>
      <c r="AR165" s="90">
        <f>+AR163+AR154+AR164</f>
        <v>378.39446031691836</v>
      </c>
      <c r="AS165" s="91">
        <f>+AS163+AS154+AS164</f>
        <v>497.83873640828801</v>
      </c>
      <c r="AT165" s="91">
        <f>+AU165</f>
        <v>635.09702172773268</v>
      </c>
      <c r="AU165" s="90">
        <f>+AU163+AU154+AU164</f>
        <v>635.09702172773268</v>
      </c>
      <c r="AV165" s="91">
        <f>+AV163+AV154+AV164</f>
        <v>793.32661317251882</v>
      </c>
      <c r="AW165" s="91">
        <f>+AX165</f>
        <v>972.08799123284211</v>
      </c>
      <c r="AX165" s="90">
        <f>+AX163+AX154+AX164</f>
        <v>972.08799123284211</v>
      </c>
      <c r="AY165" s="91">
        <f>+AY163+AY154+AY164</f>
        <v>1171.6125167191008</v>
      </c>
      <c r="AZ165" s="91">
        <f>+BA165</f>
        <v>1394.4773940269097</v>
      </c>
      <c r="BA165" s="90">
        <f>+BA163+BA154+BA164</f>
        <v>1394.4773940269097</v>
      </c>
      <c r="BB165" s="91">
        <f>+BB163+BB154+BB164</f>
        <v>1638.428458596384</v>
      </c>
      <c r="BC165" s="91">
        <f>+BD165</f>
        <v>1908.5985953832835</v>
      </c>
      <c r="BD165" s="90">
        <f>+BD163+BD154+BD164</f>
        <v>1908.5985953832835</v>
      </c>
      <c r="BE165" s="91">
        <f>+BE163+BE154+BE164</f>
        <v>2198.5488619589387</v>
      </c>
      <c r="BF165" s="91">
        <f>+BG165</f>
        <v>2517.0960543877832</v>
      </c>
      <c r="BG165" s="90">
        <f>+BG163+BG154+BG164</f>
        <v>2517.0960543877832</v>
      </c>
      <c r="BH165" s="91"/>
      <c r="BJ165"/>
      <c r="BK165"/>
      <c r="BL165"/>
      <c r="BM165"/>
      <c r="BN165"/>
      <c r="BO165"/>
    </row>
    <row r="166" spans="1:67" s="61" customFormat="1" outlineLevel="1">
      <c r="C166" s="53"/>
      <c r="D166" s="53"/>
      <c r="E166" s="197">
        <f>E165-E169</f>
        <v>-3.5799999999852616E-4</v>
      </c>
      <c r="F166" s="198">
        <f t="shared" ref="F166:BG166" si="351">F165-F169</f>
        <v>1.5799999999899228E-4</v>
      </c>
      <c r="G166" s="198">
        <f t="shared" si="351"/>
        <v>1.660000000001105E-4</v>
      </c>
      <c r="H166" s="197">
        <f t="shared" si="351"/>
        <v>1.660000000001105E-4</v>
      </c>
      <c r="I166" s="198">
        <f t="shared" si="351"/>
        <v>1.9500000000327589E-4</v>
      </c>
      <c r="J166" s="198">
        <f t="shared" si="351"/>
        <v>2.2100000001046283E-4</v>
      </c>
      <c r="K166" s="197">
        <f t="shared" si="351"/>
        <v>2.2100000001046283E-4</v>
      </c>
      <c r="L166" s="198">
        <f t="shared" si="351"/>
        <v>2.2100000000691011E-4</v>
      </c>
      <c r="M166" s="198">
        <f t="shared" si="351"/>
        <v>2.2100000002467368E-4</v>
      </c>
      <c r="N166" s="197">
        <f t="shared" si="351"/>
        <v>2.2100000002467368E-4</v>
      </c>
      <c r="O166" s="198">
        <f t="shared" si="351"/>
        <v>2.2100000001046283E-4</v>
      </c>
      <c r="P166" s="198">
        <f t="shared" si="351"/>
        <v>0</v>
      </c>
      <c r="Q166" s="197">
        <f t="shared" si="351"/>
        <v>0</v>
      </c>
      <c r="R166" s="198">
        <f t="shared" si="351"/>
        <v>0</v>
      </c>
      <c r="S166" s="198">
        <f t="shared" si="351"/>
        <v>0</v>
      </c>
      <c r="T166" s="197">
        <f t="shared" si="351"/>
        <v>0</v>
      </c>
      <c r="U166" s="198">
        <f t="shared" si="351"/>
        <v>8.5500000000000114</v>
      </c>
      <c r="V166" s="198">
        <f t="shared" si="351"/>
        <v>0</v>
      </c>
      <c r="W166" s="197">
        <f t="shared" si="351"/>
        <v>0</v>
      </c>
      <c r="X166" s="198">
        <f t="shared" si="351"/>
        <v>22.570223262039576</v>
      </c>
      <c r="Y166" s="198">
        <f t="shared" si="351"/>
        <v>0</v>
      </c>
      <c r="Z166" s="197">
        <f t="shared" si="351"/>
        <v>0</v>
      </c>
      <c r="AA166" s="198">
        <f t="shared" ref="AA166" si="352">AA165-AA169</f>
        <v>0</v>
      </c>
      <c r="AB166" s="198">
        <f t="shared" si="351"/>
        <v>0</v>
      </c>
      <c r="AC166" s="197">
        <f t="shared" si="351"/>
        <v>0</v>
      </c>
      <c r="AD166" s="198">
        <f t="shared" si="351"/>
        <v>0</v>
      </c>
      <c r="AE166" s="198">
        <f t="shared" si="351"/>
        <v>0</v>
      </c>
      <c r="AF166" s="197">
        <f t="shared" si="351"/>
        <v>0</v>
      </c>
      <c r="AG166" s="198">
        <f t="shared" si="351"/>
        <v>0</v>
      </c>
      <c r="AH166" s="198">
        <f t="shared" si="351"/>
        <v>0</v>
      </c>
      <c r="AI166" s="197">
        <f t="shared" si="351"/>
        <v>0</v>
      </c>
      <c r="AJ166" s="198">
        <f t="shared" si="351"/>
        <v>0</v>
      </c>
      <c r="AK166" s="198">
        <f t="shared" si="351"/>
        <v>0</v>
      </c>
      <c r="AL166" s="197">
        <f t="shared" si="351"/>
        <v>0</v>
      </c>
      <c r="AM166" s="198">
        <f t="shared" si="351"/>
        <v>0</v>
      </c>
      <c r="AN166" s="198">
        <f t="shared" si="351"/>
        <v>0</v>
      </c>
      <c r="AO166" s="197">
        <f t="shared" si="351"/>
        <v>0</v>
      </c>
      <c r="AP166" s="198">
        <f t="shared" si="351"/>
        <v>0</v>
      </c>
      <c r="AQ166" s="198">
        <f t="shared" si="351"/>
        <v>0</v>
      </c>
      <c r="AR166" s="197">
        <f t="shared" si="351"/>
        <v>0</v>
      </c>
      <c r="AS166" s="198">
        <f t="shared" si="351"/>
        <v>0</v>
      </c>
      <c r="AT166" s="198">
        <f t="shared" si="351"/>
        <v>0</v>
      </c>
      <c r="AU166" s="197">
        <f t="shared" si="351"/>
        <v>0</v>
      </c>
      <c r="AV166" s="198">
        <f t="shared" si="351"/>
        <v>0</v>
      </c>
      <c r="AW166" s="198">
        <f t="shared" si="351"/>
        <v>0</v>
      </c>
      <c r="AX166" s="197">
        <f t="shared" si="351"/>
        <v>0</v>
      </c>
      <c r="AY166" s="198">
        <f t="shared" si="351"/>
        <v>0</v>
      </c>
      <c r="AZ166" s="198">
        <f t="shared" si="351"/>
        <v>0</v>
      </c>
      <c r="BA166" s="197">
        <f t="shared" si="351"/>
        <v>0</v>
      </c>
      <c r="BB166" s="198">
        <f t="shared" si="351"/>
        <v>0</v>
      </c>
      <c r="BC166" s="198">
        <f t="shared" si="351"/>
        <v>0</v>
      </c>
      <c r="BD166" s="197">
        <f t="shared" si="351"/>
        <v>0</v>
      </c>
      <c r="BE166" s="198">
        <f t="shared" si="351"/>
        <v>0</v>
      </c>
      <c r="BF166" s="198">
        <f t="shared" si="351"/>
        <v>0</v>
      </c>
      <c r="BG166" s="197">
        <f t="shared" si="351"/>
        <v>0</v>
      </c>
      <c r="BH166" s="198"/>
      <c r="BJ166"/>
      <c r="BK166"/>
      <c r="BL166"/>
      <c r="BM166"/>
      <c r="BN166"/>
      <c r="BO166"/>
    </row>
    <row r="167" spans="1:67" s="170" customFormat="1">
      <c r="A167" s="84" t="s">
        <v>282</v>
      </c>
      <c r="B167" s="63"/>
      <c r="C167" s="63"/>
      <c r="D167" s="85" t="str">
        <f t="shared" ref="D167:BG167" si="353">+D4</f>
        <v>Base</v>
      </c>
      <c r="E167" s="86" t="str">
        <f t="shared" si="353"/>
        <v>2017</v>
      </c>
      <c r="F167" s="85" t="str">
        <f t="shared" si="353"/>
        <v>1H18</v>
      </c>
      <c r="G167" s="85" t="str">
        <f t="shared" si="353"/>
        <v>2H18</v>
      </c>
      <c r="H167" s="86" t="str">
        <f t="shared" si="353"/>
        <v>2018</v>
      </c>
      <c r="I167" s="85" t="str">
        <f t="shared" si="353"/>
        <v>1H19</v>
      </c>
      <c r="J167" s="85" t="str">
        <f t="shared" si="353"/>
        <v>2H19</v>
      </c>
      <c r="K167" s="86" t="str">
        <f t="shared" si="353"/>
        <v>2019</v>
      </c>
      <c r="L167" s="85" t="str">
        <f t="shared" si="353"/>
        <v>1H20</v>
      </c>
      <c r="M167" s="85" t="str">
        <f t="shared" si="353"/>
        <v>2H20E</v>
      </c>
      <c r="N167" s="86" t="str">
        <f t="shared" si="353"/>
        <v>2020E</v>
      </c>
      <c r="O167" s="85" t="str">
        <f t="shared" si="353"/>
        <v>1H21</v>
      </c>
      <c r="P167" s="85" t="str">
        <f t="shared" si="353"/>
        <v>2H21</v>
      </c>
      <c r="Q167" s="86" t="str">
        <f t="shared" si="353"/>
        <v>2021</v>
      </c>
      <c r="R167" s="85" t="str">
        <f t="shared" si="353"/>
        <v>1H22</v>
      </c>
      <c r="S167" s="85" t="str">
        <f t="shared" si="353"/>
        <v>2H22</v>
      </c>
      <c r="T167" s="86" t="str">
        <f t="shared" si="353"/>
        <v>2022</v>
      </c>
      <c r="U167" s="85" t="str">
        <f t="shared" si="353"/>
        <v>1H23</v>
      </c>
      <c r="V167" s="85" t="str">
        <f t="shared" si="353"/>
        <v>2H23</v>
      </c>
      <c r="W167" s="86" t="str">
        <f t="shared" si="353"/>
        <v>2023</v>
      </c>
      <c r="X167" s="85" t="str">
        <f t="shared" si="353"/>
        <v>1H24</v>
      </c>
      <c r="Y167" s="85" t="str">
        <f t="shared" si="353"/>
        <v>2H24</v>
      </c>
      <c r="Z167" s="86" t="str">
        <f t="shared" si="353"/>
        <v>2024</v>
      </c>
      <c r="AA167" s="85" t="str">
        <f t="shared" ref="AA167" si="354">+AA4</f>
        <v>1H25</v>
      </c>
      <c r="AB167" s="85" t="str">
        <f t="shared" si="353"/>
        <v>2H25E</v>
      </c>
      <c r="AC167" s="86" t="str">
        <f t="shared" si="353"/>
        <v>2025E</v>
      </c>
      <c r="AD167" s="85" t="str">
        <f t="shared" si="353"/>
        <v>1H26E</v>
      </c>
      <c r="AE167" s="85" t="str">
        <f t="shared" si="353"/>
        <v>2H26E</v>
      </c>
      <c r="AF167" s="86" t="str">
        <f t="shared" si="353"/>
        <v>2026E</v>
      </c>
      <c r="AG167" s="85" t="str">
        <f t="shared" si="353"/>
        <v>1H27E</v>
      </c>
      <c r="AH167" s="85" t="str">
        <f t="shared" si="353"/>
        <v>2H27E</v>
      </c>
      <c r="AI167" s="86" t="str">
        <f t="shared" si="353"/>
        <v>2027E</v>
      </c>
      <c r="AJ167" s="85" t="str">
        <f t="shared" si="353"/>
        <v>1H28E</v>
      </c>
      <c r="AK167" s="85" t="str">
        <f t="shared" si="353"/>
        <v>2H28E</v>
      </c>
      <c r="AL167" s="86" t="str">
        <f t="shared" si="353"/>
        <v>2028E</v>
      </c>
      <c r="AM167" s="85" t="str">
        <f t="shared" si="353"/>
        <v>1H29E</v>
      </c>
      <c r="AN167" s="85" t="str">
        <f t="shared" si="353"/>
        <v>2H29E</v>
      </c>
      <c r="AO167" s="86" t="str">
        <f t="shared" si="353"/>
        <v>2029E</v>
      </c>
      <c r="AP167" s="85" t="str">
        <f t="shared" si="353"/>
        <v>1H30E</v>
      </c>
      <c r="AQ167" s="85" t="str">
        <f t="shared" si="353"/>
        <v>2H30E</v>
      </c>
      <c r="AR167" s="86" t="str">
        <f t="shared" si="353"/>
        <v>2030E</v>
      </c>
      <c r="AS167" s="85" t="str">
        <f t="shared" si="353"/>
        <v>1H31E</v>
      </c>
      <c r="AT167" s="85" t="str">
        <f t="shared" si="353"/>
        <v>2H31E</v>
      </c>
      <c r="AU167" s="86" t="str">
        <f t="shared" si="353"/>
        <v>2031E</v>
      </c>
      <c r="AV167" s="85" t="str">
        <f t="shared" si="353"/>
        <v>1H32E</v>
      </c>
      <c r="AW167" s="85" t="str">
        <f t="shared" si="353"/>
        <v>2H32E</v>
      </c>
      <c r="AX167" s="86" t="str">
        <f t="shared" si="353"/>
        <v>2032E</v>
      </c>
      <c r="AY167" s="85" t="str">
        <f t="shared" si="353"/>
        <v>1H33E</v>
      </c>
      <c r="AZ167" s="85" t="str">
        <f t="shared" si="353"/>
        <v>2H33E</v>
      </c>
      <c r="BA167" s="86" t="str">
        <f t="shared" si="353"/>
        <v>2033E</v>
      </c>
      <c r="BB167" s="85" t="str">
        <f t="shared" si="353"/>
        <v>1H34E</v>
      </c>
      <c r="BC167" s="85" t="str">
        <f t="shared" si="353"/>
        <v>2H34E</v>
      </c>
      <c r="BD167" s="86" t="str">
        <f t="shared" si="353"/>
        <v>2034E</v>
      </c>
      <c r="BE167" s="85" t="str">
        <f t="shared" si="353"/>
        <v>1H35E</v>
      </c>
      <c r="BF167" s="85" t="str">
        <f t="shared" si="353"/>
        <v>2H35E</v>
      </c>
      <c r="BG167" s="86" t="str">
        <f t="shared" si="353"/>
        <v>2035E</v>
      </c>
      <c r="BH167" s="85"/>
      <c r="BJ167"/>
      <c r="BK167"/>
      <c r="BL167"/>
      <c r="BM167"/>
      <c r="BN167"/>
      <c r="BO167"/>
    </row>
    <row r="168" spans="1:67" s="61" customFormat="1">
      <c r="B168" s="88"/>
      <c r="C168" s="88"/>
      <c r="D168" s="199"/>
      <c r="E168" s="200"/>
      <c r="F168" s="201"/>
      <c r="G168" s="201"/>
      <c r="H168" s="200"/>
      <c r="I168" s="201"/>
      <c r="J168" s="201"/>
      <c r="K168" s="200"/>
      <c r="L168" s="201"/>
      <c r="M168" s="201"/>
      <c r="N168" s="200"/>
      <c r="O168" s="201"/>
      <c r="P168" s="201"/>
      <c r="Q168" s="200"/>
      <c r="R168" s="201"/>
      <c r="S168" s="201"/>
      <c r="T168" s="200"/>
      <c r="U168" s="201"/>
      <c r="V168" s="201"/>
      <c r="W168" s="200"/>
      <c r="X168" s="201"/>
      <c r="Y168" s="201"/>
      <c r="Z168" s="200"/>
      <c r="AA168" s="201"/>
      <c r="AB168" s="201"/>
      <c r="AC168" s="200"/>
      <c r="AD168" s="201"/>
      <c r="AE168" s="201"/>
      <c r="AF168" s="200"/>
      <c r="AG168" s="201"/>
      <c r="AH168" s="201"/>
      <c r="AI168" s="200"/>
      <c r="AJ168" s="201"/>
      <c r="AK168" s="201"/>
      <c r="AL168" s="200"/>
      <c r="AM168" s="201"/>
      <c r="AN168" s="201"/>
      <c r="AO168" s="200"/>
      <c r="AP168" s="201"/>
      <c r="AQ168" s="201"/>
      <c r="AR168" s="200"/>
      <c r="AS168" s="201"/>
      <c r="AT168" s="201"/>
      <c r="AU168" s="200"/>
      <c r="AV168" s="201"/>
      <c r="AW168" s="201"/>
      <c r="AX168" s="200"/>
      <c r="AY168" s="201"/>
      <c r="AZ168" s="201"/>
      <c r="BA168" s="200"/>
      <c r="BB168" s="201"/>
      <c r="BC168" s="201"/>
      <c r="BD168" s="200"/>
      <c r="BE168" s="201"/>
      <c r="BF168" s="201"/>
      <c r="BG168" s="200"/>
      <c r="BH168" s="202"/>
      <c r="BJ168"/>
      <c r="BK168"/>
      <c r="BL168"/>
      <c r="BM168"/>
      <c r="BN168"/>
      <c r="BO168"/>
    </row>
    <row r="169" spans="1:67" s="61" customFormat="1">
      <c r="B169" s="96" t="s">
        <v>85</v>
      </c>
      <c r="C169" s="199"/>
      <c r="D169" s="89" t="s">
        <v>159</v>
      </c>
      <c r="E169" s="150">
        <v>48.758958</v>
      </c>
      <c r="F169" s="151">
        <v>26.374835000000001</v>
      </c>
      <c r="G169" s="91">
        <f>H169</f>
        <v>25.771055</v>
      </c>
      <c r="H169" s="150">
        <v>25.771055</v>
      </c>
      <c r="I169" s="151">
        <v>10.145303999999999</v>
      </c>
      <c r="J169" s="91">
        <f>K169</f>
        <v>44.597999999999999</v>
      </c>
      <c r="K169" s="150">
        <v>44.597999999999999</v>
      </c>
      <c r="L169" s="151">
        <v>24.378</v>
      </c>
      <c r="M169" s="91">
        <f>N169</f>
        <v>77.944999999999993</v>
      </c>
      <c r="N169" s="150">
        <v>77.944999999999993</v>
      </c>
      <c r="O169" s="151">
        <v>49.615000000000002</v>
      </c>
      <c r="P169" s="91">
        <f>Q169</f>
        <v>22.036999999999999</v>
      </c>
      <c r="Q169" s="150">
        <v>22.036999999999999</v>
      </c>
      <c r="R169" s="151">
        <v>122.608</v>
      </c>
      <c r="S169" s="91">
        <f>T169</f>
        <v>116.32899999999999</v>
      </c>
      <c r="T169" s="180">
        <v>116.32899999999999</v>
      </c>
      <c r="U169" s="181">
        <f>+U163</f>
        <v>78.778000000000006</v>
      </c>
      <c r="V169" s="91">
        <f>+W169</f>
        <v>84.295000000000002</v>
      </c>
      <c r="W169" s="180">
        <v>84.295000000000002</v>
      </c>
      <c r="X169" s="181">
        <v>56.440776737960434</v>
      </c>
      <c r="Y169" s="91">
        <f>+Z169</f>
        <v>439.99900000000002</v>
      </c>
      <c r="Z169" s="180">
        <v>439.99900000000002</v>
      </c>
      <c r="AA169" s="181">
        <v>207.15600000000001</v>
      </c>
      <c r="AB169" s="91">
        <f t="shared" ref="AB169" si="355">AB165</f>
        <v>125.51718762604156</v>
      </c>
      <c r="AC169" s="90">
        <f>AC165</f>
        <v>125.51718762604156</v>
      </c>
      <c r="AD169" s="91">
        <f>AD165</f>
        <v>90.591996715215643</v>
      </c>
      <c r="AE169" s="91">
        <f t="shared" ref="AE169" si="356">AE165</f>
        <v>66.142668543743781</v>
      </c>
      <c r="AF169" s="90">
        <f>AF165</f>
        <v>66.142668543743781</v>
      </c>
      <c r="AG169" s="91">
        <f>AG165</f>
        <v>65.758803093763177</v>
      </c>
      <c r="AH169" s="91">
        <f t="shared" ref="AH169" si="357">AH165</f>
        <v>69.952346897506487</v>
      </c>
      <c r="AI169" s="90">
        <f>AI165</f>
        <v>69.952346897506487</v>
      </c>
      <c r="AJ169" s="91">
        <f>AJ165</f>
        <v>83.932015918743133</v>
      </c>
      <c r="AK169" s="91">
        <f t="shared" ref="AK169" si="358">AK165</f>
        <v>103.72573495457152</v>
      </c>
      <c r="AL169" s="90">
        <f>AL165</f>
        <v>103.72573495457152</v>
      </c>
      <c r="AM169" s="91">
        <f>AM165</f>
        <v>141.38445253595879</v>
      </c>
      <c r="AN169" s="91">
        <f t="shared" ref="AN169" si="359">AN165</f>
        <v>193.06096021895928</v>
      </c>
      <c r="AO169" s="90">
        <f>AO165</f>
        <v>193.06096021895928</v>
      </c>
      <c r="AP169" s="91">
        <f>AP165</f>
        <v>277.67139434058345</v>
      </c>
      <c r="AQ169" s="91">
        <f t="shared" ref="AQ169" si="360">AQ165</f>
        <v>378.39446031691836</v>
      </c>
      <c r="AR169" s="90">
        <f>AR165</f>
        <v>378.39446031691836</v>
      </c>
      <c r="AS169" s="91">
        <f>AS165</f>
        <v>497.83873640828801</v>
      </c>
      <c r="AT169" s="91">
        <f t="shared" ref="AT169" si="361">AT165</f>
        <v>635.09702172773268</v>
      </c>
      <c r="AU169" s="90">
        <f>AU165</f>
        <v>635.09702172773268</v>
      </c>
      <c r="AV169" s="91">
        <f>AV165</f>
        <v>793.32661317251882</v>
      </c>
      <c r="AW169" s="91">
        <f t="shared" ref="AW169" si="362">AW165</f>
        <v>972.08799123284211</v>
      </c>
      <c r="AX169" s="90">
        <f>AX165</f>
        <v>972.08799123284211</v>
      </c>
      <c r="AY169" s="91">
        <f>AY165</f>
        <v>1171.6125167191008</v>
      </c>
      <c r="AZ169" s="91">
        <f t="shared" ref="AZ169" si="363">AZ165</f>
        <v>1394.4773940269097</v>
      </c>
      <c r="BA169" s="90">
        <f>BA165</f>
        <v>1394.4773940269097</v>
      </c>
      <c r="BB169" s="91">
        <f>BB165</f>
        <v>1638.428458596384</v>
      </c>
      <c r="BC169" s="91">
        <f t="shared" ref="BC169" si="364">BC165</f>
        <v>1908.5985953832835</v>
      </c>
      <c r="BD169" s="90">
        <f>BD165</f>
        <v>1908.5985953832835</v>
      </c>
      <c r="BE169" s="91">
        <f>BE165</f>
        <v>2198.5488619589387</v>
      </c>
      <c r="BF169" s="91">
        <f t="shared" ref="BF169" si="365">BF165</f>
        <v>2517.0960543877832</v>
      </c>
      <c r="BG169" s="90">
        <f>BG165</f>
        <v>2517.0960543877832</v>
      </c>
      <c r="BH169" s="91">
        <f>+AB169-AA169</f>
        <v>-81.638812373958444</v>
      </c>
      <c r="BJ169"/>
      <c r="BK169"/>
      <c r="BL169"/>
      <c r="BM169"/>
      <c r="BN169"/>
      <c r="BO169"/>
    </row>
    <row r="170" spans="1:67" s="61" customFormat="1">
      <c r="B170" s="96" t="s">
        <v>283</v>
      </c>
      <c r="C170" s="199"/>
      <c r="D170" s="89"/>
      <c r="E170" s="150">
        <v>0</v>
      </c>
      <c r="F170" s="151">
        <v>15.666399999999999</v>
      </c>
      <c r="G170" s="91">
        <f>H170</f>
        <v>0</v>
      </c>
      <c r="H170" s="150">
        <v>0</v>
      </c>
      <c r="I170" s="151">
        <v>0</v>
      </c>
      <c r="J170" s="91">
        <f>K170</f>
        <v>0</v>
      </c>
      <c r="K170" s="150">
        <v>0</v>
      </c>
      <c r="L170" s="151">
        <v>0</v>
      </c>
      <c r="M170" s="91">
        <f>N170</f>
        <v>0</v>
      </c>
      <c r="N170" s="150">
        <v>0</v>
      </c>
      <c r="O170" s="151">
        <v>0</v>
      </c>
      <c r="P170" s="91">
        <f>Q170</f>
        <v>0</v>
      </c>
      <c r="Q170" s="150">
        <v>0</v>
      </c>
      <c r="R170" s="151">
        <v>0</v>
      </c>
      <c r="S170" s="91">
        <f>T170</f>
        <v>0</v>
      </c>
      <c r="T170" s="90">
        <v>0</v>
      </c>
      <c r="U170" s="151"/>
      <c r="V170" s="91"/>
      <c r="W170" s="90"/>
      <c r="X170" s="91"/>
      <c r="Y170" s="91"/>
      <c r="Z170" s="90"/>
      <c r="AA170" s="91"/>
      <c r="AB170" s="91"/>
      <c r="AC170" s="90"/>
      <c r="AD170" s="91"/>
      <c r="AE170" s="91"/>
      <c r="AF170" s="90"/>
      <c r="AG170" s="91"/>
      <c r="AH170" s="91"/>
      <c r="AI170" s="90"/>
      <c r="AJ170" s="91"/>
      <c r="AK170" s="91"/>
      <c r="AL170" s="90"/>
      <c r="AM170" s="91"/>
      <c r="AN170" s="91"/>
      <c r="AO170" s="90"/>
      <c r="AP170" s="91"/>
      <c r="AQ170" s="91"/>
      <c r="AR170" s="90"/>
      <c r="AS170" s="91"/>
      <c r="AT170" s="91"/>
      <c r="AU170" s="90"/>
      <c r="AV170" s="91"/>
      <c r="AW170" s="91"/>
      <c r="AX170" s="90"/>
      <c r="AY170" s="91"/>
      <c r="AZ170" s="91"/>
      <c r="BA170" s="90"/>
      <c r="BB170" s="91"/>
      <c r="BC170" s="91"/>
      <c r="BD170" s="90"/>
      <c r="BE170" s="91"/>
      <c r="BF170" s="91"/>
      <c r="BG170" s="90"/>
      <c r="BH170" s="91">
        <f t="shared" ref="BH170:BH233" si="366">+AB170-AA170</f>
        <v>0</v>
      </c>
      <c r="BJ170"/>
      <c r="BK170"/>
      <c r="BL170"/>
      <c r="BM170"/>
      <c r="BN170"/>
      <c r="BO170"/>
    </row>
    <row r="171" spans="1:67" s="61" customFormat="1">
      <c r="B171" s="88" t="s">
        <v>87</v>
      </c>
      <c r="C171" s="199"/>
      <c r="D171" s="89" t="s">
        <v>159</v>
      </c>
      <c r="E171" s="150">
        <v>0.33879900000000002</v>
      </c>
      <c r="F171" s="151">
        <v>4.5140169999999999</v>
      </c>
      <c r="G171" s="91">
        <f>H171</f>
        <v>8.4358470000000008</v>
      </c>
      <c r="H171" s="150">
        <v>8.4358470000000008</v>
      </c>
      <c r="I171" s="151">
        <v>15.296059</v>
      </c>
      <c r="J171" s="91">
        <f>K171</f>
        <v>12.071</v>
      </c>
      <c r="K171" s="150">
        <v>12.071</v>
      </c>
      <c r="L171" s="151">
        <v>17.420999999999999</v>
      </c>
      <c r="M171" s="91">
        <f>N171</f>
        <v>12.398999999999999</v>
      </c>
      <c r="N171" s="150">
        <v>12.398999999999999</v>
      </c>
      <c r="O171" s="151">
        <v>17.202999999999999</v>
      </c>
      <c r="P171" s="91">
        <f>Q171</f>
        <v>19.420000000000002</v>
      </c>
      <c r="Q171" s="150">
        <v>19.420000000000002</v>
      </c>
      <c r="R171" s="151">
        <v>16.91</v>
      </c>
      <c r="S171" s="91">
        <f>T171</f>
        <v>39.353999999999999</v>
      </c>
      <c r="T171" s="180">
        <v>39.353999999999999</v>
      </c>
      <c r="U171" s="181">
        <v>60.737000000000002</v>
      </c>
      <c r="V171" s="91">
        <f t="shared" ref="V171:V182" si="367">+W171</f>
        <v>44.040999999999997</v>
      </c>
      <c r="W171" s="180">
        <v>44.040999999999997</v>
      </c>
      <c r="X171" s="181">
        <v>29.488205093024678</v>
      </c>
      <c r="Y171" s="91">
        <f t="shared" ref="Y171:Y182" si="368">+Z171</f>
        <v>86.927999999999997</v>
      </c>
      <c r="Z171" s="180">
        <v>86.927999999999997</v>
      </c>
      <c r="AA171" s="181">
        <v>123.63</v>
      </c>
      <c r="AB171" s="91">
        <f t="shared" ref="AB171:AB172" si="369">+AC171</f>
        <v>128.70414735014384</v>
      </c>
      <c r="AC171" s="90">
        <f>Segment!AC238*Model!AC29</f>
        <v>128.70414735014384</v>
      </c>
      <c r="AD171" s="91">
        <f>Segment!AD238*(AD29*2)</f>
        <v>141.81404680661012</v>
      </c>
      <c r="AE171" s="91">
        <f t="shared" ref="AE171:AE172" si="370">+AF171</f>
        <v>145.21134853412016</v>
      </c>
      <c r="AF171" s="90">
        <f>Segment!AF238*Model!AF29</f>
        <v>145.21134853412016</v>
      </c>
      <c r="AG171" s="91">
        <f>Segment!AG238*(AG29*2)</f>
        <v>161.39418036202429</v>
      </c>
      <c r="AH171" s="91">
        <f t="shared" ref="AH171:AH172" si="371">+AI171</f>
        <v>163.91911351226972</v>
      </c>
      <c r="AI171" s="90">
        <f>Segment!AI238*Model!AI29</f>
        <v>163.91911351226972</v>
      </c>
      <c r="AJ171" s="91">
        <f>Segment!AJ238*(AJ29*2)</f>
        <v>182.4836426854759</v>
      </c>
      <c r="AK171" s="91">
        <f t="shared" ref="AK171:AK172" si="372">+AL171</f>
        <v>185.3969590341591</v>
      </c>
      <c r="AL171" s="90">
        <f>Segment!AL238*Model!AL29</f>
        <v>185.3969590341591</v>
      </c>
      <c r="AM171" s="91">
        <f>Segment!AM238*(AM29*2)</f>
        <v>235.74992075628853</v>
      </c>
      <c r="AN171" s="91">
        <f t="shared" ref="AN171:AN172" si="373">+AO171</f>
        <v>239.70583204192704</v>
      </c>
      <c r="AO171" s="90">
        <f>Segment!AO238*Model!AO29</f>
        <v>239.70583204192704</v>
      </c>
      <c r="AP171" s="91">
        <f>Segment!AP238*(AP29*2)</f>
        <v>275.486546963237</v>
      </c>
      <c r="AQ171" s="91">
        <f t="shared" ref="AQ171:AQ172" si="374">+AR171</f>
        <v>285.04467995644495</v>
      </c>
      <c r="AR171" s="90">
        <f>Segment!AR238*Model!AR29</f>
        <v>285.04467995644495</v>
      </c>
      <c r="AS171" s="91">
        <f>Segment!AS238*(AS29*2)</f>
        <v>316.87688339893378</v>
      </c>
      <c r="AT171" s="91">
        <f t="shared" ref="AT171:AT172" si="375">+AU171</f>
        <v>328.04716327587761</v>
      </c>
      <c r="AU171" s="90">
        <f>Segment!AU238*Model!AU29</f>
        <v>328.04716327587761</v>
      </c>
      <c r="AV171" s="91">
        <f>Segment!AV238*(AV29*2)</f>
        <v>359.21446082943532</v>
      </c>
      <c r="AW171" s="91">
        <f t="shared" ref="AW171:AW172" si="376">+AX171</f>
        <v>372.00373330519943</v>
      </c>
      <c r="AX171" s="90">
        <f>Segment!AX238*Model!AX29</f>
        <v>372.00373330519943</v>
      </c>
      <c r="AY171" s="91">
        <f>Segment!AY238*(AY29*2)</f>
        <v>400.18861965979522</v>
      </c>
      <c r="AZ171" s="91">
        <f t="shared" ref="AZ171:AZ172" si="377">+BA171</f>
        <v>414.74713269071538</v>
      </c>
      <c r="BA171" s="90">
        <f>Segment!BA238*Model!BA29</f>
        <v>414.74713269071538</v>
      </c>
      <c r="BB171" s="91">
        <f>Segment!BB238*(BB29*2)</f>
        <v>440.80362263875526</v>
      </c>
      <c r="BC171" s="91">
        <f t="shared" ref="BC171:BC172" si="378">+BD171</f>
        <v>456.94240549600948</v>
      </c>
      <c r="BD171" s="90">
        <f>Segment!BD238*Model!BD29</f>
        <v>456.94240549600948</v>
      </c>
      <c r="BE171" s="91">
        <f>Segment!BE238*(BE29*2)</f>
        <v>478.32828853841158</v>
      </c>
      <c r="BF171" s="91">
        <f t="shared" ref="BF171:BF172" si="379">+BG171</f>
        <v>495.91231354733304</v>
      </c>
      <c r="BG171" s="90">
        <f>Segment!BG238*Model!BG29</f>
        <v>495.91231354733304</v>
      </c>
      <c r="BH171" s="91">
        <f t="shared" si="366"/>
        <v>5.0741473501438463</v>
      </c>
      <c r="BJ171"/>
      <c r="BK171"/>
      <c r="BL171"/>
      <c r="BM171"/>
      <c r="BN171"/>
      <c r="BO171"/>
    </row>
    <row r="172" spans="1:67" s="61" customFormat="1">
      <c r="B172" s="96" t="s">
        <v>91</v>
      </c>
      <c r="C172" s="199"/>
      <c r="D172" s="89" t="s">
        <v>159</v>
      </c>
      <c r="E172" s="150">
        <v>0</v>
      </c>
      <c r="F172" s="151">
        <v>0</v>
      </c>
      <c r="G172" s="91">
        <f>H172</f>
        <v>0.64252500000000001</v>
      </c>
      <c r="H172" s="150">
        <v>0.64252500000000001</v>
      </c>
      <c r="I172" s="151">
        <v>0.98324100000000003</v>
      </c>
      <c r="J172" s="91">
        <f>K172</f>
        <v>0.54200000000000004</v>
      </c>
      <c r="K172" s="150">
        <v>0.54200000000000004</v>
      </c>
      <c r="L172" s="151">
        <f>SUM(L173:L176)</f>
        <v>0.44600000000000006</v>
      </c>
      <c r="M172" s="91">
        <f>N172</f>
        <v>0.63300000000000001</v>
      </c>
      <c r="N172" s="150">
        <v>0.63300000000000001</v>
      </c>
      <c r="O172" s="151">
        <v>0.88900000000000001</v>
      </c>
      <c r="P172" s="91">
        <f>Q172</f>
        <v>3.4540000000000002</v>
      </c>
      <c r="Q172" s="150">
        <v>3.4540000000000002</v>
      </c>
      <c r="R172" s="151">
        <v>6.5330000000000004</v>
      </c>
      <c r="S172" s="91">
        <f>T172</f>
        <v>8.4770000000000003</v>
      </c>
      <c r="T172" s="180">
        <v>8.4770000000000003</v>
      </c>
      <c r="U172" s="181">
        <v>12.602</v>
      </c>
      <c r="V172" s="91">
        <f t="shared" si="367"/>
        <v>12.738</v>
      </c>
      <c r="W172" s="180">
        <v>12.738</v>
      </c>
      <c r="X172" s="181">
        <v>20.624535807098823</v>
      </c>
      <c r="Y172" s="91">
        <f t="shared" si="368"/>
        <v>23.62</v>
      </c>
      <c r="Z172" s="180">
        <v>23.62</v>
      </c>
      <c r="AA172" s="181">
        <v>35.229999999999997</v>
      </c>
      <c r="AB172" s="91">
        <f t="shared" si="369"/>
        <v>36.198041442227954</v>
      </c>
      <c r="AC172" s="90">
        <f>Segment!AC239*Model!AC29</f>
        <v>36.198041442227954</v>
      </c>
      <c r="AD172" s="91">
        <f>Segment!AD239*(AD29*2)</f>
        <v>39.88520066435909</v>
      </c>
      <c r="AE172" s="91">
        <f t="shared" si="370"/>
        <v>40.840691775221295</v>
      </c>
      <c r="AF172" s="90">
        <f>Segment!AF239*Model!AF29</f>
        <v>40.840691775221295</v>
      </c>
      <c r="AG172" s="91">
        <f>Segment!AG239*(AG29*2)</f>
        <v>45.392113226819333</v>
      </c>
      <c r="AH172" s="91">
        <f t="shared" si="371"/>
        <v>46.102250675325855</v>
      </c>
      <c r="AI172" s="90">
        <f>Segment!AI239*Model!AI29</f>
        <v>46.102250675325855</v>
      </c>
      <c r="AJ172" s="91">
        <f>Segment!AJ239*(AJ29*2)</f>
        <v>51.323524505290095</v>
      </c>
      <c r="AK172" s="91">
        <f t="shared" si="372"/>
        <v>52.142894728357241</v>
      </c>
      <c r="AL172" s="90">
        <f>Segment!AL239*Model!AL29</f>
        <v>52.142894728357241</v>
      </c>
      <c r="AM172" s="91">
        <f>Segment!AM239*(AM29*2)</f>
        <v>66.304665212706141</v>
      </c>
      <c r="AN172" s="91">
        <f t="shared" si="373"/>
        <v>67.417265261791968</v>
      </c>
      <c r="AO172" s="90">
        <f>Segment!AO239*Model!AO29</f>
        <v>67.417265261791968</v>
      </c>
      <c r="AP172" s="91">
        <f>Segment!AP239*(AP29*2)</f>
        <v>77.480591333410402</v>
      </c>
      <c r="AQ172" s="91">
        <f t="shared" si="374"/>
        <v>80.168816237750136</v>
      </c>
      <c r="AR172" s="90">
        <f>Segment!AR239*Model!AR29</f>
        <v>80.168816237750136</v>
      </c>
      <c r="AS172" s="91">
        <f>Segment!AS239*(AS29*2)</f>
        <v>89.121623455950129</v>
      </c>
      <c r="AT172" s="91">
        <f t="shared" si="375"/>
        <v>92.263264671340579</v>
      </c>
      <c r="AU172" s="90">
        <f>Segment!AU239*Model!AU29</f>
        <v>92.263264671340579</v>
      </c>
      <c r="AV172" s="91">
        <f>Segment!AV239*(AV29*2)</f>
        <v>101.02906710827868</v>
      </c>
      <c r="AW172" s="91">
        <f t="shared" si="376"/>
        <v>104.62604999208733</v>
      </c>
      <c r="AX172" s="90">
        <f>Segment!AX239*Model!AX29</f>
        <v>104.62604999208733</v>
      </c>
      <c r="AY172" s="91">
        <f>Segment!AY239*(AY29*2)</f>
        <v>112.55304927931741</v>
      </c>
      <c r="AZ172" s="91">
        <f t="shared" si="377"/>
        <v>116.6476310692637</v>
      </c>
      <c r="BA172" s="90">
        <f>Segment!BA239*Model!BA29</f>
        <v>116.6476310692637</v>
      </c>
      <c r="BB172" s="91">
        <f>Segment!BB239*(BB29*2)</f>
        <v>123.97601886714992</v>
      </c>
      <c r="BC172" s="91">
        <f t="shared" si="378"/>
        <v>128.51505154575264</v>
      </c>
      <c r="BD172" s="90">
        <f>Segment!BD239*Model!BD29</f>
        <v>128.51505154575264</v>
      </c>
      <c r="BE172" s="91">
        <f>Segment!BE239*(BE29*2)</f>
        <v>134.52983115142825</v>
      </c>
      <c r="BF172" s="91">
        <f t="shared" si="379"/>
        <v>139.47533818518741</v>
      </c>
      <c r="BG172" s="90">
        <f>Segment!BG239*Model!BG29</f>
        <v>139.47533818518741</v>
      </c>
      <c r="BH172" s="91">
        <f t="shared" si="366"/>
        <v>0.96804144222795685</v>
      </c>
      <c r="BJ172"/>
      <c r="BK172"/>
      <c r="BL172"/>
      <c r="BM172"/>
      <c r="BN172"/>
      <c r="BO172"/>
    </row>
    <row r="173" spans="1:67" s="61" customFormat="1" outlineLevel="1">
      <c r="B173" s="88" t="s">
        <v>284</v>
      </c>
      <c r="C173" s="199"/>
      <c r="D173" s="89" t="s">
        <v>159</v>
      </c>
      <c r="E173" s="150">
        <v>0</v>
      </c>
      <c r="F173" s="151">
        <v>0</v>
      </c>
      <c r="G173" s="91">
        <f t="shared" ref="G173:G176" si="380">+H173</f>
        <v>0.08</v>
      </c>
      <c r="H173" s="150">
        <v>0.08</v>
      </c>
      <c r="I173" s="151">
        <v>0.66601399999999999</v>
      </c>
      <c r="J173" s="91">
        <f t="shared" ref="J173:J176" si="381">+K173</f>
        <v>8.4000000000000005E-2</v>
      </c>
      <c r="K173" s="150">
        <v>8.4000000000000005E-2</v>
      </c>
      <c r="L173" s="151">
        <v>0.16700000000000001</v>
      </c>
      <c r="M173" s="91">
        <f t="shared" ref="M173:M176" si="382">+N173</f>
        <v>0.14899999999999999</v>
      </c>
      <c r="N173" s="150">
        <v>0.14899999999999999</v>
      </c>
      <c r="O173" s="151"/>
      <c r="P173" s="91">
        <f t="shared" ref="P173:P176" si="383">+Q173</f>
        <v>3.2829999999999999</v>
      </c>
      <c r="Q173" s="150">
        <v>3.2829999999999999</v>
      </c>
      <c r="R173" s="151"/>
      <c r="S173" s="91">
        <f t="shared" ref="S173:S176" si="384">+T173</f>
        <v>2.4220000000000002</v>
      </c>
      <c r="T173" s="90">
        <v>2.4220000000000002</v>
      </c>
      <c r="U173" s="181"/>
      <c r="V173" s="91"/>
      <c r="W173" s="90"/>
      <c r="X173" s="91"/>
      <c r="Y173" s="91"/>
      <c r="Z173" s="90"/>
      <c r="AA173" s="91"/>
      <c r="AB173" s="91"/>
      <c r="AC173" s="90"/>
      <c r="AD173" s="91"/>
      <c r="AE173" s="91"/>
      <c r="AF173" s="90"/>
      <c r="AG173" s="91"/>
      <c r="AH173" s="91"/>
      <c r="AI173" s="90"/>
      <c r="AJ173" s="91"/>
      <c r="AK173" s="91"/>
      <c r="AL173" s="90"/>
      <c r="AM173" s="91"/>
      <c r="AN173" s="91"/>
      <c r="AO173" s="90"/>
      <c r="AP173" s="91"/>
      <c r="AQ173" s="91"/>
      <c r="AR173" s="90"/>
      <c r="AS173" s="91"/>
      <c r="AT173" s="91"/>
      <c r="AU173" s="90"/>
      <c r="AV173" s="91"/>
      <c r="AW173" s="91"/>
      <c r="AX173" s="90"/>
      <c r="AY173" s="91"/>
      <c r="AZ173" s="91"/>
      <c r="BA173" s="90"/>
      <c r="BB173" s="91"/>
      <c r="BC173" s="91"/>
      <c r="BD173" s="90"/>
      <c r="BE173" s="91"/>
      <c r="BF173" s="91"/>
      <c r="BG173" s="90"/>
      <c r="BH173" s="91">
        <f t="shared" si="366"/>
        <v>0</v>
      </c>
      <c r="BJ173"/>
      <c r="BK173"/>
      <c r="BL173"/>
      <c r="BM173"/>
      <c r="BN173"/>
      <c r="BO173"/>
    </row>
    <row r="174" spans="1:67" s="61" customFormat="1" outlineLevel="1">
      <c r="B174" s="88" t="s">
        <v>285</v>
      </c>
      <c r="C174" s="199"/>
      <c r="D174" s="89" t="s">
        <v>159</v>
      </c>
      <c r="E174" s="150">
        <v>0</v>
      </c>
      <c r="F174" s="151">
        <v>0</v>
      </c>
      <c r="G174" s="91">
        <f t="shared" si="380"/>
        <v>0.51</v>
      </c>
      <c r="H174" s="150">
        <v>0.51</v>
      </c>
      <c r="I174" s="151">
        <v>0.25497700000000001</v>
      </c>
      <c r="J174" s="91">
        <f t="shared" si="381"/>
        <v>0.41199999999999998</v>
      </c>
      <c r="K174" s="150">
        <v>0.41199999999999998</v>
      </c>
      <c r="L174" s="151">
        <v>0.253</v>
      </c>
      <c r="M174" s="91">
        <f t="shared" si="382"/>
        <v>0.40400000000000003</v>
      </c>
      <c r="N174" s="150">
        <v>0.40400000000000003</v>
      </c>
      <c r="O174" s="151"/>
      <c r="P174" s="91">
        <f t="shared" si="383"/>
        <v>0</v>
      </c>
      <c r="Q174" s="150">
        <v>0</v>
      </c>
      <c r="R174" s="151"/>
      <c r="S174" s="91">
        <f t="shared" si="384"/>
        <v>3.7730000000000001</v>
      </c>
      <c r="T174" s="90">
        <v>3.7730000000000001</v>
      </c>
      <c r="U174" s="181"/>
      <c r="V174" s="91"/>
      <c r="W174" s="90"/>
      <c r="X174" s="91"/>
      <c r="Y174" s="91"/>
      <c r="Z174" s="90"/>
      <c r="AA174" s="91"/>
      <c r="AB174" s="91"/>
      <c r="AC174" s="90"/>
      <c r="AD174" s="91"/>
      <c r="AE174" s="91"/>
      <c r="AF174" s="90"/>
      <c r="AG174" s="91"/>
      <c r="AH174" s="91"/>
      <c r="AI174" s="90"/>
      <c r="AJ174" s="91"/>
      <c r="AK174" s="91"/>
      <c r="AL174" s="90"/>
      <c r="AM174" s="91"/>
      <c r="AN174" s="91"/>
      <c r="AO174" s="90"/>
      <c r="AP174" s="91"/>
      <c r="AQ174" s="91"/>
      <c r="AR174" s="90"/>
      <c r="AS174" s="91"/>
      <c r="AT174" s="91"/>
      <c r="AU174" s="90"/>
      <c r="AV174" s="91"/>
      <c r="AW174" s="91"/>
      <c r="AX174" s="90"/>
      <c r="AY174" s="91"/>
      <c r="AZ174" s="91"/>
      <c r="BA174" s="90"/>
      <c r="BB174" s="91"/>
      <c r="BC174" s="91"/>
      <c r="BD174" s="90"/>
      <c r="BE174" s="91"/>
      <c r="BF174" s="91"/>
      <c r="BG174" s="90"/>
      <c r="BH174" s="91">
        <f t="shared" si="366"/>
        <v>0</v>
      </c>
      <c r="BJ174"/>
      <c r="BK174"/>
      <c r="BL174"/>
      <c r="BM174"/>
      <c r="BN174"/>
      <c r="BO174"/>
    </row>
    <row r="175" spans="1:67" s="61" customFormat="1" outlineLevel="1">
      <c r="B175" s="88" t="s">
        <v>286</v>
      </c>
      <c r="C175" s="199"/>
      <c r="D175" s="89" t="s">
        <v>159</v>
      </c>
      <c r="E175" s="150">
        <v>0</v>
      </c>
      <c r="F175" s="151">
        <v>0</v>
      </c>
      <c r="G175" s="91">
        <f t="shared" si="380"/>
        <v>5.2999999999999999E-2</v>
      </c>
      <c r="H175" s="150">
        <v>5.2999999999999999E-2</v>
      </c>
      <c r="I175" s="151">
        <v>6.225E-2</v>
      </c>
      <c r="J175" s="91">
        <f t="shared" si="381"/>
        <v>4.5999999999999999E-2</v>
      </c>
      <c r="K175" s="150">
        <v>4.5999999999999999E-2</v>
      </c>
      <c r="L175" s="151">
        <v>2.5999999999999999E-2</v>
      </c>
      <c r="M175" s="91">
        <f t="shared" si="382"/>
        <v>0.08</v>
      </c>
      <c r="N175" s="150">
        <v>0.08</v>
      </c>
      <c r="O175" s="151"/>
      <c r="P175" s="91">
        <f t="shared" si="383"/>
        <v>0.17100000000000001</v>
      </c>
      <c r="Q175" s="150">
        <v>0.17100000000000001</v>
      </c>
      <c r="R175" s="151"/>
      <c r="S175" s="91">
        <f t="shared" si="384"/>
        <v>2.282</v>
      </c>
      <c r="T175" s="90">
        <v>2.282</v>
      </c>
      <c r="U175" s="181"/>
      <c r="V175" s="91"/>
      <c r="W175" s="90"/>
      <c r="X175" s="91"/>
      <c r="Y175" s="91"/>
      <c r="Z175" s="90"/>
      <c r="AA175" s="91"/>
      <c r="AB175" s="91"/>
      <c r="AC175" s="90"/>
      <c r="AD175" s="91"/>
      <c r="AE175" s="91"/>
      <c r="AF175" s="90"/>
      <c r="AG175" s="91"/>
      <c r="AH175" s="91"/>
      <c r="AI175" s="90"/>
      <c r="AJ175" s="91"/>
      <c r="AK175" s="91"/>
      <c r="AL175" s="90"/>
      <c r="AM175" s="91"/>
      <c r="AN175" s="91"/>
      <c r="AO175" s="90"/>
      <c r="AP175" s="91"/>
      <c r="AQ175" s="91"/>
      <c r="AR175" s="90"/>
      <c r="AS175" s="91"/>
      <c r="AT175" s="91"/>
      <c r="AU175" s="90"/>
      <c r="AV175" s="91"/>
      <c r="AW175" s="91"/>
      <c r="AX175" s="90"/>
      <c r="AY175" s="91"/>
      <c r="AZ175" s="91"/>
      <c r="BA175" s="90"/>
      <c r="BB175" s="91"/>
      <c r="BC175" s="91"/>
      <c r="BD175" s="90"/>
      <c r="BE175" s="91"/>
      <c r="BF175" s="91"/>
      <c r="BG175" s="90"/>
      <c r="BH175" s="91">
        <f t="shared" si="366"/>
        <v>0</v>
      </c>
      <c r="BJ175"/>
      <c r="BK175"/>
      <c r="BL175"/>
      <c r="BM175"/>
      <c r="BN175"/>
      <c r="BO175"/>
    </row>
    <row r="176" spans="1:67" s="61" customFormat="1" outlineLevel="1">
      <c r="B176" s="88" t="s">
        <v>287</v>
      </c>
      <c r="C176" s="199"/>
      <c r="D176" s="89" t="s">
        <v>159</v>
      </c>
      <c r="E176" s="90">
        <f>E172-SUM(E173:E175)</f>
        <v>0</v>
      </c>
      <c r="F176" s="91">
        <f>F172-SUM(F173:F175)</f>
        <v>0</v>
      </c>
      <c r="G176" s="91">
        <f t="shared" si="380"/>
        <v>-4.750000000000032E-4</v>
      </c>
      <c r="H176" s="90">
        <f>H172-SUM(H173:H175)</f>
        <v>-4.750000000000032E-4</v>
      </c>
      <c r="I176" s="91">
        <f>I172-SUM(I173:I175)</f>
        <v>0</v>
      </c>
      <c r="J176" s="91">
        <f t="shared" si="381"/>
        <v>0</v>
      </c>
      <c r="K176" s="90">
        <f>K172-SUM(K173:K175)</f>
        <v>0</v>
      </c>
      <c r="L176" s="91">
        <v>0</v>
      </c>
      <c r="M176" s="91">
        <f t="shared" si="382"/>
        <v>0</v>
      </c>
      <c r="N176" s="90">
        <f>N172-SUM(N173:N175)</f>
        <v>0</v>
      </c>
      <c r="O176" s="91">
        <f>O172-SUM(O173:O175)</f>
        <v>0.88900000000000001</v>
      </c>
      <c r="P176" s="91">
        <f t="shared" si="383"/>
        <v>0</v>
      </c>
      <c r="Q176" s="90">
        <f>Q172-SUM(Q173:Q175)</f>
        <v>0</v>
      </c>
      <c r="R176" s="91">
        <f>R172-SUM(R173:R175)</f>
        <v>6.5330000000000004</v>
      </c>
      <c r="S176" s="91">
        <f t="shared" si="384"/>
        <v>0</v>
      </c>
      <c r="T176" s="90">
        <f>T172-SUM(T173:T175)</f>
        <v>0</v>
      </c>
      <c r="U176" s="91"/>
      <c r="V176" s="91"/>
      <c r="W176" s="90"/>
      <c r="X176" s="91"/>
      <c r="Y176" s="91"/>
      <c r="Z176" s="90"/>
      <c r="AA176" s="91"/>
      <c r="AB176" s="91"/>
      <c r="AC176" s="90"/>
      <c r="AD176" s="91"/>
      <c r="AE176" s="91"/>
      <c r="AF176" s="90"/>
      <c r="AG176" s="91"/>
      <c r="AH176" s="91"/>
      <c r="AI176" s="90"/>
      <c r="AJ176" s="91"/>
      <c r="AK176" s="91"/>
      <c r="AL176" s="90"/>
      <c r="AM176" s="91"/>
      <c r="AN176" s="91"/>
      <c r="AO176" s="90"/>
      <c r="AP176" s="91"/>
      <c r="AQ176" s="91"/>
      <c r="AR176" s="90"/>
      <c r="AS176" s="91"/>
      <c r="AT176" s="91"/>
      <c r="AU176" s="90"/>
      <c r="AV176" s="91"/>
      <c r="AW176" s="91"/>
      <c r="AX176" s="90"/>
      <c r="AY176" s="91"/>
      <c r="AZ176" s="91"/>
      <c r="BA176" s="90"/>
      <c r="BB176" s="91"/>
      <c r="BC176" s="91"/>
      <c r="BD176" s="90"/>
      <c r="BE176" s="91"/>
      <c r="BF176" s="91"/>
      <c r="BG176" s="90"/>
      <c r="BH176" s="91">
        <f t="shared" si="366"/>
        <v>0</v>
      </c>
      <c r="BJ176"/>
      <c r="BK176"/>
      <c r="BL176"/>
      <c r="BM176"/>
      <c r="BN176"/>
      <c r="BO176"/>
    </row>
    <row r="177" spans="1:67" s="61" customFormat="1">
      <c r="B177" s="96" t="s">
        <v>288</v>
      </c>
      <c r="C177" s="199"/>
      <c r="D177" s="89" t="s">
        <v>159</v>
      </c>
      <c r="E177" s="150">
        <v>0.44725199999999998</v>
      </c>
      <c r="F177" s="151">
        <v>0.34347899999999998</v>
      </c>
      <c r="G177" s="151">
        <f t="shared" ref="G177" si="385">H177</f>
        <v>1.0069669999999999</v>
      </c>
      <c r="H177" s="150">
        <v>1.0069669999999999</v>
      </c>
      <c r="I177" s="151">
        <v>1.024465</v>
      </c>
      <c r="J177" s="151">
        <f t="shared" ref="J177" si="386">K177</f>
        <v>1.468</v>
      </c>
      <c r="K177" s="150">
        <v>1.468</v>
      </c>
      <c r="L177" s="151">
        <v>1.7589999999999999</v>
      </c>
      <c r="M177" s="151">
        <f t="shared" ref="M177" si="387">N177</f>
        <v>2.6509999999999998</v>
      </c>
      <c r="N177" s="150">
        <v>2.6509999999999998</v>
      </c>
      <c r="O177" s="151">
        <v>2.5979999999999999</v>
      </c>
      <c r="P177" s="151">
        <f t="shared" ref="P177" si="388">Q177</f>
        <v>2.6320000000000001</v>
      </c>
      <c r="Q177" s="150">
        <v>2.6320000000000001</v>
      </c>
      <c r="R177" s="151">
        <v>3.444</v>
      </c>
      <c r="S177" s="151">
        <f t="shared" ref="S177" si="389">T177</f>
        <v>9.0730000000000004</v>
      </c>
      <c r="T177" s="90">
        <v>9.0730000000000004</v>
      </c>
      <c r="U177" s="181">
        <v>10.435</v>
      </c>
      <c r="V177" s="91">
        <f t="shared" si="367"/>
        <v>12.38</v>
      </c>
      <c r="W177" s="90">
        <f>+SUM(W178:W181)</f>
        <v>12.38</v>
      </c>
      <c r="X177" s="91">
        <f>+SUM(X178:X181)</f>
        <v>5.5895083244379116</v>
      </c>
      <c r="Y177" s="91">
        <f t="shared" si="368"/>
        <v>13.657999999999999</v>
      </c>
      <c r="Z177" s="90">
        <f>+SUM(Z178:Z181)</f>
        <v>13.657999999999999</v>
      </c>
      <c r="AA177" s="91">
        <f>+SUM(AA178:AA181)</f>
        <v>26.103999999999999</v>
      </c>
      <c r="AB177" s="91">
        <f t="shared" ref="AB177" si="390">+AC177</f>
        <v>26.103999999999999</v>
      </c>
      <c r="AC177" s="90">
        <f>+SUM(AC178:AC181)</f>
        <v>26.103999999999999</v>
      </c>
      <c r="AD177" s="91">
        <f>+SUM(AD178:AD181)</f>
        <v>26.103999999999999</v>
      </c>
      <c r="AE177" s="91">
        <f t="shared" ref="AE177" si="391">+AF177</f>
        <v>26.103999999999999</v>
      </c>
      <c r="AF177" s="90">
        <f>+SUM(AF178:AF181)</f>
        <v>26.103999999999999</v>
      </c>
      <c r="AG177" s="91">
        <f>+SUM(AG178:AG181)</f>
        <v>26.103999999999999</v>
      </c>
      <c r="AH177" s="91">
        <f t="shared" ref="AH177" si="392">+AI177</f>
        <v>26.103999999999999</v>
      </c>
      <c r="AI177" s="90">
        <f>+SUM(AI178:AI181)</f>
        <v>26.103999999999999</v>
      </c>
      <c r="AJ177" s="91">
        <f>+SUM(AJ178:AJ181)</f>
        <v>26.103999999999999</v>
      </c>
      <c r="AK177" s="91">
        <f t="shared" ref="AK177" si="393">+AL177</f>
        <v>26.103999999999999</v>
      </c>
      <c r="AL177" s="90">
        <f>+SUM(AL178:AL181)</f>
        <v>26.103999999999999</v>
      </c>
      <c r="AM177" s="91">
        <f>+SUM(AM178:AM181)</f>
        <v>26.103999999999999</v>
      </c>
      <c r="AN177" s="91">
        <f t="shared" ref="AN177" si="394">+AO177</f>
        <v>26.103999999999999</v>
      </c>
      <c r="AO177" s="90">
        <f>+SUM(AO178:AO181)</f>
        <v>26.103999999999999</v>
      </c>
      <c r="AP177" s="91">
        <f>+SUM(AP178:AP181)</f>
        <v>26.103999999999999</v>
      </c>
      <c r="AQ177" s="91">
        <f t="shared" ref="AQ177" si="395">+AR177</f>
        <v>26.103999999999999</v>
      </c>
      <c r="AR177" s="90">
        <f>+SUM(AR178:AR181)</f>
        <v>26.103999999999999</v>
      </c>
      <c r="AS177" s="91">
        <f>+SUM(AS178:AS181)</f>
        <v>26.103999999999999</v>
      </c>
      <c r="AT177" s="91">
        <f t="shared" ref="AT177" si="396">+AU177</f>
        <v>26.103999999999999</v>
      </c>
      <c r="AU177" s="90">
        <f>+SUM(AU178:AU181)</f>
        <v>26.103999999999999</v>
      </c>
      <c r="AV177" s="91">
        <f>+SUM(AV178:AV181)</f>
        <v>26.103999999999999</v>
      </c>
      <c r="AW177" s="91">
        <f t="shared" ref="AW177" si="397">+AX177</f>
        <v>26.103999999999999</v>
      </c>
      <c r="AX177" s="90">
        <f>+SUM(AX178:AX181)</f>
        <v>26.103999999999999</v>
      </c>
      <c r="AY177" s="91">
        <f>+SUM(AY178:AY181)</f>
        <v>26.103999999999999</v>
      </c>
      <c r="AZ177" s="91">
        <f t="shared" ref="AZ177" si="398">+BA177</f>
        <v>26.103999999999999</v>
      </c>
      <c r="BA177" s="90">
        <f>+SUM(BA178:BA181)</f>
        <v>26.103999999999999</v>
      </c>
      <c r="BB177" s="91">
        <f>+SUM(BB178:BB181)</f>
        <v>26.103999999999999</v>
      </c>
      <c r="BC177" s="91">
        <f t="shared" ref="BC177" si="399">+BD177</f>
        <v>26.103999999999999</v>
      </c>
      <c r="BD177" s="90">
        <f>+SUM(BD178:BD181)</f>
        <v>26.103999999999999</v>
      </c>
      <c r="BE177" s="91">
        <f>+SUM(BE178:BE181)</f>
        <v>26.103999999999999</v>
      </c>
      <c r="BF177" s="91">
        <f t="shared" ref="BF177" si="400">+BG177</f>
        <v>26.103999999999999</v>
      </c>
      <c r="BG177" s="90">
        <f>+SUM(BG178:BG181)</f>
        <v>26.103999999999999</v>
      </c>
      <c r="BH177" s="91">
        <f t="shared" si="366"/>
        <v>0</v>
      </c>
      <c r="BJ177"/>
      <c r="BK177"/>
      <c r="BL177"/>
      <c r="BM177"/>
      <c r="BN177"/>
      <c r="BO177"/>
    </row>
    <row r="178" spans="1:67" s="61" customFormat="1" outlineLevel="1">
      <c r="B178" s="121" t="s">
        <v>289</v>
      </c>
      <c r="C178" s="199"/>
      <c r="D178" s="89" t="s">
        <v>159</v>
      </c>
      <c r="E178" s="150"/>
      <c r="F178" s="151"/>
      <c r="G178" s="91"/>
      <c r="H178" s="150"/>
      <c r="I178" s="151"/>
      <c r="J178" s="91"/>
      <c r="K178" s="150"/>
      <c r="L178" s="151"/>
      <c r="M178" s="91"/>
      <c r="N178" s="150"/>
      <c r="O178" s="151"/>
      <c r="P178" s="91"/>
      <c r="Q178" s="150"/>
      <c r="R178" s="151"/>
      <c r="S178" s="91"/>
      <c r="T178" s="180"/>
      <c r="U178" s="181"/>
      <c r="V178" s="91">
        <f t="shared" si="367"/>
        <v>12.38</v>
      </c>
      <c r="W178" s="180">
        <v>12.38</v>
      </c>
      <c r="X178" s="181">
        <v>5.5895083244379116</v>
      </c>
      <c r="Y178" s="91">
        <f t="shared" si="368"/>
        <v>13.657999999999999</v>
      </c>
      <c r="Z178" s="180">
        <v>13.657999999999999</v>
      </c>
      <c r="AA178" s="181">
        <v>26.103999999999999</v>
      </c>
      <c r="AB178" s="91">
        <f t="shared" ref="AB178:BG178" si="401">+AA178</f>
        <v>26.103999999999999</v>
      </c>
      <c r="AC178" s="90">
        <f t="shared" si="401"/>
        <v>26.103999999999999</v>
      </c>
      <c r="AD178" s="91">
        <f t="shared" si="401"/>
        <v>26.103999999999999</v>
      </c>
      <c r="AE178" s="91">
        <f t="shared" si="401"/>
        <v>26.103999999999999</v>
      </c>
      <c r="AF178" s="90">
        <f t="shared" si="401"/>
        <v>26.103999999999999</v>
      </c>
      <c r="AG178" s="91">
        <f t="shared" si="401"/>
        <v>26.103999999999999</v>
      </c>
      <c r="AH178" s="91">
        <f t="shared" si="401"/>
        <v>26.103999999999999</v>
      </c>
      <c r="AI178" s="90">
        <f t="shared" si="401"/>
        <v>26.103999999999999</v>
      </c>
      <c r="AJ178" s="91">
        <f t="shared" si="401"/>
        <v>26.103999999999999</v>
      </c>
      <c r="AK178" s="91">
        <f t="shared" si="401"/>
        <v>26.103999999999999</v>
      </c>
      <c r="AL178" s="90">
        <f t="shared" si="401"/>
        <v>26.103999999999999</v>
      </c>
      <c r="AM178" s="91">
        <f t="shared" si="401"/>
        <v>26.103999999999999</v>
      </c>
      <c r="AN178" s="91">
        <f t="shared" si="401"/>
        <v>26.103999999999999</v>
      </c>
      <c r="AO178" s="90">
        <f t="shared" si="401"/>
        <v>26.103999999999999</v>
      </c>
      <c r="AP178" s="91">
        <f t="shared" si="401"/>
        <v>26.103999999999999</v>
      </c>
      <c r="AQ178" s="91">
        <f t="shared" si="401"/>
        <v>26.103999999999999</v>
      </c>
      <c r="AR178" s="90">
        <f t="shared" si="401"/>
        <v>26.103999999999999</v>
      </c>
      <c r="AS178" s="91">
        <f t="shared" si="401"/>
        <v>26.103999999999999</v>
      </c>
      <c r="AT178" s="91">
        <f t="shared" si="401"/>
        <v>26.103999999999999</v>
      </c>
      <c r="AU178" s="90">
        <f t="shared" si="401"/>
        <v>26.103999999999999</v>
      </c>
      <c r="AV178" s="91">
        <f t="shared" si="401"/>
        <v>26.103999999999999</v>
      </c>
      <c r="AW178" s="91">
        <f t="shared" si="401"/>
        <v>26.103999999999999</v>
      </c>
      <c r="AX178" s="90">
        <f t="shared" si="401"/>
        <v>26.103999999999999</v>
      </c>
      <c r="AY178" s="91">
        <f t="shared" si="401"/>
        <v>26.103999999999999</v>
      </c>
      <c r="AZ178" s="91">
        <f t="shared" si="401"/>
        <v>26.103999999999999</v>
      </c>
      <c r="BA178" s="90">
        <f t="shared" si="401"/>
        <v>26.103999999999999</v>
      </c>
      <c r="BB178" s="91">
        <f t="shared" si="401"/>
        <v>26.103999999999999</v>
      </c>
      <c r="BC178" s="91">
        <f t="shared" si="401"/>
        <v>26.103999999999999</v>
      </c>
      <c r="BD178" s="90">
        <f t="shared" si="401"/>
        <v>26.103999999999999</v>
      </c>
      <c r="BE178" s="91">
        <f t="shared" si="401"/>
        <v>26.103999999999999</v>
      </c>
      <c r="BF178" s="91">
        <f t="shared" si="401"/>
        <v>26.103999999999999</v>
      </c>
      <c r="BG178" s="90">
        <f t="shared" si="401"/>
        <v>26.103999999999999</v>
      </c>
      <c r="BH178" s="91">
        <f t="shared" si="366"/>
        <v>0</v>
      </c>
      <c r="BJ178"/>
      <c r="BK178"/>
      <c r="BL178"/>
      <c r="BM178"/>
      <c r="BN178"/>
      <c r="BO178"/>
    </row>
    <row r="179" spans="1:67" s="61" customFormat="1" outlineLevel="1">
      <c r="B179" s="121" t="s">
        <v>290</v>
      </c>
      <c r="C179" s="199"/>
      <c r="D179" s="89" t="s">
        <v>159</v>
      </c>
      <c r="E179" s="150">
        <v>-1E-4</v>
      </c>
      <c r="F179" s="151"/>
      <c r="G179" s="91">
        <f t="shared" ref="G179:G182" si="402">H179</f>
        <v>0.38</v>
      </c>
      <c r="H179" s="150">
        <v>0.38</v>
      </c>
      <c r="I179" s="151"/>
      <c r="J179" s="91">
        <f t="shared" ref="J179:J182" si="403">K179</f>
        <v>0.67400000000000004</v>
      </c>
      <c r="K179" s="150">
        <v>0.67400000000000004</v>
      </c>
      <c r="L179" s="151"/>
      <c r="M179" s="91">
        <f t="shared" ref="M179:M182" si="404">N179</f>
        <v>1.4550000000000001</v>
      </c>
      <c r="N179" s="150">
        <v>1.4550000000000001</v>
      </c>
      <c r="O179" s="151"/>
      <c r="P179" s="91">
        <f t="shared" ref="P179:P182" si="405">Q179</f>
        <v>0.28999999999999998</v>
      </c>
      <c r="Q179" s="150">
        <v>0.28999999999999998</v>
      </c>
      <c r="R179" s="151">
        <v>0</v>
      </c>
      <c r="S179" s="91">
        <f t="shared" ref="S179:S182" si="406">T179</f>
        <v>3.6749999999999998</v>
      </c>
      <c r="T179" s="90">
        <v>3.6749999999999998</v>
      </c>
      <c r="U179" s="151"/>
      <c r="V179" s="91"/>
      <c r="W179" s="90"/>
      <c r="X179" s="91"/>
      <c r="Y179" s="91"/>
      <c r="Z179" s="90"/>
      <c r="AA179" s="91"/>
      <c r="AB179" s="91"/>
      <c r="AC179" s="90"/>
      <c r="AD179" s="91"/>
      <c r="AE179" s="91"/>
      <c r="AF179" s="90"/>
      <c r="AG179" s="91"/>
      <c r="AH179" s="91"/>
      <c r="AI179" s="90"/>
      <c r="AJ179" s="91"/>
      <c r="AK179" s="91"/>
      <c r="AL179" s="90"/>
      <c r="AM179" s="91"/>
      <c r="AN179" s="91"/>
      <c r="AO179" s="90"/>
      <c r="AP179" s="91"/>
      <c r="AQ179" s="91"/>
      <c r="AR179" s="90"/>
      <c r="AS179" s="91"/>
      <c r="AT179" s="91"/>
      <c r="AU179" s="90"/>
      <c r="AV179" s="91"/>
      <c r="AW179" s="91"/>
      <c r="AX179" s="90"/>
      <c r="AY179" s="91"/>
      <c r="AZ179" s="91"/>
      <c r="BA179" s="90"/>
      <c r="BB179" s="91"/>
      <c r="BC179" s="91"/>
      <c r="BD179" s="90"/>
      <c r="BE179" s="91"/>
      <c r="BF179" s="91"/>
      <c r="BG179" s="90"/>
      <c r="BH179" s="91">
        <f t="shared" si="366"/>
        <v>0</v>
      </c>
      <c r="BJ179"/>
      <c r="BK179"/>
      <c r="BL179"/>
      <c r="BM179"/>
      <c r="BN179"/>
      <c r="BO179"/>
    </row>
    <row r="180" spans="1:67" s="61" customFormat="1" outlineLevel="1">
      <c r="B180" s="121" t="s">
        <v>291</v>
      </c>
      <c r="C180" s="199"/>
      <c r="D180" s="89" t="s">
        <v>159</v>
      </c>
      <c r="E180" s="150">
        <v>0.15013199999999999</v>
      </c>
      <c r="F180" s="91"/>
      <c r="G180" s="91">
        <f t="shared" si="402"/>
        <v>0.154</v>
      </c>
      <c r="H180" s="150">
        <v>0.154</v>
      </c>
      <c r="I180" s="151"/>
      <c r="J180" s="91">
        <f t="shared" si="403"/>
        <v>0.26400000000000001</v>
      </c>
      <c r="K180" s="150">
        <v>0.26400000000000001</v>
      </c>
      <c r="L180" s="151"/>
      <c r="M180" s="91">
        <f t="shared" si="404"/>
        <v>0.33700000000000002</v>
      </c>
      <c r="N180" s="150">
        <v>0.33700000000000002</v>
      </c>
      <c r="O180" s="151"/>
      <c r="P180" s="91">
        <f t="shared" si="405"/>
        <v>1.135</v>
      </c>
      <c r="Q180" s="150">
        <v>1.135</v>
      </c>
      <c r="R180" s="151">
        <v>0</v>
      </c>
      <c r="S180" s="91">
        <f t="shared" si="406"/>
        <v>2.89</v>
      </c>
      <c r="T180" s="90">
        <v>2.89</v>
      </c>
      <c r="U180" s="151"/>
      <c r="V180" s="91"/>
      <c r="W180" s="90"/>
      <c r="X180" s="91"/>
      <c r="Y180" s="91"/>
      <c r="Z180" s="90"/>
      <c r="AA180" s="91"/>
      <c r="AB180" s="91"/>
      <c r="AC180" s="90"/>
      <c r="AD180" s="91"/>
      <c r="AE180" s="91"/>
      <c r="AF180" s="90"/>
      <c r="AG180" s="91"/>
      <c r="AH180" s="91"/>
      <c r="AI180" s="90"/>
      <c r="AJ180" s="91"/>
      <c r="AK180" s="91"/>
      <c r="AL180" s="90"/>
      <c r="AM180" s="91"/>
      <c r="AN180" s="91"/>
      <c r="AO180" s="90"/>
      <c r="AP180" s="91"/>
      <c r="AQ180" s="91"/>
      <c r="AR180" s="90"/>
      <c r="AS180" s="91"/>
      <c r="AT180" s="91"/>
      <c r="AU180" s="90"/>
      <c r="AV180" s="91"/>
      <c r="AW180" s="91"/>
      <c r="AX180" s="90"/>
      <c r="AY180" s="91"/>
      <c r="AZ180" s="91"/>
      <c r="BA180" s="90"/>
      <c r="BB180" s="91"/>
      <c r="BC180" s="91"/>
      <c r="BD180" s="90"/>
      <c r="BE180" s="91"/>
      <c r="BF180" s="91"/>
      <c r="BG180" s="90"/>
      <c r="BH180" s="91">
        <f t="shared" si="366"/>
        <v>0</v>
      </c>
      <c r="BJ180"/>
      <c r="BK180"/>
      <c r="BL180"/>
      <c r="BM180"/>
      <c r="BN180"/>
      <c r="BO180"/>
    </row>
    <row r="181" spans="1:67" s="61" customFormat="1" outlineLevel="1">
      <c r="B181" s="121" t="s">
        <v>52</v>
      </c>
      <c r="C181" s="199"/>
      <c r="D181" s="89" t="s">
        <v>159</v>
      </c>
      <c r="E181" s="90">
        <f>E177-SUM(E178:E180)</f>
        <v>0.29721999999999998</v>
      </c>
      <c r="F181" s="137">
        <f>F177-SUM(F178:F180)</f>
        <v>0.34347899999999998</v>
      </c>
      <c r="G181" s="91">
        <f t="shared" si="402"/>
        <v>0.47296699999999992</v>
      </c>
      <c r="H181" s="90">
        <f>H177-SUM(H178:H180)</f>
        <v>0.47296699999999992</v>
      </c>
      <c r="I181" s="137">
        <f>I177-SUM(I178:I180)</f>
        <v>1.024465</v>
      </c>
      <c r="J181" s="91">
        <f t="shared" si="403"/>
        <v>0.52999999999999992</v>
      </c>
      <c r="K181" s="90">
        <f>K177-SUM(K178:K180)</f>
        <v>0.52999999999999992</v>
      </c>
      <c r="L181" s="137">
        <f>L177-SUM(L178:L180)</f>
        <v>1.7589999999999999</v>
      </c>
      <c r="M181" s="91">
        <f t="shared" si="404"/>
        <v>0.85899999999999976</v>
      </c>
      <c r="N181" s="90">
        <f>N177-SUM(N178:N180)</f>
        <v>0.85899999999999976</v>
      </c>
      <c r="O181" s="137">
        <f>O177-SUM(O178:O180)</f>
        <v>2.5979999999999999</v>
      </c>
      <c r="P181" s="91">
        <f t="shared" si="405"/>
        <v>1.2070000000000001</v>
      </c>
      <c r="Q181" s="90">
        <f>Q177-SUM(Q178:Q180)</f>
        <v>1.2070000000000001</v>
      </c>
      <c r="R181" s="137">
        <f>R177-SUM(R178:R180)</f>
        <v>3.444</v>
      </c>
      <c r="S181" s="91">
        <f t="shared" si="406"/>
        <v>2.5080000000000009</v>
      </c>
      <c r="T181" s="90">
        <f>T177-SUM(T178:T180)</f>
        <v>2.5080000000000009</v>
      </c>
      <c r="U181" s="137"/>
      <c r="V181" s="91"/>
      <c r="W181" s="90"/>
      <c r="X181" s="91"/>
      <c r="Y181" s="91"/>
      <c r="Z181" s="90"/>
      <c r="AA181" s="91"/>
      <c r="AB181" s="91"/>
      <c r="AC181" s="90"/>
      <c r="AD181" s="91"/>
      <c r="AE181" s="91"/>
      <c r="AF181" s="90"/>
      <c r="AG181" s="91"/>
      <c r="AH181" s="91"/>
      <c r="AI181" s="90"/>
      <c r="AJ181" s="91"/>
      <c r="AK181" s="91"/>
      <c r="AL181" s="90"/>
      <c r="AM181" s="91"/>
      <c r="AN181" s="91"/>
      <c r="AO181" s="90"/>
      <c r="AP181" s="91"/>
      <c r="AQ181" s="91"/>
      <c r="AR181" s="90"/>
      <c r="AS181" s="91"/>
      <c r="AT181" s="91"/>
      <c r="AU181" s="90"/>
      <c r="AV181" s="91"/>
      <c r="AW181" s="91"/>
      <c r="AX181" s="90"/>
      <c r="AY181" s="91"/>
      <c r="AZ181" s="91"/>
      <c r="BA181" s="90"/>
      <c r="BB181" s="91"/>
      <c r="BC181" s="91"/>
      <c r="BD181" s="90"/>
      <c r="BE181" s="91"/>
      <c r="BF181" s="91"/>
      <c r="BG181" s="90"/>
      <c r="BH181" s="91">
        <f t="shared" si="366"/>
        <v>0</v>
      </c>
      <c r="BJ181"/>
      <c r="BK181"/>
      <c r="BL181"/>
      <c r="BM181"/>
      <c r="BN181"/>
      <c r="BO181"/>
    </row>
    <row r="182" spans="1:67" s="61" customFormat="1" outlineLevel="1">
      <c r="B182" s="88" t="s">
        <v>292</v>
      </c>
      <c r="C182" s="199"/>
      <c r="D182" s="89" t="s">
        <v>159</v>
      </c>
      <c r="E182" s="90"/>
      <c r="F182" s="91"/>
      <c r="G182" s="91">
        <f t="shared" si="402"/>
        <v>0</v>
      </c>
      <c r="H182" s="90"/>
      <c r="I182" s="91">
        <v>0</v>
      </c>
      <c r="J182" s="91">
        <f t="shared" si="403"/>
        <v>0</v>
      </c>
      <c r="K182" s="90"/>
      <c r="L182" s="91">
        <v>0</v>
      </c>
      <c r="M182" s="91">
        <f t="shared" si="404"/>
        <v>0</v>
      </c>
      <c r="N182" s="90"/>
      <c r="O182" s="91">
        <v>0</v>
      </c>
      <c r="P182" s="91">
        <f t="shared" si="405"/>
        <v>0</v>
      </c>
      <c r="Q182" s="90"/>
      <c r="R182" s="91">
        <v>0</v>
      </c>
      <c r="S182" s="91">
        <f t="shared" si="406"/>
        <v>0</v>
      </c>
      <c r="T182" s="180">
        <v>0</v>
      </c>
      <c r="U182" s="181">
        <v>3.7890000000000001</v>
      </c>
      <c r="V182" s="91">
        <f t="shared" si="367"/>
        <v>5.2370000000000001</v>
      </c>
      <c r="W182" s="180">
        <v>5.2370000000000001</v>
      </c>
      <c r="X182" s="181">
        <v>5.3196746092069001</v>
      </c>
      <c r="Y182" s="91">
        <f t="shared" si="368"/>
        <v>5.9119999999999999</v>
      </c>
      <c r="Z182" s="180">
        <v>5.9119999999999999</v>
      </c>
      <c r="AA182" s="181">
        <v>5.8929999999999998</v>
      </c>
      <c r="AB182" s="91">
        <f t="shared" ref="AB182" si="407">+AC182</f>
        <v>5.8929999999999998</v>
      </c>
      <c r="AC182" s="90">
        <f>+AA182</f>
        <v>5.8929999999999998</v>
      </c>
      <c r="AD182" s="91">
        <f t="shared" ref="AD182" si="408">AC182</f>
        <v>5.8929999999999998</v>
      </c>
      <c r="AE182" s="91">
        <f t="shared" ref="AE182" si="409">+AF182</f>
        <v>5.8929999999999998</v>
      </c>
      <c r="AF182" s="90">
        <f t="shared" ref="AF182" si="410">+AD182</f>
        <v>5.8929999999999998</v>
      </c>
      <c r="AG182" s="91">
        <f t="shared" ref="AG182" si="411">AF182</f>
        <v>5.8929999999999998</v>
      </c>
      <c r="AH182" s="91">
        <f t="shared" ref="AH182" si="412">+AI182</f>
        <v>5.8929999999999998</v>
      </c>
      <c r="AI182" s="90">
        <f t="shared" ref="AI182" si="413">+AG182</f>
        <v>5.8929999999999998</v>
      </c>
      <c r="AJ182" s="91">
        <f t="shared" ref="AJ182" si="414">AI182</f>
        <v>5.8929999999999998</v>
      </c>
      <c r="AK182" s="91">
        <f t="shared" ref="AK182" si="415">+AL182</f>
        <v>5.8929999999999998</v>
      </c>
      <c r="AL182" s="90">
        <f t="shared" ref="AL182" si="416">+AJ182</f>
        <v>5.8929999999999998</v>
      </c>
      <c r="AM182" s="91">
        <f t="shared" ref="AM182" si="417">AL182</f>
        <v>5.8929999999999998</v>
      </c>
      <c r="AN182" s="91">
        <f t="shared" ref="AN182" si="418">+AO182</f>
        <v>5.8929999999999998</v>
      </c>
      <c r="AO182" s="90">
        <f t="shared" ref="AO182" si="419">+AM182</f>
        <v>5.8929999999999998</v>
      </c>
      <c r="AP182" s="91">
        <f t="shared" ref="AP182" si="420">AO182</f>
        <v>5.8929999999999998</v>
      </c>
      <c r="AQ182" s="91">
        <f t="shared" ref="AQ182" si="421">+AR182</f>
        <v>5.8929999999999998</v>
      </c>
      <c r="AR182" s="90">
        <f t="shared" ref="AR182" si="422">+AP182</f>
        <v>5.8929999999999998</v>
      </c>
      <c r="AS182" s="91">
        <f t="shared" ref="AS182" si="423">AR182</f>
        <v>5.8929999999999998</v>
      </c>
      <c r="AT182" s="91">
        <f t="shared" ref="AT182" si="424">+AU182</f>
        <v>5.8929999999999998</v>
      </c>
      <c r="AU182" s="90">
        <f t="shared" ref="AU182" si="425">+AS182</f>
        <v>5.8929999999999998</v>
      </c>
      <c r="AV182" s="91">
        <f t="shared" ref="AV182" si="426">AU182</f>
        <v>5.8929999999999998</v>
      </c>
      <c r="AW182" s="91">
        <f t="shared" ref="AW182" si="427">+AX182</f>
        <v>5.8929999999999998</v>
      </c>
      <c r="AX182" s="90">
        <f t="shared" ref="AX182" si="428">+AV182</f>
        <v>5.8929999999999998</v>
      </c>
      <c r="AY182" s="91">
        <f t="shared" ref="AY182" si="429">AX182</f>
        <v>5.8929999999999998</v>
      </c>
      <c r="AZ182" s="91">
        <f t="shared" ref="AZ182" si="430">+BA182</f>
        <v>5.8929999999999998</v>
      </c>
      <c r="BA182" s="90">
        <f t="shared" ref="BA182" si="431">+AY182</f>
        <v>5.8929999999999998</v>
      </c>
      <c r="BB182" s="91">
        <f t="shared" ref="BB182" si="432">BA182</f>
        <v>5.8929999999999998</v>
      </c>
      <c r="BC182" s="91">
        <f t="shared" ref="BC182" si="433">+BD182</f>
        <v>5.8929999999999998</v>
      </c>
      <c r="BD182" s="90">
        <f t="shared" ref="BD182" si="434">+BB182</f>
        <v>5.8929999999999998</v>
      </c>
      <c r="BE182" s="91">
        <f t="shared" ref="BE182" si="435">BD182</f>
        <v>5.8929999999999998</v>
      </c>
      <c r="BF182" s="91">
        <f t="shared" ref="BF182" si="436">+BG182</f>
        <v>5.8929999999999998</v>
      </c>
      <c r="BG182" s="90">
        <f t="shared" ref="BG182" si="437">+BE182</f>
        <v>5.8929999999999998</v>
      </c>
      <c r="BH182" s="91">
        <f t="shared" si="366"/>
        <v>0</v>
      </c>
      <c r="BJ182"/>
      <c r="BK182"/>
      <c r="BL182"/>
      <c r="BM182"/>
      <c r="BN182"/>
      <c r="BO182"/>
    </row>
    <row r="183" spans="1:67" s="70" customFormat="1">
      <c r="B183" s="71" t="s">
        <v>95</v>
      </c>
      <c r="C183" s="71"/>
      <c r="D183" s="92" t="s">
        <v>159</v>
      </c>
      <c r="E183" s="93">
        <f>+E169+E171+E172+E177+E182</f>
        <v>49.545009</v>
      </c>
      <c r="F183" s="94">
        <f>+F169+F171+F172+F177+F182+F170</f>
        <v>46.898730999999998</v>
      </c>
      <c r="G183" s="94">
        <f t="shared" ref="G183:BG183" si="438">+G169+G171+G172+G177+G182</f>
        <v>35.856394000000002</v>
      </c>
      <c r="H183" s="93">
        <f t="shared" si="438"/>
        <v>35.856394000000002</v>
      </c>
      <c r="I183" s="94">
        <f t="shared" si="438"/>
        <v>27.449068999999998</v>
      </c>
      <c r="J183" s="94">
        <f t="shared" si="438"/>
        <v>58.679000000000002</v>
      </c>
      <c r="K183" s="93">
        <f t="shared" si="438"/>
        <v>58.679000000000002</v>
      </c>
      <c r="L183" s="94">
        <f t="shared" si="438"/>
        <v>44.003999999999998</v>
      </c>
      <c r="M183" s="94">
        <f t="shared" si="438"/>
        <v>93.627999999999986</v>
      </c>
      <c r="N183" s="93">
        <f t="shared" si="438"/>
        <v>93.627999999999986</v>
      </c>
      <c r="O183" s="94">
        <f t="shared" si="438"/>
        <v>70.304999999999993</v>
      </c>
      <c r="P183" s="94">
        <f t="shared" si="438"/>
        <v>47.542999999999999</v>
      </c>
      <c r="Q183" s="93">
        <f t="shared" si="438"/>
        <v>47.542999999999999</v>
      </c>
      <c r="R183" s="94">
        <f t="shared" si="438"/>
        <v>149.49499999999998</v>
      </c>
      <c r="S183" s="94">
        <f t="shared" si="438"/>
        <v>173.233</v>
      </c>
      <c r="T183" s="93">
        <f t="shared" si="438"/>
        <v>173.233</v>
      </c>
      <c r="U183" s="94">
        <f t="shared" si="438"/>
        <v>166.34100000000001</v>
      </c>
      <c r="V183" s="94">
        <f>+V169+V171+V172+V177+V182</f>
        <v>158.691</v>
      </c>
      <c r="W183" s="93">
        <f t="shared" si="438"/>
        <v>158.691</v>
      </c>
      <c r="X183" s="94">
        <f t="shared" si="438"/>
        <v>117.46270057172875</v>
      </c>
      <c r="Y183" s="94">
        <f t="shared" si="438"/>
        <v>570.11700000000008</v>
      </c>
      <c r="Z183" s="93">
        <f t="shared" si="438"/>
        <v>570.11700000000008</v>
      </c>
      <c r="AA183" s="94">
        <f t="shared" ref="AA183" si="439">+AA169+AA171+AA172+AA177+AA182</f>
        <v>398.01299999999998</v>
      </c>
      <c r="AB183" s="94">
        <f t="shared" si="438"/>
        <v>322.41637641841334</v>
      </c>
      <c r="AC183" s="93">
        <f t="shared" si="438"/>
        <v>322.41637641841334</v>
      </c>
      <c r="AD183" s="94">
        <f t="shared" si="438"/>
        <v>304.28824418618484</v>
      </c>
      <c r="AE183" s="94">
        <f t="shared" si="438"/>
        <v>284.19170885308523</v>
      </c>
      <c r="AF183" s="93">
        <f t="shared" si="438"/>
        <v>284.19170885308523</v>
      </c>
      <c r="AG183" s="94">
        <f t="shared" si="438"/>
        <v>304.54209668260677</v>
      </c>
      <c r="AH183" s="94">
        <f t="shared" si="438"/>
        <v>311.97071108510204</v>
      </c>
      <c r="AI183" s="93">
        <f t="shared" si="438"/>
        <v>311.97071108510204</v>
      </c>
      <c r="AJ183" s="94">
        <f t="shared" si="438"/>
        <v>349.73618310950911</v>
      </c>
      <c r="AK183" s="94">
        <f t="shared" si="438"/>
        <v>373.26258871708779</v>
      </c>
      <c r="AL183" s="93">
        <f t="shared" si="438"/>
        <v>373.26258871708779</v>
      </c>
      <c r="AM183" s="94">
        <f t="shared" si="438"/>
        <v>475.43603850495344</v>
      </c>
      <c r="AN183" s="94">
        <f t="shared" si="438"/>
        <v>532.18105752267832</v>
      </c>
      <c r="AO183" s="93">
        <f t="shared" si="438"/>
        <v>532.18105752267832</v>
      </c>
      <c r="AP183" s="94">
        <f t="shared" si="438"/>
        <v>662.63553263723099</v>
      </c>
      <c r="AQ183" s="94">
        <f t="shared" si="438"/>
        <v>775.60495651111353</v>
      </c>
      <c r="AR183" s="93">
        <f t="shared" si="438"/>
        <v>775.60495651111353</v>
      </c>
      <c r="AS183" s="94">
        <f t="shared" si="438"/>
        <v>935.83424326317208</v>
      </c>
      <c r="AT183" s="94">
        <f t="shared" si="438"/>
        <v>1087.4044496749509</v>
      </c>
      <c r="AU183" s="93">
        <f t="shared" si="438"/>
        <v>1087.4044496749509</v>
      </c>
      <c r="AV183" s="94">
        <f t="shared" si="438"/>
        <v>1285.567141110233</v>
      </c>
      <c r="AW183" s="94">
        <f t="shared" si="438"/>
        <v>1480.7147745301288</v>
      </c>
      <c r="AX183" s="93">
        <f t="shared" si="438"/>
        <v>1480.7147745301288</v>
      </c>
      <c r="AY183" s="94">
        <f t="shared" si="438"/>
        <v>1716.3511856582134</v>
      </c>
      <c r="AZ183" s="94">
        <f t="shared" si="438"/>
        <v>1957.8691577868888</v>
      </c>
      <c r="BA183" s="93">
        <f t="shared" si="438"/>
        <v>1957.8691577868888</v>
      </c>
      <c r="BB183" s="94">
        <f t="shared" si="438"/>
        <v>2235.2051001022887</v>
      </c>
      <c r="BC183" s="94">
        <f t="shared" si="438"/>
        <v>2526.0530524250453</v>
      </c>
      <c r="BD183" s="93">
        <f t="shared" si="438"/>
        <v>2526.0530524250453</v>
      </c>
      <c r="BE183" s="94">
        <f t="shared" si="438"/>
        <v>2843.4039816487784</v>
      </c>
      <c r="BF183" s="94">
        <f t="shared" si="438"/>
        <v>3184.4807061203037</v>
      </c>
      <c r="BG183" s="93">
        <f t="shared" si="438"/>
        <v>3184.4807061203037</v>
      </c>
      <c r="BH183" s="91">
        <f t="shared" si="366"/>
        <v>-75.596623581586641</v>
      </c>
      <c r="BJ183"/>
      <c r="BK183"/>
      <c r="BL183"/>
      <c r="BM183"/>
      <c r="BN183"/>
      <c r="BO183"/>
    </row>
    <row r="184" spans="1:67" s="61" customFormat="1">
      <c r="A184" s="70"/>
      <c r="B184" s="88"/>
      <c r="D184" s="89"/>
      <c r="E184" s="90"/>
      <c r="F184" s="91"/>
      <c r="G184" s="91"/>
      <c r="H184" s="90"/>
      <c r="I184" s="91"/>
      <c r="J184" s="91"/>
      <c r="K184" s="90"/>
      <c r="L184" s="91"/>
      <c r="M184" s="91"/>
      <c r="N184" s="90"/>
      <c r="O184" s="91"/>
      <c r="P184" s="91"/>
      <c r="Q184" s="90"/>
      <c r="R184" s="91"/>
      <c r="S184" s="91"/>
      <c r="T184" s="90"/>
      <c r="U184" s="91"/>
      <c r="V184" s="91"/>
      <c r="W184" s="90"/>
      <c r="X184" s="91"/>
      <c r="Y184" s="91"/>
      <c r="Z184" s="90"/>
      <c r="AA184" s="91"/>
      <c r="AB184" s="91"/>
      <c r="AC184" s="90"/>
      <c r="AD184" s="91"/>
      <c r="AE184" s="91"/>
      <c r="AF184" s="90"/>
      <c r="AG184" s="91"/>
      <c r="AH184" s="91"/>
      <c r="AI184" s="90"/>
      <c r="AJ184" s="91"/>
      <c r="AK184" s="91"/>
      <c r="AL184" s="90"/>
      <c r="AM184" s="91"/>
      <c r="AN184" s="91"/>
      <c r="AO184" s="90"/>
      <c r="AP184" s="91"/>
      <c r="AQ184" s="91"/>
      <c r="AR184" s="90"/>
      <c r="AS184" s="91"/>
      <c r="AT184" s="91"/>
      <c r="AU184" s="90"/>
      <c r="AV184" s="91"/>
      <c r="AW184" s="91"/>
      <c r="AX184" s="90"/>
      <c r="AY184" s="91"/>
      <c r="AZ184" s="91"/>
      <c r="BA184" s="90"/>
      <c r="BB184" s="91"/>
      <c r="BC184" s="91"/>
      <c r="BD184" s="90"/>
      <c r="BE184" s="91"/>
      <c r="BF184" s="91"/>
      <c r="BG184" s="90"/>
      <c r="BH184" s="91">
        <f t="shared" si="366"/>
        <v>0</v>
      </c>
      <c r="BJ184"/>
      <c r="BK184"/>
      <c r="BL184"/>
      <c r="BM184"/>
      <c r="BN184"/>
      <c r="BO184"/>
    </row>
    <row r="185" spans="1:67" s="61" customFormat="1">
      <c r="B185" s="88" t="s">
        <v>87</v>
      </c>
      <c r="C185" s="199"/>
      <c r="D185" s="89" t="s">
        <v>159</v>
      </c>
      <c r="E185" s="150">
        <v>3.5291999999999997E-2</v>
      </c>
      <c r="F185" s="151">
        <v>0</v>
      </c>
      <c r="G185" s="91">
        <f t="shared" ref="G185" si="440">+H185</f>
        <v>1.174731</v>
      </c>
      <c r="H185" s="180">
        <v>1.174731</v>
      </c>
      <c r="I185" s="181">
        <v>6.3226000000000004E-2</v>
      </c>
      <c r="J185" s="91">
        <f t="shared" ref="J185" si="441">+K185</f>
        <v>8.2000000000000003E-2</v>
      </c>
      <c r="K185" s="180">
        <v>8.2000000000000003E-2</v>
      </c>
      <c r="L185" s="181">
        <v>0.17499999999999999</v>
      </c>
      <c r="M185" s="91">
        <f t="shared" ref="M185" si="442">+N185</f>
        <v>0.183</v>
      </c>
      <c r="N185" s="180">
        <v>0.183</v>
      </c>
      <c r="O185" s="181">
        <v>0.183</v>
      </c>
      <c r="P185" s="91">
        <f t="shared" ref="P185" si="443">+Q185</f>
        <v>0.21199999999999999</v>
      </c>
      <c r="Q185" s="180">
        <v>0.21199999999999999</v>
      </c>
      <c r="R185" s="181">
        <v>0.28100000000000003</v>
      </c>
      <c r="S185" s="91">
        <f t="shared" ref="S185" si="444">+T185</f>
        <v>0.32700000000000001</v>
      </c>
      <c r="T185" s="90">
        <v>0.32700000000000001</v>
      </c>
      <c r="U185" s="181">
        <v>0.45</v>
      </c>
      <c r="V185" s="91">
        <f>+W185</f>
        <v>0</v>
      </c>
      <c r="W185" s="90">
        <v>0</v>
      </c>
      <c r="X185" s="91">
        <f>W185</f>
        <v>0</v>
      </c>
      <c r="Y185" s="91">
        <f>+Z185</f>
        <v>0</v>
      </c>
      <c r="Z185" s="90">
        <v>0</v>
      </c>
      <c r="AA185" s="91">
        <f>Z185</f>
        <v>0</v>
      </c>
      <c r="AB185" s="91">
        <f>+AC185</f>
        <v>0</v>
      </c>
      <c r="AC185" s="90">
        <f>Z185</f>
        <v>0</v>
      </c>
      <c r="AD185" s="91">
        <f>AC185</f>
        <v>0</v>
      </c>
      <c r="AE185" s="91">
        <f>+AF185</f>
        <v>0</v>
      </c>
      <c r="AF185" s="90">
        <f>AC185</f>
        <v>0</v>
      </c>
      <c r="AG185" s="91">
        <f>AF185</f>
        <v>0</v>
      </c>
      <c r="AH185" s="91">
        <f>+AI185</f>
        <v>0</v>
      </c>
      <c r="AI185" s="90">
        <f>AF185</f>
        <v>0</v>
      </c>
      <c r="AJ185" s="91">
        <f>AI185</f>
        <v>0</v>
      </c>
      <c r="AK185" s="91">
        <f>+AL185</f>
        <v>0</v>
      </c>
      <c r="AL185" s="90">
        <f>AI185</f>
        <v>0</v>
      </c>
      <c r="AM185" s="91">
        <f>AL185</f>
        <v>0</v>
      </c>
      <c r="AN185" s="91">
        <f>+AO185</f>
        <v>0</v>
      </c>
      <c r="AO185" s="90">
        <f>AL185</f>
        <v>0</v>
      </c>
      <c r="AP185" s="91">
        <f>AO185</f>
        <v>0</v>
      </c>
      <c r="AQ185" s="91">
        <f>+AR185</f>
        <v>0</v>
      </c>
      <c r="AR185" s="90">
        <f>AO185</f>
        <v>0</v>
      </c>
      <c r="AS185" s="91">
        <f>AR185</f>
        <v>0</v>
      </c>
      <c r="AT185" s="91">
        <f>+AU185</f>
        <v>0</v>
      </c>
      <c r="AU185" s="90">
        <f>AR185</f>
        <v>0</v>
      </c>
      <c r="AV185" s="91">
        <f>AU185</f>
        <v>0</v>
      </c>
      <c r="AW185" s="91">
        <f>+AX185</f>
        <v>0</v>
      </c>
      <c r="AX185" s="90">
        <f>AU185</f>
        <v>0</v>
      </c>
      <c r="AY185" s="91">
        <f>AX185</f>
        <v>0</v>
      </c>
      <c r="AZ185" s="91">
        <f>+BA185</f>
        <v>0</v>
      </c>
      <c r="BA185" s="90">
        <f>AX185</f>
        <v>0</v>
      </c>
      <c r="BB185" s="91">
        <f>BA185</f>
        <v>0</v>
      </c>
      <c r="BC185" s="91">
        <f>+BD185</f>
        <v>0</v>
      </c>
      <c r="BD185" s="90">
        <f>BA185</f>
        <v>0</v>
      </c>
      <c r="BE185" s="91">
        <f>BD185</f>
        <v>0</v>
      </c>
      <c r="BF185" s="91">
        <f>+BG185</f>
        <v>0</v>
      </c>
      <c r="BG185" s="90">
        <f>BD185</f>
        <v>0</v>
      </c>
      <c r="BH185" s="91">
        <f t="shared" si="366"/>
        <v>0</v>
      </c>
      <c r="BJ185"/>
      <c r="BK185"/>
      <c r="BL185"/>
      <c r="BM185"/>
      <c r="BN185"/>
      <c r="BO185"/>
    </row>
    <row r="186" spans="1:67" s="61" customFormat="1">
      <c r="B186" s="88" t="s">
        <v>98</v>
      </c>
      <c r="C186" s="199"/>
      <c r="D186" s="89" t="s">
        <v>159</v>
      </c>
      <c r="E186" s="90">
        <f t="shared" ref="E186:G186" si="445">SUM(E187:E190)</f>
        <v>5.3890000000000006E-3</v>
      </c>
      <c r="F186" s="91">
        <f t="shared" si="445"/>
        <v>0</v>
      </c>
      <c r="G186" s="91">
        <f t="shared" si="445"/>
        <v>0</v>
      </c>
      <c r="H186" s="90">
        <v>0.22617100000000001</v>
      </c>
      <c r="I186" s="181">
        <v>0.25547500000000001</v>
      </c>
      <c r="J186" s="91">
        <f t="shared" ref="J186" si="446">SUM(J187:J190)</f>
        <v>0</v>
      </c>
      <c r="K186" s="180">
        <v>1.899</v>
      </c>
      <c r="L186" s="181">
        <v>5.077</v>
      </c>
      <c r="M186" s="91">
        <v>4.8209999999999997</v>
      </c>
      <c r="N186" s="180">
        <v>4.8209999999999997</v>
      </c>
      <c r="O186" s="181">
        <v>4.5819999999999999</v>
      </c>
      <c r="P186" s="91">
        <f>+Q186</f>
        <v>3.9510000000000001</v>
      </c>
      <c r="Q186" s="180">
        <v>3.9510000000000001</v>
      </c>
      <c r="R186" s="181">
        <v>6.0949999999999998</v>
      </c>
      <c r="S186" s="91">
        <f>+T186</f>
        <v>12.032</v>
      </c>
      <c r="T186" s="180">
        <v>12.032</v>
      </c>
      <c r="U186" s="181">
        <v>16.815000000000001</v>
      </c>
      <c r="V186" s="91">
        <f t="shared" ref="V186:V191" si="447">+W186</f>
        <v>15.848000000000001</v>
      </c>
      <c r="W186" s="180">
        <v>15.848000000000001</v>
      </c>
      <c r="X186" s="181">
        <v>19.464183875348596</v>
      </c>
      <c r="Y186" s="91">
        <f t="shared" ref="Y186:Y191" si="448">+Z186</f>
        <v>27.841000000000001</v>
      </c>
      <c r="Z186" s="180">
        <v>27.841000000000001</v>
      </c>
      <c r="AA186" s="181">
        <v>42.463000000000001</v>
      </c>
      <c r="AB186" s="91">
        <f t="shared" ref="AB186" si="449">+AC186</f>
        <v>39.083311893137591</v>
      </c>
      <c r="AC186" s="205">
        <f>Z186-AC49-AC129</f>
        <v>39.083311893137591</v>
      </c>
      <c r="AD186" s="91">
        <f>AC186-AD49-AD129</f>
        <v>47.503520922280067</v>
      </c>
      <c r="AE186" s="91">
        <f t="shared" ref="AE186" si="450">+AF186</f>
        <v>56.327159531564362</v>
      </c>
      <c r="AF186" s="90">
        <f>AC186-AF49-AF129</f>
        <v>56.327159531564362</v>
      </c>
      <c r="AG186" s="91">
        <f>AF186-AG49-AG129</f>
        <v>58.344586786089664</v>
      </c>
      <c r="AH186" s="91">
        <f t="shared" ref="AH186" si="451">+AI186</f>
        <v>60.425137369371107</v>
      </c>
      <c r="AI186" s="90">
        <f>AF186-AI49-AI129</f>
        <v>60.425137369371107</v>
      </c>
      <c r="AJ186" s="91">
        <f>AI186-AJ49-AJ129</f>
        <v>62.706182902939553</v>
      </c>
      <c r="AK186" s="91">
        <f t="shared" ref="AK186" si="452">+AL186</f>
        <v>65.06006134522508</v>
      </c>
      <c r="AL186" s="90">
        <f>AI186-AL49-AL129</f>
        <v>65.06006134522508</v>
      </c>
      <c r="AM186" s="91">
        <f>AL186-AM49-AM129</f>
        <v>68.006935354678689</v>
      </c>
      <c r="AN186" s="91">
        <f t="shared" ref="AN186" si="453">+AO186</f>
        <v>71.052707146273249</v>
      </c>
      <c r="AO186" s="90">
        <f>AL186-AO49-AO129</f>
        <v>71.052707146273249</v>
      </c>
      <c r="AP186" s="91">
        <f>AO186-AP49-AP129</f>
        <v>74.496288983313718</v>
      </c>
      <c r="AQ186" s="91">
        <f t="shared" ref="AQ186" si="454">+AR186</f>
        <v>78.178824145184365</v>
      </c>
      <c r="AR186" s="90">
        <f>AO186-AR49-AR129</f>
        <v>78.178824145184365</v>
      </c>
      <c r="AS186" s="91">
        <f>AR186-AS49-AS129</f>
        <v>82.139785187671038</v>
      </c>
      <c r="AT186" s="91">
        <f t="shared" ref="AT186" si="455">+AU186</f>
        <v>86.380003227081303</v>
      </c>
      <c r="AU186" s="90">
        <f>AR186-AU49-AU129</f>
        <v>86.380003227081303</v>
      </c>
      <c r="AV186" s="91">
        <f>AU186-AV49-AV129</f>
        <v>90.870183987449252</v>
      </c>
      <c r="AW186" s="91">
        <f t="shared" ref="AW186" si="456">+AX186</f>
        <v>95.680096559711288</v>
      </c>
      <c r="AX186" s="90">
        <f>AU186-AX49-AX129</f>
        <v>95.680096559711288</v>
      </c>
      <c r="AY186" s="91">
        <f>AX186-AY49-AY129</f>
        <v>100.68245430545873</v>
      </c>
      <c r="AZ186" s="91">
        <f t="shared" ref="AZ186" si="457">+BA186</f>
        <v>106.04877487697917</v>
      </c>
      <c r="BA186" s="90">
        <f>AX186-BA49-BA129</f>
        <v>106.04877487697917</v>
      </c>
      <c r="BB186" s="91">
        <f>BA186-BB49-BB129</f>
        <v>111.5588201599636</v>
      </c>
      <c r="BC186" s="91">
        <f t="shared" ref="BC186" si="458">+BD186</f>
        <v>117.47233501437941</v>
      </c>
      <c r="BD186" s="90">
        <f>BA186-BD49-BD129</f>
        <v>117.47233501437941</v>
      </c>
      <c r="BE186" s="91">
        <f>BD186-BE49-BE129</f>
        <v>123.45143862110955</v>
      </c>
      <c r="BF186" s="91">
        <f t="shared" ref="BF186" si="459">+BG186</f>
        <v>129.87014285306273</v>
      </c>
      <c r="BG186" s="90">
        <f>BD186-BG49-BG129</f>
        <v>129.87014285306273</v>
      </c>
      <c r="BH186" s="91">
        <f t="shared" si="366"/>
        <v>-3.3796881068624103</v>
      </c>
      <c r="BJ186"/>
      <c r="BK186"/>
      <c r="BL186"/>
      <c r="BM186"/>
      <c r="BN186"/>
      <c r="BO186"/>
    </row>
    <row r="187" spans="1:67" s="61" customFormat="1" outlineLevel="1">
      <c r="B187" s="88" t="s">
        <v>293</v>
      </c>
      <c r="C187" s="199"/>
      <c r="D187" s="89" t="s">
        <v>159</v>
      </c>
      <c r="E187" s="90">
        <v>0</v>
      </c>
      <c r="F187" s="91">
        <v>0</v>
      </c>
      <c r="G187" s="91"/>
      <c r="H187" s="90"/>
      <c r="I187" s="91"/>
      <c r="J187" s="91"/>
      <c r="K187" s="90"/>
      <c r="L187" s="91"/>
      <c r="M187" s="91"/>
      <c r="N187" s="90"/>
      <c r="O187" s="91"/>
      <c r="P187" s="91"/>
      <c r="Q187" s="90"/>
      <c r="R187" s="91"/>
      <c r="S187" s="91"/>
      <c r="T187" s="90"/>
      <c r="U187" s="91"/>
      <c r="V187" s="91"/>
      <c r="W187" s="90"/>
      <c r="X187" s="91"/>
      <c r="Y187" s="91"/>
      <c r="Z187" s="90"/>
      <c r="AA187" s="91"/>
      <c r="AB187" s="91"/>
      <c r="AC187" s="90"/>
      <c r="AD187" s="91"/>
      <c r="AE187" s="91"/>
      <c r="AF187" s="90"/>
      <c r="AG187" s="91"/>
      <c r="AH187" s="91"/>
      <c r="AI187" s="90"/>
      <c r="AJ187" s="91"/>
      <c r="AK187" s="91"/>
      <c r="AL187" s="90"/>
      <c r="AM187" s="91"/>
      <c r="AN187" s="91"/>
      <c r="AO187" s="90"/>
      <c r="AP187" s="91"/>
      <c r="AQ187" s="91"/>
      <c r="AR187" s="90"/>
      <c r="AS187" s="91"/>
      <c r="AT187" s="91"/>
      <c r="AU187" s="90"/>
      <c r="AV187" s="91"/>
      <c r="AW187" s="91"/>
      <c r="AX187" s="90"/>
      <c r="AY187" s="91"/>
      <c r="AZ187" s="91"/>
      <c r="BA187" s="90"/>
      <c r="BB187" s="91"/>
      <c r="BC187" s="91"/>
      <c r="BD187" s="90"/>
      <c r="BE187" s="91"/>
      <c r="BF187" s="91"/>
      <c r="BG187" s="90"/>
      <c r="BH187" s="91">
        <f t="shared" si="366"/>
        <v>0</v>
      </c>
      <c r="BJ187"/>
      <c r="BK187"/>
      <c r="BL187"/>
      <c r="BM187"/>
      <c r="BN187"/>
      <c r="BO187"/>
    </row>
    <row r="188" spans="1:67" s="61" customFormat="1" outlineLevel="1">
      <c r="B188" s="88" t="s">
        <v>294</v>
      </c>
      <c r="C188" s="199"/>
      <c r="D188" s="89" t="s">
        <v>159</v>
      </c>
      <c r="E188" s="90">
        <v>5.3890000000000006E-3</v>
      </c>
      <c r="F188" s="91">
        <v>0</v>
      </c>
      <c r="G188" s="91"/>
      <c r="H188" s="90"/>
      <c r="I188" s="91"/>
      <c r="J188" s="91"/>
      <c r="K188" s="90"/>
      <c r="L188" s="91"/>
      <c r="M188" s="91"/>
      <c r="N188" s="90"/>
      <c r="O188" s="91"/>
      <c r="P188" s="91"/>
      <c r="Q188" s="90"/>
      <c r="R188" s="91"/>
      <c r="S188" s="91"/>
      <c r="T188" s="90"/>
      <c r="U188" s="91"/>
      <c r="V188" s="91"/>
      <c r="W188" s="90"/>
      <c r="X188" s="91"/>
      <c r="Y188" s="91"/>
      <c r="Z188" s="90"/>
      <c r="AA188" s="91"/>
      <c r="AB188" s="91"/>
      <c r="AC188" s="90"/>
      <c r="AD188" s="91"/>
      <c r="AE188" s="91"/>
      <c r="AF188" s="90"/>
      <c r="AG188" s="91"/>
      <c r="AH188" s="91"/>
      <c r="AI188" s="90"/>
      <c r="AJ188" s="91"/>
      <c r="AK188" s="91"/>
      <c r="AL188" s="90"/>
      <c r="AM188" s="91"/>
      <c r="AN188" s="91"/>
      <c r="AO188" s="90"/>
      <c r="AP188" s="91"/>
      <c r="AQ188" s="91"/>
      <c r="AR188" s="90"/>
      <c r="AS188" s="91"/>
      <c r="AT188" s="91"/>
      <c r="AU188" s="90"/>
      <c r="AV188" s="91"/>
      <c r="AW188" s="91"/>
      <c r="AX188" s="90"/>
      <c r="AY188" s="91"/>
      <c r="AZ188" s="91"/>
      <c r="BA188" s="90"/>
      <c r="BB188" s="91"/>
      <c r="BC188" s="91"/>
      <c r="BD188" s="90"/>
      <c r="BE188" s="91"/>
      <c r="BF188" s="91"/>
      <c r="BG188" s="90"/>
      <c r="BH188" s="91">
        <f t="shared" si="366"/>
        <v>0</v>
      </c>
      <c r="BJ188"/>
      <c r="BK188"/>
      <c r="BL188"/>
      <c r="BM188"/>
      <c r="BN188"/>
      <c r="BO188"/>
    </row>
    <row r="189" spans="1:67" s="61" customFormat="1" outlineLevel="1">
      <c r="B189" s="121" t="s">
        <v>295</v>
      </c>
      <c r="C189" s="199"/>
      <c r="D189" s="89" t="s">
        <v>159</v>
      </c>
      <c r="E189" s="90">
        <v>0</v>
      </c>
      <c r="F189" s="91">
        <v>0</v>
      </c>
      <c r="G189" s="91"/>
      <c r="H189" s="90"/>
      <c r="I189" s="91"/>
      <c r="J189" s="91"/>
      <c r="K189" s="90"/>
      <c r="L189" s="91"/>
      <c r="M189" s="91"/>
      <c r="N189" s="90"/>
      <c r="O189" s="91"/>
      <c r="P189" s="91"/>
      <c r="Q189" s="90"/>
      <c r="R189" s="91"/>
      <c r="S189" s="91"/>
      <c r="T189" s="90"/>
      <c r="U189" s="91"/>
      <c r="V189" s="91"/>
      <c r="W189" s="90"/>
      <c r="X189" s="91"/>
      <c r="Y189" s="91"/>
      <c r="Z189" s="90"/>
      <c r="AA189" s="91"/>
      <c r="AB189" s="91"/>
      <c r="AC189" s="90"/>
      <c r="AD189" s="91"/>
      <c r="AE189" s="91"/>
      <c r="AF189" s="90"/>
      <c r="AG189" s="91"/>
      <c r="AH189" s="91"/>
      <c r="AI189" s="90"/>
      <c r="AJ189" s="91"/>
      <c r="AK189" s="91"/>
      <c r="AL189" s="90"/>
      <c r="AM189" s="91"/>
      <c r="AN189" s="91"/>
      <c r="AO189" s="90"/>
      <c r="AP189" s="91"/>
      <c r="AQ189" s="91"/>
      <c r="AR189" s="90"/>
      <c r="AS189" s="91"/>
      <c r="AT189" s="91"/>
      <c r="AU189" s="90"/>
      <c r="AV189" s="91"/>
      <c r="AW189" s="91"/>
      <c r="AX189" s="90"/>
      <c r="AY189" s="91"/>
      <c r="AZ189" s="91"/>
      <c r="BA189" s="90"/>
      <c r="BB189" s="91"/>
      <c r="BC189" s="91"/>
      <c r="BD189" s="90"/>
      <c r="BE189" s="91"/>
      <c r="BF189" s="91"/>
      <c r="BG189" s="90"/>
      <c r="BH189" s="91">
        <f t="shared" si="366"/>
        <v>0</v>
      </c>
      <c r="BJ189"/>
      <c r="BK189"/>
      <c r="BL189"/>
      <c r="BM189"/>
      <c r="BN189"/>
      <c r="BO189"/>
    </row>
    <row r="190" spans="1:67" s="61" customFormat="1" outlineLevel="1">
      <c r="B190" s="121" t="s">
        <v>296</v>
      </c>
      <c r="C190" s="199"/>
      <c r="D190" s="89" t="s">
        <v>159</v>
      </c>
      <c r="E190" s="90">
        <v>0</v>
      </c>
      <c r="F190" s="91">
        <v>0</v>
      </c>
      <c r="G190" s="91"/>
      <c r="H190" s="90"/>
      <c r="I190" s="91"/>
      <c r="J190" s="91"/>
      <c r="K190" s="90"/>
      <c r="L190" s="91"/>
      <c r="M190" s="91"/>
      <c r="N190" s="90"/>
      <c r="O190" s="91"/>
      <c r="P190" s="91"/>
      <c r="Q190" s="90"/>
      <c r="R190" s="91"/>
      <c r="S190" s="91"/>
      <c r="T190" s="90"/>
      <c r="U190" s="91"/>
      <c r="V190" s="91"/>
      <c r="W190" s="90"/>
      <c r="X190" s="91"/>
      <c r="Y190" s="91"/>
      <c r="Z190" s="90"/>
      <c r="AA190" s="91"/>
      <c r="AB190" s="91"/>
      <c r="AC190" s="90"/>
      <c r="AD190" s="91"/>
      <c r="AE190" s="91"/>
      <c r="AF190" s="90"/>
      <c r="AG190" s="91"/>
      <c r="AH190" s="91"/>
      <c r="AI190" s="90"/>
      <c r="AJ190" s="91"/>
      <c r="AK190" s="91"/>
      <c r="AL190" s="90"/>
      <c r="AM190" s="91"/>
      <c r="AN190" s="91"/>
      <c r="AO190" s="90"/>
      <c r="AP190" s="91"/>
      <c r="AQ190" s="91"/>
      <c r="AR190" s="90"/>
      <c r="AS190" s="91"/>
      <c r="AT190" s="91"/>
      <c r="AU190" s="90"/>
      <c r="AV190" s="91"/>
      <c r="AW190" s="91"/>
      <c r="AX190" s="90"/>
      <c r="AY190" s="91"/>
      <c r="AZ190" s="91"/>
      <c r="BA190" s="90"/>
      <c r="BB190" s="91"/>
      <c r="BC190" s="91"/>
      <c r="BD190" s="90"/>
      <c r="BE190" s="91"/>
      <c r="BF190" s="91"/>
      <c r="BG190" s="90"/>
      <c r="BH190" s="91">
        <f t="shared" si="366"/>
        <v>0</v>
      </c>
      <c r="BJ190"/>
      <c r="BK190"/>
      <c r="BL190"/>
      <c r="BM190"/>
      <c r="BN190"/>
      <c r="BO190"/>
    </row>
    <row r="191" spans="1:67" s="61" customFormat="1">
      <c r="B191" s="88" t="s">
        <v>101</v>
      </c>
      <c r="C191" s="199"/>
      <c r="D191" s="89" t="s">
        <v>159</v>
      </c>
      <c r="E191" s="90">
        <v>1.508038</v>
      </c>
      <c r="F191" s="91">
        <f>+E191+0.069</f>
        <v>1.5770379999999999</v>
      </c>
      <c r="G191" s="91">
        <f t="shared" ref="G191:G201" si="460">+H191</f>
        <v>39.450761</v>
      </c>
      <c r="H191" s="180">
        <v>39.450761</v>
      </c>
      <c r="I191" s="181">
        <v>37.341168000000003</v>
      </c>
      <c r="J191" s="91">
        <f t="shared" ref="J191:J201" si="461">+K191</f>
        <v>41.948</v>
      </c>
      <c r="K191" s="180">
        <v>41.948</v>
      </c>
      <c r="L191" s="181">
        <v>44.607999999999997</v>
      </c>
      <c r="M191" s="91">
        <f t="shared" ref="M191:M201" si="462">+N191</f>
        <v>59.189</v>
      </c>
      <c r="N191" s="180">
        <v>59.189</v>
      </c>
      <c r="O191" s="181">
        <v>53.773000000000003</v>
      </c>
      <c r="P191" s="91">
        <f t="shared" ref="P191:P201" si="463">+Q191</f>
        <v>55.728999999999999</v>
      </c>
      <c r="Q191" s="180">
        <v>55.728999999999999</v>
      </c>
      <c r="R191" s="181">
        <v>57.677</v>
      </c>
      <c r="S191" s="91">
        <f t="shared" ref="S191:S201" si="464">+T191</f>
        <v>58.983999999999995</v>
      </c>
      <c r="T191" s="180">
        <v>58.983999999999995</v>
      </c>
      <c r="U191" s="181">
        <v>58.829000000000001</v>
      </c>
      <c r="V191" s="91">
        <f t="shared" si="447"/>
        <v>75.054000000000002</v>
      </c>
      <c r="W191" s="180">
        <v>75.054000000000002</v>
      </c>
      <c r="X191" s="181">
        <v>267.47886367650096</v>
      </c>
      <c r="Y191" s="91">
        <f t="shared" si="448"/>
        <v>257.85899999999998</v>
      </c>
      <c r="Z191" s="180">
        <v>257.85899999999998</v>
      </c>
      <c r="AA191" s="181">
        <v>584.17200000000003</v>
      </c>
      <c r="AB191" s="91">
        <f>+AA191</f>
        <v>584.17200000000003</v>
      </c>
      <c r="AC191" s="205">
        <f>+AB191</f>
        <v>584.17200000000003</v>
      </c>
      <c r="AD191" s="91">
        <f>AC191-AD65-AD58-AD131</f>
        <v>586.831013377624</v>
      </c>
      <c r="AE191" s="91">
        <f t="shared" ref="AE191" si="465">+AF191</f>
        <v>589.61742557002958</v>
      </c>
      <c r="AF191" s="90">
        <f>AC191-AF65-AF58-AF131</f>
        <v>589.61742557002958</v>
      </c>
      <c r="AG191" s="91">
        <f>AF191-AG65-AG58-AG131</f>
        <v>592.64356645181749</v>
      </c>
      <c r="AH191" s="91">
        <f t="shared" ref="AH191" si="466">+AI191</f>
        <v>595.76439232673977</v>
      </c>
      <c r="AI191" s="90">
        <f>AF191-AI65-AI58-AI131</f>
        <v>595.76439232673977</v>
      </c>
      <c r="AJ191" s="91">
        <f>AI191-AJ65-AJ58-AJ131</f>
        <v>599.18596062709241</v>
      </c>
      <c r="AK191" s="91">
        <f t="shared" ref="AK191" si="467">+AL191</f>
        <v>602.71677829052078</v>
      </c>
      <c r="AL191" s="90">
        <f>AI191-AL65-AL58-AL131</f>
        <v>602.71677829052078</v>
      </c>
      <c r="AM191" s="91">
        <f>AL191-AM65-AM58-AM131</f>
        <v>607.13708930470125</v>
      </c>
      <c r="AN191" s="91">
        <f t="shared" ref="AN191" si="468">+AO191</f>
        <v>611.70574699209305</v>
      </c>
      <c r="AO191" s="90">
        <f>AL191-AO65-AO58-AO131</f>
        <v>611.70574699209305</v>
      </c>
      <c r="AP191" s="91">
        <f>AO191-AP65-AP58-AP131</f>
        <v>616.87111974765378</v>
      </c>
      <c r="AQ191" s="91">
        <f t="shared" ref="AQ191" si="469">+AR191</f>
        <v>622.39492249045975</v>
      </c>
      <c r="AR191" s="90">
        <f>AO191-AR65-AR58-AR131</f>
        <v>622.39492249045975</v>
      </c>
      <c r="AS191" s="91">
        <f>AR191-AS65-AS58-AS131</f>
        <v>628.33636405418974</v>
      </c>
      <c r="AT191" s="91">
        <f t="shared" ref="AT191" si="470">+AU191</f>
        <v>634.69669111330506</v>
      </c>
      <c r="AU191" s="90">
        <f>AR191-AU65-AU58-AU131</f>
        <v>634.69669111330506</v>
      </c>
      <c r="AV191" s="91">
        <f>AU191-AV65-AV58-AV131</f>
        <v>641.43196225385691</v>
      </c>
      <c r="AW191" s="91">
        <f t="shared" ref="AW191" si="471">+AX191</f>
        <v>648.64683111225008</v>
      </c>
      <c r="AX191" s="90">
        <f>AU191-AX65-AX58-AX131</f>
        <v>648.64683111225008</v>
      </c>
      <c r="AY191" s="91">
        <f>AX191-AY65-AY58-AY131</f>
        <v>656.15036773087127</v>
      </c>
      <c r="AZ191" s="91">
        <f t="shared" ref="AZ191" si="472">+BA191</f>
        <v>664.19984858815189</v>
      </c>
      <c r="BA191" s="90">
        <f>AX191-BA65-BA58-BA131</f>
        <v>664.19984858815189</v>
      </c>
      <c r="BB191" s="91">
        <f>BA191-BB65-BB58-BB131</f>
        <v>672.46491651262863</v>
      </c>
      <c r="BC191" s="91">
        <f t="shared" ref="BC191" si="473">+BD191</f>
        <v>681.33518879425219</v>
      </c>
      <c r="BD191" s="90">
        <f>BA191-BD65-BD58-BD131</f>
        <v>681.33518879425219</v>
      </c>
      <c r="BE191" s="91">
        <f>BD191-BE65-BE58-BE131</f>
        <v>690.30384420434746</v>
      </c>
      <c r="BF191" s="91">
        <f t="shared" ref="BF191" si="474">+BG191</f>
        <v>699.93190055227717</v>
      </c>
      <c r="BG191" s="90">
        <f>BD191-BG65-BG58-BG131</f>
        <v>699.93190055227717</v>
      </c>
      <c r="BH191" s="91">
        <f t="shared" si="366"/>
        <v>0</v>
      </c>
      <c r="BJ191"/>
      <c r="BK191"/>
      <c r="BL191"/>
      <c r="BM191"/>
      <c r="BN191"/>
      <c r="BO191"/>
    </row>
    <row r="192" spans="1:67" s="61" customFormat="1" outlineLevel="1">
      <c r="B192" s="88" t="s">
        <v>297</v>
      </c>
      <c r="C192" s="199"/>
      <c r="D192" s="89" t="s">
        <v>159</v>
      </c>
      <c r="E192" s="90"/>
      <c r="F192" s="91"/>
      <c r="G192" s="91"/>
      <c r="H192" s="90"/>
      <c r="I192" s="91"/>
      <c r="J192" s="91"/>
      <c r="K192" s="90"/>
      <c r="L192" s="91"/>
      <c r="M192" s="91"/>
      <c r="N192" s="90"/>
      <c r="O192" s="91"/>
      <c r="P192" s="91"/>
      <c r="Q192" s="90"/>
      <c r="R192" s="91"/>
      <c r="S192" s="91"/>
      <c r="T192" s="90"/>
      <c r="U192" s="91"/>
      <c r="V192" s="91"/>
      <c r="W192" s="90"/>
      <c r="X192" s="91"/>
      <c r="Y192" s="91"/>
      <c r="Z192" s="90"/>
      <c r="AA192" s="91"/>
      <c r="AB192" s="91"/>
      <c r="AC192" s="90"/>
      <c r="AD192" s="91"/>
      <c r="AE192" s="91"/>
      <c r="AF192" s="90"/>
      <c r="AG192" s="91"/>
      <c r="AH192" s="91"/>
      <c r="AI192" s="90"/>
      <c r="AJ192" s="91"/>
      <c r="AK192" s="91"/>
      <c r="AL192" s="90"/>
      <c r="AM192" s="91"/>
      <c r="AN192" s="91"/>
      <c r="AO192" s="90"/>
      <c r="AP192" s="91"/>
      <c r="AQ192" s="91"/>
      <c r="AR192" s="90"/>
      <c r="AS192" s="91"/>
      <c r="AT192" s="91"/>
      <c r="AU192" s="90"/>
      <c r="AV192" s="91"/>
      <c r="AW192" s="91"/>
      <c r="AX192" s="90"/>
      <c r="AY192" s="91"/>
      <c r="AZ192" s="91"/>
      <c r="BA192" s="90"/>
      <c r="BB192" s="91"/>
      <c r="BC192" s="91"/>
      <c r="BD192" s="90"/>
      <c r="BE192" s="91"/>
      <c r="BF192" s="91"/>
      <c r="BG192" s="90"/>
      <c r="BH192" s="91">
        <f t="shared" si="366"/>
        <v>0</v>
      </c>
      <c r="BJ192"/>
      <c r="BK192"/>
      <c r="BL192"/>
      <c r="BM192"/>
      <c r="BN192"/>
      <c r="BO192"/>
    </row>
    <row r="193" spans="2:67" s="61" customFormat="1" outlineLevel="1">
      <c r="B193" s="121" t="s">
        <v>261</v>
      </c>
      <c r="C193" s="199"/>
      <c r="D193" s="89" t="s">
        <v>159</v>
      </c>
      <c r="E193" s="90">
        <v>1.1082959999999999</v>
      </c>
      <c r="F193" s="91">
        <v>1.1082959999999999</v>
      </c>
      <c r="G193" s="91"/>
      <c r="H193" s="90"/>
      <c r="I193" s="91"/>
      <c r="J193" s="91"/>
      <c r="K193" s="90"/>
      <c r="L193" s="91"/>
      <c r="M193" s="91"/>
      <c r="N193" s="90"/>
      <c r="O193" s="91"/>
      <c r="P193" s="91"/>
      <c r="Q193" s="90"/>
      <c r="R193" s="91"/>
      <c r="S193" s="91"/>
      <c r="T193" s="90"/>
      <c r="U193" s="91"/>
      <c r="V193" s="91"/>
      <c r="W193" s="90"/>
      <c r="X193" s="91"/>
      <c r="Y193" s="91"/>
      <c r="Z193" s="90"/>
      <c r="AA193" s="91"/>
      <c r="AB193" s="91"/>
      <c r="AC193" s="90"/>
      <c r="AD193" s="91"/>
      <c r="AE193" s="91"/>
      <c r="AF193" s="90"/>
      <c r="AG193" s="91"/>
      <c r="AH193" s="91"/>
      <c r="AI193" s="90"/>
      <c r="AJ193" s="91"/>
      <c r="AK193" s="91"/>
      <c r="AL193" s="90"/>
      <c r="AM193" s="91"/>
      <c r="AN193" s="91"/>
      <c r="AO193" s="90"/>
      <c r="AP193" s="91"/>
      <c r="AQ193" s="91"/>
      <c r="AR193" s="90"/>
      <c r="AS193" s="91"/>
      <c r="AT193" s="91"/>
      <c r="AU193" s="90"/>
      <c r="AV193" s="91"/>
      <c r="AW193" s="91"/>
      <c r="AX193" s="90"/>
      <c r="AY193" s="91"/>
      <c r="AZ193" s="91"/>
      <c r="BA193" s="90"/>
      <c r="BB193" s="91"/>
      <c r="BC193" s="91"/>
      <c r="BD193" s="90"/>
      <c r="BE193" s="91"/>
      <c r="BF193" s="91"/>
      <c r="BG193" s="90"/>
      <c r="BH193" s="91">
        <f t="shared" si="366"/>
        <v>0</v>
      </c>
      <c r="BJ193"/>
      <c r="BK193"/>
      <c r="BL193"/>
      <c r="BM193"/>
      <c r="BN193"/>
      <c r="BO193"/>
    </row>
    <row r="194" spans="2:67" s="61" customFormat="1" outlineLevel="1">
      <c r="B194" s="121" t="s">
        <v>298</v>
      </c>
      <c r="C194" s="199"/>
      <c r="D194" s="89" t="s">
        <v>159</v>
      </c>
      <c r="E194" s="90">
        <v>6.7252999999999993E-2</v>
      </c>
      <c r="F194" s="91">
        <v>0.13599899999999998</v>
      </c>
      <c r="G194" s="91"/>
      <c r="H194" s="90"/>
      <c r="I194" s="91"/>
      <c r="J194" s="91"/>
      <c r="K194" s="90"/>
      <c r="L194" s="91"/>
      <c r="M194" s="91"/>
      <c r="N194" s="90"/>
      <c r="O194" s="91"/>
      <c r="P194" s="91"/>
      <c r="Q194" s="90"/>
      <c r="R194" s="91"/>
      <c r="S194" s="91"/>
      <c r="T194" s="90"/>
      <c r="U194" s="91"/>
      <c r="V194" s="91"/>
      <c r="W194" s="90"/>
      <c r="X194" s="91"/>
      <c r="Y194" s="91"/>
      <c r="Z194" s="90"/>
      <c r="AA194" s="91"/>
      <c r="AB194" s="91"/>
      <c r="AC194" s="90"/>
      <c r="AD194" s="91"/>
      <c r="AE194" s="91"/>
      <c r="AF194" s="90"/>
      <c r="AG194" s="91"/>
      <c r="AH194" s="91"/>
      <c r="AI194" s="90"/>
      <c r="AJ194" s="91"/>
      <c r="AK194" s="91"/>
      <c r="AL194" s="90"/>
      <c r="AM194" s="91"/>
      <c r="AN194" s="91"/>
      <c r="AO194" s="90"/>
      <c r="AP194" s="91"/>
      <c r="AQ194" s="91"/>
      <c r="AR194" s="90"/>
      <c r="AS194" s="91"/>
      <c r="AT194" s="91"/>
      <c r="AU194" s="90"/>
      <c r="AV194" s="91"/>
      <c r="AW194" s="91"/>
      <c r="AX194" s="90"/>
      <c r="AY194" s="91"/>
      <c r="AZ194" s="91"/>
      <c r="BA194" s="90"/>
      <c r="BB194" s="91"/>
      <c r="BC194" s="91"/>
      <c r="BD194" s="90"/>
      <c r="BE194" s="91"/>
      <c r="BF194" s="91"/>
      <c r="BG194" s="90"/>
      <c r="BH194" s="91">
        <f t="shared" si="366"/>
        <v>0</v>
      </c>
      <c r="BJ194"/>
      <c r="BK194"/>
      <c r="BL194"/>
      <c r="BM194"/>
      <c r="BN194"/>
      <c r="BO194"/>
    </row>
    <row r="195" spans="2:67" s="61" customFormat="1" outlineLevel="2">
      <c r="B195" s="121" t="s">
        <v>263</v>
      </c>
      <c r="C195" s="199"/>
      <c r="D195" s="89" t="s">
        <v>159</v>
      </c>
      <c r="E195" s="90">
        <v>0</v>
      </c>
      <c r="F195" s="91">
        <v>0</v>
      </c>
      <c r="G195" s="91"/>
      <c r="H195" s="90"/>
      <c r="I195" s="91"/>
      <c r="J195" s="91"/>
      <c r="K195" s="90"/>
      <c r="L195" s="91"/>
      <c r="M195" s="91"/>
      <c r="N195" s="90"/>
      <c r="O195" s="91"/>
      <c r="P195" s="91"/>
      <c r="Q195" s="90"/>
      <c r="R195" s="91"/>
      <c r="S195" s="91"/>
      <c r="T195" s="90"/>
      <c r="U195" s="91"/>
      <c r="V195" s="91"/>
      <c r="W195" s="90"/>
      <c r="X195" s="91"/>
      <c r="Y195" s="91"/>
      <c r="Z195" s="90"/>
      <c r="AA195" s="91"/>
      <c r="AB195" s="91"/>
      <c r="AC195" s="90"/>
      <c r="AD195" s="91"/>
      <c r="AE195" s="91"/>
      <c r="AF195" s="90"/>
      <c r="AG195" s="91"/>
      <c r="AH195" s="91"/>
      <c r="AI195" s="90"/>
      <c r="AJ195" s="91"/>
      <c r="AK195" s="91"/>
      <c r="AL195" s="90"/>
      <c r="AM195" s="91"/>
      <c r="AN195" s="91"/>
      <c r="AO195" s="90"/>
      <c r="AP195" s="91"/>
      <c r="AQ195" s="91"/>
      <c r="AR195" s="90"/>
      <c r="AS195" s="91"/>
      <c r="AT195" s="91"/>
      <c r="AU195" s="90"/>
      <c r="AV195" s="91"/>
      <c r="AW195" s="91"/>
      <c r="AX195" s="90"/>
      <c r="AY195" s="91"/>
      <c r="AZ195" s="91"/>
      <c r="BA195" s="90"/>
      <c r="BB195" s="91"/>
      <c r="BC195" s="91"/>
      <c r="BD195" s="90"/>
      <c r="BE195" s="91"/>
      <c r="BF195" s="91"/>
      <c r="BG195" s="90"/>
      <c r="BH195" s="91">
        <f t="shared" si="366"/>
        <v>0</v>
      </c>
      <c r="BJ195"/>
      <c r="BK195"/>
      <c r="BL195"/>
      <c r="BM195"/>
      <c r="BN195"/>
      <c r="BO195"/>
    </row>
    <row r="196" spans="2:67" s="61" customFormat="1" outlineLevel="2">
      <c r="B196" s="121" t="s">
        <v>264</v>
      </c>
      <c r="C196" s="199"/>
      <c r="D196" s="89" t="s">
        <v>159</v>
      </c>
      <c r="E196" s="90">
        <v>0</v>
      </c>
      <c r="F196" s="91">
        <v>0</v>
      </c>
      <c r="G196" s="91"/>
      <c r="H196" s="90"/>
      <c r="I196" s="91"/>
      <c r="J196" s="91"/>
      <c r="K196" s="90"/>
      <c r="L196" s="91"/>
      <c r="M196" s="91"/>
      <c r="N196" s="90"/>
      <c r="O196" s="91"/>
      <c r="P196" s="91"/>
      <c r="Q196" s="90"/>
      <c r="R196" s="91"/>
      <c r="S196" s="91"/>
      <c r="T196" s="90"/>
      <c r="U196" s="91"/>
      <c r="V196" s="91"/>
      <c r="W196" s="90"/>
      <c r="X196" s="91"/>
      <c r="Y196" s="91"/>
      <c r="Z196" s="90"/>
      <c r="AA196" s="91"/>
      <c r="AB196" s="91"/>
      <c r="AC196" s="90"/>
      <c r="AD196" s="91"/>
      <c r="AE196" s="91"/>
      <c r="AF196" s="90"/>
      <c r="AG196" s="91"/>
      <c r="AH196" s="91"/>
      <c r="AI196" s="90"/>
      <c r="AJ196" s="91"/>
      <c r="AK196" s="91"/>
      <c r="AL196" s="90"/>
      <c r="AM196" s="91"/>
      <c r="AN196" s="91"/>
      <c r="AO196" s="90"/>
      <c r="AP196" s="91"/>
      <c r="AQ196" s="91"/>
      <c r="AR196" s="90"/>
      <c r="AS196" s="91"/>
      <c r="AT196" s="91"/>
      <c r="AU196" s="90"/>
      <c r="AV196" s="91"/>
      <c r="AW196" s="91"/>
      <c r="AX196" s="90"/>
      <c r="AY196" s="91"/>
      <c r="AZ196" s="91"/>
      <c r="BA196" s="90"/>
      <c r="BB196" s="91"/>
      <c r="BC196" s="91"/>
      <c r="BD196" s="90"/>
      <c r="BE196" s="91"/>
      <c r="BF196" s="91"/>
      <c r="BG196" s="90"/>
      <c r="BH196" s="91">
        <f t="shared" si="366"/>
        <v>0</v>
      </c>
      <c r="BJ196"/>
      <c r="BK196"/>
      <c r="BL196"/>
      <c r="BM196"/>
      <c r="BN196"/>
      <c r="BO196"/>
    </row>
    <row r="197" spans="2:67" s="61" customFormat="1" outlineLevel="2">
      <c r="B197" s="88" t="s">
        <v>299</v>
      </c>
      <c r="C197" s="199"/>
      <c r="D197" s="89"/>
      <c r="E197" s="90">
        <v>0</v>
      </c>
      <c r="F197" s="91">
        <v>0</v>
      </c>
      <c r="G197" s="91">
        <f t="shared" si="460"/>
        <v>0</v>
      </c>
      <c r="H197" s="90">
        <v>0</v>
      </c>
      <c r="I197" s="91">
        <v>0.38791599999999998</v>
      </c>
      <c r="J197" s="91">
        <v>0</v>
      </c>
      <c r="K197" s="90">
        <v>0</v>
      </c>
      <c r="L197" s="91">
        <v>0</v>
      </c>
      <c r="M197" s="91">
        <v>0</v>
      </c>
      <c r="N197" s="90">
        <v>0</v>
      </c>
      <c r="O197" s="91">
        <v>0</v>
      </c>
      <c r="P197" s="91">
        <f t="shared" si="463"/>
        <v>2.3780000000000001</v>
      </c>
      <c r="Q197" s="180">
        <v>2.3780000000000001</v>
      </c>
      <c r="R197" s="181">
        <v>2.3940000000000001</v>
      </c>
      <c r="S197" s="91">
        <f t="shared" si="464"/>
        <v>6.806</v>
      </c>
      <c r="T197" s="180">
        <v>6.806</v>
      </c>
      <c r="U197" s="181">
        <v>6.27</v>
      </c>
      <c r="V197" s="91">
        <f>W197</f>
        <v>5.01</v>
      </c>
      <c r="W197" s="180">
        <v>5.01</v>
      </c>
      <c r="X197" s="181">
        <v>6.1499321945330871</v>
      </c>
      <c r="Y197" s="91">
        <f>Z197</f>
        <v>5.8049999999999997</v>
      </c>
      <c r="Z197" s="180">
        <v>5.8049999999999997</v>
      </c>
      <c r="AA197" s="181">
        <v>31.713999999999999</v>
      </c>
      <c r="AB197" s="91">
        <f>+AA197</f>
        <v>31.713999999999999</v>
      </c>
      <c r="AC197" s="90">
        <f>+AA197</f>
        <v>31.713999999999999</v>
      </c>
      <c r="AD197" s="91">
        <f>AC197-AD51</f>
        <v>31.713999999999999</v>
      </c>
      <c r="AE197" s="91">
        <f>AF197</f>
        <v>31.713999999999999</v>
      </c>
      <c r="AF197" s="90">
        <f>AC197</f>
        <v>31.713999999999999</v>
      </c>
      <c r="AG197" s="91">
        <f>AF197-AG51</f>
        <v>31.713999999999999</v>
      </c>
      <c r="AH197" s="91">
        <f>AI197</f>
        <v>31.713999999999999</v>
      </c>
      <c r="AI197" s="90">
        <f>AF197</f>
        <v>31.713999999999999</v>
      </c>
      <c r="AJ197" s="91">
        <f>AI197-AJ51</f>
        <v>31.713999999999999</v>
      </c>
      <c r="AK197" s="91">
        <f>AL197</f>
        <v>31.713999999999999</v>
      </c>
      <c r="AL197" s="90">
        <f>AI197</f>
        <v>31.713999999999999</v>
      </c>
      <c r="AM197" s="91">
        <f>AL197-AM51</f>
        <v>31.713999999999999</v>
      </c>
      <c r="AN197" s="91">
        <f>AO197</f>
        <v>31.713999999999999</v>
      </c>
      <c r="AO197" s="90">
        <f>AL197</f>
        <v>31.713999999999999</v>
      </c>
      <c r="AP197" s="91">
        <f>AO197-AP51</f>
        <v>31.713999999999999</v>
      </c>
      <c r="AQ197" s="91">
        <f>AR197</f>
        <v>31.713999999999999</v>
      </c>
      <c r="AR197" s="90">
        <f>AO197</f>
        <v>31.713999999999999</v>
      </c>
      <c r="AS197" s="91">
        <f>AR197-AS51</f>
        <v>31.713999999999999</v>
      </c>
      <c r="AT197" s="91">
        <f>AU197</f>
        <v>31.713999999999999</v>
      </c>
      <c r="AU197" s="90">
        <f>AR197</f>
        <v>31.713999999999999</v>
      </c>
      <c r="AV197" s="91">
        <f>AU197-AV51</f>
        <v>31.713999999999999</v>
      </c>
      <c r="AW197" s="91">
        <f>AX197</f>
        <v>31.713999999999999</v>
      </c>
      <c r="AX197" s="90">
        <f>AU197</f>
        <v>31.713999999999999</v>
      </c>
      <c r="AY197" s="91">
        <f>AX197-AY51</f>
        <v>31.713999999999999</v>
      </c>
      <c r="AZ197" s="91">
        <f>BA197</f>
        <v>31.713999999999999</v>
      </c>
      <c r="BA197" s="90">
        <f>AX197</f>
        <v>31.713999999999999</v>
      </c>
      <c r="BB197" s="91">
        <f>BA197-BB51</f>
        <v>31.713999999999999</v>
      </c>
      <c r="BC197" s="91">
        <f>BD197</f>
        <v>31.713999999999999</v>
      </c>
      <c r="BD197" s="90">
        <f>BA197</f>
        <v>31.713999999999999</v>
      </c>
      <c r="BE197" s="91">
        <f>BD197-BE51</f>
        <v>31.713999999999999</v>
      </c>
      <c r="BF197" s="91">
        <f>BG197</f>
        <v>31.713999999999999</v>
      </c>
      <c r="BG197" s="90">
        <f>BD197</f>
        <v>31.713999999999999</v>
      </c>
      <c r="BH197" s="91">
        <f t="shared" si="366"/>
        <v>0</v>
      </c>
      <c r="BJ197"/>
      <c r="BK197"/>
      <c r="BL197"/>
      <c r="BM197"/>
      <c r="BN197"/>
      <c r="BO197"/>
    </row>
    <row r="198" spans="2:67" s="61" customFormat="1" outlineLevel="1">
      <c r="B198" s="88" t="s">
        <v>300</v>
      </c>
      <c r="C198" s="199"/>
      <c r="D198" s="89" t="s">
        <v>159</v>
      </c>
      <c r="E198" s="150">
        <v>0</v>
      </c>
      <c r="F198" s="151">
        <v>0</v>
      </c>
      <c r="G198" s="91">
        <f t="shared" si="460"/>
        <v>0</v>
      </c>
      <c r="H198" s="150">
        <v>0</v>
      </c>
      <c r="I198" s="151">
        <v>0</v>
      </c>
      <c r="J198" s="91">
        <f t="shared" si="461"/>
        <v>0</v>
      </c>
      <c r="K198" s="150">
        <v>0</v>
      </c>
      <c r="L198" s="151">
        <v>0</v>
      </c>
      <c r="M198" s="91">
        <f t="shared" si="462"/>
        <v>0</v>
      </c>
      <c r="N198" s="150">
        <v>0</v>
      </c>
      <c r="O198" s="151">
        <v>0</v>
      </c>
      <c r="P198" s="91">
        <f t="shared" si="463"/>
        <v>0</v>
      </c>
      <c r="Q198" s="150">
        <v>0</v>
      </c>
      <c r="R198" s="151">
        <v>0</v>
      </c>
      <c r="S198" s="91">
        <f t="shared" si="464"/>
        <v>3.9710000000000001</v>
      </c>
      <c r="T198" s="180">
        <v>3.9710000000000001</v>
      </c>
      <c r="U198" s="181">
        <v>8.68</v>
      </c>
      <c r="V198" s="91">
        <f t="shared" ref="V198:V201" si="475">+W198</f>
        <v>13.991</v>
      </c>
      <c r="W198" s="180">
        <v>13.991</v>
      </c>
      <c r="X198" s="181">
        <v>24.572276712811078</v>
      </c>
      <c r="Y198" s="91">
        <f t="shared" ref="Y198:Y201" si="476">+Z198</f>
        <v>28.92</v>
      </c>
      <c r="Z198" s="180">
        <v>28.92</v>
      </c>
      <c r="AA198" s="181">
        <v>75.772000000000006</v>
      </c>
      <c r="AB198" s="91">
        <f t="shared" ref="AB198" si="477">+AC198</f>
        <v>75.772000000000006</v>
      </c>
      <c r="AC198" s="90">
        <f>+AA198</f>
        <v>75.772000000000006</v>
      </c>
      <c r="AD198" s="91">
        <f>AC198</f>
        <v>75.772000000000006</v>
      </c>
      <c r="AE198" s="91">
        <f t="shared" ref="AE198" si="478">+AF198</f>
        <v>75.772000000000006</v>
      </c>
      <c r="AF198" s="90">
        <f>AC198</f>
        <v>75.772000000000006</v>
      </c>
      <c r="AG198" s="91">
        <f>AF198</f>
        <v>75.772000000000006</v>
      </c>
      <c r="AH198" s="91">
        <f t="shared" ref="AH198" si="479">+AI198</f>
        <v>75.772000000000006</v>
      </c>
      <c r="AI198" s="90">
        <f>AF198</f>
        <v>75.772000000000006</v>
      </c>
      <c r="AJ198" s="91">
        <f>AI198</f>
        <v>75.772000000000006</v>
      </c>
      <c r="AK198" s="91">
        <f t="shared" ref="AK198" si="480">+AL198</f>
        <v>75.772000000000006</v>
      </c>
      <c r="AL198" s="90">
        <f>AI198</f>
        <v>75.772000000000006</v>
      </c>
      <c r="AM198" s="91">
        <f>AL198</f>
        <v>75.772000000000006</v>
      </c>
      <c r="AN198" s="91">
        <f t="shared" ref="AN198" si="481">+AO198</f>
        <v>75.772000000000006</v>
      </c>
      <c r="AO198" s="90">
        <f>AL198</f>
        <v>75.772000000000006</v>
      </c>
      <c r="AP198" s="91">
        <f>AO198</f>
        <v>75.772000000000006</v>
      </c>
      <c r="AQ198" s="91">
        <f t="shared" ref="AQ198" si="482">+AR198</f>
        <v>75.772000000000006</v>
      </c>
      <c r="AR198" s="90">
        <f>AO198</f>
        <v>75.772000000000006</v>
      </c>
      <c r="AS198" s="91">
        <f>AR198</f>
        <v>75.772000000000006</v>
      </c>
      <c r="AT198" s="91">
        <f t="shared" ref="AT198" si="483">+AU198</f>
        <v>75.772000000000006</v>
      </c>
      <c r="AU198" s="90">
        <f>AR198</f>
        <v>75.772000000000006</v>
      </c>
      <c r="AV198" s="91">
        <f>AU198</f>
        <v>75.772000000000006</v>
      </c>
      <c r="AW198" s="91">
        <f t="shared" ref="AW198" si="484">+AX198</f>
        <v>75.772000000000006</v>
      </c>
      <c r="AX198" s="90">
        <f>AU198</f>
        <v>75.772000000000006</v>
      </c>
      <c r="AY198" s="91">
        <f>AX198</f>
        <v>75.772000000000006</v>
      </c>
      <c r="AZ198" s="91">
        <f t="shared" ref="AZ198" si="485">+BA198</f>
        <v>75.772000000000006</v>
      </c>
      <c r="BA198" s="90">
        <f>AX198</f>
        <v>75.772000000000006</v>
      </c>
      <c r="BB198" s="91">
        <f>BA198</f>
        <v>75.772000000000006</v>
      </c>
      <c r="BC198" s="91">
        <f t="shared" ref="BC198" si="486">+BD198</f>
        <v>75.772000000000006</v>
      </c>
      <c r="BD198" s="90">
        <f>BA198</f>
        <v>75.772000000000006</v>
      </c>
      <c r="BE198" s="91">
        <f>BD198</f>
        <v>75.772000000000006</v>
      </c>
      <c r="BF198" s="91">
        <f t="shared" ref="BF198" si="487">+BG198</f>
        <v>75.772000000000006</v>
      </c>
      <c r="BG198" s="90">
        <f>BD198</f>
        <v>75.772000000000006</v>
      </c>
      <c r="BH198" s="91">
        <f t="shared" si="366"/>
        <v>0</v>
      </c>
      <c r="BJ198"/>
      <c r="BK198"/>
      <c r="BL198"/>
      <c r="BM198"/>
      <c r="BN198"/>
      <c r="BO198"/>
    </row>
    <row r="199" spans="2:67" s="61" customFormat="1" outlineLevel="1">
      <c r="B199" s="121" t="s">
        <v>301</v>
      </c>
      <c r="C199" s="199"/>
      <c r="D199" s="89"/>
      <c r="E199" s="150">
        <v>0</v>
      </c>
      <c r="F199" s="151">
        <v>3.5291999999999997E-2</v>
      </c>
      <c r="G199" s="91">
        <f t="shared" si="460"/>
        <v>0</v>
      </c>
      <c r="H199" s="150">
        <v>0</v>
      </c>
      <c r="I199" s="151">
        <v>0</v>
      </c>
      <c r="J199" s="91">
        <f t="shared" si="461"/>
        <v>0</v>
      </c>
      <c r="K199" s="150">
        <v>0</v>
      </c>
      <c r="L199" s="151">
        <v>0</v>
      </c>
      <c r="M199" s="91">
        <f t="shared" si="462"/>
        <v>0</v>
      </c>
      <c r="N199" s="150">
        <v>0</v>
      </c>
      <c r="O199" s="151">
        <v>0</v>
      </c>
      <c r="P199" s="91">
        <f t="shared" si="463"/>
        <v>0</v>
      </c>
      <c r="Q199" s="150">
        <v>0</v>
      </c>
      <c r="R199" s="151">
        <v>0</v>
      </c>
      <c r="S199" s="91">
        <f t="shared" si="464"/>
        <v>0</v>
      </c>
      <c r="T199" s="90">
        <v>0</v>
      </c>
      <c r="U199" s="181">
        <v>0</v>
      </c>
      <c r="V199" s="91">
        <f>+W199</f>
        <v>8.6639999999999997</v>
      </c>
      <c r="W199" s="180">
        <f>8.387+0.277</f>
        <v>8.6639999999999997</v>
      </c>
      <c r="X199" s="181">
        <v>10.887087368874033</v>
      </c>
      <c r="Y199" s="91">
        <f>+Z199</f>
        <v>49.837000000000003</v>
      </c>
      <c r="Z199" s="180">
        <f>34.746+15.091</f>
        <v>49.837000000000003</v>
      </c>
      <c r="AA199" s="181">
        <f>36.708+21.11</f>
        <v>57.817999999999998</v>
      </c>
      <c r="AB199" s="91">
        <f t="shared" ref="AB199:BG199" si="488">+AA199</f>
        <v>57.817999999999998</v>
      </c>
      <c r="AC199" s="90">
        <f t="shared" si="488"/>
        <v>57.817999999999998</v>
      </c>
      <c r="AD199" s="91">
        <f t="shared" si="488"/>
        <v>57.817999999999998</v>
      </c>
      <c r="AE199" s="91">
        <f t="shared" si="488"/>
        <v>57.817999999999998</v>
      </c>
      <c r="AF199" s="90">
        <f t="shared" si="488"/>
        <v>57.817999999999998</v>
      </c>
      <c r="AG199" s="91">
        <f t="shared" si="488"/>
        <v>57.817999999999998</v>
      </c>
      <c r="AH199" s="91">
        <f t="shared" si="488"/>
        <v>57.817999999999998</v>
      </c>
      <c r="AI199" s="90">
        <f t="shared" si="488"/>
        <v>57.817999999999998</v>
      </c>
      <c r="AJ199" s="91">
        <f t="shared" si="488"/>
        <v>57.817999999999998</v>
      </c>
      <c r="AK199" s="91">
        <f t="shared" si="488"/>
        <v>57.817999999999998</v>
      </c>
      <c r="AL199" s="90">
        <f t="shared" si="488"/>
        <v>57.817999999999998</v>
      </c>
      <c r="AM199" s="91">
        <f t="shared" si="488"/>
        <v>57.817999999999998</v>
      </c>
      <c r="AN199" s="91">
        <f t="shared" si="488"/>
        <v>57.817999999999998</v>
      </c>
      <c r="AO199" s="90">
        <f t="shared" si="488"/>
        <v>57.817999999999998</v>
      </c>
      <c r="AP199" s="91">
        <f t="shared" si="488"/>
        <v>57.817999999999998</v>
      </c>
      <c r="AQ199" s="91">
        <f t="shared" si="488"/>
        <v>57.817999999999998</v>
      </c>
      <c r="AR199" s="90">
        <f t="shared" si="488"/>
        <v>57.817999999999998</v>
      </c>
      <c r="AS199" s="91">
        <f t="shared" si="488"/>
        <v>57.817999999999998</v>
      </c>
      <c r="AT199" s="91">
        <f t="shared" si="488"/>
        <v>57.817999999999998</v>
      </c>
      <c r="AU199" s="90">
        <f t="shared" si="488"/>
        <v>57.817999999999998</v>
      </c>
      <c r="AV199" s="91">
        <f t="shared" si="488"/>
        <v>57.817999999999998</v>
      </c>
      <c r="AW199" s="91">
        <f t="shared" si="488"/>
        <v>57.817999999999998</v>
      </c>
      <c r="AX199" s="90">
        <f t="shared" si="488"/>
        <v>57.817999999999998</v>
      </c>
      <c r="AY199" s="91">
        <f t="shared" si="488"/>
        <v>57.817999999999998</v>
      </c>
      <c r="AZ199" s="91">
        <f t="shared" si="488"/>
        <v>57.817999999999998</v>
      </c>
      <c r="BA199" s="90">
        <f t="shared" si="488"/>
        <v>57.817999999999998</v>
      </c>
      <c r="BB199" s="91">
        <f t="shared" si="488"/>
        <v>57.817999999999998</v>
      </c>
      <c r="BC199" s="91">
        <f t="shared" si="488"/>
        <v>57.817999999999998</v>
      </c>
      <c r="BD199" s="90">
        <f t="shared" si="488"/>
        <v>57.817999999999998</v>
      </c>
      <c r="BE199" s="91">
        <f t="shared" si="488"/>
        <v>57.817999999999998</v>
      </c>
      <c r="BF199" s="91">
        <f t="shared" si="488"/>
        <v>57.817999999999998</v>
      </c>
      <c r="BG199" s="90">
        <f t="shared" si="488"/>
        <v>57.817999999999998</v>
      </c>
      <c r="BH199" s="91">
        <f t="shared" si="366"/>
        <v>0</v>
      </c>
      <c r="BJ199"/>
      <c r="BK199"/>
      <c r="BL199"/>
      <c r="BM199"/>
      <c r="BN199"/>
      <c r="BO199"/>
    </row>
    <row r="200" spans="2:67" s="70" customFormat="1">
      <c r="B200" s="71" t="s">
        <v>106</v>
      </c>
      <c r="C200" s="71"/>
      <c r="D200" s="92" t="s">
        <v>159</v>
      </c>
      <c r="E200" s="90">
        <f t="shared" ref="E200:Y200" si="489">+E185+E186+E191+E197+E198+E199</f>
        <v>1.548719</v>
      </c>
      <c r="F200" s="91">
        <f t="shared" si="489"/>
        <v>1.61233</v>
      </c>
      <c r="G200" s="91">
        <f t="shared" si="489"/>
        <v>40.625492000000001</v>
      </c>
      <c r="H200" s="90">
        <f t="shared" si="489"/>
        <v>40.851663000000002</v>
      </c>
      <c r="I200" s="91">
        <f t="shared" si="489"/>
        <v>38.047784999999998</v>
      </c>
      <c r="J200" s="91">
        <f t="shared" si="489"/>
        <v>42.03</v>
      </c>
      <c r="K200" s="90">
        <f t="shared" si="489"/>
        <v>43.929000000000002</v>
      </c>
      <c r="L200" s="91">
        <f t="shared" si="489"/>
        <v>49.86</v>
      </c>
      <c r="M200" s="91">
        <f t="shared" si="489"/>
        <v>64.192999999999998</v>
      </c>
      <c r="N200" s="90">
        <f t="shared" si="489"/>
        <v>64.192999999999998</v>
      </c>
      <c r="O200" s="91">
        <f t="shared" si="489"/>
        <v>58.538000000000004</v>
      </c>
      <c r="P200" s="91">
        <f t="shared" si="489"/>
        <v>62.269999999999996</v>
      </c>
      <c r="Q200" s="90">
        <f t="shared" si="489"/>
        <v>62.269999999999996</v>
      </c>
      <c r="R200" s="91">
        <f t="shared" si="489"/>
        <v>66.447000000000003</v>
      </c>
      <c r="S200" s="91">
        <f t="shared" si="489"/>
        <v>82.11999999999999</v>
      </c>
      <c r="T200" s="90">
        <f t="shared" si="489"/>
        <v>82.11999999999999</v>
      </c>
      <c r="U200" s="181">
        <f>+U185+U186+U191+U197+U198+U199+52.951</f>
        <v>143.99499999999998</v>
      </c>
      <c r="V200" s="91">
        <f t="shared" si="489"/>
        <v>118.56700000000001</v>
      </c>
      <c r="W200" s="90">
        <f t="shared" si="489"/>
        <v>118.56700000000001</v>
      </c>
      <c r="X200" s="91">
        <f t="shared" si="489"/>
        <v>328.55234382806771</v>
      </c>
      <c r="Y200" s="91">
        <f t="shared" si="489"/>
        <v>370.262</v>
      </c>
      <c r="Z200" s="90">
        <f>+Z185+Z186+Z191+Z197+Z198+Z199</f>
        <v>370.262</v>
      </c>
      <c r="AA200" s="91">
        <f t="shared" ref="AA200" si="490">+AA185+AA186+AA191+AA197+AA198+AA199</f>
        <v>791.93899999999996</v>
      </c>
      <c r="AB200" s="91">
        <f t="shared" ref="AB200:BG200" si="491">+AB185+AB186+AB191+AB197+AB198+AB199</f>
        <v>788.55931189313753</v>
      </c>
      <c r="AC200" s="90">
        <f t="shared" si="491"/>
        <v>788.55931189313753</v>
      </c>
      <c r="AD200" s="91">
        <f t="shared" si="491"/>
        <v>799.63853429990411</v>
      </c>
      <c r="AE200" s="91">
        <f t="shared" si="491"/>
        <v>811.2485851015939</v>
      </c>
      <c r="AF200" s="90">
        <f t="shared" si="491"/>
        <v>811.2485851015939</v>
      </c>
      <c r="AG200" s="91">
        <f t="shared" si="491"/>
        <v>816.2921532379072</v>
      </c>
      <c r="AH200" s="91">
        <f t="shared" si="491"/>
        <v>821.49352969611084</v>
      </c>
      <c r="AI200" s="90">
        <f t="shared" si="491"/>
        <v>821.49352969611084</v>
      </c>
      <c r="AJ200" s="91">
        <f t="shared" si="491"/>
        <v>827.19614353003192</v>
      </c>
      <c r="AK200" s="91">
        <f t="shared" si="491"/>
        <v>833.08083963574597</v>
      </c>
      <c r="AL200" s="90">
        <f t="shared" si="491"/>
        <v>833.08083963574597</v>
      </c>
      <c r="AM200" s="91">
        <f t="shared" si="491"/>
        <v>840.44802465937994</v>
      </c>
      <c r="AN200" s="91">
        <f t="shared" si="491"/>
        <v>848.06245413836643</v>
      </c>
      <c r="AO200" s="90">
        <f t="shared" si="491"/>
        <v>848.06245413836643</v>
      </c>
      <c r="AP200" s="91">
        <f t="shared" si="491"/>
        <v>856.67140873096753</v>
      </c>
      <c r="AQ200" s="91">
        <f t="shared" si="491"/>
        <v>865.87774663564403</v>
      </c>
      <c r="AR200" s="90">
        <f t="shared" si="491"/>
        <v>865.87774663564403</v>
      </c>
      <c r="AS200" s="91">
        <f t="shared" si="491"/>
        <v>875.78014924186084</v>
      </c>
      <c r="AT200" s="91">
        <f t="shared" si="491"/>
        <v>886.38069434038641</v>
      </c>
      <c r="AU200" s="90">
        <f t="shared" si="491"/>
        <v>886.38069434038641</v>
      </c>
      <c r="AV200" s="91">
        <f t="shared" si="491"/>
        <v>897.60614624130619</v>
      </c>
      <c r="AW200" s="91">
        <f t="shared" si="491"/>
        <v>909.63092767196133</v>
      </c>
      <c r="AX200" s="90">
        <f t="shared" si="491"/>
        <v>909.63092767196133</v>
      </c>
      <c r="AY200" s="91">
        <f t="shared" si="491"/>
        <v>922.13682203633005</v>
      </c>
      <c r="AZ200" s="91">
        <f t="shared" si="491"/>
        <v>935.55262346513098</v>
      </c>
      <c r="BA200" s="90">
        <f t="shared" si="491"/>
        <v>935.55262346513098</v>
      </c>
      <c r="BB200" s="91">
        <f t="shared" si="491"/>
        <v>949.32773667259232</v>
      </c>
      <c r="BC200" s="91">
        <f t="shared" si="491"/>
        <v>964.11152380863166</v>
      </c>
      <c r="BD200" s="90">
        <f t="shared" si="491"/>
        <v>964.11152380863166</v>
      </c>
      <c r="BE200" s="91">
        <f t="shared" si="491"/>
        <v>979.05928282545699</v>
      </c>
      <c r="BF200" s="91">
        <f t="shared" si="491"/>
        <v>995.10604340533985</v>
      </c>
      <c r="BG200" s="90">
        <f t="shared" si="491"/>
        <v>995.10604340533985</v>
      </c>
      <c r="BH200" s="91">
        <f t="shared" si="366"/>
        <v>-3.3796881068624316</v>
      </c>
      <c r="BJ200"/>
      <c r="BK200"/>
      <c r="BL200"/>
      <c r="BM200"/>
      <c r="BN200"/>
      <c r="BO200"/>
    </row>
    <row r="201" spans="2:67" s="70" customFormat="1">
      <c r="B201" s="71" t="s">
        <v>107</v>
      </c>
      <c r="C201" s="71"/>
      <c r="D201" s="92" t="s">
        <v>159</v>
      </c>
      <c r="E201" s="93">
        <f>+E183+E200</f>
        <v>51.093727999999999</v>
      </c>
      <c r="F201" s="94">
        <f>+F183+F200</f>
        <v>48.511060999999998</v>
      </c>
      <c r="G201" s="94">
        <f t="shared" si="460"/>
        <v>76.708056999999997</v>
      </c>
      <c r="H201" s="93">
        <f>+H183+H200</f>
        <v>76.708056999999997</v>
      </c>
      <c r="I201" s="94">
        <f>+I183+I200</f>
        <v>65.496853999999999</v>
      </c>
      <c r="J201" s="94">
        <f t="shared" si="461"/>
        <v>102.608</v>
      </c>
      <c r="K201" s="93">
        <f>+K183+K200</f>
        <v>102.608</v>
      </c>
      <c r="L201" s="94">
        <f>+L183+L200</f>
        <v>93.864000000000004</v>
      </c>
      <c r="M201" s="94">
        <f t="shared" si="462"/>
        <v>157.82099999999997</v>
      </c>
      <c r="N201" s="93">
        <f>+N183+N200</f>
        <v>157.82099999999997</v>
      </c>
      <c r="O201" s="94">
        <f>+O183+O200</f>
        <v>128.84299999999999</v>
      </c>
      <c r="P201" s="94">
        <f t="shared" si="463"/>
        <v>109.81299999999999</v>
      </c>
      <c r="Q201" s="93">
        <f>+Q183+Q200</f>
        <v>109.81299999999999</v>
      </c>
      <c r="R201" s="94">
        <f>+R183+R200</f>
        <v>215.94199999999998</v>
      </c>
      <c r="S201" s="94">
        <f t="shared" si="464"/>
        <v>255.35300000000001</v>
      </c>
      <c r="T201" s="188">
        <f>+T183+T200</f>
        <v>255.35300000000001</v>
      </c>
      <c r="U201" s="94">
        <f>+U183+U200</f>
        <v>310.33600000000001</v>
      </c>
      <c r="V201" s="94">
        <f t="shared" si="475"/>
        <v>277.25800000000004</v>
      </c>
      <c r="W201" s="188">
        <f>+W183+W200</f>
        <v>277.25800000000004</v>
      </c>
      <c r="X201" s="94">
        <f>+X183+X200</f>
        <v>446.01504439979647</v>
      </c>
      <c r="Y201" s="94">
        <f t="shared" si="476"/>
        <v>940.37900000000013</v>
      </c>
      <c r="Z201" s="188">
        <f>+Z183+Z200</f>
        <v>940.37900000000013</v>
      </c>
      <c r="AA201" s="94">
        <f>+AA183+AA200</f>
        <v>1189.952</v>
      </c>
      <c r="AB201" s="94">
        <f t="shared" ref="AB201" si="492">+AC201</f>
        <v>1110.9756883115508</v>
      </c>
      <c r="AC201" s="93">
        <f>+AC183+AC200</f>
        <v>1110.9756883115508</v>
      </c>
      <c r="AD201" s="94">
        <f>+AD183+AD200</f>
        <v>1103.926778486089</v>
      </c>
      <c r="AE201" s="94">
        <f t="shared" ref="AE201" si="493">+AF201</f>
        <v>1095.4402939546792</v>
      </c>
      <c r="AF201" s="93">
        <f>+AF183+AF200</f>
        <v>1095.4402939546792</v>
      </c>
      <c r="AG201" s="94">
        <f>+AG183+AG200</f>
        <v>1120.8342499205139</v>
      </c>
      <c r="AH201" s="94">
        <f t="shared" ref="AH201" si="494">+AI201</f>
        <v>1133.464240781213</v>
      </c>
      <c r="AI201" s="93">
        <f>+AI183+AI200</f>
        <v>1133.464240781213</v>
      </c>
      <c r="AJ201" s="94">
        <f>+AJ183+AJ200</f>
        <v>1176.9323266395411</v>
      </c>
      <c r="AK201" s="94">
        <f t="shared" ref="AK201" si="495">+AL201</f>
        <v>1206.3434283528338</v>
      </c>
      <c r="AL201" s="93">
        <f>+AL183+AL200</f>
        <v>1206.3434283528338</v>
      </c>
      <c r="AM201" s="94">
        <f>+AM183+AM200</f>
        <v>1315.8840631643334</v>
      </c>
      <c r="AN201" s="94">
        <f t="shared" ref="AN201" si="496">+AO201</f>
        <v>1380.2435116610447</v>
      </c>
      <c r="AO201" s="93">
        <f>+AO183+AO200</f>
        <v>1380.2435116610447</v>
      </c>
      <c r="AP201" s="94">
        <f>+AP183+AP200</f>
        <v>1519.3069413681985</v>
      </c>
      <c r="AQ201" s="94">
        <f t="shared" ref="AQ201" si="497">+AR201</f>
        <v>1641.4827031467576</v>
      </c>
      <c r="AR201" s="93">
        <f>+AR183+AR200</f>
        <v>1641.4827031467576</v>
      </c>
      <c r="AS201" s="94">
        <f>+AS183+AS200</f>
        <v>1811.6143925050328</v>
      </c>
      <c r="AT201" s="94">
        <f t="shared" ref="AT201" si="498">+AU201</f>
        <v>1973.7851440153372</v>
      </c>
      <c r="AU201" s="93">
        <f>+AU183+AU200</f>
        <v>1973.7851440153372</v>
      </c>
      <c r="AV201" s="94">
        <f>+AV183+AV200</f>
        <v>2183.1732873515393</v>
      </c>
      <c r="AW201" s="94">
        <f t="shared" ref="AW201" si="499">+AX201</f>
        <v>2390.3457022020903</v>
      </c>
      <c r="AX201" s="93">
        <f>+AX183+AX200</f>
        <v>2390.3457022020903</v>
      </c>
      <c r="AY201" s="94">
        <f>+AY183+AY200</f>
        <v>2638.4880076945433</v>
      </c>
      <c r="AZ201" s="94">
        <f t="shared" ref="AZ201" si="500">+BA201</f>
        <v>2893.4217812520196</v>
      </c>
      <c r="BA201" s="93">
        <f>+BA183+BA200</f>
        <v>2893.4217812520196</v>
      </c>
      <c r="BB201" s="94">
        <f>+BB183+BB200</f>
        <v>3184.5328367748812</v>
      </c>
      <c r="BC201" s="94">
        <f t="shared" ref="BC201" si="501">+BD201</f>
        <v>3490.1645762336771</v>
      </c>
      <c r="BD201" s="93">
        <f>+BD183+BD200</f>
        <v>3490.1645762336771</v>
      </c>
      <c r="BE201" s="94">
        <f>+BE183+BE200</f>
        <v>3822.4632644742355</v>
      </c>
      <c r="BF201" s="94">
        <f t="shared" ref="BF201" si="502">+BG201</f>
        <v>4179.5867495256434</v>
      </c>
      <c r="BG201" s="93">
        <f>+BG183+BG200</f>
        <v>4179.5867495256434</v>
      </c>
      <c r="BH201" s="91">
        <f t="shared" si="366"/>
        <v>-78.976311688449186</v>
      </c>
      <c r="BJ201"/>
      <c r="BK201"/>
      <c r="BL201"/>
      <c r="BM201"/>
      <c r="BN201"/>
      <c r="BO201"/>
    </row>
    <row r="202" spans="2:67" s="61" customFormat="1">
      <c r="B202" s="71"/>
      <c r="C202" s="71"/>
      <c r="D202" s="92"/>
      <c r="E202" s="90"/>
      <c r="F202" s="91"/>
      <c r="G202" s="91"/>
      <c r="H202" s="90"/>
      <c r="I202" s="91"/>
      <c r="J202" s="91"/>
      <c r="K202" s="90"/>
      <c r="L202" s="91"/>
      <c r="M202" s="91"/>
      <c r="N202" s="90"/>
      <c r="O202" s="91"/>
      <c r="P202" s="91"/>
      <c r="Q202" s="90"/>
      <c r="R202" s="91"/>
      <c r="S202" s="91"/>
      <c r="T202" s="90"/>
      <c r="U202" s="91"/>
      <c r="V202" s="91"/>
      <c r="W202" s="90"/>
      <c r="X202" s="91"/>
      <c r="Y202" s="91"/>
      <c r="Z202" s="90"/>
      <c r="AA202" s="91"/>
      <c r="AB202" s="91"/>
      <c r="AC202" s="90"/>
      <c r="AD202" s="91"/>
      <c r="AE202" s="204"/>
      <c r="AF202" s="90"/>
      <c r="AG202" s="91"/>
      <c r="AH202" s="91"/>
      <c r="AI202" s="90"/>
      <c r="AJ202" s="91"/>
      <c r="AK202" s="91"/>
      <c r="AL202" s="90"/>
      <c r="AM202" s="91"/>
      <c r="AN202" s="91"/>
      <c r="AO202" s="90"/>
      <c r="AP202" s="91"/>
      <c r="AQ202" s="91"/>
      <c r="AR202" s="90"/>
      <c r="AS202" s="91"/>
      <c r="AT202" s="91"/>
      <c r="AU202" s="90"/>
      <c r="AV202" s="91"/>
      <c r="AW202" s="91"/>
      <c r="AX202" s="90"/>
      <c r="AY202" s="91"/>
      <c r="AZ202" s="91"/>
      <c r="BA202" s="90"/>
      <c r="BB202" s="91"/>
      <c r="BC202" s="91"/>
      <c r="BD202" s="90"/>
      <c r="BE202" s="91"/>
      <c r="BF202" s="91"/>
      <c r="BG202" s="90"/>
      <c r="BH202" s="91">
        <f t="shared" si="366"/>
        <v>0</v>
      </c>
      <c r="BJ202"/>
      <c r="BK202"/>
      <c r="BL202"/>
      <c r="BM202"/>
      <c r="BN202"/>
      <c r="BO202"/>
    </row>
    <row r="203" spans="2:67" s="61" customFormat="1">
      <c r="B203" s="88" t="s">
        <v>111</v>
      </c>
      <c r="C203" s="71"/>
      <c r="D203" s="89" t="s">
        <v>159</v>
      </c>
      <c r="E203" s="90">
        <f>SUM(E204:E209)</f>
        <v>1.123011</v>
      </c>
      <c r="F203" s="91">
        <f t="shared" ref="F203:Z203" si="503">SUM(F204:F209)</f>
        <v>3.4127649999999998</v>
      </c>
      <c r="G203" s="91">
        <f t="shared" si="503"/>
        <v>6.8930000000000007</v>
      </c>
      <c r="H203" s="90">
        <f t="shared" si="503"/>
        <v>6.8930000000000007</v>
      </c>
      <c r="I203" s="91">
        <f t="shared" si="503"/>
        <v>5.2249230000000004</v>
      </c>
      <c r="J203" s="91">
        <f t="shared" si="503"/>
        <v>9.218</v>
      </c>
      <c r="K203" s="90">
        <f t="shared" si="503"/>
        <v>9.218</v>
      </c>
      <c r="L203" s="91">
        <f t="shared" si="503"/>
        <v>5.1630000000000003</v>
      </c>
      <c r="M203" s="91">
        <v>10.891999999999999</v>
      </c>
      <c r="N203" s="180">
        <v>10.891999999999999</v>
      </c>
      <c r="O203" s="181">
        <v>11.144</v>
      </c>
      <c r="P203" s="91">
        <f>+Q203</f>
        <v>19.04</v>
      </c>
      <c r="Q203" s="180">
        <v>19.04</v>
      </c>
      <c r="R203" s="181">
        <v>20.157</v>
      </c>
      <c r="S203" s="91">
        <f>+T203</f>
        <v>49.519000000000005</v>
      </c>
      <c r="T203" s="90">
        <v>49.519000000000005</v>
      </c>
      <c r="U203" s="91">
        <f t="shared" si="503"/>
        <v>58.692</v>
      </c>
      <c r="V203" s="91">
        <f t="shared" ref="V203:V218" si="504">+W203</f>
        <v>54.334000000000003</v>
      </c>
      <c r="W203" s="90">
        <f t="shared" si="503"/>
        <v>54.334000000000003</v>
      </c>
      <c r="X203" s="91">
        <f t="shared" si="503"/>
        <v>56.428724611721826</v>
      </c>
      <c r="Y203" s="91">
        <f t="shared" ref="Y203:Y218" si="505">+Z203</f>
        <v>86.79</v>
      </c>
      <c r="Z203" s="90">
        <f t="shared" si="503"/>
        <v>86.79</v>
      </c>
      <c r="AA203" s="91">
        <f t="shared" ref="AA203" si="506">SUM(AA204:AA209)</f>
        <v>133.565</v>
      </c>
      <c r="AB203" s="91">
        <f t="shared" ref="AB203" si="507">+AC203</f>
        <v>136.74815655952784</v>
      </c>
      <c r="AC203" s="90">
        <f>Segment!AC240*AC29</f>
        <v>136.74815655952784</v>
      </c>
      <c r="AD203" s="91">
        <f>Segment!AD240*(AD29*2)</f>
        <v>150.67742473202327</v>
      </c>
      <c r="AE203" s="91">
        <f t="shared" ref="AE203" si="508">+AF203</f>
        <v>154.2870578175027</v>
      </c>
      <c r="AF203" s="90">
        <f>Segment!AF240*AF29</f>
        <v>154.2870578175027</v>
      </c>
      <c r="AG203" s="91">
        <f>Segment!AG240*(AG29*2)</f>
        <v>171.48131663465082</v>
      </c>
      <c r="AH203" s="91">
        <f t="shared" ref="AH203" si="509">+AI203</f>
        <v>174.1640581067866</v>
      </c>
      <c r="AI203" s="90">
        <f>Segment!AI240*AI29</f>
        <v>174.1640581067866</v>
      </c>
      <c r="AJ203" s="91">
        <f>Segment!AJ240*(AJ29*2)</f>
        <v>193.88887035331817</v>
      </c>
      <c r="AK203" s="91">
        <f t="shared" ref="AK203" si="510">+AL203</f>
        <v>196.98426897379403</v>
      </c>
      <c r="AL203" s="90">
        <f>Segment!AL240*AL29</f>
        <v>196.98426897379403</v>
      </c>
      <c r="AM203" s="91">
        <f>Segment!AM240*(AM29*2)</f>
        <v>250.48429080355658</v>
      </c>
      <c r="AN203" s="91">
        <f t="shared" ref="AN203" si="511">+AO203</f>
        <v>254.68744654454747</v>
      </c>
      <c r="AO203" s="90">
        <f>Segment!AO240*AO29</f>
        <v>254.68744654454747</v>
      </c>
      <c r="AP203" s="91">
        <f>Segment!AP240*(AP29*2)</f>
        <v>292.70445614843931</v>
      </c>
      <c r="AQ203" s="91">
        <f t="shared" ref="AQ203" si="512">+AR203</f>
        <v>302.85997245372278</v>
      </c>
      <c r="AR203" s="90">
        <f>Segment!AR240*AR29</f>
        <v>302.85997245372278</v>
      </c>
      <c r="AS203" s="91">
        <f>Segment!AS240*(AS29*2)</f>
        <v>336.68168861136718</v>
      </c>
      <c r="AT203" s="91">
        <f t="shared" ref="AT203" si="513">+AU203</f>
        <v>348.55011098061999</v>
      </c>
      <c r="AU203" s="90">
        <f>Segment!AU240*AU29</f>
        <v>348.55011098061999</v>
      </c>
      <c r="AV203" s="91">
        <f>Segment!AV240*(AV29*2)</f>
        <v>381.66536463127505</v>
      </c>
      <c r="AW203" s="91">
        <f t="shared" ref="AW203" si="514">+AX203</f>
        <v>395.25396663677441</v>
      </c>
      <c r="AX203" s="90">
        <f>Segment!AX240*AX29</f>
        <v>395.25396663677441</v>
      </c>
      <c r="AY203" s="91">
        <f>Segment!AY240*(AY29*2)</f>
        <v>425.20040838853248</v>
      </c>
      <c r="AZ203" s="91">
        <f t="shared" ref="AZ203" si="515">+BA203</f>
        <v>440.66882848388514</v>
      </c>
      <c r="BA203" s="90">
        <f>Segment!BA240*BA29</f>
        <v>440.66882848388514</v>
      </c>
      <c r="BB203" s="91">
        <f>Segment!BB240*(BB29*2)</f>
        <v>468.35384905367749</v>
      </c>
      <c r="BC203" s="91">
        <f t="shared" ref="BC203" si="516">+BD203</f>
        <v>485.50130583951005</v>
      </c>
      <c r="BD203" s="90">
        <f>Segment!BD240*BD29</f>
        <v>485.50130583951005</v>
      </c>
      <c r="BE203" s="91">
        <f>Segment!BE240*(BE29*2)</f>
        <v>508.22380657206236</v>
      </c>
      <c r="BF203" s="91">
        <f t="shared" ref="BF203" si="517">+BG203</f>
        <v>526.90683314404134</v>
      </c>
      <c r="BG203" s="90">
        <f>Segment!BG240*BG29</f>
        <v>526.90683314404134</v>
      </c>
      <c r="BH203" s="91">
        <f t="shared" si="366"/>
        <v>3.1831565595278448</v>
      </c>
      <c r="BJ203"/>
      <c r="BK203"/>
      <c r="BL203"/>
      <c r="BM203"/>
      <c r="BN203"/>
      <c r="BO203"/>
    </row>
    <row r="204" spans="2:67" s="61" customFormat="1" outlineLevel="1">
      <c r="B204" s="88" t="s">
        <v>302</v>
      </c>
      <c r="C204" s="71"/>
      <c r="D204" s="89" t="s">
        <v>159</v>
      </c>
      <c r="E204" s="150">
        <v>1.123011</v>
      </c>
      <c r="F204" s="151">
        <v>3.4127649999999998</v>
      </c>
      <c r="G204" s="91">
        <f t="shared" ref="G204:G218" si="518">+H204</f>
        <v>3.2480000000000002</v>
      </c>
      <c r="H204" s="150">
        <v>3.2480000000000002</v>
      </c>
      <c r="I204" s="151">
        <v>2.4236149999999999</v>
      </c>
      <c r="J204" s="91">
        <f t="shared" ref="J204:J218" si="519">+K204</f>
        <v>6.9640000000000004</v>
      </c>
      <c r="K204" s="150">
        <v>6.9640000000000004</v>
      </c>
      <c r="L204" s="151">
        <v>2.1280000000000001</v>
      </c>
      <c r="M204" s="91"/>
      <c r="N204" s="150"/>
      <c r="O204" s="151"/>
      <c r="P204" s="91"/>
      <c r="Q204" s="150"/>
      <c r="R204" s="151"/>
      <c r="S204" s="91"/>
      <c r="T204" s="180"/>
      <c r="U204" s="181">
        <v>58.692</v>
      </c>
      <c r="V204" s="91">
        <f t="shared" ref="V204:BG204" si="520">V203</f>
        <v>54.334000000000003</v>
      </c>
      <c r="W204" s="180">
        <v>54.334000000000003</v>
      </c>
      <c r="X204" s="181">
        <v>56.428724611721826</v>
      </c>
      <c r="Y204" s="91">
        <f t="shared" si="520"/>
        <v>86.79</v>
      </c>
      <c r="Z204" s="180">
        <v>86.79</v>
      </c>
      <c r="AA204" s="181">
        <v>133.565</v>
      </c>
      <c r="AB204" s="91">
        <f t="shared" si="520"/>
        <v>136.74815655952784</v>
      </c>
      <c r="AC204" s="90">
        <f t="shared" si="520"/>
        <v>136.74815655952784</v>
      </c>
      <c r="AD204" s="91">
        <f t="shared" si="520"/>
        <v>150.67742473202327</v>
      </c>
      <c r="AE204" s="91">
        <f t="shared" si="520"/>
        <v>154.2870578175027</v>
      </c>
      <c r="AF204" s="90">
        <f t="shared" si="520"/>
        <v>154.2870578175027</v>
      </c>
      <c r="AG204" s="91">
        <f t="shared" si="520"/>
        <v>171.48131663465082</v>
      </c>
      <c r="AH204" s="91">
        <f t="shared" si="520"/>
        <v>174.1640581067866</v>
      </c>
      <c r="AI204" s="90">
        <f t="shared" si="520"/>
        <v>174.1640581067866</v>
      </c>
      <c r="AJ204" s="91">
        <f t="shared" si="520"/>
        <v>193.88887035331817</v>
      </c>
      <c r="AK204" s="91">
        <f t="shared" si="520"/>
        <v>196.98426897379403</v>
      </c>
      <c r="AL204" s="90">
        <f t="shared" si="520"/>
        <v>196.98426897379403</v>
      </c>
      <c r="AM204" s="91">
        <f t="shared" si="520"/>
        <v>250.48429080355658</v>
      </c>
      <c r="AN204" s="91">
        <f t="shared" si="520"/>
        <v>254.68744654454747</v>
      </c>
      <c r="AO204" s="90">
        <f t="shared" si="520"/>
        <v>254.68744654454747</v>
      </c>
      <c r="AP204" s="91">
        <f t="shared" si="520"/>
        <v>292.70445614843931</v>
      </c>
      <c r="AQ204" s="91">
        <f t="shared" si="520"/>
        <v>302.85997245372278</v>
      </c>
      <c r="AR204" s="90">
        <f t="shared" si="520"/>
        <v>302.85997245372278</v>
      </c>
      <c r="AS204" s="91">
        <f t="shared" si="520"/>
        <v>336.68168861136718</v>
      </c>
      <c r="AT204" s="91">
        <f t="shared" si="520"/>
        <v>348.55011098061999</v>
      </c>
      <c r="AU204" s="90">
        <f t="shared" si="520"/>
        <v>348.55011098061999</v>
      </c>
      <c r="AV204" s="91">
        <f t="shared" si="520"/>
        <v>381.66536463127505</v>
      </c>
      <c r="AW204" s="91">
        <f t="shared" si="520"/>
        <v>395.25396663677441</v>
      </c>
      <c r="AX204" s="90">
        <f t="shared" si="520"/>
        <v>395.25396663677441</v>
      </c>
      <c r="AY204" s="91">
        <f t="shared" si="520"/>
        <v>425.20040838853248</v>
      </c>
      <c r="AZ204" s="91">
        <f t="shared" si="520"/>
        <v>440.66882848388514</v>
      </c>
      <c r="BA204" s="90">
        <f t="shared" si="520"/>
        <v>440.66882848388514</v>
      </c>
      <c r="BB204" s="91">
        <f t="shared" si="520"/>
        <v>468.35384905367749</v>
      </c>
      <c r="BC204" s="91">
        <f t="shared" si="520"/>
        <v>485.50130583951005</v>
      </c>
      <c r="BD204" s="90">
        <f t="shared" si="520"/>
        <v>485.50130583951005</v>
      </c>
      <c r="BE204" s="91">
        <f t="shared" si="520"/>
        <v>508.22380657206236</v>
      </c>
      <c r="BF204" s="91">
        <f t="shared" si="520"/>
        <v>526.90683314404134</v>
      </c>
      <c r="BG204" s="90">
        <f t="shared" si="520"/>
        <v>526.90683314404134</v>
      </c>
      <c r="BH204" s="91">
        <f t="shared" si="366"/>
        <v>3.1831565595278448</v>
      </c>
      <c r="BJ204"/>
      <c r="BK204"/>
      <c r="BL204"/>
      <c r="BM204"/>
      <c r="BN204"/>
      <c r="BO204"/>
    </row>
    <row r="205" spans="2:67" s="61" customFormat="1" outlineLevel="1">
      <c r="B205" s="121" t="s">
        <v>303</v>
      </c>
      <c r="C205" s="71"/>
      <c r="D205" s="89" t="s">
        <v>159</v>
      </c>
      <c r="E205" s="150">
        <v>0</v>
      </c>
      <c r="F205" s="151">
        <v>0</v>
      </c>
      <c r="G205" s="91">
        <f t="shared" si="518"/>
        <v>3.16</v>
      </c>
      <c r="H205" s="150">
        <v>3.16</v>
      </c>
      <c r="I205" s="151">
        <v>2.5399060000000002</v>
      </c>
      <c r="J205" s="91">
        <f t="shared" si="519"/>
        <v>1.8009999999999999</v>
      </c>
      <c r="K205" s="150">
        <v>1.8009999999999999</v>
      </c>
      <c r="L205" s="151">
        <v>2.778</v>
      </c>
      <c r="M205" s="91"/>
      <c r="N205" s="150"/>
      <c r="O205" s="151"/>
      <c r="P205" s="91"/>
      <c r="Q205" s="150"/>
      <c r="R205" s="151"/>
      <c r="S205" s="91"/>
      <c r="T205" s="90"/>
      <c r="U205" s="151"/>
      <c r="V205" s="91"/>
      <c r="W205" s="90"/>
      <c r="X205" s="91"/>
      <c r="Y205" s="91"/>
      <c r="Z205" s="90"/>
      <c r="AA205" s="91"/>
      <c r="AB205" s="91"/>
      <c r="AC205" s="90"/>
      <c r="AD205" s="91"/>
      <c r="AE205" s="91"/>
      <c r="AF205" s="90"/>
      <c r="AG205" s="91"/>
      <c r="AH205" s="91"/>
      <c r="AI205" s="90"/>
      <c r="AJ205" s="91"/>
      <c r="AK205" s="91"/>
      <c r="AL205" s="90"/>
      <c r="AM205" s="91"/>
      <c r="AN205" s="91"/>
      <c r="AO205" s="90"/>
      <c r="AP205" s="91"/>
      <c r="AQ205" s="91"/>
      <c r="AR205" s="90"/>
      <c r="AS205" s="91"/>
      <c r="AT205" s="91"/>
      <c r="AU205" s="90"/>
      <c r="AV205" s="91"/>
      <c r="AW205" s="91"/>
      <c r="AX205" s="90"/>
      <c r="AY205" s="91"/>
      <c r="AZ205" s="91"/>
      <c r="BA205" s="90"/>
      <c r="BB205" s="91"/>
      <c r="BC205" s="91"/>
      <c r="BD205" s="90"/>
      <c r="BE205" s="91"/>
      <c r="BF205" s="91"/>
      <c r="BG205" s="90"/>
      <c r="BH205" s="91">
        <f t="shared" si="366"/>
        <v>0</v>
      </c>
      <c r="BJ205"/>
      <c r="BK205"/>
      <c r="BL205"/>
      <c r="BM205"/>
      <c r="BN205"/>
      <c r="BO205"/>
    </row>
    <row r="206" spans="2:67" s="61" customFormat="1" outlineLevel="1">
      <c r="B206" s="121" t="s">
        <v>304</v>
      </c>
      <c r="C206" s="71"/>
      <c r="D206" s="89"/>
      <c r="E206" s="150">
        <v>0</v>
      </c>
      <c r="F206" s="151">
        <v>0</v>
      </c>
      <c r="G206" s="91">
        <f t="shared" si="518"/>
        <v>0</v>
      </c>
      <c r="H206" s="150">
        <v>0</v>
      </c>
      <c r="I206" s="151">
        <v>0</v>
      </c>
      <c r="J206" s="91">
        <f t="shared" si="519"/>
        <v>0</v>
      </c>
      <c r="K206" s="150">
        <v>0</v>
      </c>
      <c r="L206" s="151">
        <v>0</v>
      </c>
      <c r="M206" s="91"/>
      <c r="N206" s="150"/>
      <c r="O206" s="151"/>
      <c r="P206" s="91"/>
      <c r="Q206" s="150"/>
      <c r="R206" s="151"/>
      <c r="S206" s="91"/>
      <c r="T206" s="90"/>
      <c r="U206" s="151"/>
      <c r="V206" s="91"/>
      <c r="W206" s="90"/>
      <c r="X206" s="91"/>
      <c r="Y206" s="91"/>
      <c r="Z206" s="90"/>
      <c r="AA206" s="91"/>
      <c r="AB206" s="91"/>
      <c r="AC206" s="90"/>
      <c r="AD206" s="91"/>
      <c r="AE206" s="91"/>
      <c r="AF206" s="90"/>
      <c r="AG206" s="91"/>
      <c r="AH206" s="91"/>
      <c r="AI206" s="90"/>
      <c r="AJ206" s="91"/>
      <c r="AK206" s="91"/>
      <c r="AL206" s="90"/>
      <c r="AM206" s="91"/>
      <c r="AN206" s="91"/>
      <c r="AO206" s="90"/>
      <c r="AP206" s="91"/>
      <c r="AQ206" s="91"/>
      <c r="AR206" s="90"/>
      <c r="AS206" s="91"/>
      <c r="AT206" s="91"/>
      <c r="AU206" s="90"/>
      <c r="AV206" s="91"/>
      <c r="AW206" s="91"/>
      <c r="AX206" s="90"/>
      <c r="AY206" s="91"/>
      <c r="AZ206" s="91"/>
      <c r="BA206" s="90"/>
      <c r="BB206" s="91"/>
      <c r="BC206" s="91"/>
      <c r="BD206" s="90"/>
      <c r="BE206" s="91"/>
      <c r="BF206" s="91"/>
      <c r="BG206" s="90"/>
      <c r="BH206" s="91">
        <f t="shared" si="366"/>
        <v>0</v>
      </c>
      <c r="BJ206"/>
      <c r="BK206"/>
      <c r="BL206"/>
      <c r="BM206"/>
      <c r="BN206"/>
      <c r="BO206"/>
    </row>
    <row r="207" spans="2:67" s="61" customFormat="1" outlineLevel="1">
      <c r="B207" s="121" t="s">
        <v>305</v>
      </c>
      <c r="C207" s="71"/>
      <c r="D207" s="89"/>
      <c r="E207" s="150">
        <v>0</v>
      </c>
      <c r="F207" s="151">
        <v>0</v>
      </c>
      <c r="G207" s="91">
        <f t="shared" si="518"/>
        <v>0</v>
      </c>
      <c r="H207" s="150">
        <v>0</v>
      </c>
      <c r="I207" s="151">
        <v>0</v>
      </c>
      <c r="J207" s="91">
        <f t="shared" si="519"/>
        <v>0</v>
      </c>
      <c r="K207" s="150">
        <v>0</v>
      </c>
      <c r="L207" s="151">
        <v>0</v>
      </c>
      <c r="M207" s="91"/>
      <c r="N207" s="150"/>
      <c r="O207" s="151"/>
      <c r="P207" s="91"/>
      <c r="Q207" s="150"/>
      <c r="R207" s="151"/>
      <c r="S207" s="91"/>
      <c r="T207" s="90"/>
      <c r="U207" s="151"/>
      <c r="V207" s="91"/>
      <c r="W207" s="90"/>
      <c r="X207" s="91"/>
      <c r="Y207" s="91"/>
      <c r="Z207" s="90"/>
      <c r="AA207" s="91"/>
      <c r="AB207" s="91"/>
      <c r="AC207" s="90"/>
      <c r="AD207" s="91"/>
      <c r="AE207" s="91"/>
      <c r="AF207" s="90"/>
      <c r="AG207" s="91"/>
      <c r="AH207" s="91"/>
      <c r="AI207" s="90"/>
      <c r="AJ207" s="91"/>
      <c r="AK207" s="91"/>
      <c r="AL207" s="90"/>
      <c r="AM207" s="91"/>
      <c r="AN207" s="91"/>
      <c r="AO207" s="90"/>
      <c r="AP207" s="91"/>
      <c r="AQ207" s="91"/>
      <c r="AR207" s="90"/>
      <c r="AS207" s="91"/>
      <c r="AT207" s="91"/>
      <c r="AU207" s="90"/>
      <c r="AV207" s="91"/>
      <c r="AW207" s="91"/>
      <c r="AX207" s="90"/>
      <c r="AY207" s="91"/>
      <c r="AZ207" s="91"/>
      <c r="BA207" s="90"/>
      <c r="BB207" s="91"/>
      <c r="BC207" s="91"/>
      <c r="BD207" s="90"/>
      <c r="BE207" s="91"/>
      <c r="BF207" s="91"/>
      <c r="BG207" s="90"/>
      <c r="BH207" s="91">
        <f t="shared" si="366"/>
        <v>0</v>
      </c>
      <c r="BJ207"/>
      <c r="BK207"/>
      <c r="BL207"/>
      <c r="BM207"/>
      <c r="BN207"/>
      <c r="BO207"/>
    </row>
    <row r="208" spans="2:67" s="61" customFormat="1" outlineLevel="1">
      <c r="B208" s="121" t="s">
        <v>306</v>
      </c>
      <c r="C208" s="71"/>
      <c r="D208" s="89"/>
      <c r="E208" s="150">
        <v>0</v>
      </c>
      <c r="F208" s="151">
        <v>0</v>
      </c>
      <c r="G208" s="91">
        <f t="shared" si="518"/>
        <v>0</v>
      </c>
      <c r="H208" s="150">
        <v>0</v>
      </c>
      <c r="I208" s="151">
        <v>0</v>
      </c>
      <c r="J208" s="91">
        <f t="shared" si="519"/>
        <v>0</v>
      </c>
      <c r="K208" s="150">
        <v>0</v>
      </c>
      <c r="L208" s="151">
        <v>0</v>
      </c>
      <c r="M208" s="91"/>
      <c r="N208" s="150"/>
      <c r="O208" s="151"/>
      <c r="P208" s="91"/>
      <c r="Q208" s="150"/>
      <c r="R208" s="151"/>
      <c r="S208" s="91"/>
      <c r="T208" s="90"/>
      <c r="U208" s="151"/>
      <c r="V208" s="91"/>
      <c r="W208" s="90"/>
      <c r="X208" s="91"/>
      <c r="Y208" s="91"/>
      <c r="Z208" s="90"/>
      <c r="AA208" s="91"/>
      <c r="AB208" s="91"/>
      <c r="AC208" s="90"/>
      <c r="AD208" s="91"/>
      <c r="AE208" s="91"/>
      <c r="AF208" s="90"/>
      <c r="AG208" s="91"/>
      <c r="AH208" s="91"/>
      <c r="AI208" s="90"/>
      <c r="AJ208" s="91"/>
      <c r="AK208" s="91"/>
      <c r="AL208" s="90"/>
      <c r="AM208" s="91"/>
      <c r="AN208" s="91"/>
      <c r="AO208" s="90"/>
      <c r="AP208" s="91"/>
      <c r="AQ208" s="91"/>
      <c r="AR208" s="90"/>
      <c r="AS208" s="91"/>
      <c r="AT208" s="91"/>
      <c r="AU208" s="90"/>
      <c r="AV208" s="91"/>
      <c r="AW208" s="91"/>
      <c r="AX208" s="90"/>
      <c r="AY208" s="91"/>
      <c r="AZ208" s="91"/>
      <c r="BA208" s="90"/>
      <c r="BB208" s="91"/>
      <c r="BC208" s="91"/>
      <c r="BD208" s="90"/>
      <c r="BE208" s="91"/>
      <c r="BF208" s="91"/>
      <c r="BG208" s="90"/>
      <c r="BH208" s="91">
        <f t="shared" si="366"/>
        <v>0</v>
      </c>
      <c r="BJ208"/>
      <c r="BK208"/>
      <c r="BL208"/>
      <c r="BM208"/>
      <c r="BN208"/>
      <c r="BO208"/>
    </row>
    <row r="209" spans="2:67" s="61" customFormat="1" outlineLevel="1">
      <c r="B209" s="121" t="s">
        <v>307</v>
      </c>
      <c r="C209" s="71"/>
      <c r="D209" s="89"/>
      <c r="E209" s="150">
        <v>0</v>
      </c>
      <c r="F209" s="151">
        <v>0</v>
      </c>
      <c r="G209" s="91">
        <f t="shared" si="518"/>
        <v>0.48499999999999999</v>
      </c>
      <c r="H209" s="150">
        <v>0.48499999999999999</v>
      </c>
      <c r="I209" s="151">
        <v>0.26140200000000002</v>
      </c>
      <c r="J209" s="91">
        <f t="shared" si="519"/>
        <v>0.45300000000000001</v>
      </c>
      <c r="K209" s="150">
        <v>0.45300000000000001</v>
      </c>
      <c r="L209" s="151">
        <v>0.25700000000000001</v>
      </c>
      <c r="M209" s="91"/>
      <c r="N209" s="150"/>
      <c r="O209" s="151"/>
      <c r="P209" s="91"/>
      <c r="Q209" s="150"/>
      <c r="R209" s="151"/>
      <c r="S209" s="91"/>
      <c r="T209" s="90"/>
      <c r="U209" s="151"/>
      <c r="V209" s="91"/>
      <c r="W209" s="90"/>
      <c r="X209" s="91"/>
      <c r="Y209" s="91"/>
      <c r="Z209" s="90"/>
      <c r="AA209" s="91"/>
      <c r="AB209" s="91"/>
      <c r="AC209" s="90"/>
      <c r="AD209" s="91"/>
      <c r="AE209" s="91"/>
      <c r="AF209" s="90"/>
      <c r="AG209" s="91"/>
      <c r="AH209" s="91"/>
      <c r="AI209" s="90"/>
      <c r="AJ209" s="91"/>
      <c r="AK209" s="91"/>
      <c r="AL209" s="90"/>
      <c r="AM209" s="91"/>
      <c r="AN209" s="91"/>
      <c r="AO209" s="90"/>
      <c r="AP209" s="91"/>
      <c r="AQ209" s="91"/>
      <c r="AR209" s="90"/>
      <c r="AS209" s="91"/>
      <c r="AT209" s="91"/>
      <c r="AU209" s="90"/>
      <c r="AV209" s="91"/>
      <c r="AW209" s="91"/>
      <c r="AX209" s="90"/>
      <c r="AY209" s="91"/>
      <c r="AZ209" s="91"/>
      <c r="BA209" s="90"/>
      <c r="BB209" s="91"/>
      <c r="BC209" s="91"/>
      <c r="BD209" s="90"/>
      <c r="BE209" s="91"/>
      <c r="BF209" s="91"/>
      <c r="BG209" s="90"/>
      <c r="BH209" s="91">
        <f t="shared" si="366"/>
        <v>0</v>
      </c>
      <c r="BJ209"/>
      <c r="BK209"/>
      <c r="BL209"/>
      <c r="BM209"/>
      <c r="BN209"/>
      <c r="BO209"/>
    </row>
    <row r="210" spans="2:67" s="61" customFormat="1">
      <c r="B210" s="96" t="s">
        <v>114</v>
      </c>
      <c r="C210" s="199"/>
      <c r="D210" s="89" t="s">
        <v>159</v>
      </c>
      <c r="E210" s="90">
        <f t="shared" ref="E210:U210" si="521">SUM(E211:E212)</f>
        <v>0.34543299999999999</v>
      </c>
      <c r="F210" s="91">
        <f t="shared" si="521"/>
        <v>0.36468499999999998</v>
      </c>
      <c r="G210" s="91">
        <f t="shared" si="518"/>
        <v>1.132938</v>
      </c>
      <c r="H210" s="90">
        <f t="shared" si="521"/>
        <v>1.132938</v>
      </c>
      <c r="I210" s="91">
        <f t="shared" si="521"/>
        <v>1.1276649999999999</v>
      </c>
      <c r="J210" s="91">
        <f t="shared" si="519"/>
        <v>0.49</v>
      </c>
      <c r="K210" s="90">
        <f t="shared" si="521"/>
        <v>0.49</v>
      </c>
      <c r="L210" s="91">
        <f t="shared" si="521"/>
        <v>2.4089999999999998</v>
      </c>
      <c r="M210" s="91">
        <f t="shared" ref="M210:M218" si="522">+N210</f>
        <v>0.76700000000000002</v>
      </c>
      <c r="N210" s="90">
        <f t="shared" si="521"/>
        <v>0.76700000000000002</v>
      </c>
      <c r="O210" s="91">
        <f t="shared" si="521"/>
        <v>0.55200000000000005</v>
      </c>
      <c r="P210" s="91">
        <f t="shared" ref="P210:P218" si="523">+Q210</f>
        <v>0.63200000000000001</v>
      </c>
      <c r="Q210" s="90">
        <f t="shared" si="521"/>
        <v>0.63200000000000001</v>
      </c>
      <c r="R210" s="91">
        <f t="shared" si="521"/>
        <v>0.55500000000000005</v>
      </c>
      <c r="S210" s="91">
        <f t="shared" ref="S210:S218" si="524">+T210</f>
        <v>0.64100000000000001</v>
      </c>
      <c r="T210" s="90">
        <f t="shared" si="521"/>
        <v>0.64100000000000001</v>
      </c>
      <c r="U210" s="91">
        <f t="shared" si="521"/>
        <v>0.85099999999999998</v>
      </c>
      <c r="V210" s="91">
        <f t="shared" si="504"/>
        <v>1.0669999999999999</v>
      </c>
      <c r="W210" s="90">
        <f>+SUM(W211:W212)</f>
        <v>1.0669999999999999</v>
      </c>
      <c r="X210" s="91"/>
      <c r="Y210" s="91">
        <f t="shared" si="505"/>
        <v>13.308999999999999</v>
      </c>
      <c r="Z210" s="91">
        <f>+SUM(Z211:Z212)</f>
        <v>13.308999999999999</v>
      </c>
      <c r="AA210" s="477">
        <f>+SUM(AA211:AA212)</f>
        <v>21.064</v>
      </c>
      <c r="AB210" s="91">
        <f t="shared" ref="AB210:AB212" si="525">+AC210</f>
        <v>21.064</v>
      </c>
      <c r="AC210" s="90">
        <f>+SUM(AC211:AC212)</f>
        <v>21.064</v>
      </c>
      <c r="AD210" s="91">
        <f>+SUM(AD211:AD212)</f>
        <v>21.064</v>
      </c>
      <c r="AE210" s="91">
        <f t="shared" ref="AE210:AE212" si="526">+AF210</f>
        <v>21.064</v>
      </c>
      <c r="AF210" s="90">
        <f>+SUM(AF211:AF212)</f>
        <v>21.064</v>
      </c>
      <c r="AG210" s="91">
        <f>+SUM(AG211:AG212)</f>
        <v>21.064</v>
      </c>
      <c r="AH210" s="91">
        <f t="shared" ref="AH210:AH212" si="527">+AI210</f>
        <v>21.064</v>
      </c>
      <c r="AI210" s="90">
        <f>+SUM(AI211:AI212)</f>
        <v>21.064</v>
      </c>
      <c r="AJ210" s="91">
        <f>+SUM(AJ211:AJ212)</f>
        <v>21.064</v>
      </c>
      <c r="AK210" s="91">
        <f t="shared" ref="AK210:AK212" si="528">+AL210</f>
        <v>21.064</v>
      </c>
      <c r="AL210" s="90">
        <f>+SUM(AL211:AL212)</f>
        <v>21.064</v>
      </c>
      <c r="AM210" s="91">
        <f>+SUM(AM211:AM212)</f>
        <v>21.064</v>
      </c>
      <c r="AN210" s="91">
        <f t="shared" ref="AN210:AN212" si="529">+AO210</f>
        <v>21.064</v>
      </c>
      <c r="AO210" s="90">
        <f>+SUM(AO211:AO212)</f>
        <v>21.064</v>
      </c>
      <c r="AP210" s="91">
        <f>+SUM(AP211:AP212)</f>
        <v>21.064</v>
      </c>
      <c r="AQ210" s="91">
        <f t="shared" ref="AQ210:AQ212" si="530">+AR210</f>
        <v>21.064</v>
      </c>
      <c r="AR210" s="90">
        <f>+SUM(AR211:AR212)</f>
        <v>21.064</v>
      </c>
      <c r="AS210" s="91">
        <f>+SUM(AS211:AS212)</f>
        <v>21.064</v>
      </c>
      <c r="AT210" s="91">
        <f t="shared" ref="AT210:AT212" si="531">+AU210</f>
        <v>21.064</v>
      </c>
      <c r="AU210" s="90">
        <f>+SUM(AU211:AU212)</f>
        <v>21.064</v>
      </c>
      <c r="AV210" s="91">
        <f>+SUM(AV211:AV212)</f>
        <v>21.064</v>
      </c>
      <c r="AW210" s="91">
        <f t="shared" ref="AW210:AW212" si="532">+AX210</f>
        <v>21.064</v>
      </c>
      <c r="AX210" s="90">
        <f>+SUM(AX211:AX212)</f>
        <v>21.064</v>
      </c>
      <c r="AY210" s="91">
        <f>+SUM(AY211:AY212)</f>
        <v>21.064</v>
      </c>
      <c r="AZ210" s="91">
        <f t="shared" ref="AZ210:AZ212" si="533">+BA210</f>
        <v>21.064</v>
      </c>
      <c r="BA210" s="90">
        <f>+SUM(BA211:BA212)</f>
        <v>21.064</v>
      </c>
      <c r="BB210" s="91">
        <f>+SUM(BB211:BB212)</f>
        <v>21.064</v>
      </c>
      <c r="BC210" s="91">
        <f t="shared" ref="BC210:BC212" si="534">+BD210</f>
        <v>21.064</v>
      </c>
      <c r="BD210" s="90">
        <f>+SUM(BD211:BD212)</f>
        <v>21.064</v>
      </c>
      <c r="BE210" s="91">
        <f>+SUM(BE211:BE212)</f>
        <v>21.064</v>
      </c>
      <c r="BF210" s="91">
        <f t="shared" ref="BF210:BF212" si="535">+BG210</f>
        <v>21.064</v>
      </c>
      <c r="BG210" s="90">
        <f>+SUM(BG211:BG212)</f>
        <v>21.064</v>
      </c>
      <c r="BH210" s="91">
        <f t="shared" si="366"/>
        <v>0</v>
      </c>
      <c r="BJ210"/>
      <c r="BK210"/>
      <c r="BL210"/>
      <c r="BM210"/>
      <c r="BN210"/>
      <c r="BO210"/>
    </row>
    <row r="211" spans="2:67" s="61" customFormat="1" outlineLevel="1">
      <c r="B211" s="121" t="s">
        <v>113</v>
      </c>
      <c r="C211" s="199"/>
      <c r="D211" s="89" t="s">
        <v>159</v>
      </c>
      <c r="E211" s="150">
        <v>0.34543299999999999</v>
      </c>
      <c r="F211" s="151">
        <v>0.36468499999999998</v>
      </c>
      <c r="G211" s="91">
        <f t="shared" si="518"/>
        <v>1.132938</v>
      </c>
      <c r="H211" s="150">
        <v>1.132938</v>
      </c>
      <c r="I211" s="151">
        <v>1.027911</v>
      </c>
      <c r="J211" s="91">
        <f t="shared" si="519"/>
        <v>0.46899999999999997</v>
      </c>
      <c r="K211" s="150">
        <v>0.46899999999999997</v>
      </c>
      <c r="L211" s="151">
        <v>0.92500000000000004</v>
      </c>
      <c r="M211" s="91">
        <f t="shared" si="522"/>
        <v>0.26400000000000001</v>
      </c>
      <c r="N211" s="150">
        <v>0.26400000000000001</v>
      </c>
      <c r="O211" s="151">
        <v>4.2999999999999997E-2</v>
      </c>
      <c r="P211" s="91">
        <f t="shared" si="523"/>
        <v>1.9E-2</v>
      </c>
      <c r="Q211" s="150">
        <v>1.9E-2</v>
      </c>
      <c r="R211" s="151">
        <v>0</v>
      </c>
      <c r="S211" s="91">
        <f t="shared" si="524"/>
        <v>0</v>
      </c>
      <c r="T211" s="180">
        <v>0</v>
      </c>
      <c r="U211" s="181">
        <v>0.439</v>
      </c>
      <c r="V211" s="91">
        <f t="shared" si="504"/>
        <v>0.66</v>
      </c>
      <c r="W211" s="180">
        <v>0.66</v>
      </c>
      <c r="X211" s="181">
        <v>1.2721688807417382</v>
      </c>
      <c r="Y211" s="91">
        <f t="shared" si="505"/>
        <v>11.763</v>
      </c>
      <c r="Z211" s="180">
        <v>11.763</v>
      </c>
      <c r="AA211" s="181">
        <v>12.694000000000001</v>
      </c>
      <c r="AB211" s="91">
        <f t="shared" si="525"/>
        <v>12.694000000000001</v>
      </c>
      <c r="AC211" s="90">
        <f>AA211</f>
        <v>12.694000000000001</v>
      </c>
      <c r="AD211" s="91">
        <f>AC211</f>
        <v>12.694000000000001</v>
      </c>
      <c r="AE211" s="91">
        <f t="shared" si="526"/>
        <v>12.694000000000001</v>
      </c>
      <c r="AF211" s="90">
        <f>AD211</f>
        <v>12.694000000000001</v>
      </c>
      <c r="AG211" s="91">
        <f>AF211</f>
        <v>12.694000000000001</v>
      </c>
      <c r="AH211" s="91">
        <f t="shared" si="527"/>
        <v>12.694000000000001</v>
      </c>
      <c r="AI211" s="90">
        <f>AG211</f>
        <v>12.694000000000001</v>
      </c>
      <c r="AJ211" s="91">
        <f>AI211</f>
        <v>12.694000000000001</v>
      </c>
      <c r="AK211" s="91">
        <f t="shared" si="528"/>
        <v>12.694000000000001</v>
      </c>
      <c r="AL211" s="90">
        <f>AJ211</f>
        <v>12.694000000000001</v>
      </c>
      <c r="AM211" s="91">
        <f>AL211</f>
        <v>12.694000000000001</v>
      </c>
      <c r="AN211" s="91">
        <f t="shared" si="529"/>
        <v>12.694000000000001</v>
      </c>
      <c r="AO211" s="90">
        <f>AM211</f>
        <v>12.694000000000001</v>
      </c>
      <c r="AP211" s="91">
        <f>AO211</f>
        <v>12.694000000000001</v>
      </c>
      <c r="AQ211" s="91">
        <f t="shared" si="530"/>
        <v>12.694000000000001</v>
      </c>
      <c r="AR211" s="90">
        <f>AP211</f>
        <v>12.694000000000001</v>
      </c>
      <c r="AS211" s="91">
        <f>AR211</f>
        <v>12.694000000000001</v>
      </c>
      <c r="AT211" s="91">
        <f t="shared" si="531"/>
        <v>12.694000000000001</v>
      </c>
      <c r="AU211" s="90">
        <f>AS211</f>
        <v>12.694000000000001</v>
      </c>
      <c r="AV211" s="91">
        <f>AU211</f>
        <v>12.694000000000001</v>
      </c>
      <c r="AW211" s="91">
        <f t="shared" si="532"/>
        <v>12.694000000000001</v>
      </c>
      <c r="AX211" s="90">
        <f>AV211</f>
        <v>12.694000000000001</v>
      </c>
      <c r="AY211" s="91">
        <f>AX211</f>
        <v>12.694000000000001</v>
      </c>
      <c r="AZ211" s="91">
        <f t="shared" si="533"/>
        <v>12.694000000000001</v>
      </c>
      <c r="BA211" s="90">
        <f>AY211</f>
        <v>12.694000000000001</v>
      </c>
      <c r="BB211" s="91">
        <f>BA211</f>
        <v>12.694000000000001</v>
      </c>
      <c r="BC211" s="91">
        <f t="shared" si="534"/>
        <v>12.694000000000001</v>
      </c>
      <c r="BD211" s="90">
        <f>BB211</f>
        <v>12.694000000000001</v>
      </c>
      <c r="BE211" s="91">
        <f>BD211</f>
        <v>12.694000000000001</v>
      </c>
      <c r="BF211" s="91">
        <f t="shared" si="535"/>
        <v>12.694000000000001</v>
      </c>
      <c r="BG211" s="90">
        <f>BE211</f>
        <v>12.694000000000001</v>
      </c>
      <c r="BH211" s="91">
        <f t="shared" si="366"/>
        <v>0</v>
      </c>
      <c r="BJ211"/>
      <c r="BK211"/>
      <c r="BL211"/>
      <c r="BM211"/>
      <c r="BN211"/>
      <c r="BO211"/>
    </row>
    <row r="212" spans="2:67" s="61" customFormat="1" outlineLevel="1">
      <c r="B212" s="88" t="s">
        <v>308</v>
      </c>
      <c r="C212" s="199"/>
      <c r="D212" s="89" t="s">
        <v>159</v>
      </c>
      <c r="E212" s="150">
        <v>0</v>
      </c>
      <c r="F212" s="151">
        <v>0</v>
      </c>
      <c r="G212" s="91">
        <f t="shared" si="518"/>
        <v>0</v>
      </c>
      <c r="H212" s="150">
        <v>0</v>
      </c>
      <c r="I212" s="151">
        <v>9.9753999999999995E-2</v>
      </c>
      <c r="J212" s="91">
        <f t="shared" si="519"/>
        <v>2.1000000000000001E-2</v>
      </c>
      <c r="K212" s="150">
        <v>2.1000000000000001E-2</v>
      </c>
      <c r="L212" s="151">
        <v>1.484</v>
      </c>
      <c r="M212" s="91">
        <f t="shared" si="522"/>
        <v>0.503</v>
      </c>
      <c r="N212" s="150">
        <v>0.503</v>
      </c>
      <c r="O212" s="151">
        <v>0.50900000000000001</v>
      </c>
      <c r="P212" s="91">
        <f t="shared" si="523"/>
        <v>0.61299999999999999</v>
      </c>
      <c r="Q212" s="150">
        <v>0.61299999999999999</v>
      </c>
      <c r="R212" s="151">
        <v>0.55500000000000005</v>
      </c>
      <c r="S212" s="91">
        <f t="shared" si="524"/>
        <v>0.64100000000000001</v>
      </c>
      <c r="T212" s="180">
        <v>0.64100000000000001</v>
      </c>
      <c r="U212" s="181">
        <v>0.41199999999999998</v>
      </c>
      <c r="V212" s="91">
        <f>W212</f>
        <v>0.40699999999999997</v>
      </c>
      <c r="W212" s="180">
        <v>0.40699999999999997</v>
      </c>
      <c r="X212" s="181">
        <v>1.2587776293655093</v>
      </c>
      <c r="Y212" s="91">
        <f t="shared" si="505"/>
        <v>1.546</v>
      </c>
      <c r="Z212" s="180">
        <v>1.546</v>
      </c>
      <c r="AA212" s="181">
        <v>8.3699999999999992</v>
      </c>
      <c r="AB212" s="91">
        <f t="shared" si="525"/>
        <v>8.3699999999999992</v>
      </c>
      <c r="AC212" s="90">
        <f>AA212</f>
        <v>8.3699999999999992</v>
      </c>
      <c r="AD212" s="91">
        <f>AC212</f>
        <v>8.3699999999999992</v>
      </c>
      <c r="AE212" s="91">
        <f t="shared" si="526"/>
        <v>8.3699999999999992</v>
      </c>
      <c r="AF212" s="90">
        <f>AD212</f>
        <v>8.3699999999999992</v>
      </c>
      <c r="AG212" s="91">
        <f>AF212</f>
        <v>8.3699999999999992</v>
      </c>
      <c r="AH212" s="91">
        <f t="shared" si="527"/>
        <v>8.3699999999999992</v>
      </c>
      <c r="AI212" s="90">
        <f>AG212</f>
        <v>8.3699999999999992</v>
      </c>
      <c r="AJ212" s="91">
        <f>AI212</f>
        <v>8.3699999999999992</v>
      </c>
      <c r="AK212" s="91">
        <f t="shared" si="528"/>
        <v>8.3699999999999992</v>
      </c>
      <c r="AL212" s="90">
        <f>AJ212</f>
        <v>8.3699999999999992</v>
      </c>
      <c r="AM212" s="91">
        <f>AL212</f>
        <v>8.3699999999999992</v>
      </c>
      <c r="AN212" s="91">
        <f t="shared" si="529"/>
        <v>8.3699999999999992</v>
      </c>
      <c r="AO212" s="90">
        <f>AM212</f>
        <v>8.3699999999999992</v>
      </c>
      <c r="AP212" s="91">
        <f>AO212</f>
        <v>8.3699999999999992</v>
      </c>
      <c r="AQ212" s="91">
        <f t="shared" si="530"/>
        <v>8.3699999999999992</v>
      </c>
      <c r="AR212" s="90">
        <f>AP212</f>
        <v>8.3699999999999992</v>
      </c>
      <c r="AS212" s="91">
        <f>AR212</f>
        <v>8.3699999999999992</v>
      </c>
      <c r="AT212" s="91">
        <f t="shared" si="531"/>
        <v>8.3699999999999992</v>
      </c>
      <c r="AU212" s="90">
        <f>AS212</f>
        <v>8.3699999999999992</v>
      </c>
      <c r="AV212" s="91">
        <f>AU212</f>
        <v>8.3699999999999992</v>
      </c>
      <c r="AW212" s="91">
        <f t="shared" si="532"/>
        <v>8.3699999999999992</v>
      </c>
      <c r="AX212" s="90">
        <f>AV212</f>
        <v>8.3699999999999992</v>
      </c>
      <c r="AY212" s="91">
        <f>AX212</f>
        <v>8.3699999999999992</v>
      </c>
      <c r="AZ212" s="91">
        <f t="shared" si="533"/>
        <v>8.3699999999999992</v>
      </c>
      <c r="BA212" s="90">
        <f>AY212</f>
        <v>8.3699999999999992</v>
      </c>
      <c r="BB212" s="91">
        <f>BA212</f>
        <v>8.3699999999999992</v>
      </c>
      <c r="BC212" s="91">
        <f t="shared" si="534"/>
        <v>8.3699999999999992</v>
      </c>
      <c r="BD212" s="90">
        <f>BB212</f>
        <v>8.3699999999999992</v>
      </c>
      <c r="BE212" s="91">
        <f>BD212</f>
        <v>8.3699999999999992</v>
      </c>
      <c r="BF212" s="91">
        <f t="shared" si="535"/>
        <v>8.3699999999999992</v>
      </c>
      <c r="BG212" s="90">
        <f>BE212</f>
        <v>8.3699999999999992</v>
      </c>
      <c r="BH212" s="91">
        <f t="shared" si="366"/>
        <v>0</v>
      </c>
      <c r="BJ212"/>
      <c r="BK212"/>
      <c r="BL212"/>
      <c r="BM212"/>
      <c r="BN212"/>
      <c r="BO212"/>
    </row>
    <row r="213" spans="2:67" s="61" customFormat="1" outlineLevel="1">
      <c r="B213" s="88"/>
      <c r="C213" s="199"/>
      <c r="D213" s="89"/>
      <c r="E213" s="90"/>
      <c r="F213" s="91"/>
      <c r="G213" s="91"/>
      <c r="H213" s="90"/>
      <c r="I213" s="91"/>
      <c r="J213" s="91"/>
      <c r="K213" s="90"/>
      <c r="L213" s="91"/>
      <c r="M213" s="91"/>
      <c r="N213" s="90"/>
      <c r="O213" s="91"/>
      <c r="P213" s="91"/>
      <c r="Q213" s="90"/>
      <c r="R213" s="91"/>
      <c r="S213" s="91"/>
      <c r="T213" s="90"/>
      <c r="U213" s="181"/>
      <c r="V213" s="91"/>
      <c r="W213" s="90"/>
      <c r="X213" s="181"/>
      <c r="Y213" s="91"/>
      <c r="Z213" s="90"/>
      <c r="AA213" s="181"/>
      <c r="AB213" s="91"/>
      <c r="AC213" s="90"/>
      <c r="AD213" s="91"/>
      <c r="AE213" s="91"/>
      <c r="AF213" s="90"/>
      <c r="AG213" s="91"/>
      <c r="AH213" s="91"/>
      <c r="AI213" s="90"/>
      <c r="AJ213" s="91"/>
      <c r="AK213" s="91"/>
      <c r="AL213" s="90"/>
      <c r="AM213" s="91"/>
      <c r="AN213" s="91"/>
      <c r="AO213" s="90"/>
      <c r="AP213" s="91"/>
      <c r="AQ213" s="91"/>
      <c r="AR213" s="90"/>
      <c r="AS213" s="91"/>
      <c r="AT213" s="91"/>
      <c r="AU213" s="90"/>
      <c r="AV213" s="91"/>
      <c r="AW213" s="91"/>
      <c r="AX213" s="90"/>
      <c r="AY213" s="91"/>
      <c r="AZ213" s="91"/>
      <c r="BA213" s="90"/>
      <c r="BB213" s="91"/>
      <c r="BC213" s="91"/>
      <c r="BD213" s="90"/>
      <c r="BE213" s="91"/>
      <c r="BF213" s="91"/>
      <c r="BG213" s="90"/>
      <c r="BH213" s="91">
        <f t="shared" si="366"/>
        <v>0</v>
      </c>
      <c r="BJ213"/>
      <c r="BK213"/>
      <c r="BL213"/>
      <c r="BM213"/>
      <c r="BN213"/>
      <c r="BO213"/>
    </row>
    <row r="214" spans="2:67" s="61" customFormat="1">
      <c r="B214" s="96" t="s">
        <v>309</v>
      </c>
      <c r="C214" s="199"/>
      <c r="D214" s="89" t="s">
        <v>159</v>
      </c>
      <c r="E214" s="150">
        <v>0</v>
      </c>
      <c r="F214" s="151">
        <v>0</v>
      </c>
      <c r="G214" s="91">
        <f t="shared" si="518"/>
        <v>0.215722</v>
      </c>
      <c r="H214" s="150">
        <v>0.215722</v>
      </c>
      <c r="I214" s="151">
        <v>0.50729999999999997</v>
      </c>
      <c r="J214" s="91">
        <f t="shared" si="519"/>
        <v>0.91700000000000004</v>
      </c>
      <c r="K214" s="150">
        <v>0.91700000000000004</v>
      </c>
      <c r="L214" s="151">
        <v>0.97499999999999998</v>
      </c>
      <c r="M214" s="91">
        <f t="shared" si="522"/>
        <v>3.0529999999999999</v>
      </c>
      <c r="N214" s="150">
        <v>3.0529999999999999</v>
      </c>
      <c r="O214" s="151">
        <v>5.8310000000000004</v>
      </c>
      <c r="P214" s="91">
        <f t="shared" si="523"/>
        <v>7.4029999999999996</v>
      </c>
      <c r="Q214" s="150">
        <v>7.4029999999999996</v>
      </c>
      <c r="R214" s="151">
        <v>10.396000000000001</v>
      </c>
      <c r="S214" s="91">
        <f t="shared" si="524"/>
        <v>15.585000000000001</v>
      </c>
      <c r="T214" s="180">
        <v>15.585000000000001</v>
      </c>
      <c r="U214" s="181">
        <v>54.963000000000001</v>
      </c>
      <c r="V214" s="91">
        <f t="shared" si="504"/>
        <v>0.39500000000000002</v>
      </c>
      <c r="W214" s="180">
        <v>0.39500000000000002</v>
      </c>
      <c r="X214" s="181">
        <v>0.49145892550759779</v>
      </c>
      <c r="Y214" s="91">
        <f t="shared" si="505"/>
        <v>0.57599999999999996</v>
      </c>
      <c r="Z214" s="180">
        <v>0.57599999999999996</v>
      </c>
      <c r="AA214" s="181">
        <v>0.89600000000000002</v>
      </c>
      <c r="AB214" s="91">
        <f t="shared" ref="AB214:AB217" si="536">+AC214</f>
        <v>0.89600000000000002</v>
      </c>
      <c r="AC214" s="90">
        <f>AA214</f>
        <v>0.89600000000000002</v>
      </c>
      <c r="AD214" s="91">
        <f>AC214</f>
        <v>0.89600000000000002</v>
      </c>
      <c r="AE214" s="91">
        <f t="shared" ref="AE214:AE217" si="537">+AF214</f>
        <v>0.89600000000000002</v>
      </c>
      <c r="AF214" s="90">
        <f>AD214</f>
        <v>0.89600000000000002</v>
      </c>
      <c r="AG214" s="91">
        <f>AF214</f>
        <v>0.89600000000000002</v>
      </c>
      <c r="AH214" s="91">
        <f t="shared" ref="AH214:AH218" si="538">+AI214</f>
        <v>0.89600000000000002</v>
      </c>
      <c r="AI214" s="90">
        <f>AG214</f>
        <v>0.89600000000000002</v>
      </c>
      <c r="AJ214" s="91">
        <f>AI214</f>
        <v>0.89600000000000002</v>
      </c>
      <c r="AK214" s="91">
        <f t="shared" ref="AK214:AK218" si="539">+AL214</f>
        <v>0.89600000000000002</v>
      </c>
      <c r="AL214" s="90">
        <f>AJ214</f>
        <v>0.89600000000000002</v>
      </c>
      <c r="AM214" s="91">
        <f>AL214</f>
        <v>0.89600000000000002</v>
      </c>
      <c r="AN214" s="91">
        <f t="shared" ref="AN214:AN218" si="540">+AO214</f>
        <v>0.89600000000000002</v>
      </c>
      <c r="AO214" s="90">
        <f>AM214</f>
        <v>0.89600000000000002</v>
      </c>
      <c r="AP214" s="91">
        <f>AO214</f>
        <v>0.89600000000000002</v>
      </c>
      <c r="AQ214" s="91">
        <f t="shared" ref="AQ214:AQ218" si="541">+AR214</f>
        <v>0.89600000000000002</v>
      </c>
      <c r="AR214" s="90">
        <f>AP214</f>
        <v>0.89600000000000002</v>
      </c>
      <c r="AS214" s="91">
        <f>AR214</f>
        <v>0.89600000000000002</v>
      </c>
      <c r="AT214" s="91">
        <f t="shared" ref="AT214:AT218" si="542">+AU214</f>
        <v>0.89600000000000002</v>
      </c>
      <c r="AU214" s="90">
        <f>AS214</f>
        <v>0.89600000000000002</v>
      </c>
      <c r="AV214" s="91">
        <f>AU214</f>
        <v>0.89600000000000002</v>
      </c>
      <c r="AW214" s="91">
        <f t="shared" ref="AW214:AW218" si="543">+AX214</f>
        <v>0.89600000000000002</v>
      </c>
      <c r="AX214" s="90">
        <f>AV214</f>
        <v>0.89600000000000002</v>
      </c>
      <c r="AY214" s="91">
        <f>AX214</f>
        <v>0.89600000000000002</v>
      </c>
      <c r="AZ214" s="91">
        <f t="shared" ref="AZ214:AZ218" si="544">+BA214</f>
        <v>0.89600000000000002</v>
      </c>
      <c r="BA214" s="90">
        <f>AY214</f>
        <v>0.89600000000000002</v>
      </c>
      <c r="BB214" s="91">
        <f>BA214</f>
        <v>0.89600000000000002</v>
      </c>
      <c r="BC214" s="91">
        <f t="shared" ref="BC214:BC218" si="545">+BD214</f>
        <v>0.89600000000000002</v>
      </c>
      <c r="BD214" s="90">
        <f>BB214</f>
        <v>0.89600000000000002</v>
      </c>
      <c r="BE214" s="91">
        <f>BD214</f>
        <v>0.89600000000000002</v>
      </c>
      <c r="BF214" s="91">
        <f t="shared" ref="BF214:BF218" si="546">+BG214</f>
        <v>0.89600000000000002</v>
      </c>
      <c r="BG214" s="90">
        <f>BE214</f>
        <v>0.89600000000000002</v>
      </c>
      <c r="BH214" s="91">
        <f t="shared" si="366"/>
        <v>0</v>
      </c>
      <c r="BJ214"/>
      <c r="BK214"/>
      <c r="BL214"/>
      <c r="BM214"/>
      <c r="BN214"/>
      <c r="BO214"/>
    </row>
    <row r="215" spans="2:67" s="61" customFormat="1" outlineLevel="1">
      <c r="B215" s="96" t="s">
        <v>310</v>
      </c>
      <c r="C215" s="199"/>
      <c r="D215" s="89" t="s">
        <v>159</v>
      </c>
      <c r="E215" s="150">
        <v>0</v>
      </c>
      <c r="F215" s="151">
        <v>0</v>
      </c>
      <c r="G215" s="91">
        <f t="shared" si="518"/>
        <v>0</v>
      </c>
      <c r="H215" s="150">
        <v>0</v>
      </c>
      <c r="I215" s="151">
        <v>0</v>
      </c>
      <c r="J215" s="91">
        <f t="shared" si="519"/>
        <v>0</v>
      </c>
      <c r="K215" s="150">
        <v>0</v>
      </c>
      <c r="L215" s="151">
        <v>0</v>
      </c>
      <c r="M215" s="91">
        <f t="shared" si="522"/>
        <v>2.0089999999999999</v>
      </c>
      <c r="N215" s="150">
        <v>2.0089999999999999</v>
      </c>
      <c r="O215" s="151">
        <v>1.7230000000000001</v>
      </c>
      <c r="P215" s="91">
        <f t="shared" si="523"/>
        <v>4.7640000000000002</v>
      </c>
      <c r="Q215" s="150">
        <v>4.7640000000000002</v>
      </c>
      <c r="R215" s="151">
        <v>5.1980000000000004</v>
      </c>
      <c r="S215" s="91">
        <f t="shared" si="524"/>
        <v>7.5510000000000002</v>
      </c>
      <c r="T215" s="180">
        <v>7.5510000000000002</v>
      </c>
      <c r="U215" s="181">
        <v>7.7220000000000004</v>
      </c>
      <c r="V215" s="91">
        <f t="shared" si="504"/>
        <v>9.5280000000000005</v>
      </c>
      <c r="W215" s="180">
        <v>9.5280000000000005</v>
      </c>
      <c r="X215" s="181">
        <v>9.0839553710648229</v>
      </c>
      <c r="Y215" s="91">
        <f t="shared" si="505"/>
        <v>14.144</v>
      </c>
      <c r="Z215" s="180">
        <v>14.144</v>
      </c>
      <c r="AA215" s="181">
        <v>14.635</v>
      </c>
      <c r="AB215" s="91">
        <f t="shared" si="536"/>
        <v>14.635</v>
      </c>
      <c r="AC215" s="90">
        <f t="shared" ref="AC215:AC217" si="547">AA215</f>
        <v>14.635</v>
      </c>
      <c r="AD215" s="91">
        <f t="shared" ref="AD215:AD217" si="548">AC215</f>
        <v>14.635</v>
      </c>
      <c r="AE215" s="91">
        <f t="shared" si="537"/>
        <v>14.635</v>
      </c>
      <c r="AF215" s="90">
        <f t="shared" ref="AF215:AF217" si="549">AD215</f>
        <v>14.635</v>
      </c>
      <c r="AG215" s="91">
        <f t="shared" ref="AG215:AG218" si="550">AF215</f>
        <v>14.635</v>
      </c>
      <c r="AH215" s="91">
        <f t="shared" si="538"/>
        <v>14.635</v>
      </c>
      <c r="AI215" s="90">
        <f t="shared" ref="AI215:AI218" si="551">AG215</f>
        <v>14.635</v>
      </c>
      <c r="AJ215" s="91">
        <f t="shared" ref="AJ215:AJ218" si="552">AI215</f>
        <v>14.635</v>
      </c>
      <c r="AK215" s="91">
        <f t="shared" si="539"/>
        <v>14.635</v>
      </c>
      <c r="AL215" s="90">
        <f t="shared" ref="AL215:AL218" si="553">AJ215</f>
        <v>14.635</v>
      </c>
      <c r="AM215" s="91">
        <f t="shared" ref="AM215:AM218" si="554">AL215</f>
        <v>14.635</v>
      </c>
      <c r="AN215" s="91">
        <f t="shared" si="540"/>
        <v>14.635</v>
      </c>
      <c r="AO215" s="90">
        <f t="shared" ref="AO215:AO218" si="555">AM215</f>
        <v>14.635</v>
      </c>
      <c r="AP215" s="91">
        <f t="shared" ref="AP215:AP218" si="556">AO215</f>
        <v>14.635</v>
      </c>
      <c r="AQ215" s="91">
        <f t="shared" si="541"/>
        <v>14.635</v>
      </c>
      <c r="AR215" s="90">
        <f t="shared" ref="AR215:AR218" si="557">AP215</f>
        <v>14.635</v>
      </c>
      <c r="AS215" s="91">
        <f t="shared" ref="AS215:AS218" si="558">AR215</f>
        <v>14.635</v>
      </c>
      <c r="AT215" s="91">
        <f t="shared" si="542"/>
        <v>14.635</v>
      </c>
      <c r="AU215" s="90">
        <f t="shared" ref="AU215:AU218" si="559">AS215</f>
        <v>14.635</v>
      </c>
      <c r="AV215" s="91">
        <f t="shared" ref="AV215:AV218" si="560">AU215</f>
        <v>14.635</v>
      </c>
      <c r="AW215" s="91">
        <f t="shared" si="543"/>
        <v>14.635</v>
      </c>
      <c r="AX215" s="90">
        <f t="shared" ref="AX215:AX218" si="561">AV215</f>
        <v>14.635</v>
      </c>
      <c r="AY215" s="91">
        <f t="shared" ref="AY215:AY218" si="562">AX215</f>
        <v>14.635</v>
      </c>
      <c r="AZ215" s="91">
        <f t="shared" si="544"/>
        <v>14.635</v>
      </c>
      <c r="BA215" s="90">
        <f t="shared" ref="BA215:BA218" si="563">AY215</f>
        <v>14.635</v>
      </c>
      <c r="BB215" s="91">
        <f t="shared" ref="BB215:BB218" si="564">BA215</f>
        <v>14.635</v>
      </c>
      <c r="BC215" s="91">
        <f t="shared" si="545"/>
        <v>14.635</v>
      </c>
      <c r="BD215" s="90">
        <f t="shared" ref="BD215:BD218" si="565">BB215</f>
        <v>14.635</v>
      </c>
      <c r="BE215" s="91">
        <f t="shared" ref="BE215:BE218" si="566">BD215</f>
        <v>14.635</v>
      </c>
      <c r="BF215" s="91">
        <f t="shared" si="546"/>
        <v>14.635</v>
      </c>
      <c r="BG215" s="90">
        <f t="shared" ref="BG215:BG218" si="567">BE215</f>
        <v>14.635</v>
      </c>
      <c r="BH215" s="91">
        <f t="shared" si="366"/>
        <v>0</v>
      </c>
      <c r="BJ215"/>
      <c r="BK215"/>
      <c r="BL215"/>
      <c r="BM215"/>
      <c r="BN215"/>
      <c r="BO215"/>
    </row>
    <row r="216" spans="2:67" s="61" customFormat="1" outlineLevel="1">
      <c r="B216" s="96" t="s">
        <v>311</v>
      </c>
      <c r="C216" s="199"/>
      <c r="D216" s="89" t="s">
        <v>159</v>
      </c>
      <c r="E216" s="150">
        <v>0</v>
      </c>
      <c r="F216" s="151">
        <v>0</v>
      </c>
      <c r="G216" s="91">
        <f t="shared" si="518"/>
        <v>0</v>
      </c>
      <c r="H216" s="150">
        <v>0</v>
      </c>
      <c r="I216" s="151">
        <v>0</v>
      </c>
      <c r="J216" s="91">
        <f t="shared" si="519"/>
        <v>0</v>
      </c>
      <c r="K216" s="150">
        <v>0</v>
      </c>
      <c r="L216" s="151">
        <v>0</v>
      </c>
      <c r="M216" s="91">
        <f t="shared" si="522"/>
        <v>0</v>
      </c>
      <c r="N216" s="150">
        <v>0</v>
      </c>
      <c r="O216" s="151">
        <v>0</v>
      </c>
      <c r="P216" s="91">
        <f t="shared" si="523"/>
        <v>0</v>
      </c>
      <c r="Q216" s="150">
        <v>0</v>
      </c>
      <c r="R216" s="151">
        <v>0</v>
      </c>
      <c r="S216" s="91">
        <f t="shared" si="524"/>
        <v>7.32</v>
      </c>
      <c r="T216" s="180">
        <v>7.32</v>
      </c>
      <c r="U216" s="181">
        <v>12.037000000000001</v>
      </c>
      <c r="V216" s="91">
        <f t="shared" si="504"/>
        <v>13.11</v>
      </c>
      <c r="W216" s="180">
        <v>13.11</v>
      </c>
      <c r="X216" s="181">
        <v>22.741692649680601</v>
      </c>
      <c r="Y216" s="91">
        <f t="shared" si="505"/>
        <v>30.087</v>
      </c>
      <c r="Z216" s="180">
        <v>30.087</v>
      </c>
      <c r="AA216" s="181">
        <v>51.741999999999997</v>
      </c>
      <c r="AB216" s="91">
        <f t="shared" si="536"/>
        <v>51.741999999999997</v>
      </c>
      <c r="AC216" s="90">
        <f t="shared" si="547"/>
        <v>51.741999999999997</v>
      </c>
      <c r="AD216" s="91">
        <f t="shared" si="548"/>
        <v>51.741999999999997</v>
      </c>
      <c r="AE216" s="91">
        <f t="shared" si="537"/>
        <v>51.741999999999997</v>
      </c>
      <c r="AF216" s="90">
        <f t="shared" si="549"/>
        <v>51.741999999999997</v>
      </c>
      <c r="AG216" s="91">
        <f t="shared" si="550"/>
        <v>51.741999999999997</v>
      </c>
      <c r="AH216" s="91">
        <f t="shared" si="538"/>
        <v>51.741999999999997</v>
      </c>
      <c r="AI216" s="90">
        <f t="shared" si="551"/>
        <v>51.741999999999997</v>
      </c>
      <c r="AJ216" s="91">
        <f t="shared" si="552"/>
        <v>51.741999999999997</v>
      </c>
      <c r="AK216" s="91">
        <f t="shared" si="539"/>
        <v>51.741999999999997</v>
      </c>
      <c r="AL216" s="90">
        <f t="shared" si="553"/>
        <v>51.741999999999997</v>
      </c>
      <c r="AM216" s="91">
        <f t="shared" si="554"/>
        <v>51.741999999999997</v>
      </c>
      <c r="AN216" s="91">
        <f t="shared" si="540"/>
        <v>51.741999999999997</v>
      </c>
      <c r="AO216" s="90">
        <f t="shared" si="555"/>
        <v>51.741999999999997</v>
      </c>
      <c r="AP216" s="91">
        <f t="shared" si="556"/>
        <v>51.741999999999997</v>
      </c>
      <c r="AQ216" s="91">
        <f t="shared" si="541"/>
        <v>51.741999999999997</v>
      </c>
      <c r="AR216" s="90">
        <f t="shared" si="557"/>
        <v>51.741999999999997</v>
      </c>
      <c r="AS216" s="91">
        <f t="shared" si="558"/>
        <v>51.741999999999997</v>
      </c>
      <c r="AT216" s="91">
        <f t="shared" si="542"/>
        <v>51.741999999999997</v>
      </c>
      <c r="AU216" s="90">
        <f t="shared" si="559"/>
        <v>51.741999999999997</v>
      </c>
      <c r="AV216" s="91">
        <f t="shared" si="560"/>
        <v>51.741999999999997</v>
      </c>
      <c r="AW216" s="91">
        <f t="shared" si="543"/>
        <v>51.741999999999997</v>
      </c>
      <c r="AX216" s="90">
        <f t="shared" si="561"/>
        <v>51.741999999999997</v>
      </c>
      <c r="AY216" s="91">
        <f t="shared" si="562"/>
        <v>51.741999999999997</v>
      </c>
      <c r="AZ216" s="91">
        <f t="shared" si="544"/>
        <v>51.741999999999997</v>
      </c>
      <c r="BA216" s="90">
        <f t="shared" si="563"/>
        <v>51.741999999999997</v>
      </c>
      <c r="BB216" s="91">
        <f t="shared" si="564"/>
        <v>51.741999999999997</v>
      </c>
      <c r="BC216" s="91">
        <f t="shared" si="545"/>
        <v>51.741999999999997</v>
      </c>
      <c r="BD216" s="90">
        <f t="shared" si="565"/>
        <v>51.741999999999997</v>
      </c>
      <c r="BE216" s="91">
        <f t="shared" si="566"/>
        <v>51.741999999999997</v>
      </c>
      <c r="BF216" s="91">
        <f t="shared" si="546"/>
        <v>51.741999999999997</v>
      </c>
      <c r="BG216" s="90">
        <f t="shared" si="567"/>
        <v>51.741999999999997</v>
      </c>
      <c r="BH216" s="91">
        <f t="shared" si="366"/>
        <v>0</v>
      </c>
      <c r="BJ216"/>
      <c r="BK216"/>
      <c r="BL216"/>
      <c r="BM216"/>
      <c r="BN216"/>
      <c r="BO216"/>
    </row>
    <row r="217" spans="2:67" s="61" customFormat="1" outlineLevel="1">
      <c r="B217" s="96" t="s">
        <v>312</v>
      </c>
      <c r="C217" s="199"/>
      <c r="D217" s="89" t="s">
        <v>159</v>
      </c>
      <c r="E217" s="150">
        <v>0</v>
      </c>
      <c r="F217" s="151">
        <v>0</v>
      </c>
      <c r="G217" s="91">
        <f t="shared" si="518"/>
        <v>0</v>
      </c>
      <c r="H217" s="150">
        <v>0</v>
      </c>
      <c r="I217" s="151">
        <v>0</v>
      </c>
      <c r="J217" s="91">
        <f t="shared" si="519"/>
        <v>0</v>
      </c>
      <c r="K217" s="150">
        <v>0</v>
      </c>
      <c r="L217" s="151">
        <v>0</v>
      </c>
      <c r="M217" s="91">
        <f t="shared" si="522"/>
        <v>3.2349999999999999</v>
      </c>
      <c r="N217" s="150">
        <v>3.2349999999999999</v>
      </c>
      <c r="O217" s="151">
        <v>3.0379999999999998</v>
      </c>
      <c r="P217" s="91">
        <f t="shared" si="523"/>
        <v>6.1429999999999998</v>
      </c>
      <c r="Q217" s="150">
        <v>6.1429999999999998</v>
      </c>
      <c r="R217" s="151">
        <v>10.24</v>
      </c>
      <c r="S217" s="91">
        <f t="shared" si="524"/>
        <v>4.9400000000000004</v>
      </c>
      <c r="T217" s="180">
        <v>4.9400000000000004</v>
      </c>
      <c r="U217" s="181">
        <v>8.3620000000000001</v>
      </c>
      <c r="V217" s="91">
        <f t="shared" si="504"/>
        <v>7.5220000000000002</v>
      </c>
      <c r="W217" s="180">
        <v>7.5220000000000002</v>
      </c>
      <c r="X217" s="181">
        <v>8.2891846018856423</v>
      </c>
      <c r="Y217" s="91">
        <f t="shared" si="505"/>
        <v>6.9669999999999996</v>
      </c>
      <c r="Z217" s="180">
        <v>6.9669999999999996</v>
      </c>
      <c r="AA217" s="181">
        <v>4.399</v>
      </c>
      <c r="AB217" s="91">
        <f t="shared" si="536"/>
        <v>4.399</v>
      </c>
      <c r="AC217" s="90">
        <f t="shared" si="547"/>
        <v>4.399</v>
      </c>
      <c r="AD217" s="91">
        <f t="shared" si="548"/>
        <v>4.399</v>
      </c>
      <c r="AE217" s="91">
        <f t="shared" si="537"/>
        <v>4.399</v>
      </c>
      <c r="AF217" s="90">
        <f t="shared" si="549"/>
        <v>4.399</v>
      </c>
      <c r="AG217" s="91">
        <f t="shared" si="550"/>
        <v>4.399</v>
      </c>
      <c r="AH217" s="91">
        <f t="shared" si="538"/>
        <v>4.399</v>
      </c>
      <c r="AI217" s="90">
        <f t="shared" si="551"/>
        <v>4.399</v>
      </c>
      <c r="AJ217" s="91">
        <f t="shared" si="552"/>
        <v>4.399</v>
      </c>
      <c r="AK217" s="91">
        <f t="shared" si="539"/>
        <v>4.399</v>
      </c>
      <c r="AL217" s="90">
        <f t="shared" si="553"/>
        <v>4.399</v>
      </c>
      <c r="AM217" s="91">
        <f t="shared" si="554"/>
        <v>4.399</v>
      </c>
      <c r="AN217" s="91">
        <f t="shared" si="540"/>
        <v>4.399</v>
      </c>
      <c r="AO217" s="90">
        <f t="shared" si="555"/>
        <v>4.399</v>
      </c>
      <c r="AP217" s="91">
        <f t="shared" si="556"/>
        <v>4.399</v>
      </c>
      <c r="AQ217" s="91">
        <f t="shared" si="541"/>
        <v>4.399</v>
      </c>
      <c r="AR217" s="90">
        <f t="shared" si="557"/>
        <v>4.399</v>
      </c>
      <c r="AS217" s="91">
        <f t="shared" si="558"/>
        <v>4.399</v>
      </c>
      <c r="AT217" s="91">
        <f t="shared" si="542"/>
        <v>4.399</v>
      </c>
      <c r="AU217" s="90">
        <f t="shared" si="559"/>
        <v>4.399</v>
      </c>
      <c r="AV217" s="91">
        <f t="shared" si="560"/>
        <v>4.399</v>
      </c>
      <c r="AW217" s="91">
        <f t="shared" si="543"/>
        <v>4.399</v>
      </c>
      <c r="AX217" s="90">
        <f t="shared" si="561"/>
        <v>4.399</v>
      </c>
      <c r="AY217" s="91">
        <f t="shared" si="562"/>
        <v>4.399</v>
      </c>
      <c r="AZ217" s="91">
        <f t="shared" si="544"/>
        <v>4.399</v>
      </c>
      <c r="BA217" s="90">
        <f t="shared" si="563"/>
        <v>4.399</v>
      </c>
      <c r="BB217" s="91">
        <f t="shared" si="564"/>
        <v>4.399</v>
      </c>
      <c r="BC217" s="91">
        <f t="shared" si="545"/>
        <v>4.399</v>
      </c>
      <c r="BD217" s="90">
        <f t="shared" si="565"/>
        <v>4.399</v>
      </c>
      <c r="BE217" s="91">
        <f t="shared" si="566"/>
        <v>4.399</v>
      </c>
      <c r="BF217" s="91">
        <f t="shared" si="546"/>
        <v>4.399</v>
      </c>
      <c r="BG217" s="90">
        <f t="shared" si="567"/>
        <v>4.399</v>
      </c>
      <c r="BH217" s="91">
        <f t="shared" si="366"/>
        <v>0</v>
      </c>
      <c r="BJ217"/>
      <c r="BK217"/>
      <c r="BL217"/>
      <c r="BM217"/>
      <c r="BN217"/>
      <c r="BO217"/>
    </row>
    <row r="218" spans="2:67" s="61" customFormat="1" outlineLevel="1">
      <c r="B218" s="96" t="s">
        <v>115</v>
      </c>
      <c r="C218" s="199"/>
      <c r="D218" s="89" t="s">
        <v>159</v>
      </c>
      <c r="E218" s="150">
        <v>0</v>
      </c>
      <c r="F218" s="151">
        <v>0</v>
      </c>
      <c r="G218" s="91">
        <f t="shared" si="518"/>
        <v>0</v>
      </c>
      <c r="H218" s="150">
        <v>0</v>
      </c>
      <c r="I218" s="151">
        <v>0</v>
      </c>
      <c r="J218" s="91">
        <f t="shared" si="519"/>
        <v>0</v>
      </c>
      <c r="K218" s="150">
        <v>0</v>
      </c>
      <c r="L218" s="151">
        <v>1.637</v>
      </c>
      <c r="M218" s="91">
        <f t="shared" si="522"/>
        <v>0</v>
      </c>
      <c r="N218" s="150">
        <v>0</v>
      </c>
      <c r="O218" s="151">
        <v>0</v>
      </c>
      <c r="P218" s="91">
        <f t="shared" si="523"/>
        <v>0</v>
      </c>
      <c r="Q218" s="150">
        <v>0</v>
      </c>
      <c r="R218" s="151">
        <v>0</v>
      </c>
      <c r="S218" s="91">
        <f t="shared" si="524"/>
        <v>0</v>
      </c>
      <c r="T218" s="180">
        <v>0</v>
      </c>
      <c r="U218" s="181">
        <v>0</v>
      </c>
      <c r="V218" s="91">
        <f t="shared" si="504"/>
        <v>25.417000000000002</v>
      </c>
      <c r="W218" s="180">
        <v>25.417000000000002</v>
      </c>
      <c r="X218" s="181">
        <v>73.43092692155075</v>
      </c>
      <c r="Y218" s="91">
        <f t="shared" si="505"/>
        <v>53.215000000000003</v>
      </c>
      <c r="Z218" s="180">
        <v>53.215000000000003</v>
      </c>
      <c r="AA218" s="181">
        <v>72.281000000000006</v>
      </c>
      <c r="AB218" s="203">
        <f>+AA218+Segment!AB247</f>
        <v>20.581000000000003</v>
      </c>
      <c r="AC218" s="480">
        <f>+AB218</f>
        <v>20.581000000000003</v>
      </c>
      <c r="AD218" s="203">
        <f>+AC218+Segment!AD247</f>
        <v>-1.5774448135328285</v>
      </c>
      <c r="AE218" s="203">
        <f>+AD218</f>
        <v>-1.5774448135328285</v>
      </c>
      <c r="AF218" s="481">
        <f>+AE218</f>
        <v>-1.5774448135328285</v>
      </c>
      <c r="AG218" s="91">
        <f t="shared" si="550"/>
        <v>-1.5774448135328285</v>
      </c>
      <c r="AH218" s="91">
        <f t="shared" si="538"/>
        <v>-1.5774448135328285</v>
      </c>
      <c r="AI218" s="90">
        <f t="shared" si="551"/>
        <v>-1.5774448135328285</v>
      </c>
      <c r="AJ218" s="91">
        <f t="shared" si="552"/>
        <v>-1.5774448135328285</v>
      </c>
      <c r="AK218" s="91">
        <f t="shared" si="539"/>
        <v>-1.5774448135328285</v>
      </c>
      <c r="AL218" s="90">
        <f t="shared" si="553"/>
        <v>-1.5774448135328285</v>
      </c>
      <c r="AM218" s="91">
        <f t="shared" si="554"/>
        <v>-1.5774448135328285</v>
      </c>
      <c r="AN218" s="91">
        <f t="shared" si="540"/>
        <v>-1.5774448135328285</v>
      </c>
      <c r="AO218" s="90">
        <f t="shared" si="555"/>
        <v>-1.5774448135328285</v>
      </c>
      <c r="AP218" s="91">
        <f t="shared" si="556"/>
        <v>-1.5774448135328285</v>
      </c>
      <c r="AQ218" s="91">
        <f t="shared" si="541"/>
        <v>-1.5774448135328285</v>
      </c>
      <c r="AR218" s="90">
        <f t="shared" si="557"/>
        <v>-1.5774448135328285</v>
      </c>
      <c r="AS218" s="91">
        <f t="shared" si="558"/>
        <v>-1.5774448135328285</v>
      </c>
      <c r="AT218" s="91">
        <f t="shared" si="542"/>
        <v>-1.5774448135328285</v>
      </c>
      <c r="AU218" s="90">
        <f t="shared" si="559"/>
        <v>-1.5774448135328285</v>
      </c>
      <c r="AV218" s="91">
        <f t="shared" si="560"/>
        <v>-1.5774448135328285</v>
      </c>
      <c r="AW218" s="91">
        <f t="shared" si="543"/>
        <v>-1.5774448135328285</v>
      </c>
      <c r="AX218" s="90">
        <f t="shared" si="561"/>
        <v>-1.5774448135328285</v>
      </c>
      <c r="AY218" s="91">
        <f t="shared" si="562"/>
        <v>-1.5774448135328285</v>
      </c>
      <c r="AZ218" s="91">
        <f t="shared" si="544"/>
        <v>-1.5774448135328285</v>
      </c>
      <c r="BA218" s="90">
        <f t="shared" si="563"/>
        <v>-1.5774448135328285</v>
      </c>
      <c r="BB218" s="91">
        <f t="shared" si="564"/>
        <v>-1.5774448135328285</v>
      </c>
      <c r="BC218" s="91">
        <f t="shared" si="545"/>
        <v>-1.5774448135328285</v>
      </c>
      <c r="BD218" s="90">
        <f t="shared" si="565"/>
        <v>-1.5774448135328285</v>
      </c>
      <c r="BE218" s="91">
        <f t="shared" si="566"/>
        <v>-1.5774448135328285</v>
      </c>
      <c r="BF218" s="91">
        <f t="shared" si="546"/>
        <v>-1.5774448135328285</v>
      </c>
      <c r="BG218" s="90">
        <f t="shared" si="567"/>
        <v>-1.5774448135328285</v>
      </c>
      <c r="BH218" s="91">
        <f t="shared" si="366"/>
        <v>-51.7</v>
      </c>
      <c r="BJ218"/>
      <c r="BK218"/>
      <c r="BL218"/>
      <c r="BM218"/>
      <c r="BN218"/>
      <c r="BO218"/>
    </row>
    <row r="219" spans="2:67" s="70" customFormat="1">
      <c r="B219" s="71" t="s">
        <v>313</v>
      </c>
      <c r="C219" s="71"/>
      <c r="D219" s="92" t="s">
        <v>159</v>
      </c>
      <c r="E219" s="93">
        <f t="shared" ref="E219:Y219" si="568">+E203+E210+E214+E217+E216+E215+E218</f>
        <v>1.4684439999999999</v>
      </c>
      <c r="F219" s="94">
        <f t="shared" si="568"/>
        <v>3.77745</v>
      </c>
      <c r="G219" s="94">
        <f t="shared" si="568"/>
        <v>8.2416599999999995</v>
      </c>
      <c r="H219" s="93">
        <f t="shared" si="568"/>
        <v>8.2416599999999995</v>
      </c>
      <c r="I219" s="94">
        <f t="shared" si="568"/>
        <v>6.8598880000000007</v>
      </c>
      <c r="J219" s="94">
        <f t="shared" si="568"/>
        <v>10.625</v>
      </c>
      <c r="K219" s="93">
        <f t="shared" si="568"/>
        <v>10.625</v>
      </c>
      <c r="L219" s="94">
        <f t="shared" si="568"/>
        <v>10.184000000000001</v>
      </c>
      <c r="M219" s="94">
        <f t="shared" si="568"/>
        <v>19.956</v>
      </c>
      <c r="N219" s="93">
        <f t="shared" si="568"/>
        <v>19.956</v>
      </c>
      <c r="O219" s="94">
        <f t="shared" si="568"/>
        <v>22.288</v>
      </c>
      <c r="P219" s="94">
        <f t="shared" si="568"/>
        <v>37.981999999999999</v>
      </c>
      <c r="Q219" s="93">
        <f t="shared" si="568"/>
        <v>37.981999999999999</v>
      </c>
      <c r="R219" s="94">
        <f t="shared" si="568"/>
        <v>46.545999999999999</v>
      </c>
      <c r="S219" s="94">
        <f t="shared" si="568"/>
        <v>85.555999999999997</v>
      </c>
      <c r="T219" s="93">
        <f t="shared" si="568"/>
        <v>85.555999999999997</v>
      </c>
      <c r="U219" s="94">
        <f t="shared" si="568"/>
        <v>142.62700000000001</v>
      </c>
      <c r="V219" s="94">
        <f t="shared" si="568"/>
        <v>111.373</v>
      </c>
      <c r="W219" s="93">
        <f t="shared" si="568"/>
        <v>111.373</v>
      </c>
      <c r="X219" s="94">
        <f t="shared" si="568"/>
        <v>170.46594308141124</v>
      </c>
      <c r="Y219" s="94">
        <f t="shared" si="568"/>
        <v>205.08799999999999</v>
      </c>
      <c r="Z219" s="93">
        <f>+Z203+Z210+Z214+Z217+Z216+Z215+Z218</f>
        <v>205.08799999999999</v>
      </c>
      <c r="AA219" s="94">
        <f t="shared" ref="AA219" si="569">+AA203+AA210+AA214+AA217+AA216+AA215+AA218</f>
        <v>298.58199999999999</v>
      </c>
      <c r="AB219" s="94">
        <f t="shared" ref="AB219:BG219" si="570">+AB203+AB210+AB214+AB217+AB216+AB215+AB218</f>
        <v>250.06515655952779</v>
      </c>
      <c r="AC219" s="93">
        <f t="shared" si="570"/>
        <v>250.06515655952779</v>
      </c>
      <c r="AD219" s="94">
        <f t="shared" si="570"/>
        <v>241.83597991849041</v>
      </c>
      <c r="AE219" s="94">
        <f t="shared" si="570"/>
        <v>245.44561300396984</v>
      </c>
      <c r="AF219" s="93">
        <f t="shared" si="570"/>
        <v>245.44561300396984</v>
      </c>
      <c r="AG219" s="94">
        <f t="shared" si="570"/>
        <v>262.63987182111794</v>
      </c>
      <c r="AH219" s="94">
        <f t="shared" si="570"/>
        <v>265.32261329325371</v>
      </c>
      <c r="AI219" s="93">
        <f t="shared" si="570"/>
        <v>265.32261329325371</v>
      </c>
      <c r="AJ219" s="94">
        <f t="shared" si="570"/>
        <v>285.04742553978531</v>
      </c>
      <c r="AK219" s="94">
        <f t="shared" si="570"/>
        <v>288.14282416026117</v>
      </c>
      <c r="AL219" s="93">
        <f t="shared" si="570"/>
        <v>288.14282416026117</v>
      </c>
      <c r="AM219" s="94">
        <f t="shared" si="570"/>
        <v>341.64284599002377</v>
      </c>
      <c r="AN219" s="94">
        <f t="shared" si="570"/>
        <v>345.84600173101467</v>
      </c>
      <c r="AO219" s="93">
        <f t="shared" si="570"/>
        <v>345.84600173101467</v>
      </c>
      <c r="AP219" s="94">
        <f t="shared" si="570"/>
        <v>383.8630113349065</v>
      </c>
      <c r="AQ219" s="94">
        <f t="shared" si="570"/>
        <v>394.01852764018997</v>
      </c>
      <c r="AR219" s="93">
        <f t="shared" si="570"/>
        <v>394.01852764018997</v>
      </c>
      <c r="AS219" s="94">
        <f t="shared" si="570"/>
        <v>427.84024379783438</v>
      </c>
      <c r="AT219" s="94">
        <f t="shared" si="570"/>
        <v>439.70866616708719</v>
      </c>
      <c r="AU219" s="93">
        <f t="shared" si="570"/>
        <v>439.70866616708719</v>
      </c>
      <c r="AV219" s="94">
        <f t="shared" si="570"/>
        <v>472.82391981774225</v>
      </c>
      <c r="AW219" s="94">
        <f t="shared" si="570"/>
        <v>486.4125218232416</v>
      </c>
      <c r="AX219" s="93">
        <f t="shared" si="570"/>
        <v>486.4125218232416</v>
      </c>
      <c r="AY219" s="94">
        <f t="shared" si="570"/>
        <v>516.35896357499973</v>
      </c>
      <c r="AZ219" s="94">
        <f t="shared" si="570"/>
        <v>531.82738367035233</v>
      </c>
      <c r="BA219" s="93">
        <f t="shared" si="570"/>
        <v>531.82738367035233</v>
      </c>
      <c r="BB219" s="94">
        <f t="shared" si="570"/>
        <v>559.51240424014475</v>
      </c>
      <c r="BC219" s="94">
        <f t="shared" si="570"/>
        <v>576.65986102597731</v>
      </c>
      <c r="BD219" s="93">
        <f t="shared" si="570"/>
        <v>576.65986102597731</v>
      </c>
      <c r="BE219" s="94">
        <f t="shared" si="570"/>
        <v>599.38236175852944</v>
      </c>
      <c r="BF219" s="94">
        <f t="shared" si="570"/>
        <v>618.06538833050843</v>
      </c>
      <c r="BG219" s="93">
        <f t="shared" si="570"/>
        <v>618.06538833050843</v>
      </c>
      <c r="BH219" s="91">
        <f t="shared" si="366"/>
        <v>-48.516843440472201</v>
      </c>
      <c r="BJ219"/>
      <c r="BK219"/>
      <c r="BL219"/>
      <c r="BM219"/>
      <c r="BN219"/>
      <c r="BO219"/>
    </row>
    <row r="220" spans="2:67" s="61" customFormat="1">
      <c r="B220" s="71"/>
      <c r="C220" s="88"/>
      <c r="D220" s="89"/>
      <c r="E220" s="90"/>
      <c r="F220" s="91"/>
      <c r="G220" s="91"/>
      <c r="H220" s="90"/>
      <c r="I220" s="91"/>
      <c r="J220" s="91"/>
      <c r="K220" s="90"/>
      <c r="L220" s="91"/>
      <c r="M220" s="91"/>
      <c r="N220" s="90"/>
      <c r="O220" s="91"/>
      <c r="P220" s="91"/>
      <c r="Q220" s="90"/>
      <c r="R220" s="91"/>
      <c r="S220" s="91"/>
      <c r="T220" s="90"/>
      <c r="U220" s="91"/>
      <c r="V220" s="91"/>
      <c r="W220" s="90"/>
      <c r="X220" s="91"/>
      <c r="Y220" s="91"/>
      <c r="Z220" s="90"/>
      <c r="AA220" s="91"/>
      <c r="AB220" s="91"/>
      <c r="AC220" s="90"/>
      <c r="AD220" s="91"/>
      <c r="AE220" s="91"/>
      <c r="AF220" s="90"/>
      <c r="AG220" s="91"/>
      <c r="AH220" s="91"/>
      <c r="AI220" s="90"/>
      <c r="AJ220" s="91"/>
      <c r="AK220" s="91"/>
      <c r="AL220" s="90"/>
      <c r="AM220" s="91"/>
      <c r="AN220" s="91"/>
      <c r="AO220" s="90"/>
      <c r="AP220" s="91"/>
      <c r="AQ220" s="91"/>
      <c r="AR220" s="90"/>
      <c r="AS220" s="91"/>
      <c r="AT220" s="91"/>
      <c r="AU220" s="90"/>
      <c r="AV220" s="91"/>
      <c r="AW220" s="91"/>
      <c r="AX220" s="90"/>
      <c r="AY220" s="91"/>
      <c r="AZ220" s="91"/>
      <c r="BA220" s="90"/>
      <c r="BB220" s="91"/>
      <c r="BC220" s="91"/>
      <c r="BD220" s="90"/>
      <c r="BE220" s="91"/>
      <c r="BF220" s="91"/>
      <c r="BG220" s="90"/>
      <c r="BH220" s="91">
        <f t="shared" si="366"/>
        <v>0</v>
      </c>
      <c r="BJ220"/>
      <c r="BK220"/>
      <c r="BL220"/>
      <c r="BM220"/>
      <c r="BN220"/>
      <c r="BO220"/>
    </row>
    <row r="221" spans="2:67" s="61" customFormat="1">
      <c r="B221" s="96" t="s">
        <v>116</v>
      </c>
      <c r="C221" s="199"/>
      <c r="D221" s="89" t="s">
        <v>159</v>
      </c>
      <c r="E221" s="90">
        <f>+SUM(E222:E223)</f>
        <v>0</v>
      </c>
      <c r="F221" s="91">
        <f>+SUM(F222:F223)</f>
        <v>0</v>
      </c>
      <c r="G221" s="91">
        <f t="shared" ref="G221:G230" si="571">+H221</f>
        <v>0.59629500000000002</v>
      </c>
      <c r="H221" s="90">
        <f>+SUM(H222:H223)</f>
        <v>0.59629500000000002</v>
      </c>
      <c r="I221" s="91">
        <f>+SUM(I222:I223)</f>
        <v>0.67678000000000005</v>
      </c>
      <c r="J221" s="91">
        <f t="shared" ref="J221:J230" si="572">+K221</f>
        <v>1.641</v>
      </c>
      <c r="K221" s="90">
        <f>+SUM(K222:K223)</f>
        <v>1.641</v>
      </c>
      <c r="L221" s="91">
        <f>+SUM(L222:L223)</f>
        <v>0.66600000000000004</v>
      </c>
      <c r="M221" s="91">
        <f t="shared" ref="M221:M230" si="573">+N221</f>
        <v>1.44</v>
      </c>
      <c r="N221" s="90">
        <f>+SUM(N222:N223)</f>
        <v>1.44</v>
      </c>
      <c r="O221" s="91">
        <f>+SUM(O222:O223)</f>
        <v>1.1439999999999999</v>
      </c>
      <c r="P221" s="91">
        <f t="shared" ref="P221:P230" si="574">+Q221</f>
        <v>1.907</v>
      </c>
      <c r="Q221" s="90">
        <f>+SUM(Q222:Q223)</f>
        <v>1.907</v>
      </c>
      <c r="R221" s="91">
        <f>+SUM(R222:R223)</f>
        <v>2.0110000000000001</v>
      </c>
      <c r="S221" s="91">
        <f t="shared" ref="S221:S230" si="575">+T221</f>
        <v>9.8049999999999997</v>
      </c>
      <c r="T221" s="90">
        <f>+SUM(T222:T223)</f>
        <v>9.8049999999999997</v>
      </c>
      <c r="U221" s="91">
        <f>+SUM(U222:U223)</f>
        <v>12.251999999999999</v>
      </c>
      <c r="V221" s="91">
        <f t="shared" ref="V221" si="576">+SUM(V222:V223)</f>
        <v>11.196999999999999</v>
      </c>
      <c r="W221" s="90">
        <f>+SUM(W222:W223)</f>
        <v>11.196999999999999</v>
      </c>
      <c r="X221" s="91">
        <f t="shared" ref="X221:BG221" si="577">+SUM(X222:X223)</f>
        <v>12.295177451084495</v>
      </c>
      <c r="Y221" s="91">
        <f t="shared" si="577"/>
        <v>346.85299999999995</v>
      </c>
      <c r="Z221" s="90">
        <f t="shared" si="577"/>
        <v>346.85299999999995</v>
      </c>
      <c r="AA221" s="91">
        <f t="shared" ref="AA221" si="578">+SUM(AA222:AA223)</f>
        <v>397.18900000000002</v>
      </c>
      <c r="AB221" s="91">
        <f t="shared" si="577"/>
        <v>397.18900000000002</v>
      </c>
      <c r="AC221" s="90">
        <f t="shared" si="577"/>
        <v>397.18900000000002</v>
      </c>
      <c r="AD221" s="91">
        <f t="shared" si="577"/>
        <v>397.18900000000002</v>
      </c>
      <c r="AE221" s="91">
        <f t="shared" si="577"/>
        <v>397.18900000000002</v>
      </c>
      <c r="AF221" s="90">
        <f t="shared" si="577"/>
        <v>397.18900000000002</v>
      </c>
      <c r="AG221" s="91">
        <f t="shared" si="577"/>
        <v>397.18900000000002</v>
      </c>
      <c r="AH221" s="91">
        <f t="shared" si="577"/>
        <v>397.18900000000002</v>
      </c>
      <c r="AI221" s="90">
        <f t="shared" si="577"/>
        <v>397.18900000000002</v>
      </c>
      <c r="AJ221" s="91">
        <f t="shared" si="577"/>
        <v>397.18900000000002</v>
      </c>
      <c r="AK221" s="91">
        <f t="shared" si="577"/>
        <v>397.18900000000002</v>
      </c>
      <c r="AL221" s="90">
        <f t="shared" si="577"/>
        <v>397.18900000000002</v>
      </c>
      <c r="AM221" s="91">
        <f t="shared" si="577"/>
        <v>55.378000000000029</v>
      </c>
      <c r="AN221" s="91">
        <f t="shared" si="577"/>
        <v>55.378000000000029</v>
      </c>
      <c r="AO221" s="90">
        <f t="shared" si="577"/>
        <v>55.378000000000029</v>
      </c>
      <c r="AP221" s="91">
        <f t="shared" si="577"/>
        <v>55.378000000000029</v>
      </c>
      <c r="AQ221" s="91">
        <f t="shared" si="577"/>
        <v>55.378000000000029</v>
      </c>
      <c r="AR221" s="90">
        <f t="shared" si="577"/>
        <v>55.378000000000029</v>
      </c>
      <c r="AS221" s="91">
        <f t="shared" si="577"/>
        <v>55.378000000000029</v>
      </c>
      <c r="AT221" s="91">
        <f t="shared" si="577"/>
        <v>55.378000000000029</v>
      </c>
      <c r="AU221" s="90">
        <f t="shared" si="577"/>
        <v>55.378000000000029</v>
      </c>
      <c r="AV221" s="91">
        <f t="shared" si="577"/>
        <v>55.378000000000029</v>
      </c>
      <c r="AW221" s="91">
        <f t="shared" si="577"/>
        <v>55.378000000000029</v>
      </c>
      <c r="AX221" s="90">
        <f t="shared" si="577"/>
        <v>55.378000000000029</v>
      </c>
      <c r="AY221" s="91">
        <f t="shared" si="577"/>
        <v>55.378000000000029</v>
      </c>
      <c r="AZ221" s="91">
        <f t="shared" si="577"/>
        <v>55.378000000000029</v>
      </c>
      <c r="BA221" s="90">
        <f t="shared" si="577"/>
        <v>55.378000000000029</v>
      </c>
      <c r="BB221" s="91">
        <f t="shared" si="577"/>
        <v>55.378000000000029</v>
      </c>
      <c r="BC221" s="91">
        <f t="shared" si="577"/>
        <v>55.378000000000029</v>
      </c>
      <c r="BD221" s="90">
        <f t="shared" si="577"/>
        <v>55.378000000000029</v>
      </c>
      <c r="BE221" s="91">
        <f t="shared" si="577"/>
        <v>55.378000000000029</v>
      </c>
      <c r="BF221" s="91">
        <f t="shared" si="577"/>
        <v>55.378000000000029</v>
      </c>
      <c r="BG221" s="90">
        <f t="shared" si="577"/>
        <v>55.378000000000029</v>
      </c>
      <c r="BH221" s="91">
        <f t="shared" si="366"/>
        <v>0</v>
      </c>
      <c r="BJ221"/>
      <c r="BK221"/>
      <c r="BL221"/>
      <c r="BM221"/>
      <c r="BN221"/>
      <c r="BO221"/>
    </row>
    <row r="222" spans="2:67" s="61" customFormat="1" outlineLevel="1">
      <c r="B222" s="121" t="s">
        <v>113</v>
      </c>
      <c r="C222" s="199"/>
      <c r="D222" s="89" t="s">
        <v>159</v>
      </c>
      <c r="E222" s="150">
        <v>0</v>
      </c>
      <c r="F222" s="151">
        <v>0</v>
      </c>
      <c r="G222" s="91">
        <f t="shared" si="571"/>
        <v>0.59629500000000002</v>
      </c>
      <c r="H222" s="150">
        <v>0.59629500000000002</v>
      </c>
      <c r="I222" s="151">
        <v>0.39090200000000003</v>
      </c>
      <c r="J222" s="91">
        <f t="shared" si="572"/>
        <v>0.29199999999999998</v>
      </c>
      <c r="K222" s="150">
        <v>0.29199999999999998</v>
      </c>
      <c r="L222" s="151">
        <v>0.127</v>
      </c>
      <c r="M222" s="91">
        <f t="shared" si="573"/>
        <v>9.5000000000000001E-2</v>
      </c>
      <c r="N222" s="150">
        <v>9.5000000000000001E-2</v>
      </c>
      <c r="O222" s="151">
        <v>0</v>
      </c>
      <c r="P222" s="91">
        <f t="shared" si="574"/>
        <v>0</v>
      </c>
      <c r="Q222" s="150">
        <v>0</v>
      </c>
      <c r="R222" s="151">
        <v>0</v>
      </c>
      <c r="S222" s="91">
        <f t="shared" si="575"/>
        <v>3.3119999999999998</v>
      </c>
      <c r="T222" s="180">
        <v>3.3119999999999998</v>
      </c>
      <c r="U222" s="181">
        <v>5.5679999999999996</v>
      </c>
      <c r="V222" s="91">
        <f t="shared" ref="V222" si="579">+W222</f>
        <v>5.9450000000000003</v>
      </c>
      <c r="W222" s="180">
        <v>5.9450000000000003</v>
      </c>
      <c r="X222" s="181">
        <v>6.6634866848114624</v>
      </c>
      <c r="Y222" s="91">
        <f t="shared" ref="Y222:Y230" si="580">+Z222</f>
        <v>341.81099999999998</v>
      </c>
      <c r="Z222" s="180">
        <v>341.81099999999998</v>
      </c>
      <c r="AA222" s="181">
        <v>371.47800000000001</v>
      </c>
      <c r="AB222" s="91">
        <f t="shared" ref="AB222:AB230" si="581">+AC222</f>
        <v>371.47800000000001</v>
      </c>
      <c r="AC222" s="90">
        <f>AA222</f>
        <v>371.47800000000001</v>
      </c>
      <c r="AD222" s="91">
        <f>AC222</f>
        <v>371.47800000000001</v>
      </c>
      <c r="AE222" s="91">
        <f t="shared" ref="AE222:AE230" si="582">+AF222</f>
        <v>371.47800000000001</v>
      </c>
      <c r="AF222" s="90">
        <f>AD222</f>
        <v>371.47800000000001</v>
      </c>
      <c r="AG222" s="91">
        <f>AF222</f>
        <v>371.47800000000001</v>
      </c>
      <c r="AH222" s="91">
        <f t="shared" ref="AH222:AH230" si="583">+AI222</f>
        <v>371.47800000000001</v>
      </c>
      <c r="AI222" s="90">
        <f>AG222</f>
        <v>371.47800000000001</v>
      </c>
      <c r="AJ222" s="91">
        <f>AI222+AJ150</f>
        <v>371.47800000000001</v>
      </c>
      <c r="AK222" s="91">
        <f>AJ222+AK150</f>
        <v>371.47800000000001</v>
      </c>
      <c r="AL222" s="90">
        <f>+AI222+AL150</f>
        <v>371.47800000000001</v>
      </c>
      <c r="AM222" s="91">
        <f>AL222+AM150-341.811</f>
        <v>29.66700000000003</v>
      </c>
      <c r="AN222" s="91">
        <f>AM222+AN150</f>
        <v>29.66700000000003</v>
      </c>
      <c r="AO222" s="90">
        <f>+AL222+AO150-341.811</f>
        <v>29.66700000000003</v>
      </c>
      <c r="AP222" s="91">
        <f>AO222+AP150</f>
        <v>29.66700000000003</v>
      </c>
      <c r="AQ222" s="91">
        <f>AP222+AQ150</f>
        <v>29.66700000000003</v>
      </c>
      <c r="AR222" s="90">
        <f>+AO222+AR150</f>
        <v>29.66700000000003</v>
      </c>
      <c r="AS222" s="91">
        <f>AR222+AS150</f>
        <v>29.66700000000003</v>
      </c>
      <c r="AT222" s="91">
        <f>AS222+AT150</f>
        <v>29.66700000000003</v>
      </c>
      <c r="AU222" s="90">
        <f>+AR222+AU150</f>
        <v>29.66700000000003</v>
      </c>
      <c r="AV222" s="91">
        <f>AU222</f>
        <v>29.66700000000003</v>
      </c>
      <c r="AW222" s="91">
        <f t="shared" ref="AW222:AW230" si="584">+AX222</f>
        <v>29.66700000000003</v>
      </c>
      <c r="AX222" s="90">
        <f>AV222</f>
        <v>29.66700000000003</v>
      </c>
      <c r="AY222" s="91">
        <f>AX222</f>
        <v>29.66700000000003</v>
      </c>
      <c r="AZ222" s="91">
        <f t="shared" ref="AZ222:AZ230" si="585">+BA222</f>
        <v>29.66700000000003</v>
      </c>
      <c r="BA222" s="90">
        <f>AY222</f>
        <v>29.66700000000003</v>
      </c>
      <c r="BB222" s="91">
        <f>BA222</f>
        <v>29.66700000000003</v>
      </c>
      <c r="BC222" s="91">
        <f t="shared" ref="BC222:BC230" si="586">+BD222</f>
        <v>29.66700000000003</v>
      </c>
      <c r="BD222" s="90">
        <f>BB222</f>
        <v>29.66700000000003</v>
      </c>
      <c r="BE222" s="91">
        <f>BD222</f>
        <v>29.66700000000003</v>
      </c>
      <c r="BF222" s="91">
        <f t="shared" ref="BF222:BF230" si="587">+BG222</f>
        <v>29.66700000000003</v>
      </c>
      <c r="BG222" s="90">
        <f>BE222</f>
        <v>29.66700000000003</v>
      </c>
      <c r="BH222" s="91">
        <f t="shared" si="366"/>
        <v>0</v>
      </c>
      <c r="BJ222"/>
      <c r="BK222"/>
      <c r="BL222"/>
      <c r="BM222"/>
      <c r="BN222"/>
      <c r="BO222"/>
    </row>
    <row r="223" spans="2:67" s="61" customFormat="1" outlineLevel="1">
      <c r="B223" s="88" t="s">
        <v>308</v>
      </c>
      <c r="C223" s="199"/>
      <c r="D223" s="89" t="s">
        <v>159</v>
      </c>
      <c r="E223" s="150">
        <v>0</v>
      </c>
      <c r="F223" s="151">
        <v>0</v>
      </c>
      <c r="G223" s="91">
        <f t="shared" si="571"/>
        <v>0</v>
      </c>
      <c r="H223" s="150">
        <v>0</v>
      </c>
      <c r="I223" s="151">
        <v>0.28587800000000002</v>
      </c>
      <c r="J223" s="91">
        <f t="shared" si="572"/>
        <v>1.349</v>
      </c>
      <c r="K223" s="150">
        <v>1.349</v>
      </c>
      <c r="L223" s="151">
        <v>0.53900000000000003</v>
      </c>
      <c r="M223" s="91">
        <f t="shared" si="573"/>
        <v>1.345</v>
      </c>
      <c r="N223" s="150">
        <v>1.345</v>
      </c>
      <c r="O223" s="151">
        <v>1.1439999999999999</v>
      </c>
      <c r="P223" s="91">
        <f t="shared" si="574"/>
        <v>1.907</v>
      </c>
      <c r="Q223" s="150">
        <v>1.907</v>
      </c>
      <c r="R223" s="151">
        <v>2.0110000000000001</v>
      </c>
      <c r="S223" s="91">
        <f t="shared" si="575"/>
        <v>6.4930000000000003</v>
      </c>
      <c r="T223" s="180">
        <v>6.4930000000000003</v>
      </c>
      <c r="U223" s="181">
        <v>6.6840000000000002</v>
      </c>
      <c r="V223" s="91">
        <f>W223</f>
        <v>5.2519999999999998</v>
      </c>
      <c r="W223" s="180">
        <v>5.2519999999999998</v>
      </c>
      <c r="X223" s="181">
        <v>5.6316907662730316</v>
      </c>
      <c r="Y223" s="91">
        <f t="shared" si="580"/>
        <v>5.0419999999999998</v>
      </c>
      <c r="Z223" s="180">
        <v>5.0419999999999998</v>
      </c>
      <c r="AA223" s="181">
        <v>25.710999999999999</v>
      </c>
      <c r="AB223" s="91">
        <f t="shared" si="581"/>
        <v>25.710999999999999</v>
      </c>
      <c r="AC223" s="90">
        <f>AA223</f>
        <v>25.710999999999999</v>
      </c>
      <c r="AD223" s="91">
        <f>AC223</f>
        <v>25.710999999999999</v>
      </c>
      <c r="AE223" s="91">
        <f t="shared" si="582"/>
        <v>25.710999999999999</v>
      </c>
      <c r="AF223" s="90">
        <f>AD223</f>
        <v>25.710999999999999</v>
      </c>
      <c r="AG223" s="91">
        <f>AF223</f>
        <v>25.710999999999999</v>
      </c>
      <c r="AH223" s="91">
        <f t="shared" si="583"/>
        <v>25.710999999999999</v>
      </c>
      <c r="AI223" s="90">
        <f>AG223</f>
        <v>25.710999999999999</v>
      </c>
      <c r="AJ223" s="91">
        <f>AI223</f>
        <v>25.710999999999999</v>
      </c>
      <c r="AK223" s="91">
        <f t="shared" ref="AK223:AK230" si="588">+AL223</f>
        <v>25.710999999999999</v>
      </c>
      <c r="AL223" s="90">
        <f>AJ223</f>
        <v>25.710999999999999</v>
      </c>
      <c r="AM223" s="91">
        <f>AL223</f>
        <v>25.710999999999999</v>
      </c>
      <c r="AN223" s="91">
        <f t="shared" ref="AN223:AN230" si="589">+AO223</f>
        <v>25.710999999999999</v>
      </c>
      <c r="AO223" s="90">
        <f>AM223</f>
        <v>25.710999999999999</v>
      </c>
      <c r="AP223" s="91">
        <f>AO223</f>
        <v>25.710999999999999</v>
      </c>
      <c r="AQ223" s="91">
        <f t="shared" ref="AQ223:AQ230" si="590">+AR223</f>
        <v>25.710999999999999</v>
      </c>
      <c r="AR223" s="90">
        <f>AP223</f>
        <v>25.710999999999999</v>
      </c>
      <c r="AS223" s="91">
        <f>AR223</f>
        <v>25.710999999999999</v>
      </c>
      <c r="AT223" s="91">
        <f t="shared" ref="AT223:AT230" si="591">+AU223</f>
        <v>25.710999999999999</v>
      </c>
      <c r="AU223" s="90">
        <f>AS223</f>
        <v>25.710999999999999</v>
      </c>
      <c r="AV223" s="91">
        <f>AU223</f>
        <v>25.710999999999999</v>
      </c>
      <c r="AW223" s="91">
        <f t="shared" si="584"/>
        <v>25.710999999999999</v>
      </c>
      <c r="AX223" s="90">
        <f>AV223</f>
        <v>25.710999999999999</v>
      </c>
      <c r="AY223" s="91">
        <f>AX223</f>
        <v>25.710999999999999</v>
      </c>
      <c r="AZ223" s="91">
        <f t="shared" si="585"/>
        <v>25.710999999999999</v>
      </c>
      <c r="BA223" s="90">
        <f>AY223</f>
        <v>25.710999999999999</v>
      </c>
      <c r="BB223" s="91">
        <f>BA223</f>
        <v>25.710999999999999</v>
      </c>
      <c r="BC223" s="91">
        <f t="shared" si="586"/>
        <v>25.710999999999999</v>
      </c>
      <c r="BD223" s="90">
        <f>BB223</f>
        <v>25.710999999999999</v>
      </c>
      <c r="BE223" s="91">
        <f>BD223</f>
        <v>25.710999999999999</v>
      </c>
      <c r="BF223" s="91">
        <f t="shared" si="587"/>
        <v>25.710999999999999</v>
      </c>
      <c r="BG223" s="90">
        <f>BE223</f>
        <v>25.710999999999999</v>
      </c>
      <c r="BH223" s="91">
        <f t="shared" si="366"/>
        <v>0</v>
      </c>
      <c r="BJ223"/>
      <c r="BK223"/>
      <c r="BL223"/>
      <c r="BM223"/>
      <c r="BN223"/>
      <c r="BO223"/>
    </row>
    <row r="224" spans="2:67" s="61" customFormat="1">
      <c r="B224" s="96" t="s">
        <v>314</v>
      </c>
      <c r="C224" s="199"/>
      <c r="D224" s="89" t="s">
        <v>159</v>
      </c>
      <c r="E224" s="150">
        <v>0</v>
      </c>
      <c r="F224" s="151">
        <v>0</v>
      </c>
      <c r="G224" s="91">
        <f t="shared" si="571"/>
        <v>0</v>
      </c>
      <c r="H224" s="150">
        <v>0</v>
      </c>
      <c r="I224" s="151">
        <v>0</v>
      </c>
      <c r="J224" s="91">
        <f t="shared" si="572"/>
        <v>0</v>
      </c>
      <c r="K224" s="150">
        <v>0</v>
      </c>
      <c r="L224" s="151">
        <v>0</v>
      </c>
      <c r="M224" s="91">
        <f t="shared" si="573"/>
        <v>29.893999999999998</v>
      </c>
      <c r="N224" s="150">
        <v>29.893999999999998</v>
      </c>
      <c r="O224" s="151">
        <v>29.364999999999998</v>
      </c>
      <c r="P224" s="91">
        <f t="shared" si="574"/>
        <v>44.578000000000003</v>
      </c>
      <c r="Q224" s="150">
        <v>44.578000000000003</v>
      </c>
      <c r="R224" s="151">
        <v>43.819000000000003</v>
      </c>
      <c r="S224" s="91">
        <f t="shared" si="575"/>
        <v>57.247999999999998</v>
      </c>
      <c r="T224" s="180">
        <v>57.247999999999998</v>
      </c>
      <c r="U224" s="181">
        <v>61.558999999999997</v>
      </c>
      <c r="V224" s="91">
        <f t="shared" ref="V224:V230" si="592">W224</f>
        <v>5.4749999999999996</v>
      </c>
      <c r="W224" s="180">
        <v>5.4749999999999996</v>
      </c>
      <c r="X224" s="181">
        <v>5.2540574774633795</v>
      </c>
      <c r="Y224" s="91">
        <f t="shared" si="580"/>
        <v>8.5299999999999994</v>
      </c>
      <c r="Z224" s="180">
        <v>8.5299999999999994</v>
      </c>
      <c r="AA224" s="181">
        <v>9.3260000000000005</v>
      </c>
      <c r="AB224" s="91">
        <f t="shared" si="581"/>
        <v>9.3260000000000005</v>
      </c>
      <c r="AC224" s="90">
        <f t="shared" ref="AC224:AC229" si="593">AA224</f>
        <v>9.3260000000000005</v>
      </c>
      <c r="AD224" s="91">
        <f t="shared" ref="AD224:AD230" si="594">AC224</f>
        <v>9.3260000000000005</v>
      </c>
      <c r="AE224" s="91">
        <f t="shared" si="582"/>
        <v>9.3260000000000005</v>
      </c>
      <c r="AF224" s="90">
        <f t="shared" ref="AF224:AF230" si="595">AD224</f>
        <v>9.3260000000000005</v>
      </c>
      <c r="AG224" s="91">
        <f t="shared" ref="AG224:AG230" si="596">AF224</f>
        <v>9.3260000000000005</v>
      </c>
      <c r="AH224" s="91">
        <f t="shared" si="583"/>
        <v>9.3260000000000005</v>
      </c>
      <c r="AI224" s="90">
        <f t="shared" ref="AI224:AI230" si="597">AG224</f>
        <v>9.3260000000000005</v>
      </c>
      <c r="AJ224" s="91">
        <f t="shared" ref="AJ224:AJ230" si="598">AI224</f>
        <v>9.3260000000000005</v>
      </c>
      <c r="AK224" s="91">
        <f t="shared" si="588"/>
        <v>9.3260000000000005</v>
      </c>
      <c r="AL224" s="90">
        <f t="shared" ref="AL224:AL230" si="599">AJ224</f>
        <v>9.3260000000000005</v>
      </c>
      <c r="AM224" s="91">
        <f t="shared" ref="AM224:AM230" si="600">AL224</f>
        <v>9.3260000000000005</v>
      </c>
      <c r="AN224" s="91">
        <f t="shared" si="589"/>
        <v>9.3260000000000005</v>
      </c>
      <c r="AO224" s="90">
        <f t="shared" ref="AO224:AO230" si="601">AM224</f>
        <v>9.3260000000000005</v>
      </c>
      <c r="AP224" s="91">
        <f t="shared" ref="AP224:AP230" si="602">AO224</f>
        <v>9.3260000000000005</v>
      </c>
      <c r="AQ224" s="91">
        <f t="shared" si="590"/>
        <v>9.3260000000000005</v>
      </c>
      <c r="AR224" s="90">
        <f t="shared" ref="AR224:AR230" si="603">AP224</f>
        <v>9.3260000000000005</v>
      </c>
      <c r="AS224" s="91">
        <f t="shared" ref="AS224:AS230" si="604">AR224</f>
        <v>9.3260000000000005</v>
      </c>
      <c r="AT224" s="91">
        <f t="shared" si="591"/>
        <v>9.3260000000000005</v>
      </c>
      <c r="AU224" s="90">
        <f t="shared" ref="AU224:AU230" si="605">AS224</f>
        <v>9.3260000000000005</v>
      </c>
      <c r="AV224" s="91">
        <f t="shared" ref="AV224:AV230" si="606">AU224</f>
        <v>9.3260000000000005</v>
      </c>
      <c r="AW224" s="91">
        <f t="shared" si="584"/>
        <v>9.3260000000000005</v>
      </c>
      <c r="AX224" s="90">
        <f t="shared" ref="AX224:AX230" si="607">AV224</f>
        <v>9.3260000000000005</v>
      </c>
      <c r="AY224" s="91">
        <f t="shared" ref="AY224:AY230" si="608">AX224</f>
        <v>9.3260000000000005</v>
      </c>
      <c r="AZ224" s="91">
        <f t="shared" si="585"/>
        <v>9.3260000000000005</v>
      </c>
      <c r="BA224" s="90">
        <f t="shared" ref="BA224:BA230" si="609">AY224</f>
        <v>9.3260000000000005</v>
      </c>
      <c r="BB224" s="91">
        <f t="shared" ref="BB224:BB230" si="610">BA224</f>
        <v>9.3260000000000005</v>
      </c>
      <c r="BC224" s="91">
        <f t="shared" si="586"/>
        <v>9.3260000000000005</v>
      </c>
      <c r="BD224" s="90">
        <f t="shared" ref="BD224:BD230" si="611">BB224</f>
        <v>9.3260000000000005</v>
      </c>
      <c r="BE224" s="91">
        <f t="shared" ref="BE224:BE230" si="612">BD224</f>
        <v>9.3260000000000005</v>
      </c>
      <c r="BF224" s="91">
        <f t="shared" si="587"/>
        <v>9.3260000000000005</v>
      </c>
      <c r="BG224" s="90">
        <f t="shared" ref="BG224:BG230" si="613">BE224</f>
        <v>9.3260000000000005</v>
      </c>
      <c r="BH224" s="91">
        <f t="shared" si="366"/>
        <v>0</v>
      </c>
      <c r="BJ224"/>
      <c r="BK224"/>
      <c r="BL224"/>
      <c r="BM224"/>
      <c r="BN224"/>
      <c r="BO224"/>
    </row>
    <row r="225" spans="1:67" s="61" customFormat="1" outlineLevel="1">
      <c r="B225" s="61" t="s">
        <v>315</v>
      </c>
      <c r="C225" s="199"/>
      <c r="D225" s="89" t="s">
        <v>159</v>
      </c>
      <c r="E225" s="150">
        <v>0.33248899999999998</v>
      </c>
      <c r="F225" s="151">
        <v>0.34245900000000001</v>
      </c>
      <c r="G225" s="91">
        <f t="shared" si="571"/>
        <v>4.3737659999999998</v>
      </c>
      <c r="H225" s="150">
        <v>4.3737659999999998</v>
      </c>
      <c r="I225" s="151">
        <v>3.1478630000000001</v>
      </c>
      <c r="J225" s="91">
        <f t="shared" si="572"/>
        <v>3.17</v>
      </c>
      <c r="K225" s="150">
        <v>3.17</v>
      </c>
      <c r="L225" s="151">
        <v>2.1179999999999999</v>
      </c>
      <c r="M225" s="91">
        <f t="shared" si="573"/>
        <v>0</v>
      </c>
      <c r="N225" s="150">
        <v>0</v>
      </c>
      <c r="O225" s="151">
        <v>0</v>
      </c>
      <c r="P225" s="91">
        <f t="shared" si="574"/>
        <v>0</v>
      </c>
      <c r="Q225" s="150">
        <v>0</v>
      </c>
      <c r="R225" s="151">
        <v>0</v>
      </c>
      <c r="S225" s="91">
        <f t="shared" si="575"/>
        <v>0</v>
      </c>
      <c r="T225" s="180">
        <v>0</v>
      </c>
      <c r="U225" s="181">
        <v>0</v>
      </c>
      <c r="V225" s="91">
        <f t="shared" si="592"/>
        <v>0</v>
      </c>
      <c r="W225" s="180">
        <v>0</v>
      </c>
      <c r="X225" s="181">
        <v>6.4378440991220067</v>
      </c>
      <c r="Y225" s="91">
        <f t="shared" si="580"/>
        <v>5.7960000000000003</v>
      </c>
      <c r="Z225" s="180">
        <v>5.7960000000000003</v>
      </c>
      <c r="AA225" s="181">
        <v>39.188000000000002</v>
      </c>
      <c r="AB225" s="91">
        <f t="shared" si="581"/>
        <v>39.188000000000002</v>
      </c>
      <c r="AC225" s="90">
        <f t="shared" si="593"/>
        <v>39.188000000000002</v>
      </c>
      <c r="AD225" s="91">
        <f t="shared" si="594"/>
        <v>39.188000000000002</v>
      </c>
      <c r="AE225" s="91">
        <f t="shared" si="582"/>
        <v>39.188000000000002</v>
      </c>
      <c r="AF225" s="90">
        <f t="shared" si="595"/>
        <v>39.188000000000002</v>
      </c>
      <c r="AG225" s="91">
        <f t="shared" si="596"/>
        <v>39.188000000000002</v>
      </c>
      <c r="AH225" s="91">
        <f t="shared" si="583"/>
        <v>39.188000000000002</v>
      </c>
      <c r="AI225" s="90">
        <f t="shared" si="597"/>
        <v>39.188000000000002</v>
      </c>
      <c r="AJ225" s="91">
        <f t="shared" si="598"/>
        <v>39.188000000000002</v>
      </c>
      <c r="AK225" s="91">
        <f t="shared" si="588"/>
        <v>39.188000000000002</v>
      </c>
      <c r="AL225" s="90">
        <f t="shared" si="599"/>
        <v>39.188000000000002</v>
      </c>
      <c r="AM225" s="91">
        <f t="shared" si="600"/>
        <v>39.188000000000002</v>
      </c>
      <c r="AN225" s="91">
        <f t="shared" si="589"/>
        <v>39.188000000000002</v>
      </c>
      <c r="AO225" s="90">
        <f t="shared" si="601"/>
        <v>39.188000000000002</v>
      </c>
      <c r="AP225" s="91">
        <f t="shared" si="602"/>
        <v>39.188000000000002</v>
      </c>
      <c r="AQ225" s="91">
        <f t="shared" si="590"/>
        <v>39.188000000000002</v>
      </c>
      <c r="AR225" s="90">
        <f t="shared" si="603"/>
        <v>39.188000000000002</v>
      </c>
      <c r="AS225" s="91">
        <f t="shared" si="604"/>
        <v>39.188000000000002</v>
      </c>
      <c r="AT225" s="91">
        <f t="shared" si="591"/>
        <v>39.188000000000002</v>
      </c>
      <c r="AU225" s="90">
        <f t="shared" si="605"/>
        <v>39.188000000000002</v>
      </c>
      <c r="AV225" s="91">
        <f t="shared" si="606"/>
        <v>39.188000000000002</v>
      </c>
      <c r="AW225" s="91">
        <f t="shared" si="584"/>
        <v>39.188000000000002</v>
      </c>
      <c r="AX225" s="90">
        <f t="shared" si="607"/>
        <v>39.188000000000002</v>
      </c>
      <c r="AY225" s="91">
        <f t="shared" si="608"/>
        <v>39.188000000000002</v>
      </c>
      <c r="AZ225" s="91">
        <f t="shared" si="585"/>
        <v>39.188000000000002</v>
      </c>
      <c r="BA225" s="90">
        <f t="shared" si="609"/>
        <v>39.188000000000002</v>
      </c>
      <c r="BB225" s="91">
        <f t="shared" si="610"/>
        <v>39.188000000000002</v>
      </c>
      <c r="BC225" s="91">
        <f t="shared" si="586"/>
        <v>39.188000000000002</v>
      </c>
      <c r="BD225" s="90">
        <f t="shared" si="611"/>
        <v>39.188000000000002</v>
      </c>
      <c r="BE225" s="91">
        <f t="shared" si="612"/>
        <v>39.188000000000002</v>
      </c>
      <c r="BF225" s="91">
        <f t="shared" si="587"/>
        <v>39.188000000000002</v>
      </c>
      <c r="BG225" s="90">
        <f t="shared" si="613"/>
        <v>39.188000000000002</v>
      </c>
      <c r="BH225" s="91">
        <f t="shared" si="366"/>
        <v>0</v>
      </c>
      <c r="BJ225"/>
      <c r="BK225"/>
      <c r="BL225"/>
      <c r="BM225"/>
      <c r="BN225"/>
      <c r="BO225"/>
    </row>
    <row r="226" spans="1:67" s="61" customFormat="1" outlineLevel="1">
      <c r="B226" s="61" t="s">
        <v>600</v>
      </c>
      <c r="C226" s="199"/>
      <c r="D226" s="89" t="s">
        <v>159</v>
      </c>
      <c r="E226" s="150">
        <v>0</v>
      </c>
      <c r="F226" s="151">
        <v>0</v>
      </c>
      <c r="G226" s="91">
        <f t="shared" si="571"/>
        <v>0</v>
      </c>
      <c r="H226" s="150">
        <v>0</v>
      </c>
      <c r="I226" s="151">
        <v>0</v>
      </c>
      <c r="J226" s="91">
        <f t="shared" si="572"/>
        <v>0</v>
      </c>
      <c r="K226" s="150">
        <v>0</v>
      </c>
      <c r="L226" s="151">
        <v>0</v>
      </c>
      <c r="M226" s="91">
        <f t="shared" si="573"/>
        <v>0</v>
      </c>
      <c r="N226" s="150">
        <v>0</v>
      </c>
      <c r="O226" s="151">
        <v>0.123</v>
      </c>
      <c r="P226" s="91">
        <f t="shared" si="574"/>
        <v>0.13200000000000001</v>
      </c>
      <c r="Q226" s="150">
        <v>0.13200000000000001</v>
      </c>
      <c r="R226" s="151">
        <v>0.17899999999999999</v>
      </c>
      <c r="S226" s="91">
        <f t="shared" si="575"/>
        <v>0.215</v>
      </c>
      <c r="T226" s="180">
        <v>0.215</v>
      </c>
      <c r="U226" s="181">
        <v>0.25700000000000001</v>
      </c>
      <c r="V226" s="91">
        <f t="shared" si="592"/>
        <v>0.21199999999999999</v>
      </c>
      <c r="W226" s="180">
        <v>0.21199999999999999</v>
      </c>
      <c r="X226" s="181">
        <v>0.30063359339633711</v>
      </c>
      <c r="Y226" s="91">
        <f t="shared" si="580"/>
        <v>0.30499999999999999</v>
      </c>
      <c r="Z226" s="180">
        <v>0.30499999999999999</v>
      </c>
      <c r="AA226" s="181">
        <f>0.356+4.913</f>
        <v>5.2690000000000001</v>
      </c>
      <c r="AB226" s="91">
        <f t="shared" si="581"/>
        <v>5.2690000000000001</v>
      </c>
      <c r="AC226" s="90">
        <f t="shared" si="593"/>
        <v>5.2690000000000001</v>
      </c>
      <c r="AD226" s="91">
        <f t="shared" si="594"/>
        <v>5.2690000000000001</v>
      </c>
      <c r="AE226" s="91">
        <f t="shared" si="582"/>
        <v>5.2690000000000001</v>
      </c>
      <c r="AF226" s="90">
        <f t="shared" si="595"/>
        <v>5.2690000000000001</v>
      </c>
      <c r="AG226" s="91">
        <f t="shared" si="596"/>
        <v>5.2690000000000001</v>
      </c>
      <c r="AH226" s="91">
        <f t="shared" si="583"/>
        <v>5.2690000000000001</v>
      </c>
      <c r="AI226" s="90">
        <f t="shared" si="597"/>
        <v>5.2690000000000001</v>
      </c>
      <c r="AJ226" s="91">
        <f t="shared" si="598"/>
        <v>5.2690000000000001</v>
      </c>
      <c r="AK226" s="91">
        <f t="shared" si="588"/>
        <v>5.2690000000000001</v>
      </c>
      <c r="AL226" s="90">
        <f t="shared" si="599"/>
        <v>5.2690000000000001</v>
      </c>
      <c r="AM226" s="91">
        <f t="shared" si="600"/>
        <v>5.2690000000000001</v>
      </c>
      <c r="AN226" s="91">
        <f t="shared" si="589"/>
        <v>5.2690000000000001</v>
      </c>
      <c r="AO226" s="90">
        <f t="shared" si="601"/>
        <v>5.2690000000000001</v>
      </c>
      <c r="AP226" s="91">
        <f t="shared" si="602"/>
        <v>5.2690000000000001</v>
      </c>
      <c r="AQ226" s="91">
        <f t="shared" si="590"/>
        <v>5.2690000000000001</v>
      </c>
      <c r="AR226" s="90">
        <f t="shared" si="603"/>
        <v>5.2690000000000001</v>
      </c>
      <c r="AS226" s="91">
        <f t="shared" si="604"/>
        <v>5.2690000000000001</v>
      </c>
      <c r="AT226" s="91">
        <f t="shared" si="591"/>
        <v>5.2690000000000001</v>
      </c>
      <c r="AU226" s="90">
        <f t="shared" si="605"/>
        <v>5.2690000000000001</v>
      </c>
      <c r="AV226" s="91">
        <f t="shared" si="606"/>
        <v>5.2690000000000001</v>
      </c>
      <c r="AW226" s="91">
        <f t="shared" si="584"/>
        <v>5.2690000000000001</v>
      </c>
      <c r="AX226" s="90">
        <f t="shared" si="607"/>
        <v>5.2690000000000001</v>
      </c>
      <c r="AY226" s="91">
        <f t="shared" si="608"/>
        <v>5.2690000000000001</v>
      </c>
      <c r="AZ226" s="91">
        <f t="shared" si="585"/>
        <v>5.2690000000000001</v>
      </c>
      <c r="BA226" s="90">
        <f t="shared" si="609"/>
        <v>5.2690000000000001</v>
      </c>
      <c r="BB226" s="91">
        <f t="shared" si="610"/>
        <v>5.2690000000000001</v>
      </c>
      <c r="BC226" s="91">
        <f t="shared" si="586"/>
        <v>5.2690000000000001</v>
      </c>
      <c r="BD226" s="90">
        <f t="shared" si="611"/>
        <v>5.2690000000000001</v>
      </c>
      <c r="BE226" s="91">
        <f t="shared" si="612"/>
        <v>5.2690000000000001</v>
      </c>
      <c r="BF226" s="91">
        <f t="shared" si="587"/>
        <v>5.2690000000000001</v>
      </c>
      <c r="BG226" s="90">
        <f t="shared" si="613"/>
        <v>5.2690000000000001</v>
      </c>
      <c r="BH226" s="91">
        <f t="shared" si="366"/>
        <v>0</v>
      </c>
      <c r="BJ226"/>
      <c r="BK226"/>
      <c r="BL226"/>
      <c r="BM226"/>
      <c r="BN226"/>
      <c r="BO226"/>
    </row>
    <row r="227" spans="1:67" s="61" customFormat="1" outlineLevel="1">
      <c r="B227" s="61" t="s">
        <v>316</v>
      </c>
      <c r="C227" s="199"/>
      <c r="D227" s="89" t="s">
        <v>159</v>
      </c>
      <c r="E227" s="150">
        <v>0</v>
      </c>
      <c r="F227" s="151">
        <v>0</v>
      </c>
      <c r="G227" s="91">
        <f t="shared" si="571"/>
        <v>0</v>
      </c>
      <c r="H227" s="150">
        <v>0</v>
      </c>
      <c r="I227" s="151">
        <v>0</v>
      </c>
      <c r="J227" s="91">
        <f t="shared" si="572"/>
        <v>0.65</v>
      </c>
      <c r="K227" s="150">
        <v>0.65</v>
      </c>
      <c r="L227" s="151">
        <v>0.69</v>
      </c>
      <c r="M227" s="91">
        <f t="shared" si="573"/>
        <v>0</v>
      </c>
      <c r="N227" s="150">
        <v>0</v>
      </c>
      <c r="O227" s="151">
        <v>0</v>
      </c>
      <c r="P227" s="91">
        <f t="shared" si="574"/>
        <v>0</v>
      </c>
      <c r="Q227" s="150">
        <v>0</v>
      </c>
      <c r="R227" s="151">
        <v>0</v>
      </c>
      <c r="S227" s="91">
        <f t="shared" si="575"/>
        <v>0</v>
      </c>
      <c r="T227" s="180">
        <v>0</v>
      </c>
      <c r="U227" s="181">
        <v>0</v>
      </c>
      <c r="V227" s="91">
        <f t="shared" si="592"/>
        <v>0</v>
      </c>
      <c r="W227" s="180">
        <v>0</v>
      </c>
      <c r="X227" s="181">
        <v>0</v>
      </c>
      <c r="Y227" s="91">
        <f t="shared" si="580"/>
        <v>0</v>
      </c>
      <c r="Z227" s="180">
        <v>0</v>
      </c>
      <c r="AA227" s="181">
        <v>0</v>
      </c>
      <c r="AB227" s="91">
        <f t="shared" si="581"/>
        <v>0</v>
      </c>
      <c r="AC227" s="90">
        <f t="shared" si="593"/>
        <v>0</v>
      </c>
      <c r="AD227" s="91">
        <f t="shared" si="594"/>
        <v>0</v>
      </c>
      <c r="AE227" s="91">
        <f t="shared" si="582"/>
        <v>0</v>
      </c>
      <c r="AF227" s="90">
        <f t="shared" si="595"/>
        <v>0</v>
      </c>
      <c r="AG227" s="91">
        <f t="shared" si="596"/>
        <v>0</v>
      </c>
      <c r="AH227" s="91">
        <f t="shared" si="583"/>
        <v>0</v>
      </c>
      <c r="AI227" s="90">
        <f t="shared" si="597"/>
        <v>0</v>
      </c>
      <c r="AJ227" s="91">
        <f t="shared" si="598"/>
        <v>0</v>
      </c>
      <c r="AK227" s="91">
        <f t="shared" si="588"/>
        <v>0</v>
      </c>
      <c r="AL227" s="90">
        <f t="shared" si="599"/>
        <v>0</v>
      </c>
      <c r="AM227" s="91">
        <f t="shared" si="600"/>
        <v>0</v>
      </c>
      <c r="AN227" s="91">
        <f t="shared" si="589"/>
        <v>0</v>
      </c>
      <c r="AO227" s="90">
        <f t="shared" si="601"/>
        <v>0</v>
      </c>
      <c r="AP227" s="91">
        <f t="shared" si="602"/>
        <v>0</v>
      </c>
      <c r="AQ227" s="91">
        <f t="shared" si="590"/>
        <v>0</v>
      </c>
      <c r="AR227" s="90">
        <f t="shared" si="603"/>
        <v>0</v>
      </c>
      <c r="AS227" s="91">
        <f t="shared" si="604"/>
        <v>0</v>
      </c>
      <c r="AT227" s="91">
        <f t="shared" si="591"/>
        <v>0</v>
      </c>
      <c r="AU227" s="90">
        <f t="shared" si="605"/>
        <v>0</v>
      </c>
      <c r="AV227" s="91">
        <f t="shared" si="606"/>
        <v>0</v>
      </c>
      <c r="AW227" s="91">
        <f t="shared" si="584"/>
        <v>0</v>
      </c>
      <c r="AX227" s="90">
        <f t="shared" si="607"/>
        <v>0</v>
      </c>
      <c r="AY227" s="91">
        <f t="shared" si="608"/>
        <v>0</v>
      </c>
      <c r="AZ227" s="91">
        <f t="shared" si="585"/>
        <v>0</v>
      </c>
      <c r="BA227" s="90">
        <f t="shared" si="609"/>
        <v>0</v>
      </c>
      <c r="BB227" s="91">
        <f t="shared" si="610"/>
        <v>0</v>
      </c>
      <c r="BC227" s="91">
        <f t="shared" si="586"/>
        <v>0</v>
      </c>
      <c r="BD227" s="90">
        <f t="shared" si="611"/>
        <v>0</v>
      </c>
      <c r="BE227" s="91">
        <f t="shared" si="612"/>
        <v>0</v>
      </c>
      <c r="BF227" s="91">
        <f t="shared" si="587"/>
        <v>0</v>
      </c>
      <c r="BG227" s="90">
        <f t="shared" si="613"/>
        <v>0</v>
      </c>
      <c r="BH227" s="91">
        <f t="shared" si="366"/>
        <v>0</v>
      </c>
      <c r="BJ227"/>
      <c r="BK227"/>
      <c r="BL227"/>
      <c r="BM227"/>
      <c r="BN227"/>
      <c r="BO227"/>
    </row>
    <row r="228" spans="1:67" s="61" customFormat="1" outlineLevel="1">
      <c r="B228" s="61" t="s">
        <v>118</v>
      </c>
      <c r="C228" s="199"/>
      <c r="D228" s="89"/>
      <c r="E228" s="150">
        <v>0</v>
      </c>
      <c r="F228" s="151">
        <v>0</v>
      </c>
      <c r="G228" s="91">
        <f t="shared" si="571"/>
        <v>10.592000000000001</v>
      </c>
      <c r="H228" s="150">
        <v>10.592000000000001</v>
      </c>
      <c r="I228" s="151">
        <v>11.614758</v>
      </c>
      <c r="J228" s="91">
        <f t="shared" si="572"/>
        <v>16.440999999999999</v>
      </c>
      <c r="K228" s="150">
        <v>16.440999999999999</v>
      </c>
      <c r="L228" s="151">
        <v>21.488</v>
      </c>
      <c r="M228" s="91">
        <f t="shared" si="573"/>
        <v>0</v>
      </c>
      <c r="N228" s="150">
        <v>0</v>
      </c>
      <c r="O228" s="151">
        <v>0</v>
      </c>
      <c r="P228" s="91">
        <f t="shared" si="574"/>
        <v>0</v>
      </c>
      <c r="Q228" s="150">
        <v>0</v>
      </c>
      <c r="R228" s="151">
        <v>0</v>
      </c>
      <c r="S228" s="91">
        <f t="shared" si="575"/>
        <v>0</v>
      </c>
      <c r="T228" s="180">
        <v>0</v>
      </c>
      <c r="U228" s="181">
        <v>0</v>
      </c>
      <c r="V228" s="91">
        <f t="shared" si="592"/>
        <v>38.036000000000001</v>
      </c>
      <c r="W228" s="180">
        <v>38.036000000000001</v>
      </c>
      <c r="X228" s="181">
        <v>27.121970974845045</v>
      </c>
      <c r="Y228" s="91">
        <f t="shared" si="580"/>
        <v>18.834</v>
      </c>
      <c r="Z228" s="180">
        <v>18.834</v>
      </c>
      <c r="AA228" s="181">
        <v>17.440000000000001</v>
      </c>
      <c r="AB228" s="91">
        <f t="shared" si="581"/>
        <v>17.440000000000001</v>
      </c>
      <c r="AC228" s="90">
        <f t="shared" si="593"/>
        <v>17.440000000000001</v>
      </c>
      <c r="AD228" s="91">
        <f>AC228</f>
        <v>17.440000000000001</v>
      </c>
      <c r="AE228" s="91">
        <f>AD228+Segment!AE247</f>
        <v>3.5079390379721698</v>
      </c>
      <c r="AF228" s="90">
        <f>+AE228</f>
        <v>3.5079390379721698</v>
      </c>
      <c r="AG228" s="91">
        <f>AF228+Segment!AG247</f>
        <v>3.5079390379721698</v>
      </c>
      <c r="AH228" s="91">
        <f>AG228+Segment!AH247</f>
        <v>3.5079390379721698</v>
      </c>
      <c r="AI228" s="90">
        <f t="shared" si="597"/>
        <v>3.5079390379721698</v>
      </c>
      <c r="AJ228" s="91">
        <f t="shared" si="598"/>
        <v>3.5079390379721698</v>
      </c>
      <c r="AK228" s="91">
        <f t="shared" si="588"/>
        <v>3.5079390379721698</v>
      </c>
      <c r="AL228" s="90">
        <f t="shared" si="599"/>
        <v>3.5079390379721698</v>
      </c>
      <c r="AM228" s="91">
        <f t="shared" si="600"/>
        <v>3.5079390379721698</v>
      </c>
      <c r="AN228" s="91">
        <f t="shared" si="589"/>
        <v>3.5079390379721698</v>
      </c>
      <c r="AO228" s="90">
        <f t="shared" si="601"/>
        <v>3.5079390379721698</v>
      </c>
      <c r="AP228" s="91">
        <f t="shared" si="602"/>
        <v>3.5079390379721698</v>
      </c>
      <c r="AQ228" s="91">
        <f t="shared" si="590"/>
        <v>3.5079390379721698</v>
      </c>
      <c r="AR228" s="90">
        <f t="shared" si="603"/>
        <v>3.5079390379721698</v>
      </c>
      <c r="AS228" s="91">
        <f t="shared" si="604"/>
        <v>3.5079390379721698</v>
      </c>
      <c r="AT228" s="91">
        <f t="shared" si="591"/>
        <v>3.5079390379721698</v>
      </c>
      <c r="AU228" s="90">
        <f t="shared" si="605"/>
        <v>3.5079390379721698</v>
      </c>
      <c r="AV228" s="91">
        <f t="shared" si="606"/>
        <v>3.5079390379721698</v>
      </c>
      <c r="AW228" s="91">
        <f t="shared" si="584"/>
        <v>3.5079390379721698</v>
      </c>
      <c r="AX228" s="90">
        <f t="shared" si="607"/>
        <v>3.5079390379721698</v>
      </c>
      <c r="AY228" s="91">
        <f t="shared" si="608"/>
        <v>3.5079390379721698</v>
      </c>
      <c r="AZ228" s="91">
        <f t="shared" si="585"/>
        <v>3.5079390379721698</v>
      </c>
      <c r="BA228" s="90">
        <f t="shared" si="609"/>
        <v>3.5079390379721698</v>
      </c>
      <c r="BB228" s="91">
        <f t="shared" si="610"/>
        <v>3.5079390379721698</v>
      </c>
      <c r="BC228" s="91">
        <f t="shared" si="586"/>
        <v>3.5079390379721698</v>
      </c>
      <c r="BD228" s="90">
        <f t="shared" si="611"/>
        <v>3.5079390379721698</v>
      </c>
      <c r="BE228" s="91">
        <f t="shared" si="612"/>
        <v>3.5079390379721698</v>
      </c>
      <c r="BF228" s="91">
        <f t="shared" si="587"/>
        <v>3.5079390379721698</v>
      </c>
      <c r="BG228" s="90">
        <f t="shared" si="613"/>
        <v>3.5079390379721698</v>
      </c>
      <c r="BH228" s="91">
        <f t="shared" si="366"/>
        <v>0</v>
      </c>
      <c r="BJ228"/>
      <c r="BK228"/>
      <c r="BL228"/>
      <c r="BM228"/>
      <c r="BN228"/>
      <c r="BO228"/>
    </row>
    <row r="229" spans="1:67" s="61" customFormat="1" outlineLevel="1">
      <c r="B229" s="61" t="s">
        <v>317</v>
      </c>
      <c r="C229" s="199"/>
      <c r="D229" s="89" t="s">
        <v>159</v>
      </c>
      <c r="E229" s="150">
        <v>0</v>
      </c>
      <c r="F229" s="151">
        <v>0</v>
      </c>
      <c r="G229" s="91">
        <f t="shared" si="571"/>
        <v>0</v>
      </c>
      <c r="H229" s="150">
        <v>0</v>
      </c>
      <c r="I229" s="151">
        <v>0</v>
      </c>
      <c r="J229" s="91">
        <f t="shared" si="572"/>
        <v>0</v>
      </c>
      <c r="K229" s="150">
        <v>0</v>
      </c>
      <c r="L229" s="151">
        <v>4.9969999999999999</v>
      </c>
      <c r="M229" s="91">
        <f t="shared" si="573"/>
        <v>0</v>
      </c>
      <c r="N229" s="150">
        <v>0</v>
      </c>
      <c r="O229" s="151">
        <v>0</v>
      </c>
      <c r="P229" s="91">
        <f t="shared" si="574"/>
        <v>0</v>
      </c>
      <c r="Q229" s="150">
        <v>0</v>
      </c>
      <c r="R229" s="151">
        <v>0</v>
      </c>
      <c r="S229" s="91">
        <f t="shared" si="575"/>
        <v>0</v>
      </c>
      <c r="T229" s="180">
        <v>0</v>
      </c>
      <c r="U229" s="181">
        <v>0</v>
      </c>
      <c r="V229" s="91">
        <f t="shared" si="592"/>
        <v>0</v>
      </c>
      <c r="W229" s="180">
        <v>0</v>
      </c>
      <c r="X229" s="181">
        <v>0</v>
      </c>
      <c r="Y229" s="91">
        <f t="shared" si="580"/>
        <v>0</v>
      </c>
      <c r="Z229" s="180">
        <v>0</v>
      </c>
      <c r="AA229" s="181">
        <v>0</v>
      </c>
      <c r="AB229" s="91">
        <f t="shared" si="581"/>
        <v>0</v>
      </c>
      <c r="AC229" s="90">
        <f t="shared" si="593"/>
        <v>0</v>
      </c>
      <c r="AD229" s="91">
        <f t="shared" si="594"/>
        <v>0</v>
      </c>
      <c r="AE229" s="91">
        <f t="shared" si="582"/>
        <v>0</v>
      </c>
      <c r="AF229" s="90">
        <f t="shared" si="595"/>
        <v>0</v>
      </c>
      <c r="AG229" s="91">
        <f t="shared" si="596"/>
        <v>0</v>
      </c>
      <c r="AH229" s="91">
        <f t="shared" si="583"/>
        <v>0</v>
      </c>
      <c r="AI229" s="90">
        <f t="shared" si="597"/>
        <v>0</v>
      </c>
      <c r="AJ229" s="91">
        <f t="shared" si="598"/>
        <v>0</v>
      </c>
      <c r="AK229" s="91">
        <f t="shared" si="588"/>
        <v>0</v>
      </c>
      <c r="AL229" s="90">
        <f t="shared" si="599"/>
        <v>0</v>
      </c>
      <c r="AM229" s="91">
        <f t="shared" si="600"/>
        <v>0</v>
      </c>
      <c r="AN229" s="91">
        <f t="shared" si="589"/>
        <v>0</v>
      </c>
      <c r="AO229" s="90">
        <f t="shared" si="601"/>
        <v>0</v>
      </c>
      <c r="AP229" s="91">
        <f t="shared" si="602"/>
        <v>0</v>
      </c>
      <c r="AQ229" s="91">
        <f t="shared" si="590"/>
        <v>0</v>
      </c>
      <c r="AR229" s="90">
        <f t="shared" si="603"/>
        <v>0</v>
      </c>
      <c r="AS229" s="91">
        <f t="shared" si="604"/>
        <v>0</v>
      </c>
      <c r="AT229" s="91">
        <f t="shared" si="591"/>
        <v>0</v>
      </c>
      <c r="AU229" s="90">
        <f t="shared" si="605"/>
        <v>0</v>
      </c>
      <c r="AV229" s="91">
        <f t="shared" si="606"/>
        <v>0</v>
      </c>
      <c r="AW229" s="91">
        <f t="shared" si="584"/>
        <v>0</v>
      </c>
      <c r="AX229" s="90">
        <f t="shared" si="607"/>
        <v>0</v>
      </c>
      <c r="AY229" s="91">
        <f t="shared" si="608"/>
        <v>0</v>
      </c>
      <c r="AZ229" s="91">
        <f t="shared" si="585"/>
        <v>0</v>
      </c>
      <c r="BA229" s="90">
        <f t="shared" si="609"/>
        <v>0</v>
      </c>
      <c r="BB229" s="91">
        <f t="shared" si="610"/>
        <v>0</v>
      </c>
      <c r="BC229" s="91">
        <f t="shared" si="586"/>
        <v>0</v>
      </c>
      <c r="BD229" s="90">
        <f t="shared" si="611"/>
        <v>0</v>
      </c>
      <c r="BE229" s="91">
        <f t="shared" si="612"/>
        <v>0</v>
      </c>
      <c r="BF229" s="91">
        <f t="shared" si="587"/>
        <v>0</v>
      </c>
      <c r="BG229" s="90">
        <f t="shared" si="613"/>
        <v>0</v>
      </c>
      <c r="BH229" s="91">
        <f t="shared" si="366"/>
        <v>0</v>
      </c>
      <c r="BJ229"/>
      <c r="BK229"/>
      <c r="BL229"/>
      <c r="BM229"/>
      <c r="BN229"/>
      <c r="BO229"/>
    </row>
    <row r="230" spans="1:67" s="61" customFormat="1" outlineLevel="1">
      <c r="B230" s="61" t="s">
        <v>312</v>
      </c>
      <c r="C230" s="199"/>
      <c r="D230" s="89"/>
      <c r="E230" s="150">
        <v>0</v>
      </c>
      <c r="F230" s="151">
        <v>0</v>
      </c>
      <c r="G230" s="91">
        <f t="shared" si="571"/>
        <v>0</v>
      </c>
      <c r="H230" s="150">
        <v>0</v>
      </c>
      <c r="I230" s="151">
        <v>0</v>
      </c>
      <c r="J230" s="91">
        <f t="shared" si="572"/>
        <v>0</v>
      </c>
      <c r="K230" s="150">
        <v>0</v>
      </c>
      <c r="L230" s="151">
        <v>0</v>
      </c>
      <c r="M230" s="91">
        <f t="shared" si="573"/>
        <v>27.515000000000001</v>
      </c>
      <c r="N230" s="150">
        <v>27.515000000000001</v>
      </c>
      <c r="O230" s="151">
        <v>27.992999999999999</v>
      </c>
      <c r="P230" s="91">
        <f t="shared" si="574"/>
        <v>23.056000000000001</v>
      </c>
      <c r="Q230" s="150">
        <v>23.056000000000001</v>
      </c>
      <c r="R230" s="151">
        <v>17.978999999999999</v>
      </c>
      <c r="S230" s="91">
        <f t="shared" si="575"/>
        <v>22.521999999999998</v>
      </c>
      <c r="T230" s="180">
        <v>22.521999999999998</v>
      </c>
      <c r="U230" s="181">
        <v>17.584</v>
      </c>
      <c r="V230" s="91">
        <f t="shared" si="592"/>
        <v>8.32</v>
      </c>
      <c r="W230" s="180">
        <v>8.32</v>
      </c>
      <c r="X230" s="181">
        <v>4.5731123449821434</v>
      </c>
      <c r="Y230" s="91">
        <f t="shared" si="580"/>
        <v>2.036</v>
      </c>
      <c r="Z230" s="180">
        <v>2.036</v>
      </c>
      <c r="AA230" s="484">
        <v>1.0169999999999999</v>
      </c>
      <c r="AB230" s="91">
        <f t="shared" si="581"/>
        <v>-20.904179306604419</v>
      </c>
      <c r="AC230" s="90">
        <f>+AC201-AC219-AC244-SUM(AC222:AC229)</f>
        <v>-20.904179306604419</v>
      </c>
      <c r="AD230" s="91">
        <f t="shared" si="594"/>
        <v>-20.904179306604419</v>
      </c>
      <c r="AE230" s="91">
        <f t="shared" si="582"/>
        <v>-20.904179306604419</v>
      </c>
      <c r="AF230" s="90">
        <f t="shared" si="595"/>
        <v>-20.904179306604419</v>
      </c>
      <c r="AG230" s="91">
        <f t="shared" si="596"/>
        <v>-20.904179306604419</v>
      </c>
      <c r="AH230" s="91">
        <f t="shared" si="583"/>
        <v>-20.904179306604419</v>
      </c>
      <c r="AI230" s="90">
        <f t="shared" si="597"/>
        <v>-20.904179306604419</v>
      </c>
      <c r="AJ230" s="91">
        <f t="shared" si="598"/>
        <v>-20.904179306604419</v>
      </c>
      <c r="AK230" s="91">
        <f t="shared" si="588"/>
        <v>-20.904179306604419</v>
      </c>
      <c r="AL230" s="90">
        <f t="shared" si="599"/>
        <v>-20.904179306604419</v>
      </c>
      <c r="AM230" s="91">
        <f t="shared" si="600"/>
        <v>-20.904179306604419</v>
      </c>
      <c r="AN230" s="91">
        <f t="shared" si="589"/>
        <v>-20.904179306604419</v>
      </c>
      <c r="AO230" s="90">
        <f t="shared" si="601"/>
        <v>-20.904179306604419</v>
      </c>
      <c r="AP230" s="91">
        <f t="shared" si="602"/>
        <v>-20.904179306604419</v>
      </c>
      <c r="AQ230" s="91">
        <f t="shared" si="590"/>
        <v>-20.904179306604419</v>
      </c>
      <c r="AR230" s="90">
        <f t="shared" si="603"/>
        <v>-20.904179306604419</v>
      </c>
      <c r="AS230" s="91">
        <f t="shared" si="604"/>
        <v>-20.904179306604419</v>
      </c>
      <c r="AT230" s="91">
        <f t="shared" si="591"/>
        <v>-20.904179306604419</v>
      </c>
      <c r="AU230" s="90">
        <f t="shared" si="605"/>
        <v>-20.904179306604419</v>
      </c>
      <c r="AV230" s="91">
        <f t="shared" si="606"/>
        <v>-20.904179306604419</v>
      </c>
      <c r="AW230" s="91">
        <f t="shared" si="584"/>
        <v>-20.904179306604419</v>
      </c>
      <c r="AX230" s="90">
        <f t="shared" si="607"/>
        <v>-20.904179306604419</v>
      </c>
      <c r="AY230" s="91">
        <f t="shared" si="608"/>
        <v>-20.904179306604419</v>
      </c>
      <c r="AZ230" s="91">
        <f t="shared" si="585"/>
        <v>-20.904179306604419</v>
      </c>
      <c r="BA230" s="90">
        <f t="shared" si="609"/>
        <v>-20.904179306604419</v>
      </c>
      <c r="BB230" s="91">
        <f t="shared" si="610"/>
        <v>-20.904179306604419</v>
      </c>
      <c r="BC230" s="91">
        <f t="shared" si="586"/>
        <v>-20.904179306604419</v>
      </c>
      <c r="BD230" s="90">
        <f t="shared" si="611"/>
        <v>-20.904179306604419</v>
      </c>
      <c r="BE230" s="91">
        <f t="shared" si="612"/>
        <v>-20.904179306604419</v>
      </c>
      <c r="BF230" s="91">
        <f t="shared" si="587"/>
        <v>-20.904179306604419</v>
      </c>
      <c r="BG230" s="90">
        <f t="shared" si="613"/>
        <v>-20.904179306604419</v>
      </c>
      <c r="BH230" s="91">
        <f t="shared" si="366"/>
        <v>-21.921179306604419</v>
      </c>
      <c r="BJ230"/>
      <c r="BK230"/>
      <c r="BL230"/>
      <c r="BM230"/>
      <c r="BN230"/>
      <c r="BO230"/>
    </row>
    <row r="231" spans="1:67" s="70" customFormat="1">
      <c r="B231" s="71" t="s">
        <v>318</v>
      </c>
      <c r="C231" s="71"/>
      <c r="D231" s="92" t="s">
        <v>159</v>
      </c>
      <c r="E231" s="93">
        <f t="shared" ref="E231:G231" si="614">+E221+E224+E225+E226+E230+E229+E228+E227</f>
        <v>0.33248899999999998</v>
      </c>
      <c r="F231" s="94">
        <f t="shared" si="614"/>
        <v>0.34245900000000001</v>
      </c>
      <c r="G231" s="94">
        <f t="shared" si="614"/>
        <v>15.562061</v>
      </c>
      <c r="H231" s="93">
        <f>+H221+H224+H225+H226+H230+H229+H228+H227</f>
        <v>15.562061</v>
      </c>
      <c r="I231" s="94">
        <f t="shared" ref="I231:BG231" si="615">+I221+I224+I225+I226+I230+I229+I228+I227</f>
        <v>15.439401</v>
      </c>
      <c r="J231" s="94">
        <f t="shared" si="615"/>
        <v>21.901999999999997</v>
      </c>
      <c r="K231" s="93">
        <f t="shared" si="615"/>
        <v>21.901999999999997</v>
      </c>
      <c r="L231" s="94">
        <f t="shared" si="615"/>
        <v>29.959</v>
      </c>
      <c r="M231" s="94">
        <f t="shared" si="615"/>
        <v>58.849000000000004</v>
      </c>
      <c r="N231" s="93">
        <f t="shared" si="615"/>
        <v>58.849000000000004</v>
      </c>
      <c r="O231" s="94">
        <f t="shared" si="615"/>
        <v>58.625</v>
      </c>
      <c r="P231" s="94">
        <f t="shared" si="615"/>
        <v>69.673000000000002</v>
      </c>
      <c r="Q231" s="93">
        <f t="shared" si="615"/>
        <v>69.673000000000002</v>
      </c>
      <c r="R231" s="94">
        <f t="shared" si="615"/>
        <v>63.988000000000007</v>
      </c>
      <c r="S231" s="94">
        <f t="shared" si="615"/>
        <v>89.789999999999992</v>
      </c>
      <c r="T231" s="93">
        <f t="shared" si="615"/>
        <v>89.789999999999992</v>
      </c>
      <c r="U231" s="94">
        <f t="shared" si="615"/>
        <v>91.652000000000001</v>
      </c>
      <c r="V231" s="94">
        <f t="shared" si="615"/>
        <v>63.239999999999995</v>
      </c>
      <c r="W231" s="93">
        <f t="shared" si="615"/>
        <v>63.239999999999995</v>
      </c>
      <c r="X231" s="94">
        <f t="shared" si="615"/>
        <v>55.982795940893411</v>
      </c>
      <c r="Y231" s="94">
        <f t="shared" si="615"/>
        <v>382.35399999999993</v>
      </c>
      <c r="Z231" s="93">
        <f t="shared" si="615"/>
        <v>382.35399999999993</v>
      </c>
      <c r="AA231" s="94">
        <f t="shared" ref="AA231" si="616">+AA221+AA224+AA225+AA226+AA230+AA229+AA228+AA227</f>
        <v>469.42900000000003</v>
      </c>
      <c r="AB231" s="94">
        <f t="shared" si="615"/>
        <v>447.50782069339562</v>
      </c>
      <c r="AC231" s="93">
        <f t="shared" si="615"/>
        <v>447.50782069339562</v>
      </c>
      <c r="AD231" s="94">
        <f t="shared" si="615"/>
        <v>447.50782069339562</v>
      </c>
      <c r="AE231" s="94">
        <f t="shared" si="615"/>
        <v>433.57575973136778</v>
      </c>
      <c r="AF231" s="93">
        <f t="shared" si="615"/>
        <v>433.57575973136778</v>
      </c>
      <c r="AG231" s="94">
        <f t="shared" si="615"/>
        <v>433.57575973136778</v>
      </c>
      <c r="AH231" s="94">
        <f t="shared" si="615"/>
        <v>433.57575973136778</v>
      </c>
      <c r="AI231" s="93">
        <f t="shared" si="615"/>
        <v>433.57575973136778</v>
      </c>
      <c r="AJ231" s="94">
        <f t="shared" si="615"/>
        <v>433.57575973136778</v>
      </c>
      <c r="AK231" s="94">
        <f t="shared" si="615"/>
        <v>433.57575973136778</v>
      </c>
      <c r="AL231" s="93">
        <f t="shared" si="615"/>
        <v>433.57575973136778</v>
      </c>
      <c r="AM231" s="94">
        <f t="shared" si="615"/>
        <v>91.764759731367789</v>
      </c>
      <c r="AN231" s="94">
        <f t="shared" si="615"/>
        <v>91.764759731367789</v>
      </c>
      <c r="AO231" s="93">
        <f t="shared" si="615"/>
        <v>91.764759731367789</v>
      </c>
      <c r="AP231" s="94">
        <f t="shared" si="615"/>
        <v>91.764759731367789</v>
      </c>
      <c r="AQ231" s="94">
        <f t="shared" si="615"/>
        <v>91.764759731367789</v>
      </c>
      <c r="AR231" s="93">
        <f t="shared" si="615"/>
        <v>91.764759731367789</v>
      </c>
      <c r="AS231" s="94">
        <f t="shared" si="615"/>
        <v>91.764759731367789</v>
      </c>
      <c r="AT231" s="94">
        <f t="shared" si="615"/>
        <v>91.764759731367789</v>
      </c>
      <c r="AU231" s="93">
        <f t="shared" si="615"/>
        <v>91.764759731367789</v>
      </c>
      <c r="AV231" s="94">
        <f t="shared" si="615"/>
        <v>91.764759731367789</v>
      </c>
      <c r="AW231" s="94">
        <f t="shared" si="615"/>
        <v>91.764759731367789</v>
      </c>
      <c r="AX231" s="93">
        <f t="shared" si="615"/>
        <v>91.764759731367789</v>
      </c>
      <c r="AY231" s="94">
        <f t="shared" si="615"/>
        <v>91.764759731367789</v>
      </c>
      <c r="AZ231" s="94">
        <f t="shared" si="615"/>
        <v>91.764759731367789</v>
      </c>
      <c r="BA231" s="93">
        <f t="shared" si="615"/>
        <v>91.764759731367789</v>
      </c>
      <c r="BB231" s="94">
        <f t="shared" si="615"/>
        <v>91.764759731367789</v>
      </c>
      <c r="BC231" s="94">
        <f t="shared" si="615"/>
        <v>91.764759731367789</v>
      </c>
      <c r="BD231" s="93">
        <f t="shared" si="615"/>
        <v>91.764759731367789</v>
      </c>
      <c r="BE231" s="94">
        <f t="shared" si="615"/>
        <v>91.764759731367789</v>
      </c>
      <c r="BF231" s="94">
        <f t="shared" si="615"/>
        <v>91.764759731367789</v>
      </c>
      <c r="BG231" s="93">
        <f t="shared" si="615"/>
        <v>91.764759731367789</v>
      </c>
      <c r="BH231" s="91">
        <f t="shared" si="366"/>
        <v>-21.921179306604415</v>
      </c>
      <c r="BJ231"/>
      <c r="BK231"/>
      <c r="BL231"/>
      <c r="BM231"/>
      <c r="BN231"/>
      <c r="BO231"/>
    </row>
    <row r="232" spans="1:67" s="70" customFormat="1">
      <c r="B232" s="71" t="s">
        <v>120</v>
      </c>
      <c r="C232" s="71"/>
      <c r="D232" s="92" t="s">
        <v>159</v>
      </c>
      <c r="E232" s="93">
        <f>+E219+E231</f>
        <v>1.8009329999999999</v>
      </c>
      <c r="F232" s="94">
        <f>+F219+F231</f>
        <v>4.1199089999999998</v>
      </c>
      <c r="G232" s="94">
        <f t="shared" ref="G232" si="617">+H232</f>
        <v>23.803720999999999</v>
      </c>
      <c r="H232" s="93">
        <f>+H219+H231</f>
        <v>23.803720999999999</v>
      </c>
      <c r="I232" s="94">
        <f>+I219+I231</f>
        <v>22.299289000000002</v>
      </c>
      <c r="J232" s="94">
        <f t="shared" ref="J232" si="618">+K232</f>
        <v>32.527000000000001</v>
      </c>
      <c r="K232" s="93">
        <f>+K219+K231</f>
        <v>32.527000000000001</v>
      </c>
      <c r="L232" s="94">
        <f>+L219+L231</f>
        <v>40.143000000000001</v>
      </c>
      <c r="M232" s="94">
        <f t="shared" ref="M232" si="619">+N232</f>
        <v>78.805000000000007</v>
      </c>
      <c r="N232" s="93">
        <f>+N219+N231</f>
        <v>78.805000000000007</v>
      </c>
      <c r="O232" s="94">
        <f>+O219+O231</f>
        <v>80.912999999999997</v>
      </c>
      <c r="P232" s="94">
        <f t="shared" ref="P232" si="620">+Q232</f>
        <v>107.655</v>
      </c>
      <c r="Q232" s="93">
        <f>+Q219+Q231</f>
        <v>107.655</v>
      </c>
      <c r="R232" s="94">
        <f>+R219+R231</f>
        <v>110.53400000000001</v>
      </c>
      <c r="S232" s="94">
        <f t="shared" ref="S232" si="621">+T232</f>
        <v>175.346</v>
      </c>
      <c r="T232" s="93">
        <f>+T219+T231</f>
        <v>175.346</v>
      </c>
      <c r="U232" s="94">
        <f>+U219+U231</f>
        <v>234.279</v>
      </c>
      <c r="V232" s="94">
        <f t="shared" ref="V232" si="622">+W232</f>
        <v>174.613</v>
      </c>
      <c r="W232" s="93">
        <f>+W219+W231</f>
        <v>174.613</v>
      </c>
      <c r="X232" s="94">
        <f>+X219+X231</f>
        <v>226.44873902230466</v>
      </c>
      <c r="Y232" s="94">
        <f t="shared" ref="Y232" si="623">+Z232</f>
        <v>587.44199999999989</v>
      </c>
      <c r="Z232" s="93">
        <f>+Z219+Z231</f>
        <v>587.44199999999989</v>
      </c>
      <c r="AA232" s="94">
        <f>+AA219+AA231</f>
        <v>768.01099999999997</v>
      </c>
      <c r="AB232" s="94">
        <f t="shared" ref="AB232" si="624">+AC232</f>
        <v>697.57297725292347</v>
      </c>
      <c r="AC232" s="93">
        <f>+AC219+AC231</f>
        <v>697.57297725292347</v>
      </c>
      <c r="AD232" s="94">
        <f>+AD219+AD231</f>
        <v>689.34380061188608</v>
      </c>
      <c r="AE232" s="94">
        <f t="shared" ref="AE232" si="625">+AF232</f>
        <v>679.02137273533765</v>
      </c>
      <c r="AF232" s="93">
        <f>+AF219+AF231</f>
        <v>679.02137273533765</v>
      </c>
      <c r="AG232" s="94">
        <f>+AG219+AG231</f>
        <v>696.21563155248577</v>
      </c>
      <c r="AH232" s="94">
        <f t="shared" ref="AH232" si="626">+AI232</f>
        <v>698.89837302462149</v>
      </c>
      <c r="AI232" s="93">
        <f>+AI219+AI231</f>
        <v>698.89837302462149</v>
      </c>
      <c r="AJ232" s="94">
        <f>+AJ219+AJ231</f>
        <v>718.62318527115303</v>
      </c>
      <c r="AK232" s="94">
        <f t="shared" ref="AK232" si="627">+AL232</f>
        <v>721.7185838916289</v>
      </c>
      <c r="AL232" s="93">
        <f>+AL219+AL231</f>
        <v>721.7185838916289</v>
      </c>
      <c r="AM232" s="94">
        <f>+AM219+AM231</f>
        <v>433.40760572139158</v>
      </c>
      <c r="AN232" s="94">
        <f t="shared" ref="AN232" si="628">+AO232</f>
        <v>437.61076146238247</v>
      </c>
      <c r="AO232" s="93">
        <f>+AO219+AO231</f>
        <v>437.61076146238247</v>
      </c>
      <c r="AP232" s="94">
        <f>+AP219+AP231</f>
        <v>475.62777106627431</v>
      </c>
      <c r="AQ232" s="94">
        <f t="shared" ref="AQ232" si="629">+AR232</f>
        <v>485.78328737155778</v>
      </c>
      <c r="AR232" s="93">
        <f>+AR219+AR231</f>
        <v>485.78328737155778</v>
      </c>
      <c r="AS232" s="94">
        <f>+AS219+AS231</f>
        <v>519.60500352920212</v>
      </c>
      <c r="AT232" s="94">
        <f t="shared" ref="AT232" si="630">+AU232</f>
        <v>531.47342589845493</v>
      </c>
      <c r="AU232" s="93">
        <f>+AU219+AU231</f>
        <v>531.47342589845493</v>
      </c>
      <c r="AV232" s="94">
        <f>+AV219+AV231</f>
        <v>564.58867954911</v>
      </c>
      <c r="AW232" s="94">
        <f t="shared" ref="AW232" si="631">+AX232</f>
        <v>578.17728155460941</v>
      </c>
      <c r="AX232" s="93">
        <f>+AX219+AX231</f>
        <v>578.17728155460941</v>
      </c>
      <c r="AY232" s="94">
        <f>+AY219+AY231</f>
        <v>608.12372330636754</v>
      </c>
      <c r="AZ232" s="94">
        <f t="shared" ref="AZ232" si="632">+BA232</f>
        <v>623.59214340172014</v>
      </c>
      <c r="BA232" s="93">
        <f>+BA219+BA231</f>
        <v>623.59214340172014</v>
      </c>
      <c r="BB232" s="94">
        <f>+BB219+BB231</f>
        <v>651.27716397151255</v>
      </c>
      <c r="BC232" s="94">
        <f t="shared" ref="BC232" si="633">+BD232</f>
        <v>668.42462075734511</v>
      </c>
      <c r="BD232" s="93">
        <f>+BD219+BD231</f>
        <v>668.42462075734511</v>
      </c>
      <c r="BE232" s="94">
        <f>+BE219+BE231</f>
        <v>691.14712148989724</v>
      </c>
      <c r="BF232" s="94">
        <f t="shared" ref="BF232" si="634">+BG232</f>
        <v>709.83014806187623</v>
      </c>
      <c r="BG232" s="93">
        <f>+BG219+BG231</f>
        <v>709.83014806187623</v>
      </c>
      <c r="BH232" s="91">
        <f t="shared" si="366"/>
        <v>-70.438022747076502</v>
      </c>
      <c r="BJ232"/>
      <c r="BK232"/>
      <c r="BL232"/>
      <c r="BM232"/>
      <c r="BN232"/>
      <c r="BO232"/>
    </row>
    <row r="233" spans="1:67" s="61" customFormat="1">
      <c r="B233" s="88"/>
      <c r="D233" s="89"/>
      <c r="E233" s="90"/>
      <c r="F233" s="91"/>
      <c r="G233" s="91"/>
      <c r="H233" s="90"/>
      <c r="I233" s="91"/>
      <c r="J233" s="91"/>
      <c r="K233" s="90"/>
      <c r="L233" s="91"/>
      <c r="M233" s="91"/>
      <c r="N233" s="90"/>
      <c r="O233" s="91"/>
      <c r="P233" s="91"/>
      <c r="Q233" s="90"/>
      <c r="R233" s="91"/>
      <c r="S233" s="91"/>
      <c r="T233" s="90"/>
      <c r="U233" s="91"/>
      <c r="V233" s="91"/>
      <c r="W233" s="90"/>
      <c r="X233" s="91"/>
      <c r="Y233" s="91"/>
      <c r="Z233" s="90"/>
      <c r="AA233" s="91"/>
      <c r="AB233" s="91"/>
      <c r="AC233" s="90"/>
      <c r="AD233" s="91"/>
      <c r="AE233" s="91"/>
      <c r="AF233" s="90"/>
      <c r="AG233" s="91"/>
      <c r="AH233" s="91"/>
      <c r="AI233" s="90"/>
      <c r="AJ233" s="91"/>
      <c r="AK233" s="91"/>
      <c r="AL233" s="90"/>
      <c r="AM233" s="91"/>
      <c r="AN233" s="91"/>
      <c r="AO233" s="90"/>
      <c r="AP233" s="91"/>
      <c r="AQ233" s="91"/>
      <c r="AR233" s="90"/>
      <c r="AS233" s="91"/>
      <c r="AT233" s="91"/>
      <c r="AU233" s="90"/>
      <c r="AV233" s="91"/>
      <c r="AW233" s="91"/>
      <c r="AX233" s="90"/>
      <c r="AY233" s="91"/>
      <c r="AZ233" s="91"/>
      <c r="BA233" s="90"/>
      <c r="BB233" s="91"/>
      <c r="BC233" s="91"/>
      <c r="BD233" s="90"/>
      <c r="BE233" s="91"/>
      <c r="BF233" s="91"/>
      <c r="BG233" s="90"/>
      <c r="BH233" s="91">
        <f t="shared" si="366"/>
        <v>0</v>
      </c>
      <c r="BJ233"/>
      <c r="BK233"/>
      <c r="BL233"/>
      <c r="BM233"/>
      <c r="BN233"/>
      <c r="BO233"/>
    </row>
    <row r="234" spans="1:67" s="70" customFormat="1">
      <c r="B234" s="71" t="s">
        <v>319</v>
      </c>
      <c r="C234" s="71"/>
      <c r="D234" s="92" t="s">
        <v>159</v>
      </c>
      <c r="E234" s="93">
        <f>+E201-E232</f>
        <v>49.292794999999998</v>
      </c>
      <c r="F234" s="94">
        <f>+F201-F232</f>
        <v>44.391151999999998</v>
      </c>
      <c r="G234" s="94">
        <f>+H234</f>
        <v>52.904336000000001</v>
      </c>
      <c r="H234" s="93">
        <f>+H201-H232</f>
        <v>52.904336000000001</v>
      </c>
      <c r="I234" s="94">
        <f>+I201-I232</f>
        <v>43.197564999999997</v>
      </c>
      <c r="J234" s="94">
        <f>+K234</f>
        <v>70.081000000000003</v>
      </c>
      <c r="K234" s="93">
        <f>+K201-K232</f>
        <v>70.081000000000003</v>
      </c>
      <c r="L234" s="94">
        <f>+L201-L232</f>
        <v>53.721000000000004</v>
      </c>
      <c r="M234" s="94">
        <f>+N234</f>
        <v>79.015999999999963</v>
      </c>
      <c r="N234" s="93">
        <f>+N201-N232</f>
        <v>79.015999999999963</v>
      </c>
      <c r="O234" s="94">
        <f>+O201-O232</f>
        <v>47.929999999999993</v>
      </c>
      <c r="P234" s="94">
        <f>+Q234</f>
        <v>2.157999999999987</v>
      </c>
      <c r="Q234" s="93">
        <f>+Q201-Q232</f>
        <v>2.157999999999987</v>
      </c>
      <c r="R234" s="94">
        <f>+R201-R232</f>
        <v>105.40799999999997</v>
      </c>
      <c r="S234" s="94">
        <f>+T234</f>
        <v>80.007000000000005</v>
      </c>
      <c r="T234" s="93">
        <f>+T201-T232</f>
        <v>80.007000000000005</v>
      </c>
      <c r="U234" s="94">
        <f>+U201-U232</f>
        <v>76.057000000000016</v>
      </c>
      <c r="V234" s="94">
        <f>+W234</f>
        <v>102.64500000000004</v>
      </c>
      <c r="W234" s="93">
        <f>+W201-W232</f>
        <v>102.64500000000004</v>
      </c>
      <c r="X234" s="94">
        <f>+X201-X232</f>
        <v>219.5663053774918</v>
      </c>
      <c r="Y234" s="94">
        <f>+Z234</f>
        <v>352.93700000000024</v>
      </c>
      <c r="Z234" s="93">
        <f>+Z201-Z232</f>
        <v>352.93700000000024</v>
      </c>
      <c r="AA234" s="94">
        <f>+AA201-AA232</f>
        <v>421.94100000000003</v>
      </c>
      <c r="AB234" s="94">
        <f>+AC234</f>
        <v>413.40271105862735</v>
      </c>
      <c r="AC234" s="93">
        <f>+AC201-AC232</f>
        <v>413.40271105862735</v>
      </c>
      <c r="AD234" s="94">
        <f>+AD201-AD232</f>
        <v>414.58297787420292</v>
      </c>
      <c r="AE234" s="94">
        <f>+AF234</f>
        <v>416.41892121934154</v>
      </c>
      <c r="AF234" s="93">
        <f>+AF201-AF232</f>
        <v>416.41892121934154</v>
      </c>
      <c r="AG234" s="94">
        <f>+AG201-AG232</f>
        <v>424.61861836802814</v>
      </c>
      <c r="AH234" s="94">
        <f>+AI234</f>
        <v>434.5658677565915</v>
      </c>
      <c r="AI234" s="93">
        <f>+AI201-AI232</f>
        <v>434.5658677565915</v>
      </c>
      <c r="AJ234" s="94">
        <f>+AJ201-AJ232</f>
        <v>458.30914136838805</v>
      </c>
      <c r="AK234" s="94">
        <f>+AL234</f>
        <v>484.62484446120493</v>
      </c>
      <c r="AL234" s="93">
        <f>+AL201-AL232</f>
        <v>484.62484446120493</v>
      </c>
      <c r="AM234" s="94">
        <f>+AM201-AM232</f>
        <v>882.47645744294186</v>
      </c>
      <c r="AN234" s="94">
        <f>+AO234</f>
        <v>942.63275019866228</v>
      </c>
      <c r="AO234" s="93">
        <f>+AO201-AO232</f>
        <v>942.63275019866228</v>
      </c>
      <c r="AP234" s="94">
        <f>+AP201-AP232</f>
        <v>1043.6791703019242</v>
      </c>
      <c r="AQ234" s="94">
        <f>+AR234</f>
        <v>1155.6994157751997</v>
      </c>
      <c r="AR234" s="93">
        <f>+AR201-AR232</f>
        <v>1155.6994157751997</v>
      </c>
      <c r="AS234" s="94">
        <f>+AS201-AS232</f>
        <v>1292.0093889758307</v>
      </c>
      <c r="AT234" s="94">
        <f>+AU234</f>
        <v>1442.3117181168823</v>
      </c>
      <c r="AU234" s="93">
        <f>+AU201-AU232</f>
        <v>1442.3117181168823</v>
      </c>
      <c r="AV234" s="94">
        <f>+AV201-AV232</f>
        <v>1618.5846078024292</v>
      </c>
      <c r="AW234" s="94">
        <f>+AX234</f>
        <v>1812.1684206474808</v>
      </c>
      <c r="AX234" s="93">
        <f>+AX201-AX232</f>
        <v>1812.1684206474808</v>
      </c>
      <c r="AY234" s="94">
        <f>+AY201-AY232</f>
        <v>2030.3642843881757</v>
      </c>
      <c r="AZ234" s="94">
        <f>+BA234</f>
        <v>2269.8296378502996</v>
      </c>
      <c r="BA234" s="93">
        <f>+BA201-BA232</f>
        <v>2269.8296378502996</v>
      </c>
      <c r="BB234" s="94">
        <f>+BB201-BB232</f>
        <v>2533.2556728033687</v>
      </c>
      <c r="BC234" s="94">
        <f>+BD234</f>
        <v>2821.7399554763319</v>
      </c>
      <c r="BD234" s="93">
        <f>+BD201-BD232</f>
        <v>2821.7399554763319</v>
      </c>
      <c r="BE234" s="94">
        <f>+BE201-BE232</f>
        <v>3131.3161429843385</v>
      </c>
      <c r="BF234" s="94">
        <f>+BG234</f>
        <v>3469.7566014637673</v>
      </c>
      <c r="BG234" s="93">
        <f>+BG201-BG232</f>
        <v>3469.7566014637673</v>
      </c>
      <c r="BH234" s="91">
        <f t="shared" ref="BH234:BH243" si="635">+AB234-AA234</f>
        <v>-8.5382889413726843</v>
      </c>
      <c r="BJ234"/>
      <c r="BK234"/>
      <c r="BL234"/>
      <c r="BM234"/>
      <c r="BN234"/>
      <c r="BO234"/>
    </row>
    <row r="235" spans="1:67" s="61" customFormat="1">
      <c r="B235" s="71"/>
      <c r="C235" s="71"/>
      <c r="D235" s="92"/>
      <c r="E235" s="90"/>
      <c r="F235" s="91"/>
      <c r="G235" s="91"/>
      <c r="H235" s="90"/>
      <c r="I235" s="91"/>
      <c r="J235" s="91"/>
      <c r="K235" s="90"/>
      <c r="L235" s="91"/>
      <c r="M235" s="91"/>
      <c r="N235" s="90"/>
      <c r="O235" s="91"/>
      <c r="P235" s="91"/>
      <c r="Q235" s="90"/>
      <c r="R235" s="91"/>
      <c r="S235" s="91"/>
      <c r="T235" s="90"/>
      <c r="U235" s="91"/>
      <c r="V235" s="91"/>
      <c r="W235" s="90"/>
      <c r="X235" s="91"/>
      <c r="Y235" s="91"/>
      <c r="Z235" s="90"/>
      <c r="AA235" s="91"/>
      <c r="AB235" s="91"/>
      <c r="AC235" s="90"/>
      <c r="AD235" s="91"/>
      <c r="AE235" s="91"/>
      <c r="AF235" s="90"/>
      <c r="AG235" s="91"/>
      <c r="AH235" s="91"/>
      <c r="AI235" s="90"/>
      <c r="AJ235" s="91"/>
      <c r="AK235" s="91"/>
      <c r="AL235" s="90"/>
      <c r="AM235" s="91"/>
      <c r="AN235" s="91"/>
      <c r="AO235" s="90"/>
      <c r="AP235" s="91"/>
      <c r="AQ235" s="91"/>
      <c r="AR235" s="90"/>
      <c r="AS235" s="91"/>
      <c r="AT235" s="91"/>
      <c r="AU235" s="90"/>
      <c r="AV235" s="91"/>
      <c r="AW235" s="91"/>
      <c r="AX235" s="90"/>
      <c r="AY235" s="91"/>
      <c r="AZ235" s="91"/>
      <c r="BA235" s="90"/>
      <c r="BB235" s="91"/>
      <c r="BC235" s="91"/>
      <c r="BD235" s="90"/>
      <c r="BE235" s="91"/>
      <c r="BF235" s="91"/>
      <c r="BG235" s="90"/>
      <c r="BH235" s="91">
        <f t="shared" si="635"/>
        <v>0</v>
      </c>
      <c r="BJ235"/>
      <c r="BK235"/>
      <c r="BL235"/>
      <c r="BM235"/>
      <c r="BN235"/>
      <c r="BO235"/>
    </row>
    <row r="236" spans="1:67" s="70" customFormat="1">
      <c r="A236" s="71"/>
      <c r="B236" s="71" t="s">
        <v>320</v>
      </c>
      <c r="C236" s="71"/>
      <c r="D236" s="92" t="s">
        <v>159</v>
      </c>
      <c r="E236" s="90"/>
      <c r="F236" s="91"/>
      <c r="G236" s="91"/>
      <c r="H236" s="90"/>
      <c r="I236" s="91"/>
      <c r="J236" s="91"/>
      <c r="K236" s="90"/>
      <c r="L236" s="91"/>
      <c r="M236" s="91"/>
      <c r="N236" s="90"/>
      <c r="O236" s="91"/>
      <c r="P236" s="91"/>
      <c r="Q236" s="90"/>
      <c r="R236" s="91"/>
      <c r="S236" s="91"/>
      <c r="T236" s="90"/>
      <c r="U236" s="91"/>
      <c r="V236" s="91"/>
      <c r="W236" s="90"/>
      <c r="X236" s="91"/>
      <c r="Y236" s="91"/>
      <c r="Z236" s="90"/>
      <c r="AA236" s="91"/>
      <c r="AB236" s="91"/>
      <c r="AC236" s="90"/>
      <c r="AD236" s="91"/>
      <c r="AE236" s="91"/>
      <c r="AF236" s="90"/>
      <c r="AG236" s="91"/>
      <c r="AH236" s="91"/>
      <c r="AI236" s="90"/>
      <c r="AJ236" s="91"/>
      <c r="AK236" s="91"/>
      <c r="AL236" s="90"/>
      <c r="AM236" s="91"/>
      <c r="AN236" s="91"/>
      <c r="AO236" s="90"/>
      <c r="AP236" s="91"/>
      <c r="AQ236" s="91"/>
      <c r="AR236" s="90"/>
      <c r="AS236" s="91"/>
      <c r="AT236" s="91"/>
      <c r="AU236" s="90"/>
      <c r="AV236" s="91"/>
      <c r="AW236" s="91"/>
      <c r="AX236" s="90"/>
      <c r="AY236" s="91"/>
      <c r="AZ236" s="91"/>
      <c r="BA236" s="90"/>
      <c r="BB236" s="91"/>
      <c r="BC236" s="91"/>
      <c r="BD236" s="90"/>
      <c r="BE236" s="91"/>
      <c r="BF236" s="91"/>
      <c r="BG236" s="90"/>
      <c r="BH236" s="91">
        <f t="shared" si="635"/>
        <v>0</v>
      </c>
      <c r="BJ236"/>
      <c r="BK236"/>
      <c r="BL236"/>
      <c r="BM236"/>
      <c r="BN236"/>
      <c r="BO236"/>
    </row>
    <row r="237" spans="1:67" s="61" customFormat="1">
      <c r="B237" s="88" t="s">
        <v>123</v>
      </c>
      <c r="C237" s="156"/>
      <c r="D237" s="89" t="s">
        <v>159</v>
      </c>
      <c r="E237" s="150">
        <v>55.560912000000002</v>
      </c>
      <c r="F237" s="151">
        <v>55.560912000000002</v>
      </c>
      <c r="G237" s="91">
        <f>H237</f>
        <v>72.052655999999999</v>
      </c>
      <c r="H237" s="150">
        <v>72.052655999999999</v>
      </c>
      <c r="I237" s="151">
        <v>72.052655999999999</v>
      </c>
      <c r="J237" s="91">
        <f>K237</f>
        <v>115.943</v>
      </c>
      <c r="K237" s="150">
        <v>115.943</v>
      </c>
      <c r="L237" s="151">
        <v>116.36199999999999</v>
      </c>
      <c r="M237" s="91">
        <f>N237</f>
        <v>167.05799999999999</v>
      </c>
      <c r="N237" s="150">
        <v>167.05799999999999</v>
      </c>
      <c r="O237" s="151">
        <v>167.90799999999999</v>
      </c>
      <c r="P237" s="91">
        <f>Q237</f>
        <v>170.84</v>
      </c>
      <c r="Q237" s="150">
        <v>170.84</v>
      </c>
      <c r="R237" s="151">
        <v>344.11399999999998</v>
      </c>
      <c r="S237" s="91">
        <f>T237</f>
        <v>370.97199999999998</v>
      </c>
      <c r="T237" s="180">
        <v>370.97199999999998</v>
      </c>
      <c r="U237" s="181">
        <v>391.89600000000002</v>
      </c>
      <c r="V237" s="91">
        <f t="shared" ref="V237" si="636">W237</f>
        <v>315.178</v>
      </c>
      <c r="W237" s="180">
        <v>315.178</v>
      </c>
      <c r="X237" s="181">
        <v>393.30640942039105</v>
      </c>
      <c r="Y237" s="91">
        <f t="shared" ref="Y237" si="637">+Z237</f>
        <v>414.012</v>
      </c>
      <c r="Z237" s="180">
        <v>414.012</v>
      </c>
      <c r="AA237" s="181">
        <v>473.11</v>
      </c>
      <c r="AB237" s="91">
        <f t="shared" ref="AB237" si="638">+AC237</f>
        <v>473.11</v>
      </c>
      <c r="AC237" s="90">
        <f>+AA237</f>
        <v>473.11</v>
      </c>
      <c r="AD237" s="91">
        <f>AC237+AD144</f>
        <v>473.11</v>
      </c>
      <c r="AE237" s="91">
        <f t="shared" ref="AE237" si="639">+AF237</f>
        <v>473.11</v>
      </c>
      <c r="AF237" s="90">
        <f>AC237+AF144</f>
        <v>473.11</v>
      </c>
      <c r="AG237" s="91">
        <f>AF237+AG144</f>
        <v>473.11</v>
      </c>
      <c r="AH237" s="91">
        <f t="shared" ref="AH237" si="640">+AI237</f>
        <v>473.11</v>
      </c>
      <c r="AI237" s="90">
        <f>AF237+AI144</f>
        <v>473.11</v>
      </c>
      <c r="AJ237" s="91">
        <f>AI237+AJ144</f>
        <v>473.11</v>
      </c>
      <c r="AK237" s="91">
        <f t="shared" ref="AK237" si="641">+AL237</f>
        <v>473.11</v>
      </c>
      <c r="AL237" s="90">
        <f>AI237+AL144</f>
        <v>473.11</v>
      </c>
      <c r="AM237" s="91">
        <f>AL237+AM144+341.811</f>
        <v>814.92100000000005</v>
      </c>
      <c r="AN237" s="91">
        <f t="shared" ref="AN237" si="642">+AO237</f>
        <v>814.92100000000005</v>
      </c>
      <c r="AO237" s="90">
        <f>AL237+AO144+341.811</f>
        <v>814.92100000000005</v>
      </c>
      <c r="AP237" s="91">
        <f>AO237+AP144</f>
        <v>814.92100000000005</v>
      </c>
      <c r="AQ237" s="91">
        <f t="shared" ref="AQ237" si="643">+AR237</f>
        <v>814.92100000000005</v>
      </c>
      <c r="AR237" s="90">
        <f>AO237+AR144</f>
        <v>814.92100000000005</v>
      </c>
      <c r="AS237" s="91">
        <f>AR237+AS144</f>
        <v>814.92100000000005</v>
      </c>
      <c r="AT237" s="91">
        <f t="shared" ref="AT237" si="644">+AU237</f>
        <v>814.92100000000005</v>
      </c>
      <c r="AU237" s="90">
        <f>AR237+AU144</f>
        <v>814.92100000000005</v>
      </c>
      <c r="AV237" s="91">
        <f>AU237+AV144</f>
        <v>814.92100000000005</v>
      </c>
      <c r="AW237" s="91">
        <f t="shared" ref="AW237" si="645">+AX237</f>
        <v>814.92100000000005</v>
      </c>
      <c r="AX237" s="90">
        <f>AU237+AX144</f>
        <v>814.92100000000005</v>
      </c>
      <c r="AY237" s="91">
        <f>AX237+AY144</f>
        <v>814.92100000000005</v>
      </c>
      <c r="AZ237" s="91">
        <f t="shared" ref="AZ237" si="646">+BA237</f>
        <v>814.92100000000005</v>
      </c>
      <c r="BA237" s="90">
        <f>AX237+BA144</f>
        <v>814.92100000000005</v>
      </c>
      <c r="BB237" s="91">
        <f>BA237+BB144</f>
        <v>814.92100000000005</v>
      </c>
      <c r="BC237" s="91">
        <f t="shared" ref="BC237" si="647">+BD237</f>
        <v>814.92100000000005</v>
      </c>
      <c r="BD237" s="90">
        <f>BA237+BD144</f>
        <v>814.92100000000005</v>
      </c>
      <c r="BE237" s="91">
        <f>BD237+BE144</f>
        <v>814.92100000000005</v>
      </c>
      <c r="BF237" s="91">
        <f t="shared" ref="BF237" si="648">+BG237</f>
        <v>814.92100000000005</v>
      </c>
      <c r="BG237" s="90">
        <f>BD237+BG144</f>
        <v>814.92100000000005</v>
      </c>
      <c r="BH237" s="91">
        <f t="shared" si="635"/>
        <v>0</v>
      </c>
      <c r="BI237" s="91"/>
      <c r="BJ237"/>
      <c r="BK237"/>
      <c r="BL237"/>
      <c r="BM237"/>
      <c r="BN237"/>
      <c r="BO237"/>
    </row>
    <row r="238" spans="1:67" s="61" customFormat="1">
      <c r="B238" s="96" t="s">
        <v>321</v>
      </c>
      <c r="C238" s="156"/>
      <c r="D238" s="89" t="s">
        <v>159</v>
      </c>
      <c r="E238" s="90">
        <f t="shared" ref="E238:Y238" si="649">+SUM(E239:E242)</f>
        <v>0.10899800000000001</v>
      </c>
      <c r="F238" s="91">
        <f t="shared" si="649"/>
        <v>0.39710799999999996</v>
      </c>
      <c r="G238" s="91">
        <f t="shared" si="649"/>
        <v>1.0588579999999999</v>
      </c>
      <c r="H238" s="90">
        <f t="shared" si="649"/>
        <v>1.0588579999999999</v>
      </c>
      <c r="I238" s="91">
        <f t="shared" si="649"/>
        <v>1.7213590000000001</v>
      </c>
      <c r="J238" s="91">
        <f t="shared" si="649"/>
        <v>2.2120000000000002</v>
      </c>
      <c r="K238" s="90">
        <f t="shared" si="649"/>
        <v>2.2120000000000002</v>
      </c>
      <c r="L238" s="91">
        <f t="shared" si="649"/>
        <v>3.734</v>
      </c>
      <c r="M238" s="91">
        <f t="shared" si="649"/>
        <v>4.9190000000000005</v>
      </c>
      <c r="N238" s="90">
        <f t="shared" si="649"/>
        <v>4.9190000000000005</v>
      </c>
      <c r="O238" s="91">
        <f t="shared" si="649"/>
        <v>5.4969999999999999</v>
      </c>
      <c r="P238" s="91">
        <f t="shared" si="649"/>
        <v>4.7889999999999997</v>
      </c>
      <c r="Q238" s="90">
        <f t="shared" si="649"/>
        <v>4.7889999999999997</v>
      </c>
      <c r="R238" s="91">
        <f t="shared" si="649"/>
        <v>5.6559999999999997</v>
      </c>
      <c r="S238" s="91">
        <f t="shared" si="649"/>
        <v>-18.149999999999999</v>
      </c>
      <c r="T238" s="90">
        <f t="shared" si="649"/>
        <v>-18.149999999999999</v>
      </c>
      <c r="U238" s="91">
        <f t="shared" si="649"/>
        <v>-30.617999999999999</v>
      </c>
      <c r="V238" s="91">
        <f t="shared" si="649"/>
        <v>-25.413999999999998</v>
      </c>
      <c r="W238" s="90">
        <f t="shared" si="649"/>
        <v>-25.413999999999998</v>
      </c>
      <c r="X238" s="91">
        <v>33.525433999999997</v>
      </c>
      <c r="Y238" s="91">
        <f t="shared" si="649"/>
        <v>91.838999999999999</v>
      </c>
      <c r="Z238" s="90">
        <f>+SUM(Z239:Z242)</f>
        <v>91.838999999999999</v>
      </c>
      <c r="AA238" s="91">
        <f>+SUM(AA239:AA242)</f>
        <v>99.813000000000002</v>
      </c>
      <c r="AB238" s="91">
        <f t="shared" ref="AB238:BG238" si="650">+SUM(AB239:AB242)</f>
        <v>99.813000000000002</v>
      </c>
      <c r="AC238" s="90">
        <f t="shared" si="650"/>
        <v>99.813000000000002</v>
      </c>
      <c r="AD238" s="91">
        <f t="shared" si="650"/>
        <v>99.813000000000002</v>
      </c>
      <c r="AE238" s="91">
        <f t="shared" si="650"/>
        <v>99.813000000000002</v>
      </c>
      <c r="AF238" s="90">
        <f t="shared" si="650"/>
        <v>99.813000000000002</v>
      </c>
      <c r="AG238" s="91">
        <f t="shared" si="650"/>
        <v>99.813000000000002</v>
      </c>
      <c r="AH238" s="91">
        <f t="shared" si="650"/>
        <v>99.813000000000002</v>
      </c>
      <c r="AI238" s="90">
        <f t="shared" si="650"/>
        <v>99.813000000000002</v>
      </c>
      <c r="AJ238" s="91">
        <f t="shared" si="650"/>
        <v>99.813000000000002</v>
      </c>
      <c r="AK238" s="91">
        <f t="shared" si="650"/>
        <v>99.813000000000002</v>
      </c>
      <c r="AL238" s="90">
        <f t="shared" si="650"/>
        <v>99.813000000000002</v>
      </c>
      <c r="AM238" s="91">
        <f t="shared" si="650"/>
        <v>99.813000000000002</v>
      </c>
      <c r="AN238" s="91">
        <f t="shared" si="650"/>
        <v>99.813000000000002</v>
      </c>
      <c r="AO238" s="90">
        <f t="shared" si="650"/>
        <v>99.813000000000002</v>
      </c>
      <c r="AP238" s="91">
        <f t="shared" si="650"/>
        <v>99.813000000000002</v>
      </c>
      <c r="AQ238" s="91">
        <f t="shared" si="650"/>
        <v>99.813000000000002</v>
      </c>
      <c r="AR238" s="90">
        <f t="shared" si="650"/>
        <v>99.813000000000002</v>
      </c>
      <c r="AS238" s="91">
        <f t="shared" si="650"/>
        <v>99.813000000000002</v>
      </c>
      <c r="AT238" s="91">
        <f t="shared" si="650"/>
        <v>99.813000000000002</v>
      </c>
      <c r="AU238" s="90">
        <f t="shared" si="650"/>
        <v>99.813000000000002</v>
      </c>
      <c r="AV238" s="91">
        <f t="shared" si="650"/>
        <v>99.813000000000002</v>
      </c>
      <c r="AW238" s="91">
        <f t="shared" si="650"/>
        <v>99.813000000000002</v>
      </c>
      <c r="AX238" s="90">
        <f t="shared" si="650"/>
        <v>99.813000000000002</v>
      </c>
      <c r="AY238" s="91">
        <f t="shared" si="650"/>
        <v>99.813000000000002</v>
      </c>
      <c r="AZ238" s="91">
        <f t="shared" si="650"/>
        <v>99.813000000000002</v>
      </c>
      <c r="BA238" s="90">
        <f t="shared" si="650"/>
        <v>99.813000000000002</v>
      </c>
      <c r="BB238" s="91">
        <f t="shared" si="650"/>
        <v>99.813000000000002</v>
      </c>
      <c r="BC238" s="91">
        <f t="shared" si="650"/>
        <v>99.813000000000002</v>
      </c>
      <c r="BD238" s="90">
        <f t="shared" si="650"/>
        <v>99.813000000000002</v>
      </c>
      <c r="BE238" s="91">
        <f t="shared" si="650"/>
        <v>99.813000000000002</v>
      </c>
      <c r="BF238" s="91">
        <f t="shared" si="650"/>
        <v>99.813000000000002</v>
      </c>
      <c r="BG238" s="90">
        <f t="shared" si="650"/>
        <v>99.813000000000002</v>
      </c>
      <c r="BH238" s="91">
        <f t="shared" si="635"/>
        <v>0</v>
      </c>
      <c r="BJ238"/>
      <c r="BK238"/>
      <c r="BL238"/>
      <c r="BM238"/>
      <c r="BN238"/>
      <c r="BO238"/>
    </row>
    <row r="239" spans="1:67" s="61" customFormat="1" outlineLevel="1">
      <c r="B239" s="121" t="s">
        <v>322</v>
      </c>
      <c r="C239" s="156"/>
      <c r="D239" s="89" t="s">
        <v>159</v>
      </c>
      <c r="E239" s="150">
        <v>0</v>
      </c>
      <c r="F239" s="151">
        <v>0</v>
      </c>
      <c r="G239" s="91">
        <f t="shared" ref="G239:G243" si="651">H239</f>
        <v>0</v>
      </c>
      <c r="H239" s="150">
        <v>0</v>
      </c>
      <c r="I239" s="151">
        <v>0</v>
      </c>
      <c r="J239" s="91">
        <f t="shared" ref="J239:J243" si="652">K239</f>
        <v>0</v>
      </c>
      <c r="K239" s="150">
        <v>0</v>
      </c>
      <c r="L239" s="151">
        <v>0</v>
      </c>
      <c r="M239" s="91">
        <f t="shared" ref="M239:M243" si="653">N239</f>
        <v>0</v>
      </c>
      <c r="N239" s="150">
        <v>0</v>
      </c>
      <c r="O239" s="151">
        <v>0</v>
      </c>
      <c r="P239" s="91">
        <f t="shared" ref="P239:P243" si="654">Q239</f>
        <v>0</v>
      </c>
      <c r="Q239" s="150">
        <v>0</v>
      </c>
      <c r="R239" s="151">
        <v>0</v>
      </c>
      <c r="S239" s="91">
        <f t="shared" ref="S239:S243" si="655">T239</f>
        <v>-26.908999999999999</v>
      </c>
      <c r="T239" s="90">
        <v>-26.908999999999999</v>
      </c>
      <c r="U239" s="181">
        <v>-43.076000000000001</v>
      </c>
      <c r="V239" s="91"/>
      <c r="W239" s="90"/>
      <c r="X239" s="91"/>
      <c r="Y239" s="91"/>
      <c r="Z239" s="90"/>
      <c r="AA239" s="91"/>
      <c r="AB239" s="91"/>
      <c r="AC239" s="90"/>
      <c r="AD239" s="91"/>
      <c r="AE239" s="91"/>
      <c r="AF239" s="90"/>
      <c r="AG239" s="91"/>
      <c r="AH239" s="91"/>
      <c r="AI239" s="90"/>
      <c r="AJ239" s="91"/>
      <c r="AK239" s="91"/>
      <c r="AL239" s="90"/>
      <c r="AM239" s="91"/>
      <c r="AN239" s="91"/>
      <c r="AO239" s="90"/>
      <c r="AP239" s="91"/>
      <c r="AQ239" s="91"/>
      <c r="AR239" s="90"/>
      <c r="AS239" s="91"/>
      <c r="AT239" s="91"/>
      <c r="AU239" s="90"/>
      <c r="AV239" s="91"/>
      <c r="AW239" s="91"/>
      <c r="AX239" s="90"/>
      <c r="AY239" s="91"/>
      <c r="AZ239" s="91"/>
      <c r="BA239" s="90"/>
      <c r="BB239" s="91"/>
      <c r="BC239" s="91"/>
      <c r="BD239" s="90"/>
      <c r="BE239" s="91"/>
      <c r="BF239" s="91"/>
      <c r="BG239" s="90"/>
      <c r="BH239" s="91">
        <f t="shared" si="635"/>
        <v>0</v>
      </c>
      <c r="BJ239"/>
      <c r="BK239"/>
      <c r="BL239"/>
      <c r="BM239"/>
      <c r="BN239"/>
      <c r="BO239"/>
    </row>
    <row r="240" spans="1:67" s="61" customFormat="1" outlineLevel="1">
      <c r="B240" s="121" t="s">
        <v>323</v>
      </c>
      <c r="C240" s="156"/>
      <c r="D240" s="89" t="s">
        <v>159</v>
      </c>
      <c r="E240" s="150">
        <v>-2.1999999999999999E-5</v>
      </c>
      <c r="F240" s="151">
        <v>-9.8900000000000008E-4</v>
      </c>
      <c r="G240" s="91">
        <f t="shared" si="651"/>
        <v>5.3858000000000003E-2</v>
      </c>
      <c r="H240" s="150">
        <v>5.3858000000000003E-2</v>
      </c>
      <c r="I240" s="151">
        <v>6.2937000000000007E-2</v>
      </c>
      <c r="J240" s="91">
        <f t="shared" si="652"/>
        <v>-6.2E-2</v>
      </c>
      <c r="K240" s="150">
        <v>-6.2E-2</v>
      </c>
      <c r="L240" s="151">
        <v>0.61699999999999999</v>
      </c>
      <c r="M240" s="91">
        <f t="shared" si="653"/>
        <v>0.29899999999999999</v>
      </c>
      <c r="N240" s="150">
        <v>0.29899999999999999</v>
      </c>
      <c r="O240" s="151">
        <v>-0.623</v>
      </c>
      <c r="P240" s="91">
        <f t="shared" si="654"/>
        <v>-1.153</v>
      </c>
      <c r="Q240" s="150">
        <v>-1.153</v>
      </c>
      <c r="R240" s="151">
        <v>-0.88400000000000001</v>
      </c>
      <c r="S240" s="91">
        <f t="shared" si="655"/>
        <v>-0.56200000000000006</v>
      </c>
      <c r="T240" s="90">
        <v>-0.56200000000000006</v>
      </c>
      <c r="U240" s="181">
        <v>3.74</v>
      </c>
      <c r="V240" s="91"/>
      <c r="W240" s="90"/>
      <c r="X240" s="91"/>
      <c r="Y240" s="91"/>
      <c r="Z240" s="90"/>
      <c r="AA240" s="91"/>
      <c r="AB240" s="91"/>
      <c r="AC240" s="90"/>
      <c r="AD240" s="91"/>
      <c r="AE240" s="91"/>
      <c r="AF240" s="90"/>
      <c r="AG240" s="91"/>
      <c r="AH240" s="91"/>
      <c r="AI240" s="90"/>
      <c r="AJ240" s="91"/>
      <c r="AK240" s="91"/>
      <c r="AL240" s="90"/>
      <c r="AM240" s="91"/>
      <c r="AN240" s="91"/>
      <c r="AO240" s="90"/>
      <c r="AP240" s="91"/>
      <c r="AQ240" s="91"/>
      <c r="AR240" s="90"/>
      <c r="AS240" s="91"/>
      <c r="AT240" s="91"/>
      <c r="AU240" s="90"/>
      <c r="AV240" s="91"/>
      <c r="AW240" s="91"/>
      <c r="AX240" s="90"/>
      <c r="AY240" s="91"/>
      <c r="AZ240" s="91"/>
      <c r="BA240" s="90"/>
      <c r="BB240" s="91"/>
      <c r="BC240" s="91"/>
      <c r="BD240" s="90"/>
      <c r="BE240" s="91"/>
      <c r="BF240" s="91"/>
      <c r="BG240" s="90"/>
      <c r="BH240" s="91">
        <f t="shared" si="635"/>
        <v>0</v>
      </c>
      <c r="BJ240"/>
      <c r="BK240"/>
      <c r="BL240"/>
      <c r="BM240"/>
      <c r="BN240"/>
      <c r="BO240"/>
    </row>
    <row r="241" spans="1:67" s="61" customFormat="1" outlineLevel="1">
      <c r="B241" s="121" t="s">
        <v>324</v>
      </c>
      <c r="C241" s="156"/>
      <c r="D241" s="89" t="s">
        <v>159</v>
      </c>
      <c r="E241" s="150">
        <v>0.10902000000000001</v>
      </c>
      <c r="F241" s="151">
        <v>0</v>
      </c>
      <c r="G241" s="91">
        <f t="shared" si="651"/>
        <v>1.0049999999999999</v>
      </c>
      <c r="H241" s="150">
        <v>1.0049999999999999</v>
      </c>
      <c r="I241" s="151">
        <v>1.6584220000000001</v>
      </c>
      <c r="J241" s="91">
        <f t="shared" si="652"/>
        <v>2.274</v>
      </c>
      <c r="K241" s="150">
        <v>2.274</v>
      </c>
      <c r="L241" s="151">
        <v>3.117</v>
      </c>
      <c r="M241" s="91">
        <f t="shared" si="653"/>
        <v>4.62</v>
      </c>
      <c r="N241" s="150">
        <v>4.62</v>
      </c>
      <c r="O241" s="151">
        <v>6.12</v>
      </c>
      <c r="P241" s="91">
        <f t="shared" si="654"/>
        <v>5.9420000000000002</v>
      </c>
      <c r="Q241" s="150">
        <v>5.9420000000000002</v>
      </c>
      <c r="R241" s="151">
        <v>6.54</v>
      </c>
      <c r="S241" s="91">
        <f t="shared" si="655"/>
        <v>9.3209999999999997</v>
      </c>
      <c r="T241" s="180">
        <v>9.3209999999999997</v>
      </c>
      <c r="U241" s="181">
        <v>8.718</v>
      </c>
      <c r="V241" s="91">
        <f t="shared" ref="V241:V243" si="656">+W241</f>
        <v>-41.741999999999997</v>
      </c>
      <c r="W241" s="180">
        <v>-41.741999999999997</v>
      </c>
      <c r="X241" s="181">
        <v>-45.759914640280329</v>
      </c>
      <c r="Y241" s="91">
        <f t="shared" ref="Y241:Y243" si="657">+Z241</f>
        <v>15.945</v>
      </c>
      <c r="Z241" s="180">
        <v>15.945</v>
      </c>
      <c r="AA241" s="181">
        <v>-7.8920000000000003</v>
      </c>
      <c r="AB241" s="91">
        <f>+AA241</f>
        <v>-7.8920000000000003</v>
      </c>
      <c r="AC241" s="90">
        <f>+AB241</f>
        <v>-7.8920000000000003</v>
      </c>
      <c r="AD241" s="91">
        <f t="shared" ref="AD241:BG241" si="658">+AC241</f>
        <v>-7.8920000000000003</v>
      </c>
      <c r="AE241" s="91">
        <f t="shared" si="658"/>
        <v>-7.8920000000000003</v>
      </c>
      <c r="AF241" s="90">
        <f t="shared" si="658"/>
        <v>-7.8920000000000003</v>
      </c>
      <c r="AG241" s="91">
        <f t="shared" si="658"/>
        <v>-7.8920000000000003</v>
      </c>
      <c r="AH241" s="91">
        <f t="shared" si="658"/>
        <v>-7.8920000000000003</v>
      </c>
      <c r="AI241" s="90">
        <f t="shared" si="658"/>
        <v>-7.8920000000000003</v>
      </c>
      <c r="AJ241" s="91">
        <f t="shared" si="658"/>
        <v>-7.8920000000000003</v>
      </c>
      <c r="AK241" s="91">
        <f t="shared" si="658"/>
        <v>-7.8920000000000003</v>
      </c>
      <c r="AL241" s="90">
        <f t="shared" si="658"/>
        <v>-7.8920000000000003</v>
      </c>
      <c r="AM241" s="91">
        <f t="shared" si="658"/>
        <v>-7.8920000000000003</v>
      </c>
      <c r="AN241" s="91">
        <f t="shared" si="658"/>
        <v>-7.8920000000000003</v>
      </c>
      <c r="AO241" s="90">
        <f t="shared" si="658"/>
        <v>-7.8920000000000003</v>
      </c>
      <c r="AP241" s="91">
        <f t="shared" si="658"/>
        <v>-7.8920000000000003</v>
      </c>
      <c r="AQ241" s="91">
        <f t="shared" si="658"/>
        <v>-7.8920000000000003</v>
      </c>
      <c r="AR241" s="90">
        <f t="shared" si="658"/>
        <v>-7.8920000000000003</v>
      </c>
      <c r="AS241" s="91">
        <f t="shared" si="658"/>
        <v>-7.8920000000000003</v>
      </c>
      <c r="AT241" s="91">
        <f t="shared" si="658"/>
        <v>-7.8920000000000003</v>
      </c>
      <c r="AU241" s="90">
        <f t="shared" si="658"/>
        <v>-7.8920000000000003</v>
      </c>
      <c r="AV241" s="91">
        <f t="shared" si="658"/>
        <v>-7.8920000000000003</v>
      </c>
      <c r="AW241" s="91">
        <f t="shared" si="658"/>
        <v>-7.8920000000000003</v>
      </c>
      <c r="AX241" s="90">
        <f t="shared" si="658"/>
        <v>-7.8920000000000003</v>
      </c>
      <c r="AY241" s="91">
        <f t="shared" si="658"/>
        <v>-7.8920000000000003</v>
      </c>
      <c r="AZ241" s="91">
        <f t="shared" si="658"/>
        <v>-7.8920000000000003</v>
      </c>
      <c r="BA241" s="90">
        <f t="shared" si="658"/>
        <v>-7.8920000000000003</v>
      </c>
      <c r="BB241" s="91">
        <f t="shared" si="658"/>
        <v>-7.8920000000000003</v>
      </c>
      <c r="BC241" s="91">
        <f t="shared" si="658"/>
        <v>-7.8920000000000003</v>
      </c>
      <c r="BD241" s="90">
        <f t="shared" si="658"/>
        <v>-7.8920000000000003</v>
      </c>
      <c r="BE241" s="91">
        <f t="shared" si="658"/>
        <v>-7.8920000000000003</v>
      </c>
      <c r="BF241" s="91">
        <f t="shared" si="658"/>
        <v>-7.8920000000000003</v>
      </c>
      <c r="BG241" s="90">
        <f t="shared" si="658"/>
        <v>-7.8920000000000003</v>
      </c>
      <c r="BH241" s="91">
        <f t="shared" si="635"/>
        <v>0</v>
      </c>
      <c r="BJ241"/>
      <c r="BK241"/>
      <c r="BL241"/>
      <c r="BM241"/>
      <c r="BN241"/>
      <c r="BO241"/>
    </row>
    <row r="242" spans="1:67" s="61" customFormat="1" outlineLevel="1">
      <c r="B242" s="121" t="s">
        <v>325</v>
      </c>
      <c r="C242" s="156"/>
      <c r="D242" s="89"/>
      <c r="E242" s="150">
        <v>0</v>
      </c>
      <c r="F242" s="151">
        <v>0.39809699999999998</v>
      </c>
      <c r="G242" s="91">
        <f t="shared" si="651"/>
        <v>0</v>
      </c>
      <c r="H242" s="150">
        <v>0</v>
      </c>
      <c r="I242" s="151">
        <v>0</v>
      </c>
      <c r="J242" s="91">
        <f t="shared" si="652"/>
        <v>0</v>
      </c>
      <c r="K242" s="150">
        <v>0</v>
      </c>
      <c r="L242" s="151">
        <v>0</v>
      </c>
      <c r="M242" s="91">
        <f t="shared" si="653"/>
        <v>0</v>
      </c>
      <c r="N242" s="150">
        <v>0</v>
      </c>
      <c r="O242" s="151">
        <v>0</v>
      </c>
      <c r="P242" s="91">
        <f t="shared" si="654"/>
        <v>0</v>
      </c>
      <c r="Q242" s="150">
        <v>0</v>
      </c>
      <c r="R242" s="151">
        <v>0</v>
      </c>
      <c r="S242" s="91">
        <f t="shared" si="655"/>
        <v>0</v>
      </c>
      <c r="T242" s="180">
        <v>0</v>
      </c>
      <c r="U242" s="181">
        <v>0</v>
      </c>
      <c r="V242" s="91">
        <f>+W242</f>
        <v>16.327999999999999</v>
      </c>
      <c r="W242" s="180">
        <v>16.327999999999999</v>
      </c>
      <c r="X242" s="181">
        <v>79.284912460669176</v>
      </c>
      <c r="Y242" s="91">
        <f>+Z242</f>
        <v>75.894000000000005</v>
      </c>
      <c r="Z242" s="180">
        <v>75.894000000000005</v>
      </c>
      <c r="AA242" s="181">
        <v>107.705</v>
      </c>
      <c r="AB242" s="91">
        <f>AA242</f>
        <v>107.705</v>
      </c>
      <c r="AC242" s="90">
        <f>AB242</f>
        <v>107.705</v>
      </c>
      <c r="AD242" s="91">
        <f>AC242</f>
        <v>107.705</v>
      </c>
      <c r="AE242" s="91">
        <f>AD242</f>
        <v>107.705</v>
      </c>
      <c r="AF242" s="90">
        <f t="shared" ref="AF242:BG242" si="659">AE242</f>
        <v>107.705</v>
      </c>
      <c r="AG242" s="91">
        <f t="shared" si="659"/>
        <v>107.705</v>
      </c>
      <c r="AH242" s="91">
        <f t="shared" si="659"/>
        <v>107.705</v>
      </c>
      <c r="AI242" s="90">
        <f t="shared" si="659"/>
        <v>107.705</v>
      </c>
      <c r="AJ242" s="91">
        <f t="shared" si="659"/>
        <v>107.705</v>
      </c>
      <c r="AK242" s="91">
        <f t="shared" si="659"/>
        <v>107.705</v>
      </c>
      <c r="AL242" s="90">
        <f t="shared" si="659"/>
        <v>107.705</v>
      </c>
      <c r="AM242" s="91">
        <f t="shared" si="659"/>
        <v>107.705</v>
      </c>
      <c r="AN242" s="91">
        <f t="shared" si="659"/>
        <v>107.705</v>
      </c>
      <c r="AO242" s="90">
        <f t="shared" si="659"/>
        <v>107.705</v>
      </c>
      <c r="AP242" s="91">
        <f t="shared" si="659"/>
        <v>107.705</v>
      </c>
      <c r="AQ242" s="91">
        <f t="shared" si="659"/>
        <v>107.705</v>
      </c>
      <c r="AR242" s="90">
        <f t="shared" si="659"/>
        <v>107.705</v>
      </c>
      <c r="AS242" s="91">
        <f t="shared" si="659"/>
        <v>107.705</v>
      </c>
      <c r="AT242" s="91">
        <f t="shared" si="659"/>
        <v>107.705</v>
      </c>
      <c r="AU242" s="90">
        <f t="shared" si="659"/>
        <v>107.705</v>
      </c>
      <c r="AV242" s="91">
        <f t="shared" si="659"/>
        <v>107.705</v>
      </c>
      <c r="AW242" s="91">
        <f t="shared" si="659"/>
        <v>107.705</v>
      </c>
      <c r="AX242" s="90">
        <f t="shared" si="659"/>
        <v>107.705</v>
      </c>
      <c r="AY242" s="91">
        <f t="shared" si="659"/>
        <v>107.705</v>
      </c>
      <c r="AZ242" s="91">
        <f t="shared" si="659"/>
        <v>107.705</v>
      </c>
      <c r="BA242" s="90">
        <f t="shared" si="659"/>
        <v>107.705</v>
      </c>
      <c r="BB242" s="91">
        <f t="shared" si="659"/>
        <v>107.705</v>
      </c>
      <c r="BC242" s="91">
        <f t="shared" si="659"/>
        <v>107.705</v>
      </c>
      <c r="BD242" s="90">
        <f t="shared" si="659"/>
        <v>107.705</v>
      </c>
      <c r="BE242" s="91">
        <f t="shared" si="659"/>
        <v>107.705</v>
      </c>
      <c r="BF242" s="91">
        <f t="shared" si="659"/>
        <v>107.705</v>
      </c>
      <c r="BG242" s="90">
        <f t="shared" si="659"/>
        <v>107.705</v>
      </c>
      <c r="BH242" s="91">
        <f t="shared" si="635"/>
        <v>0</v>
      </c>
      <c r="BJ242"/>
      <c r="BK242"/>
      <c r="BL242"/>
      <c r="BM242"/>
      <c r="BN242"/>
      <c r="BO242"/>
    </row>
    <row r="243" spans="1:67" s="61" customFormat="1">
      <c r="B243" s="96" t="s">
        <v>124</v>
      </c>
      <c r="C243" s="156"/>
      <c r="D243" s="89" t="s">
        <v>159</v>
      </c>
      <c r="E243" s="150">
        <v>-6.3771149999999999</v>
      </c>
      <c r="F243" s="151">
        <v>-11.567121999999999</v>
      </c>
      <c r="G243" s="91">
        <f t="shared" si="651"/>
        <v>-20.206939999999999</v>
      </c>
      <c r="H243" s="150">
        <v>-20.206939999999999</v>
      </c>
      <c r="I243" s="151">
        <v>-30.576450000000001</v>
      </c>
      <c r="J243" s="91">
        <f t="shared" si="652"/>
        <v>-48.073999999999998</v>
      </c>
      <c r="K243" s="150">
        <v>-48.073999999999998</v>
      </c>
      <c r="L243" s="151">
        <v>-66.375</v>
      </c>
      <c r="M243" s="91">
        <f t="shared" si="653"/>
        <v>-92.960999999999999</v>
      </c>
      <c r="N243" s="150">
        <v>-92.960999999999999</v>
      </c>
      <c r="O243" s="151">
        <v>-125.47499999999999</v>
      </c>
      <c r="P243" s="91">
        <f t="shared" si="654"/>
        <v>-173.471</v>
      </c>
      <c r="Q243" s="150">
        <v>-173.471</v>
      </c>
      <c r="R243" s="151">
        <v>-244.36199999999999</v>
      </c>
      <c r="S243" s="91">
        <f t="shared" si="655"/>
        <v>-272.815</v>
      </c>
      <c r="T243" s="180">
        <v>-272.815</v>
      </c>
      <c r="U243" s="181">
        <v>-285.221</v>
      </c>
      <c r="V243" s="91">
        <f t="shared" si="656"/>
        <v>-187.119</v>
      </c>
      <c r="W243" s="180">
        <v>-187.119</v>
      </c>
      <c r="X243" s="167">
        <f>+X234-X237-X238</f>
        <v>-207.26553804289924</v>
      </c>
      <c r="Y243" s="91">
        <f t="shared" si="657"/>
        <v>-152.91399999999999</v>
      </c>
      <c r="Z243" s="180">
        <v>-152.91399999999999</v>
      </c>
      <c r="AA243" s="181">
        <v>-150.982</v>
      </c>
      <c r="AB243" s="91">
        <f t="shared" ref="AB243" si="660">+AC243</f>
        <v>-159.52028894137266</v>
      </c>
      <c r="AC243" s="90">
        <f>Z243+AC79+AC147</f>
        <v>-159.52028894137266</v>
      </c>
      <c r="AD243" s="91">
        <f>AC243+AD79+AD147</f>
        <v>-158.34002212579733</v>
      </c>
      <c r="AE243" s="91">
        <f t="shared" ref="AE243" si="661">+AF243</f>
        <v>-156.50407878065869</v>
      </c>
      <c r="AF243" s="90">
        <f>AC243+AF79+AF147</f>
        <v>-156.50407878065869</v>
      </c>
      <c r="AG243" s="91">
        <f>AF243+AG79+AG147</f>
        <v>-148.30438163197201</v>
      </c>
      <c r="AH243" s="91">
        <f t="shared" ref="AH243" si="662">+AI243</f>
        <v>-138.3571322434089</v>
      </c>
      <c r="AI243" s="90">
        <f>AF243+AI79+AI147</f>
        <v>-138.3571322434089</v>
      </c>
      <c r="AJ243" s="91">
        <f>AI243+AJ79+AJ147</f>
        <v>-114.61385863161227</v>
      </c>
      <c r="AK243" s="91">
        <f t="shared" ref="AK243" si="663">+AL243</f>
        <v>-88.298155538795584</v>
      </c>
      <c r="AL243" s="90">
        <f>AI243+AL79+AL147</f>
        <v>-88.298155538795584</v>
      </c>
      <c r="AM243" s="91">
        <f>AL243+AM79+AM147</f>
        <v>-32.257542557058528</v>
      </c>
      <c r="AN243" s="91">
        <f t="shared" ref="AN243" si="664">+AO243</f>
        <v>27.898750198661872</v>
      </c>
      <c r="AO243" s="90">
        <f>AL243+AO79+AO147</f>
        <v>27.898750198661872</v>
      </c>
      <c r="AP243" s="91">
        <f>AO243+AP79+AP147</f>
        <v>128.94517030192378</v>
      </c>
      <c r="AQ243" s="91">
        <f t="shared" ref="AQ243" si="665">+AR243</f>
        <v>240.96541577519946</v>
      </c>
      <c r="AR243" s="90">
        <f>AO243+AR79+AR147</f>
        <v>240.96541577519946</v>
      </c>
      <c r="AS243" s="91">
        <f>AR243+AS79+AS147</f>
        <v>377.2753889758302</v>
      </c>
      <c r="AT243" s="91">
        <f t="shared" ref="AT243" si="666">+AU243</f>
        <v>527.57771811688201</v>
      </c>
      <c r="AU243" s="90">
        <f>AR243+AU79+AU147</f>
        <v>527.57771811688201</v>
      </c>
      <c r="AV243" s="91">
        <f>AU243+AV79+AV147</f>
        <v>703.85060780242884</v>
      </c>
      <c r="AW243" s="91">
        <f t="shared" ref="AW243" si="667">+AX243</f>
        <v>897.43442064748047</v>
      </c>
      <c r="AX243" s="90">
        <f>AU243+AX79+AX147</f>
        <v>897.43442064748047</v>
      </c>
      <c r="AY243" s="91">
        <f>AX243+AY79+AY147</f>
        <v>1115.6302843881756</v>
      </c>
      <c r="AZ243" s="91">
        <f t="shared" ref="AZ243" si="668">+BA243</f>
        <v>1355.0956378502992</v>
      </c>
      <c r="BA243" s="90">
        <f>AX243+BA79+BA147</f>
        <v>1355.0956378502992</v>
      </c>
      <c r="BB243" s="91">
        <f>BA243+BB79+BB147</f>
        <v>1618.5216728033683</v>
      </c>
      <c r="BC243" s="91">
        <f t="shared" ref="BC243" si="669">+BD243</f>
        <v>1907.0059554763318</v>
      </c>
      <c r="BD243" s="90">
        <f>BA243+BD79+BD147</f>
        <v>1907.0059554763318</v>
      </c>
      <c r="BE243" s="91">
        <f>BD243+BE79+BE147</f>
        <v>2216.5821429843381</v>
      </c>
      <c r="BF243" s="91">
        <f t="shared" ref="BF243" si="670">+BG243</f>
        <v>2555.0226014637665</v>
      </c>
      <c r="BG243" s="90">
        <f>BD243+BG79+BG147</f>
        <v>2555.0226014637665</v>
      </c>
      <c r="BH243" s="91">
        <f t="shared" si="635"/>
        <v>-8.5382889413726559</v>
      </c>
      <c r="BJ243"/>
      <c r="BK243"/>
      <c r="BL243"/>
      <c r="BM243"/>
      <c r="BN243"/>
      <c r="BO243"/>
    </row>
    <row r="244" spans="1:67" s="70" customFormat="1">
      <c r="B244" s="71" t="s">
        <v>127</v>
      </c>
      <c r="C244" s="156"/>
      <c r="D244" s="92" t="s">
        <v>159</v>
      </c>
      <c r="E244" s="93">
        <f t="shared" ref="E244:Y244" si="671">+E237+E238+E243</f>
        <v>49.292794999999998</v>
      </c>
      <c r="F244" s="94">
        <f t="shared" si="671"/>
        <v>44.390898000000007</v>
      </c>
      <c r="G244" s="94">
        <f t="shared" si="671"/>
        <v>52.904573999999997</v>
      </c>
      <c r="H244" s="93">
        <f t="shared" si="671"/>
        <v>52.904573999999997</v>
      </c>
      <c r="I244" s="94">
        <f t="shared" si="671"/>
        <v>43.197565000000004</v>
      </c>
      <c r="J244" s="94">
        <f t="shared" si="671"/>
        <v>70.081000000000003</v>
      </c>
      <c r="K244" s="93">
        <f t="shared" si="671"/>
        <v>70.081000000000003</v>
      </c>
      <c r="L244" s="94">
        <f t="shared" si="671"/>
        <v>53.720999999999989</v>
      </c>
      <c r="M244" s="94">
        <f t="shared" si="671"/>
        <v>79.016000000000005</v>
      </c>
      <c r="N244" s="93">
        <f t="shared" si="671"/>
        <v>79.016000000000005</v>
      </c>
      <c r="O244" s="94">
        <f t="shared" si="671"/>
        <v>47.929999999999978</v>
      </c>
      <c r="P244" s="94">
        <f t="shared" si="671"/>
        <v>2.157999999999987</v>
      </c>
      <c r="Q244" s="93">
        <f t="shared" si="671"/>
        <v>2.157999999999987</v>
      </c>
      <c r="R244" s="94">
        <f t="shared" si="671"/>
        <v>105.40799999999999</v>
      </c>
      <c r="S244" s="94">
        <f t="shared" si="671"/>
        <v>80.007000000000005</v>
      </c>
      <c r="T244" s="93">
        <f t="shared" si="671"/>
        <v>80.007000000000005</v>
      </c>
      <c r="U244" s="94">
        <f t="shared" si="671"/>
        <v>76.057000000000016</v>
      </c>
      <c r="V244" s="94">
        <f t="shared" si="671"/>
        <v>102.64500000000001</v>
      </c>
      <c r="W244" s="93">
        <f>+W237+W238+W243</f>
        <v>102.64500000000001</v>
      </c>
      <c r="X244" s="94">
        <f t="shared" si="671"/>
        <v>219.56630537749183</v>
      </c>
      <c r="Y244" s="94">
        <f t="shared" si="671"/>
        <v>352.93700000000001</v>
      </c>
      <c r="Z244" s="93">
        <f>+Z237+Z238+Z243</f>
        <v>352.93700000000001</v>
      </c>
      <c r="AA244" s="94">
        <f t="shared" ref="AA244" si="672">+AA237+AA238+AA243</f>
        <v>421.94100000000003</v>
      </c>
      <c r="AB244" s="94">
        <f t="shared" ref="AB244" si="673">+AB237+AB238+AB243</f>
        <v>413.40271105862735</v>
      </c>
      <c r="AC244" s="93">
        <f>+AC237+AC238+AC243</f>
        <v>413.40271105862735</v>
      </c>
      <c r="AD244" s="94">
        <f t="shared" ref="AD244:AE244" si="674">+AD237+AD238+AD243</f>
        <v>414.5829778742027</v>
      </c>
      <c r="AE244" s="94">
        <f t="shared" si="674"/>
        <v>416.41892121934131</v>
      </c>
      <c r="AF244" s="93">
        <f>+AF237+AF238+AF243</f>
        <v>416.41892121934131</v>
      </c>
      <c r="AG244" s="94">
        <f t="shared" ref="AG244:AH244" si="675">+AG237+AG238+AG243</f>
        <v>424.61861836802802</v>
      </c>
      <c r="AH244" s="94">
        <f t="shared" si="675"/>
        <v>434.5658677565911</v>
      </c>
      <c r="AI244" s="93">
        <f>+AI237+AI238+AI243</f>
        <v>434.5658677565911</v>
      </c>
      <c r="AJ244" s="94">
        <f t="shared" ref="AJ244:AK244" si="676">+AJ237+AJ238+AJ243</f>
        <v>458.30914136838771</v>
      </c>
      <c r="AK244" s="94">
        <f t="shared" si="676"/>
        <v>484.62484446120442</v>
      </c>
      <c r="AL244" s="93">
        <f>+AL237+AL238+AL243</f>
        <v>484.62484446120442</v>
      </c>
      <c r="AM244" s="94">
        <f t="shared" ref="AM244:AN244" si="677">+AM237+AM238+AM243</f>
        <v>882.47645744294152</v>
      </c>
      <c r="AN244" s="94">
        <f t="shared" si="677"/>
        <v>942.63275019866194</v>
      </c>
      <c r="AO244" s="93">
        <f>+AO237+AO238+AO243</f>
        <v>942.63275019866194</v>
      </c>
      <c r="AP244" s="94">
        <f t="shared" ref="AP244:AQ244" si="678">+AP237+AP238+AP243</f>
        <v>1043.6791703019239</v>
      </c>
      <c r="AQ244" s="94">
        <f t="shared" si="678"/>
        <v>1155.6994157751994</v>
      </c>
      <c r="AR244" s="93">
        <f>+AR237+AR238+AR243</f>
        <v>1155.6994157751994</v>
      </c>
      <c r="AS244" s="94">
        <f t="shared" ref="AS244:AT244" si="679">+AS237+AS238+AS243</f>
        <v>1292.0093889758302</v>
      </c>
      <c r="AT244" s="94">
        <f t="shared" si="679"/>
        <v>1442.311718116882</v>
      </c>
      <c r="AU244" s="93">
        <f>+AU237+AU238+AU243</f>
        <v>1442.311718116882</v>
      </c>
      <c r="AV244" s="94">
        <f t="shared" ref="AV244:AW244" si="680">+AV237+AV238+AV243</f>
        <v>1618.5846078024288</v>
      </c>
      <c r="AW244" s="94">
        <f t="shared" si="680"/>
        <v>1812.1684206474806</v>
      </c>
      <c r="AX244" s="93">
        <f>+AX237+AX238+AX243</f>
        <v>1812.1684206474806</v>
      </c>
      <c r="AY244" s="94">
        <f t="shared" ref="AY244:AZ244" si="681">+AY237+AY238+AY243</f>
        <v>2030.3642843881757</v>
      </c>
      <c r="AZ244" s="94">
        <f t="shared" si="681"/>
        <v>2269.8296378502992</v>
      </c>
      <c r="BA244" s="93">
        <f>+BA237+BA238+BA243</f>
        <v>2269.8296378502992</v>
      </c>
      <c r="BB244" s="94">
        <f t="shared" ref="BB244:BC244" si="682">+BB237+BB238+BB243</f>
        <v>2533.2556728033683</v>
      </c>
      <c r="BC244" s="94">
        <f t="shared" si="682"/>
        <v>2821.7399554763319</v>
      </c>
      <c r="BD244" s="93">
        <f>+BD237+BD238+BD243</f>
        <v>2821.7399554763319</v>
      </c>
      <c r="BE244" s="94">
        <f t="shared" ref="BE244:BF244" si="683">+BE237+BE238+BE243</f>
        <v>3131.3161429843381</v>
      </c>
      <c r="BF244" s="94">
        <f t="shared" si="683"/>
        <v>3469.7566014637664</v>
      </c>
      <c r="BG244" s="93">
        <f>+BG237+BG238+BG243</f>
        <v>3469.7566014637664</v>
      </c>
      <c r="BH244" s="94"/>
      <c r="BJ244"/>
      <c r="BK244"/>
      <c r="BL244"/>
      <c r="BM244"/>
      <c r="BN244"/>
      <c r="BO244"/>
    </row>
    <row r="245" spans="1:67" s="61" customFormat="1">
      <c r="B245" s="88" t="s">
        <v>326</v>
      </c>
      <c r="C245" s="156"/>
      <c r="D245" s="89" t="s">
        <v>159</v>
      </c>
      <c r="E245" s="90"/>
      <c r="F245" s="91"/>
      <c r="G245" s="91"/>
      <c r="H245" s="90"/>
      <c r="I245" s="91"/>
      <c r="J245" s="91"/>
      <c r="K245" s="90"/>
      <c r="L245" s="91"/>
      <c r="M245" s="91"/>
      <c r="N245" s="90"/>
      <c r="O245" s="91"/>
      <c r="P245" s="91"/>
      <c r="Q245" s="90"/>
      <c r="R245" s="91"/>
      <c r="S245" s="91"/>
      <c r="T245" s="90"/>
      <c r="U245" s="91"/>
      <c r="V245" s="91" t="str">
        <f>+W245</f>
        <v/>
      </c>
      <c r="W245" s="90" t="str">
        <f>IF(W5="A","",+T245)</f>
        <v/>
      </c>
      <c r="X245" s="91" t="str">
        <f>IF(X5="A","",+W245)</f>
        <v/>
      </c>
      <c r="Y245" s="91" t="str">
        <f>+Z245</f>
        <v/>
      </c>
      <c r="Z245" s="90" t="str">
        <f>IF(Z5="A","",+W245)</f>
        <v/>
      </c>
      <c r="AA245" s="91" t="str">
        <f>IF(AA5="A","",+Z245)</f>
        <v/>
      </c>
      <c r="AB245" s="91" t="str">
        <f>+AC245</f>
        <v/>
      </c>
      <c r="AC245" s="90" t="str">
        <f>IF(AC5="A","",+Z245)</f>
        <v/>
      </c>
      <c r="AD245" s="91" t="str">
        <f>IF(AD5="A","",+AC245)</f>
        <v/>
      </c>
      <c r="AE245" s="91" t="str">
        <f>+AF245</f>
        <v/>
      </c>
      <c r="AF245" s="90" t="str">
        <f>IF(AF5="A","",+AC245)</f>
        <v/>
      </c>
      <c r="AG245" s="91" t="str">
        <f>IF(AG5="A","",+AF245)</f>
        <v/>
      </c>
      <c r="AH245" s="91" t="str">
        <f>+AI245</f>
        <v/>
      </c>
      <c r="AI245" s="90" t="str">
        <f>IF(AI5="A","",+AF245)</f>
        <v/>
      </c>
      <c r="AJ245" s="91" t="str">
        <f>IF(AJ5="A","",+AI245)</f>
        <v/>
      </c>
      <c r="AK245" s="91" t="str">
        <f>+AL245</f>
        <v/>
      </c>
      <c r="AL245" s="90" t="str">
        <f>IF(AL5="A","",+AI245)</f>
        <v/>
      </c>
      <c r="AM245" s="91" t="str">
        <f>IF(AM5="A","",+AL245)</f>
        <v/>
      </c>
      <c r="AN245" s="91" t="str">
        <f>+AO245</f>
        <v/>
      </c>
      <c r="AO245" s="90" t="str">
        <f>IF(AO5="A","",+AL245)</f>
        <v/>
      </c>
      <c r="AP245" s="91" t="str">
        <f>IF(AP5="A","",+AO245)</f>
        <v/>
      </c>
      <c r="AQ245" s="91" t="str">
        <f>+AR245</f>
        <v/>
      </c>
      <c r="AR245" s="90" t="str">
        <f>IF(AR5="A","",+AO245)</f>
        <v/>
      </c>
      <c r="AS245" s="91" t="str">
        <f>IF(AS5="A","",+AR245)</f>
        <v/>
      </c>
      <c r="AT245" s="91" t="str">
        <f>+AU245</f>
        <v/>
      </c>
      <c r="AU245" s="90" t="str">
        <f>IF(AU5="A","",+AR245)</f>
        <v/>
      </c>
      <c r="AV245" s="91" t="str">
        <f>IF(AV5="A","",+AU245)</f>
        <v/>
      </c>
      <c r="AW245" s="91" t="str">
        <f>+AX245</f>
        <v/>
      </c>
      <c r="AX245" s="90" t="str">
        <f>IF(AX5="A","",+AU245)</f>
        <v/>
      </c>
      <c r="AY245" s="91" t="str">
        <f>IF(AY5="A","",+AX245)</f>
        <v/>
      </c>
      <c r="AZ245" s="91" t="str">
        <f>+BA245</f>
        <v/>
      </c>
      <c r="BA245" s="90" t="str">
        <f>IF(BA5="A","",+AX245)</f>
        <v/>
      </c>
      <c r="BB245" s="91" t="str">
        <f>IF(BB5="A","",+BA245)</f>
        <v/>
      </c>
      <c r="BC245" s="91" t="str">
        <f>+BD245</f>
        <v/>
      </c>
      <c r="BD245" s="90" t="str">
        <f>IF(BD5="A","",+BA245)</f>
        <v/>
      </c>
      <c r="BE245" s="91" t="str">
        <f>IF(BE5="A","",+BD245)</f>
        <v/>
      </c>
      <c r="BF245" s="91" t="str">
        <f>+BG245</f>
        <v/>
      </c>
      <c r="BG245" s="90" t="str">
        <f>IF(BG5="A","",+BD245)</f>
        <v/>
      </c>
      <c r="BH245" s="91"/>
      <c r="BJ245"/>
      <c r="BK245"/>
      <c r="BL245"/>
      <c r="BM245"/>
      <c r="BN245"/>
      <c r="BO245"/>
    </row>
    <row r="246" spans="1:67" s="70" customFormat="1">
      <c r="B246" s="71" t="s">
        <v>327</v>
      </c>
      <c r="C246" s="71"/>
      <c r="D246" s="92" t="s">
        <v>159</v>
      </c>
      <c r="E246" s="90">
        <f>+E244+E245</f>
        <v>49.292794999999998</v>
      </c>
      <c r="F246" s="91">
        <f>+F244+F245</f>
        <v>44.390898000000007</v>
      </c>
      <c r="G246" s="91">
        <f t="shared" ref="G246" si="684">+H246</f>
        <v>52.904573999999997</v>
      </c>
      <c r="H246" s="90">
        <f>+H244+H245</f>
        <v>52.904573999999997</v>
      </c>
      <c r="I246" s="91">
        <f>+I244+I245</f>
        <v>43.197565000000004</v>
      </c>
      <c r="J246" s="91">
        <f t="shared" ref="J246" si="685">+K246</f>
        <v>70.081000000000003</v>
      </c>
      <c r="K246" s="90">
        <f>+K244+K245</f>
        <v>70.081000000000003</v>
      </c>
      <c r="L246" s="91">
        <f>+L244+L245</f>
        <v>53.720999999999989</v>
      </c>
      <c r="M246" s="91">
        <f t="shared" ref="M246" si="686">+N246</f>
        <v>79.016000000000005</v>
      </c>
      <c r="N246" s="90">
        <f>+N244+N245</f>
        <v>79.016000000000005</v>
      </c>
      <c r="O246" s="91">
        <f>+O244+O245</f>
        <v>47.929999999999978</v>
      </c>
      <c r="P246" s="91">
        <f t="shared" ref="P246" si="687">+Q246</f>
        <v>2.157999999999987</v>
      </c>
      <c r="Q246" s="90">
        <f>+Q244+Q245</f>
        <v>2.157999999999987</v>
      </c>
      <c r="R246" s="91">
        <f>+R244+R245</f>
        <v>105.40799999999999</v>
      </c>
      <c r="S246" s="91">
        <f t="shared" ref="S246" si="688">+T246</f>
        <v>80.007000000000005</v>
      </c>
      <c r="T246" s="90">
        <f>+T244+T245</f>
        <v>80.007000000000005</v>
      </c>
      <c r="U246" s="91">
        <f t="shared" ref="U246:X246" si="689">+U244+U245</f>
        <v>76.057000000000016</v>
      </c>
      <c r="V246" s="91">
        <f>+V244+V245</f>
        <v>102.64500000000001</v>
      </c>
      <c r="W246" s="90">
        <f>+W244+W245</f>
        <v>102.64500000000001</v>
      </c>
      <c r="X246" s="91">
        <f t="shared" si="689"/>
        <v>219.56630537749183</v>
      </c>
      <c r="Y246" s="91">
        <f>+Y244+Y245</f>
        <v>352.93700000000001</v>
      </c>
      <c r="Z246" s="90">
        <f>+Z244+Z245</f>
        <v>352.93700000000001</v>
      </c>
      <c r="AA246" s="91">
        <f t="shared" ref="AA246" si="690">+AA244+AA245</f>
        <v>421.94100000000003</v>
      </c>
      <c r="AB246" s="91">
        <f>+AB244+AB245</f>
        <v>413.40271105862735</v>
      </c>
      <c r="AC246" s="90">
        <f>+AC244+AC245</f>
        <v>413.40271105862735</v>
      </c>
      <c r="AD246" s="91">
        <f t="shared" ref="AD246" si="691">+AD244+AD245</f>
        <v>414.5829778742027</v>
      </c>
      <c r="AE246" s="91">
        <f>+AE244+AE245</f>
        <v>416.41892121934131</v>
      </c>
      <c r="AF246" s="90">
        <f>+AF244+AF245</f>
        <v>416.41892121934131</v>
      </c>
      <c r="AG246" s="91">
        <f t="shared" ref="AG246" si="692">+AG244+AG245</f>
        <v>424.61861836802802</v>
      </c>
      <c r="AH246" s="91">
        <f>+AH244+AH245</f>
        <v>434.5658677565911</v>
      </c>
      <c r="AI246" s="90">
        <f>+AI244+AI245</f>
        <v>434.5658677565911</v>
      </c>
      <c r="AJ246" s="91">
        <f t="shared" ref="AJ246" si="693">+AJ244+AJ245</f>
        <v>458.30914136838771</v>
      </c>
      <c r="AK246" s="91">
        <f>+AK244+AK245</f>
        <v>484.62484446120442</v>
      </c>
      <c r="AL246" s="90">
        <f>+AL244+AL245</f>
        <v>484.62484446120442</v>
      </c>
      <c r="AM246" s="91">
        <f t="shared" ref="AM246" si="694">+AM244+AM245</f>
        <v>882.47645744294152</v>
      </c>
      <c r="AN246" s="91">
        <f>+AN244+AN245</f>
        <v>942.63275019866194</v>
      </c>
      <c r="AO246" s="90">
        <f>+AO244+AO245</f>
        <v>942.63275019866194</v>
      </c>
      <c r="AP246" s="91">
        <f t="shared" ref="AP246" si="695">+AP244+AP245</f>
        <v>1043.6791703019239</v>
      </c>
      <c r="AQ246" s="91">
        <f>+AQ244+AQ245</f>
        <v>1155.6994157751994</v>
      </c>
      <c r="AR246" s="90">
        <f>+AR244+AR245</f>
        <v>1155.6994157751994</v>
      </c>
      <c r="AS246" s="91">
        <f t="shared" ref="AS246" si="696">+AS244+AS245</f>
        <v>1292.0093889758302</v>
      </c>
      <c r="AT246" s="91">
        <f>+AT244+AT245</f>
        <v>1442.311718116882</v>
      </c>
      <c r="AU246" s="90">
        <f>+AU244+AU245</f>
        <v>1442.311718116882</v>
      </c>
      <c r="AV246" s="91">
        <f t="shared" ref="AV246" si="697">+AV244+AV245</f>
        <v>1618.5846078024288</v>
      </c>
      <c r="AW246" s="91">
        <f>+AW244+AW245</f>
        <v>1812.1684206474806</v>
      </c>
      <c r="AX246" s="90">
        <f>+AX244+AX245</f>
        <v>1812.1684206474806</v>
      </c>
      <c r="AY246" s="91">
        <f t="shared" ref="AY246" si="698">+AY244+AY245</f>
        <v>2030.3642843881757</v>
      </c>
      <c r="AZ246" s="91">
        <f>+AZ244+AZ245</f>
        <v>2269.8296378502992</v>
      </c>
      <c r="BA246" s="90">
        <f>+BA244+BA245</f>
        <v>2269.8296378502992</v>
      </c>
      <c r="BB246" s="91">
        <f t="shared" ref="BB246" si="699">+BB244+BB245</f>
        <v>2533.2556728033683</v>
      </c>
      <c r="BC246" s="91">
        <f>+BC244+BC245</f>
        <v>2821.7399554763319</v>
      </c>
      <c r="BD246" s="90">
        <f>+BD244+BD245</f>
        <v>2821.7399554763319</v>
      </c>
      <c r="BE246" s="91">
        <f t="shared" ref="BE246" si="700">+BE244+BE245</f>
        <v>3131.3161429843381</v>
      </c>
      <c r="BF246" s="91">
        <f>+BF244+BF245</f>
        <v>3469.7566014637664</v>
      </c>
      <c r="BG246" s="90">
        <f>+BG244+BG245</f>
        <v>3469.7566014637664</v>
      </c>
      <c r="BH246" s="91"/>
      <c r="BJ246"/>
      <c r="BK246"/>
      <c r="BL246"/>
      <c r="BM246"/>
      <c r="BN246"/>
      <c r="BO246"/>
    </row>
    <row r="247" spans="1:67" s="70" customFormat="1">
      <c r="B247" s="71"/>
      <c r="C247" s="71"/>
      <c r="D247" s="92"/>
      <c r="E247" s="90"/>
      <c r="F247" s="91"/>
      <c r="G247" s="91"/>
      <c r="H247" s="90"/>
      <c r="I247" s="91"/>
      <c r="J247" s="91"/>
      <c r="K247" s="90"/>
      <c r="L247" s="91"/>
      <c r="M247" s="91"/>
      <c r="N247" s="90"/>
      <c r="O247" s="91"/>
      <c r="P247" s="91"/>
      <c r="Q247" s="90"/>
      <c r="R247" s="91"/>
      <c r="S247" s="91"/>
      <c r="T247" s="90"/>
      <c r="U247" s="91"/>
      <c r="V247" s="91"/>
      <c r="W247" s="90"/>
      <c r="X247" s="91"/>
      <c r="Y247" s="91"/>
      <c r="Z247" s="90"/>
      <c r="AA247" s="91"/>
      <c r="AB247" s="91"/>
      <c r="AC247" s="90"/>
      <c r="AD247" s="91"/>
      <c r="AE247" s="91"/>
      <c r="AF247" s="90"/>
      <c r="AG247" s="91"/>
      <c r="AH247" s="91"/>
      <c r="AI247" s="90"/>
      <c r="AJ247" s="91"/>
      <c r="AK247" s="91"/>
      <c r="AL247" s="90"/>
      <c r="AM247" s="91"/>
      <c r="AN247" s="91"/>
      <c r="AO247" s="90"/>
      <c r="AP247" s="91"/>
      <c r="AQ247" s="91"/>
      <c r="AR247" s="90"/>
      <c r="AS247" s="91"/>
      <c r="AT247" s="91"/>
      <c r="AU247" s="90"/>
      <c r="AV247" s="91"/>
      <c r="AW247" s="91"/>
      <c r="AX247" s="90"/>
      <c r="AY247" s="91"/>
      <c r="AZ247" s="91"/>
      <c r="BA247" s="90"/>
      <c r="BB247" s="91"/>
      <c r="BC247" s="91"/>
      <c r="BD247" s="90"/>
      <c r="BE247" s="91"/>
      <c r="BF247" s="91"/>
      <c r="BG247" s="90"/>
      <c r="BH247" s="91"/>
      <c r="BJ247"/>
      <c r="BK247"/>
      <c r="BL247"/>
      <c r="BM247"/>
      <c r="BN247"/>
      <c r="BO247"/>
    </row>
    <row r="248" spans="1:67" s="206" customFormat="1">
      <c r="B248" s="207" t="s">
        <v>328</v>
      </c>
      <c r="C248" s="207"/>
      <c r="D248" s="208" t="s">
        <v>159</v>
      </c>
      <c r="E248" s="209">
        <f t="shared" ref="E248:BG248" si="701">+E234-E246</f>
        <v>0</v>
      </c>
      <c r="F248" s="210">
        <f t="shared" si="701"/>
        <v>2.5399999999109468E-4</v>
      </c>
      <c r="G248" s="210">
        <f t="shared" si="701"/>
        <v>-2.3799999999596366E-4</v>
      </c>
      <c r="H248" s="209">
        <f t="shared" si="701"/>
        <v>-2.3799999999596366E-4</v>
      </c>
      <c r="I248" s="210">
        <f t="shared" si="701"/>
        <v>0</v>
      </c>
      <c r="J248" s="210">
        <f t="shared" si="701"/>
        <v>0</v>
      </c>
      <c r="K248" s="209">
        <f t="shared" si="701"/>
        <v>0</v>
      </c>
      <c r="L248" s="210">
        <f t="shared" si="701"/>
        <v>0</v>
      </c>
      <c r="M248" s="210">
        <f t="shared" si="701"/>
        <v>0</v>
      </c>
      <c r="N248" s="209">
        <f t="shared" si="701"/>
        <v>0</v>
      </c>
      <c r="O248" s="210">
        <f t="shared" si="701"/>
        <v>0</v>
      </c>
      <c r="P248" s="210">
        <f t="shared" si="701"/>
        <v>0</v>
      </c>
      <c r="Q248" s="209">
        <f t="shared" si="701"/>
        <v>0</v>
      </c>
      <c r="R248" s="210">
        <f t="shared" si="701"/>
        <v>0</v>
      </c>
      <c r="S248" s="210">
        <f t="shared" si="701"/>
        <v>0</v>
      </c>
      <c r="T248" s="209">
        <f t="shared" si="701"/>
        <v>0</v>
      </c>
      <c r="U248" s="211">
        <f t="shared" si="701"/>
        <v>0</v>
      </c>
      <c r="V248" s="137">
        <f t="shared" si="701"/>
        <v>0</v>
      </c>
      <c r="W248" s="212">
        <f>+W234-W246</f>
        <v>0</v>
      </c>
      <c r="X248" s="137">
        <f t="shared" si="701"/>
        <v>0</v>
      </c>
      <c r="Y248" s="137">
        <f t="shared" si="701"/>
        <v>0</v>
      </c>
      <c r="Z248" s="212">
        <f t="shared" si="701"/>
        <v>0</v>
      </c>
      <c r="AA248" s="137">
        <f t="shared" ref="AA248" si="702">+AA234-AA246</f>
        <v>0</v>
      </c>
      <c r="AB248" s="137">
        <f>+AB234-AB246</f>
        <v>0</v>
      </c>
      <c r="AC248" s="212">
        <f t="shared" si="701"/>
        <v>0</v>
      </c>
      <c r="AD248" s="137">
        <f t="shared" si="701"/>
        <v>0</v>
      </c>
      <c r="AE248" s="137">
        <f t="shared" si="701"/>
        <v>0</v>
      </c>
      <c r="AF248" s="212">
        <f t="shared" si="701"/>
        <v>0</v>
      </c>
      <c r="AG248" s="137">
        <f t="shared" si="701"/>
        <v>0</v>
      </c>
      <c r="AH248" s="137">
        <f t="shared" si="701"/>
        <v>0</v>
      </c>
      <c r="AI248" s="212">
        <f t="shared" si="701"/>
        <v>0</v>
      </c>
      <c r="AJ248" s="137">
        <f t="shared" si="701"/>
        <v>0</v>
      </c>
      <c r="AK248" s="137">
        <f t="shared" si="701"/>
        <v>5.1159076974727213E-13</v>
      </c>
      <c r="AL248" s="212">
        <f t="shared" si="701"/>
        <v>5.1159076974727213E-13</v>
      </c>
      <c r="AM248" s="137">
        <f t="shared" si="701"/>
        <v>0</v>
      </c>
      <c r="AN248" s="137">
        <f t="shared" si="701"/>
        <v>0</v>
      </c>
      <c r="AO248" s="212">
        <f t="shared" si="701"/>
        <v>0</v>
      </c>
      <c r="AP248" s="137">
        <f t="shared" si="701"/>
        <v>0</v>
      </c>
      <c r="AQ248" s="137">
        <f t="shared" si="701"/>
        <v>0</v>
      </c>
      <c r="AR248" s="212">
        <f t="shared" si="701"/>
        <v>0</v>
      </c>
      <c r="AS248" s="137">
        <f t="shared" si="701"/>
        <v>0</v>
      </c>
      <c r="AT248" s="137">
        <f t="shared" si="701"/>
        <v>0</v>
      </c>
      <c r="AU248" s="212">
        <f t="shared" si="701"/>
        <v>0</v>
      </c>
      <c r="AV248" s="137">
        <f t="shared" si="701"/>
        <v>0</v>
      </c>
      <c r="AW248" s="137">
        <f t="shared" si="701"/>
        <v>0</v>
      </c>
      <c r="AX248" s="212">
        <f t="shared" si="701"/>
        <v>0</v>
      </c>
      <c r="AY248" s="137">
        <f t="shared" si="701"/>
        <v>0</v>
      </c>
      <c r="AZ248" s="137">
        <f t="shared" si="701"/>
        <v>0</v>
      </c>
      <c r="BA248" s="212">
        <f t="shared" si="701"/>
        <v>0</v>
      </c>
      <c r="BB248" s="137">
        <f t="shared" si="701"/>
        <v>0</v>
      </c>
      <c r="BC248" s="137">
        <f t="shared" si="701"/>
        <v>0</v>
      </c>
      <c r="BD248" s="212">
        <f t="shared" si="701"/>
        <v>0</v>
      </c>
      <c r="BE248" s="137">
        <f t="shared" si="701"/>
        <v>0</v>
      </c>
      <c r="BF248" s="137">
        <f t="shared" si="701"/>
        <v>0</v>
      </c>
      <c r="BG248" s="212">
        <f t="shared" si="701"/>
        <v>0</v>
      </c>
      <c r="BH248" s="210"/>
      <c r="BJ248"/>
      <c r="BK248"/>
      <c r="BL248"/>
      <c r="BM248"/>
      <c r="BN248"/>
      <c r="BO248"/>
    </row>
    <row r="249" spans="1:67" s="213" customFormat="1">
      <c r="B249" s="214"/>
      <c r="C249" s="214"/>
      <c r="D249" s="215"/>
      <c r="E249" s="216"/>
      <c r="F249" s="217"/>
      <c r="G249" s="217"/>
      <c r="H249" s="216"/>
      <c r="I249" s="217"/>
      <c r="J249" s="217"/>
      <c r="K249" s="216"/>
      <c r="L249" s="217"/>
      <c r="M249" s="217"/>
      <c r="N249" s="216"/>
      <c r="O249" s="217"/>
      <c r="P249" s="217"/>
      <c r="Q249" s="216"/>
      <c r="R249" s="217"/>
      <c r="S249" s="217"/>
      <c r="T249" s="216"/>
      <c r="U249" s="217"/>
      <c r="V249" s="217"/>
      <c r="W249" s="216"/>
      <c r="X249" s="217"/>
      <c r="Y249" s="217"/>
      <c r="Z249" s="216"/>
      <c r="AA249" s="217"/>
      <c r="AB249" s="217"/>
      <c r="AC249" s="216"/>
      <c r="AD249" s="217"/>
      <c r="AF249" s="216"/>
      <c r="AG249" s="217"/>
      <c r="AH249" s="217"/>
      <c r="AI249" s="216"/>
      <c r="AJ249" s="217"/>
      <c r="AK249" s="217"/>
      <c r="AL249" s="216"/>
      <c r="AM249" s="217"/>
      <c r="AN249" s="217"/>
      <c r="AO249" s="216"/>
      <c r="AP249" s="217"/>
      <c r="AQ249" s="217"/>
      <c r="AR249" s="216"/>
      <c r="AS249" s="217"/>
      <c r="AT249" s="217"/>
      <c r="AU249" s="216"/>
      <c r="AV249" s="217"/>
      <c r="AW249" s="217"/>
      <c r="AX249" s="216"/>
      <c r="AY249" s="217"/>
      <c r="AZ249" s="217"/>
      <c r="BA249" s="216"/>
      <c r="BB249" s="217"/>
      <c r="BC249" s="217"/>
      <c r="BD249" s="216"/>
      <c r="BE249" s="217"/>
      <c r="BF249" s="217"/>
      <c r="BG249" s="216"/>
      <c r="BH249" s="217"/>
      <c r="BJ249"/>
      <c r="BK249"/>
      <c r="BL249"/>
      <c r="BM249"/>
      <c r="BN249"/>
      <c r="BO249"/>
    </row>
    <row r="250" spans="1:67" s="170" customFormat="1">
      <c r="A250" s="84" t="s">
        <v>329</v>
      </c>
      <c r="B250" s="63"/>
      <c r="C250" s="63"/>
      <c r="D250" s="85" t="str">
        <f t="shared" ref="D250:BG250" si="703">+D4</f>
        <v>Base</v>
      </c>
      <c r="E250" s="86" t="str">
        <f t="shared" si="703"/>
        <v>2017</v>
      </c>
      <c r="F250" s="85" t="str">
        <f t="shared" si="703"/>
        <v>1H18</v>
      </c>
      <c r="G250" s="85" t="str">
        <f t="shared" si="703"/>
        <v>2H18</v>
      </c>
      <c r="H250" s="86" t="str">
        <f t="shared" si="703"/>
        <v>2018</v>
      </c>
      <c r="I250" s="85" t="str">
        <f t="shared" si="703"/>
        <v>1H19</v>
      </c>
      <c r="J250" s="85" t="str">
        <f t="shared" si="703"/>
        <v>2H19</v>
      </c>
      <c r="K250" s="86" t="str">
        <f t="shared" si="703"/>
        <v>2019</v>
      </c>
      <c r="L250" s="85" t="str">
        <f t="shared" si="703"/>
        <v>1H20</v>
      </c>
      <c r="M250" s="85" t="str">
        <f t="shared" si="703"/>
        <v>2H20E</v>
      </c>
      <c r="N250" s="86" t="str">
        <f t="shared" si="703"/>
        <v>2020E</v>
      </c>
      <c r="O250" s="85" t="str">
        <f t="shared" si="703"/>
        <v>1H21</v>
      </c>
      <c r="P250" s="85" t="str">
        <f t="shared" si="703"/>
        <v>2H21</v>
      </c>
      <c r="Q250" s="86" t="str">
        <f t="shared" si="703"/>
        <v>2021</v>
      </c>
      <c r="R250" s="85" t="str">
        <f t="shared" si="703"/>
        <v>1H22</v>
      </c>
      <c r="S250" s="85" t="str">
        <f t="shared" si="703"/>
        <v>2H22</v>
      </c>
      <c r="T250" s="86" t="str">
        <f t="shared" si="703"/>
        <v>2022</v>
      </c>
      <c r="U250" s="85" t="str">
        <f t="shared" si="703"/>
        <v>1H23</v>
      </c>
      <c r="V250" s="85" t="str">
        <f t="shared" si="703"/>
        <v>2H23</v>
      </c>
      <c r="W250" s="86" t="str">
        <f t="shared" si="703"/>
        <v>2023</v>
      </c>
      <c r="X250" s="85" t="str">
        <f t="shared" si="703"/>
        <v>1H24</v>
      </c>
      <c r="Y250" s="85" t="str">
        <f t="shared" si="703"/>
        <v>2H24</v>
      </c>
      <c r="Z250" s="86" t="str">
        <f t="shared" si="703"/>
        <v>2024</v>
      </c>
      <c r="AA250" s="85" t="str">
        <f t="shared" ref="AA250" si="704">+AA4</f>
        <v>1H25</v>
      </c>
      <c r="AB250" s="85" t="str">
        <f t="shared" si="703"/>
        <v>2H25E</v>
      </c>
      <c r="AC250" s="86" t="str">
        <f t="shared" si="703"/>
        <v>2025E</v>
      </c>
      <c r="AD250" s="85" t="str">
        <f t="shared" si="703"/>
        <v>1H26E</v>
      </c>
      <c r="AE250" s="85" t="str">
        <f t="shared" si="703"/>
        <v>2H26E</v>
      </c>
      <c r="AF250" s="86" t="str">
        <f t="shared" si="703"/>
        <v>2026E</v>
      </c>
      <c r="AG250" s="85" t="str">
        <f t="shared" si="703"/>
        <v>1H27E</v>
      </c>
      <c r="AH250" s="85" t="str">
        <f t="shared" si="703"/>
        <v>2H27E</v>
      </c>
      <c r="AI250" s="86" t="str">
        <f t="shared" si="703"/>
        <v>2027E</v>
      </c>
      <c r="AJ250" s="85" t="str">
        <f t="shared" si="703"/>
        <v>1H28E</v>
      </c>
      <c r="AK250" s="85" t="str">
        <f t="shared" si="703"/>
        <v>2H28E</v>
      </c>
      <c r="AL250" s="86" t="str">
        <f t="shared" si="703"/>
        <v>2028E</v>
      </c>
      <c r="AM250" s="85" t="str">
        <f t="shared" si="703"/>
        <v>1H29E</v>
      </c>
      <c r="AN250" s="85" t="str">
        <f t="shared" si="703"/>
        <v>2H29E</v>
      </c>
      <c r="AO250" s="86" t="str">
        <f t="shared" si="703"/>
        <v>2029E</v>
      </c>
      <c r="AP250" s="85" t="str">
        <f t="shared" si="703"/>
        <v>1H30E</v>
      </c>
      <c r="AQ250" s="85" t="str">
        <f t="shared" si="703"/>
        <v>2H30E</v>
      </c>
      <c r="AR250" s="86" t="str">
        <f t="shared" si="703"/>
        <v>2030E</v>
      </c>
      <c r="AS250" s="85" t="str">
        <f t="shared" si="703"/>
        <v>1H31E</v>
      </c>
      <c r="AT250" s="85" t="str">
        <f t="shared" si="703"/>
        <v>2H31E</v>
      </c>
      <c r="AU250" s="86" t="str">
        <f t="shared" si="703"/>
        <v>2031E</v>
      </c>
      <c r="AV250" s="85" t="str">
        <f t="shared" si="703"/>
        <v>1H32E</v>
      </c>
      <c r="AW250" s="85" t="str">
        <f t="shared" si="703"/>
        <v>2H32E</v>
      </c>
      <c r="AX250" s="86" t="str">
        <f t="shared" si="703"/>
        <v>2032E</v>
      </c>
      <c r="AY250" s="85" t="str">
        <f t="shared" si="703"/>
        <v>1H33E</v>
      </c>
      <c r="AZ250" s="85" t="str">
        <f t="shared" si="703"/>
        <v>2H33E</v>
      </c>
      <c r="BA250" s="86" t="str">
        <f t="shared" si="703"/>
        <v>2033E</v>
      </c>
      <c r="BB250" s="85" t="str">
        <f t="shared" si="703"/>
        <v>1H34E</v>
      </c>
      <c r="BC250" s="85" t="str">
        <f t="shared" si="703"/>
        <v>2H34E</v>
      </c>
      <c r="BD250" s="86" t="str">
        <f t="shared" si="703"/>
        <v>2034E</v>
      </c>
      <c r="BE250" s="85" t="str">
        <f t="shared" si="703"/>
        <v>1H35E</v>
      </c>
      <c r="BF250" s="85" t="str">
        <f t="shared" si="703"/>
        <v>2H35E</v>
      </c>
      <c r="BG250" s="86" t="str">
        <f t="shared" si="703"/>
        <v>2035E</v>
      </c>
      <c r="BH250" s="85"/>
      <c r="BJ250"/>
      <c r="BK250"/>
      <c r="BL250"/>
      <c r="BM250"/>
      <c r="BN250"/>
      <c r="BO250"/>
    </row>
    <row r="251" spans="1:67" s="61" customFormat="1">
      <c r="B251" s="88" t="s">
        <v>330</v>
      </c>
      <c r="C251" s="88"/>
      <c r="D251" s="89" t="s">
        <v>175</v>
      </c>
      <c r="E251" s="172">
        <f t="shared" ref="E251:BG251" si="705">+((E210+E221)/(E210+E221+E246))</f>
        <v>6.9590115102416633E-3</v>
      </c>
      <c r="F251" s="173">
        <f t="shared" si="705"/>
        <v>8.1483688861789579E-3</v>
      </c>
      <c r="G251" s="173">
        <f t="shared" si="705"/>
        <v>3.1651336323679585E-2</v>
      </c>
      <c r="H251" s="172">
        <f t="shared" si="705"/>
        <v>3.1651336323679585E-2</v>
      </c>
      <c r="I251" s="173">
        <f t="shared" si="705"/>
        <v>4.009698677903497E-2</v>
      </c>
      <c r="J251" s="173">
        <f t="shared" si="705"/>
        <v>2.9510330692959622E-2</v>
      </c>
      <c r="K251" s="172">
        <f t="shared" si="705"/>
        <v>2.9510330692959622E-2</v>
      </c>
      <c r="L251" s="173">
        <f t="shared" si="705"/>
        <v>5.4141136699767591E-2</v>
      </c>
      <c r="M251" s="173">
        <f t="shared" si="705"/>
        <v>2.7172106423057507E-2</v>
      </c>
      <c r="N251" s="172">
        <f t="shared" si="705"/>
        <v>2.7172106423057507E-2</v>
      </c>
      <c r="O251" s="173">
        <f t="shared" si="705"/>
        <v>3.4175633740378041E-2</v>
      </c>
      <c r="P251" s="173">
        <f t="shared" si="705"/>
        <v>0.54055780285288635</v>
      </c>
      <c r="Q251" s="172">
        <f t="shared" si="705"/>
        <v>0.54055780285288635</v>
      </c>
      <c r="R251" s="173">
        <f t="shared" si="705"/>
        <v>2.3764980458258474E-2</v>
      </c>
      <c r="S251" s="173">
        <f t="shared" si="705"/>
        <v>0.11548539020264667</v>
      </c>
      <c r="T251" s="172">
        <f t="shared" si="705"/>
        <v>0.11548539020264667</v>
      </c>
      <c r="U251" s="173">
        <f t="shared" si="705"/>
        <v>0.1469605204127411</v>
      </c>
      <c r="V251" s="173">
        <f t="shared" si="705"/>
        <v>0.1067279325379213</v>
      </c>
      <c r="W251" s="172">
        <f t="shared" si="705"/>
        <v>0.1067279325379213</v>
      </c>
      <c r="X251" s="173">
        <f t="shared" si="705"/>
        <v>5.3028115325971452E-2</v>
      </c>
      <c r="Y251" s="173">
        <f t="shared" si="705"/>
        <v>0.50506591651369592</v>
      </c>
      <c r="Z251" s="172">
        <f t="shared" si="705"/>
        <v>0.50506591651369592</v>
      </c>
      <c r="AA251" s="173">
        <f t="shared" ref="AA251" si="706">+((AA210+AA221)/(AA210+AA221+AA246))</f>
        <v>0.497805268783162</v>
      </c>
      <c r="AB251" s="173">
        <f t="shared" si="705"/>
        <v>0.50291604378884058</v>
      </c>
      <c r="AC251" s="172">
        <f t="shared" si="705"/>
        <v>0.50291604378884058</v>
      </c>
      <c r="AD251" s="173">
        <f t="shared" si="705"/>
        <v>0.50220332828029657</v>
      </c>
      <c r="AE251" s="173">
        <f t="shared" si="705"/>
        <v>0.50109868244877542</v>
      </c>
      <c r="AF251" s="172">
        <f t="shared" si="705"/>
        <v>0.50109868244877542</v>
      </c>
      <c r="AG251" s="173">
        <f t="shared" si="705"/>
        <v>0.4962238505667369</v>
      </c>
      <c r="AH251" s="173">
        <f t="shared" si="705"/>
        <v>0.49043591296267675</v>
      </c>
      <c r="AI251" s="172">
        <f t="shared" si="705"/>
        <v>0.49043591296267675</v>
      </c>
      <c r="AJ251" s="173">
        <f t="shared" si="705"/>
        <v>0.47715156776799839</v>
      </c>
      <c r="AK251" s="173">
        <f t="shared" si="705"/>
        <v>0.46324428333889844</v>
      </c>
      <c r="AL251" s="172">
        <f t="shared" si="705"/>
        <v>0.46324428333889844</v>
      </c>
      <c r="AM251" s="173">
        <f t="shared" si="705"/>
        <v>7.9716892929395475E-2</v>
      </c>
      <c r="AN251" s="173">
        <f t="shared" si="705"/>
        <v>7.5011180470420019E-2</v>
      </c>
      <c r="AO251" s="172">
        <f t="shared" si="705"/>
        <v>7.5011180470420019E-2</v>
      </c>
      <c r="AP251" s="173">
        <f t="shared" si="705"/>
        <v>6.8244402504592794E-2</v>
      </c>
      <c r="AQ251" s="173">
        <f t="shared" si="705"/>
        <v>6.2039956632661923E-2</v>
      </c>
      <c r="AR251" s="172">
        <f t="shared" si="705"/>
        <v>6.2039956632661923E-2</v>
      </c>
      <c r="AS251" s="173">
        <f t="shared" si="705"/>
        <v>5.5860223180605913E-2</v>
      </c>
      <c r="AT251" s="173">
        <f t="shared" si="705"/>
        <v>5.0332057849893683E-2</v>
      </c>
      <c r="AU251" s="172">
        <f t="shared" si="705"/>
        <v>5.0332057849893683E-2</v>
      </c>
      <c r="AV251" s="173">
        <f t="shared" si="705"/>
        <v>4.5097817136396282E-2</v>
      </c>
      <c r="AW251" s="173">
        <f t="shared" si="705"/>
        <v>4.0475261157244431E-2</v>
      </c>
      <c r="AX251" s="172">
        <f t="shared" si="705"/>
        <v>4.0475261157244431E-2</v>
      </c>
      <c r="AY251" s="173">
        <f t="shared" si="705"/>
        <v>3.6283354842089374E-2</v>
      </c>
      <c r="AZ251" s="173">
        <f t="shared" si="705"/>
        <v>3.2580200334364408E-2</v>
      </c>
      <c r="BA251" s="172">
        <f t="shared" si="705"/>
        <v>3.2580200334364408E-2</v>
      </c>
      <c r="BB251" s="173">
        <f t="shared" si="705"/>
        <v>2.9291515563902516E-2</v>
      </c>
      <c r="BC251" s="173">
        <f t="shared" si="705"/>
        <v>2.6375845676479059E-2</v>
      </c>
      <c r="BD251" s="172">
        <f t="shared" si="705"/>
        <v>2.6375845676479059E-2</v>
      </c>
      <c r="BE251" s="173">
        <f t="shared" si="705"/>
        <v>2.3830350229859354E-2</v>
      </c>
      <c r="BF251" s="173">
        <f t="shared" si="705"/>
        <v>2.1556040309881976E-2</v>
      </c>
      <c r="BG251" s="172">
        <f t="shared" si="705"/>
        <v>2.1556040309881976E-2</v>
      </c>
      <c r="BH251" s="173"/>
      <c r="BJ251"/>
      <c r="BK251"/>
      <c r="BL251"/>
      <c r="BM251"/>
      <c r="BN251"/>
      <c r="BO251"/>
    </row>
    <row r="252" spans="1:67" s="70" customFormat="1">
      <c r="B252" s="71" t="s">
        <v>92</v>
      </c>
      <c r="C252" s="71"/>
      <c r="D252" s="92" t="s">
        <v>175</v>
      </c>
      <c r="E252" s="108">
        <f t="shared" ref="E252:BG252" si="707">+((E210+E221-E169)/(E210+E221-E169+E246))</f>
        <v>-55.061044957749154</v>
      </c>
      <c r="F252" s="109">
        <f t="shared" si="707"/>
        <v>-1.4150757085620231</v>
      </c>
      <c r="G252" s="109">
        <f t="shared" si="707"/>
        <v>-0.83297053586574155</v>
      </c>
      <c r="H252" s="108">
        <f t="shared" si="707"/>
        <v>-0.83297053586574155</v>
      </c>
      <c r="I252" s="109">
        <f t="shared" si="707"/>
        <v>-0.23928993749438054</v>
      </c>
      <c r="J252" s="109">
        <f t="shared" si="707"/>
        <v>-1.5378793365684071</v>
      </c>
      <c r="K252" s="108">
        <f t="shared" si="707"/>
        <v>-1.5378793365684071</v>
      </c>
      <c r="L252" s="109">
        <f t="shared" si="707"/>
        <v>-0.65713492504164372</v>
      </c>
      <c r="M252" s="109">
        <f>+((M210+M221-M169)/(M210+M221-M169+M246))</f>
        <v>-23.104942037827904</v>
      </c>
      <c r="N252" s="108">
        <f t="shared" si="707"/>
        <v>-23.104942037827904</v>
      </c>
      <c r="O252" s="109">
        <f t="shared" si="707"/>
        <v>-4356.2727272828806</v>
      </c>
      <c r="P252" s="109">
        <f t="shared" si="707"/>
        <v>1.1244521337946936</v>
      </c>
      <c r="Q252" s="108">
        <f t="shared" si="707"/>
        <v>1.1244521337946936</v>
      </c>
      <c r="R252" s="109">
        <f t="shared" si="707"/>
        <v>8.2029520295202865</v>
      </c>
      <c r="S252" s="109">
        <f t="shared" si="707"/>
        <v>4.0919384758076998</v>
      </c>
      <c r="T252" s="108">
        <f t="shared" si="707"/>
        <v>4.0919384758076998</v>
      </c>
      <c r="U252" s="109">
        <f t="shared" si="707"/>
        <v>-6.3258524369100346</v>
      </c>
      <c r="V252" s="109">
        <f t="shared" si="707"/>
        <v>-2.3528777683412816</v>
      </c>
      <c r="W252" s="108">
        <f t="shared" si="707"/>
        <v>-2.3528777683412816</v>
      </c>
      <c r="X252" s="109">
        <f t="shared" si="707"/>
        <v>-0.2516555785841606</v>
      </c>
      <c r="Y252" s="109">
        <f t="shared" si="707"/>
        <v>-0.29233614060783614</v>
      </c>
      <c r="Z252" s="108">
        <f t="shared" si="707"/>
        <v>-0.29233614060783614</v>
      </c>
      <c r="AA252" s="109">
        <f t="shared" ref="AA252" si="708">+((AA210+AA221-AA169)/(AA210+AA221-AA169+AA246))</f>
        <v>0.33346655335066777</v>
      </c>
      <c r="AB252" s="109">
        <f t="shared" si="707"/>
        <v>0.41455862080849298</v>
      </c>
      <c r="AC252" s="108">
        <f t="shared" si="707"/>
        <v>0.41455862080849298</v>
      </c>
      <c r="AD252" s="109">
        <f t="shared" si="707"/>
        <v>0.44144649414758963</v>
      </c>
      <c r="AE252" s="109">
        <f t="shared" si="707"/>
        <v>0.45816126091544479</v>
      </c>
      <c r="AF252" s="108">
        <f t="shared" si="707"/>
        <v>0.45816126091544479</v>
      </c>
      <c r="AG252" s="109">
        <f t="shared" si="707"/>
        <v>0.45359462613138324</v>
      </c>
      <c r="AH252" s="109">
        <f t="shared" si="707"/>
        <v>0.44490426378213643</v>
      </c>
      <c r="AI252" s="108">
        <f t="shared" si="707"/>
        <v>0.44490426378213643</v>
      </c>
      <c r="AJ252" s="109">
        <f t="shared" si="707"/>
        <v>0.42178687555132066</v>
      </c>
      <c r="AK252" s="109">
        <f t="shared" si="707"/>
        <v>0.39357621822409511</v>
      </c>
      <c r="AL252" s="108">
        <f t="shared" si="707"/>
        <v>0.39357621822409511</v>
      </c>
      <c r="AM252" s="109">
        <f t="shared" si="707"/>
        <v>-7.9437004633645503E-2</v>
      </c>
      <c r="AN252" s="109">
        <f t="shared" si="707"/>
        <v>-0.14118282483132016</v>
      </c>
      <c r="AO252" s="108">
        <f t="shared" si="707"/>
        <v>-0.14118282483132016</v>
      </c>
      <c r="AP252" s="109">
        <f t="shared" si="707"/>
        <v>-0.23886218512071597</v>
      </c>
      <c r="AQ252" s="109">
        <f t="shared" si="707"/>
        <v>-0.35367910642191847</v>
      </c>
      <c r="AR252" s="108">
        <f t="shared" si="707"/>
        <v>-0.35367910642191847</v>
      </c>
      <c r="AS252" s="109">
        <f t="shared" si="707"/>
        <v>-0.48402321648500968</v>
      </c>
      <c r="AT252" s="109">
        <f t="shared" si="707"/>
        <v>-0.63220821390313919</v>
      </c>
      <c r="AU252" s="108">
        <f t="shared" si="707"/>
        <v>-0.63220821390313919</v>
      </c>
      <c r="AV252" s="109">
        <f t="shared" si="707"/>
        <v>-0.79503672778300727</v>
      </c>
      <c r="AW252" s="109">
        <f t="shared" si="707"/>
        <v>-0.97722211970837447</v>
      </c>
      <c r="AX252" s="108">
        <f t="shared" si="707"/>
        <v>-0.97722211970837447</v>
      </c>
      <c r="AY252" s="109">
        <f t="shared" si="707"/>
        <v>-1.1710626766138104</v>
      </c>
      <c r="AZ252" s="109">
        <f t="shared" si="707"/>
        <v>-1.3847902554362139</v>
      </c>
      <c r="BA252" s="108">
        <f t="shared" si="707"/>
        <v>-1.3847902554362139</v>
      </c>
      <c r="BB252" s="109">
        <f t="shared" si="707"/>
        <v>-1.6081910512027344</v>
      </c>
      <c r="BC252" s="109">
        <f t="shared" si="707"/>
        <v>-1.851442404216467</v>
      </c>
      <c r="BD252" s="108">
        <f t="shared" si="707"/>
        <v>-1.851442404216467</v>
      </c>
      <c r="BE252" s="109">
        <f t="shared" si="707"/>
        <v>-2.1027421188623912</v>
      </c>
      <c r="BF252" s="109">
        <f t="shared" si="707"/>
        <v>-2.3716334794063809</v>
      </c>
      <c r="BG252" s="108">
        <f t="shared" si="707"/>
        <v>-2.3716334794063809</v>
      </c>
      <c r="BH252" s="109"/>
      <c r="BJ252"/>
      <c r="BK252"/>
      <c r="BL252"/>
      <c r="BM252"/>
      <c r="BN252"/>
      <c r="BO252"/>
    </row>
    <row r="253" spans="1:67" s="70" customFormat="1">
      <c r="B253" s="71" t="s">
        <v>331</v>
      </c>
      <c r="C253" s="71"/>
      <c r="D253" s="92"/>
      <c r="E253" s="108">
        <f t="shared" ref="E253:BG253" si="709">(E221-E223+E210-E212-E169)/(E221-E223+E210-E212-E169+E246)</f>
        <v>-55.061044957749154</v>
      </c>
      <c r="F253" s="109">
        <f t="shared" si="709"/>
        <v>-1.4150757085620231</v>
      </c>
      <c r="G253" s="109">
        <f t="shared" si="709"/>
        <v>-0.83297053586574155</v>
      </c>
      <c r="H253" s="108">
        <f t="shared" si="709"/>
        <v>-0.83297053586574155</v>
      </c>
      <c r="I253" s="109">
        <f t="shared" si="709"/>
        <v>-0.25315402125271752</v>
      </c>
      <c r="J253" s="109">
        <f t="shared" si="709"/>
        <v>-1.670362749580856</v>
      </c>
      <c r="K253" s="108">
        <f t="shared" si="709"/>
        <v>-1.670362749580856</v>
      </c>
      <c r="L253" s="109">
        <f t="shared" si="709"/>
        <v>-0.76742885342984068</v>
      </c>
      <c r="M253" s="109">
        <f>(M221-M223+M210-M212-M169)/(M221-M223+M210-M212-M169+M246)</f>
        <v>-54.255944055943793</v>
      </c>
      <c r="N253" s="108">
        <f t="shared" si="709"/>
        <v>-54.255944055943793</v>
      </c>
      <c r="O253" s="109">
        <f t="shared" si="709"/>
        <v>30.190012180267519</v>
      </c>
      <c r="P253" s="109">
        <f t="shared" si="709"/>
        <v>1.1086606243705934</v>
      </c>
      <c r="Q253" s="108">
        <f t="shared" si="709"/>
        <v>1.1086606243705934</v>
      </c>
      <c r="R253" s="109">
        <f t="shared" si="709"/>
        <v>7.1283720930232493</v>
      </c>
      <c r="S253" s="109">
        <f t="shared" si="709"/>
        <v>3.423720084822782</v>
      </c>
      <c r="T253" s="108">
        <f t="shared" si="709"/>
        <v>3.423720084822782</v>
      </c>
      <c r="U253" s="109">
        <f t="shared" si="709"/>
        <v>-22.145769933049195</v>
      </c>
      <c r="V253" s="109">
        <f t="shared" si="709"/>
        <v>-3.1132037667802028</v>
      </c>
      <c r="W253" s="108">
        <f t="shared" si="709"/>
        <v>-3.1132037667802028</v>
      </c>
      <c r="X253" s="109">
        <f t="shared" si="709"/>
        <v>-0.30283033110583152</v>
      </c>
      <c r="Y253" s="109">
        <f t="shared" si="709"/>
        <v>-0.32428183346340883</v>
      </c>
      <c r="Z253" s="108">
        <f t="shared" si="709"/>
        <v>-0.32428183346340883</v>
      </c>
      <c r="AA253" s="109">
        <f t="shared" ref="AA253" si="710">(AA221-AA223+AA210-AA212-AA169)/(AA221-AA223+AA210-AA212-AA169+AA246)</f>
        <v>0.2955404144204008</v>
      </c>
      <c r="AB253" s="109">
        <f t="shared" si="709"/>
        <v>0.38487004959465221</v>
      </c>
      <c r="AC253" s="108">
        <f t="shared" si="709"/>
        <v>0.38487004959465221</v>
      </c>
      <c r="AD253" s="109">
        <f t="shared" si="709"/>
        <v>0.41456558884835831</v>
      </c>
      <c r="AE253" s="109">
        <f t="shared" si="709"/>
        <v>0.43301802447983817</v>
      </c>
      <c r="AF253" s="108">
        <f t="shared" si="709"/>
        <v>0.43301802447983817</v>
      </c>
      <c r="AG253" s="109">
        <f t="shared" si="709"/>
        <v>0.42853238631337137</v>
      </c>
      <c r="AH253" s="109">
        <f t="shared" si="709"/>
        <v>0.41963906131890488</v>
      </c>
      <c r="AI253" s="108">
        <f t="shared" si="709"/>
        <v>0.41963906131890488</v>
      </c>
      <c r="AJ253" s="109">
        <f t="shared" si="709"/>
        <v>0.39580822653151682</v>
      </c>
      <c r="AK253" s="109">
        <f t="shared" si="709"/>
        <v>0.36656235160451728</v>
      </c>
      <c r="AL253" s="108">
        <f t="shared" si="709"/>
        <v>0.36656235160451728</v>
      </c>
      <c r="AM253" s="109">
        <f t="shared" si="709"/>
        <v>-0.12639360869860411</v>
      </c>
      <c r="AN253" s="109">
        <f t="shared" si="709"/>
        <v>-0.19029387610383161</v>
      </c>
      <c r="AO253" s="108">
        <f t="shared" si="709"/>
        <v>-0.19029387610383161</v>
      </c>
      <c r="AP253" s="109">
        <f t="shared" si="709"/>
        <v>-0.29109287906468678</v>
      </c>
      <c r="AQ253" s="109">
        <f t="shared" si="709"/>
        <v>-0.4099639103944967</v>
      </c>
      <c r="AR253" s="108">
        <f t="shared" si="709"/>
        <v>-0.4099639103944967</v>
      </c>
      <c r="AS253" s="109">
        <f t="shared" si="709"/>
        <v>-0.54448356497964345</v>
      </c>
      <c r="AT253" s="109">
        <f t="shared" si="709"/>
        <v>-0.69768476693362136</v>
      </c>
      <c r="AU253" s="108">
        <f t="shared" si="709"/>
        <v>-0.69768476693362136</v>
      </c>
      <c r="AV253" s="109">
        <f t="shared" si="709"/>
        <v>-0.86554768604720256</v>
      </c>
      <c r="AW253" s="109">
        <f t="shared" si="709"/>
        <v>-1.0535849295398225</v>
      </c>
      <c r="AX253" s="108">
        <f t="shared" si="709"/>
        <v>-1.0535849295398225</v>
      </c>
      <c r="AY253" s="109">
        <f t="shared" si="709"/>
        <v>-1.2531744718701037</v>
      </c>
      <c r="AZ253" s="109">
        <f t="shared" si="709"/>
        <v>-1.4733539077998958</v>
      </c>
      <c r="BA253" s="108">
        <f t="shared" si="709"/>
        <v>-1.4733539077998958</v>
      </c>
      <c r="BB253" s="109">
        <f t="shared" si="709"/>
        <v>-1.7030383378720995</v>
      </c>
      <c r="BC253" s="109">
        <f t="shared" si="709"/>
        <v>-1.9531480751146924</v>
      </c>
      <c r="BD253" s="108">
        <f t="shared" si="709"/>
        <v>-1.9531480751146924</v>
      </c>
      <c r="BE253" s="109">
        <f t="shared" si="709"/>
        <v>-2.2111838041366134</v>
      </c>
      <c r="BF253" s="109">
        <f t="shared" si="709"/>
        <v>-2.4871170495354153</v>
      </c>
      <c r="BG253" s="108">
        <f t="shared" si="709"/>
        <v>-2.4871170495354153</v>
      </c>
      <c r="BH253" s="109"/>
      <c r="BJ253"/>
      <c r="BK253"/>
      <c r="BL253"/>
      <c r="BM253"/>
      <c r="BN253"/>
      <c r="BO253"/>
    </row>
    <row r="254" spans="1:67" s="61" customFormat="1">
      <c r="B254" s="88" t="s">
        <v>332</v>
      </c>
      <c r="C254" s="88"/>
      <c r="D254" s="89" t="s">
        <v>159</v>
      </c>
      <c r="E254" s="90">
        <f>+(E210+E221-E169)</f>
        <v>-48.413525</v>
      </c>
      <c r="F254" s="91">
        <f>+(F210+F221-F169)</f>
        <v>-26.010149999999999</v>
      </c>
      <c r="G254" s="91">
        <f>+H254</f>
        <v>-24.041822</v>
      </c>
      <c r="H254" s="90">
        <f>+(H210+H221-H169)</f>
        <v>-24.041822</v>
      </c>
      <c r="I254" s="91">
        <f>+(I210+I221-I169)</f>
        <v>-8.340859</v>
      </c>
      <c r="J254" s="91">
        <f>+K254</f>
        <v>-42.466999999999999</v>
      </c>
      <c r="K254" s="90">
        <f>+(K210+K221-K169)</f>
        <v>-42.466999999999999</v>
      </c>
      <c r="L254" s="91">
        <f>+(L210+L221-L169)</f>
        <v>-21.303000000000001</v>
      </c>
      <c r="M254" s="91">
        <f>+N254</f>
        <v>-75.738</v>
      </c>
      <c r="N254" s="90">
        <f>+(N210+N221-N169)</f>
        <v>-75.738</v>
      </c>
      <c r="O254" s="91">
        <f>+(O210+O221-O169)</f>
        <v>-47.919000000000004</v>
      </c>
      <c r="P254" s="91">
        <f>+Q254</f>
        <v>-19.497999999999998</v>
      </c>
      <c r="Q254" s="90">
        <f>+(Q210+Q221-Q169)</f>
        <v>-19.497999999999998</v>
      </c>
      <c r="R254" s="91">
        <f>+(R210+R221-R169)</f>
        <v>-120.042</v>
      </c>
      <c r="S254" s="91">
        <f>+T254</f>
        <v>-105.883</v>
      </c>
      <c r="T254" s="90">
        <f>+(T210+T221-T169)</f>
        <v>-105.883</v>
      </c>
      <c r="U254" s="91">
        <f>+(U210+U221-U169)</f>
        <v>-65.675000000000011</v>
      </c>
      <c r="V254" s="91">
        <f>+W254</f>
        <v>-72.031000000000006</v>
      </c>
      <c r="W254" s="90">
        <f>+(W210+W221-W169)</f>
        <v>-72.031000000000006</v>
      </c>
      <c r="X254" s="91">
        <f>+(X210+X221-X169)</f>
        <v>-44.145599286875935</v>
      </c>
      <c r="Y254" s="91">
        <f>+Z254</f>
        <v>-79.837000000000046</v>
      </c>
      <c r="Z254" s="90">
        <f>+(Z210+Z221-Z169)</f>
        <v>-79.837000000000046</v>
      </c>
      <c r="AA254" s="91">
        <f>+(AA210+AA221-AA169)</f>
        <v>211.09700000000004</v>
      </c>
      <c r="AB254" s="91">
        <f>+AC254</f>
        <v>292.73581237395848</v>
      </c>
      <c r="AC254" s="90">
        <f>+(AC210+AC221-AC169)</f>
        <v>292.73581237395848</v>
      </c>
      <c r="AD254" s="91">
        <f>+(AD210+AD221-AD169)</f>
        <v>327.66100328478439</v>
      </c>
      <c r="AE254" s="91">
        <f>+AF254</f>
        <v>352.11033145625629</v>
      </c>
      <c r="AF254" s="90">
        <f>+(AF210+AF221-AF169)</f>
        <v>352.11033145625629</v>
      </c>
      <c r="AG254" s="91">
        <f>+(AG210+AG221-AG169)</f>
        <v>352.49419690623688</v>
      </c>
      <c r="AH254" s="91">
        <f>+AI254</f>
        <v>348.30065310249358</v>
      </c>
      <c r="AI254" s="90">
        <f>+(AI210+AI221-AI169)</f>
        <v>348.30065310249358</v>
      </c>
      <c r="AJ254" s="91">
        <f>+(AJ210+AJ221-AJ169)</f>
        <v>334.32098408125694</v>
      </c>
      <c r="AK254" s="91">
        <f>+AL254</f>
        <v>314.52726504542852</v>
      </c>
      <c r="AL254" s="90">
        <f>+(AL210+AL221-AL169)</f>
        <v>314.52726504542852</v>
      </c>
      <c r="AM254" s="91">
        <f>+(AM210+AM221-AM169)</f>
        <v>-64.942452535958751</v>
      </c>
      <c r="AN254" s="91">
        <f>+AO254</f>
        <v>-116.61896021895924</v>
      </c>
      <c r="AO254" s="90">
        <f>+(AO210+AO221-AO169)</f>
        <v>-116.61896021895924</v>
      </c>
      <c r="AP254" s="91">
        <f>+(AP210+AP221-AP169)</f>
        <v>-201.22939434058341</v>
      </c>
      <c r="AQ254" s="91">
        <f>+AR254</f>
        <v>-301.95246031691829</v>
      </c>
      <c r="AR254" s="90">
        <f>+(AR210+AR221-AR169)</f>
        <v>-301.95246031691829</v>
      </c>
      <c r="AS254" s="91">
        <f>+(AS210+AS221-AS169)</f>
        <v>-421.39673640828801</v>
      </c>
      <c r="AT254" s="91">
        <f>+AU254</f>
        <v>-558.65502172773267</v>
      </c>
      <c r="AU254" s="90">
        <f>+(AU210+AU221-AU169)</f>
        <v>-558.65502172773267</v>
      </c>
      <c r="AV254" s="91">
        <f>+(AV210+AV221-AV169)</f>
        <v>-716.88461317251881</v>
      </c>
      <c r="AW254" s="91">
        <f>+AX254</f>
        <v>-895.64599123284211</v>
      </c>
      <c r="AX254" s="90">
        <f>+(AX210+AX221-AX169)</f>
        <v>-895.64599123284211</v>
      </c>
      <c r="AY254" s="91">
        <f>+(AY210+AY221-AY169)</f>
        <v>-1095.1705167191008</v>
      </c>
      <c r="AZ254" s="91">
        <f>+BA254</f>
        <v>-1318.0353940269097</v>
      </c>
      <c r="BA254" s="90">
        <f>+(BA210+BA221-BA169)</f>
        <v>-1318.0353940269097</v>
      </c>
      <c r="BB254" s="91">
        <f>+(BB210+BB221-BB169)</f>
        <v>-1561.986458596384</v>
      </c>
      <c r="BC254" s="91">
        <f>+BD254</f>
        <v>-1832.1565953832835</v>
      </c>
      <c r="BD254" s="90">
        <f>+(BD210+BD221-BD169)</f>
        <v>-1832.1565953832835</v>
      </c>
      <c r="BE254" s="91">
        <f>+(BE210+BE221-BE169)</f>
        <v>-2122.1068619589387</v>
      </c>
      <c r="BF254" s="91">
        <f>+BG254</f>
        <v>-2440.6540543877832</v>
      </c>
      <c r="BG254" s="90">
        <f>+(BG210+BG221-BG169)</f>
        <v>-2440.6540543877832</v>
      </c>
      <c r="BH254" s="91"/>
      <c r="BJ254"/>
      <c r="BK254"/>
      <c r="BL254"/>
      <c r="BM254"/>
      <c r="BN254"/>
      <c r="BO254"/>
    </row>
    <row r="255" spans="1:67" s="61" customFormat="1">
      <c r="B255" s="88" t="s">
        <v>88</v>
      </c>
      <c r="C255" s="88"/>
      <c r="D255" s="89" t="s">
        <v>159</v>
      </c>
      <c r="E255" s="90">
        <f t="shared" ref="E255:BG255" si="711">E254-E212-E223</f>
        <v>-48.413525</v>
      </c>
      <c r="F255" s="91">
        <f t="shared" si="711"/>
        <v>-26.010149999999999</v>
      </c>
      <c r="G255" s="91">
        <f t="shared" si="711"/>
        <v>-24.041822</v>
      </c>
      <c r="H255" s="90">
        <f t="shared" si="711"/>
        <v>-24.041822</v>
      </c>
      <c r="I255" s="91">
        <f t="shared" si="711"/>
        <v>-8.7264910000000011</v>
      </c>
      <c r="J255" s="91">
        <f t="shared" si="711"/>
        <v>-43.836999999999996</v>
      </c>
      <c r="K255" s="90">
        <f t="shared" si="711"/>
        <v>-43.836999999999996</v>
      </c>
      <c r="L255" s="91">
        <f t="shared" si="711"/>
        <v>-23.326000000000001</v>
      </c>
      <c r="M255" s="91">
        <f>M254-M212-M223</f>
        <v>-77.585999999999999</v>
      </c>
      <c r="N255" s="90">
        <f t="shared" si="711"/>
        <v>-77.585999999999999</v>
      </c>
      <c r="O255" s="91">
        <f t="shared" si="711"/>
        <v>-49.572000000000003</v>
      </c>
      <c r="P255" s="91">
        <f t="shared" si="711"/>
        <v>-22.017999999999997</v>
      </c>
      <c r="Q255" s="90">
        <f t="shared" si="711"/>
        <v>-22.017999999999997</v>
      </c>
      <c r="R255" s="91">
        <f t="shared" si="711"/>
        <v>-122.608</v>
      </c>
      <c r="S255" s="91">
        <f t="shared" si="711"/>
        <v>-113.017</v>
      </c>
      <c r="T255" s="90">
        <f t="shared" si="711"/>
        <v>-113.017</v>
      </c>
      <c r="U255" s="91">
        <f t="shared" si="711"/>
        <v>-72.771000000000015</v>
      </c>
      <c r="V255" s="91">
        <f t="shared" si="711"/>
        <v>-77.69</v>
      </c>
      <c r="W255" s="90">
        <f t="shared" si="711"/>
        <v>-77.69</v>
      </c>
      <c r="X255" s="91">
        <f t="shared" si="711"/>
        <v>-51.036067682514478</v>
      </c>
      <c r="Y255" s="91">
        <f t="shared" si="711"/>
        <v>-86.425000000000054</v>
      </c>
      <c r="Z255" s="90">
        <f t="shared" si="711"/>
        <v>-86.425000000000054</v>
      </c>
      <c r="AA255" s="91">
        <f t="shared" ref="AA255" si="712">AA254-AA212-AA223</f>
        <v>177.01600000000002</v>
      </c>
      <c r="AB255" s="91">
        <f t="shared" si="711"/>
        <v>258.65481237395846</v>
      </c>
      <c r="AC255" s="90">
        <f t="shared" si="711"/>
        <v>258.65481237395846</v>
      </c>
      <c r="AD255" s="91">
        <f t="shared" si="711"/>
        <v>293.58000328478437</v>
      </c>
      <c r="AE255" s="91">
        <f t="shared" si="711"/>
        <v>318.02933145625627</v>
      </c>
      <c r="AF255" s="90">
        <f t="shared" si="711"/>
        <v>318.02933145625627</v>
      </c>
      <c r="AG255" s="91">
        <f t="shared" si="711"/>
        <v>318.41319690623686</v>
      </c>
      <c r="AH255" s="91">
        <f t="shared" si="711"/>
        <v>314.21965310249357</v>
      </c>
      <c r="AI255" s="90">
        <f t="shared" si="711"/>
        <v>314.21965310249357</v>
      </c>
      <c r="AJ255" s="91">
        <f t="shared" si="711"/>
        <v>300.23998408125692</v>
      </c>
      <c r="AK255" s="91">
        <f t="shared" si="711"/>
        <v>280.4462650454285</v>
      </c>
      <c r="AL255" s="90">
        <f t="shared" si="711"/>
        <v>280.4462650454285</v>
      </c>
      <c r="AM255" s="91">
        <f t="shared" si="711"/>
        <v>-99.023452535958754</v>
      </c>
      <c r="AN255" s="91">
        <f t="shared" si="711"/>
        <v>-150.69996021895923</v>
      </c>
      <c r="AO255" s="90">
        <f t="shared" si="711"/>
        <v>-150.69996021895923</v>
      </c>
      <c r="AP255" s="91">
        <f t="shared" si="711"/>
        <v>-235.3103943405834</v>
      </c>
      <c r="AQ255" s="91">
        <f t="shared" si="711"/>
        <v>-336.03346031691831</v>
      </c>
      <c r="AR255" s="90">
        <f t="shared" si="711"/>
        <v>-336.03346031691831</v>
      </c>
      <c r="AS255" s="91">
        <f t="shared" si="711"/>
        <v>-455.47773640828802</v>
      </c>
      <c r="AT255" s="91">
        <f t="shared" si="711"/>
        <v>-592.73602172773269</v>
      </c>
      <c r="AU255" s="90">
        <f t="shared" si="711"/>
        <v>-592.73602172773269</v>
      </c>
      <c r="AV255" s="91">
        <f t="shared" si="711"/>
        <v>-750.96561317251883</v>
      </c>
      <c r="AW255" s="91">
        <f t="shared" si="711"/>
        <v>-929.72699123284212</v>
      </c>
      <c r="AX255" s="90">
        <f t="shared" si="711"/>
        <v>-929.72699123284212</v>
      </c>
      <c r="AY255" s="91">
        <f t="shared" si="711"/>
        <v>-1129.2515167191007</v>
      </c>
      <c r="AZ255" s="91">
        <f t="shared" si="711"/>
        <v>-1352.1163940269096</v>
      </c>
      <c r="BA255" s="90">
        <f t="shared" si="711"/>
        <v>-1352.1163940269096</v>
      </c>
      <c r="BB255" s="91">
        <f t="shared" si="711"/>
        <v>-1596.0674585963839</v>
      </c>
      <c r="BC255" s="91">
        <f t="shared" si="711"/>
        <v>-1866.2375953832834</v>
      </c>
      <c r="BD255" s="90">
        <f t="shared" si="711"/>
        <v>-1866.2375953832834</v>
      </c>
      <c r="BE255" s="91">
        <f t="shared" si="711"/>
        <v>-2156.1878619589384</v>
      </c>
      <c r="BF255" s="91">
        <f t="shared" si="711"/>
        <v>-2474.7350543877828</v>
      </c>
      <c r="BG255" s="90">
        <f t="shared" si="711"/>
        <v>-2474.7350543877828</v>
      </c>
      <c r="BH255" s="91"/>
      <c r="BJ255"/>
      <c r="BK255"/>
      <c r="BL255"/>
      <c r="BM255"/>
      <c r="BN255"/>
      <c r="BO255"/>
    </row>
    <row r="256" spans="1:67" s="61" customFormat="1">
      <c r="B256" s="88" t="s">
        <v>333</v>
      </c>
      <c r="C256" s="88"/>
      <c r="D256" s="89"/>
      <c r="E256" s="90"/>
      <c r="F256" s="91"/>
      <c r="G256" s="91"/>
      <c r="H256" s="90"/>
      <c r="I256" s="91"/>
      <c r="J256" s="91"/>
      <c r="K256" s="90"/>
      <c r="L256" s="91"/>
      <c r="M256" s="91"/>
      <c r="N256" s="90"/>
      <c r="O256" s="91"/>
      <c r="P256" s="91"/>
      <c r="Q256" s="90"/>
      <c r="R256" s="91"/>
      <c r="S256" s="91"/>
      <c r="T256" s="90">
        <f>+T255/(T47)</f>
        <v>1.6668928186899896</v>
      </c>
      <c r="U256" s="91">
        <f>+U255/U47/2</f>
        <v>-1.5483850376611759</v>
      </c>
      <c r="V256" s="91">
        <f>+V255/V47/2</f>
        <v>-2.4493978182735474</v>
      </c>
      <c r="W256" s="90">
        <f>+W255/(W47)</f>
        <v>-1.9739316022155624</v>
      </c>
      <c r="X256" s="91">
        <f t="shared" ref="X256:Y256" si="713">+X255/X47/2</f>
        <v>-0.68846712103756214</v>
      </c>
      <c r="Y256" s="91">
        <f t="shared" si="713"/>
        <v>-1.4262492573767214</v>
      </c>
      <c r="Z256" s="90">
        <f t="shared" ref="Z256" si="714">+Z255/(Z47)</f>
        <v>-1.2829743330908652</v>
      </c>
      <c r="AA256" s="91">
        <f t="shared" ref="AA256" si="715">+AA255/AA47/2</f>
        <v>4.1986717267552063</v>
      </c>
      <c r="AB256" s="91">
        <f t="shared" ref="AB256" si="716">+AB255/AB47/2</f>
        <v>5.6445391079766924</v>
      </c>
      <c r="AC256" s="90">
        <f t="shared" ref="AC256" si="717">+AC255/(AC47)</f>
        <v>5.8795939632899294</v>
      </c>
      <c r="AD256" s="91">
        <f t="shared" ref="AD256:AE256" si="718">+AD255/AD47/2</f>
        <v>5.5061591933928442</v>
      </c>
      <c r="AE256" s="91">
        <f t="shared" si="718"/>
        <v>5.5998156980379417</v>
      </c>
      <c r="AF256" s="90">
        <f t="shared" ref="AF256" si="719">+AF255/(AF47)</f>
        <v>5.7765069844209602</v>
      </c>
      <c r="AG256" s="91">
        <f t="shared" ref="AG256:AH256" si="720">+AG255/AG47/2</f>
        <v>4.4258276439210169</v>
      </c>
      <c r="AH256" s="91">
        <f t="shared" si="720"/>
        <v>4.0644214252204742</v>
      </c>
      <c r="AI256" s="90">
        <f t="shared" ref="AI256" si="721">+AI255/(AI47)</f>
        <v>4.2105318373606027</v>
      </c>
      <c r="AJ256" s="91">
        <f t="shared" ref="AJ256:AK256" si="722">+AJ255/AJ47/2</f>
        <v>2.5699084810479302</v>
      </c>
      <c r="AK256" s="91">
        <f t="shared" si="722"/>
        <v>2.2582909128809985</v>
      </c>
      <c r="AL256" s="90">
        <f t="shared" ref="AL256" si="723">+AL255/(AL47)</f>
        <v>2.3272174116882836</v>
      </c>
      <c r="AM256" s="91">
        <f t="shared" ref="AM256:AN256" si="724">+AM255/AM47/2</f>
        <v>-0.47166541963860387</v>
      </c>
      <c r="AN256" s="91">
        <f t="shared" si="724"/>
        <v>-0.68132294920645931</v>
      </c>
      <c r="AO256" s="90">
        <f t="shared" ref="AO256" si="725">+AO255/(AO47)</f>
        <v>-0.69909040506592801</v>
      </c>
      <c r="AP256" s="91">
        <f t="shared" ref="AP256:AQ256" si="726">+AP255/AP47/2</f>
        <v>-0.77137888359418005</v>
      </c>
      <c r="AQ256" s="91">
        <f t="shared" si="726"/>
        <v>-1.0029769086267404</v>
      </c>
      <c r="AR256" s="90">
        <f t="shared" ref="AR256" si="727">+AR255/(AR47)</f>
        <v>-1.0499606375402388</v>
      </c>
      <c r="AS256" s="91">
        <f t="shared" ref="AS256:AT256" si="728">+AS255/AS47/2</f>
        <v>-1.1386815114023892</v>
      </c>
      <c r="AT256" s="91">
        <f t="shared" si="728"/>
        <v>-1.3542443176887162</v>
      </c>
      <c r="AU256" s="90">
        <f t="shared" ref="AU256" si="729">+AU255/(AU47)</f>
        <v>-1.4151642994356655</v>
      </c>
      <c r="AV256" s="91">
        <f t="shared" ref="AV256:AW256" si="730">+AV255/AV47/2</f>
        <v>-1.4842276113865354</v>
      </c>
      <c r="AW256" s="91">
        <f t="shared" si="730"/>
        <v>-1.6841254534125012</v>
      </c>
      <c r="AX256" s="90">
        <f t="shared" ref="AX256" si="731">+AX255/(AX47)</f>
        <v>-1.757489367701714</v>
      </c>
      <c r="AY256" s="91">
        <f t="shared" ref="AY256:AZ256" si="732">+AY255/AY47/2</f>
        <v>-1.8354983000215808</v>
      </c>
      <c r="AZ256" s="91">
        <f t="shared" si="732"/>
        <v>-2.0138928429527421</v>
      </c>
      <c r="BA256" s="90">
        <f t="shared" ref="BA256" si="733">+BA255/(BA47)</f>
        <v>-2.1018062285124111</v>
      </c>
      <c r="BB256" s="91">
        <f t="shared" ref="BB256:BC256" si="734">+BB255/BB47/2</f>
        <v>-2.182280406411516</v>
      </c>
      <c r="BC256" s="91">
        <f t="shared" si="734"/>
        <v>-2.3414249065641566</v>
      </c>
      <c r="BD256" s="90">
        <f t="shared" ref="BD256" si="735">+BD255/(BD47)</f>
        <v>-2.4420352508545013</v>
      </c>
      <c r="BE256" s="91">
        <f t="shared" ref="BE256:BF256" si="736">+BE255/BE47/2</f>
        <v>-2.5438419739806637</v>
      </c>
      <c r="BF256" s="91">
        <f t="shared" si="736"/>
        <v>-2.6818578258125401</v>
      </c>
      <c r="BG256" s="90">
        <f t="shared" ref="BG256" si="737">+BG255/(BG47)</f>
        <v>-2.7957110687983828</v>
      </c>
      <c r="BH256" s="91"/>
      <c r="BJ256"/>
      <c r="BK256"/>
      <c r="BL256"/>
      <c r="BM256"/>
      <c r="BN256"/>
      <c r="BO256"/>
    </row>
    <row r="257" spans="1:67" s="61" customFormat="1">
      <c r="B257" s="88" t="s">
        <v>334</v>
      </c>
      <c r="C257" s="88"/>
      <c r="D257" s="89" t="s">
        <v>165</v>
      </c>
      <c r="E257" s="90">
        <f t="shared" ref="E257:BG257" si="738">+(E67)/(E69)</f>
        <v>220.27580377970858</v>
      </c>
      <c r="F257" s="91">
        <f t="shared" si="738"/>
        <v>682.73235850904121</v>
      </c>
      <c r="G257" s="91">
        <f t="shared" si="738"/>
        <v>1256.35721073021</v>
      </c>
      <c r="H257" s="90">
        <f t="shared" si="738"/>
        <v>953.34482758620686</v>
      </c>
      <c r="I257" s="91">
        <f t="shared" si="738"/>
        <v>15.198099573770399</v>
      </c>
      <c r="J257" s="91">
        <f t="shared" si="738"/>
        <v>18.021446956661588</v>
      </c>
      <c r="K257" s="90">
        <f t="shared" si="738"/>
        <v>16.718023255813954</v>
      </c>
      <c r="L257" s="91">
        <f t="shared" si="738"/>
        <v>85.570212765957464</v>
      </c>
      <c r="M257" s="91">
        <f t="shared" si="738"/>
        <v>19.377659574468087</v>
      </c>
      <c r="N257" s="90">
        <f t="shared" si="738"/>
        <v>28.32259919493962</v>
      </c>
      <c r="O257" s="91">
        <f t="shared" si="738"/>
        <v>12.507385229540919</v>
      </c>
      <c r="P257" s="91">
        <f t="shared" si="738"/>
        <v>18.398820493918169</v>
      </c>
      <c r="Q257" s="90">
        <f t="shared" si="738"/>
        <v>15.570525105404366</v>
      </c>
      <c r="R257" s="91">
        <f t="shared" si="738"/>
        <v>19.142340168878167</v>
      </c>
      <c r="S257" s="91">
        <f t="shared" si="738"/>
        <v>4.467713270142176</v>
      </c>
      <c r="T257" s="90">
        <f t="shared" si="738"/>
        <v>10.935445307830248</v>
      </c>
      <c r="U257" s="91">
        <f t="shared" si="738"/>
        <v>-5.6311626680727711</v>
      </c>
      <c r="V257" s="91">
        <f t="shared" si="738"/>
        <v>-2.9220947846786376</v>
      </c>
      <c r="W257" s="90">
        <f t="shared" si="738"/>
        <v>-4.1446398859044384</v>
      </c>
      <c r="X257" s="91">
        <f t="shared" si="738"/>
        <v>-7.1596360628618676</v>
      </c>
      <c r="Y257" s="91">
        <f t="shared" si="738"/>
        <v>-2.2085948816996623</v>
      </c>
      <c r="Z257" s="90">
        <f t="shared" si="738"/>
        <v>-3.595643610242155</v>
      </c>
      <c r="AA257" s="91">
        <f t="shared" ref="AA257" si="739">+(AA67)/(AA69)</f>
        <v>-0.75495862340733366</v>
      </c>
      <c r="AB257" s="91">
        <f t="shared" si="738"/>
        <v>-0.63939633482696145</v>
      </c>
      <c r="AC257" s="90">
        <f t="shared" si="738"/>
        <v>-0.68985529408506763</v>
      </c>
      <c r="AD257" s="91">
        <f t="shared" si="738"/>
        <v>-1.1099104112707827</v>
      </c>
      <c r="AE257" s="91">
        <f t="shared" si="738"/>
        <v>-1.1668186827066578</v>
      </c>
      <c r="AF257" s="90">
        <f t="shared" si="738"/>
        <v>-1.1387141739082731</v>
      </c>
      <c r="AG257" s="91">
        <f t="shared" si="738"/>
        <v>-1.8476729944176733</v>
      </c>
      <c r="AH257" s="91">
        <f t="shared" si="738"/>
        <v>-2.0280203672344848</v>
      </c>
      <c r="AI257" s="90">
        <f t="shared" si="738"/>
        <v>-1.9378603661445415</v>
      </c>
      <c r="AJ257" s="91">
        <f t="shared" si="738"/>
        <v>-3.3654352917352619</v>
      </c>
      <c r="AK257" s="91">
        <f t="shared" si="738"/>
        <v>-3.649948439634835</v>
      </c>
      <c r="AL257" s="90">
        <f t="shared" si="738"/>
        <v>-3.5069299780844716</v>
      </c>
      <c r="AM257" s="91">
        <f t="shared" si="738"/>
        <v>-6.5085814959658759</v>
      </c>
      <c r="AN257" s="91">
        <f t="shared" si="738"/>
        <v>-7.0854660780865704</v>
      </c>
      <c r="AO257" s="90">
        <f t="shared" si="738"/>
        <v>-6.7928810635358703</v>
      </c>
      <c r="AP257" s="91">
        <f t="shared" si="738"/>
        <v>120.91996618523905</v>
      </c>
      <c r="AQ257" s="91">
        <f t="shared" si="738"/>
        <v>74.891242846114139</v>
      </c>
      <c r="AR257" s="90">
        <f t="shared" si="738"/>
        <v>91.442509933941224</v>
      </c>
      <c r="AS257" s="91">
        <f t="shared" si="738"/>
        <v>59.674048670347005</v>
      </c>
      <c r="AT257" s="91">
        <f t="shared" si="738"/>
        <v>46.558865460716262</v>
      </c>
      <c r="AU257" s="90">
        <f t="shared" si="738"/>
        <v>52.008252829008043</v>
      </c>
      <c r="AV257" s="91">
        <f t="shared" si="738"/>
        <v>40.866376365879312</v>
      </c>
      <c r="AW257" s="91">
        <f t="shared" si="738"/>
        <v>34.711132984616519</v>
      </c>
      <c r="AX257" s="90">
        <f t="shared" si="738"/>
        <v>37.401956661022055</v>
      </c>
      <c r="AY257" s="91">
        <f t="shared" si="738"/>
        <v>31.14269581131428</v>
      </c>
      <c r="AZ257" s="91">
        <f t="shared" si="738"/>
        <v>27.800196617571629</v>
      </c>
      <c r="BA257" s="90">
        <f t="shared" si="738"/>
        <v>29.302544513249753</v>
      </c>
      <c r="BB257" s="91">
        <f t="shared" si="738"/>
        <v>25.290997515946273</v>
      </c>
      <c r="BC257" s="91">
        <f t="shared" si="738"/>
        <v>23.271228029886242</v>
      </c>
      <c r="BD257" s="90">
        <f t="shared" si="738"/>
        <v>24.195076195223077</v>
      </c>
      <c r="BE257" s="91">
        <f t="shared" si="738"/>
        <v>21.18761707545158</v>
      </c>
      <c r="BF257" s="91">
        <f t="shared" si="738"/>
        <v>19.929142118465482</v>
      </c>
      <c r="BG257" s="90">
        <f t="shared" si="738"/>
        <v>20.512046099120266</v>
      </c>
      <c r="BH257" s="91"/>
      <c r="BJ257"/>
      <c r="BK257"/>
      <c r="BL257"/>
      <c r="BM257"/>
      <c r="BN257"/>
      <c r="BO257"/>
    </row>
    <row r="258" spans="1:67" s="61" customFormat="1">
      <c r="B258" s="88" t="s">
        <v>335</v>
      </c>
      <c r="C258" s="88"/>
      <c r="D258" s="89"/>
      <c r="E258" s="90"/>
      <c r="F258" s="91"/>
      <c r="G258" s="91"/>
      <c r="H258" s="90"/>
      <c r="I258" s="91"/>
      <c r="J258" s="91"/>
      <c r="K258" s="90"/>
      <c r="L258" s="91"/>
      <c r="M258" s="91"/>
      <c r="N258" s="90"/>
      <c r="O258" s="91"/>
      <c r="P258" s="91"/>
      <c r="Q258" s="90"/>
      <c r="R258" s="91"/>
      <c r="S258" s="91"/>
      <c r="T258" s="90"/>
      <c r="U258" s="91"/>
      <c r="V258" s="91"/>
      <c r="W258" s="90"/>
      <c r="X258" s="91"/>
      <c r="Y258" s="91"/>
      <c r="Z258" s="90"/>
      <c r="AA258" s="91"/>
      <c r="AB258" s="91"/>
      <c r="AC258" s="90"/>
      <c r="AD258" s="91"/>
      <c r="AE258" s="91"/>
      <c r="AF258" s="90"/>
      <c r="AG258" s="91"/>
      <c r="AH258" s="91"/>
      <c r="AI258" s="90"/>
      <c r="AJ258" s="91"/>
      <c r="AK258" s="91"/>
      <c r="AL258" s="90"/>
      <c r="AM258" s="91"/>
      <c r="AN258" s="91"/>
      <c r="AO258" s="90"/>
      <c r="AP258" s="91"/>
      <c r="AQ258" s="91"/>
      <c r="AR258" s="90"/>
      <c r="AS258" s="91"/>
      <c r="AT258" s="91"/>
      <c r="AU258" s="90"/>
      <c r="AV258" s="91"/>
      <c r="AW258" s="91"/>
      <c r="AX258" s="90"/>
      <c r="AY258" s="91"/>
      <c r="AZ258" s="91"/>
      <c r="BA258" s="90"/>
      <c r="BB258" s="91"/>
      <c r="BC258" s="91"/>
      <c r="BD258" s="90"/>
      <c r="BE258" s="91"/>
      <c r="BF258" s="91"/>
      <c r="BG258" s="90"/>
      <c r="BH258" s="91"/>
      <c r="BJ258"/>
      <c r="BK258"/>
      <c r="BL258"/>
      <c r="BM258"/>
      <c r="BN258"/>
      <c r="BO258"/>
    </row>
    <row r="259" spans="1:67" s="61" customFormat="1" outlineLevel="1">
      <c r="B259" s="88" t="s">
        <v>336</v>
      </c>
      <c r="C259" s="88"/>
      <c r="D259" s="89" t="s">
        <v>175</v>
      </c>
      <c r="E259" s="172" t="str">
        <f>IFERROR(+E171/(E29),"NA")</f>
        <v>NA</v>
      </c>
      <c r="F259" s="173" t="str">
        <f>IFERROR(+F171/(F29*2),"NA")</f>
        <v>NA</v>
      </c>
      <c r="G259" s="173">
        <f>+G171/(G29*2)</f>
        <v>21.630376923076923</v>
      </c>
      <c r="H259" s="172">
        <f>+H171/(H29)</f>
        <v>43.260753846153847</v>
      </c>
      <c r="I259" s="173">
        <f>+I171/(I29*2)</f>
        <v>4.2079895923085644</v>
      </c>
      <c r="J259" s="173">
        <f>+J171/(J29*2)</f>
        <v>3.6194945960954676</v>
      </c>
      <c r="K259" s="172">
        <f>+K171/(K29)</f>
        <v>3.4637015781922527</v>
      </c>
      <c r="L259" s="173">
        <f>+L171/(L29*2)</f>
        <v>5.4203484754200373</v>
      </c>
      <c r="M259" s="173">
        <f>+M171/(M29*2)</f>
        <v>1.7192179700499168</v>
      </c>
      <c r="N259" s="172">
        <f>+N171/(N29)</f>
        <v>2.3784768847112985</v>
      </c>
      <c r="O259" s="173">
        <f>+O171/(O29*2)</f>
        <v>2.9558419243986251</v>
      </c>
      <c r="P259" s="173">
        <f>+P171/(P29*2)</f>
        <v>2.0721297481860863</v>
      </c>
      <c r="Q259" s="172">
        <f>+Q171/(Q29)</f>
        <v>2.5566087414428647</v>
      </c>
      <c r="R259" s="173">
        <f>+R171/(R29*2)</f>
        <v>0.35160311057512372</v>
      </c>
      <c r="S259" s="173">
        <f>+S171/(S29*2)</f>
        <v>0.1446317135737859</v>
      </c>
      <c r="T259" s="172">
        <f>+T171/(T29)</f>
        <v>0.24581501099340394</v>
      </c>
      <c r="U259" s="173">
        <f>+U171/(U29*2)</f>
        <v>0.20411270104783474</v>
      </c>
      <c r="V259" s="173">
        <f>+V171/(V29*2)</f>
        <v>0.11954993349439452</v>
      </c>
      <c r="W259" s="172">
        <f>+W171/(W29)</f>
        <v>0.1322639934169825</v>
      </c>
      <c r="X259" s="173">
        <f>+X171/(X29*2)</f>
        <v>6.1533496152148023E-2</v>
      </c>
      <c r="Y259" s="173">
        <f>+Y171/(Y29*2)</f>
        <v>0.15694374232685779</v>
      </c>
      <c r="Z259" s="172">
        <f>+Z171/(Z29)</f>
        <v>0.16828541615445519</v>
      </c>
      <c r="AA259" s="173">
        <f>+AA171/(AA29*2)</f>
        <v>0.1583542328984345</v>
      </c>
      <c r="AB259" s="173">
        <f>+AB171/(AB29*2)</f>
        <v>0.1554240535094179</v>
      </c>
      <c r="AC259" s="172">
        <f>+AC171/(AC29)</f>
        <v>0.16</v>
      </c>
      <c r="AD259" s="173">
        <f>+AD171/(AD29*2)</f>
        <v>0.16</v>
      </c>
      <c r="AE259" s="173">
        <f>+AE171/(AE29*2)</f>
        <v>0.15634228374024906</v>
      </c>
      <c r="AF259" s="172">
        <f>+AF171/(AF29)</f>
        <v>0.16</v>
      </c>
      <c r="AG259" s="173">
        <f>+AG171/(AG29*2)</f>
        <v>0.16</v>
      </c>
      <c r="AH259" s="173">
        <f>+AH171/(AH29*2)</f>
        <v>0.15757282214570043</v>
      </c>
      <c r="AI259" s="172">
        <f>+AI171/(AI29)</f>
        <v>0.16</v>
      </c>
      <c r="AJ259" s="173">
        <f>+AJ171/(AJ29*2)</f>
        <v>0.16</v>
      </c>
      <c r="AK259" s="173">
        <f>+AK171/(AK29*2)</f>
        <v>0.15752466712269605</v>
      </c>
      <c r="AL259" s="172">
        <f>+AL171/(AL29)</f>
        <v>0.16</v>
      </c>
      <c r="AM259" s="173">
        <f>+AM171/(AM29*2)</f>
        <v>0.16</v>
      </c>
      <c r="AN259" s="173">
        <f>+AN171/(AN29*2)</f>
        <v>0.15740235870818972</v>
      </c>
      <c r="AO259" s="172">
        <f>+AO171/(AO29)</f>
        <v>0.16</v>
      </c>
      <c r="AP259" s="173">
        <f>+AP171/(AP29*2)</f>
        <v>0.16</v>
      </c>
      <c r="AQ259" s="173">
        <f>+AQ171/(AQ29*2)</f>
        <v>0.15480893863978606</v>
      </c>
      <c r="AR259" s="172">
        <f>+AR171/(AR29)</f>
        <v>0.16</v>
      </c>
      <c r="AS259" s="173">
        <f>+AS171/(AS29*2)</f>
        <v>0.16</v>
      </c>
      <c r="AT259" s="173">
        <f>+AT171/(AT29*2)</f>
        <v>0.15473127099921619</v>
      </c>
      <c r="AU259" s="172">
        <f>+AU171/(AU29)</f>
        <v>0.16</v>
      </c>
      <c r="AV259" s="173">
        <f>+AV171/(AV29*2)</f>
        <v>0.16</v>
      </c>
      <c r="AW259" s="173">
        <f>+AW171/(AW29*2)</f>
        <v>0.15468211852767652</v>
      </c>
      <c r="AX259" s="172">
        <f>+AX171/(AX29)</f>
        <v>0.16</v>
      </c>
      <c r="AY259" s="173">
        <f>+AY171/(AY29*2)</f>
        <v>0.16</v>
      </c>
      <c r="AZ259" s="173">
        <f>+AZ171/(AZ29*2)</f>
        <v>0.15457411727946946</v>
      </c>
      <c r="BA259" s="172">
        <f>+BA171/(BA29)</f>
        <v>0.16</v>
      </c>
      <c r="BB259" s="173">
        <f>+BB171/(BB29*2)</f>
        <v>0.16</v>
      </c>
      <c r="BC259" s="173">
        <f>+BC171/(BC29*2)</f>
        <v>0.15454172915615391</v>
      </c>
      <c r="BD259" s="172">
        <f>+BD171/(BD29)</f>
        <v>0.16</v>
      </c>
      <c r="BE259" s="173">
        <f>+BE171/(BE29*2)</f>
        <v>0.16</v>
      </c>
      <c r="BF259" s="173">
        <f>+BF171/(BF29*2)</f>
        <v>0.15452100474691269</v>
      </c>
      <c r="BG259" s="172">
        <f>+BG171/(BG29)</f>
        <v>0.16</v>
      </c>
      <c r="BH259" s="173"/>
      <c r="BJ259"/>
      <c r="BK259"/>
      <c r="BL259"/>
      <c r="BM259"/>
      <c r="BN259"/>
      <c r="BO259"/>
    </row>
    <row r="260" spans="1:67" s="61" customFormat="1" outlineLevel="1">
      <c r="B260" s="88" t="s">
        <v>337</v>
      </c>
      <c r="C260" s="88"/>
      <c r="D260" s="89" t="s">
        <v>175</v>
      </c>
      <c r="E260" s="172" t="str">
        <f>IFERROR(+E172/(E29),"NA")</f>
        <v>NA</v>
      </c>
      <c r="F260" s="173" t="str">
        <f>IFERROR(+F172/(F29*2),"NA")</f>
        <v>NA</v>
      </c>
      <c r="G260" s="173">
        <f>+G172/(G29*2)</f>
        <v>1.6475</v>
      </c>
      <c r="H260" s="172">
        <f>+H172/(H29)</f>
        <v>3.2949999999999999</v>
      </c>
      <c r="I260" s="173">
        <f>+I172/(I29*2)</f>
        <v>0.27049241211288905</v>
      </c>
      <c r="J260" s="173">
        <f>+J172/(J29*2)</f>
        <v>0.1625189355549452</v>
      </c>
      <c r="K260" s="172">
        <f>+K172/(K29)</f>
        <v>0.15552367288378768</v>
      </c>
      <c r="L260" s="173">
        <f>+L172/(L29*2)</f>
        <v>0.13876789047915372</v>
      </c>
      <c r="M260" s="173">
        <f>+M172/(M29*2)</f>
        <v>8.7770382695507493E-2</v>
      </c>
      <c r="N260" s="172">
        <f>+N172/(N29)</f>
        <v>0.12142720122769998</v>
      </c>
      <c r="O260" s="173">
        <f>+O172/(O29*2)</f>
        <v>0.15274914089347078</v>
      </c>
      <c r="P260" s="173">
        <f>+P172/(P29*2)</f>
        <v>0.36854460093896718</v>
      </c>
      <c r="Q260" s="172">
        <f>+Q172/(Q29)</f>
        <v>0.45471300684570831</v>
      </c>
      <c r="R260" s="173">
        <f>+R172/(R29*2)</f>
        <v>0.13583815028901736</v>
      </c>
      <c r="S260" s="173">
        <f>+S172/(S29*2)</f>
        <v>3.1154216495527347E-2</v>
      </c>
      <c r="T260" s="172">
        <f>+T172/(T29)</f>
        <v>5.2949480311812916E-2</v>
      </c>
      <c r="U260" s="173">
        <f>+U172/(U29*2)</f>
        <v>4.2350268511859551E-2</v>
      </c>
      <c r="V260" s="173">
        <f>+V172/(V29*2)</f>
        <v>3.4577485816661688E-2</v>
      </c>
      <c r="W260" s="172">
        <f>+W172/(W29)</f>
        <v>3.8254779595048326E-2</v>
      </c>
      <c r="X260" s="173">
        <f>+X172/(X29*2)</f>
        <v>4.3037539610240816E-2</v>
      </c>
      <c r="Y260" s="173">
        <f>+Y172/(Y29*2)</f>
        <v>4.2644616162345633E-2</v>
      </c>
      <c r="Z260" s="172">
        <f>+Z172/(Z29)</f>
        <v>4.5726365838029547E-2</v>
      </c>
      <c r="AA260" s="173">
        <f>+AA172/(AA29*2)</f>
        <v>4.5125128407440325E-2</v>
      </c>
      <c r="AB260" s="173">
        <f>+AB172/(AB29*2)</f>
        <v>4.3713015049523782E-2</v>
      </c>
      <c r="AC260" s="172">
        <f>+AC172/(AC29)</f>
        <v>4.4999999999999998E-2</v>
      </c>
      <c r="AD260" s="173">
        <f>+AD172/(AD29*2)</f>
        <v>4.4999999999999998E-2</v>
      </c>
      <c r="AE260" s="173">
        <f>+AE172/(AE29*2)</f>
        <v>4.3971267301945047E-2</v>
      </c>
      <c r="AF260" s="172">
        <f>+AF172/(AF29)</f>
        <v>4.4999999999999998E-2</v>
      </c>
      <c r="AG260" s="173">
        <f>+AG172/(AG29*2)</f>
        <v>4.4999999999999998E-2</v>
      </c>
      <c r="AH260" s="173">
        <f>+AH172/(AH29*2)</f>
        <v>4.4317356228478245E-2</v>
      </c>
      <c r="AI260" s="172">
        <f>+AI172/(AI29)</f>
        <v>4.4999999999999998E-2</v>
      </c>
      <c r="AJ260" s="173">
        <f>+AJ172/(AJ29*2)</f>
        <v>4.4999999999999998E-2</v>
      </c>
      <c r="AK260" s="173">
        <f>+AK172/(AK29*2)</f>
        <v>4.4303812628258263E-2</v>
      </c>
      <c r="AL260" s="172">
        <f>+AL172/(AL29)</f>
        <v>4.4999999999999998E-2</v>
      </c>
      <c r="AM260" s="173">
        <f>+AM172/(AM29*2)</f>
        <v>4.4999999999999998E-2</v>
      </c>
      <c r="AN260" s="173">
        <f>+AN172/(AN29*2)</f>
        <v>4.426941338667835E-2</v>
      </c>
      <c r="AO260" s="172">
        <f>+AO172/(AO29)</f>
        <v>4.4999999999999998E-2</v>
      </c>
      <c r="AP260" s="173">
        <f>+AP172/(AP29*2)</f>
        <v>4.4999999999999998E-2</v>
      </c>
      <c r="AQ260" s="173">
        <f>+AQ172/(AQ29*2)</f>
        <v>4.3540013992439827E-2</v>
      </c>
      <c r="AR260" s="172">
        <f>+AR172/(AR29)</f>
        <v>4.4999999999999991E-2</v>
      </c>
      <c r="AS260" s="173">
        <f>+AS172/(AS29*2)</f>
        <v>4.4999999999999998E-2</v>
      </c>
      <c r="AT260" s="173">
        <f>+AT172/(AT29*2)</f>
        <v>4.3518169968529558E-2</v>
      </c>
      <c r="AU260" s="172">
        <f>+AU172/(AU29)</f>
        <v>4.4999999999999998E-2</v>
      </c>
      <c r="AV260" s="173">
        <f>+AV172/(AV29*2)</f>
        <v>4.4999999999999998E-2</v>
      </c>
      <c r="AW260" s="173">
        <f>+AW172/(AW29*2)</f>
        <v>4.3504345835909015E-2</v>
      </c>
      <c r="AX260" s="172">
        <f>+AX172/(AX29)</f>
        <v>4.4999999999999998E-2</v>
      </c>
      <c r="AY260" s="173">
        <f>+AY172/(AY29*2)</f>
        <v>4.4999999999999998E-2</v>
      </c>
      <c r="AZ260" s="173">
        <f>+AZ172/(AZ29*2)</f>
        <v>4.3473970484850785E-2</v>
      </c>
      <c r="BA260" s="172">
        <f>+BA172/(BA29)</f>
        <v>4.4999999999999998E-2</v>
      </c>
      <c r="BB260" s="173">
        <f>+BB172/(BB29*2)</f>
        <v>4.4999999999999998E-2</v>
      </c>
      <c r="BC260" s="173">
        <f>+BC172/(BC29*2)</f>
        <v>4.3464861325168282E-2</v>
      </c>
      <c r="BD260" s="172">
        <f>+BD172/(BD29)</f>
        <v>4.4999999999999991E-2</v>
      </c>
      <c r="BE260" s="173">
        <f>+BE172/(BE29*2)</f>
        <v>4.4999999999999998E-2</v>
      </c>
      <c r="BF260" s="173">
        <f>+BF172/(BF29*2)</f>
        <v>4.3459032585069196E-2</v>
      </c>
      <c r="BG260" s="172">
        <f>+BG172/(BG29)</f>
        <v>4.4999999999999998E-2</v>
      </c>
      <c r="BH260" s="173"/>
      <c r="BJ260"/>
      <c r="BK260"/>
      <c r="BL260"/>
      <c r="BM260"/>
      <c r="BN260"/>
      <c r="BO260"/>
    </row>
    <row r="261" spans="1:67" s="61" customFormat="1" outlineLevel="1">
      <c r="B261" s="88" t="s">
        <v>338</v>
      </c>
      <c r="C261" s="88"/>
      <c r="D261" s="89" t="s">
        <v>175</v>
      </c>
      <c r="E261" s="172" t="str">
        <f>IFERROR(+E203/(E29),"NA")</f>
        <v>NA</v>
      </c>
      <c r="F261" s="173" t="str">
        <f>IFERROR(+F203/(F29*2),"NA")</f>
        <v>NA</v>
      </c>
      <c r="G261" s="173">
        <f>+G203/(G29*2)</f>
        <v>17.674358974358974</v>
      </c>
      <c r="H261" s="172">
        <f>+H203/(H29)</f>
        <v>35.348717948717947</v>
      </c>
      <c r="I261" s="173">
        <f>+I203/(I29*2)</f>
        <v>1.4373912655942058</v>
      </c>
      <c r="J261" s="173">
        <f>+J203/(J29*2)</f>
        <v>2.7640213061724812</v>
      </c>
      <c r="K261" s="172">
        <f>+K203/(K29)</f>
        <v>2.6450502152080344</v>
      </c>
      <c r="L261" s="173">
        <f>+L203/(L29*2)</f>
        <v>1.606409458618544</v>
      </c>
      <c r="M261" s="173">
        <f>+M203/(M29*2)</f>
        <v>1.5102606766500277</v>
      </c>
      <c r="N261" s="172">
        <f>+N203/(N29)</f>
        <v>2.0893919048532514</v>
      </c>
      <c r="O261" s="173">
        <f>+O203/(O29*2)</f>
        <v>1.9147766323024054</v>
      </c>
      <c r="P261" s="173">
        <f>+P203/(P29*2)</f>
        <v>2.0315834400341442</v>
      </c>
      <c r="Q261" s="172">
        <f>+Q203/(Q29)</f>
        <v>2.5065824117956819</v>
      </c>
      <c r="R261" s="173">
        <f>+R203/(R29*2)</f>
        <v>0.41911672973759717</v>
      </c>
      <c r="S261" s="173">
        <f>+S203/(S29*2)</f>
        <v>0.18198957728465481</v>
      </c>
      <c r="T261" s="172">
        <f>+T203/(T29)</f>
        <v>0.30930816510093945</v>
      </c>
      <c r="U261" s="173">
        <f>+U203/(U29*2)</f>
        <v>0.19724027610681324</v>
      </c>
      <c r="V261" s="173">
        <f>+V203/(V29*2)</f>
        <v>0.1474904313363555</v>
      </c>
      <c r="W261" s="172">
        <f>+W203/(W29)</f>
        <v>0.16317594555796483</v>
      </c>
      <c r="X261" s="173">
        <f>+X203/(X29*2)</f>
        <v>0.11775069719612587</v>
      </c>
      <c r="Y261" s="173">
        <f>+Y203/(Y29*2)</f>
        <v>0.15669459088611254</v>
      </c>
      <c r="Z261" s="172">
        <f>+Z203/(Z29)</f>
        <v>0.16801825957165895</v>
      </c>
      <c r="AA261" s="173">
        <f>+AA203/(AA29*2)</f>
        <v>0.17107969843144386</v>
      </c>
      <c r="AB261" s="173">
        <f>+AB203/(AB29*2)</f>
        <v>0.16513805685375652</v>
      </c>
      <c r="AC261" s="172">
        <f>+AC203/(AC29)</f>
        <v>0.17</v>
      </c>
      <c r="AD261" s="173">
        <f>+AD203/(AD29*2)</f>
        <v>0.17000000000000004</v>
      </c>
      <c r="AE261" s="173">
        <f>+AE203/(AE29*2)</f>
        <v>0.16611367647401465</v>
      </c>
      <c r="AF261" s="172">
        <f>+AF203/(AF29)</f>
        <v>0.17</v>
      </c>
      <c r="AG261" s="173">
        <f>+AG203/(AG29*2)</f>
        <v>0.17</v>
      </c>
      <c r="AH261" s="173">
        <f>+AH203/(AH29*2)</f>
        <v>0.16742112352980673</v>
      </c>
      <c r="AI261" s="172">
        <f>+AI203/(AI29)</f>
        <v>0.17</v>
      </c>
      <c r="AJ261" s="173">
        <f>+AJ203/(AJ29*2)</f>
        <v>0.17</v>
      </c>
      <c r="AK261" s="173">
        <f>+AK203/(AK29*2)</f>
        <v>0.16736995881786457</v>
      </c>
      <c r="AL261" s="172">
        <f>+AL203/(AL29)</f>
        <v>0.17</v>
      </c>
      <c r="AM261" s="173">
        <f>+AM203/(AM29*2)</f>
        <v>0.17</v>
      </c>
      <c r="AN261" s="173">
        <f>+AN203/(AN29*2)</f>
        <v>0.16724000612745157</v>
      </c>
      <c r="AO261" s="172">
        <f>+AO203/(AO29)</f>
        <v>0.17</v>
      </c>
      <c r="AP261" s="173">
        <f>+AP203/(AP29*2)</f>
        <v>0.17</v>
      </c>
      <c r="AQ261" s="173">
        <f>+AQ203/(AQ29*2)</f>
        <v>0.16448449730477269</v>
      </c>
      <c r="AR261" s="172">
        <f>+AR203/(AR29)</f>
        <v>0.17</v>
      </c>
      <c r="AS261" s="173">
        <f>+AS203/(AS29*2)</f>
        <v>0.17</v>
      </c>
      <c r="AT261" s="173">
        <f>+AT203/(AT29*2)</f>
        <v>0.16440197543666724</v>
      </c>
      <c r="AU261" s="172">
        <f>+AU203/(AU29)</f>
        <v>0.17</v>
      </c>
      <c r="AV261" s="173">
        <f>+AV203/(AV29*2)</f>
        <v>0.17</v>
      </c>
      <c r="AW261" s="173">
        <f>+AW203/(AW29*2)</f>
        <v>0.16434975093565629</v>
      </c>
      <c r="AX261" s="172">
        <f>+AX203/(AX29)</f>
        <v>0.17</v>
      </c>
      <c r="AY261" s="173">
        <f>+AY203/(AY29*2)</f>
        <v>0.17</v>
      </c>
      <c r="AZ261" s="173">
        <f>+AZ203/(AZ29*2)</f>
        <v>0.16423499960943633</v>
      </c>
      <c r="BA261" s="172">
        <f>+BA203/(BA29)</f>
        <v>0.17</v>
      </c>
      <c r="BB261" s="173">
        <f>+BB203/(BB29*2)</f>
        <v>0.17</v>
      </c>
      <c r="BC261" s="173">
        <f>+BC203/(BC29*2)</f>
        <v>0.16420058722841352</v>
      </c>
      <c r="BD261" s="172">
        <f>+BD203/(BD29)</f>
        <v>0.17</v>
      </c>
      <c r="BE261" s="173">
        <f>+BE203/(BE29*2)</f>
        <v>0.17</v>
      </c>
      <c r="BF261" s="173">
        <f>+BF203/(BF29*2)</f>
        <v>0.16417856754359472</v>
      </c>
      <c r="BG261" s="172">
        <f>+BG203/(BG29)</f>
        <v>0.17</v>
      </c>
      <c r="BH261" s="173"/>
      <c r="BJ261"/>
      <c r="BK261"/>
      <c r="BL261"/>
      <c r="BM261"/>
      <c r="BN261"/>
      <c r="BO261"/>
    </row>
    <row r="262" spans="1:67" s="61" customFormat="1" outlineLevel="1">
      <c r="B262" s="88" t="s">
        <v>339</v>
      </c>
      <c r="C262" s="88"/>
      <c r="D262" s="89" t="s">
        <v>175</v>
      </c>
      <c r="E262" s="172" t="str">
        <f>IFERROR(+E214/(E29),"NA")</f>
        <v>NA</v>
      </c>
      <c r="F262" s="173" t="str">
        <f>IFERROR(+F214/(F29*2),"NA")</f>
        <v>NA</v>
      </c>
      <c r="G262" s="173">
        <f>+G214/(G29*2)</f>
        <v>0.55313333333333325</v>
      </c>
      <c r="H262" s="172">
        <f>+H214/(H29)</f>
        <v>1.1062666666666665</v>
      </c>
      <c r="I262" s="173">
        <f>+I214/(I29*2)</f>
        <v>0.13955968136486233</v>
      </c>
      <c r="J262" s="173">
        <f>+J214/(J29*2)</f>
        <v>0.27496284853115266</v>
      </c>
      <c r="K262" s="172">
        <f>+K214/(K29)</f>
        <v>0.26312769010043041</v>
      </c>
      <c r="L262" s="173">
        <f>+L214/(L29*2)</f>
        <v>0.30336029869321718</v>
      </c>
      <c r="M262" s="173">
        <f>+M214/(M29*2)</f>
        <v>0.42332224070992791</v>
      </c>
      <c r="N262" s="172">
        <f>+N214/(N29)</f>
        <v>0.58565125647419913</v>
      </c>
      <c r="O262" s="173">
        <f>+O214/(O29*2)</f>
        <v>1.0018900343642612</v>
      </c>
      <c r="P262" s="173">
        <f>+P214/(P29*2)</f>
        <v>0.78990610328638489</v>
      </c>
      <c r="Q262" s="172">
        <f>+Q214/(Q29)</f>
        <v>0.97459189046866768</v>
      </c>
      <c r="R262" s="173">
        <f>+R214/(R29*2)</f>
        <v>0.21616001996090989</v>
      </c>
      <c r="S262" s="173">
        <f>+S214/(S29*2)</f>
        <v>5.7277157494726165E-2</v>
      </c>
      <c r="T262" s="172">
        <f>+T214/(T29)</f>
        <v>9.7347841295222864E-2</v>
      </c>
      <c r="U262" s="173">
        <f>+U214/(U29*2)</f>
        <v>0.18470860246130269</v>
      </c>
      <c r="V262" s="173">
        <f>+V214/(V29*2)</f>
        <v>1.0722332310866202E-3</v>
      </c>
      <c r="W262" s="172">
        <f>+W214/(W29)</f>
        <v>1.1862645580188484E-3</v>
      </c>
      <c r="X262" s="173">
        <f>+X214/(X29*2)</f>
        <v>1.0255349827587169E-3</v>
      </c>
      <c r="Y262" s="173">
        <f>+Y214/(Y29*2)</f>
        <v>1.0399364483281576E-3</v>
      </c>
      <c r="Z262" s="172">
        <f>+Z214/(Z29)</f>
        <v>1.1150883455844629E-3</v>
      </c>
      <c r="AA262" s="173">
        <f>+AA214/(AA29*2)</f>
        <v>1.1476615115829274E-3</v>
      </c>
      <c r="AB262" s="173">
        <f>+AB214/(AB29*2)</f>
        <v>1.0820160407541272E-3</v>
      </c>
      <c r="AC262" s="172">
        <f>+AC214/(AC29)</f>
        <v>1.1138724194332636E-3</v>
      </c>
      <c r="AD262" s="173">
        <f>+AD214/(AD29*2)</f>
        <v>1.0109012698544459E-3</v>
      </c>
      <c r="AE262" s="173">
        <f>+AE214/(AE29*2)</f>
        <v>9.6468139470757728E-4</v>
      </c>
      <c r="AF262" s="172">
        <f>+AF214/(AF29)</f>
        <v>9.872506622050606E-4</v>
      </c>
      <c r="AG262" s="173">
        <f>+AG214/(AG29*2)</f>
        <v>8.8826003315874396E-4</v>
      </c>
      <c r="AH262" s="173">
        <f>+AH214/(AH29*2)</f>
        <v>8.6131046964196486E-4</v>
      </c>
      <c r="AI262" s="172">
        <f>+AI214/(AI29)</f>
        <v>8.7457769218151108E-4</v>
      </c>
      <c r="AJ262" s="173">
        <f>+AJ214/(AJ29*2)</f>
        <v>7.8560465963018725E-4</v>
      </c>
      <c r="AK262" s="173">
        <f>+AK214/(AK29*2)</f>
        <v>7.6129674659836501E-4</v>
      </c>
      <c r="AL262" s="172">
        <f>+AL214/(AL29)</f>
        <v>7.7325971659322724E-4</v>
      </c>
      <c r="AM262" s="173">
        <f>+AM214/(AM29*2)</f>
        <v>6.0810200716123017E-4</v>
      </c>
      <c r="AN262" s="173">
        <f>+AN214/(AN29*2)</f>
        <v>5.8835662111829607E-4</v>
      </c>
      <c r="AO262" s="172">
        <f>+AO214/(AO29)</f>
        <v>5.9806638319473535E-4</v>
      </c>
      <c r="AP262" s="173">
        <f>+AP214/(AP29*2)</f>
        <v>5.2038838767372211E-4</v>
      </c>
      <c r="AQ262" s="173">
        <f>+AQ214/(AQ29*2)</f>
        <v>4.8662128702925845E-4</v>
      </c>
      <c r="AR262" s="172">
        <f>+AR214/(AR29)</f>
        <v>5.0293869726635671E-4</v>
      </c>
      <c r="AS262" s="173">
        <f>+AS214/(AS29*2)</f>
        <v>4.5241545695056648E-4</v>
      </c>
      <c r="AT262" s="173">
        <f>+AT214/(AT29*2)</f>
        <v>4.2261977647008755E-4</v>
      </c>
      <c r="AU262" s="172">
        <f>+AU214/(AU29)</f>
        <v>4.3701033280826949E-4</v>
      </c>
      <c r="AV262" s="173">
        <f>+AV214/(AV29*2)</f>
        <v>3.9909306454138319E-4</v>
      </c>
      <c r="AW262" s="173">
        <f>+AW214/(AW29*2)</f>
        <v>3.7256394437066534E-4</v>
      </c>
      <c r="AX262" s="172">
        <f>+AX214/(AX29)</f>
        <v>3.8537247657776741E-4</v>
      </c>
      <c r="AY262" s="173">
        <f>+AY214/(AY29*2)</f>
        <v>3.5823107644058426E-4</v>
      </c>
      <c r="AZ262" s="173">
        <f>+AZ214/(AZ29*2)</f>
        <v>3.3393457884538404E-4</v>
      </c>
      <c r="BA262" s="172">
        <f>+BA214/(BA29)</f>
        <v>3.4565639808028815E-4</v>
      </c>
      <c r="BB262" s="173">
        <f>+BB214/(BB29*2)</f>
        <v>3.2522418745520505E-4</v>
      </c>
      <c r="BC262" s="173">
        <f>+BC214/(BC29*2)</f>
        <v>3.0303466620395153E-4</v>
      </c>
      <c r="BD262" s="172">
        <f>+BD214/(BD29)</f>
        <v>3.1373757015259551E-4</v>
      </c>
      <c r="BE262" s="173">
        <f>+BE214/(BE29*2)</f>
        <v>2.9971047800257303E-4</v>
      </c>
      <c r="BF262" s="173">
        <f>+BF214/(BF29*2)</f>
        <v>2.7918407442411517E-4</v>
      </c>
      <c r="BG262" s="172">
        <f>+BG214/(BG29)</f>
        <v>2.8908336430391297E-4</v>
      </c>
      <c r="BH262" s="173"/>
      <c r="BJ262"/>
      <c r="BK262"/>
      <c r="BL262"/>
      <c r="BM262"/>
      <c r="BN262"/>
      <c r="BO262"/>
    </row>
    <row r="263" spans="1:67" s="61" customFormat="1" outlineLevel="1">
      <c r="B263" s="88" t="s">
        <v>340</v>
      </c>
      <c r="C263" s="88"/>
      <c r="D263" s="89" t="s">
        <v>175</v>
      </c>
      <c r="E263" s="172" t="str">
        <f>IFERROR(+E224/(E29),"NA")</f>
        <v>NA</v>
      </c>
      <c r="F263" s="173" t="str">
        <f>IFERROR(+F224/(F29*2),"NA")</f>
        <v>NA</v>
      </c>
      <c r="G263" s="173">
        <f>+G224/(G29*2)</f>
        <v>0</v>
      </c>
      <c r="H263" s="172">
        <f>+H224/(H29)</f>
        <v>0</v>
      </c>
      <c r="I263" s="173">
        <f>+I224/(I29*2)</f>
        <v>0</v>
      </c>
      <c r="J263" s="173">
        <f>+J224/(J29*2)</f>
        <v>0</v>
      </c>
      <c r="K263" s="172">
        <f>+K224/(K29)</f>
        <v>0</v>
      </c>
      <c r="L263" s="173">
        <f>+L224/(L29*2)</f>
        <v>0</v>
      </c>
      <c r="M263" s="173">
        <f>+M224/(M29*2)</f>
        <v>4.145036051026068</v>
      </c>
      <c r="N263" s="172">
        <f>+N224/(N29)</f>
        <v>5.7345098791482831</v>
      </c>
      <c r="O263" s="173">
        <f>+O224/(O29*2)</f>
        <v>5.0455326460481098</v>
      </c>
      <c r="P263" s="173">
        <f>+P224/(P29*2)</f>
        <v>4.7565087494664962</v>
      </c>
      <c r="Q263" s="172">
        <f>+Q224/(Q29)</f>
        <v>5.8686150605581888</v>
      </c>
      <c r="R263" s="173">
        <f>+R224/(R29*2)</f>
        <v>0.91111157316921032</v>
      </c>
      <c r="S263" s="173">
        <f>+S224/(S29*2)</f>
        <v>0.21039478423215163</v>
      </c>
      <c r="T263" s="172">
        <f>+T224/(T29)</f>
        <v>0.35758544873076153</v>
      </c>
      <c r="U263" s="173">
        <f>+U224/(U29*2)</f>
        <v>0.206875113420216</v>
      </c>
      <c r="V263" s="173">
        <f>+V224/(V29*2)</f>
        <v>1.4861966937213278E-2</v>
      </c>
      <c r="W263" s="172">
        <f>+W224/(W29)</f>
        <v>1.6442527734565046E-2</v>
      </c>
      <c r="X263" s="173">
        <f>+X224/(X29*2)</f>
        <v>1.0963723446468192E-2</v>
      </c>
      <c r="Y263" s="173">
        <f>+Y224/(Y29*2)</f>
        <v>1.5400447750415252E-2</v>
      </c>
      <c r="Z263" s="172">
        <f>+Z224/(Z29)</f>
        <v>1.6513374284436579E-2</v>
      </c>
      <c r="AA263" s="173">
        <f>+AA224/(AA29*2)</f>
        <v>1.1945414349355336E-2</v>
      </c>
      <c r="AB263" s="173">
        <f>+AB224/(AB29*2)</f>
        <v>1.126214463847432E-2</v>
      </c>
      <c r="AC263" s="172">
        <f>+AC224/(AC29)</f>
        <v>1.1593721187092208E-2</v>
      </c>
      <c r="AD263" s="173">
        <f>+AD224/(AD29*2)</f>
        <v>1.0521947815471611E-2</v>
      </c>
      <c r="AE263" s="173">
        <f>+AE224/(AE29*2)</f>
        <v>1.0040869070360342E-2</v>
      </c>
      <c r="AF263" s="172">
        <f>+AF224/(AF29)</f>
        <v>1.0275780888085263E-2</v>
      </c>
      <c r="AG263" s="173">
        <f>+AG224/(AG29*2)</f>
        <v>9.2454386933464808E-3</v>
      </c>
      <c r="AH263" s="173">
        <f>+AH224/(AH29*2)</f>
        <v>8.9649346427242912E-3</v>
      </c>
      <c r="AI263" s="172">
        <f>+AI224/(AI29)</f>
        <v>9.1030262916124687E-3</v>
      </c>
      <c r="AJ263" s="173">
        <f>+AJ224/(AJ29*2)</f>
        <v>8.1769520711061673E-3</v>
      </c>
      <c r="AK263" s="173">
        <f>+AK224/(AK29*2)</f>
        <v>7.9239435923843214E-3</v>
      </c>
      <c r="AL263" s="172">
        <f>+AL224/(AL29)</f>
        <v>8.0484599519513814E-3</v>
      </c>
      <c r="AM263" s="173">
        <f>+AM224/(AM29*2)</f>
        <v>6.3294188825732504E-3</v>
      </c>
      <c r="AN263" s="173">
        <f>+AN224/(AN29*2)</f>
        <v>6.1238993845415509E-3</v>
      </c>
      <c r="AO263" s="172">
        <f>+AO224/(AO29)</f>
        <v>6.2249632697255605E-3</v>
      </c>
      <c r="AP263" s="173">
        <f>+AP224/(AP29*2)</f>
        <v>5.4164532404521563E-3</v>
      </c>
      <c r="AQ263" s="173">
        <f>+AQ224/(AQ29*2)</f>
        <v>5.0649889763781973E-3</v>
      </c>
      <c r="AR263" s="172">
        <f>+AR224/(AR29)</f>
        <v>5.2348284494487087E-3</v>
      </c>
      <c r="AS263" s="173">
        <f>+AS224/(AS29*2)</f>
        <v>4.7089582048225262E-3</v>
      </c>
      <c r="AT263" s="173">
        <f>+AT224/(AT29*2)</f>
        <v>4.398830396607184E-3</v>
      </c>
      <c r="AU263" s="172">
        <f>+AU224/(AU29)</f>
        <v>4.5486142452789303E-3</v>
      </c>
      <c r="AV263" s="173">
        <f>+AV224/(AV29*2)</f>
        <v>4.1539530356171205E-3</v>
      </c>
      <c r="AW263" s="173">
        <f>+AW224/(AW29*2)</f>
        <v>3.8778251620544923E-3</v>
      </c>
      <c r="AX263" s="172">
        <f>+AX224/(AX29)</f>
        <v>4.0111425408083249E-3</v>
      </c>
      <c r="AY263" s="173">
        <f>+AY224/(AY29*2)</f>
        <v>3.7286417621483136E-3</v>
      </c>
      <c r="AZ263" s="173">
        <f>+AZ224/(AZ29*2)</f>
        <v>3.4757521007947006E-3</v>
      </c>
      <c r="BA263" s="172">
        <f>+BA224/(BA29)</f>
        <v>3.5977584469829992E-3</v>
      </c>
      <c r="BB263" s="173">
        <f>+BB224/(BB29*2)</f>
        <v>3.3850901475527256E-3</v>
      </c>
      <c r="BC263" s="173">
        <f>+BC224/(BC29*2)</f>
        <v>3.1541309118505046E-3</v>
      </c>
      <c r="BD263" s="172">
        <f>+BD224/(BD29)</f>
        <v>3.2655318964766806E-3</v>
      </c>
      <c r="BE263" s="173">
        <f>+BE224/(BE29*2)</f>
        <v>3.1195311583169598E-3</v>
      </c>
      <c r="BF263" s="173">
        <f>+BF224/(BF29*2)</f>
        <v>2.9058824532135026E-3</v>
      </c>
      <c r="BG263" s="172">
        <f>+BG224/(BG29)</f>
        <v>3.0089190351543444E-3</v>
      </c>
      <c r="BH263" s="173"/>
      <c r="BJ263"/>
      <c r="BK263"/>
      <c r="BL263"/>
      <c r="BM263"/>
      <c r="BN263"/>
      <c r="BO263"/>
    </row>
    <row r="264" spans="1:67" s="61" customFormat="1" outlineLevel="1">
      <c r="B264" s="88" t="s">
        <v>341</v>
      </c>
      <c r="C264" s="88"/>
      <c r="D264" s="89" t="s">
        <v>159</v>
      </c>
      <c r="E264" s="90"/>
      <c r="F264" s="91">
        <f>+(E172+F172)/2</f>
        <v>0</v>
      </c>
      <c r="G264" s="91">
        <f>+(F172+G172)/2</f>
        <v>0.32126250000000001</v>
      </c>
      <c r="H264" s="90">
        <f>+(E172+H172)/2</f>
        <v>0.32126250000000001</v>
      </c>
      <c r="I264" s="91">
        <f>+(H172+I172)/2</f>
        <v>0.81288300000000002</v>
      </c>
      <c r="J264" s="91">
        <f>+(I172+J172)/2</f>
        <v>0.76262050000000003</v>
      </c>
      <c r="K264" s="90">
        <f>+(H172+K172)/2</f>
        <v>0.59226250000000003</v>
      </c>
      <c r="L264" s="91">
        <f>+(K172+L172)/2</f>
        <v>0.49400000000000005</v>
      </c>
      <c r="M264" s="91">
        <f>+(L172+M172)/2</f>
        <v>0.53950000000000009</v>
      </c>
      <c r="N264" s="90">
        <f>+(K172+N172)/2</f>
        <v>0.58750000000000002</v>
      </c>
      <c r="O264" s="91">
        <f>+(N172+O172)/2</f>
        <v>0.76100000000000001</v>
      </c>
      <c r="P264" s="91">
        <f>+(O172+P172)/2</f>
        <v>2.1715</v>
      </c>
      <c r="Q264" s="90">
        <f>+(N172+Q172)/2</f>
        <v>2.0434999999999999</v>
      </c>
      <c r="R264" s="91">
        <f>+(Q172+R172)/2</f>
        <v>4.9935</v>
      </c>
      <c r="S264" s="91">
        <f>+(R172+S172)/2</f>
        <v>7.5050000000000008</v>
      </c>
      <c r="T264" s="90">
        <f>+(Q172+T172)/2</f>
        <v>5.9655000000000005</v>
      </c>
      <c r="U264" s="91">
        <f>+(T172+U172)/2</f>
        <v>10.5395</v>
      </c>
      <c r="V264" s="91">
        <f>+(U172+V172)/2</f>
        <v>12.67</v>
      </c>
      <c r="W264" s="90">
        <f>+(T172+W172)/2</f>
        <v>10.6075</v>
      </c>
      <c r="X264" s="91">
        <f>+(W172+X172)/2</f>
        <v>16.681267903549411</v>
      </c>
      <c r="Y264" s="91">
        <f>+(X172+Y172)/2</f>
        <v>22.122267903549414</v>
      </c>
      <c r="Z264" s="90">
        <f>+(W172+Z172)/2</f>
        <v>18.179000000000002</v>
      </c>
      <c r="AA264" s="91">
        <f>+(Z172+AA172)/2</f>
        <v>29.424999999999997</v>
      </c>
      <c r="AB264" s="91">
        <f>+(AA172+AB172)/2</f>
        <v>35.714020721113975</v>
      </c>
      <c r="AC264" s="90">
        <f>+(Z172+AC172)/2</f>
        <v>29.909020721113976</v>
      </c>
      <c r="AD264" s="91">
        <f>+(AC172+AD172)/2</f>
        <v>38.041621053293525</v>
      </c>
      <c r="AE264" s="91">
        <f>+(AD172+AE172)/2</f>
        <v>40.362946219790189</v>
      </c>
      <c r="AF264" s="90">
        <f>+(AC172+AF172)/2</f>
        <v>38.519366608724624</v>
      </c>
      <c r="AG264" s="91">
        <f>+(AF172+AG172)/2</f>
        <v>43.116402501020318</v>
      </c>
      <c r="AH264" s="91">
        <f>+(AG172+AH172)/2</f>
        <v>45.747181951072591</v>
      </c>
      <c r="AI264" s="90">
        <f>+(AF172+AI172)/2</f>
        <v>43.471471225273575</v>
      </c>
      <c r="AJ264" s="91">
        <f>+(AI172+AJ172)/2</f>
        <v>48.712887590307972</v>
      </c>
      <c r="AK264" s="91">
        <f>+(AJ172+AK172)/2</f>
        <v>51.733209616823672</v>
      </c>
      <c r="AL264" s="90">
        <f>+(AI172+AL172)/2</f>
        <v>49.122572701841548</v>
      </c>
      <c r="AM264" s="91">
        <f>+(AL172+AM172)/2</f>
        <v>59.223779970531695</v>
      </c>
      <c r="AN264" s="91">
        <f>+(AM172+AN172)/2</f>
        <v>66.860965237249047</v>
      </c>
      <c r="AO264" s="90">
        <f>+(AL172+AO172)/2</f>
        <v>59.780079995074601</v>
      </c>
      <c r="AP264" s="91">
        <f>+(AO172+AP172)/2</f>
        <v>72.448928297601185</v>
      </c>
      <c r="AQ264" s="91">
        <f>+(AP172+AQ172)/2</f>
        <v>78.824703785580269</v>
      </c>
      <c r="AR264" s="90">
        <f>+(AO172+AR172)/2</f>
        <v>73.793040749771052</v>
      </c>
      <c r="AS264" s="91">
        <f>+(AR172+AS172)/2</f>
        <v>84.645219846850125</v>
      </c>
      <c r="AT264" s="91">
        <f>+(AS172+AT172)/2</f>
        <v>90.692444063645354</v>
      </c>
      <c r="AU264" s="90">
        <f>+(AR172+AU172)/2</f>
        <v>86.21604045454535</v>
      </c>
      <c r="AV264" s="91">
        <f>+(AU172+AV172)/2</f>
        <v>96.646165889809623</v>
      </c>
      <c r="AW264" s="91">
        <f>+(AV172+AW172)/2</f>
        <v>102.827558550183</v>
      </c>
      <c r="AX264" s="90">
        <f>+(AU172+AX172)/2</f>
        <v>98.444657331713955</v>
      </c>
      <c r="AY264" s="91">
        <f>+(AX172+AY172)/2</f>
        <v>108.58954963570237</v>
      </c>
      <c r="AZ264" s="91">
        <f>+(AY172+AZ172)/2</f>
        <v>114.60034017429055</v>
      </c>
      <c r="BA264" s="90">
        <f>+(AX172+BA172)/2</f>
        <v>110.63684053067551</v>
      </c>
      <c r="BB264" s="91">
        <f>+(BA172+BB172)/2</f>
        <v>120.31182496820681</v>
      </c>
      <c r="BC264" s="91">
        <f>+(BB172+BC172)/2</f>
        <v>126.24553520645128</v>
      </c>
      <c r="BD264" s="90">
        <f>+(BA172+BD172)/2</f>
        <v>122.58134130750817</v>
      </c>
      <c r="BE264" s="91">
        <f>+(BD172+BE172)/2</f>
        <v>131.52244134859046</v>
      </c>
      <c r="BF264" s="91">
        <f>+(BE172+BF172)/2</f>
        <v>137.00258466830783</v>
      </c>
      <c r="BG264" s="90">
        <f>+(BD172+BG172)/2</f>
        <v>133.99519486547001</v>
      </c>
      <c r="BH264" s="91"/>
      <c r="BJ264"/>
      <c r="BK264"/>
      <c r="BL264"/>
      <c r="BM264"/>
      <c r="BN264"/>
      <c r="BO264"/>
    </row>
    <row r="265" spans="1:67" s="61" customFormat="1" outlineLevel="1">
      <c r="B265" s="88" t="s">
        <v>342</v>
      </c>
      <c r="C265" s="88"/>
      <c r="D265" s="89" t="s">
        <v>165</v>
      </c>
      <c r="E265" s="90"/>
      <c r="F265" s="91" t="str">
        <f>IFERROR(+F29/F264,"NA")</f>
        <v>NA</v>
      </c>
      <c r="G265" s="91">
        <f t="shared" ref="G265:BG265" si="740">+G29/G264</f>
        <v>0.60698027314112291</v>
      </c>
      <c r="H265" s="90">
        <f t="shared" si="740"/>
        <v>0.60698027314112291</v>
      </c>
      <c r="I265" s="91">
        <f t="shared" si="740"/>
        <v>2.2358715829953386</v>
      </c>
      <c r="J265" s="91">
        <f t="shared" si="740"/>
        <v>2.1865370784026914</v>
      </c>
      <c r="K265" s="90">
        <f t="shared" si="740"/>
        <v>5.8842151917435253</v>
      </c>
      <c r="L265" s="91">
        <f t="shared" si="740"/>
        <v>3.2530364372469633</v>
      </c>
      <c r="M265" s="91">
        <f t="shared" si="740"/>
        <v>6.6839666357738636</v>
      </c>
      <c r="N265" s="90">
        <f t="shared" si="740"/>
        <v>8.8731914893617017</v>
      </c>
      <c r="O265" s="91">
        <f t="shared" si="740"/>
        <v>3.8239159001314063</v>
      </c>
      <c r="P265" s="91">
        <f t="shared" si="740"/>
        <v>2.1579553304167627</v>
      </c>
      <c r="Q265" s="90">
        <f t="shared" si="740"/>
        <v>3.7171519451920725</v>
      </c>
      <c r="R265" s="91">
        <f t="shared" si="740"/>
        <v>4.8156603584660056</v>
      </c>
      <c r="S265" s="91">
        <f t="shared" si="740"/>
        <v>18.12778147901399</v>
      </c>
      <c r="T265" s="90">
        <f t="shared" si="740"/>
        <v>26.836979297628027</v>
      </c>
      <c r="U265" s="91">
        <f t="shared" si="740"/>
        <v>14.116703828454861</v>
      </c>
      <c r="V265" s="91">
        <f t="shared" si="740"/>
        <v>14.537884767166535</v>
      </c>
      <c r="W265" s="90">
        <f t="shared" si="740"/>
        <v>31.390808390289884</v>
      </c>
      <c r="X265" s="91">
        <f t="shared" si="740"/>
        <v>14.364076003420339</v>
      </c>
      <c r="Y265" s="91">
        <f t="shared" si="740"/>
        <v>12.518608002010783</v>
      </c>
      <c r="Z265" s="90">
        <f t="shared" si="740"/>
        <v>28.414709279938389</v>
      </c>
      <c r="AA265" s="91">
        <f t="shared" ref="AA265" si="741">+AA29/AA264</f>
        <v>13.266236193712832</v>
      </c>
      <c r="AB265" s="91">
        <f t="shared" si="740"/>
        <v>11.593259806046406</v>
      </c>
      <c r="AC265" s="90">
        <f t="shared" si="740"/>
        <v>26.89492673260747</v>
      </c>
      <c r="AD265" s="91">
        <f t="shared" si="740"/>
        <v>11.649579697190333</v>
      </c>
      <c r="AE265" s="91">
        <f t="shared" si="740"/>
        <v>11.505652474890333</v>
      </c>
      <c r="AF265" s="90">
        <f t="shared" si="740"/>
        <v>23.561418793752608</v>
      </c>
      <c r="AG265" s="91">
        <f t="shared" si="740"/>
        <v>11.697562513927053</v>
      </c>
      <c r="AH265" s="91">
        <f t="shared" si="740"/>
        <v>11.369829214325289</v>
      </c>
      <c r="AI265" s="90">
        <f t="shared" si="740"/>
        <v>23.56705284122204</v>
      </c>
      <c r="AJ265" s="91">
        <f t="shared" si="740"/>
        <v>11.706581391524256</v>
      </c>
      <c r="AK265" s="91">
        <f t="shared" si="740"/>
        <v>11.375084108062211</v>
      </c>
      <c r="AL265" s="90">
        <f t="shared" si="740"/>
        <v>23.588564894526684</v>
      </c>
      <c r="AM265" s="91">
        <f t="shared" si="740"/>
        <v>12.439572461095437</v>
      </c>
      <c r="AN265" s="91">
        <f t="shared" si="740"/>
        <v>11.388452816927527</v>
      </c>
      <c r="AO265" s="90">
        <f t="shared" si="740"/>
        <v>25.061215213922104</v>
      </c>
      <c r="AP265" s="91">
        <f t="shared" si="740"/>
        <v>11.882790808495923</v>
      </c>
      <c r="AQ265" s="91">
        <f t="shared" si="740"/>
        <v>11.679508406044665</v>
      </c>
      <c r="AR265" s="90">
        <f t="shared" si="740"/>
        <v>24.142239317239522</v>
      </c>
      <c r="AS265" s="91">
        <f t="shared" si="740"/>
        <v>11.698714498152698</v>
      </c>
      <c r="AT265" s="91">
        <f t="shared" si="740"/>
        <v>11.68845454323241</v>
      </c>
      <c r="AU265" s="90">
        <f t="shared" si="740"/>
        <v>23.780896915060573</v>
      </c>
      <c r="AV265" s="91">
        <f t="shared" si="740"/>
        <v>11.614999723546681</v>
      </c>
      <c r="AW265" s="91">
        <f t="shared" si="740"/>
        <v>11.694123248862947</v>
      </c>
      <c r="AX265" s="90">
        <f t="shared" si="740"/>
        <v>23.617567435104373</v>
      </c>
      <c r="AY265" s="91">
        <f t="shared" si="740"/>
        <v>11.516664730928103</v>
      </c>
      <c r="AZ265" s="91">
        <f t="shared" si="740"/>
        <v>11.706598260003082</v>
      </c>
      <c r="BA265" s="90">
        <f t="shared" si="740"/>
        <v>23.429533660609714</v>
      </c>
      <c r="BB265" s="91">
        <f t="shared" si="740"/>
        <v>11.449508983095606</v>
      </c>
      <c r="BC265" s="91">
        <f t="shared" si="740"/>
        <v>11.710344537621339</v>
      </c>
      <c r="BD265" s="90">
        <f t="shared" si="740"/>
        <v>23.2979179693079</v>
      </c>
      <c r="BE265" s="91">
        <f t="shared" si="740"/>
        <v>11.365177580005101</v>
      </c>
      <c r="BF265" s="91">
        <f t="shared" si="740"/>
        <v>11.712742952064156</v>
      </c>
      <c r="BG265" s="90">
        <f t="shared" si="740"/>
        <v>23.131067966897273</v>
      </c>
      <c r="BH265" s="91"/>
      <c r="BJ265"/>
      <c r="BK265"/>
      <c r="BL265"/>
      <c r="BM265"/>
      <c r="BN265"/>
      <c r="BO265"/>
    </row>
    <row r="266" spans="1:67" s="61" customFormat="1" outlineLevel="1">
      <c r="B266" s="88" t="s">
        <v>343</v>
      </c>
      <c r="C266" s="88"/>
      <c r="D266" s="89" t="s">
        <v>344</v>
      </c>
      <c r="E266" s="90"/>
      <c r="F266" s="91" t="str">
        <f>IFERROR(+(F264/(F29*2))*365,"NA")</f>
        <v>NA</v>
      </c>
      <c r="G266" s="91">
        <f>+(G264/(G29*2))*365</f>
        <v>300.66874999999999</v>
      </c>
      <c r="H266" s="90">
        <f>+(H264/(H29))*365</f>
        <v>601.33749999999998</v>
      </c>
      <c r="I266" s="91">
        <f>+(I264/(I29*2))*365</f>
        <v>81.623650207812702</v>
      </c>
      <c r="J266" s="91">
        <f>+(J264/(J29*2))*365</f>
        <v>83.46531225224858</v>
      </c>
      <c r="K266" s="90">
        <f>+(K264/(K29))*365</f>
        <v>62.030362266857964</v>
      </c>
      <c r="L266" s="91">
        <f>+(L264/(L29*2))*365</f>
        <v>56.10143123833231</v>
      </c>
      <c r="M266" s="91">
        <f>+(M264/(M29*2))*365</f>
        <v>27.304145867997789</v>
      </c>
      <c r="N266" s="90">
        <f>+(N264/(N29))*365</f>
        <v>41.135142911950894</v>
      </c>
      <c r="O266" s="91">
        <f>+(O264/(O29*2))*365</f>
        <v>47.725945017182134</v>
      </c>
      <c r="P266" s="91">
        <f>+(P264/(P29*2))*365</f>
        <v>84.570795988049511</v>
      </c>
      <c r="Q266" s="90">
        <f>+(Q264/(Q29))*365</f>
        <v>98.193457082675081</v>
      </c>
      <c r="R266" s="91">
        <f>+(R264/(R29*2))*365</f>
        <v>37.897190917785998</v>
      </c>
      <c r="S266" s="91">
        <f>+(S264/(S29*2))*365</f>
        <v>10.067420561709385</v>
      </c>
      <c r="T266" s="90">
        <f>+(T264/(T29))*365</f>
        <v>13.600636493104137</v>
      </c>
      <c r="U266" s="91">
        <f>+(U264/(U29*2))*365</f>
        <v>12.927947077287053</v>
      </c>
      <c r="V266" s="91">
        <f>+(V264/(V29*2))*365</f>
        <v>12.55340807296615</v>
      </c>
      <c r="W266" s="90">
        <f>+(W264/(W29))*365</f>
        <v>11.627607529626586</v>
      </c>
      <c r="X266" s="91">
        <f>+(X264/(X29*2))*365</f>
        <v>12.705307320606181</v>
      </c>
      <c r="Y266" s="91">
        <f>+(Y264/(Y29*2))*365</f>
        <v>14.578298159882168</v>
      </c>
      <c r="Z266" s="90">
        <f>+(Z264/(Z29))*365</f>
        <v>12.845459596438689</v>
      </c>
      <c r="AA266" s="91">
        <f>+(AA264/(AA29*2))*365</f>
        <v>13.756727781349987</v>
      </c>
      <c r="AB266" s="91">
        <f>+(AB264/(AB29*2))*365</f>
        <v>15.741905473801083</v>
      </c>
      <c r="AC266" s="90">
        <f>+(AC264/(AC29))*365</f>
        <v>13.571332750926336</v>
      </c>
      <c r="AD266" s="91">
        <f>+(AD264/(AD29*2))*365</f>
        <v>15.665801234358325</v>
      </c>
      <c r="AE266" s="91">
        <f>+(AE264/(AE29*2))*365</f>
        <v>15.861768847814908</v>
      </c>
      <c r="AF266" s="90">
        <f>+(AF264/(AF29))*365</f>
        <v>15.491427031413789</v>
      </c>
      <c r="AG266" s="91">
        <f>+(AG264/(AG29*2))*365</f>
        <v>15.601540900740348</v>
      </c>
      <c r="AH266" s="91">
        <f>+(AH264/(AH29*2))*365</f>
        <v>16.051252535091837</v>
      </c>
      <c r="AI266" s="90">
        <f>+(AI264/(AI29))*365</f>
        <v>15.48772357999573</v>
      </c>
      <c r="AJ266" s="91">
        <f>+(AJ264/(AJ29*2))*365</f>
        <v>15.589521303984847</v>
      </c>
      <c r="AK266" s="91">
        <f>+(AK264/(AK29*2))*365</f>
        <v>16.043837413971403</v>
      </c>
      <c r="AL266" s="90">
        <f>+(AL264/(AL29))*365</f>
        <v>15.473599247434164</v>
      </c>
      <c r="AM266" s="91">
        <f>+(AM264/(AM29*2))*365</f>
        <v>14.67092221784678</v>
      </c>
      <c r="AN266" s="91">
        <f>+(AN264/(AN29*2))*365</f>
        <v>16.025003829206398</v>
      </c>
      <c r="AO266" s="90">
        <f>+(AO264/(AO29))*365</f>
        <v>14.564337638233672</v>
      </c>
      <c r="AP266" s="91">
        <f>+(AP264/(AP29*2))*365</f>
        <v>15.358344932700209</v>
      </c>
      <c r="AQ266" s="91">
        <f>+(AQ264/(AQ29*2))*365</f>
        <v>15.625657660860806</v>
      </c>
      <c r="AR266" s="90">
        <f>+(AR264/(AR29))*365</f>
        <v>15.118730089770931</v>
      </c>
      <c r="AS266" s="91">
        <f>+(AS264/(AS29*2))*365</f>
        <v>15.600004601259217</v>
      </c>
      <c r="AT266" s="91">
        <f>+(AT264/(AT29*2))*365</f>
        <v>15.61369805776993</v>
      </c>
      <c r="AU266" s="90">
        <f>+(AU264/(AU29))*365</f>
        <v>15.34845389993863</v>
      </c>
      <c r="AV266" s="91">
        <f>+(AV264/(AV29*2))*365</f>
        <v>15.712441183276496</v>
      </c>
      <c r="AW266" s="91">
        <f>+(AW264/(AW29*2))*365</f>
        <v>15.606129345160184</v>
      </c>
      <c r="AX266" s="90">
        <f>+(AX264/(AX29))*365</f>
        <v>15.454597557641607</v>
      </c>
      <c r="AY266" s="91">
        <f>+(AY264/(AY29*2))*365</f>
        <v>15.846601795213738</v>
      </c>
      <c r="AZ266" s="91">
        <f>+(AZ264/(AZ29*2))*365</f>
        <v>15.589498840455805</v>
      </c>
      <c r="BA266" s="90">
        <f>+(BA264/(BA29))*365</f>
        <v>15.578628464707629</v>
      </c>
      <c r="BB266" s="91">
        <f>+(BB264/(BB29*2))*365</f>
        <v>15.939548173589662</v>
      </c>
      <c r="BC266" s="91">
        <f>+(BC264/(BC29*2))*365</f>
        <v>15.584511575529636</v>
      </c>
      <c r="BD266" s="90">
        <f>+(BD264/(BD29))*365</f>
        <v>15.666635983560505</v>
      </c>
      <c r="BE266" s="91">
        <f>+(BE264/(BE29*2))*365</f>
        <v>16.057822125109116</v>
      </c>
      <c r="BF266" s="91">
        <f>+(BF264/(BF29*2))*365</f>
        <v>15.581320340325382</v>
      </c>
      <c r="BG266" s="90">
        <f>+(BG264/(BG29))*365</f>
        <v>15.779643227988835</v>
      </c>
      <c r="BH266" s="91"/>
      <c r="BJ266"/>
      <c r="BK266"/>
      <c r="BL266"/>
      <c r="BM266"/>
      <c r="BN266"/>
      <c r="BO266"/>
    </row>
    <row r="267" spans="1:67" s="61" customFormat="1" outlineLevel="1">
      <c r="B267" s="88" t="s">
        <v>345</v>
      </c>
      <c r="C267" s="88"/>
      <c r="D267" s="89" t="s">
        <v>344</v>
      </c>
      <c r="E267" s="90"/>
      <c r="F267" s="91" t="str">
        <f>+IFERROR((((E171+F171)/2)/(F29*2))*365,"NA")</f>
        <v>NA</v>
      </c>
      <c r="G267" s="91">
        <f>+(((F171+G171)/2)/(G29*2))*365</f>
        <v>6059.8722564102573</v>
      </c>
      <c r="H267" s="90">
        <f>+(((E171+H171)/2)/(H29))*365</f>
        <v>8212.1686923076923</v>
      </c>
      <c r="I267" s="91">
        <f>+(((H171+I171)/2)/(I29*2))*365</f>
        <v>1191.490530684423</v>
      </c>
      <c r="J267" s="91">
        <f>+(((I171+J171)/2)/(J29*2))*365</f>
        <v>1497.5994776305577</v>
      </c>
      <c r="K267" s="90">
        <f>+(((H171+K171)/2)/(K29))*365</f>
        <v>1073.8879705882352</v>
      </c>
      <c r="L267" s="91">
        <f>+(((K171+L171)/2)/(L29*2))*365</f>
        <v>1674.6390790292469</v>
      </c>
      <c r="M267" s="91">
        <f>+(((L171+M171)/2)/(M29*2))*365</f>
        <v>754.59650582362724</v>
      </c>
      <c r="N267" s="90">
        <f>+(((K171+N171)/2)/(N29))*365</f>
        <v>856.66123153654326</v>
      </c>
      <c r="O267" s="91">
        <f>+(((N171+O171)/2)/(O29*2))*365</f>
        <v>928.24140893470769</v>
      </c>
      <c r="P267" s="91">
        <f>+(((O171+P171)/2)/(P29*2))*365</f>
        <v>713.15594323516871</v>
      </c>
      <c r="Q267" s="90">
        <f>+(((N171+Q171)/2)/(Q29))*365</f>
        <v>764.47702738283306</v>
      </c>
      <c r="R267" s="91">
        <f>+(((Q171+R171)/2)/(R29*2))*365</f>
        <v>137.85971223021582</v>
      </c>
      <c r="S267" s="91">
        <f>+(((R171+S171)/2)/(S29*2))*365</f>
        <v>37.737065322053077</v>
      </c>
      <c r="T267" s="90">
        <f>+(((Q171+T171)/2)/(T29))*365</f>
        <v>66.998894413351991</v>
      </c>
      <c r="U267" s="91">
        <f>+(((T171+U171)/2)/(U29*2))*365</f>
        <v>61.38674277303187</v>
      </c>
      <c r="V267" s="91">
        <f>+(((U171+V171)/2)/(V29*2))*365</f>
        <v>51.906905724911098</v>
      </c>
      <c r="W267" s="90">
        <f>+(((T171+W171)/2)/(W29))*365</f>
        <v>45.707486680801736</v>
      </c>
      <c r="X267" s="91">
        <f>+(((W171+X171)/2)/(X29*2))*365</f>
        <v>28.001802775075024</v>
      </c>
      <c r="Y267" s="91">
        <f>+(((X171+Y171)/2)/(Y29*2))*365</f>
        <v>38.358412344690187</v>
      </c>
      <c r="Z267" s="90">
        <f>+(((W171+Z171)/2)/(Z29))*365</f>
        <v>46.271989600252439</v>
      </c>
      <c r="AA267" s="91">
        <f>+(((Z171+AA171)/2)/(AA29*2))*365</f>
        <v>49.219865559651488</v>
      </c>
      <c r="AB267" s="91">
        <f>+(((AA171+AB171)/2)/(AB29*2))*365</f>
        <v>55.611496762247754</v>
      </c>
      <c r="AC267" s="90">
        <f>+(((Z171+AC171)/2)/(AC29))*365</f>
        <v>48.921956535669963</v>
      </c>
      <c r="AD267" s="91">
        <f>+(((AC171+AD171)/2)/(AD29*2))*365</f>
        <v>55.700626611051824</v>
      </c>
      <c r="AE267" s="91">
        <f>+(((AD171+AE171)/2)/(AE29*2))*365</f>
        <v>56.397400347786352</v>
      </c>
      <c r="AF267" s="90">
        <f>+(((AC171+AF171)/2)/(AF29))*365</f>
        <v>55.080629445026808</v>
      </c>
      <c r="AG267" s="91">
        <f>+(((AF171+AG171)/2)/(AG29*2))*365</f>
        <v>55.472145424854567</v>
      </c>
      <c r="AH267" s="91">
        <f>+(((AG171+AH171)/2)/(AH29*2))*365</f>
        <v>57.071120124770971</v>
      </c>
      <c r="AI267" s="90">
        <f>+(((AF171+AI171)/2)/(AI29))*365</f>
        <v>55.067461617762596</v>
      </c>
      <c r="AJ267" s="91">
        <f>+(((AI171+AJ171)/2)/(AJ29*2))*365</f>
        <v>55.429409080835022</v>
      </c>
      <c r="AK267" s="91">
        <f>+(((AJ171+AK171)/2)/(AK29*2))*365</f>
        <v>57.044755249676101</v>
      </c>
      <c r="AL267" s="90">
        <f>+(((AI171+AL171)/2)/(AL29))*365</f>
        <v>55.017241768654806</v>
      </c>
      <c r="AM267" s="91">
        <f>+(((AL171+AM171)/2)/(AM29*2))*365</f>
        <v>52.163278996788563</v>
      </c>
      <c r="AN267" s="91">
        <f>+(((AM171+AN171)/2)/(AN29*2))*365</f>
        <v>56.97779139273387</v>
      </c>
      <c r="AO267" s="90">
        <f>+(((AL171+AO171)/2)/(AO29))*365</f>
        <v>51.784311602608625</v>
      </c>
      <c r="AP267" s="91">
        <f>+(((AO171+AP171)/2)/(AP29*2))*365</f>
        <v>54.607448649600755</v>
      </c>
      <c r="AQ267" s="91">
        <f>+(((AP171+AQ171)/2)/(AQ29*2))*365</f>
        <v>55.557893905282874</v>
      </c>
      <c r="AR267" s="90">
        <f>+(((AO171+AR171)/2)/(AR29))*365</f>
        <v>53.755484763629987</v>
      </c>
      <c r="AS267" s="91">
        <f>+(((AR171+AS171)/2)/(AS29*2))*365</f>
        <v>55.466683026699449</v>
      </c>
      <c r="AT267" s="91">
        <f>+(((AS171+AT171)/2)/(AT29*2))*365</f>
        <v>55.515370872070868</v>
      </c>
      <c r="AU267" s="90">
        <f>+(((AR171+AU171)/2)/(AU29))*365</f>
        <v>54.572280533115141</v>
      </c>
      <c r="AV267" s="91">
        <f>+(((AU171+AV171)/2)/(AV29*2))*365</f>
        <v>55.866457540538661</v>
      </c>
      <c r="AW267" s="91">
        <f>+(((AV171+AW171)/2)/(AW29*2))*365</f>
        <v>55.488459893902892</v>
      </c>
      <c r="AX267" s="90">
        <f>+(((AU171+AX171)/2)/(AX29))*365</f>
        <v>54.949680204947946</v>
      </c>
      <c r="AY267" s="91">
        <f>+(((AX171+AY171)/2)/(AY29*2))*365</f>
        <v>56.343473049648836</v>
      </c>
      <c r="AZ267" s="91">
        <f>+(((AY171+AZ171)/2)/(AZ29*2))*365</f>
        <v>55.429329210509536</v>
      </c>
      <c r="BA267" s="90">
        <f>+(((AX171+BA171)/2)/(BA29))*365</f>
        <v>55.390678985627126</v>
      </c>
      <c r="BB267" s="91">
        <f>+(((BA171+BB171)/2)/(BB29*2))*365</f>
        <v>56.673949061652117</v>
      </c>
      <c r="BC267" s="91">
        <f>+(((BB171+BC171)/2)/(BC29*2))*365</f>
        <v>55.411596712994267</v>
      </c>
      <c r="BD267" s="90">
        <f>+(((BA171+BD171)/2)/(BD29))*365</f>
        <v>55.703594608215127</v>
      </c>
      <c r="BE267" s="91">
        <f>+(((BD171+BE171)/2)/(BE29*2))*365</f>
        <v>57.094478667054638</v>
      </c>
      <c r="BF267" s="91">
        <f>+(((BE171+BF171)/2)/(BF29*2))*365</f>
        <v>55.400250098934698</v>
      </c>
      <c r="BG267" s="90">
        <f>+(((BD171+BG171)/2)/(BG29))*365</f>
        <v>56.105398143960315</v>
      </c>
      <c r="BH267" s="91"/>
      <c r="BJ267"/>
      <c r="BK267"/>
      <c r="BL267"/>
      <c r="BM267"/>
      <c r="BN267"/>
      <c r="BO267"/>
    </row>
    <row r="268" spans="1:67" s="61" customFormat="1" outlineLevel="1">
      <c r="B268" s="88" t="s">
        <v>346</v>
      </c>
      <c r="C268" s="88"/>
      <c r="D268" s="89" t="s">
        <v>344</v>
      </c>
      <c r="E268" s="90"/>
      <c r="F268" s="91" t="str">
        <f>IFERROR(+(((E203+F203)/2)/(F29*2))*365,"NA")</f>
        <v>NA</v>
      </c>
      <c r="G268" s="91">
        <f>+(((F203+G203)/2)/(G29*2))*365</f>
        <v>4822.5695192307694</v>
      </c>
      <c r="H268" s="90">
        <f>+(((E203+H203)/2)/(H29))*365</f>
        <v>7502.1641410256407</v>
      </c>
      <c r="I268" s="91">
        <f>+(((H203+I203)/2)/(I29*2))*365</f>
        <v>608.39573972958499</v>
      </c>
      <c r="J268" s="91">
        <f>+(((I203+J203)/2)/(J29*2))*365</f>
        <v>790.35580477457847</v>
      </c>
      <c r="K268" s="90">
        <f>+(((H203+K203)/2)/(K29))*365</f>
        <v>843.68938307030135</v>
      </c>
      <c r="L268" s="91">
        <f>+(((K203+L203)/2)/(L29*2))*365</f>
        <v>816.59380833851912</v>
      </c>
      <c r="M268" s="91">
        <f>+(((L203+M203)/2)/(M29*2))*365</f>
        <v>406.27253189129232</v>
      </c>
      <c r="N268" s="90">
        <f>+(((K203+N203)/2)/(N29))*365</f>
        <v>704.02359485900638</v>
      </c>
      <c r="O268" s="91">
        <f>+(((N203+O203)/2)/(O29*2))*365</f>
        <v>690.99140893470792</v>
      </c>
      <c r="P268" s="91">
        <f>+(((O203+P203)/2)/(P29*2))*365</f>
        <v>587.76995305164314</v>
      </c>
      <c r="Q268" s="90">
        <f>+(((N203+Q203)/2)/(Q29))*365</f>
        <v>719.14033701948392</v>
      </c>
      <c r="R268" s="91">
        <f>+(((Q203+R203)/2)/(R29*2))*365</f>
        <v>148.73897991433444</v>
      </c>
      <c r="S268" s="91">
        <f>+(((R203+S203)/2)/(S29*2))*365</f>
        <v>46.732684547479217</v>
      </c>
      <c r="T268" s="90">
        <f>+(((Q203+T203)/2)/(T29))*365</f>
        <v>78.153217444533269</v>
      </c>
      <c r="U268" s="91">
        <f>+(((T203+U203)/2)/(U29*2))*365</f>
        <v>66.366814421002402</v>
      </c>
      <c r="V268" s="91">
        <f>+(((U203+V203)/2)/(V29*2))*365</f>
        <v>55.992955834848942</v>
      </c>
      <c r="W268" s="90">
        <f>+(((T203+W203)/2)/(W29))*365</f>
        <v>56.920194427259474</v>
      </c>
      <c r="X268" s="91">
        <f>+(((W203+X203)/2)/(X29*2))*365</f>
        <v>42.181279744334013</v>
      </c>
      <c r="Y268" s="91">
        <f>+(((X203+Y203)/2)/(Y29*2))*365</f>
        <v>47.189675095037259</v>
      </c>
      <c r="Z268" s="90">
        <f>+(((W203+Z203)/2)/(Z29))*365</f>
        <v>49.85980087154995</v>
      </c>
      <c r="AA268" s="91">
        <f>+(((Z203+AA203)/2)/(AA29*2))*365</f>
        <v>51.510004252495776</v>
      </c>
      <c r="AB268" s="91">
        <f>+(((AA203+AB203)/2)/(AB29*2))*365</f>
        <v>59.573860251041388</v>
      </c>
      <c r="AC268" s="90">
        <f>+(((Z203+AC203)/2)/(AC29))*365</f>
        <v>50.715647521291146</v>
      </c>
      <c r="AD268" s="91">
        <f>+(((AC203+AD203)/2)/(AD29*2))*365</f>
        <v>59.181915774242562</v>
      </c>
      <c r="AE268" s="91">
        <f>+(((AD203+AE203)/2)/(AE29*2))*365</f>
        <v>59.922237869523016</v>
      </c>
      <c r="AF268" s="90">
        <f>+(((AC203+AF203)/2)/(AF29))*365</f>
        <v>58.523168785340992</v>
      </c>
      <c r="AG268" s="91">
        <f>+(((AF203+AG203)/2)/(AG29*2))*365</f>
        <v>58.93915451390798</v>
      </c>
      <c r="AH268" s="91">
        <f>+(((AG203+AH203)/2)/(AH29*2))*365</f>
        <v>60.638065132569174</v>
      </c>
      <c r="AI268" s="90">
        <f>+(((AF203+AI203)/2)/(AI29))*365</f>
        <v>58.509177968872777</v>
      </c>
      <c r="AJ268" s="91">
        <f>+(((AI203+AJ203)/2)/(AJ29*2))*365</f>
        <v>58.893747148387227</v>
      </c>
      <c r="AK268" s="91">
        <f>+(((AJ203+AK203)/2)/(AK29*2))*365</f>
        <v>60.610052452780849</v>
      </c>
      <c r="AL268" s="90">
        <f>+(((AI203+AL203)/2)/(AL29))*365</f>
        <v>58.455819379195738</v>
      </c>
      <c r="AM268" s="91">
        <f>+(((AL203+AM203)/2)/(AM29*2))*365</f>
        <v>55.423483934087841</v>
      </c>
      <c r="AN268" s="91">
        <f>+(((AM203+AN203)/2)/(AN29*2))*365</f>
        <v>60.538903354779734</v>
      </c>
      <c r="AO268" s="90">
        <f>+(((AL203+AO203)/2)/(AO29))*365</f>
        <v>55.02083107777166</v>
      </c>
      <c r="AP268" s="91">
        <f>+(((AO203+AP203)/2)/(AP29*2))*365</f>
        <v>58.020414190200803</v>
      </c>
      <c r="AQ268" s="91">
        <f>+(((AP203+AQ203)/2)/(AQ29*2))*365</f>
        <v>59.030262274363047</v>
      </c>
      <c r="AR268" s="90">
        <f>+(((AO203+AR203)/2)/(AR29))*365</f>
        <v>57.11520256135686</v>
      </c>
      <c r="AS268" s="91">
        <f>+(((AR203+AS203)/2)/(AS29*2))*365</f>
        <v>58.933350715868173</v>
      </c>
      <c r="AT268" s="91">
        <f>+(((AS203+AT203)/2)/(AT29*2))*365</f>
        <v>58.985081551575291</v>
      </c>
      <c r="AU268" s="90">
        <f>+(((AR203+AU203)/2)/(AU29))*365</f>
        <v>57.983048066434847</v>
      </c>
      <c r="AV268" s="91">
        <f>+(((AU203+AV203)/2)/(AV29*2))*365</f>
        <v>59.35811113682233</v>
      </c>
      <c r="AW268" s="91">
        <f>+(((AV203+AW203)/2)/(AW29*2))*365</f>
        <v>58.956488637271825</v>
      </c>
      <c r="AX268" s="90">
        <f>+(((AU203+AX203)/2)/(AX29))*365</f>
        <v>58.384035217757187</v>
      </c>
      <c r="AY268" s="91">
        <f>+(((AX203+AY203)/2)/(AY29*2))*365</f>
        <v>59.864940115251912</v>
      </c>
      <c r="AZ268" s="91">
        <f>+(((AY203+AZ203)/2)/(AZ29*2))*365</f>
        <v>58.893662286166382</v>
      </c>
      <c r="BA268" s="90">
        <f>+(((AX203+BA203)/2)/(BA29))*365</f>
        <v>58.852596422228821</v>
      </c>
      <c r="BB268" s="91">
        <f>+(((BA203+BB203)/2)/(BB29*2))*365</f>
        <v>60.216070878005397</v>
      </c>
      <c r="BC268" s="91">
        <f>+(((BB203+BC203)/2)/(BC29*2))*365</f>
        <v>58.874821507556412</v>
      </c>
      <c r="BD268" s="90">
        <f>+(((BA203+BD203)/2)/(BD29))*365</f>
        <v>59.185069271228578</v>
      </c>
      <c r="BE268" s="91">
        <f>+(((BD203+BE203)/2)/(BE29*2))*365</f>
        <v>60.662883583745554</v>
      </c>
      <c r="BF268" s="91">
        <f>+(((BE203+BF203)/2)/(BF29*2))*365</f>
        <v>58.86276573011812</v>
      </c>
      <c r="BG268" s="90">
        <f>+(((BD203+BG203)/2)/(BG29))*365</f>
        <v>59.611985527957835</v>
      </c>
      <c r="BH268" s="91"/>
      <c r="BJ268"/>
      <c r="BK268"/>
      <c r="BL268"/>
      <c r="BM268"/>
      <c r="BN268"/>
      <c r="BO268"/>
    </row>
    <row r="269" spans="1:67" s="61" customFormat="1">
      <c r="B269" s="88" t="s">
        <v>80</v>
      </c>
      <c r="C269" s="88"/>
      <c r="D269" s="89" t="s">
        <v>175</v>
      </c>
      <c r="E269" s="172"/>
      <c r="F269" s="173">
        <f>+(F67*2)/(((E201-E169)+(F201-F169))/2)</f>
        <v>-1.7095792913373862</v>
      </c>
      <c r="G269" s="173">
        <f>+(G67*2)/(((F201-F169)+(G201-G169))/2)</f>
        <v>-0.94087662310470299</v>
      </c>
      <c r="H269" s="172">
        <f>+(H67)/(((E201-E169)+(H201-H169))/2)</f>
        <v>-1.0379605919622874</v>
      </c>
      <c r="I269" s="173">
        <f>+(I67*2)/(((H201-H169)+(I201-I169))/2)</f>
        <v>-0.60908704448245754</v>
      </c>
      <c r="J269" s="173">
        <f>+(J67*2)/(((I201-I169)+(J201-J169))/2)</f>
        <v>-0.85405547118930536</v>
      </c>
      <c r="K269" s="172">
        <f>+(K67)/(((H201-H169)+(K201-K169))/2)</f>
        <v>-0.73901987683883208</v>
      </c>
      <c r="L269" s="173">
        <f>+(L67*2)/(((K201-K169)+(L201-L169))/2)</f>
        <v>-0.63089038087469407</v>
      </c>
      <c r="M269" s="173">
        <f>+(M67*2)/(((L201-L169)+(M201-M169))/2)</f>
        <v>-0.7804930303557801</v>
      </c>
      <c r="N269" s="172">
        <f>+(N67)/(((K201-K169)+(N201-N169))/2)</f>
        <v>-0.71440175217208435</v>
      </c>
      <c r="O269" s="173">
        <f>+(O67*2)/(((N201-N169)+(O201-O169))/2)</f>
        <v>-0.78768604183427215</v>
      </c>
      <c r="P269" s="173">
        <f>+(P67*2)/(((O201-O169)+(P201-P169))/2)</f>
        <v>-1.1955641781035187</v>
      </c>
      <c r="Q269" s="172">
        <f>+(Q67)/(((N201-N169)+(Q201-Q169))/2)</f>
        <v>-0.96923388924677312</v>
      </c>
      <c r="R269" s="173">
        <f>+(R67*2)/(((Q201-Q169)+(R201-R169))/2)</f>
        <v>-1.4019325271934191</v>
      </c>
      <c r="S269" s="173">
        <f>+(S67*2)/(((R201-R169)+(S201-S169))/2)</f>
        <v>-0.25965105569853386</v>
      </c>
      <c r="T269" s="172">
        <f>+(T67)/(((Q201-Q169)+(T201-T169))/2)</f>
        <v>-0.64532627865961212</v>
      </c>
      <c r="U269" s="173">
        <f>+(U67*2)/(((T201-T169)+(U201-U169))/2)</f>
        <v>0.23054546632054471</v>
      </c>
      <c r="V269" s="173">
        <f>+(V67*2)/(((U201-U169)+(V201-V169))/2)</f>
        <v>0.12723045503049307</v>
      </c>
      <c r="W269" s="172">
        <f>+(W67)/(((T201-T169)+(W201-W169))/2)</f>
        <v>0.21008653953317416</v>
      </c>
      <c r="X269" s="173">
        <f>+(X67*2)/(((W201-W169)+(X201-X169))/2)</f>
        <v>0.23774616267194285</v>
      </c>
      <c r="Y269" s="173">
        <f>+(Y67*2)/(((X201-X169)+(Y201-Y169))/2)</f>
        <v>0.123350158529396</v>
      </c>
      <c r="Z269" s="172">
        <f>+(Z67)/(((W201-W169)+(Z201-Z169))/2)</f>
        <v>0.17903981146416731</v>
      </c>
      <c r="AA269" s="173">
        <f>+(AA67*2)/(((Z201-Z169)+(AA201-AA169))/2)</f>
        <v>3.1001041009293732E-2</v>
      </c>
      <c r="AB269" s="173">
        <f>+(AB67*2)/(((AA201-AA169)+(AB201-AB169))/2)</f>
        <v>2.5526990448367478E-2</v>
      </c>
      <c r="AC269" s="172">
        <f>+(AC67)/(((Z201-Z169)+(AC201-AC169))/2)</f>
        <v>3.2380239775238337E-2</v>
      </c>
      <c r="AD269" s="173">
        <f>+(AD67*2)/(((AC201-AC169)+(AD201-AD169))/2)</f>
        <v>3.1178840758044717E-2</v>
      </c>
      <c r="AE269" s="173">
        <f>+(AE67*2)/(((AD201-AD169)+(AE201-AE169))/2)</f>
        <v>3.2872013032348553E-2</v>
      </c>
      <c r="AF269" s="172">
        <f>+(AF67)/(((AC201-AC169)+(AF201-AF169))/2)</f>
        <v>3.2129321979522361E-2</v>
      </c>
      <c r="AG269" s="173">
        <f>+(AG67*2)/(((AF201-AF169)+(AG201-AG169))/2)</f>
        <v>4.4835052051446417E-2</v>
      </c>
      <c r="AH269" s="173">
        <f>+(AH67*2)/(((AG201-AG169)+(AH201-AH169))/2)</f>
        <v>4.8431261664974121E-2</v>
      </c>
      <c r="AI269" s="172">
        <f>+(AI67)/(((AF201-AF169)+(AI201-AI169))/2)</f>
        <v>4.6841060124893662E-2</v>
      </c>
      <c r="AJ269" s="173">
        <f>+(AJ67*2)/(((AI201-AI169)+(AJ201-AJ169))/2)</f>
        <v>8.1906318462867958E-2</v>
      </c>
      <c r="AK269" s="173">
        <f>+(AK67*2)/(((AJ201-AJ169)+(AK201-AK169))/2)</f>
        <v>8.6318931593956427E-2</v>
      </c>
      <c r="AL269" s="172">
        <f>+(AL67)/(((AI201-AI169)+(AL201-AL169))/2)</f>
        <v>8.4518345036516881E-2</v>
      </c>
      <c r="AM269" s="173">
        <f>+(AM67*2)/(((AL201-AL169)+(AM201-AM169))/2)</f>
        <v>0.15204165834252711</v>
      </c>
      <c r="AN269" s="173">
        <f>+(AN67*2)/(((AM201-AM169)+(AN201-AN169))/2)</f>
        <v>0.15507177153906274</v>
      </c>
      <c r="AO269" s="172">
        <f>+(AO67)/(((AL201-AL169)+(AO201-AO169))/2)</f>
        <v>0.15556966801678757</v>
      </c>
      <c r="AP269" s="173">
        <f>+(AP67*2)/(((AO201-AO169)+(AP201-AP169))/2)</f>
        <v>0.21574844842393923</v>
      </c>
      <c r="AQ269" s="173">
        <f>+(AQ67*2)/(((AP201-AP169)+(AQ201-AQ169))/2)</f>
        <v>0.23076748034390882</v>
      </c>
      <c r="AR269" s="172">
        <f>+(AR67)/(((AO201-AO169)+(AR201-AR169))/2)</f>
        <v>0.2248777026539075</v>
      </c>
      <c r="AS269" s="173">
        <f>+(AS67*2)/(((AR201-AR169)+(AS201-AS169))/2)</f>
        <v>0.27203027210544378</v>
      </c>
      <c r="AT269" s="173">
        <f>+(AT67*2)/(((AS201-AS169)+(AT201-AT169))/2)</f>
        <v>0.29005857432246629</v>
      </c>
      <c r="AU269" s="172">
        <f>+(AU67)/(((AR201-AR169)+(AU201-AU169))/2)</f>
        <v>0.28256749298617556</v>
      </c>
      <c r="AV269" s="173">
        <f>+(AV67*2)/(((AU201-AU169)+(AV201-AV169))/2)</f>
        <v>0.32972762978036135</v>
      </c>
      <c r="AW269" s="173">
        <f>+(AW67*2)/(((AV201-AV169)+(AW201-AW169))/2)</f>
        <v>0.35036402622967805</v>
      </c>
      <c r="AX269" s="172">
        <f>+(AX67)/(((AU201-AU169)+(AX201-AX169))/2)</f>
        <v>0.34159758362769077</v>
      </c>
      <c r="AY269" s="173">
        <f>+(AY67*2)/(((AX201-AX169)+(AY201-AY169))/2)</f>
        <v>0.38313612861468915</v>
      </c>
      <c r="AZ269" s="173">
        <f>+(AZ67*2)/(((AY201-AY169)+(AZ201-AZ169))/2)</f>
        <v>0.40751996152777553</v>
      </c>
      <c r="BA269" s="172">
        <f>+(BA67)/(((AX201-AX169)+(BA201-BA169))/2)</f>
        <v>0.39661797337004751</v>
      </c>
      <c r="BB269" s="173">
        <f>+(BB67*2)/(((BA201-BA169)+(BB201-BB169))/2)</f>
        <v>0.43513287265783729</v>
      </c>
      <c r="BC269" s="173">
        <f>+(BC67*2)/(((BB201-BB169)+(BC201-BC169))/2)</f>
        <v>0.46241007700990239</v>
      </c>
      <c r="BD269" s="172">
        <f>+(BD67)/(((BA201-BA169)+(BD201-BD169))/2)</f>
        <v>0.44980648936830403</v>
      </c>
      <c r="BE269" s="173">
        <f>+(BE67*2)/(((BD201-BD169)+(BE201-BE169))/2)</f>
        <v>0.48221912817054075</v>
      </c>
      <c r="BF269" s="173">
        <f>+(BF67*2)/(((BE201-BE169)+(BF201-BF169))/2)</f>
        <v>0.51273966165513296</v>
      </c>
      <c r="BG269" s="172">
        <f>+(BG67)/(((BD201-BD169)+(BG201-BG169))/2)</f>
        <v>0.49795896255149985</v>
      </c>
      <c r="BH269" s="173"/>
      <c r="BJ269"/>
      <c r="BK269"/>
      <c r="BL269"/>
      <c r="BM269"/>
      <c r="BN269"/>
      <c r="BO269"/>
    </row>
    <row r="270" spans="1:67" s="61" customFormat="1">
      <c r="B270" s="88" t="s">
        <v>83</v>
      </c>
      <c r="C270" s="88"/>
      <c r="D270" s="89" t="s">
        <v>175</v>
      </c>
      <c r="E270" s="172"/>
      <c r="F270" s="173">
        <f>+(F79*2)/(E244)</f>
        <v>-0.2105787265664282</v>
      </c>
      <c r="G270" s="173">
        <f>+(G79*2)/(F244)</f>
        <v>-0.38926867395203402</v>
      </c>
      <c r="H270" s="172">
        <f>+(H79)/(E244)</f>
        <v>-0.28056838732719458</v>
      </c>
      <c r="I270" s="173">
        <f>+(I79*2)/(H244)</f>
        <v>-0.39200807098456175</v>
      </c>
      <c r="J270" s="173">
        <f>+(J79*2)/(I244)</f>
        <v>-0.81011464419348622</v>
      </c>
      <c r="K270" s="172">
        <f>+(K79)/(H244)</f>
        <v>-0.5267408447519113</v>
      </c>
      <c r="L270" s="173">
        <f>+(L79*2)/(K244)</f>
        <v>-0.52228136014040893</v>
      </c>
      <c r="M270" s="173">
        <f>+(M79*2)/(L244)</f>
        <v>-0.98978053275255518</v>
      </c>
      <c r="N270" s="172">
        <f>+(N79)/(K244)</f>
        <v>-0.64050170516973215</v>
      </c>
      <c r="O270" s="173">
        <f>+(O79*2)/(N244)</f>
        <v>-0.82297256251898354</v>
      </c>
      <c r="P270" s="173">
        <f>+(P79*2)/(O244)</f>
        <v>-2.0027540162737334</v>
      </c>
      <c r="Q270" s="172">
        <f>+(Q79)/(N244)</f>
        <v>-1.01890756302521</v>
      </c>
      <c r="R270" s="173">
        <f>+(R79*2)/(Q244)</f>
        <v>-65.700648748841914</v>
      </c>
      <c r="S270" s="173">
        <f>+(S79*2)/(R244)</f>
        <v>-0.62970552519732836</v>
      </c>
      <c r="T270" s="172">
        <f>+(T79)/(Q244)</f>
        <v>-48.22937905468055</v>
      </c>
      <c r="U270" s="173">
        <f>+(U79*2)/(T244)</f>
        <v>-0.22830502331045971</v>
      </c>
      <c r="V270" s="173">
        <f>+(V79*2)/(U244)</f>
        <v>0.35181508605387846</v>
      </c>
      <c r="W270" s="172">
        <f>+(W79)/(T244)</f>
        <v>5.3070356343819215E-2</v>
      </c>
      <c r="X270" s="173">
        <f>+(X79*2)/(W244)</f>
        <v>0.38172341565590134</v>
      </c>
      <c r="Y270" s="173">
        <f>+(Y79*2)/(X244)</f>
        <v>0.12838035395065581</v>
      </c>
      <c r="Z270" s="172">
        <f>+(Z79)/(W244)</f>
        <v>0.32816990598665385</v>
      </c>
      <c r="AA270" s="173">
        <f>+(AA79*2)/(Z244)</f>
        <v>-1.2988153693151684E-2</v>
      </c>
      <c r="AB270" s="173">
        <f>+(AB79*2)/(AA244)</f>
        <v>-2.0449726105653245E-2</v>
      </c>
      <c r="AC270" s="172">
        <f>+(AC79)/(Z244)</f>
        <v>-1.8718040164031131E-2</v>
      </c>
      <c r="AD270" s="173">
        <f>+(AD79*2)/(AC244)</f>
        <v>5.7100100410707472E-3</v>
      </c>
      <c r="AE270" s="173">
        <f>+(AE79*2)/(AD244)</f>
        <v>8.8568197109903466E-3</v>
      </c>
      <c r="AF270" s="172">
        <f>+(AF79)/(AC244)</f>
        <v>7.2960580084009737E-3</v>
      </c>
      <c r="AG270" s="173">
        <f>+(AG79*2)/(AF244)</f>
        <v>3.9381962398234271E-2</v>
      </c>
      <c r="AH270" s="173">
        <f>+(AH79*2)/(AG244)</f>
        <v>4.6852629433886739E-2</v>
      </c>
      <c r="AI270" s="172">
        <f>+(AI79)/(AF244)</f>
        <v>4.3578583038716444E-2</v>
      </c>
      <c r="AJ270" s="173">
        <f>+(AJ79*2)/(AI244)</f>
        <v>0.10927353192448931</v>
      </c>
      <c r="AK270" s="173">
        <f>+(AK79*2)/(AJ244)</f>
        <v>0.11483822039527769</v>
      </c>
      <c r="AL270" s="172">
        <f>+(AL79)/(AI244)</f>
        <v>0.11519307064551222</v>
      </c>
      <c r="AM270" s="173">
        <f>+(AM79*2)/(AL244)</f>
        <v>0.23127420569633328</v>
      </c>
      <c r="AN270" s="173">
        <f>+(AN79*2)/(AM244)</f>
        <v>0.13633517868573836</v>
      </c>
      <c r="AO270" s="172">
        <f>+(AO79)/(AL244)</f>
        <v>0.23976671246940032</v>
      </c>
      <c r="AP270" s="173">
        <f>+(AP79*2)/(AO244)</f>
        <v>0.21439191473448416</v>
      </c>
      <c r="AQ270" s="173">
        <f>+(AQ79*2)/(AP244)</f>
        <v>0.21466413944214205</v>
      </c>
      <c r="AR270" s="172">
        <f>+(AR79)/(AO244)</f>
        <v>0.22603359105827092</v>
      </c>
      <c r="AS270" s="173">
        <f>+(AS79*2)/(AR244)</f>
        <v>0.2358917402570446</v>
      </c>
      <c r="AT270" s="173">
        <f>+(AT79*2)/(AS244)</f>
        <v>0.2326644534064814</v>
      </c>
      <c r="AU270" s="172">
        <f>+(AU79)/(AR244)</f>
        <v>0.24799900253426524</v>
      </c>
      <c r="AV270" s="173">
        <f>+(AV79*2)/(AU244)</f>
        <v>0.24443105810121687</v>
      </c>
      <c r="AW270" s="173">
        <f>+(AW79*2)/(AV244)</f>
        <v>0.23920135149176136</v>
      </c>
      <c r="AX270" s="172">
        <f>+(AX79)/(AU244)</f>
        <v>0.25643326465758221</v>
      </c>
      <c r="AY270" s="173">
        <f>+(AY79*2)/(AX244)</f>
        <v>0.24081190385464782</v>
      </c>
      <c r="AZ270" s="173">
        <f>+(AZ79*2)/(AY244)</f>
        <v>0.23588412710311596</v>
      </c>
      <c r="BA270" s="172">
        <f>+(BA79)/(AX244)</f>
        <v>0.25254894191308019</v>
      </c>
      <c r="BB270" s="173">
        <f>+(BB79*2)/(BA244)</f>
        <v>0.23211084264681087</v>
      </c>
      <c r="BC270" s="173">
        <f>+(BC79*2)/(BB244)</f>
        <v>0.2277577314994968</v>
      </c>
      <c r="BD270" s="172">
        <f>+(BD79)/(BA244)</f>
        <v>0.24315054681757239</v>
      </c>
      <c r="BE270" s="173">
        <f>+(BE79*2)/(BD244)</f>
        <v>0.21942219509433658</v>
      </c>
      <c r="BF270" s="173">
        <f>+(BF79*2)/(BE244)</f>
        <v>0.21616498815534738</v>
      </c>
      <c r="BG270" s="172">
        <f>+(BG79)/(BD244)</f>
        <v>0.22965144067573887</v>
      </c>
      <c r="BH270" s="173"/>
      <c r="BJ270"/>
      <c r="BK270"/>
      <c r="BL270"/>
      <c r="BM270"/>
      <c r="BN270"/>
      <c r="BO270"/>
    </row>
    <row r="271" spans="1:67" s="61" customFormat="1">
      <c r="B271" s="88" t="s">
        <v>347</v>
      </c>
      <c r="C271" s="88"/>
      <c r="D271" s="89" t="s">
        <v>175</v>
      </c>
      <c r="E271" s="172"/>
      <c r="F271" s="173">
        <f>+(F67*2)/(((E244+E221+E210-E169)+(F244+F221+F210-F169))/2)</f>
        <v>-2.1721219575184194</v>
      </c>
      <c r="G271" s="173">
        <f>+(G67*2)/(((F244+F221+F210-F169)+(G244+G221+G210-G169))/2)</f>
        <v>-1.4552878597055683</v>
      </c>
      <c r="H271" s="172">
        <f>+(H67)/(((E244+E221+E210-E169)+(H244+H221+H210-H169))/2)</f>
        <v>-1.8591204054653721</v>
      </c>
      <c r="I271" s="173">
        <f>+(I67*2)/(((H244+H221+H210-H169)+(I244+I221+I210-I169))/2)</f>
        <v>-1.0160001674841614</v>
      </c>
      <c r="J271" s="173">
        <f>+(J67*2)/(((I244+I221+I210-I169)+(J244+J221+J210-J169))/2)</f>
        <v>-1.549799229097875</v>
      </c>
      <c r="K271" s="172">
        <f>+(K67)/(((H244+H221+H210-H169)+(K244+K221+K210-K169))/2)</f>
        <v>-1.4256131443252966</v>
      </c>
      <c r="L271" s="173">
        <f>+(L67*2)/(((K244+K221+K210-K169)+(L244+L221+L210-L169))/2)</f>
        <v>-1.3398853944562903</v>
      </c>
      <c r="M271" s="173">
        <f>+(M67*2)/(((L244+L221+L210-L169)+(M244+M221+M210-M169))/2)</f>
        <v>-3.2658000896458996</v>
      </c>
      <c r="N271" s="172">
        <f>+(N67)/(((K244+K221+K210-K169)+(N244+N221+N210-N169))/2)</f>
        <v>-3.1887219992230986</v>
      </c>
      <c r="O271" s="173">
        <f>+(O67*2)/(((N244+N221+N210-N169)+(O244+O221+O210-O169))/2)</f>
        <v>-38.103982973548419</v>
      </c>
      <c r="P271" s="173">
        <f>+(P67*2)/(((O244+O221+O210-O169)+(P244+P221+P210-P169))/2)</f>
        <v>11.521957412430005</v>
      </c>
      <c r="Q271" s="172">
        <f>+(Q67)/(((N244+N221+N210-N169)+(Q244+Q221+Q210-Q169))/2)</f>
        <v>11.555539752524528</v>
      </c>
      <c r="R271" s="173">
        <f>+(R67*2)/(((Q244+Q221+Q210-Q169)+(R244+R221+R210-R169))/2)</f>
        <v>7.9409520235191051</v>
      </c>
      <c r="S271" s="173">
        <f>+(S67*2)/(((R244+R221+R210-R169)+(S244+S221+S210-S169))/2)</f>
        <v>1.489311281165143</v>
      </c>
      <c r="T271" s="172">
        <f>+(T67)/(((Q244+Q221+Q210-Q169)+(T244+T221+T210-T169))/2)</f>
        <v>3.3867086264346553</v>
      </c>
      <c r="U271" s="173">
        <f>+(U67*2)/(((T244+T221+T210-T169)+(U244+U221+U210-U169))/2)</f>
        <v>-5.5141345036788598</v>
      </c>
      <c r="V271" s="173">
        <f>+(V67*2)/(((U244+U221+U210-U169)+(V244+V221+V210-V169))/2)</f>
        <v>1.3174943896965543</v>
      </c>
      <c r="W271" s="172">
        <f>+(W67)/(((T244+T221+T210-T169)+(W244+W221+W210-W169))/2)</f>
        <v>14.720557197129482</v>
      </c>
      <c r="X271" s="173">
        <f>+(X67*2)/(((W244+W221+W210-W169)+(X244+X221+X210-X169))/2)</f>
        <v>0.67219743036441737</v>
      </c>
      <c r="Y271" s="173">
        <f>+(Y67*2)/(((X244+X221+X210-X169)+(Y244+Y221+Y210-Y169))/2)</f>
        <v>0.24475124227112421</v>
      </c>
      <c r="Z271" s="172">
        <f>+(Z67)/(((W244+W221+W210-W169)+(Z244+Z221+Z210-Z169))/2)</f>
        <v>0.4087266309751944</v>
      </c>
      <c r="AA271" s="173">
        <f>+(AA67*2)/(((Z244+Z221+Z210-Z169)+(AA244+AA221+AA210-AA169))/2)</f>
        <v>5.0742822837139871E-2</v>
      </c>
      <c r="AB271" s="173">
        <f>+(AB67*2)/(((AA244+AA221+AA210-AA169)+(AB244+AB221+AB210-AB169))/2)</f>
        <v>3.751829050151697E-2</v>
      </c>
      <c r="AC271" s="172">
        <f>+(AC67)/(((Z244+Z221+Z210-Z169)+(AC244+AC221+AC210-AC169))/2)</f>
        <v>4.9131856813422858E-2</v>
      </c>
      <c r="AD271" s="173">
        <f>+(AD67*2)/(((AC244+AC221+AC210-AC169)+(AD244+AD221+AD210-AD169))/2)</f>
        <v>4.3027347585595552E-2</v>
      </c>
      <c r="AE271" s="173">
        <f>+(AE67*2)/(((AD244+AD221+AD210-AD169)+(AE244+AE221+AE210-AE169))/2)</f>
        <v>4.4444419324766588E-2</v>
      </c>
      <c r="AF271" s="172">
        <f>+(AF67)/(((AC244+AC221+AC210-AC169)+(AF244+AF221+AF210-AF169))/2)</f>
        <v>4.3896496101925371E-2</v>
      </c>
      <c r="AG271" s="173">
        <f>+(AG67*2)/(((AF244+AF221+AF210-AF169)+(AG244+AG221+AG210-AG169))/2)</f>
        <v>6.0462235808815573E-2</v>
      </c>
      <c r="AH271" s="173">
        <f>+(AH67*2)/(((AG244+AG221+AG210-AG169)+(AH244+AH221+AH210-AH169))/2)</f>
        <v>6.5773857051449378E-2</v>
      </c>
      <c r="AI271" s="172">
        <f>+(AI67)/(((AF244+AF221+AF210-AF169)+(AI244+AI221+AI210-AI169))/2)</f>
        <v>6.3187884223689122E-2</v>
      </c>
      <c r="AJ271" s="173">
        <f>+(AJ67*2)/(((AI244+AI221+AI210-AI169)+(AJ244+AJ221+AJ210-AJ169))/2)</f>
        <v>0.11211193360089565</v>
      </c>
      <c r="AK271" s="173">
        <f>+(AK67*2)/(((AJ244+AJ221+AJ210-AJ169)+(AK244+AK221+AK210-AK169))/2)</f>
        <v>0.11906364836972694</v>
      </c>
      <c r="AL271" s="172">
        <f>+(AL67)/(((AI244+AI221+AI210-AI169)+(AL244+AL221+AL210-AL169))/2)</f>
        <v>0.11572410358364936</v>
      </c>
      <c r="AM271" s="173">
        <f>+(AM67*2)/(((AL244+AL221+AL210-AL169)+(AM244+AM221+AM210-AM169))/2)</f>
        <v>0.21415207816654611</v>
      </c>
      <c r="AN271" s="173">
        <f>+(AN67*2)/(((AM244+AM221+AM210-AM169)+(AN244+AN221+AN210-AN169))/2)</f>
        <v>0.22282907611440644</v>
      </c>
      <c r="AO271" s="172">
        <f>+(AO67)/(((AL244+AL221+AL210-AL169)+(AO244+AO221+AO210-AO169))/2)</f>
        <v>0.21919206157793672</v>
      </c>
      <c r="AP271" s="173">
        <f>+(AP67*2)/(((AO244+AO221+AO210-AO169)+(AP244+AP221+AP210-AP169))/2)</f>
        <v>0.31406963085422079</v>
      </c>
      <c r="AQ271" s="173">
        <f>+(AQ67*2)/(((AP244+AP221+AP210-AP169)+(AQ244+AQ221+AQ210-AQ169))/2)</f>
        <v>0.34076754614371285</v>
      </c>
      <c r="AR271" s="172">
        <f>+(AR67)/(((AO244+AO221+AO210-AO169)+(AR244+AR221+AR210-AR169))/2)</f>
        <v>0.32802961290309474</v>
      </c>
      <c r="AS271" s="173">
        <f>+(AS67*2)/(((AR244+AR221+AR210-AR169)+(AS244+AS221+AS210-AS169))/2)</f>
        <v>0.40651902557972447</v>
      </c>
      <c r="AT271" s="173">
        <f>+(AT67*2)/(((AS244+AS221+AS210-AS169)+(AT244+AT221+AT210-AT169))/2)</f>
        <v>0.43856997356632277</v>
      </c>
      <c r="AU271" s="172">
        <f>+(AU67)/(((AR244+AR221+AR210-AR169)+(AU244+AU221+AU210-AU169))/2)</f>
        <v>0.4231471621578472</v>
      </c>
      <c r="AV271" s="173">
        <f>+(AV67*2)/(((AU244+AU221+AU210-AU169)+(AV244+AV221+AV210-AV169))/2)</f>
        <v>0.50391796537792044</v>
      </c>
      <c r="AW271" s="173">
        <f>+(AW67*2)/(((AV244+AV221+AV210-AV169)+(AW244+AW221+AW210-AW169))/2)</f>
        <v>0.54111023241326839</v>
      </c>
      <c r="AX271" s="172">
        <f>+(AX67)/(((AU244+AU221+AU210-AU169)+(AX244+AX221+AX210-AX169))/2)</f>
        <v>0.52315129163186402</v>
      </c>
      <c r="AY271" s="173">
        <f>+(AY67*2)/(((AX244+AX221+AX210-AX169)+(AY244+AY221+AY210-AY169))/2)</f>
        <v>0.5969590627719813</v>
      </c>
      <c r="AZ271" s="173">
        <f>+(AZ67*2)/(((AY244+AY221+AY210-AY169)+(AZ244+AZ221+AZ210-AZ169))/2)</f>
        <v>0.6405079392670151</v>
      </c>
      <c r="BA271" s="172">
        <f>+(BA67)/(((AX244+AX221+AX210-AX169)+(BA244+BA221+BA210-BA169))/2)</f>
        <v>0.61928194543778503</v>
      </c>
      <c r="BB271" s="173">
        <f>+(BB67*2)/(((BA244+BA221+BA210-BA169)+(BB244+BB221+BB210-BB169))/2)</f>
        <v>0.68900524896373161</v>
      </c>
      <c r="BC271" s="173">
        <f>+(BC67*2)/(((BB244+BB221+BB210-BB169)+(BC244+BC221+BC210-BC169))/2)</f>
        <v>0.73757013175578146</v>
      </c>
      <c r="BD271" s="172">
        <f>+(BD67)/(((BA244+BA221+BA210-BA169)+(BD244+BD221+BD210-BD169))/2)</f>
        <v>0.7137372715804472</v>
      </c>
      <c r="BE271" s="173">
        <f>+(BE67*2)/(((BD244+BD221+BD210-BD169)+(BE244+BE221+BE210-BE169))/2)</f>
        <v>0.77333882666760012</v>
      </c>
      <c r="BF271" s="173">
        <f>+(BF67*2)/(((BE244+BE221+BE210-BE169)+(BF244+BF221+BF210-BF169))/2)</f>
        <v>0.82669894498035124</v>
      </c>
      <c r="BG271" s="172">
        <f>+(BG67)/(((BD244+BD221+BD210-BD169)+(BG244+BG221+BG210-BG169))/2)</f>
        <v>0.80022706409973188</v>
      </c>
      <c r="BH271" s="173"/>
      <c r="BJ271"/>
      <c r="BK271"/>
      <c r="BL271"/>
      <c r="BM271"/>
      <c r="BN271"/>
      <c r="BO271"/>
    </row>
    <row r="272" spans="1:67" s="170" customFormat="1">
      <c r="A272" s="84" t="s">
        <v>348</v>
      </c>
      <c r="B272" s="63"/>
      <c r="C272" s="63"/>
      <c r="D272" s="85" t="str">
        <f t="shared" ref="D272:BG272" si="742">+D4</f>
        <v>Base</v>
      </c>
      <c r="E272" s="86" t="str">
        <f t="shared" si="742"/>
        <v>2017</v>
      </c>
      <c r="F272" s="85" t="str">
        <f t="shared" si="742"/>
        <v>1H18</v>
      </c>
      <c r="G272" s="85" t="str">
        <f t="shared" si="742"/>
        <v>2H18</v>
      </c>
      <c r="H272" s="86" t="str">
        <f t="shared" si="742"/>
        <v>2018</v>
      </c>
      <c r="I272" s="85" t="str">
        <f t="shared" si="742"/>
        <v>1H19</v>
      </c>
      <c r="J272" s="85" t="str">
        <f t="shared" si="742"/>
        <v>2H19</v>
      </c>
      <c r="K272" s="86" t="str">
        <f t="shared" si="742"/>
        <v>2019</v>
      </c>
      <c r="L272" s="85" t="str">
        <f t="shared" si="742"/>
        <v>1H20</v>
      </c>
      <c r="M272" s="85" t="str">
        <f t="shared" si="742"/>
        <v>2H20E</v>
      </c>
      <c r="N272" s="86" t="str">
        <f t="shared" si="742"/>
        <v>2020E</v>
      </c>
      <c r="O272" s="85" t="str">
        <f t="shared" si="742"/>
        <v>1H21</v>
      </c>
      <c r="P272" s="85" t="str">
        <f t="shared" si="742"/>
        <v>2H21</v>
      </c>
      <c r="Q272" s="86" t="str">
        <f t="shared" si="742"/>
        <v>2021</v>
      </c>
      <c r="R272" s="85" t="str">
        <f t="shared" si="742"/>
        <v>1H22</v>
      </c>
      <c r="S272" s="85" t="str">
        <f t="shared" si="742"/>
        <v>2H22</v>
      </c>
      <c r="T272" s="86" t="str">
        <f t="shared" si="742"/>
        <v>2022</v>
      </c>
      <c r="U272" s="85" t="str">
        <f t="shared" si="742"/>
        <v>1H23</v>
      </c>
      <c r="V272" s="85" t="str">
        <f t="shared" si="742"/>
        <v>2H23</v>
      </c>
      <c r="W272" s="86" t="str">
        <f t="shared" si="742"/>
        <v>2023</v>
      </c>
      <c r="X272" s="85" t="str">
        <f t="shared" si="742"/>
        <v>1H24</v>
      </c>
      <c r="Y272" s="85" t="str">
        <f t="shared" si="742"/>
        <v>2H24</v>
      </c>
      <c r="Z272" s="86" t="str">
        <f t="shared" si="742"/>
        <v>2024</v>
      </c>
      <c r="AA272" s="85" t="str">
        <f t="shared" ref="AA272" si="743">+AA4</f>
        <v>1H25</v>
      </c>
      <c r="AB272" s="85" t="str">
        <f t="shared" si="742"/>
        <v>2H25E</v>
      </c>
      <c r="AC272" s="86" t="str">
        <f t="shared" si="742"/>
        <v>2025E</v>
      </c>
      <c r="AD272" s="85" t="str">
        <f t="shared" si="742"/>
        <v>1H26E</v>
      </c>
      <c r="AE272" s="85" t="str">
        <f t="shared" si="742"/>
        <v>2H26E</v>
      </c>
      <c r="AF272" s="86" t="str">
        <f t="shared" si="742"/>
        <v>2026E</v>
      </c>
      <c r="AG272" s="85" t="str">
        <f t="shared" si="742"/>
        <v>1H27E</v>
      </c>
      <c r="AH272" s="85" t="str">
        <f t="shared" si="742"/>
        <v>2H27E</v>
      </c>
      <c r="AI272" s="86" t="str">
        <f t="shared" si="742"/>
        <v>2027E</v>
      </c>
      <c r="AJ272" s="85" t="str">
        <f t="shared" si="742"/>
        <v>1H28E</v>
      </c>
      <c r="AK272" s="85" t="str">
        <f t="shared" si="742"/>
        <v>2H28E</v>
      </c>
      <c r="AL272" s="86" t="str">
        <f t="shared" si="742"/>
        <v>2028E</v>
      </c>
      <c r="AM272" s="85" t="str">
        <f t="shared" si="742"/>
        <v>1H29E</v>
      </c>
      <c r="AN272" s="85" t="str">
        <f t="shared" si="742"/>
        <v>2H29E</v>
      </c>
      <c r="AO272" s="86" t="str">
        <f t="shared" si="742"/>
        <v>2029E</v>
      </c>
      <c r="AP272" s="85" t="str">
        <f t="shared" si="742"/>
        <v>1H30E</v>
      </c>
      <c r="AQ272" s="85" t="str">
        <f t="shared" si="742"/>
        <v>2H30E</v>
      </c>
      <c r="AR272" s="86" t="str">
        <f t="shared" si="742"/>
        <v>2030E</v>
      </c>
      <c r="AS272" s="85" t="str">
        <f t="shared" si="742"/>
        <v>1H31E</v>
      </c>
      <c r="AT272" s="85" t="str">
        <f t="shared" si="742"/>
        <v>2H31E</v>
      </c>
      <c r="AU272" s="86" t="str">
        <f t="shared" si="742"/>
        <v>2031E</v>
      </c>
      <c r="AV272" s="85" t="str">
        <f t="shared" si="742"/>
        <v>1H32E</v>
      </c>
      <c r="AW272" s="85" t="str">
        <f t="shared" si="742"/>
        <v>2H32E</v>
      </c>
      <c r="AX272" s="86" t="str">
        <f t="shared" si="742"/>
        <v>2032E</v>
      </c>
      <c r="AY272" s="85" t="str">
        <f t="shared" si="742"/>
        <v>1H33E</v>
      </c>
      <c r="AZ272" s="85" t="str">
        <f t="shared" si="742"/>
        <v>2H33E</v>
      </c>
      <c r="BA272" s="86" t="str">
        <f t="shared" si="742"/>
        <v>2033E</v>
      </c>
      <c r="BB272" s="85" t="str">
        <f t="shared" si="742"/>
        <v>1H34E</v>
      </c>
      <c r="BC272" s="85" t="str">
        <f t="shared" si="742"/>
        <v>2H34E</v>
      </c>
      <c r="BD272" s="86" t="str">
        <f t="shared" si="742"/>
        <v>2034E</v>
      </c>
      <c r="BE272" s="85" t="str">
        <f t="shared" si="742"/>
        <v>1H35E</v>
      </c>
      <c r="BF272" s="85" t="str">
        <f t="shared" si="742"/>
        <v>2H35E</v>
      </c>
      <c r="BG272" s="86" t="str">
        <f t="shared" si="742"/>
        <v>2035E</v>
      </c>
      <c r="BH272" s="85"/>
      <c r="BJ272"/>
      <c r="BK272"/>
      <c r="BL272"/>
      <c r="BM272"/>
      <c r="BN272"/>
      <c r="BO272"/>
    </row>
    <row r="273" spans="1:67" s="70" customFormat="1">
      <c r="B273" s="71" t="s">
        <v>172</v>
      </c>
      <c r="C273" s="71"/>
      <c r="D273" s="92" t="s">
        <v>173</v>
      </c>
      <c r="E273" s="218">
        <f t="shared" ref="E273:V273" si="744">E274/E285</f>
        <v>0</v>
      </c>
      <c r="F273" s="219">
        <f t="shared" si="744"/>
        <v>0</v>
      </c>
      <c r="G273" s="219">
        <f t="shared" si="744"/>
        <v>0</v>
      </c>
      <c r="H273" s="218">
        <f t="shared" si="744"/>
        <v>0</v>
      </c>
      <c r="I273" s="219">
        <f t="shared" si="744"/>
        <v>0</v>
      </c>
      <c r="J273" s="219">
        <f t="shared" si="744"/>
        <v>0</v>
      </c>
      <c r="K273" s="218">
        <f t="shared" si="744"/>
        <v>0</v>
      </c>
      <c r="L273" s="219">
        <f t="shared" si="744"/>
        <v>0</v>
      </c>
      <c r="M273" s="219">
        <f t="shared" si="744"/>
        <v>0</v>
      </c>
      <c r="N273" s="218">
        <f t="shared" si="744"/>
        <v>0</v>
      </c>
      <c r="O273" s="219">
        <f t="shared" si="744"/>
        <v>0</v>
      </c>
      <c r="P273" s="219">
        <f t="shared" si="744"/>
        <v>0</v>
      </c>
      <c r="Q273" s="218">
        <f t="shared" si="744"/>
        <v>0</v>
      </c>
      <c r="R273" s="219">
        <f t="shared" si="744"/>
        <v>0</v>
      </c>
      <c r="S273" s="219">
        <f t="shared" si="744"/>
        <v>0</v>
      </c>
      <c r="T273" s="220">
        <f t="shared" si="744"/>
        <v>0</v>
      </c>
      <c r="U273" s="219">
        <f t="shared" si="744"/>
        <v>0</v>
      </c>
      <c r="V273" s="219">
        <f t="shared" si="744"/>
        <v>0</v>
      </c>
      <c r="W273" s="220">
        <f>T273</f>
        <v>0</v>
      </c>
      <c r="X273" s="221">
        <f>U273</f>
        <v>0</v>
      </c>
      <c r="Y273" s="221">
        <f t="shared" ref="Y273:BG273" si="745">V273</f>
        <v>0</v>
      </c>
      <c r="Z273" s="222">
        <f t="shared" si="745"/>
        <v>0</v>
      </c>
      <c r="AA273" s="221">
        <f>X273</f>
        <v>0</v>
      </c>
      <c r="AB273" s="221">
        <f t="shared" si="745"/>
        <v>0</v>
      </c>
      <c r="AC273" s="222">
        <f t="shared" si="745"/>
        <v>0</v>
      </c>
      <c r="AD273" s="221">
        <f t="shared" si="745"/>
        <v>0</v>
      </c>
      <c r="AE273" s="221">
        <f t="shared" si="745"/>
        <v>0</v>
      </c>
      <c r="AF273" s="222">
        <f t="shared" si="745"/>
        <v>0</v>
      </c>
      <c r="AG273" s="221">
        <v>0</v>
      </c>
      <c r="AH273" s="221">
        <f t="shared" si="745"/>
        <v>0</v>
      </c>
      <c r="AI273" s="222">
        <f>AG273</f>
        <v>0</v>
      </c>
      <c r="AJ273" s="221">
        <f t="shared" si="745"/>
        <v>0</v>
      </c>
      <c r="AK273" s="221">
        <f t="shared" si="745"/>
        <v>0</v>
      </c>
      <c r="AL273" s="222">
        <f t="shared" si="745"/>
        <v>0</v>
      </c>
      <c r="AM273" s="221">
        <f t="shared" si="745"/>
        <v>0</v>
      </c>
      <c r="AN273" s="221">
        <f t="shared" si="745"/>
        <v>0</v>
      </c>
      <c r="AO273" s="222">
        <f t="shared" si="745"/>
        <v>0</v>
      </c>
      <c r="AP273" s="221">
        <f t="shared" si="745"/>
        <v>0</v>
      </c>
      <c r="AQ273" s="221">
        <f t="shared" si="745"/>
        <v>0</v>
      </c>
      <c r="AR273" s="222">
        <f t="shared" si="745"/>
        <v>0</v>
      </c>
      <c r="AS273" s="221">
        <f t="shared" si="745"/>
        <v>0</v>
      </c>
      <c r="AT273" s="221">
        <f t="shared" si="745"/>
        <v>0</v>
      </c>
      <c r="AU273" s="222">
        <f t="shared" si="745"/>
        <v>0</v>
      </c>
      <c r="AV273" s="221">
        <f t="shared" si="745"/>
        <v>0</v>
      </c>
      <c r="AW273" s="221">
        <f t="shared" si="745"/>
        <v>0</v>
      </c>
      <c r="AX273" s="222">
        <f t="shared" si="745"/>
        <v>0</v>
      </c>
      <c r="AY273" s="221">
        <f t="shared" si="745"/>
        <v>0</v>
      </c>
      <c r="AZ273" s="221">
        <f t="shared" si="745"/>
        <v>0</v>
      </c>
      <c r="BA273" s="222">
        <f t="shared" si="745"/>
        <v>0</v>
      </c>
      <c r="BB273" s="221">
        <f t="shared" si="745"/>
        <v>0</v>
      </c>
      <c r="BC273" s="221">
        <f t="shared" si="745"/>
        <v>0</v>
      </c>
      <c r="BD273" s="222">
        <f t="shared" si="745"/>
        <v>0</v>
      </c>
      <c r="BE273" s="221">
        <f t="shared" si="745"/>
        <v>0</v>
      </c>
      <c r="BF273" s="221">
        <f t="shared" si="745"/>
        <v>0</v>
      </c>
      <c r="BG273" s="222">
        <f t="shared" si="745"/>
        <v>0</v>
      </c>
      <c r="BH273" s="221"/>
      <c r="BJ273"/>
      <c r="BK273"/>
      <c r="BL273"/>
      <c r="BM273"/>
      <c r="BN273"/>
      <c r="BO273"/>
    </row>
    <row r="274" spans="1:67" s="61" customFormat="1">
      <c r="B274" s="88" t="s">
        <v>349</v>
      </c>
      <c r="C274" s="88"/>
      <c r="D274" s="89" t="s">
        <v>159</v>
      </c>
      <c r="E274" s="148">
        <v>0</v>
      </c>
      <c r="F274" s="149">
        <v>0</v>
      </c>
      <c r="G274" s="149">
        <v>0</v>
      </c>
      <c r="H274" s="148">
        <v>0</v>
      </c>
      <c r="I274" s="149">
        <v>0</v>
      </c>
      <c r="J274" s="149">
        <v>0</v>
      </c>
      <c r="K274" s="148">
        <v>0</v>
      </c>
      <c r="L274" s="149">
        <v>0</v>
      </c>
      <c r="M274" s="149">
        <v>0</v>
      </c>
      <c r="N274" s="148">
        <v>0</v>
      </c>
      <c r="O274" s="149">
        <v>0</v>
      </c>
      <c r="P274" s="149">
        <v>0</v>
      </c>
      <c r="Q274" s="148">
        <v>0</v>
      </c>
      <c r="R274" s="149">
        <v>0</v>
      </c>
      <c r="S274" s="149">
        <v>0</v>
      </c>
      <c r="T274" s="148">
        <v>0</v>
      </c>
      <c r="U274" s="149">
        <v>0</v>
      </c>
      <c r="V274" s="149">
        <f>+W274-U274</f>
        <v>0</v>
      </c>
      <c r="W274" s="148">
        <f>+(W273)*W280</f>
        <v>0</v>
      </c>
      <c r="X274" s="149">
        <f>+(X273)*X280</f>
        <v>0</v>
      </c>
      <c r="Y274" s="149">
        <f>+Z274-X274</f>
        <v>0</v>
      </c>
      <c r="Z274" s="148">
        <f>+(Z273)*Z280</f>
        <v>0</v>
      </c>
      <c r="AA274" s="149">
        <f>+(AA273)*AA280</f>
        <v>0</v>
      </c>
      <c r="AB274" s="149">
        <f>+AC274-AA274</f>
        <v>0</v>
      </c>
      <c r="AC274" s="148">
        <f>+(AC273)*AC280</f>
        <v>0</v>
      </c>
      <c r="AD274" s="149">
        <f>+(AD273)*AD280</f>
        <v>0</v>
      </c>
      <c r="AE274" s="149">
        <f>+AF274-AD274</f>
        <v>0</v>
      </c>
      <c r="AF274" s="148">
        <f>+(AF273)*AF280</f>
        <v>0</v>
      </c>
      <c r="AG274" s="149">
        <f>+(AG273)*AG280</f>
        <v>0</v>
      </c>
      <c r="AH274" s="149">
        <f>+AI274-AG274</f>
        <v>0</v>
      </c>
      <c r="AI274" s="148">
        <f>+(AI273)*AI280</f>
        <v>0</v>
      </c>
      <c r="AJ274" s="149">
        <f>+(AJ273)*AJ280</f>
        <v>0</v>
      </c>
      <c r="AK274" s="149">
        <f>+AL274-AJ274</f>
        <v>0</v>
      </c>
      <c r="AL274" s="148">
        <f>+(AL273)*AL280</f>
        <v>0</v>
      </c>
      <c r="AM274" s="149">
        <f>+(AM273)*AM280</f>
        <v>0</v>
      </c>
      <c r="AN274" s="149">
        <f>+AO274-AM274</f>
        <v>0</v>
      </c>
      <c r="AO274" s="148">
        <f>+(AO273)*AO280</f>
        <v>0</v>
      </c>
      <c r="AP274" s="149">
        <f>+(AP273)*AP280</f>
        <v>0</v>
      </c>
      <c r="AQ274" s="149">
        <f>+AR274-AP274</f>
        <v>0</v>
      </c>
      <c r="AR274" s="148">
        <f>+(AR273)*AR280</f>
        <v>0</v>
      </c>
      <c r="AS274" s="149">
        <f>+(AS273)*AS280</f>
        <v>0</v>
      </c>
      <c r="AT274" s="149">
        <f>+AU274-AS274</f>
        <v>0</v>
      </c>
      <c r="AU274" s="148">
        <f>+(AU273)*AU280</f>
        <v>0</v>
      </c>
      <c r="AV274" s="149">
        <f>+(AV273)*AV280</f>
        <v>0</v>
      </c>
      <c r="AW274" s="149">
        <f>+AX274-AV274</f>
        <v>0</v>
      </c>
      <c r="AX274" s="148">
        <f>+(AX273)*AX280</f>
        <v>0</v>
      </c>
      <c r="AY274" s="149">
        <f>+(AY273)*AY280</f>
        <v>0</v>
      </c>
      <c r="AZ274" s="149">
        <f>+BA274-AY274</f>
        <v>0</v>
      </c>
      <c r="BA274" s="148">
        <f>+(BA273)*BA280</f>
        <v>0</v>
      </c>
      <c r="BB274" s="149">
        <f>+(BB273)*BB280</f>
        <v>0</v>
      </c>
      <c r="BC274" s="149">
        <f>+BD274-BB274</f>
        <v>0</v>
      </c>
      <c r="BD274" s="148">
        <f>+(BD273)*BD280</f>
        <v>0</v>
      </c>
      <c r="BE274" s="149">
        <f>+(BE273)*BE280</f>
        <v>0</v>
      </c>
      <c r="BF274" s="149">
        <f>+BG274-BE274</f>
        <v>0</v>
      </c>
      <c r="BG274" s="148">
        <f>+(BG273)*BG280</f>
        <v>0</v>
      </c>
      <c r="BH274" s="149"/>
      <c r="BJ274"/>
      <c r="BK274"/>
      <c r="BL274"/>
      <c r="BM274"/>
      <c r="BN274"/>
      <c r="BO274"/>
    </row>
    <row r="275" spans="1:67" s="61" customFormat="1">
      <c r="B275" s="88" t="s">
        <v>350</v>
      </c>
      <c r="C275" s="88"/>
      <c r="D275" s="89" t="s">
        <v>165</v>
      </c>
      <c r="E275" s="148"/>
      <c r="F275" s="149"/>
      <c r="G275" s="149"/>
      <c r="H275" s="148"/>
      <c r="I275" s="149"/>
      <c r="J275" s="149"/>
      <c r="K275" s="148"/>
      <c r="L275" s="149"/>
      <c r="M275" s="149"/>
      <c r="N275" s="148"/>
      <c r="O275" s="149"/>
      <c r="P275" s="149"/>
      <c r="Q275" s="148"/>
      <c r="R275" s="149"/>
      <c r="S275" s="149"/>
      <c r="T275" s="148">
        <v>10</v>
      </c>
      <c r="U275" s="149"/>
      <c r="V275" s="149"/>
      <c r="W275" s="148"/>
      <c r="X275" s="149"/>
      <c r="Y275" s="149"/>
      <c r="Z275" s="148"/>
      <c r="AA275" s="149"/>
      <c r="AB275" s="149"/>
      <c r="AC275" s="148"/>
      <c r="AD275" s="149"/>
      <c r="AE275" s="149"/>
      <c r="AF275" s="148"/>
      <c r="AG275" s="149"/>
      <c r="AH275" s="149"/>
      <c r="AI275" s="148"/>
      <c r="AJ275" s="149"/>
      <c r="AK275" s="149"/>
      <c r="AL275" s="148"/>
      <c r="AM275" s="149"/>
      <c r="AN275" s="149"/>
      <c r="AO275" s="148"/>
      <c r="AP275" s="149"/>
      <c r="AQ275" s="149"/>
      <c r="AR275" s="148"/>
      <c r="AS275" s="149"/>
      <c r="AT275" s="149"/>
      <c r="AU275" s="148"/>
      <c r="AV275" s="149"/>
      <c r="AW275" s="149"/>
      <c r="AX275" s="148"/>
      <c r="AY275" s="149"/>
      <c r="AZ275" s="149"/>
      <c r="BA275" s="148"/>
      <c r="BB275" s="149"/>
      <c r="BC275" s="149"/>
      <c r="BD275" s="148"/>
      <c r="BE275" s="149"/>
      <c r="BF275" s="149"/>
      <c r="BG275" s="148"/>
      <c r="BH275" s="149"/>
      <c r="BJ275"/>
      <c r="BK275"/>
      <c r="BL275"/>
      <c r="BM275"/>
      <c r="BN275"/>
      <c r="BO275"/>
    </row>
    <row r="276" spans="1:67" s="61" customFormat="1">
      <c r="B276" s="223"/>
      <c r="C276" s="88"/>
      <c r="D276" s="89"/>
      <c r="E276" s="90"/>
      <c r="F276" s="91"/>
      <c r="G276" s="91"/>
      <c r="H276" s="90"/>
      <c r="I276" s="91"/>
      <c r="J276" s="91"/>
      <c r="K276" s="90"/>
      <c r="L276" s="91"/>
      <c r="M276" s="91"/>
      <c r="N276" s="90"/>
      <c r="O276" s="91"/>
      <c r="P276" s="91"/>
      <c r="Q276" s="90"/>
      <c r="R276" s="91"/>
      <c r="S276" s="91"/>
      <c r="T276" s="90"/>
      <c r="U276" s="91"/>
      <c r="V276" s="91"/>
      <c r="W276" s="90"/>
      <c r="X276" s="91"/>
      <c r="Y276" s="91"/>
      <c r="Z276" s="90"/>
      <c r="AA276" s="91"/>
      <c r="AB276" s="91"/>
      <c r="AC276" s="90"/>
      <c r="AD276" s="91"/>
      <c r="AE276" s="91"/>
      <c r="AF276" s="90"/>
      <c r="AG276" s="91"/>
      <c r="AH276" s="91"/>
      <c r="AI276" s="90"/>
      <c r="AJ276" s="91"/>
      <c r="AK276" s="91"/>
      <c r="AL276" s="90"/>
      <c r="AM276" s="91"/>
      <c r="AN276" s="91"/>
      <c r="AO276" s="90"/>
      <c r="AP276" s="91"/>
      <c r="AQ276" s="91"/>
      <c r="AR276" s="90"/>
      <c r="AS276" s="91"/>
      <c r="AT276" s="91"/>
      <c r="AU276" s="90"/>
      <c r="AV276" s="91"/>
      <c r="AW276" s="91"/>
      <c r="AX276" s="90"/>
      <c r="AY276" s="91"/>
      <c r="AZ276" s="91"/>
      <c r="BA276" s="90"/>
      <c r="BB276" s="91"/>
      <c r="BC276" s="91"/>
      <c r="BD276" s="90"/>
      <c r="BE276" s="91"/>
      <c r="BF276" s="91"/>
      <c r="BG276" s="90"/>
      <c r="BH276" s="91"/>
      <c r="BJ276"/>
      <c r="BK276"/>
      <c r="BL276"/>
      <c r="BM276"/>
      <c r="BN276"/>
      <c r="BO276"/>
    </row>
    <row r="277" spans="1:67" s="61" customFormat="1">
      <c r="B277" s="88" t="s">
        <v>351</v>
      </c>
      <c r="C277" s="88"/>
      <c r="D277" s="199"/>
      <c r="E277" s="224">
        <f t="shared" ref="E277:BG277" si="746">E273/E14</f>
        <v>0</v>
      </c>
      <c r="F277" s="225">
        <f t="shared" si="746"/>
        <v>0</v>
      </c>
      <c r="G277" s="225">
        <f t="shared" si="746"/>
        <v>0</v>
      </c>
      <c r="H277" s="224">
        <f t="shared" si="746"/>
        <v>0</v>
      </c>
      <c r="I277" s="225">
        <f t="shared" si="746"/>
        <v>0</v>
      </c>
      <c r="J277" s="225">
        <f t="shared" si="746"/>
        <v>0</v>
      </c>
      <c r="K277" s="224">
        <f t="shared" si="746"/>
        <v>0</v>
      </c>
      <c r="L277" s="225">
        <f t="shared" si="746"/>
        <v>0</v>
      </c>
      <c r="M277" s="225">
        <f t="shared" si="746"/>
        <v>0</v>
      </c>
      <c r="N277" s="224">
        <f t="shared" si="746"/>
        <v>0</v>
      </c>
      <c r="O277" s="225">
        <f t="shared" si="746"/>
        <v>0</v>
      </c>
      <c r="P277" s="225">
        <f t="shared" si="746"/>
        <v>0</v>
      </c>
      <c r="Q277" s="224">
        <f t="shared" si="746"/>
        <v>0</v>
      </c>
      <c r="R277" s="225">
        <f t="shared" si="746"/>
        <v>0</v>
      </c>
      <c r="S277" s="225">
        <f t="shared" si="746"/>
        <v>0</v>
      </c>
      <c r="T277" s="224">
        <f t="shared" si="746"/>
        <v>0</v>
      </c>
      <c r="U277" s="225">
        <f t="shared" si="746"/>
        <v>0</v>
      </c>
      <c r="V277" s="225">
        <f t="shared" si="746"/>
        <v>0</v>
      </c>
      <c r="W277" s="224">
        <f t="shared" si="746"/>
        <v>0</v>
      </c>
      <c r="X277" s="225">
        <f t="shared" si="746"/>
        <v>0</v>
      </c>
      <c r="Y277" s="225">
        <f t="shared" si="746"/>
        <v>0</v>
      </c>
      <c r="Z277" s="224">
        <f t="shared" si="746"/>
        <v>0</v>
      </c>
      <c r="AA277" s="225">
        <f t="shared" ref="AA277" si="747">AA273/AA14</f>
        <v>0</v>
      </c>
      <c r="AB277" s="225">
        <f t="shared" si="746"/>
        <v>0</v>
      </c>
      <c r="AC277" s="224">
        <f t="shared" si="746"/>
        <v>0</v>
      </c>
      <c r="AD277" s="225">
        <f t="shared" si="746"/>
        <v>0</v>
      </c>
      <c r="AE277" s="225">
        <f t="shared" si="746"/>
        <v>0</v>
      </c>
      <c r="AF277" s="224">
        <f t="shared" si="746"/>
        <v>0</v>
      </c>
      <c r="AG277" s="225">
        <f t="shared" si="746"/>
        <v>0</v>
      </c>
      <c r="AH277" s="225">
        <f t="shared" si="746"/>
        <v>0</v>
      </c>
      <c r="AI277" s="224">
        <f t="shared" si="746"/>
        <v>0</v>
      </c>
      <c r="AJ277" s="225">
        <f t="shared" si="746"/>
        <v>0</v>
      </c>
      <c r="AK277" s="225">
        <f t="shared" si="746"/>
        <v>0</v>
      </c>
      <c r="AL277" s="224">
        <f t="shared" si="746"/>
        <v>0</v>
      </c>
      <c r="AM277" s="225">
        <f t="shared" si="746"/>
        <v>0</v>
      </c>
      <c r="AN277" s="225">
        <f t="shared" si="746"/>
        <v>0</v>
      </c>
      <c r="AO277" s="224">
        <f t="shared" si="746"/>
        <v>0</v>
      </c>
      <c r="AP277" s="225">
        <f t="shared" si="746"/>
        <v>0</v>
      </c>
      <c r="AQ277" s="225">
        <f t="shared" si="746"/>
        <v>0</v>
      </c>
      <c r="AR277" s="224">
        <f t="shared" si="746"/>
        <v>0</v>
      </c>
      <c r="AS277" s="225">
        <f t="shared" si="746"/>
        <v>0</v>
      </c>
      <c r="AT277" s="225">
        <f t="shared" si="746"/>
        <v>0</v>
      </c>
      <c r="AU277" s="224">
        <f t="shared" si="746"/>
        <v>0</v>
      </c>
      <c r="AV277" s="225">
        <f t="shared" si="746"/>
        <v>0</v>
      </c>
      <c r="AW277" s="225">
        <f t="shared" si="746"/>
        <v>0</v>
      </c>
      <c r="AX277" s="224">
        <f t="shared" si="746"/>
        <v>0</v>
      </c>
      <c r="AY277" s="225">
        <f t="shared" si="746"/>
        <v>0</v>
      </c>
      <c r="AZ277" s="225">
        <f t="shared" si="746"/>
        <v>0</v>
      </c>
      <c r="BA277" s="224">
        <f t="shared" si="746"/>
        <v>0</v>
      </c>
      <c r="BB277" s="225">
        <f t="shared" si="746"/>
        <v>0</v>
      </c>
      <c r="BC277" s="225">
        <f t="shared" si="746"/>
        <v>0</v>
      </c>
      <c r="BD277" s="224">
        <f t="shared" si="746"/>
        <v>0</v>
      </c>
      <c r="BE277" s="225">
        <f t="shared" si="746"/>
        <v>0</v>
      </c>
      <c r="BF277" s="225">
        <f t="shared" si="746"/>
        <v>0</v>
      </c>
      <c r="BG277" s="224">
        <f t="shared" si="746"/>
        <v>0</v>
      </c>
      <c r="BH277" s="225"/>
      <c r="BJ277"/>
      <c r="BK277"/>
      <c r="BL277"/>
      <c r="BM277"/>
      <c r="BN277"/>
      <c r="BO277"/>
    </row>
    <row r="278" spans="1:67" s="170" customFormat="1">
      <c r="A278" s="84" t="s">
        <v>352</v>
      </c>
      <c r="B278" s="63"/>
      <c r="C278" s="63"/>
      <c r="D278" s="85" t="str">
        <f t="shared" ref="D278:BG278" si="748">+D4</f>
        <v>Base</v>
      </c>
      <c r="E278" s="86" t="str">
        <f t="shared" si="748"/>
        <v>2017</v>
      </c>
      <c r="F278" s="85" t="str">
        <f t="shared" si="748"/>
        <v>1H18</v>
      </c>
      <c r="G278" s="85" t="str">
        <f t="shared" si="748"/>
        <v>2H18</v>
      </c>
      <c r="H278" s="86" t="str">
        <f t="shared" si="748"/>
        <v>2018</v>
      </c>
      <c r="I278" s="85" t="str">
        <f t="shared" si="748"/>
        <v>1H19</v>
      </c>
      <c r="J278" s="85" t="str">
        <f t="shared" si="748"/>
        <v>2H19</v>
      </c>
      <c r="K278" s="86" t="str">
        <f t="shared" si="748"/>
        <v>2019</v>
      </c>
      <c r="L278" s="85" t="str">
        <f t="shared" si="748"/>
        <v>1H20</v>
      </c>
      <c r="M278" s="85" t="str">
        <f t="shared" si="748"/>
        <v>2H20E</v>
      </c>
      <c r="N278" s="86" t="str">
        <f t="shared" si="748"/>
        <v>2020E</v>
      </c>
      <c r="O278" s="85" t="str">
        <f t="shared" si="748"/>
        <v>1H21</v>
      </c>
      <c r="P278" s="85" t="str">
        <f t="shared" si="748"/>
        <v>2H21</v>
      </c>
      <c r="Q278" s="86" t="str">
        <f t="shared" si="748"/>
        <v>2021</v>
      </c>
      <c r="R278" s="85" t="str">
        <f t="shared" si="748"/>
        <v>1H22</v>
      </c>
      <c r="S278" s="85" t="str">
        <f t="shared" si="748"/>
        <v>2H22</v>
      </c>
      <c r="T278" s="86" t="str">
        <f t="shared" si="748"/>
        <v>2022</v>
      </c>
      <c r="U278" s="85" t="str">
        <f t="shared" si="748"/>
        <v>1H23</v>
      </c>
      <c r="V278" s="85" t="str">
        <f t="shared" si="748"/>
        <v>2H23</v>
      </c>
      <c r="W278" s="86" t="str">
        <f t="shared" si="748"/>
        <v>2023</v>
      </c>
      <c r="X278" s="85" t="str">
        <f t="shared" si="748"/>
        <v>1H24</v>
      </c>
      <c r="Y278" s="85" t="str">
        <f t="shared" si="748"/>
        <v>2H24</v>
      </c>
      <c r="Z278" s="86" t="str">
        <f t="shared" si="748"/>
        <v>2024</v>
      </c>
      <c r="AA278" s="85" t="str">
        <f t="shared" si="748"/>
        <v>1H25</v>
      </c>
      <c r="AB278" s="85" t="str">
        <f t="shared" si="748"/>
        <v>2H25E</v>
      </c>
      <c r="AC278" s="86" t="str">
        <f t="shared" si="748"/>
        <v>2025E</v>
      </c>
      <c r="AD278" s="85" t="str">
        <f t="shared" si="748"/>
        <v>1H26E</v>
      </c>
      <c r="AE278" s="85" t="str">
        <f t="shared" si="748"/>
        <v>2H26E</v>
      </c>
      <c r="AF278" s="86" t="str">
        <f t="shared" si="748"/>
        <v>2026E</v>
      </c>
      <c r="AG278" s="85" t="str">
        <f t="shared" si="748"/>
        <v>1H27E</v>
      </c>
      <c r="AH278" s="85" t="str">
        <f t="shared" si="748"/>
        <v>2H27E</v>
      </c>
      <c r="AI278" s="86" t="str">
        <f t="shared" si="748"/>
        <v>2027E</v>
      </c>
      <c r="AJ278" s="85" t="str">
        <f t="shared" si="748"/>
        <v>1H28E</v>
      </c>
      <c r="AK278" s="85" t="str">
        <f t="shared" si="748"/>
        <v>2H28E</v>
      </c>
      <c r="AL278" s="86" t="str">
        <f t="shared" si="748"/>
        <v>2028E</v>
      </c>
      <c r="AM278" s="85" t="str">
        <f t="shared" si="748"/>
        <v>1H29E</v>
      </c>
      <c r="AN278" s="85" t="str">
        <f t="shared" si="748"/>
        <v>2H29E</v>
      </c>
      <c r="AO278" s="86" t="str">
        <f t="shared" si="748"/>
        <v>2029E</v>
      </c>
      <c r="AP278" s="85" t="str">
        <f t="shared" si="748"/>
        <v>1H30E</v>
      </c>
      <c r="AQ278" s="85" t="str">
        <f t="shared" si="748"/>
        <v>2H30E</v>
      </c>
      <c r="AR278" s="86" t="str">
        <f t="shared" si="748"/>
        <v>2030E</v>
      </c>
      <c r="AS278" s="85" t="str">
        <f t="shared" si="748"/>
        <v>1H31E</v>
      </c>
      <c r="AT278" s="85" t="str">
        <f t="shared" si="748"/>
        <v>2H31E</v>
      </c>
      <c r="AU278" s="86" t="str">
        <f t="shared" si="748"/>
        <v>2031E</v>
      </c>
      <c r="AV278" s="85" t="str">
        <f t="shared" si="748"/>
        <v>1H32E</v>
      </c>
      <c r="AW278" s="85" t="str">
        <f t="shared" si="748"/>
        <v>2H32E</v>
      </c>
      <c r="AX278" s="86" t="str">
        <f t="shared" si="748"/>
        <v>2032E</v>
      </c>
      <c r="AY278" s="85" t="str">
        <f t="shared" si="748"/>
        <v>1H33E</v>
      </c>
      <c r="AZ278" s="85" t="str">
        <f t="shared" si="748"/>
        <v>2H33E</v>
      </c>
      <c r="BA278" s="86" t="str">
        <f t="shared" si="748"/>
        <v>2033E</v>
      </c>
      <c r="BB278" s="85" t="str">
        <f t="shared" si="748"/>
        <v>1H34E</v>
      </c>
      <c r="BC278" s="85" t="str">
        <f t="shared" si="748"/>
        <v>2H34E</v>
      </c>
      <c r="BD278" s="86" t="str">
        <f t="shared" si="748"/>
        <v>2034E</v>
      </c>
      <c r="BE278" s="85" t="str">
        <f t="shared" si="748"/>
        <v>1H35E</v>
      </c>
      <c r="BF278" s="85" t="str">
        <f t="shared" si="748"/>
        <v>2H35E</v>
      </c>
      <c r="BG278" s="86" t="str">
        <f t="shared" si="748"/>
        <v>2035E</v>
      </c>
      <c r="BH278" s="85"/>
      <c r="BJ278"/>
      <c r="BK278"/>
      <c r="BL278"/>
      <c r="BM278"/>
      <c r="BN278"/>
      <c r="BO278"/>
    </row>
    <row r="279" spans="1:67" s="61" customFormat="1" outlineLevel="1">
      <c r="B279" s="88"/>
      <c r="C279" s="88"/>
      <c r="D279" s="199"/>
      <c r="E279" s="168"/>
      <c r="F279" s="169"/>
      <c r="G279" s="169"/>
      <c r="H279" s="168"/>
      <c r="I279" s="169"/>
      <c r="J279" s="169"/>
      <c r="K279" s="168"/>
      <c r="L279" s="169"/>
      <c r="M279" s="169"/>
      <c r="N279" s="168"/>
      <c r="O279" s="169"/>
      <c r="P279" s="169"/>
      <c r="Q279" s="168"/>
      <c r="R279" s="169"/>
      <c r="S279" s="169"/>
      <c r="T279" s="168"/>
      <c r="U279" s="169"/>
      <c r="V279" s="169"/>
      <c r="W279" s="168"/>
      <c r="X279" s="169"/>
      <c r="Y279" s="169"/>
      <c r="Z279" s="168"/>
      <c r="AA279" s="169"/>
      <c r="AB279" s="169"/>
      <c r="AC279" s="168"/>
      <c r="AD279" s="169"/>
      <c r="AE279" s="169"/>
      <c r="AF279" s="168"/>
      <c r="AG279" s="169"/>
      <c r="AH279" s="169"/>
      <c r="AI279" s="168"/>
      <c r="AJ279" s="169"/>
      <c r="AK279" s="169"/>
      <c r="AL279" s="168"/>
      <c r="AM279" s="169"/>
      <c r="AN279" s="169"/>
      <c r="AO279" s="168"/>
      <c r="AP279" s="169"/>
      <c r="AQ279" s="169"/>
      <c r="AR279" s="168"/>
      <c r="AS279" s="169"/>
      <c r="AT279" s="169"/>
      <c r="AU279" s="168"/>
      <c r="AV279" s="169"/>
      <c r="AW279" s="169"/>
      <c r="AX279" s="168"/>
      <c r="AY279" s="169"/>
      <c r="AZ279" s="169"/>
      <c r="BA279" s="168"/>
      <c r="BB279" s="169"/>
      <c r="BC279" s="169"/>
      <c r="BD279" s="168"/>
      <c r="BE279" s="169"/>
      <c r="BF279" s="169"/>
      <c r="BG279" s="168"/>
      <c r="BH279" s="169"/>
      <c r="BJ279"/>
      <c r="BK279"/>
      <c r="BL279"/>
      <c r="BM279"/>
      <c r="BN279"/>
      <c r="BO279"/>
    </row>
    <row r="280" spans="1:67" s="61" customFormat="1">
      <c r="B280" s="88" t="s">
        <v>353</v>
      </c>
      <c r="C280" s="88"/>
      <c r="D280" s="199"/>
      <c r="E280" s="226">
        <f>E285</f>
        <v>197.4375</v>
      </c>
      <c r="F280" s="227">
        <f t="shared" ref="F280:BG280" si="749">F285</f>
        <v>197.4375</v>
      </c>
      <c r="G280" s="227">
        <f t="shared" si="749"/>
        <v>218.36583999999999</v>
      </c>
      <c r="H280" s="226">
        <f t="shared" si="749"/>
        <v>218.36583999999999</v>
      </c>
      <c r="I280" s="227">
        <f t="shared" si="749"/>
        <v>218.36583999999999</v>
      </c>
      <c r="J280" s="227">
        <f t="shared" si="749"/>
        <v>253.28</v>
      </c>
      <c r="K280" s="226">
        <f t="shared" si="749"/>
        <v>253.28</v>
      </c>
      <c r="L280" s="227">
        <f t="shared" si="749"/>
        <v>253.69904</v>
      </c>
      <c r="M280" s="227">
        <f t="shared" si="749"/>
        <v>280.40532000000002</v>
      </c>
      <c r="N280" s="226">
        <f t="shared" si="749"/>
        <v>280.40532000000002</v>
      </c>
      <c r="O280" s="227">
        <f t="shared" si="749"/>
        <v>281.62340999999998</v>
      </c>
      <c r="P280" s="227">
        <f t="shared" si="749"/>
        <v>285.07299999999998</v>
      </c>
      <c r="Q280" s="226">
        <f t="shared" si="749"/>
        <v>285.07299999999998</v>
      </c>
      <c r="R280" s="227">
        <f t="shared" si="749"/>
        <v>312.81634000000003</v>
      </c>
      <c r="S280" s="227">
        <f t="shared" si="749"/>
        <v>316.34300000000002</v>
      </c>
      <c r="T280" s="226">
        <f t="shared" si="749"/>
        <v>310.64400000000001</v>
      </c>
      <c r="U280" s="227">
        <f t="shared" si="749"/>
        <v>318.55700000000002</v>
      </c>
      <c r="V280" s="227">
        <f t="shared" si="749"/>
        <v>323.70999999999998</v>
      </c>
      <c r="W280" s="226">
        <f t="shared" si="749"/>
        <v>323.70999999999998</v>
      </c>
      <c r="X280" s="227">
        <f t="shared" si="749"/>
        <v>334.23200000000003</v>
      </c>
      <c r="Y280" s="227">
        <f t="shared" si="749"/>
        <v>345.18799999999999</v>
      </c>
      <c r="Z280" s="226">
        <f t="shared" si="749"/>
        <v>345.18799999999999</v>
      </c>
      <c r="AA280" s="227">
        <f t="shared" si="749"/>
        <v>345.18799999999999</v>
      </c>
      <c r="AB280" s="227">
        <f t="shared" si="749"/>
        <v>345.18799999999999</v>
      </c>
      <c r="AC280" s="226">
        <f t="shared" si="749"/>
        <v>345.18799999999999</v>
      </c>
      <c r="AD280" s="227">
        <f t="shared" si="749"/>
        <v>345.18799999999999</v>
      </c>
      <c r="AE280" s="227">
        <f t="shared" si="749"/>
        <v>345.18799999999999</v>
      </c>
      <c r="AF280" s="226">
        <f t="shared" si="749"/>
        <v>345.18799999999999</v>
      </c>
      <c r="AG280" s="227">
        <f t="shared" si="749"/>
        <v>345.18799999999999</v>
      </c>
      <c r="AH280" s="227">
        <f t="shared" si="749"/>
        <v>345.18799999999999</v>
      </c>
      <c r="AI280" s="226">
        <f t="shared" si="749"/>
        <v>345.18799999999999</v>
      </c>
      <c r="AJ280" s="227">
        <f t="shared" si="749"/>
        <v>345.18799999999999</v>
      </c>
      <c r="AK280" s="227">
        <f t="shared" si="749"/>
        <v>345.18799999999999</v>
      </c>
      <c r="AL280" s="226">
        <f t="shared" si="749"/>
        <v>345.18799999999999</v>
      </c>
      <c r="AM280" s="227">
        <f t="shared" si="749"/>
        <v>360.18799999999999</v>
      </c>
      <c r="AN280" s="227">
        <f t="shared" si="749"/>
        <v>360.18799999999999</v>
      </c>
      <c r="AO280" s="226">
        <f t="shared" si="749"/>
        <v>360.18799999999999</v>
      </c>
      <c r="AP280" s="227">
        <f t="shared" si="749"/>
        <v>360.18799999999999</v>
      </c>
      <c r="AQ280" s="227">
        <f t="shared" si="749"/>
        <v>360.18799999999999</v>
      </c>
      <c r="AR280" s="226">
        <f t="shared" si="749"/>
        <v>360.18799999999999</v>
      </c>
      <c r="AS280" s="227">
        <f t="shared" si="749"/>
        <v>360.18799999999999</v>
      </c>
      <c r="AT280" s="227">
        <f t="shared" si="749"/>
        <v>360.18799999999999</v>
      </c>
      <c r="AU280" s="226">
        <f t="shared" si="749"/>
        <v>360.18799999999999</v>
      </c>
      <c r="AV280" s="227">
        <f t="shared" si="749"/>
        <v>360.18799999999999</v>
      </c>
      <c r="AW280" s="227">
        <f t="shared" si="749"/>
        <v>360.18799999999999</v>
      </c>
      <c r="AX280" s="226">
        <f t="shared" si="749"/>
        <v>360.18799999999999</v>
      </c>
      <c r="AY280" s="227">
        <f t="shared" si="749"/>
        <v>360.18799999999999</v>
      </c>
      <c r="AZ280" s="227">
        <f t="shared" si="749"/>
        <v>360.18799999999999</v>
      </c>
      <c r="BA280" s="226">
        <f t="shared" si="749"/>
        <v>360.18799999999999</v>
      </c>
      <c r="BB280" s="227">
        <f t="shared" si="749"/>
        <v>360.18799999999999</v>
      </c>
      <c r="BC280" s="227">
        <f t="shared" si="749"/>
        <v>360.18799999999999</v>
      </c>
      <c r="BD280" s="226">
        <f t="shared" si="749"/>
        <v>360.18799999999999</v>
      </c>
      <c r="BE280" s="227">
        <f t="shared" si="749"/>
        <v>360.18799999999999</v>
      </c>
      <c r="BF280" s="227">
        <f t="shared" si="749"/>
        <v>360.18799999999999</v>
      </c>
      <c r="BG280" s="226">
        <f t="shared" si="749"/>
        <v>360.18799999999999</v>
      </c>
      <c r="BH280" s="227"/>
      <c r="BJ280"/>
      <c r="BK280"/>
      <c r="BL280"/>
      <c r="BM280"/>
      <c r="BN280"/>
      <c r="BO280"/>
    </row>
    <row r="281" spans="1:67" s="61" customFormat="1" outlineLevel="1">
      <c r="B281" s="88"/>
      <c r="C281" s="88"/>
      <c r="D281" s="199"/>
      <c r="E281" s="228"/>
      <c r="F281" s="229"/>
      <c r="G281" s="229"/>
      <c r="H281" s="228"/>
      <c r="I281" s="229"/>
      <c r="J281" s="229"/>
      <c r="K281" s="228"/>
      <c r="L281" s="229"/>
      <c r="M281" s="229"/>
      <c r="N281" s="228"/>
      <c r="O281" s="229"/>
      <c r="P281" s="229"/>
      <c r="Q281" s="228"/>
      <c r="R281" s="229"/>
      <c r="S281" s="229"/>
      <c r="T281" s="228"/>
      <c r="U281" s="229"/>
      <c r="V281" s="229"/>
      <c r="W281" s="228"/>
      <c r="X281" s="229"/>
      <c r="Y281" s="229"/>
      <c r="Z281" s="228"/>
      <c r="AA281" s="229"/>
      <c r="AB281" s="229"/>
      <c r="AC281" s="228"/>
      <c r="AD281" s="229"/>
      <c r="AE281" s="229"/>
      <c r="AF281" s="228"/>
      <c r="AG281" s="229"/>
      <c r="AH281" s="229"/>
      <c r="AI281" s="228"/>
      <c r="AJ281" s="229"/>
      <c r="AK281" s="229"/>
      <c r="AL281" s="228"/>
      <c r="AM281" s="229"/>
      <c r="AN281" s="229"/>
      <c r="AO281" s="228"/>
      <c r="AP281" s="229"/>
      <c r="AQ281" s="229"/>
      <c r="AR281" s="228"/>
      <c r="AS281" s="229"/>
      <c r="AT281" s="229"/>
      <c r="AU281" s="228"/>
      <c r="AV281" s="229"/>
      <c r="AW281" s="229"/>
      <c r="AX281" s="228"/>
      <c r="AY281" s="229"/>
      <c r="AZ281" s="229"/>
      <c r="BA281" s="228"/>
      <c r="BB281" s="229"/>
      <c r="BC281" s="229"/>
      <c r="BD281" s="228"/>
      <c r="BE281" s="229"/>
      <c r="BF281" s="229"/>
      <c r="BG281" s="228"/>
      <c r="BH281" s="229"/>
      <c r="BJ281"/>
      <c r="BK281"/>
      <c r="BL281"/>
      <c r="BM281"/>
      <c r="BN281"/>
      <c r="BO281"/>
    </row>
    <row r="282" spans="1:67" s="61" customFormat="1" outlineLevel="1">
      <c r="B282" s="88"/>
      <c r="C282" s="88"/>
      <c r="D282" s="199"/>
      <c r="E282" s="230"/>
      <c r="F282" s="231"/>
      <c r="G282" s="231"/>
      <c r="H282" s="230"/>
      <c r="I282" s="231"/>
      <c r="J282" s="231"/>
      <c r="K282" s="230"/>
      <c r="L282" s="231"/>
      <c r="M282" s="231"/>
      <c r="N282" s="230"/>
      <c r="O282" s="231"/>
      <c r="P282" s="231"/>
      <c r="Q282" s="230"/>
      <c r="R282" s="231"/>
      <c r="S282" s="231"/>
      <c r="T282" s="230"/>
      <c r="U282" s="231"/>
      <c r="V282" s="231"/>
      <c r="W282" s="230"/>
      <c r="X282" s="231"/>
      <c r="Y282" s="231"/>
      <c r="Z282" s="230"/>
      <c r="AA282" s="231"/>
      <c r="AB282" s="231"/>
      <c r="AC282" s="230"/>
      <c r="AD282" s="231"/>
      <c r="AE282" s="231"/>
      <c r="AF282" s="230"/>
      <c r="AG282" s="231"/>
      <c r="AH282" s="231"/>
      <c r="AI282" s="230"/>
      <c r="AJ282" s="231"/>
      <c r="AK282" s="231"/>
      <c r="AL282" s="230"/>
      <c r="AM282" s="231"/>
      <c r="AN282" s="231"/>
      <c r="AO282" s="230"/>
      <c r="AP282" s="231"/>
      <c r="AQ282" s="231"/>
      <c r="AR282" s="230"/>
      <c r="AS282" s="231"/>
      <c r="AT282" s="231"/>
      <c r="AU282" s="230"/>
      <c r="AV282" s="231"/>
      <c r="AW282" s="231"/>
      <c r="AX282" s="230"/>
      <c r="AY282" s="231"/>
      <c r="AZ282" s="231"/>
      <c r="BA282" s="230"/>
      <c r="BB282" s="231"/>
      <c r="BC282" s="231"/>
      <c r="BD282" s="230"/>
      <c r="BE282" s="231"/>
      <c r="BF282" s="231"/>
      <c r="BG282" s="230"/>
      <c r="BH282" s="231"/>
      <c r="BJ282"/>
      <c r="BK282"/>
      <c r="BL282"/>
      <c r="BM282"/>
      <c r="BN282"/>
      <c r="BO282"/>
    </row>
    <row r="283" spans="1:67" s="70" customFormat="1">
      <c r="B283" s="71" t="s">
        <v>354</v>
      </c>
      <c r="C283" s="71"/>
      <c r="D283" s="232"/>
      <c r="E283" s="233">
        <v>127.99375000000001</v>
      </c>
      <c r="F283" s="234">
        <f>(F79/F82)*100</f>
        <v>198.09187022900761</v>
      </c>
      <c r="G283" s="234">
        <f>H283</f>
        <v>202.124</v>
      </c>
      <c r="H283" s="233">
        <v>202.124</v>
      </c>
      <c r="I283" s="234">
        <v>218.365836</v>
      </c>
      <c r="J283" s="234">
        <f>K283</f>
        <v>233.43700000000001</v>
      </c>
      <c r="K283" s="235">
        <v>233.43700000000001</v>
      </c>
      <c r="L283" s="234">
        <v>253.475067</v>
      </c>
      <c r="M283" s="234">
        <f>N283</f>
        <v>257.27100000000002</v>
      </c>
      <c r="N283" s="235">
        <v>257.27100000000002</v>
      </c>
      <c r="O283" s="234">
        <f xml:space="preserve"> 281.019987</f>
        <v>281.01998700000001</v>
      </c>
      <c r="P283" s="234">
        <f>Q283</f>
        <v>282.20600000000002</v>
      </c>
      <c r="Q283" s="235">
        <v>282.20600000000002</v>
      </c>
      <c r="R283" s="234">
        <v>307.33142299999997</v>
      </c>
      <c r="S283" s="234">
        <f>T283</f>
        <v>310.64400000000001</v>
      </c>
      <c r="T283" s="235">
        <v>310.64400000000001</v>
      </c>
      <c r="U283" s="234">
        <v>317.62208900000002</v>
      </c>
      <c r="V283" s="234">
        <f>W283</f>
        <v>319.18099999999998</v>
      </c>
      <c r="W283" s="235">
        <v>319.18099999999998</v>
      </c>
      <c r="X283" s="234">
        <f>W283</f>
        <v>319.18099999999998</v>
      </c>
      <c r="Y283" s="234">
        <f>Z283</f>
        <v>331.226</v>
      </c>
      <c r="Z283" s="235">
        <v>331.226</v>
      </c>
      <c r="AA283" s="478">
        <v>337.202831</v>
      </c>
      <c r="AB283" s="234">
        <f>AC283</f>
        <v>337.202831</v>
      </c>
      <c r="AC283" s="233">
        <f>AA283</f>
        <v>337.202831</v>
      </c>
      <c r="AD283" s="234">
        <f>AC283</f>
        <v>337.202831</v>
      </c>
      <c r="AE283" s="234">
        <f>AF283</f>
        <v>337.202831</v>
      </c>
      <c r="AF283" s="233">
        <f>AD283</f>
        <v>337.202831</v>
      </c>
      <c r="AG283" s="234">
        <f>AF283</f>
        <v>337.202831</v>
      </c>
      <c r="AH283" s="234">
        <f>AI283</f>
        <v>337.202831</v>
      </c>
      <c r="AI283" s="233">
        <f>AG283</f>
        <v>337.202831</v>
      </c>
      <c r="AJ283" s="234">
        <f>AI283</f>
        <v>337.202831</v>
      </c>
      <c r="AK283" s="234">
        <f>AL283</f>
        <v>337.202831</v>
      </c>
      <c r="AL283" s="233">
        <f>AJ283</f>
        <v>337.202831</v>
      </c>
      <c r="AM283" s="236">
        <f>AL283+15</f>
        <v>352.202831</v>
      </c>
      <c r="AN283" s="234">
        <f>AO283</f>
        <v>352.202831</v>
      </c>
      <c r="AO283" s="233">
        <f>AM283</f>
        <v>352.202831</v>
      </c>
      <c r="AP283" s="234">
        <f>AO283</f>
        <v>352.202831</v>
      </c>
      <c r="AQ283" s="234">
        <f>AR283</f>
        <v>352.202831</v>
      </c>
      <c r="AR283" s="233">
        <f>AP283</f>
        <v>352.202831</v>
      </c>
      <c r="AS283" s="234">
        <f>AR283</f>
        <v>352.202831</v>
      </c>
      <c r="AT283" s="234">
        <f>AU283</f>
        <v>352.202831</v>
      </c>
      <c r="AU283" s="233">
        <f>AS283</f>
        <v>352.202831</v>
      </c>
      <c r="AV283" s="234">
        <f>AU283</f>
        <v>352.202831</v>
      </c>
      <c r="AW283" s="234">
        <f>AX283</f>
        <v>352.202831</v>
      </c>
      <c r="AX283" s="233">
        <f>AV283</f>
        <v>352.202831</v>
      </c>
      <c r="AY283" s="234">
        <f>AX283</f>
        <v>352.202831</v>
      </c>
      <c r="AZ283" s="234">
        <f>BA283</f>
        <v>352.202831</v>
      </c>
      <c r="BA283" s="233">
        <f>AY283</f>
        <v>352.202831</v>
      </c>
      <c r="BB283" s="234">
        <f>BA283</f>
        <v>352.202831</v>
      </c>
      <c r="BC283" s="234">
        <f>BD283</f>
        <v>352.202831</v>
      </c>
      <c r="BD283" s="233">
        <f>BB283</f>
        <v>352.202831</v>
      </c>
      <c r="BE283" s="234">
        <f>BD283</f>
        <v>352.202831</v>
      </c>
      <c r="BF283" s="234">
        <f>BG283</f>
        <v>352.202831</v>
      </c>
      <c r="BG283" s="233">
        <f>BE283</f>
        <v>352.202831</v>
      </c>
      <c r="BH283" s="234"/>
      <c r="BJ283"/>
      <c r="BK283"/>
      <c r="BL283"/>
      <c r="BM283"/>
      <c r="BN283"/>
      <c r="BO283"/>
    </row>
    <row r="284" spans="1:67" s="70" customFormat="1">
      <c r="B284" s="71" t="s">
        <v>147</v>
      </c>
      <c r="C284" s="71"/>
      <c r="D284" s="232"/>
      <c r="E284" s="233">
        <f t="shared" ref="E284:U284" si="750">E283</f>
        <v>127.99375000000001</v>
      </c>
      <c r="F284" s="234">
        <f t="shared" si="750"/>
        <v>198.09187022900761</v>
      </c>
      <c r="G284" s="234">
        <f t="shared" si="750"/>
        <v>202.124</v>
      </c>
      <c r="H284" s="233">
        <f t="shared" si="750"/>
        <v>202.124</v>
      </c>
      <c r="I284" s="234">
        <f t="shared" si="750"/>
        <v>218.365836</v>
      </c>
      <c r="J284" s="234">
        <f t="shared" si="750"/>
        <v>233.43700000000001</v>
      </c>
      <c r="K284" s="235">
        <f t="shared" si="750"/>
        <v>233.43700000000001</v>
      </c>
      <c r="L284" s="234">
        <f t="shared" si="750"/>
        <v>253.475067</v>
      </c>
      <c r="M284" s="234">
        <f t="shared" si="750"/>
        <v>257.27100000000002</v>
      </c>
      <c r="N284" s="235">
        <f t="shared" si="750"/>
        <v>257.27100000000002</v>
      </c>
      <c r="O284" s="234">
        <f t="shared" si="750"/>
        <v>281.01998700000001</v>
      </c>
      <c r="P284" s="234">
        <f t="shared" si="750"/>
        <v>282.20600000000002</v>
      </c>
      <c r="Q284" s="235">
        <v>282.20600000000002</v>
      </c>
      <c r="R284" s="234">
        <f t="shared" si="750"/>
        <v>307.33142299999997</v>
      </c>
      <c r="S284" s="234">
        <f t="shared" si="750"/>
        <v>310.64400000000001</v>
      </c>
      <c r="T284" s="235">
        <v>310.64400000000001</v>
      </c>
      <c r="U284" s="234">
        <f t="shared" si="750"/>
        <v>317.62208900000002</v>
      </c>
      <c r="V284" s="234">
        <f>W284</f>
        <v>323.70999999999998</v>
      </c>
      <c r="W284" s="235">
        <v>323.70999999999998</v>
      </c>
      <c r="X284" s="234">
        <f>W284</f>
        <v>323.70999999999998</v>
      </c>
      <c r="Y284" s="234">
        <f>Z284</f>
        <v>345.18799999999999</v>
      </c>
      <c r="Z284" s="235">
        <v>345.18799999999999</v>
      </c>
      <c r="AA284" s="236">
        <f>Z284</f>
        <v>345.18799999999999</v>
      </c>
      <c r="AB284" s="234">
        <f>AC284</f>
        <v>345.18799999999999</v>
      </c>
      <c r="AC284" s="233">
        <f>AA284</f>
        <v>345.18799999999999</v>
      </c>
      <c r="AD284" s="234">
        <f>AC284</f>
        <v>345.18799999999999</v>
      </c>
      <c r="AE284" s="234">
        <f>AF284</f>
        <v>345.18799999999999</v>
      </c>
      <c r="AF284" s="233">
        <f>AD284</f>
        <v>345.18799999999999</v>
      </c>
      <c r="AG284" s="234">
        <f>AF284</f>
        <v>345.18799999999999</v>
      </c>
      <c r="AH284" s="234">
        <f>AI284</f>
        <v>345.18799999999999</v>
      </c>
      <c r="AI284" s="233">
        <f>AG284</f>
        <v>345.18799999999999</v>
      </c>
      <c r="AJ284" s="234">
        <f>AI284</f>
        <v>345.18799999999999</v>
      </c>
      <c r="AK284" s="234">
        <f>AL284</f>
        <v>345.18799999999999</v>
      </c>
      <c r="AL284" s="233">
        <f>AJ284</f>
        <v>345.18799999999999</v>
      </c>
      <c r="AM284" s="236">
        <f>AL284+15</f>
        <v>360.18799999999999</v>
      </c>
      <c r="AN284" s="234">
        <f>AO284</f>
        <v>360.18799999999999</v>
      </c>
      <c r="AO284" s="233">
        <f>AM284</f>
        <v>360.18799999999999</v>
      </c>
      <c r="AP284" s="234">
        <f>AO284</f>
        <v>360.18799999999999</v>
      </c>
      <c r="AQ284" s="234">
        <f>AR284</f>
        <v>360.18799999999999</v>
      </c>
      <c r="AR284" s="233">
        <f>AP284</f>
        <v>360.18799999999999</v>
      </c>
      <c r="AS284" s="234">
        <f>AR284</f>
        <v>360.18799999999999</v>
      </c>
      <c r="AT284" s="234">
        <f>AU284</f>
        <v>360.18799999999999</v>
      </c>
      <c r="AU284" s="233">
        <f>AS284</f>
        <v>360.18799999999999</v>
      </c>
      <c r="AV284" s="234">
        <f>AU284</f>
        <v>360.18799999999999</v>
      </c>
      <c r="AW284" s="234">
        <f>AX284</f>
        <v>360.18799999999999</v>
      </c>
      <c r="AX284" s="233">
        <f>AV284</f>
        <v>360.18799999999999</v>
      </c>
      <c r="AY284" s="234">
        <f>AX284</f>
        <v>360.18799999999999</v>
      </c>
      <c r="AZ284" s="234">
        <f>BA284</f>
        <v>360.18799999999999</v>
      </c>
      <c r="BA284" s="233">
        <f>AY284</f>
        <v>360.18799999999999</v>
      </c>
      <c r="BB284" s="234">
        <f>BA284</f>
        <v>360.18799999999999</v>
      </c>
      <c r="BC284" s="234">
        <f>BD284</f>
        <v>360.18799999999999</v>
      </c>
      <c r="BD284" s="233">
        <f>BB284</f>
        <v>360.18799999999999</v>
      </c>
      <c r="BE284" s="234">
        <f>BD284</f>
        <v>360.18799999999999</v>
      </c>
      <c r="BF284" s="234">
        <f>BG284</f>
        <v>360.18799999999999</v>
      </c>
      <c r="BG284" s="233">
        <f>BE284</f>
        <v>360.18799999999999</v>
      </c>
      <c r="BH284" s="234"/>
      <c r="BJ284"/>
      <c r="BK284"/>
      <c r="BL284"/>
      <c r="BM284"/>
      <c r="BN284"/>
      <c r="BO284"/>
    </row>
    <row r="285" spans="1:67" s="61" customFormat="1">
      <c r="B285" s="88" t="s">
        <v>355</v>
      </c>
      <c r="C285" s="88"/>
      <c r="D285" s="199"/>
      <c r="E285" s="230">
        <v>197.4375</v>
      </c>
      <c r="F285" s="231">
        <v>197.4375</v>
      </c>
      <c r="G285" s="231">
        <v>218.36583999999999</v>
      </c>
      <c r="H285" s="230">
        <v>218.36583999999999</v>
      </c>
      <c r="I285" s="231">
        <v>218.36583999999999</v>
      </c>
      <c r="J285" s="231">
        <v>253.28</v>
      </c>
      <c r="K285" s="237">
        <v>253.28</v>
      </c>
      <c r="L285" s="231">
        <v>253.69904</v>
      </c>
      <c r="M285" s="231">
        <v>280.40532000000002</v>
      </c>
      <c r="N285" s="237">
        <v>280.40532000000002</v>
      </c>
      <c r="O285" s="231">
        <v>281.62340999999998</v>
      </c>
      <c r="P285" s="231">
        <v>285.07299999999998</v>
      </c>
      <c r="Q285" s="237">
        <v>285.07299999999998</v>
      </c>
      <c r="R285" s="231">
        <v>312.81634000000003</v>
      </c>
      <c r="S285" s="231">
        <v>316.34300000000002</v>
      </c>
      <c r="T285" s="237">
        <f>+T284</f>
        <v>310.64400000000001</v>
      </c>
      <c r="U285" s="231">
        <v>318.55700000000002</v>
      </c>
      <c r="V285" s="231">
        <f>W285</f>
        <v>323.70999999999998</v>
      </c>
      <c r="W285" s="237">
        <f>+W284</f>
        <v>323.70999999999998</v>
      </c>
      <c r="X285" s="238">
        <v>334.23200000000003</v>
      </c>
      <c r="Y285" s="231">
        <f>Z285</f>
        <v>345.18799999999999</v>
      </c>
      <c r="Z285" s="237">
        <f>+Z284</f>
        <v>345.18799999999999</v>
      </c>
      <c r="AA285" s="239">
        <f>Z285</f>
        <v>345.18799999999999</v>
      </c>
      <c r="AB285" s="231">
        <f>AC285</f>
        <v>345.18799999999999</v>
      </c>
      <c r="AC285" s="230">
        <f>AA285</f>
        <v>345.18799999999999</v>
      </c>
      <c r="AD285" s="231">
        <f>AC285</f>
        <v>345.18799999999999</v>
      </c>
      <c r="AE285" s="231">
        <f>AF285</f>
        <v>345.18799999999999</v>
      </c>
      <c r="AF285" s="230">
        <f>AD285</f>
        <v>345.18799999999999</v>
      </c>
      <c r="AG285" s="231">
        <f>AF285</f>
        <v>345.18799999999999</v>
      </c>
      <c r="AH285" s="231">
        <f>AI285</f>
        <v>345.18799999999999</v>
      </c>
      <c r="AI285" s="230">
        <f>AG285</f>
        <v>345.18799999999999</v>
      </c>
      <c r="AJ285" s="231">
        <f>AI285</f>
        <v>345.18799999999999</v>
      </c>
      <c r="AK285" s="231">
        <f>AL285</f>
        <v>345.18799999999999</v>
      </c>
      <c r="AL285" s="230">
        <f>AJ285</f>
        <v>345.18799999999999</v>
      </c>
      <c r="AM285" s="239">
        <f>AL285+15</f>
        <v>360.18799999999999</v>
      </c>
      <c r="AN285" s="231">
        <f>AO285</f>
        <v>360.18799999999999</v>
      </c>
      <c r="AO285" s="230">
        <f>AM285</f>
        <v>360.18799999999999</v>
      </c>
      <c r="AP285" s="231">
        <f>AO285</f>
        <v>360.18799999999999</v>
      </c>
      <c r="AQ285" s="231">
        <f>AR285</f>
        <v>360.18799999999999</v>
      </c>
      <c r="AR285" s="230">
        <f>AP285</f>
        <v>360.18799999999999</v>
      </c>
      <c r="AS285" s="231">
        <f>AR285</f>
        <v>360.18799999999999</v>
      </c>
      <c r="AT285" s="231">
        <f>AU285</f>
        <v>360.18799999999999</v>
      </c>
      <c r="AU285" s="230">
        <f>AS285</f>
        <v>360.18799999999999</v>
      </c>
      <c r="AV285" s="231">
        <f>AU285</f>
        <v>360.18799999999999</v>
      </c>
      <c r="AW285" s="231">
        <f>AX285</f>
        <v>360.18799999999999</v>
      </c>
      <c r="AX285" s="230">
        <f>AV285</f>
        <v>360.18799999999999</v>
      </c>
      <c r="AY285" s="231">
        <f>AX285</f>
        <v>360.18799999999999</v>
      </c>
      <c r="AZ285" s="231">
        <f>BA285</f>
        <v>360.18799999999999</v>
      </c>
      <c r="BA285" s="230">
        <f>AY285</f>
        <v>360.18799999999999</v>
      </c>
      <c r="BB285" s="231">
        <f>BA285</f>
        <v>360.18799999999999</v>
      </c>
      <c r="BC285" s="231">
        <f>BD285</f>
        <v>360.18799999999999</v>
      </c>
      <c r="BD285" s="230">
        <f>BB285</f>
        <v>360.18799999999999</v>
      </c>
      <c r="BE285" s="231">
        <f>BD285</f>
        <v>360.18799999999999</v>
      </c>
      <c r="BF285" s="231">
        <f>BG285</f>
        <v>360.18799999999999</v>
      </c>
      <c r="BG285" s="230">
        <f>BE285</f>
        <v>360.18799999999999</v>
      </c>
      <c r="BH285" s="231"/>
      <c r="BJ285"/>
      <c r="BK285"/>
      <c r="BL285"/>
      <c r="BM285"/>
      <c r="BN285"/>
      <c r="BO285"/>
    </row>
    <row r="286" spans="1:67" s="61" customFormat="1" outlineLevel="1">
      <c r="A286" s="240"/>
      <c r="B286" s="240"/>
      <c r="C286" s="240"/>
      <c r="D286" s="240"/>
      <c r="E286" s="241"/>
      <c r="F286" s="240"/>
      <c r="G286" s="240"/>
      <c r="H286" s="241"/>
      <c r="I286" s="240"/>
      <c r="J286" s="240"/>
      <c r="K286" s="241"/>
      <c r="L286" s="240"/>
      <c r="M286" s="240"/>
      <c r="N286" s="241"/>
      <c r="O286" s="240"/>
      <c r="P286" s="240"/>
      <c r="Q286" s="241"/>
      <c r="R286" s="240"/>
      <c r="S286" s="240"/>
      <c r="T286" s="241"/>
      <c r="U286" s="240"/>
      <c r="V286" s="240"/>
      <c r="W286" s="241"/>
      <c r="X286" s="240"/>
      <c r="Y286" s="240"/>
      <c r="Z286" s="241"/>
      <c r="AA286" s="240"/>
      <c r="AB286" s="240"/>
      <c r="AC286" s="241"/>
      <c r="AD286" s="240"/>
      <c r="AE286" s="240"/>
      <c r="AF286" s="241"/>
      <c r="AG286" s="240"/>
      <c r="AH286" s="240"/>
      <c r="AI286" s="241"/>
      <c r="AJ286" s="240"/>
      <c r="AK286" s="240"/>
      <c r="AL286" s="241"/>
      <c r="AM286" s="240"/>
      <c r="AN286" s="240"/>
      <c r="AO286" s="241"/>
      <c r="AP286" s="240"/>
      <c r="AQ286" s="240"/>
      <c r="AR286" s="241"/>
      <c r="AS286" s="240"/>
      <c r="AT286" s="240"/>
      <c r="AU286" s="241"/>
      <c r="AV286" s="240"/>
      <c r="AW286" s="240"/>
      <c r="AX286" s="241"/>
      <c r="AY286" s="240"/>
      <c r="AZ286" s="240"/>
      <c r="BA286" s="241"/>
      <c r="BB286" s="240"/>
      <c r="BC286" s="240"/>
      <c r="BD286" s="241"/>
      <c r="BE286" s="240"/>
      <c r="BF286" s="240"/>
      <c r="BG286" s="241"/>
      <c r="BH286" s="240"/>
      <c r="BJ286"/>
      <c r="BK286"/>
      <c r="BL286"/>
      <c r="BM286"/>
      <c r="BN286"/>
      <c r="BO286"/>
    </row>
    <row r="287" spans="1:67" s="87" customFormat="1">
      <c r="A287" s="84" t="s">
        <v>356</v>
      </c>
      <c r="B287" s="63"/>
      <c r="C287" s="63"/>
      <c r="D287" s="85" t="str">
        <f t="shared" ref="D287:BG287" si="751">D9</f>
        <v>Base</v>
      </c>
      <c r="E287" s="86" t="str">
        <f t="shared" si="751"/>
        <v>2017</v>
      </c>
      <c r="F287" s="242" t="str">
        <f t="shared" si="751"/>
        <v>1H18</v>
      </c>
      <c r="G287" s="242" t="str">
        <f t="shared" si="751"/>
        <v>2H18</v>
      </c>
      <c r="H287" s="86" t="str">
        <f t="shared" si="751"/>
        <v>2018</v>
      </c>
      <c r="I287" s="242" t="str">
        <f t="shared" si="751"/>
        <v>1H19</v>
      </c>
      <c r="J287" s="242" t="str">
        <f t="shared" si="751"/>
        <v>2H19</v>
      </c>
      <c r="K287" s="86" t="str">
        <f t="shared" si="751"/>
        <v>2019</v>
      </c>
      <c r="L287" s="242" t="str">
        <f t="shared" si="751"/>
        <v>1H20</v>
      </c>
      <c r="M287" s="242" t="str">
        <f t="shared" si="751"/>
        <v>2H20E</v>
      </c>
      <c r="N287" s="86" t="str">
        <f t="shared" si="751"/>
        <v>2020E</v>
      </c>
      <c r="O287" s="85" t="str">
        <f t="shared" si="751"/>
        <v>1H21</v>
      </c>
      <c r="P287" s="242" t="str">
        <f t="shared" si="751"/>
        <v>2H21</v>
      </c>
      <c r="Q287" s="86" t="str">
        <f t="shared" si="751"/>
        <v>2021</v>
      </c>
      <c r="R287" s="85" t="str">
        <f t="shared" si="751"/>
        <v>1H22</v>
      </c>
      <c r="S287" s="242" t="str">
        <f t="shared" si="751"/>
        <v>2H22</v>
      </c>
      <c r="T287" s="86" t="str">
        <f t="shared" si="751"/>
        <v>2022</v>
      </c>
      <c r="U287" s="242" t="str">
        <f t="shared" si="751"/>
        <v>1H23</v>
      </c>
      <c r="V287" s="242" t="str">
        <f t="shared" si="751"/>
        <v>2H23</v>
      </c>
      <c r="W287" s="86" t="str">
        <f t="shared" si="751"/>
        <v>2023</v>
      </c>
      <c r="X287" s="242" t="str">
        <f t="shared" si="751"/>
        <v>1H24</v>
      </c>
      <c r="Y287" s="242" t="str">
        <f t="shared" si="751"/>
        <v>2H24</v>
      </c>
      <c r="Z287" s="86" t="str">
        <f t="shared" si="751"/>
        <v>2024</v>
      </c>
      <c r="AA287" s="242" t="str">
        <f t="shared" si="751"/>
        <v>1H25</v>
      </c>
      <c r="AB287" s="242" t="str">
        <f t="shared" si="751"/>
        <v>2H25E</v>
      </c>
      <c r="AC287" s="86" t="str">
        <f t="shared" si="751"/>
        <v>2025E</v>
      </c>
      <c r="AD287" s="242" t="str">
        <f t="shared" si="751"/>
        <v>1H26E</v>
      </c>
      <c r="AE287" s="242" t="str">
        <f t="shared" si="751"/>
        <v>2H26E</v>
      </c>
      <c r="AF287" s="86" t="str">
        <f t="shared" si="751"/>
        <v>2026E</v>
      </c>
      <c r="AG287" s="242" t="str">
        <f t="shared" si="751"/>
        <v>1H27E</v>
      </c>
      <c r="AH287" s="242" t="str">
        <f t="shared" si="751"/>
        <v>2H27E</v>
      </c>
      <c r="AI287" s="86" t="str">
        <f t="shared" si="751"/>
        <v>2027E</v>
      </c>
      <c r="AJ287" s="242" t="str">
        <f t="shared" si="751"/>
        <v>1H28E</v>
      </c>
      <c r="AK287" s="242" t="str">
        <f t="shared" si="751"/>
        <v>2H28E</v>
      </c>
      <c r="AL287" s="86" t="str">
        <f t="shared" si="751"/>
        <v>2028E</v>
      </c>
      <c r="AM287" s="242" t="str">
        <f t="shared" si="751"/>
        <v>1H29E</v>
      </c>
      <c r="AN287" s="242" t="str">
        <f t="shared" si="751"/>
        <v>2H29E</v>
      </c>
      <c r="AO287" s="86" t="str">
        <f t="shared" si="751"/>
        <v>2029E</v>
      </c>
      <c r="AP287" s="242" t="str">
        <f t="shared" si="751"/>
        <v>1H30E</v>
      </c>
      <c r="AQ287" s="242" t="str">
        <f t="shared" si="751"/>
        <v>2H30E</v>
      </c>
      <c r="AR287" s="86" t="str">
        <f t="shared" si="751"/>
        <v>2030E</v>
      </c>
      <c r="AS287" s="242" t="str">
        <f t="shared" si="751"/>
        <v>1H31E</v>
      </c>
      <c r="AT287" s="242" t="str">
        <f t="shared" si="751"/>
        <v>2H31E</v>
      </c>
      <c r="AU287" s="86" t="str">
        <f t="shared" si="751"/>
        <v>2031E</v>
      </c>
      <c r="AV287" s="242" t="str">
        <f t="shared" si="751"/>
        <v>1H32E</v>
      </c>
      <c r="AW287" s="242" t="str">
        <f t="shared" si="751"/>
        <v>2H32E</v>
      </c>
      <c r="AX287" s="86" t="str">
        <f t="shared" si="751"/>
        <v>2032E</v>
      </c>
      <c r="AY287" s="242" t="str">
        <f t="shared" si="751"/>
        <v>1H33E</v>
      </c>
      <c r="AZ287" s="242" t="str">
        <f t="shared" si="751"/>
        <v>2H33E</v>
      </c>
      <c r="BA287" s="86" t="str">
        <f t="shared" si="751"/>
        <v>2033E</v>
      </c>
      <c r="BB287" s="242" t="str">
        <f t="shared" si="751"/>
        <v>1H34E</v>
      </c>
      <c r="BC287" s="242" t="str">
        <f t="shared" si="751"/>
        <v>2H34E</v>
      </c>
      <c r="BD287" s="86" t="str">
        <f t="shared" si="751"/>
        <v>2034E</v>
      </c>
      <c r="BE287" s="242" t="str">
        <f t="shared" si="751"/>
        <v>1H35E</v>
      </c>
      <c r="BF287" s="242" t="str">
        <f t="shared" si="751"/>
        <v>2H35E</v>
      </c>
      <c r="BG287" s="86" t="str">
        <f t="shared" si="751"/>
        <v>2035E</v>
      </c>
      <c r="BH287" s="85"/>
      <c r="BJ287"/>
      <c r="BK287"/>
      <c r="BL287"/>
      <c r="BM287"/>
      <c r="BN287"/>
      <c r="BO287"/>
    </row>
    <row r="288" spans="1:67" s="70" customFormat="1">
      <c r="A288" s="243"/>
      <c r="B288" s="244" t="s">
        <v>357</v>
      </c>
      <c r="C288" s="53"/>
      <c r="D288" s="53"/>
      <c r="E288" s="245">
        <v>0.3</v>
      </c>
      <c r="F288" s="246">
        <f>E288</f>
        <v>0.3</v>
      </c>
      <c r="G288" s="246">
        <f>F288</f>
        <v>0.3</v>
      </c>
      <c r="H288" s="245">
        <f t="shared" ref="H288:BG288" si="752">G288</f>
        <v>0.3</v>
      </c>
      <c r="I288" s="246">
        <f t="shared" si="752"/>
        <v>0.3</v>
      </c>
      <c r="J288" s="246">
        <f t="shared" si="752"/>
        <v>0.3</v>
      </c>
      <c r="K288" s="245">
        <f t="shared" si="752"/>
        <v>0.3</v>
      </c>
      <c r="L288" s="246">
        <f t="shared" si="752"/>
        <v>0.3</v>
      </c>
      <c r="M288" s="246">
        <f t="shared" si="752"/>
        <v>0.3</v>
      </c>
      <c r="N288" s="245">
        <f t="shared" si="752"/>
        <v>0.3</v>
      </c>
      <c r="O288" s="247">
        <f t="shared" si="752"/>
        <v>0.3</v>
      </c>
      <c r="P288" s="246">
        <f t="shared" si="752"/>
        <v>0.3</v>
      </c>
      <c r="Q288" s="245">
        <f t="shared" si="752"/>
        <v>0.3</v>
      </c>
      <c r="R288" s="247">
        <f t="shared" si="752"/>
        <v>0.3</v>
      </c>
      <c r="S288" s="246">
        <f t="shared" si="752"/>
        <v>0.3</v>
      </c>
      <c r="T288" s="245">
        <f t="shared" si="752"/>
        <v>0.3</v>
      </c>
      <c r="U288" s="246">
        <f t="shared" si="752"/>
        <v>0.3</v>
      </c>
      <c r="V288" s="246">
        <f t="shared" si="752"/>
        <v>0.3</v>
      </c>
      <c r="W288" s="245">
        <f t="shared" si="752"/>
        <v>0.3</v>
      </c>
      <c r="X288" s="246">
        <f t="shared" si="752"/>
        <v>0.3</v>
      </c>
      <c r="Y288" s="246">
        <f t="shared" si="752"/>
        <v>0.3</v>
      </c>
      <c r="Z288" s="245">
        <f t="shared" si="752"/>
        <v>0.3</v>
      </c>
      <c r="AA288" s="246">
        <f t="shared" si="752"/>
        <v>0.3</v>
      </c>
      <c r="AB288" s="246">
        <f t="shared" si="752"/>
        <v>0.3</v>
      </c>
      <c r="AC288" s="245">
        <f t="shared" si="752"/>
        <v>0.3</v>
      </c>
      <c r="AD288" s="246">
        <f t="shared" si="752"/>
        <v>0.3</v>
      </c>
      <c r="AE288" s="246">
        <f t="shared" si="752"/>
        <v>0.3</v>
      </c>
      <c r="AF288" s="245">
        <f t="shared" si="752"/>
        <v>0.3</v>
      </c>
      <c r="AG288" s="246">
        <f t="shared" si="752"/>
        <v>0.3</v>
      </c>
      <c r="AH288" s="246">
        <f t="shared" si="752"/>
        <v>0.3</v>
      </c>
      <c r="AI288" s="245">
        <f t="shared" si="752"/>
        <v>0.3</v>
      </c>
      <c r="AJ288" s="246">
        <f t="shared" si="752"/>
        <v>0.3</v>
      </c>
      <c r="AK288" s="246">
        <f t="shared" si="752"/>
        <v>0.3</v>
      </c>
      <c r="AL288" s="245">
        <f t="shared" si="752"/>
        <v>0.3</v>
      </c>
      <c r="AM288" s="246">
        <f t="shared" si="752"/>
        <v>0.3</v>
      </c>
      <c r="AN288" s="246">
        <f t="shared" si="752"/>
        <v>0.3</v>
      </c>
      <c r="AO288" s="245">
        <f t="shared" si="752"/>
        <v>0.3</v>
      </c>
      <c r="AP288" s="246">
        <f t="shared" si="752"/>
        <v>0.3</v>
      </c>
      <c r="AQ288" s="246">
        <f t="shared" si="752"/>
        <v>0.3</v>
      </c>
      <c r="AR288" s="245">
        <f t="shared" si="752"/>
        <v>0.3</v>
      </c>
      <c r="AS288" s="246">
        <f t="shared" si="752"/>
        <v>0.3</v>
      </c>
      <c r="AT288" s="246">
        <f t="shared" si="752"/>
        <v>0.3</v>
      </c>
      <c r="AU288" s="245">
        <f t="shared" si="752"/>
        <v>0.3</v>
      </c>
      <c r="AV288" s="246">
        <f t="shared" si="752"/>
        <v>0.3</v>
      </c>
      <c r="AW288" s="246">
        <f t="shared" si="752"/>
        <v>0.3</v>
      </c>
      <c r="AX288" s="245">
        <f t="shared" si="752"/>
        <v>0.3</v>
      </c>
      <c r="AY288" s="246">
        <f t="shared" si="752"/>
        <v>0.3</v>
      </c>
      <c r="AZ288" s="246">
        <f t="shared" si="752"/>
        <v>0.3</v>
      </c>
      <c r="BA288" s="245">
        <f t="shared" si="752"/>
        <v>0.3</v>
      </c>
      <c r="BB288" s="246">
        <f t="shared" si="752"/>
        <v>0.3</v>
      </c>
      <c r="BC288" s="246">
        <f t="shared" si="752"/>
        <v>0.3</v>
      </c>
      <c r="BD288" s="245">
        <f t="shared" si="752"/>
        <v>0.3</v>
      </c>
      <c r="BE288" s="246">
        <f t="shared" si="752"/>
        <v>0.3</v>
      </c>
      <c r="BF288" s="246">
        <f t="shared" si="752"/>
        <v>0.3</v>
      </c>
      <c r="BG288" s="245">
        <f t="shared" si="752"/>
        <v>0.3</v>
      </c>
      <c r="BH288" s="247"/>
      <c r="BJ288"/>
      <c r="BK288"/>
      <c r="BL288"/>
      <c r="BM288"/>
      <c r="BN288"/>
      <c r="BO288"/>
    </row>
    <row r="289" spans="1:67" s="61" customFormat="1">
      <c r="A289" s="240"/>
      <c r="B289" s="71" t="s">
        <v>358</v>
      </c>
      <c r="C289" s="53"/>
      <c r="D289" s="53" t="s">
        <v>359</v>
      </c>
      <c r="E289" s="248"/>
      <c r="F289" s="249"/>
      <c r="G289" s="249"/>
      <c r="H289" s="248"/>
      <c r="I289" s="249"/>
      <c r="J289" s="250"/>
      <c r="K289" s="248"/>
      <c r="L289" s="251"/>
      <c r="M289" s="251"/>
      <c r="N289" s="252"/>
      <c r="O289" s="251"/>
      <c r="P289" s="251"/>
      <c r="Q289" s="252"/>
      <c r="R289" s="251"/>
      <c r="S289" s="251"/>
      <c r="T289" s="252"/>
      <c r="U289" s="251"/>
      <c r="V289" s="251"/>
      <c r="W289" s="252"/>
      <c r="X289" s="251"/>
      <c r="Y289" s="251"/>
      <c r="Z289" s="252"/>
      <c r="AA289" s="251"/>
      <c r="AB289" s="251"/>
      <c r="AC289" s="252"/>
      <c r="AD289" s="251"/>
      <c r="AE289" s="251"/>
      <c r="AF289" s="252"/>
      <c r="AG289" s="251"/>
      <c r="AH289" s="251"/>
      <c r="AI289" s="252"/>
      <c r="AJ289" s="251"/>
      <c r="AK289" s="251"/>
      <c r="AL289" s="252"/>
      <c r="AM289" s="251"/>
      <c r="AN289" s="251"/>
      <c r="AO289" s="252"/>
      <c r="AP289" s="251"/>
      <c r="AQ289" s="251"/>
      <c r="AR289" s="252"/>
      <c r="AU289" s="252"/>
      <c r="AW289" s="107"/>
      <c r="AX289" s="252"/>
      <c r="AZ289" s="107"/>
      <c r="BA289" s="252"/>
      <c r="BC289" s="107"/>
      <c r="BD289" s="252"/>
      <c r="BF289" s="107"/>
      <c r="BG289" s="252"/>
      <c r="BH289" s="107"/>
      <c r="BJ289"/>
      <c r="BK289"/>
      <c r="BL289"/>
      <c r="BM289"/>
      <c r="BN289"/>
      <c r="BO289"/>
    </row>
    <row r="290" spans="1:67" s="61" customFormat="1">
      <c r="A290" s="240"/>
      <c r="B290" s="71" t="s">
        <v>360</v>
      </c>
      <c r="C290" s="53"/>
      <c r="D290" s="53"/>
      <c r="E290" s="253"/>
      <c r="F290" s="254"/>
      <c r="G290" s="254"/>
      <c r="H290" s="253"/>
      <c r="I290" s="254"/>
      <c r="J290" s="254"/>
      <c r="K290" s="253"/>
      <c r="L290" s="254"/>
      <c r="M290" s="254"/>
      <c r="N290" s="253"/>
      <c r="O290" s="254"/>
      <c r="P290" s="254"/>
      <c r="Q290" s="253"/>
      <c r="R290" s="254"/>
      <c r="S290" s="254"/>
      <c r="T290" s="253"/>
      <c r="U290" s="254"/>
      <c r="V290" s="254"/>
      <c r="W290" s="253"/>
      <c r="X290" s="254"/>
      <c r="Y290" s="254"/>
      <c r="Z290" s="253"/>
      <c r="AA290" s="254"/>
      <c r="AB290" s="254"/>
      <c r="AC290" s="253"/>
      <c r="AD290" s="254"/>
      <c r="AE290" s="254"/>
      <c r="AF290" s="253"/>
      <c r="AG290" s="254"/>
      <c r="AH290" s="254"/>
      <c r="AI290" s="253"/>
      <c r="AJ290" s="254"/>
      <c r="AK290" s="254"/>
      <c r="AL290" s="253"/>
      <c r="AM290" s="254"/>
      <c r="AN290" s="254"/>
      <c r="AO290" s="253"/>
      <c r="AP290" s="254"/>
      <c r="AQ290" s="254"/>
      <c r="AR290" s="253"/>
      <c r="AS290" s="254"/>
      <c r="AT290" s="254"/>
      <c r="AU290" s="253"/>
      <c r="AV290" s="254"/>
      <c r="AW290" s="254"/>
      <c r="AX290" s="253"/>
      <c r="AY290" s="254"/>
      <c r="AZ290" s="254"/>
      <c r="BA290" s="253"/>
      <c r="BB290" s="254"/>
      <c r="BC290" s="254"/>
      <c r="BD290" s="253"/>
      <c r="BE290" s="254"/>
      <c r="BF290" s="254"/>
      <c r="BG290" s="253"/>
      <c r="BH290" s="254"/>
      <c r="BJ290"/>
      <c r="BK290"/>
      <c r="BL290"/>
      <c r="BM290"/>
      <c r="BN290"/>
      <c r="BO290"/>
    </row>
    <row r="291" spans="1:67" s="61" customFormat="1">
      <c r="A291" s="240"/>
      <c r="B291" s="71" t="s">
        <v>361</v>
      </c>
      <c r="C291" s="53"/>
      <c r="D291" s="53"/>
      <c r="E291" s="253"/>
      <c r="F291" s="254"/>
      <c r="G291" s="254"/>
      <c r="H291" s="253"/>
      <c r="I291" s="254"/>
      <c r="J291" s="254"/>
      <c r="K291" s="253"/>
      <c r="L291" s="254"/>
      <c r="M291" s="254"/>
      <c r="N291" s="253"/>
      <c r="O291" s="254"/>
      <c r="P291" s="254"/>
      <c r="Q291" s="253"/>
      <c r="R291" s="254"/>
      <c r="S291" s="254"/>
      <c r="T291" s="253"/>
      <c r="U291" s="254"/>
      <c r="V291" s="254"/>
      <c r="W291" s="253"/>
      <c r="X291" s="254"/>
      <c r="Y291" s="254"/>
      <c r="Z291" s="253"/>
      <c r="AA291" s="254"/>
      <c r="AB291" s="254"/>
      <c r="AC291" s="253"/>
      <c r="AD291" s="254"/>
      <c r="AE291" s="254"/>
      <c r="AF291" s="253"/>
      <c r="AG291" s="254"/>
      <c r="AH291" s="254"/>
      <c r="AI291" s="253"/>
      <c r="AJ291" s="254"/>
      <c r="AK291" s="254"/>
      <c r="AL291" s="253"/>
      <c r="AM291" s="254"/>
      <c r="AN291" s="254"/>
      <c r="AO291" s="253"/>
      <c r="AP291" s="254"/>
      <c r="AQ291" s="254"/>
      <c r="AR291" s="253"/>
      <c r="AU291" s="253"/>
      <c r="AW291" s="107"/>
      <c r="AX291" s="253"/>
      <c r="AZ291" s="107"/>
      <c r="BA291" s="253"/>
      <c r="BC291" s="107"/>
      <c r="BD291" s="253"/>
      <c r="BF291" s="107"/>
      <c r="BG291" s="253"/>
      <c r="BH291" s="107"/>
      <c r="BJ291"/>
      <c r="BK291"/>
      <c r="BL291"/>
      <c r="BM291"/>
      <c r="BN291"/>
      <c r="BO291"/>
    </row>
    <row r="292" spans="1:67" s="61" customFormat="1">
      <c r="A292" s="88" t="s">
        <v>362</v>
      </c>
      <c r="B292" s="88"/>
      <c r="C292" s="53"/>
      <c r="D292" s="53"/>
      <c r="E292" s="245">
        <v>9.0000000000000024E-2</v>
      </c>
      <c r="F292" s="255"/>
      <c r="G292" s="255"/>
      <c r="H292" s="245">
        <f>E292</f>
        <v>9.0000000000000024E-2</v>
      </c>
      <c r="I292" s="255"/>
      <c r="J292" s="255"/>
      <c r="K292" s="245">
        <f>H292</f>
        <v>9.0000000000000024E-2</v>
      </c>
      <c r="L292" s="255"/>
      <c r="M292" s="255"/>
      <c r="N292" s="245">
        <f>K292</f>
        <v>9.0000000000000024E-2</v>
      </c>
      <c r="O292" s="247"/>
      <c r="P292" s="255"/>
      <c r="Q292" s="245">
        <f>N292</f>
        <v>9.0000000000000024E-2</v>
      </c>
      <c r="R292" s="247"/>
      <c r="S292" s="255"/>
      <c r="T292" s="245">
        <f>Q292</f>
        <v>9.0000000000000024E-2</v>
      </c>
      <c r="U292" s="255"/>
      <c r="V292" s="255"/>
      <c r="W292" s="245">
        <f>T292</f>
        <v>9.0000000000000024E-2</v>
      </c>
      <c r="X292" s="255"/>
      <c r="Y292" s="255"/>
      <c r="Z292" s="245">
        <f>W292</f>
        <v>9.0000000000000024E-2</v>
      </c>
      <c r="AA292" s="255"/>
      <c r="AB292" s="255"/>
      <c r="AC292" s="245">
        <f>Z292</f>
        <v>9.0000000000000024E-2</v>
      </c>
      <c r="AD292" s="255"/>
      <c r="AE292" s="255"/>
      <c r="AF292" s="245">
        <f>AC292</f>
        <v>9.0000000000000024E-2</v>
      </c>
      <c r="AG292" s="255"/>
      <c r="AH292" s="255"/>
      <c r="AI292" s="245">
        <f>AF292</f>
        <v>9.0000000000000024E-2</v>
      </c>
      <c r="AJ292" s="255"/>
      <c r="AK292" s="255"/>
      <c r="AL292" s="245">
        <f>AI292</f>
        <v>9.0000000000000024E-2</v>
      </c>
      <c r="AM292" s="255"/>
      <c r="AN292" s="255"/>
      <c r="AO292" s="245">
        <f>AL292</f>
        <v>9.0000000000000024E-2</v>
      </c>
      <c r="AP292" s="255"/>
      <c r="AQ292" s="255"/>
      <c r="AR292" s="245">
        <f>AO292</f>
        <v>9.0000000000000024E-2</v>
      </c>
      <c r="AS292" s="255"/>
      <c r="AT292" s="255"/>
      <c r="AU292" s="245">
        <f>AR292</f>
        <v>9.0000000000000024E-2</v>
      </c>
      <c r="AV292" s="255"/>
      <c r="AW292" s="255"/>
      <c r="AX292" s="245">
        <f>AU292</f>
        <v>9.0000000000000024E-2</v>
      </c>
      <c r="AY292" s="255"/>
      <c r="AZ292" s="255"/>
      <c r="BA292" s="245">
        <f>AX292</f>
        <v>9.0000000000000024E-2</v>
      </c>
      <c r="BB292" s="255"/>
      <c r="BC292" s="255"/>
      <c r="BD292" s="245">
        <f>BA292</f>
        <v>9.0000000000000024E-2</v>
      </c>
      <c r="BE292" s="255"/>
      <c r="BF292" s="255"/>
      <c r="BG292" s="245">
        <f>BD292</f>
        <v>9.0000000000000024E-2</v>
      </c>
      <c r="BH292" s="247"/>
      <c r="BJ292"/>
      <c r="BK292"/>
      <c r="BL292"/>
      <c r="BM292"/>
      <c r="BN292"/>
      <c r="BO292"/>
    </row>
    <row r="293" spans="1:67" s="61" customFormat="1">
      <c r="A293" s="71" t="s">
        <v>363</v>
      </c>
      <c r="B293" s="88"/>
      <c r="C293" s="53"/>
      <c r="D293" s="53"/>
      <c r="E293" s="256">
        <v>1.2</v>
      </c>
      <c r="F293" s="255"/>
      <c r="G293" s="255"/>
      <c r="H293" s="256">
        <f>E293</f>
        <v>1.2</v>
      </c>
      <c r="I293" s="255"/>
      <c r="J293" s="255"/>
      <c r="K293" s="256">
        <f>H293</f>
        <v>1.2</v>
      </c>
      <c r="L293" s="255"/>
      <c r="M293" s="255"/>
      <c r="N293" s="256">
        <f>K293</f>
        <v>1.2</v>
      </c>
      <c r="O293" s="255"/>
      <c r="P293" s="255"/>
      <c r="Q293" s="256">
        <f>N293</f>
        <v>1.2</v>
      </c>
      <c r="R293" s="255"/>
      <c r="S293" s="255"/>
      <c r="T293" s="256">
        <f>Q293</f>
        <v>1.2</v>
      </c>
      <c r="U293" s="255"/>
      <c r="V293" s="255"/>
      <c r="W293" s="256">
        <f>T293</f>
        <v>1.2</v>
      </c>
      <c r="X293" s="255"/>
      <c r="Y293" s="255"/>
      <c r="Z293" s="256">
        <f>W293</f>
        <v>1.2</v>
      </c>
      <c r="AA293" s="255"/>
      <c r="AB293" s="255"/>
      <c r="AC293" s="256">
        <f>Z293</f>
        <v>1.2</v>
      </c>
      <c r="AD293" s="255"/>
      <c r="AE293" s="255"/>
      <c r="AF293" s="256">
        <f>AC293</f>
        <v>1.2</v>
      </c>
      <c r="AG293" s="255"/>
      <c r="AH293" s="255"/>
      <c r="AI293" s="256">
        <f>AF293</f>
        <v>1.2</v>
      </c>
      <c r="AJ293" s="255"/>
      <c r="AK293" s="255"/>
      <c r="AL293" s="256">
        <f>AI293</f>
        <v>1.2</v>
      </c>
      <c r="AM293" s="255"/>
      <c r="AN293" s="255"/>
      <c r="AO293" s="256">
        <f>AL293</f>
        <v>1.2</v>
      </c>
      <c r="AP293" s="255"/>
      <c r="AQ293" s="255"/>
      <c r="AR293" s="256">
        <f>AO293</f>
        <v>1.2</v>
      </c>
      <c r="AS293" s="255"/>
      <c r="AT293" s="255"/>
      <c r="AU293" s="256">
        <f>AR293</f>
        <v>1.2</v>
      </c>
      <c r="AV293" s="255"/>
      <c r="AW293" s="255"/>
      <c r="AX293" s="256">
        <f>AU293</f>
        <v>1.2</v>
      </c>
      <c r="AY293" s="255"/>
      <c r="AZ293" s="255"/>
      <c r="BA293" s="256">
        <f>AX293</f>
        <v>1.2</v>
      </c>
      <c r="BB293" s="255"/>
      <c r="BC293" s="255"/>
      <c r="BD293" s="256">
        <f>BA293</f>
        <v>1.2</v>
      </c>
      <c r="BE293" s="255"/>
      <c r="BF293" s="255"/>
      <c r="BG293" s="256">
        <f>BD293</f>
        <v>1.2</v>
      </c>
      <c r="BH293" s="255"/>
      <c r="BJ293"/>
      <c r="BK293"/>
      <c r="BL293"/>
      <c r="BM293"/>
      <c r="BN293"/>
      <c r="BO293"/>
    </row>
    <row r="294" spans="1:67" s="61" customFormat="1">
      <c r="A294" s="71" t="s">
        <v>364</v>
      </c>
      <c r="B294" s="88"/>
      <c r="C294" s="53"/>
      <c r="D294" s="53"/>
      <c r="E294" s="245">
        <v>4.2500000000000003E-2</v>
      </c>
      <c r="F294" s="255"/>
      <c r="G294" s="255"/>
      <c r="H294" s="245">
        <f>E294</f>
        <v>4.2500000000000003E-2</v>
      </c>
      <c r="I294" s="255"/>
      <c r="J294" s="255"/>
      <c r="K294" s="245">
        <f>H294</f>
        <v>4.2500000000000003E-2</v>
      </c>
      <c r="L294" s="255"/>
      <c r="M294" s="255"/>
      <c r="N294" s="245">
        <f>K294</f>
        <v>4.2500000000000003E-2</v>
      </c>
      <c r="O294" s="247"/>
      <c r="P294" s="255"/>
      <c r="Q294" s="245">
        <f>N294</f>
        <v>4.2500000000000003E-2</v>
      </c>
      <c r="R294" s="247"/>
      <c r="S294" s="255"/>
      <c r="T294" s="245">
        <f>Q294</f>
        <v>4.2500000000000003E-2</v>
      </c>
      <c r="U294" s="255"/>
      <c r="V294" s="255"/>
      <c r="W294" s="245">
        <f>T294</f>
        <v>4.2500000000000003E-2</v>
      </c>
      <c r="X294" s="255"/>
      <c r="Y294" s="255"/>
      <c r="Z294" s="245">
        <f>W294</f>
        <v>4.2500000000000003E-2</v>
      </c>
      <c r="AA294" s="255"/>
      <c r="AB294" s="255"/>
      <c r="AC294" s="245">
        <f>Z294</f>
        <v>4.2500000000000003E-2</v>
      </c>
      <c r="AD294" s="255"/>
      <c r="AE294" s="255"/>
      <c r="AF294" s="245">
        <f>AC294</f>
        <v>4.2500000000000003E-2</v>
      </c>
      <c r="AG294" s="255"/>
      <c r="AH294" s="255"/>
      <c r="AI294" s="245">
        <f>AF294</f>
        <v>4.2500000000000003E-2</v>
      </c>
      <c r="AJ294" s="255"/>
      <c r="AK294" s="255"/>
      <c r="AL294" s="245">
        <f>AI294</f>
        <v>4.2500000000000003E-2</v>
      </c>
      <c r="AM294" s="255"/>
      <c r="AN294" s="255"/>
      <c r="AO294" s="245">
        <f>AL294</f>
        <v>4.2500000000000003E-2</v>
      </c>
      <c r="AP294" s="255"/>
      <c r="AQ294" s="255"/>
      <c r="AR294" s="245">
        <f>AO294</f>
        <v>4.2500000000000003E-2</v>
      </c>
      <c r="AS294" s="255"/>
      <c r="AT294" s="255"/>
      <c r="AU294" s="245">
        <f>AR294</f>
        <v>4.2500000000000003E-2</v>
      </c>
      <c r="AV294" s="255"/>
      <c r="AW294" s="255"/>
      <c r="AX294" s="245">
        <f>AU294</f>
        <v>4.2500000000000003E-2</v>
      </c>
      <c r="AY294" s="255"/>
      <c r="AZ294" s="255"/>
      <c r="BA294" s="245">
        <f>AX294</f>
        <v>4.2500000000000003E-2</v>
      </c>
      <c r="BB294" s="255"/>
      <c r="BC294" s="255"/>
      <c r="BD294" s="245">
        <f>BA294</f>
        <v>4.2500000000000003E-2</v>
      </c>
      <c r="BE294" s="255"/>
      <c r="BF294" s="255"/>
      <c r="BG294" s="245">
        <f>BD294</f>
        <v>4.2500000000000003E-2</v>
      </c>
      <c r="BH294" s="247"/>
      <c r="BJ294"/>
      <c r="BK294"/>
      <c r="BL294"/>
      <c r="BM294"/>
      <c r="BN294"/>
      <c r="BO294"/>
    </row>
    <row r="295" spans="1:67" s="61" customFormat="1">
      <c r="A295" s="71" t="s">
        <v>365</v>
      </c>
      <c r="B295" s="88"/>
      <c r="C295" s="53"/>
      <c r="D295" s="53"/>
      <c r="E295" s="257"/>
      <c r="F295" s="258"/>
      <c r="G295" s="258"/>
      <c r="H295" s="257"/>
      <c r="I295" s="258"/>
      <c r="J295" s="258"/>
      <c r="K295" s="257"/>
      <c r="L295" s="258"/>
      <c r="M295" s="258"/>
      <c r="N295" s="257"/>
      <c r="O295" s="258"/>
      <c r="P295" s="258"/>
      <c r="Q295" s="257"/>
      <c r="R295" s="258"/>
      <c r="S295" s="258"/>
      <c r="T295" s="257"/>
      <c r="U295" s="258"/>
      <c r="V295" s="258"/>
      <c r="W295" s="257"/>
      <c r="X295" s="258"/>
      <c r="Y295" s="258"/>
      <c r="Z295" s="257"/>
      <c r="AA295" s="258"/>
      <c r="AB295" s="258"/>
      <c r="AC295" s="257"/>
      <c r="AD295" s="258"/>
      <c r="AE295" s="258"/>
      <c r="AF295" s="257"/>
      <c r="AG295" s="258"/>
      <c r="AH295" s="258"/>
      <c r="AI295" s="257"/>
      <c r="AJ295" s="258"/>
      <c r="AK295" s="258"/>
      <c r="AL295" s="257"/>
      <c r="AM295" s="258"/>
      <c r="AN295" s="258"/>
      <c r="AO295" s="257"/>
      <c r="AP295" s="258"/>
      <c r="AQ295" s="258"/>
      <c r="AR295" s="257"/>
      <c r="AS295" s="258"/>
      <c r="AT295" s="258"/>
      <c r="AU295" s="257"/>
      <c r="AV295" s="258"/>
      <c r="AW295" s="258"/>
      <c r="AX295" s="257"/>
      <c r="AY295" s="258"/>
      <c r="AZ295" s="258"/>
      <c r="BA295" s="257"/>
      <c r="BB295" s="258"/>
      <c r="BC295" s="258"/>
      <c r="BD295" s="257"/>
      <c r="BE295" s="258"/>
      <c r="BF295" s="258"/>
      <c r="BG295" s="257"/>
      <c r="BH295" s="258"/>
      <c r="BJ295"/>
      <c r="BK295"/>
      <c r="BL295"/>
      <c r="BM295"/>
      <c r="BN295"/>
      <c r="BO295"/>
    </row>
    <row r="296" spans="1:67" s="61" customFormat="1">
      <c r="A296" s="71" t="s">
        <v>366</v>
      </c>
      <c r="B296" s="88"/>
      <c r="C296" s="53"/>
      <c r="D296" s="53"/>
      <c r="E296" s="259">
        <v>0.05</v>
      </c>
      <c r="F296" s="260">
        <v>0.05</v>
      </c>
      <c r="G296" s="260">
        <v>0.05</v>
      </c>
      <c r="H296" s="259">
        <v>0.05</v>
      </c>
      <c r="I296" s="260">
        <v>0.05</v>
      </c>
      <c r="J296" s="260">
        <v>0.05</v>
      </c>
      <c r="K296" s="259">
        <v>0.05</v>
      </c>
      <c r="L296" s="260">
        <v>0.05</v>
      </c>
      <c r="M296" s="260">
        <v>0.05</v>
      </c>
      <c r="N296" s="259">
        <v>0.05</v>
      </c>
      <c r="O296" s="260">
        <v>0.05</v>
      </c>
      <c r="P296" s="260">
        <v>0.05</v>
      </c>
      <c r="Q296" s="259">
        <v>0.05</v>
      </c>
      <c r="R296" s="260">
        <v>0.05</v>
      </c>
      <c r="S296" s="260">
        <v>0.05</v>
      </c>
      <c r="T296" s="259">
        <v>0.05</v>
      </c>
      <c r="U296" s="260">
        <v>0.05</v>
      </c>
      <c r="V296" s="260">
        <v>0.05</v>
      </c>
      <c r="W296" s="259">
        <v>0.05</v>
      </c>
      <c r="X296" s="260">
        <v>0.05</v>
      </c>
      <c r="Y296" s="260">
        <v>0.05</v>
      </c>
      <c r="Z296" s="259">
        <v>0.05</v>
      </c>
      <c r="AA296" s="260">
        <v>0.05</v>
      </c>
      <c r="AB296" s="260">
        <v>0.05</v>
      </c>
      <c r="AC296" s="259">
        <v>0.05</v>
      </c>
      <c r="AD296" s="260">
        <v>0.05</v>
      </c>
      <c r="AE296" s="260">
        <v>0.05</v>
      </c>
      <c r="AF296" s="259">
        <v>0.05</v>
      </c>
      <c r="AG296" s="260">
        <v>0.05</v>
      </c>
      <c r="AH296" s="260">
        <v>0.05</v>
      </c>
      <c r="AI296" s="259">
        <v>0.05</v>
      </c>
      <c r="AJ296" s="260">
        <v>0.05</v>
      </c>
      <c r="AK296" s="260">
        <v>0.05</v>
      </c>
      <c r="AL296" s="259">
        <v>0.05</v>
      </c>
      <c r="AM296" s="260">
        <v>0.05</v>
      </c>
      <c r="AN296" s="260">
        <v>0.05</v>
      </c>
      <c r="AO296" s="259">
        <v>0.05</v>
      </c>
      <c r="AP296" s="260">
        <v>0.05</v>
      </c>
      <c r="AQ296" s="260">
        <v>0.05</v>
      </c>
      <c r="AR296" s="259">
        <v>0.05</v>
      </c>
      <c r="AS296" s="260">
        <v>0.05</v>
      </c>
      <c r="AT296" s="260">
        <v>0.05</v>
      </c>
      <c r="AU296" s="259">
        <v>0.05</v>
      </c>
      <c r="AV296" s="260">
        <v>0.05</v>
      </c>
      <c r="AW296" s="260">
        <v>0.05</v>
      </c>
      <c r="AX296" s="259">
        <v>0.05</v>
      </c>
      <c r="AY296" s="260">
        <v>0.05</v>
      </c>
      <c r="AZ296" s="260">
        <v>0.05</v>
      </c>
      <c r="BA296" s="259">
        <v>0.05</v>
      </c>
      <c r="BB296" s="260">
        <v>0.05</v>
      </c>
      <c r="BC296" s="260">
        <v>0.05</v>
      </c>
      <c r="BD296" s="259">
        <v>0.05</v>
      </c>
      <c r="BE296" s="260">
        <v>0.05</v>
      </c>
      <c r="BF296" s="260">
        <v>0.05</v>
      </c>
      <c r="BG296" s="259">
        <v>0.05</v>
      </c>
      <c r="BH296" s="260"/>
      <c r="BJ296"/>
      <c r="BK296"/>
      <c r="BL296"/>
      <c r="BM296"/>
      <c r="BN296"/>
      <c r="BO296"/>
    </row>
    <row r="297" spans="1:67" s="265" customFormat="1">
      <c r="A297" s="261" t="s">
        <v>367</v>
      </c>
      <c r="B297" s="262"/>
      <c r="C297" s="262"/>
      <c r="D297" s="263" t="str">
        <f t="shared" ref="D297:BG297" si="753">+D4</f>
        <v>Base</v>
      </c>
      <c r="E297" s="264" t="str">
        <f t="shared" si="753"/>
        <v>2017</v>
      </c>
      <c r="F297" s="263" t="str">
        <f t="shared" si="753"/>
        <v>1H18</v>
      </c>
      <c r="G297" s="263" t="str">
        <f t="shared" si="753"/>
        <v>2H18</v>
      </c>
      <c r="H297" s="264" t="str">
        <f t="shared" si="753"/>
        <v>2018</v>
      </c>
      <c r="I297" s="263" t="str">
        <f t="shared" si="753"/>
        <v>1H19</v>
      </c>
      <c r="J297" s="263" t="str">
        <f t="shared" si="753"/>
        <v>2H19</v>
      </c>
      <c r="K297" s="264" t="str">
        <f t="shared" si="753"/>
        <v>2019</v>
      </c>
      <c r="L297" s="263" t="str">
        <f t="shared" si="753"/>
        <v>1H20</v>
      </c>
      <c r="M297" s="263" t="str">
        <f t="shared" si="753"/>
        <v>2H20E</v>
      </c>
      <c r="N297" s="264" t="str">
        <f t="shared" si="753"/>
        <v>2020E</v>
      </c>
      <c r="O297" s="263" t="str">
        <f t="shared" si="753"/>
        <v>1H21</v>
      </c>
      <c r="P297" s="263" t="str">
        <f t="shared" si="753"/>
        <v>2H21</v>
      </c>
      <c r="Q297" s="264" t="str">
        <f t="shared" si="753"/>
        <v>2021</v>
      </c>
      <c r="R297" s="263" t="str">
        <f t="shared" si="753"/>
        <v>1H22</v>
      </c>
      <c r="S297" s="263" t="str">
        <f t="shared" si="753"/>
        <v>2H22</v>
      </c>
      <c r="T297" s="264" t="str">
        <f t="shared" si="753"/>
        <v>2022</v>
      </c>
      <c r="U297" s="263" t="str">
        <f t="shared" si="753"/>
        <v>1H23</v>
      </c>
      <c r="V297" s="263" t="str">
        <f t="shared" si="753"/>
        <v>2H23</v>
      </c>
      <c r="W297" s="264" t="str">
        <f t="shared" si="753"/>
        <v>2023</v>
      </c>
      <c r="X297" s="263" t="str">
        <f t="shared" si="753"/>
        <v>1H24</v>
      </c>
      <c r="Y297" s="263" t="str">
        <f t="shared" si="753"/>
        <v>2H24</v>
      </c>
      <c r="Z297" s="264" t="str">
        <f t="shared" si="753"/>
        <v>2024</v>
      </c>
      <c r="AA297" s="263" t="str">
        <f t="shared" si="753"/>
        <v>1H25</v>
      </c>
      <c r="AB297" s="263" t="str">
        <f t="shared" si="753"/>
        <v>2H25E</v>
      </c>
      <c r="AC297" s="264" t="str">
        <f t="shared" si="753"/>
        <v>2025E</v>
      </c>
      <c r="AD297" s="263" t="str">
        <f t="shared" si="753"/>
        <v>1H26E</v>
      </c>
      <c r="AE297" s="263" t="str">
        <f t="shared" si="753"/>
        <v>2H26E</v>
      </c>
      <c r="AF297" s="264" t="str">
        <f t="shared" si="753"/>
        <v>2026E</v>
      </c>
      <c r="AG297" s="263" t="str">
        <f t="shared" si="753"/>
        <v>1H27E</v>
      </c>
      <c r="AH297" s="263" t="str">
        <f t="shared" si="753"/>
        <v>2H27E</v>
      </c>
      <c r="AI297" s="264" t="str">
        <f t="shared" si="753"/>
        <v>2027E</v>
      </c>
      <c r="AJ297" s="263" t="str">
        <f t="shared" si="753"/>
        <v>1H28E</v>
      </c>
      <c r="AK297" s="263" t="str">
        <f t="shared" si="753"/>
        <v>2H28E</v>
      </c>
      <c r="AL297" s="264" t="str">
        <f t="shared" si="753"/>
        <v>2028E</v>
      </c>
      <c r="AM297" s="263" t="str">
        <f t="shared" si="753"/>
        <v>1H29E</v>
      </c>
      <c r="AN297" s="263" t="str">
        <f t="shared" si="753"/>
        <v>2H29E</v>
      </c>
      <c r="AO297" s="264" t="str">
        <f t="shared" si="753"/>
        <v>2029E</v>
      </c>
      <c r="AP297" s="263" t="str">
        <f t="shared" si="753"/>
        <v>1H30E</v>
      </c>
      <c r="AQ297" s="263" t="str">
        <f t="shared" si="753"/>
        <v>2H30E</v>
      </c>
      <c r="AR297" s="264" t="str">
        <f t="shared" si="753"/>
        <v>2030E</v>
      </c>
      <c r="AS297" s="263" t="str">
        <f t="shared" si="753"/>
        <v>1H31E</v>
      </c>
      <c r="AT297" s="263" t="str">
        <f t="shared" si="753"/>
        <v>2H31E</v>
      </c>
      <c r="AU297" s="264" t="str">
        <f t="shared" si="753"/>
        <v>2031E</v>
      </c>
      <c r="AV297" s="263" t="str">
        <f t="shared" si="753"/>
        <v>1H32E</v>
      </c>
      <c r="AW297" s="263" t="str">
        <f t="shared" si="753"/>
        <v>2H32E</v>
      </c>
      <c r="AX297" s="264" t="str">
        <f t="shared" si="753"/>
        <v>2032E</v>
      </c>
      <c r="AY297" s="263" t="str">
        <f t="shared" si="753"/>
        <v>1H33E</v>
      </c>
      <c r="AZ297" s="263" t="str">
        <f t="shared" si="753"/>
        <v>2H33E</v>
      </c>
      <c r="BA297" s="264" t="str">
        <f t="shared" si="753"/>
        <v>2033E</v>
      </c>
      <c r="BB297" s="263" t="str">
        <f t="shared" si="753"/>
        <v>1H34E</v>
      </c>
      <c r="BC297" s="263" t="str">
        <f t="shared" si="753"/>
        <v>2H34E</v>
      </c>
      <c r="BD297" s="264" t="str">
        <f t="shared" si="753"/>
        <v>2034E</v>
      </c>
      <c r="BE297" s="263" t="str">
        <f t="shared" si="753"/>
        <v>1H35E</v>
      </c>
      <c r="BF297" s="263" t="str">
        <f t="shared" si="753"/>
        <v>2H35E</v>
      </c>
      <c r="BG297" s="264" t="str">
        <f t="shared" si="753"/>
        <v>2035E</v>
      </c>
      <c r="BH297" s="263"/>
      <c r="BJ297"/>
      <c r="BK297"/>
      <c r="BL297"/>
      <c r="BM297"/>
      <c r="BN297"/>
      <c r="BO297"/>
    </row>
    <row r="298" spans="1:67" s="61" customFormat="1">
      <c r="A298" s="240"/>
      <c r="B298" s="244"/>
      <c r="C298" s="240"/>
      <c r="D298" s="240"/>
      <c r="E298" s="266"/>
      <c r="F298" s="267"/>
      <c r="G298" s="267"/>
      <c r="H298" s="266"/>
      <c r="I298" s="267"/>
      <c r="J298" s="267"/>
      <c r="K298" s="266"/>
      <c r="L298" s="268"/>
      <c r="M298" s="268"/>
      <c r="N298" s="266"/>
      <c r="O298" s="268"/>
      <c r="P298" s="268"/>
      <c r="Q298" s="266"/>
      <c r="R298" s="268"/>
      <c r="S298" s="267"/>
      <c r="T298" s="266"/>
      <c r="U298" s="267"/>
      <c r="V298" s="267"/>
      <c r="W298" s="266"/>
      <c r="X298" s="267"/>
      <c r="Y298" s="267"/>
      <c r="Z298" s="266"/>
      <c r="AA298" s="267"/>
      <c r="AB298" s="267"/>
      <c r="AC298" s="266"/>
      <c r="AD298" s="267"/>
      <c r="AE298" s="267"/>
      <c r="AF298" s="266"/>
      <c r="AG298" s="267"/>
      <c r="AH298" s="267"/>
      <c r="AI298" s="266"/>
      <c r="AJ298" s="267"/>
      <c r="AK298" s="267"/>
      <c r="AL298" s="266"/>
      <c r="AM298" s="267"/>
      <c r="AN298" s="267"/>
      <c r="AO298" s="266"/>
      <c r="AP298" s="267"/>
      <c r="AQ298" s="267"/>
      <c r="AR298" s="266"/>
      <c r="AS298" s="267"/>
      <c r="AT298" s="267"/>
      <c r="AU298" s="266"/>
      <c r="AV298" s="267"/>
      <c r="AW298" s="267"/>
      <c r="AX298" s="266"/>
      <c r="AY298" s="267"/>
      <c r="AZ298" s="267"/>
      <c r="BA298" s="266"/>
      <c r="BB298" s="267"/>
      <c r="BC298" s="267"/>
      <c r="BD298" s="266"/>
      <c r="BE298" s="267"/>
      <c r="BF298" s="267"/>
      <c r="BG298" s="266"/>
      <c r="BH298" s="268"/>
      <c r="BJ298"/>
      <c r="BK298"/>
      <c r="BL298"/>
      <c r="BM298"/>
      <c r="BN298"/>
      <c r="BO298"/>
    </row>
    <row r="299" spans="1:67" s="106" customFormat="1">
      <c r="A299" s="269"/>
      <c r="B299" s="269"/>
      <c r="C299" s="269"/>
      <c r="D299" s="269"/>
      <c r="E299" s="270"/>
      <c r="F299" s="271"/>
      <c r="G299" s="271"/>
      <c r="H299" s="270"/>
      <c r="I299" s="271"/>
      <c r="J299" s="271"/>
      <c r="K299" s="270"/>
      <c r="L299" s="271"/>
      <c r="M299" s="271"/>
      <c r="N299" s="270"/>
      <c r="O299" s="271"/>
      <c r="P299" s="271"/>
      <c r="Q299" s="270"/>
      <c r="R299" s="271"/>
      <c r="S299" s="271"/>
      <c r="T299" s="270"/>
      <c r="U299" s="271"/>
      <c r="V299" s="271"/>
      <c r="W299" s="270"/>
      <c r="X299" s="271"/>
      <c r="Y299" s="271"/>
      <c r="Z299" s="270"/>
      <c r="AA299" s="271"/>
      <c r="AB299" s="271"/>
      <c r="AC299" s="270"/>
      <c r="AD299" s="271"/>
      <c r="AE299" s="271"/>
      <c r="AF299" s="270"/>
      <c r="AG299" s="271"/>
      <c r="AH299" s="271"/>
      <c r="AI299" s="270"/>
      <c r="AJ299" s="271"/>
      <c r="AK299" s="271"/>
      <c r="AL299" s="270"/>
      <c r="AM299" s="271"/>
      <c r="AN299" s="271"/>
      <c r="AO299" s="270"/>
      <c r="AP299" s="271"/>
      <c r="AQ299" s="271"/>
      <c r="AR299" s="270"/>
      <c r="AS299" s="271"/>
      <c r="AT299" s="271"/>
      <c r="AU299" s="270"/>
      <c r="AV299" s="271"/>
      <c r="AW299" s="271"/>
      <c r="AX299" s="270"/>
      <c r="AY299" s="271"/>
      <c r="AZ299" s="271"/>
      <c r="BA299" s="270"/>
      <c r="BB299" s="271"/>
      <c r="BC299" s="271"/>
      <c r="BD299" s="270"/>
      <c r="BE299" s="271"/>
      <c r="BF299" s="271"/>
      <c r="BG299" s="270"/>
      <c r="BH299" s="271"/>
      <c r="BJ299"/>
      <c r="BK299"/>
      <c r="BL299"/>
      <c r="BM299"/>
      <c r="BN299"/>
      <c r="BO299"/>
    </row>
    <row r="300" spans="1:67" s="106" customFormat="1">
      <c r="A300" s="269"/>
      <c r="B300" s="269"/>
      <c r="C300" s="269"/>
      <c r="D300" s="269"/>
      <c r="E300" s="272"/>
      <c r="F300" s="269"/>
      <c r="G300" s="269"/>
      <c r="H300" s="272"/>
      <c r="I300" s="269"/>
      <c r="J300" s="269"/>
      <c r="K300" s="272"/>
      <c r="L300" s="269"/>
      <c r="M300" s="269"/>
      <c r="N300" s="272"/>
      <c r="O300" s="269"/>
      <c r="P300" s="269"/>
      <c r="Q300" s="272"/>
      <c r="R300" s="269"/>
      <c r="S300" s="269"/>
      <c r="T300" s="272"/>
      <c r="U300" s="269"/>
      <c r="V300" s="269"/>
      <c r="W300" s="272"/>
      <c r="X300" s="269"/>
      <c r="Y300" s="269"/>
      <c r="Z300" s="272"/>
      <c r="AA300" s="269"/>
      <c r="AB300" s="269"/>
      <c r="AC300" s="272"/>
      <c r="AD300" s="269"/>
      <c r="AE300" s="269"/>
      <c r="AF300" s="272"/>
      <c r="AG300" s="269"/>
      <c r="AH300" s="269"/>
      <c r="AI300" s="272"/>
      <c r="AJ300" s="269"/>
      <c r="AK300" s="269"/>
      <c r="AL300" s="272"/>
      <c r="AM300" s="269"/>
      <c r="AN300" s="269"/>
      <c r="AO300" s="272"/>
      <c r="AP300" s="269"/>
      <c r="AQ300" s="269"/>
      <c r="AR300" s="272"/>
      <c r="AS300" s="269"/>
      <c r="AT300" s="269"/>
      <c r="AU300" s="272"/>
      <c r="AV300" s="269"/>
      <c r="AW300" s="269"/>
      <c r="AX300" s="272"/>
      <c r="AY300" s="269"/>
      <c r="AZ300" s="269"/>
      <c r="BA300" s="272"/>
      <c r="BB300" s="269"/>
      <c r="BC300" s="269"/>
      <c r="BD300" s="272"/>
      <c r="BE300" s="269"/>
      <c r="BF300" s="269"/>
      <c r="BG300" s="272"/>
      <c r="BH300" s="269"/>
      <c r="BJ300"/>
      <c r="BK300"/>
      <c r="BL300"/>
      <c r="BM300"/>
      <c r="BN300"/>
      <c r="BO300"/>
    </row>
    <row r="301" spans="1:67" s="106" customFormat="1">
      <c r="A301" s="269"/>
      <c r="B301" s="273" t="s">
        <v>368</v>
      </c>
      <c r="C301" s="269"/>
      <c r="D301" s="269"/>
      <c r="E301" s="274">
        <f t="shared" ref="E301:BG301" si="754">E171+E172-E203</f>
        <v>-0.78421199999999991</v>
      </c>
      <c r="F301" s="275">
        <f t="shared" si="754"/>
        <v>1.1012520000000001</v>
      </c>
      <c r="G301" s="275">
        <f t="shared" si="754"/>
        <v>2.185372000000001</v>
      </c>
      <c r="H301" s="274">
        <f t="shared" si="754"/>
        <v>2.185372000000001</v>
      </c>
      <c r="I301" s="275">
        <f t="shared" si="754"/>
        <v>11.054376999999999</v>
      </c>
      <c r="J301" s="275">
        <f t="shared" si="754"/>
        <v>3.3949999999999996</v>
      </c>
      <c r="K301" s="274">
        <f t="shared" si="754"/>
        <v>3.3949999999999996</v>
      </c>
      <c r="L301" s="275">
        <f t="shared" si="754"/>
        <v>12.704000000000001</v>
      </c>
      <c r="M301" s="275">
        <f t="shared" si="754"/>
        <v>2.1400000000000006</v>
      </c>
      <c r="N301" s="274">
        <f t="shared" si="754"/>
        <v>2.1400000000000006</v>
      </c>
      <c r="O301" s="275">
        <f t="shared" si="754"/>
        <v>6.9479999999999986</v>
      </c>
      <c r="P301" s="275">
        <f t="shared" si="754"/>
        <v>3.8340000000000032</v>
      </c>
      <c r="Q301" s="274">
        <f t="shared" si="754"/>
        <v>3.8340000000000032</v>
      </c>
      <c r="R301" s="275">
        <f t="shared" si="754"/>
        <v>3.2860000000000014</v>
      </c>
      <c r="S301" s="275">
        <f t="shared" si="754"/>
        <v>-1.6880000000000024</v>
      </c>
      <c r="T301" s="274">
        <f t="shared" si="754"/>
        <v>-1.6880000000000024</v>
      </c>
      <c r="U301" s="275">
        <f t="shared" si="754"/>
        <v>14.646999999999998</v>
      </c>
      <c r="V301" s="275">
        <f t="shared" si="754"/>
        <v>2.4449999999999932</v>
      </c>
      <c r="W301" s="274">
        <f t="shared" si="754"/>
        <v>2.4449999999999932</v>
      </c>
      <c r="X301" s="275">
        <f t="shared" si="754"/>
        <v>-6.3159837115983279</v>
      </c>
      <c r="Y301" s="275">
        <f t="shared" si="754"/>
        <v>23.757999999999996</v>
      </c>
      <c r="Z301" s="274">
        <f t="shared" si="754"/>
        <v>23.757999999999996</v>
      </c>
      <c r="AA301" s="275">
        <f t="shared" si="754"/>
        <v>25.294999999999987</v>
      </c>
      <c r="AB301" s="275">
        <f t="shared" si="754"/>
        <v>28.154032232843946</v>
      </c>
      <c r="AC301" s="274">
        <f t="shared" si="754"/>
        <v>28.154032232843946</v>
      </c>
      <c r="AD301" s="275">
        <f t="shared" si="754"/>
        <v>31.021822738945957</v>
      </c>
      <c r="AE301" s="275">
        <f t="shared" si="754"/>
        <v>31.764982491838765</v>
      </c>
      <c r="AF301" s="274">
        <f t="shared" si="754"/>
        <v>31.764982491838765</v>
      </c>
      <c r="AG301" s="275">
        <f t="shared" si="754"/>
        <v>35.304976954192796</v>
      </c>
      <c r="AH301" s="275">
        <f t="shared" si="754"/>
        <v>35.857306080808968</v>
      </c>
      <c r="AI301" s="274">
        <f t="shared" si="754"/>
        <v>35.857306080808968</v>
      </c>
      <c r="AJ301" s="275">
        <f t="shared" si="754"/>
        <v>39.918296837447826</v>
      </c>
      <c r="AK301" s="275">
        <f t="shared" si="754"/>
        <v>40.555584788722314</v>
      </c>
      <c r="AL301" s="274">
        <f t="shared" si="754"/>
        <v>40.555584788722314</v>
      </c>
      <c r="AM301" s="275">
        <f t="shared" si="754"/>
        <v>51.570295165438097</v>
      </c>
      <c r="AN301" s="275">
        <f t="shared" si="754"/>
        <v>52.435650759171551</v>
      </c>
      <c r="AO301" s="274">
        <f t="shared" si="754"/>
        <v>52.435650759171551</v>
      </c>
      <c r="AP301" s="275">
        <f t="shared" si="754"/>
        <v>60.262682148208114</v>
      </c>
      <c r="AQ301" s="275">
        <f t="shared" si="754"/>
        <v>62.353523740472326</v>
      </c>
      <c r="AR301" s="274">
        <f t="shared" si="754"/>
        <v>62.353523740472326</v>
      </c>
      <c r="AS301" s="275">
        <f t="shared" si="754"/>
        <v>69.316818243516707</v>
      </c>
      <c r="AT301" s="275">
        <f t="shared" si="754"/>
        <v>71.760316966598168</v>
      </c>
      <c r="AU301" s="274">
        <f t="shared" si="754"/>
        <v>71.760316966598168</v>
      </c>
      <c r="AV301" s="275">
        <f t="shared" si="754"/>
        <v>78.578163306438967</v>
      </c>
      <c r="AW301" s="275">
        <f t="shared" si="754"/>
        <v>81.375816660512328</v>
      </c>
      <c r="AX301" s="274">
        <f t="shared" si="754"/>
        <v>81.375816660512328</v>
      </c>
      <c r="AY301" s="275">
        <f t="shared" si="754"/>
        <v>87.541260550580148</v>
      </c>
      <c r="AZ301" s="275">
        <f t="shared" si="754"/>
        <v>90.725935276093878</v>
      </c>
      <c r="BA301" s="274">
        <f t="shared" si="754"/>
        <v>90.725935276093878</v>
      </c>
      <c r="BB301" s="275">
        <f t="shared" si="754"/>
        <v>96.425792452227654</v>
      </c>
      <c r="BC301" s="275">
        <f t="shared" si="754"/>
        <v>99.956151202252101</v>
      </c>
      <c r="BD301" s="274">
        <f t="shared" si="754"/>
        <v>99.956151202252101</v>
      </c>
      <c r="BE301" s="275">
        <f t="shared" si="754"/>
        <v>104.63431311777754</v>
      </c>
      <c r="BF301" s="275">
        <f t="shared" si="754"/>
        <v>108.48081858847911</v>
      </c>
      <c r="BG301" s="274">
        <f t="shared" si="754"/>
        <v>108.48081858847911</v>
      </c>
      <c r="BH301" s="275"/>
      <c r="BJ301"/>
      <c r="BK301"/>
      <c r="BL301"/>
      <c r="BM301"/>
      <c r="BN301"/>
      <c r="BO301"/>
    </row>
    <row r="302" spans="1:67" s="106" customFormat="1">
      <c r="A302" s="269"/>
      <c r="B302" s="269"/>
      <c r="C302" s="269"/>
      <c r="D302" s="269"/>
      <c r="E302" s="276"/>
      <c r="F302" s="277"/>
      <c r="G302" s="277"/>
      <c r="H302" s="276"/>
      <c r="I302" s="277"/>
      <c r="J302" s="277"/>
      <c r="K302" s="276"/>
      <c r="L302" s="277"/>
      <c r="M302" s="277"/>
      <c r="N302" s="276"/>
      <c r="O302" s="277"/>
      <c r="P302" s="277"/>
      <c r="Q302" s="276"/>
      <c r="R302" s="277"/>
      <c r="S302" s="277"/>
      <c r="T302" s="276"/>
      <c r="U302" s="277"/>
      <c r="V302" s="277"/>
      <c r="W302" s="276"/>
      <c r="X302" s="277"/>
      <c r="Y302" s="277"/>
      <c r="Z302" s="276"/>
      <c r="AA302" s="277"/>
      <c r="AB302" s="277"/>
      <c r="AC302" s="276"/>
      <c r="AD302" s="277"/>
      <c r="AE302" s="277"/>
      <c r="AF302" s="276"/>
      <c r="AG302" s="277"/>
      <c r="AH302" s="277"/>
      <c r="AI302" s="276"/>
      <c r="AJ302" s="277"/>
      <c r="AK302" s="277"/>
      <c r="AL302" s="276"/>
      <c r="AM302" s="277"/>
      <c r="AN302" s="277"/>
      <c r="AO302" s="276"/>
      <c r="AP302" s="277"/>
      <c r="AQ302" s="277"/>
      <c r="AR302" s="276"/>
      <c r="AS302" s="277"/>
      <c r="AT302" s="277"/>
      <c r="AU302" s="276"/>
      <c r="AV302" s="277"/>
      <c r="AW302" s="277"/>
      <c r="AX302" s="276"/>
      <c r="AY302" s="277"/>
      <c r="AZ302" s="277"/>
      <c r="BA302" s="276"/>
      <c r="BB302" s="277"/>
      <c r="BC302" s="277"/>
      <c r="BD302" s="276"/>
      <c r="BE302" s="277"/>
      <c r="BF302" s="277"/>
      <c r="BG302" s="276"/>
      <c r="BH302" s="277"/>
      <c r="BJ302"/>
      <c r="BK302"/>
      <c r="BL302"/>
      <c r="BM302"/>
      <c r="BN302"/>
      <c r="BO302"/>
    </row>
    <row r="303" spans="1:67" s="61" customFormat="1">
      <c r="A303" s="240"/>
      <c r="B303" s="240" t="s">
        <v>369</v>
      </c>
      <c r="C303" s="240"/>
      <c r="D303" s="240"/>
      <c r="E303" s="276"/>
      <c r="F303" s="277"/>
      <c r="G303" s="277"/>
      <c r="H303" s="276"/>
      <c r="I303" s="277"/>
      <c r="J303" s="277"/>
      <c r="K303" s="276"/>
      <c r="L303" s="277"/>
      <c r="M303" s="277"/>
      <c r="N303" s="276"/>
      <c r="O303" s="277"/>
      <c r="P303" s="277"/>
      <c r="Q303" s="276"/>
      <c r="R303" s="277"/>
      <c r="S303" s="277"/>
      <c r="T303" s="276"/>
      <c r="U303" s="277"/>
      <c r="V303" s="277"/>
      <c r="W303" s="276"/>
      <c r="X303" s="277"/>
      <c r="Y303" s="277"/>
      <c r="Z303" s="276"/>
      <c r="AA303" s="277"/>
      <c r="AB303" s="277"/>
      <c r="AC303" s="276"/>
      <c r="AD303" s="277"/>
      <c r="AE303" s="277"/>
      <c r="AF303" s="276"/>
      <c r="AG303" s="277"/>
      <c r="AH303" s="277"/>
      <c r="AI303" s="276"/>
      <c r="AJ303" s="277"/>
      <c r="AK303" s="277"/>
      <c r="AL303" s="276"/>
      <c r="AM303" s="277"/>
      <c r="AN303" s="277"/>
      <c r="AO303" s="276"/>
      <c r="AP303" s="277"/>
      <c r="AQ303" s="277"/>
      <c r="AR303" s="276"/>
      <c r="AS303" s="277"/>
      <c r="AT303" s="277"/>
      <c r="AU303" s="276"/>
      <c r="AV303" s="277"/>
      <c r="AW303" s="277"/>
      <c r="AX303" s="276"/>
      <c r="AY303" s="277"/>
      <c r="AZ303" s="277"/>
      <c r="BA303" s="276"/>
      <c r="BB303" s="277"/>
      <c r="BC303" s="277"/>
      <c r="BD303" s="276"/>
      <c r="BE303" s="277"/>
      <c r="BF303" s="277"/>
      <c r="BG303" s="276"/>
      <c r="BH303" s="277"/>
      <c r="BJ303"/>
      <c r="BK303"/>
      <c r="BL303"/>
      <c r="BM303"/>
      <c r="BN303"/>
      <c r="BO303"/>
    </row>
    <row r="304" spans="1:67" s="61" customFormat="1">
      <c r="A304" s="240"/>
      <c r="B304" s="240" t="s">
        <v>202</v>
      </c>
      <c r="C304" s="240"/>
      <c r="D304" s="240"/>
      <c r="E304" s="266">
        <f t="shared" ref="E304:BG304" si="755">E56</f>
        <v>6.5155380000000003</v>
      </c>
      <c r="F304" s="268">
        <f t="shared" si="755"/>
        <v>-10.457007000000001</v>
      </c>
      <c r="G304" s="268">
        <f t="shared" si="755"/>
        <v>-17.189993000000001</v>
      </c>
      <c r="H304" s="266">
        <f t="shared" si="755"/>
        <v>-27.647000000000002</v>
      </c>
      <c r="I304" s="268">
        <f t="shared" si="755"/>
        <v>-16.184744999999999</v>
      </c>
      <c r="J304" s="268">
        <f t="shared" si="755"/>
        <v>-24.072254999999998</v>
      </c>
      <c r="K304" s="266">
        <f t="shared" si="755"/>
        <v>-40.256999999999998</v>
      </c>
      <c r="L304" s="268">
        <f t="shared" si="755"/>
        <v>-20.109000000000002</v>
      </c>
      <c r="M304" s="268">
        <f t="shared" si="755"/>
        <v>-29.143999999999998</v>
      </c>
      <c r="N304" s="266">
        <f t="shared" si="755"/>
        <v>-49.253</v>
      </c>
      <c r="O304" s="268">
        <f t="shared" si="755"/>
        <v>-31.331</v>
      </c>
      <c r="P304" s="268">
        <f t="shared" si="755"/>
        <v>-49.915999999999983</v>
      </c>
      <c r="Q304" s="266">
        <f t="shared" si="755"/>
        <v>-81.246999999999986</v>
      </c>
      <c r="R304" s="268">
        <f t="shared" si="755"/>
        <v>-61.388000000000012</v>
      </c>
      <c r="S304" s="268">
        <f t="shared" si="755"/>
        <v>-7.6939999999999955</v>
      </c>
      <c r="T304" s="266">
        <f t="shared" si="755"/>
        <v>-69.082000000000008</v>
      </c>
      <c r="U304" s="268">
        <f t="shared" si="755"/>
        <v>22.536000000000023</v>
      </c>
      <c r="V304" s="268">
        <f t="shared" si="755"/>
        <v>14.803749999999923</v>
      </c>
      <c r="W304" s="266">
        <f t="shared" si="755"/>
        <v>37.339749999999945</v>
      </c>
      <c r="X304" s="268">
        <f t="shared" si="755"/>
        <v>35.966549999999998</v>
      </c>
      <c r="Y304" s="268">
        <f t="shared" si="755"/>
        <v>29.013700000000085</v>
      </c>
      <c r="Z304" s="266">
        <f t="shared" si="755"/>
        <v>64.980250000000083</v>
      </c>
      <c r="AA304" s="268">
        <f t="shared" si="755"/>
        <v>16.766750000000062</v>
      </c>
      <c r="AB304" s="268">
        <f t="shared" si="755"/>
        <v>18.357490352876237</v>
      </c>
      <c r="AC304" s="266">
        <f t="shared" si="755"/>
        <v>35.124240352876299</v>
      </c>
      <c r="AD304" s="268">
        <f t="shared" si="755"/>
        <v>21.784378913278456</v>
      </c>
      <c r="AE304" s="268">
        <f t="shared" si="755"/>
        <v>23.287988226240973</v>
      </c>
      <c r="AF304" s="266">
        <f t="shared" si="755"/>
        <v>45.072367139519429</v>
      </c>
      <c r="AG304" s="268">
        <f t="shared" si="755"/>
        <v>30.424239187941044</v>
      </c>
      <c r="AH304" s="268">
        <f t="shared" si="755"/>
        <v>32.933391505997619</v>
      </c>
      <c r="AI304" s="266">
        <f t="shared" si="755"/>
        <v>63.35763069393866</v>
      </c>
      <c r="AJ304" s="268">
        <f t="shared" si="755"/>
        <v>52.141653217339076</v>
      </c>
      <c r="AK304" s="268">
        <f t="shared" si="755"/>
        <v>55.619424624002527</v>
      </c>
      <c r="AL304" s="266">
        <f t="shared" si="755"/>
        <v>107.7610778413416</v>
      </c>
      <c r="AM304" s="268">
        <f t="shared" si="755"/>
        <v>96.868231819256209</v>
      </c>
      <c r="AN304" s="268">
        <f t="shared" si="755"/>
        <v>102.21776044169829</v>
      </c>
      <c r="AO304" s="266">
        <f t="shared" si="755"/>
        <v>199.0859922609545</v>
      </c>
      <c r="AP304" s="268">
        <f t="shared" si="755"/>
        <v>143.05597049184669</v>
      </c>
      <c r="AQ304" s="268">
        <f t="shared" si="755"/>
        <v>157.39107255226006</v>
      </c>
      <c r="AR304" s="266">
        <f t="shared" si="755"/>
        <v>300.44704304410675</v>
      </c>
      <c r="AS304" s="268">
        <f t="shared" si="755"/>
        <v>189.10961054962667</v>
      </c>
      <c r="AT304" s="268">
        <f t="shared" si="755"/>
        <v>207.18322863797289</v>
      </c>
      <c r="AU304" s="266">
        <f t="shared" si="755"/>
        <v>396.29283918759955</v>
      </c>
      <c r="AV304" s="268">
        <f t="shared" si="755"/>
        <v>240.63396046433306</v>
      </c>
      <c r="AW304" s="268">
        <f t="shared" si="755"/>
        <v>262.79938361635755</v>
      </c>
      <c r="AX304" s="266">
        <f t="shared" si="755"/>
        <v>503.43334408069063</v>
      </c>
      <c r="AY304" s="268">
        <f t="shared" si="755"/>
        <v>293.85794349281377</v>
      </c>
      <c r="AZ304" s="268">
        <f t="shared" si="755"/>
        <v>320.93982266597209</v>
      </c>
      <c r="BA304" s="266">
        <f t="shared" si="755"/>
        <v>614.79776615878586</v>
      </c>
      <c r="BB304" s="268">
        <f t="shared" si="755"/>
        <v>350.53536265876363</v>
      </c>
      <c r="BC304" s="268">
        <f t="shared" si="755"/>
        <v>382.26387488548943</v>
      </c>
      <c r="BD304" s="266">
        <f t="shared" si="755"/>
        <v>732.79923754425306</v>
      </c>
      <c r="BE304" s="268">
        <f t="shared" si="755"/>
        <v>407.36285158214901</v>
      </c>
      <c r="BF304" s="268">
        <f t="shared" si="755"/>
        <v>443.73302426993166</v>
      </c>
      <c r="BG304" s="266">
        <f t="shared" si="755"/>
        <v>851.09587585208067</v>
      </c>
      <c r="BH304" s="268"/>
      <c r="BJ304"/>
      <c r="BK304"/>
      <c r="BL304"/>
      <c r="BM304"/>
      <c r="BN304"/>
      <c r="BO304"/>
    </row>
    <row r="305" spans="1:67" s="61" customFormat="1">
      <c r="A305" s="240"/>
      <c r="B305" s="240" t="s">
        <v>370</v>
      </c>
      <c r="C305" s="240"/>
      <c r="D305" s="240"/>
      <c r="E305" s="266">
        <f t="shared" ref="E305:BG305" si="756">E77</f>
        <v>0</v>
      </c>
      <c r="F305" s="268">
        <f t="shared" si="756"/>
        <v>0</v>
      </c>
      <c r="G305" s="268">
        <f t="shared" si="756"/>
        <v>-1.8839999999999999</v>
      </c>
      <c r="H305" s="266">
        <f t="shared" si="756"/>
        <v>-1.8839999999999999</v>
      </c>
      <c r="I305" s="268">
        <f t="shared" si="756"/>
        <v>-1.225903</v>
      </c>
      <c r="J305" s="268">
        <f t="shared" si="756"/>
        <v>-2.0290970000000002</v>
      </c>
      <c r="K305" s="266">
        <f t="shared" si="756"/>
        <v>-3.2549999999999999</v>
      </c>
      <c r="L305" s="268">
        <f t="shared" si="756"/>
        <v>-0.94499999999999995</v>
      </c>
      <c r="M305" s="268">
        <f t="shared" si="756"/>
        <v>-2.1030000000000002</v>
      </c>
      <c r="N305" s="266">
        <f t="shared" si="756"/>
        <v>-3.048</v>
      </c>
      <c r="O305" s="268">
        <f t="shared" si="756"/>
        <v>6.6000000000000003E-2</v>
      </c>
      <c r="P305" s="268">
        <f t="shared" si="756"/>
        <v>-2.1000000000000005E-2</v>
      </c>
      <c r="Q305" s="266">
        <f t="shared" si="756"/>
        <v>4.4999999999999998E-2</v>
      </c>
      <c r="R305" s="268">
        <f t="shared" si="756"/>
        <v>0.188</v>
      </c>
      <c r="S305" s="268">
        <f t="shared" si="756"/>
        <v>5.2690000000000001</v>
      </c>
      <c r="T305" s="266">
        <f t="shared" si="756"/>
        <v>5.4569999999999999</v>
      </c>
      <c r="U305" s="268">
        <f t="shared" si="756"/>
        <v>1.327</v>
      </c>
      <c r="V305" s="268">
        <f t="shared" si="756"/>
        <v>-2.9409999999999998</v>
      </c>
      <c r="W305" s="266">
        <f t="shared" si="756"/>
        <v>-1.6140000000000001</v>
      </c>
      <c r="X305" s="268">
        <f t="shared" si="756"/>
        <v>3.282</v>
      </c>
      <c r="Y305" s="268">
        <f t="shared" si="756"/>
        <v>0.9480000000000004</v>
      </c>
      <c r="Z305" s="266">
        <f t="shared" si="756"/>
        <v>4.2300000000000004</v>
      </c>
      <c r="AA305" s="268">
        <f t="shared" si="756"/>
        <v>-2.544</v>
      </c>
      <c r="AB305" s="268">
        <f t="shared" si="756"/>
        <v>-1.6647488904869892</v>
      </c>
      <c r="AC305" s="266">
        <f t="shared" si="756"/>
        <v>-4.208748890486989</v>
      </c>
      <c r="AD305" s="268">
        <f t="shared" si="756"/>
        <v>0.36256562308522761</v>
      </c>
      <c r="AE305" s="268">
        <f t="shared" si="756"/>
        <v>0.56398259621901248</v>
      </c>
      <c r="AF305" s="266">
        <f t="shared" si="756"/>
        <v>0.92654821930424003</v>
      </c>
      <c r="AG305" s="268">
        <f t="shared" si="756"/>
        <v>2.5188612156096366</v>
      </c>
      <c r="AH305" s="268">
        <f t="shared" si="756"/>
        <v>3.0556909886435268</v>
      </c>
      <c r="AI305" s="266">
        <f t="shared" si="756"/>
        <v>5.5745522042531634</v>
      </c>
      <c r="AJ305" s="268">
        <f t="shared" si="756"/>
        <v>7.2936853578721665</v>
      </c>
      <c r="AK305" s="268">
        <f t="shared" si="756"/>
        <v>8.0839087932181624</v>
      </c>
      <c r="AL305" s="266">
        <f t="shared" si="756"/>
        <v>15.377594151090328</v>
      </c>
      <c r="AM305" s="268">
        <f t="shared" si="756"/>
        <v>17.21509026236367</v>
      </c>
      <c r="AN305" s="268">
        <f t="shared" si="756"/>
        <v>18.479384049142936</v>
      </c>
      <c r="AO305" s="266">
        <f t="shared" si="756"/>
        <v>35.69447431150661</v>
      </c>
      <c r="AP305" s="268">
        <f t="shared" si="756"/>
        <v>31.040403561132745</v>
      </c>
      <c r="AQ305" s="268">
        <f t="shared" si="756"/>
        <v>34.41144795584286</v>
      </c>
      <c r="AR305" s="266">
        <f t="shared" si="756"/>
        <v>65.451851516975609</v>
      </c>
      <c r="AS305" s="268">
        <f t="shared" si="756"/>
        <v>41.872998303461735</v>
      </c>
      <c r="AT305" s="268">
        <f t="shared" si="756"/>
        <v>46.171303723068078</v>
      </c>
      <c r="AU305" s="266">
        <f t="shared" si="756"/>
        <v>88.044302026529806</v>
      </c>
      <c r="AV305" s="268">
        <f t="shared" si="756"/>
        <v>54.149188334775801</v>
      </c>
      <c r="AW305" s="268">
        <f t="shared" si="756"/>
        <v>59.466922900113929</v>
      </c>
      <c r="AX305" s="266">
        <f t="shared" si="756"/>
        <v>113.61611123488973</v>
      </c>
      <c r="AY305" s="268">
        <f t="shared" si="756"/>
        <v>67.027487554331145</v>
      </c>
      <c r="AZ305" s="268">
        <f t="shared" si="756"/>
        <v>73.56125237071771</v>
      </c>
      <c r="BA305" s="266">
        <f t="shared" si="756"/>
        <v>140.58873992504886</v>
      </c>
      <c r="BB305" s="268">
        <f t="shared" si="756"/>
        <v>80.921723155517981</v>
      </c>
      <c r="BC305" s="268">
        <f t="shared" si="756"/>
        <v>88.619354808034629</v>
      </c>
      <c r="BD305" s="266">
        <f t="shared" si="756"/>
        <v>169.5410779635526</v>
      </c>
      <c r="BE305" s="268">
        <f t="shared" si="756"/>
        <v>95.098567404420194</v>
      </c>
      <c r="BF305" s="268">
        <f t="shared" si="756"/>
        <v>103.96536959825606</v>
      </c>
      <c r="BG305" s="266">
        <f t="shared" si="756"/>
        <v>199.06393700267625</v>
      </c>
      <c r="BH305" s="268"/>
      <c r="BJ305"/>
      <c r="BK305"/>
      <c r="BL305"/>
      <c r="BM305"/>
      <c r="BN305"/>
      <c r="BO305"/>
    </row>
    <row r="306" spans="1:67" s="61" customFormat="1">
      <c r="A306" s="240"/>
      <c r="B306" s="240" t="s">
        <v>371</v>
      </c>
      <c r="C306" s="240"/>
      <c r="D306" s="240"/>
      <c r="E306" s="278">
        <f t="shared" ref="E306:BG306" si="757">E69*E78</f>
        <v>0</v>
      </c>
      <c r="F306" s="279">
        <f t="shared" si="757"/>
        <v>0</v>
      </c>
      <c r="G306" s="279">
        <f t="shared" si="757"/>
        <v>-2.4491658251768124E-3</v>
      </c>
      <c r="H306" s="278">
        <f t="shared" si="757"/>
        <v>-3.4768995799923635E-3</v>
      </c>
      <c r="I306" s="279">
        <f t="shared" si="757"/>
        <v>-0.11258653718129745</v>
      </c>
      <c r="J306" s="279">
        <f t="shared" si="757"/>
        <v>-0.1395656920411642</v>
      </c>
      <c r="K306" s="278">
        <f t="shared" si="757"/>
        <v>-0.25184885290148445</v>
      </c>
      <c r="L306" s="279">
        <f t="shared" si="757"/>
        <v>-1.1538761301049569E-2</v>
      </c>
      <c r="M306" s="279">
        <f t="shared" si="757"/>
        <v>-0.11024824845759698</v>
      </c>
      <c r="N306" s="278">
        <f t="shared" si="757"/>
        <v>-0.11057623865651403</v>
      </c>
      <c r="O306" s="279">
        <f t="shared" si="757"/>
        <v>5.095229289940828E-3</v>
      </c>
      <c r="P306" s="279">
        <f t="shared" si="757"/>
        <v>-1.1865172751317245E-3</v>
      </c>
      <c r="Q306" s="278">
        <f t="shared" si="757"/>
        <v>2.918163176536382E-3</v>
      </c>
      <c r="R306" s="279">
        <f t="shared" si="757"/>
        <v>8.8172779089996187E-3</v>
      </c>
      <c r="S306" s="279">
        <f t="shared" si="757"/>
        <v>0.6371339947705863</v>
      </c>
      <c r="T306" s="278">
        <f t="shared" si="757"/>
        <v>0.37028496684309786</v>
      </c>
      <c r="U306" s="279">
        <f t="shared" si="757"/>
        <v>0.64480028183448834</v>
      </c>
      <c r="V306" s="279">
        <f t="shared" si="757"/>
        <v>1.3033817013522606</v>
      </c>
      <c r="W306" s="278">
        <f t="shared" si="757"/>
        <v>5.1596489361703233</v>
      </c>
      <c r="X306" s="279">
        <f t="shared" si="757"/>
        <v>-0.69390775149739881</v>
      </c>
      <c r="Y306" s="279">
        <f t="shared" si="757"/>
        <v>-0.78313043478260891</v>
      </c>
      <c r="Z306" s="278">
        <f t="shared" si="757"/>
        <v>-1.9258409600421955</v>
      </c>
      <c r="AA306" s="279">
        <f t="shared" si="757"/>
        <v>-8.0097071960298791</v>
      </c>
      <c r="AB306" s="279">
        <f t="shared" si="757"/>
        <v>-4.6165612035256114</v>
      </c>
      <c r="AC306" s="278">
        <f t="shared" si="757"/>
        <v>-13.570274811143738</v>
      </c>
      <c r="AD306" s="279">
        <f t="shared" si="757"/>
        <v>-3.2987377528047483</v>
      </c>
      <c r="AE306" s="279">
        <f t="shared" si="757"/>
        <v>-3.3808119514451924</v>
      </c>
      <c r="AF306" s="278">
        <f t="shared" si="757"/>
        <v>-6.679549704249653</v>
      </c>
      <c r="AG306" s="279">
        <f t="shared" si="757"/>
        <v>-2.9715010767094463</v>
      </c>
      <c r="AH306" s="279">
        <f t="shared" si="757"/>
        <v>-2.9724031605169006</v>
      </c>
      <c r="AI306" s="278">
        <f t="shared" si="757"/>
        <v>-5.9439042372263158</v>
      </c>
      <c r="AJ306" s="279">
        <f t="shared" si="757"/>
        <v>-3.0834431968424658</v>
      </c>
      <c r="AK306" s="279">
        <f t="shared" si="757"/>
        <v>-3.0505909746425597</v>
      </c>
      <c r="AL306" s="278">
        <f t="shared" si="757"/>
        <v>-6.1340341714850135</v>
      </c>
      <c r="AM306" s="279">
        <f t="shared" si="757"/>
        <v>-3.1251403423859436</v>
      </c>
      <c r="AN306" s="279">
        <f t="shared" si="757"/>
        <v>-3.0366423560696831</v>
      </c>
      <c r="AO306" s="278">
        <f t="shared" si="757"/>
        <v>-6.1617826984556361</v>
      </c>
      <c r="AP306" s="279">
        <f t="shared" si="757"/>
        <v>0.25459655651455421</v>
      </c>
      <c r="AQ306" s="279">
        <f t="shared" si="757"/>
        <v>0.45343107670037092</v>
      </c>
      <c r="AR306" s="278">
        <f t="shared" si="757"/>
        <v>0.70802763321492523</v>
      </c>
      <c r="AS306" s="279">
        <f t="shared" si="757"/>
        <v>0.69013028174475799</v>
      </c>
      <c r="AT306" s="279">
        <f t="shared" si="757"/>
        <v>0.97082433055947659</v>
      </c>
      <c r="AU306" s="278">
        <f t="shared" si="757"/>
        <v>1.6609546123042327</v>
      </c>
      <c r="AV306" s="279">
        <f t="shared" si="757"/>
        <v>1.2933813010601716</v>
      </c>
      <c r="AW306" s="279">
        <f t="shared" si="757"/>
        <v>1.665220840955419</v>
      </c>
      <c r="AX306" s="278">
        <f t="shared" si="757"/>
        <v>2.9586021420155904</v>
      </c>
      <c r="AY306" s="279">
        <f t="shared" si="757"/>
        <v>2.0853100793971784</v>
      </c>
      <c r="AZ306" s="279">
        <f t="shared" si="757"/>
        <v>2.5541927142898873</v>
      </c>
      <c r="BA306" s="278">
        <f t="shared" si="757"/>
        <v>4.6395027936870648</v>
      </c>
      <c r="BB306" s="279">
        <f t="shared" si="757"/>
        <v>3.0779251759632378</v>
      </c>
      <c r="BC306" s="279">
        <f t="shared" si="757"/>
        <v>3.6512101777015022</v>
      </c>
      <c r="BD306" s="278">
        <f t="shared" si="757"/>
        <v>6.729135353664744</v>
      </c>
      <c r="BE306" s="279">
        <f t="shared" si="757"/>
        <v>4.2861099991507166</v>
      </c>
      <c r="BF306" s="279">
        <f t="shared" si="757"/>
        <v>4.9674931256035055</v>
      </c>
      <c r="BG306" s="278">
        <f t="shared" si="757"/>
        <v>9.2536031247542265</v>
      </c>
      <c r="BH306" s="279"/>
      <c r="BJ306"/>
      <c r="BK306"/>
      <c r="BL306"/>
      <c r="BM306"/>
      <c r="BN306"/>
      <c r="BO306"/>
    </row>
    <row r="307" spans="1:67" s="61" customFormat="1">
      <c r="A307" s="240"/>
      <c r="B307" s="240" t="s">
        <v>372</v>
      </c>
      <c r="C307" s="240"/>
      <c r="D307" s="240"/>
      <c r="E307" s="278">
        <f t="shared" ref="E307:BG307" si="758">E33*E78</f>
        <v>0</v>
      </c>
      <c r="F307" s="279">
        <f t="shared" si="758"/>
        <v>0</v>
      </c>
      <c r="G307" s="279">
        <f t="shared" si="758"/>
        <v>1.1656305370024471</v>
      </c>
      <c r="H307" s="278">
        <f t="shared" si="758"/>
        <v>1.3942367315769375</v>
      </c>
      <c r="I307" s="279">
        <f t="shared" si="758"/>
        <v>0.59183547823876559</v>
      </c>
      <c r="J307" s="279">
        <f t="shared" si="758"/>
        <v>0.60748699868702083</v>
      </c>
      <c r="K307" s="278">
        <f t="shared" si="758"/>
        <v>1.1969095816464237</v>
      </c>
      <c r="L307" s="279">
        <f t="shared" si="758"/>
        <v>0.32907565208354983</v>
      </c>
      <c r="M307" s="279">
        <f t="shared" si="758"/>
        <v>0.22100962041200461</v>
      </c>
      <c r="N307" s="278">
        <f t="shared" si="758"/>
        <v>0.61786619380410968</v>
      </c>
      <c r="O307" s="279">
        <f t="shared" si="758"/>
        <v>-9.726701183431951E-3</v>
      </c>
      <c r="P307" s="279">
        <f t="shared" si="758"/>
        <v>7.0294479038673805E-3</v>
      </c>
      <c r="Q307" s="278">
        <f t="shared" si="758"/>
        <v>-1.1663145466973215E-2</v>
      </c>
      <c r="R307" s="279">
        <f t="shared" si="758"/>
        <v>-4.807490488380973E-3</v>
      </c>
      <c r="S307" s="279">
        <f t="shared" si="758"/>
        <v>0.53465657795766341</v>
      </c>
      <c r="T307" s="278">
        <f t="shared" si="758"/>
        <v>5.671579363630834E-2</v>
      </c>
      <c r="U307" s="279">
        <f t="shared" si="758"/>
        <v>-5.1509223674097007E-2</v>
      </c>
      <c r="V307" s="279">
        <f t="shared" si="758"/>
        <v>-0.10379668169176193</v>
      </c>
      <c r="W307" s="278">
        <f t="shared" si="758"/>
        <v>-0.41147188449848898</v>
      </c>
      <c r="X307" s="279">
        <f t="shared" si="758"/>
        <v>0.12842171993179735</v>
      </c>
      <c r="Y307" s="279">
        <f t="shared" si="758"/>
        <v>0.396102911846829</v>
      </c>
      <c r="Z307" s="278">
        <f t="shared" si="758"/>
        <v>0.80103916655676999</v>
      </c>
      <c r="AA307" s="279">
        <f t="shared" si="758"/>
        <v>1.9022133995037465</v>
      </c>
      <c r="AB307" s="279">
        <f t="shared" si="758"/>
        <v>0.48681659999999977</v>
      </c>
      <c r="AC307" s="278">
        <f t="shared" si="758"/>
        <v>2.2133544248048302</v>
      </c>
      <c r="AD307" s="279">
        <f t="shared" si="758"/>
        <v>0.29496539092119761</v>
      </c>
      <c r="AE307" s="279">
        <f t="shared" si="758"/>
        <v>0.21289119228075692</v>
      </c>
      <c r="AF307" s="278">
        <f t="shared" si="758"/>
        <v>0.50785658320193261</v>
      </c>
      <c r="AG307" s="279">
        <f t="shared" si="758"/>
        <v>0.15543527107779789</v>
      </c>
      <c r="AH307" s="279">
        <f t="shared" si="758"/>
        <v>0.15453318727034346</v>
      </c>
      <c r="AI307" s="278">
        <f t="shared" si="758"/>
        <v>0.30996845834813974</v>
      </c>
      <c r="AJ307" s="279">
        <f t="shared" si="758"/>
        <v>0.16438801520914023</v>
      </c>
      <c r="AK307" s="279">
        <f t="shared" si="758"/>
        <v>0.19724023740904634</v>
      </c>
      <c r="AL307" s="278">
        <f t="shared" si="758"/>
        <v>0.36162825261818593</v>
      </c>
      <c r="AM307" s="279">
        <f t="shared" si="758"/>
        <v>0.24375547714324305</v>
      </c>
      <c r="AN307" s="279">
        <f t="shared" si="758"/>
        <v>0.33225346345950318</v>
      </c>
      <c r="AO307" s="278">
        <f t="shared" si="758"/>
        <v>0.5760089406027471</v>
      </c>
      <c r="AP307" s="279">
        <f t="shared" si="758"/>
        <v>0.45369325651455428</v>
      </c>
      <c r="AQ307" s="279">
        <f t="shared" si="758"/>
        <v>0.65252777670037099</v>
      </c>
      <c r="AR307" s="278">
        <f t="shared" si="758"/>
        <v>1.1062210332149254</v>
      </c>
      <c r="AS307" s="279">
        <f t="shared" si="758"/>
        <v>0.88922698174475812</v>
      </c>
      <c r="AT307" s="279">
        <f t="shared" si="758"/>
        <v>1.1699210305594767</v>
      </c>
      <c r="AU307" s="278">
        <f t="shared" si="758"/>
        <v>2.0591480123042323</v>
      </c>
      <c r="AV307" s="279">
        <f t="shared" si="758"/>
        <v>1.4924780010601717</v>
      </c>
      <c r="AW307" s="279">
        <f t="shared" si="758"/>
        <v>1.8643175409554191</v>
      </c>
      <c r="AX307" s="278">
        <f t="shared" si="758"/>
        <v>3.356795542015591</v>
      </c>
      <c r="AY307" s="279">
        <f t="shared" si="758"/>
        <v>2.2844067793971785</v>
      </c>
      <c r="AZ307" s="279">
        <f t="shared" si="758"/>
        <v>2.7532894142898874</v>
      </c>
      <c r="BA307" s="278">
        <f t="shared" si="758"/>
        <v>5.037696193687065</v>
      </c>
      <c r="BB307" s="279">
        <f t="shared" si="758"/>
        <v>3.2770218759632379</v>
      </c>
      <c r="BC307" s="279">
        <f t="shared" si="758"/>
        <v>3.8503068777015024</v>
      </c>
      <c r="BD307" s="278">
        <f t="shared" si="758"/>
        <v>7.1273287536647443</v>
      </c>
      <c r="BE307" s="279">
        <f t="shared" si="758"/>
        <v>4.4852066991507167</v>
      </c>
      <c r="BF307" s="279">
        <f t="shared" si="758"/>
        <v>5.1665898256035057</v>
      </c>
      <c r="BG307" s="278">
        <f t="shared" si="758"/>
        <v>9.6517965247542268</v>
      </c>
      <c r="BH307" s="279"/>
      <c r="BJ307"/>
      <c r="BK307"/>
      <c r="BL307"/>
      <c r="BM307"/>
      <c r="BN307"/>
      <c r="BO307"/>
    </row>
    <row r="308" spans="1:67" s="61" customFormat="1">
      <c r="A308" s="240"/>
      <c r="B308" s="240" t="s">
        <v>373</v>
      </c>
      <c r="C308" s="240"/>
      <c r="D308" s="240"/>
      <c r="E308" s="266">
        <f t="shared" ref="E308" si="759">SUM(E305:E307)</f>
        <v>0</v>
      </c>
      <c r="F308" s="268">
        <f t="shared" ref="F308:BG308" si="760">SUM(F305:F307)</f>
        <v>0</v>
      </c>
      <c r="G308" s="268">
        <f t="shared" si="760"/>
        <v>-0.72081862882272962</v>
      </c>
      <c r="H308" s="266">
        <f t="shared" si="760"/>
        <v>-0.4932401680030547</v>
      </c>
      <c r="I308" s="268">
        <f t="shared" si="760"/>
        <v>-0.7466540589425319</v>
      </c>
      <c r="J308" s="268">
        <f t="shared" si="760"/>
        <v>-1.5611756933541434</v>
      </c>
      <c r="K308" s="266">
        <f t="shared" si="760"/>
        <v>-2.3099392712550606</v>
      </c>
      <c r="L308" s="268">
        <f t="shared" si="760"/>
        <v>-0.6274631092174997</v>
      </c>
      <c r="M308" s="268">
        <f t="shared" si="760"/>
        <v>-1.9922386280455926</v>
      </c>
      <c r="N308" s="266">
        <f t="shared" si="760"/>
        <v>-2.5407100448524043</v>
      </c>
      <c r="O308" s="268">
        <f t="shared" si="760"/>
        <v>6.1368528106508877E-2</v>
      </c>
      <c r="P308" s="268">
        <f t="shared" si="760"/>
        <v>-1.5157069371264348E-2</v>
      </c>
      <c r="Q308" s="266">
        <f t="shared" si="760"/>
        <v>3.6255017709563166E-2</v>
      </c>
      <c r="R308" s="268">
        <f t="shared" si="760"/>
        <v>0.19200978742061864</v>
      </c>
      <c r="S308" s="268">
        <f t="shared" si="760"/>
        <v>6.4407905727282495</v>
      </c>
      <c r="T308" s="266">
        <f t="shared" si="760"/>
        <v>5.884000760479406</v>
      </c>
      <c r="U308" s="268">
        <f t="shared" si="760"/>
        <v>1.9202910581603911</v>
      </c>
      <c r="V308" s="268">
        <f t="shared" si="760"/>
        <v>-1.7414149803395012</v>
      </c>
      <c r="W308" s="266">
        <f t="shared" si="760"/>
        <v>3.1341770516718346</v>
      </c>
      <c r="X308" s="268">
        <f t="shared" si="760"/>
        <v>2.7165139684343984</v>
      </c>
      <c r="Y308" s="268">
        <f t="shared" si="760"/>
        <v>0.56097247706422049</v>
      </c>
      <c r="Z308" s="266">
        <f t="shared" si="760"/>
        <v>3.1051982065145749</v>
      </c>
      <c r="AA308" s="268">
        <f t="shared" si="760"/>
        <v>-8.6514937965261325</v>
      </c>
      <c r="AB308" s="268">
        <f t="shared" si="760"/>
        <v>-5.7944934940126007</v>
      </c>
      <c r="AC308" s="266">
        <f t="shared" si="760"/>
        <v>-15.565669276825897</v>
      </c>
      <c r="AD308" s="268">
        <f t="shared" si="760"/>
        <v>-2.6412067387983234</v>
      </c>
      <c r="AE308" s="268">
        <f t="shared" si="760"/>
        <v>-2.6039381629454228</v>
      </c>
      <c r="AF308" s="266">
        <f t="shared" si="760"/>
        <v>-5.2451449017434806</v>
      </c>
      <c r="AG308" s="268">
        <f t="shared" si="760"/>
        <v>-0.29720459002201183</v>
      </c>
      <c r="AH308" s="268">
        <f t="shared" si="760"/>
        <v>0.23782101539696973</v>
      </c>
      <c r="AI308" s="266">
        <f t="shared" si="760"/>
        <v>-5.9383574625012592E-2</v>
      </c>
      <c r="AJ308" s="268">
        <f t="shared" si="760"/>
        <v>4.3746301762388411</v>
      </c>
      <c r="AK308" s="268">
        <f t="shared" si="760"/>
        <v>5.2305580559846483</v>
      </c>
      <c r="AL308" s="266">
        <f t="shared" si="760"/>
        <v>9.6051882322235009</v>
      </c>
      <c r="AM308" s="268">
        <f t="shared" si="760"/>
        <v>14.333705397120969</v>
      </c>
      <c r="AN308" s="268">
        <f t="shared" si="760"/>
        <v>15.774995156532757</v>
      </c>
      <c r="AO308" s="266">
        <f t="shared" si="760"/>
        <v>30.108700553653723</v>
      </c>
      <c r="AP308" s="268">
        <f t="shared" si="760"/>
        <v>31.748693374161853</v>
      </c>
      <c r="AQ308" s="268">
        <f t="shared" si="760"/>
        <v>35.517406809243603</v>
      </c>
      <c r="AR308" s="266">
        <f t="shared" si="760"/>
        <v>67.266100183405456</v>
      </c>
      <c r="AS308" s="268">
        <f t="shared" si="760"/>
        <v>43.452355566951248</v>
      </c>
      <c r="AT308" s="268">
        <f t="shared" si="760"/>
        <v>48.312049084187031</v>
      </c>
      <c r="AU308" s="266">
        <f t="shared" si="760"/>
        <v>91.764404651138278</v>
      </c>
      <c r="AV308" s="268">
        <f t="shared" si="760"/>
        <v>56.935047636896144</v>
      </c>
      <c r="AW308" s="268">
        <f t="shared" si="760"/>
        <v>62.996461282024768</v>
      </c>
      <c r="AX308" s="266">
        <f t="shared" si="760"/>
        <v>119.93150891892091</v>
      </c>
      <c r="AY308" s="268">
        <f t="shared" si="760"/>
        <v>71.397204413125493</v>
      </c>
      <c r="AZ308" s="268">
        <f t="shared" si="760"/>
        <v>78.868734499297474</v>
      </c>
      <c r="BA308" s="266">
        <f t="shared" si="760"/>
        <v>150.26593891242297</v>
      </c>
      <c r="BB308" s="268">
        <f t="shared" si="760"/>
        <v>87.276670207444468</v>
      </c>
      <c r="BC308" s="268">
        <f t="shared" si="760"/>
        <v>96.120871863437628</v>
      </c>
      <c r="BD308" s="266">
        <f t="shared" si="760"/>
        <v>183.39754207088208</v>
      </c>
      <c r="BE308" s="268">
        <f t="shared" si="760"/>
        <v>103.86988410272163</v>
      </c>
      <c r="BF308" s="268">
        <f t="shared" si="760"/>
        <v>114.09945254946308</v>
      </c>
      <c r="BG308" s="266">
        <f t="shared" si="760"/>
        <v>217.96933665218469</v>
      </c>
      <c r="BH308" s="268"/>
      <c r="BJ308"/>
      <c r="BK308"/>
      <c r="BL308"/>
      <c r="BM308"/>
      <c r="BN308"/>
      <c r="BO308"/>
    </row>
    <row r="309" spans="1:67" s="61" customFormat="1">
      <c r="A309" s="240"/>
      <c r="B309" s="240" t="s">
        <v>374</v>
      </c>
      <c r="C309" s="240"/>
      <c r="D309" s="240"/>
      <c r="E309" s="266">
        <f t="shared" ref="E309:BG309" si="761">E304-E308</f>
        <v>6.5155380000000003</v>
      </c>
      <c r="F309" s="268">
        <f t="shared" si="761"/>
        <v>-10.457007000000001</v>
      </c>
      <c r="G309" s="268">
        <f t="shared" si="761"/>
        <v>-16.469174371177271</v>
      </c>
      <c r="H309" s="266">
        <f t="shared" si="761"/>
        <v>-27.153759831996947</v>
      </c>
      <c r="I309" s="268">
        <f t="shared" si="761"/>
        <v>-15.438090941057467</v>
      </c>
      <c r="J309" s="268">
        <f t="shared" si="761"/>
        <v>-22.511079306645854</v>
      </c>
      <c r="K309" s="266">
        <f t="shared" si="761"/>
        <v>-37.947060728744937</v>
      </c>
      <c r="L309" s="268">
        <f t="shared" si="761"/>
        <v>-19.4815368907825</v>
      </c>
      <c r="M309" s="268">
        <f t="shared" si="761"/>
        <v>-27.151761371954407</v>
      </c>
      <c r="N309" s="266">
        <f t="shared" si="761"/>
        <v>-46.712289955147597</v>
      </c>
      <c r="O309" s="268">
        <f t="shared" si="761"/>
        <v>-31.392368528106509</v>
      </c>
      <c r="P309" s="268">
        <f t="shared" si="761"/>
        <v>-49.90084293062872</v>
      </c>
      <c r="Q309" s="266">
        <f t="shared" si="761"/>
        <v>-81.28325501770955</v>
      </c>
      <c r="R309" s="268">
        <f t="shared" si="761"/>
        <v>-61.580009787420629</v>
      </c>
      <c r="S309" s="268">
        <f t="shared" si="761"/>
        <v>-14.134790572728246</v>
      </c>
      <c r="T309" s="266">
        <f t="shared" si="761"/>
        <v>-74.966000760479417</v>
      </c>
      <c r="U309" s="268">
        <f t="shared" si="761"/>
        <v>20.615708941839632</v>
      </c>
      <c r="V309" s="268">
        <f t="shared" si="761"/>
        <v>16.545164980339425</v>
      </c>
      <c r="W309" s="266">
        <f t="shared" si="761"/>
        <v>34.205572948328111</v>
      </c>
      <c r="X309" s="268">
        <f t="shared" si="761"/>
        <v>33.2500360315656</v>
      </c>
      <c r="Y309" s="268">
        <f t="shared" si="761"/>
        <v>28.452727522935866</v>
      </c>
      <c r="Z309" s="266">
        <f t="shared" si="761"/>
        <v>61.875051793485511</v>
      </c>
      <c r="AA309" s="268">
        <f t="shared" si="761"/>
        <v>25.418243796526195</v>
      </c>
      <c r="AB309" s="268">
        <f t="shared" si="761"/>
        <v>24.151983846888839</v>
      </c>
      <c r="AC309" s="266">
        <f t="shared" si="761"/>
        <v>50.6899096297022</v>
      </c>
      <c r="AD309" s="268">
        <f t="shared" si="761"/>
        <v>24.42558565207678</v>
      </c>
      <c r="AE309" s="268">
        <f t="shared" si="761"/>
        <v>25.891926389186395</v>
      </c>
      <c r="AF309" s="266">
        <f t="shared" si="761"/>
        <v>50.317512041262908</v>
      </c>
      <c r="AG309" s="268">
        <f t="shared" si="761"/>
        <v>30.721443777963056</v>
      </c>
      <c r="AH309" s="268">
        <f t="shared" si="761"/>
        <v>32.695570490600652</v>
      </c>
      <c r="AI309" s="266">
        <f t="shared" si="761"/>
        <v>63.417014268563669</v>
      </c>
      <c r="AJ309" s="268">
        <f t="shared" si="761"/>
        <v>47.767023041100238</v>
      </c>
      <c r="AK309" s="268">
        <f t="shared" si="761"/>
        <v>50.388866568017875</v>
      </c>
      <c r="AL309" s="266">
        <f t="shared" si="761"/>
        <v>98.155889609118105</v>
      </c>
      <c r="AM309" s="268">
        <f t="shared" si="761"/>
        <v>82.534526422135244</v>
      </c>
      <c r="AN309" s="268">
        <f t="shared" si="761"/>
        <v>86.442765285165535</v>
      </c>
      <c r="AO309" s="266">
        <f t="shared" si="761"/>
        <v>168.97729170730076</v>
      </c>
      <c r="AP309" s="268">
        <f t="shared" si="761"/>
        <v>111.30727711768483</v>
      </c>
      <c r="AQ309" s="268">
        <f t="shared" si="761"/>
        <v>121.87366574301646</v>
      </c>
      <c r="AR309" s="266">
        <f t="shared" si="761"/>
        <v>233.18094286070129</v>
      </c>
      <c r="AS309" s="268">
        <f t="shared" si="761"/>
        <v>145.65725498267543</v>
      </c>
      <c r="AT309" s="268">
        <f t="shared" si="761"/>
        <v>158.87117955378585</v>
      </c>
      <c r="AU309" s="266">
        <f t="shared" si="761"/>
        <v>304.5284345364613</v>
      </c>
      <c r="AV309" s="268">
        <f t="shared" si="761"/>
        <v>183.69891282743691</v>
      </c>
      <c r="AW309" s="268">
        <f t="shared" si="761"/>
        <v>199.80292233433278</v>
      </c>
      <c r="AX309" s="266">
        <f t="shared" si="761"/>
        <v>383.50183516176969</v>
      </c>
      <c r="AY309" s="268">
        <f t="shared" si="761"/>
        <v>222.46073907968827</v>
      </c>
      <c r="AZ309" s="268">
        <f t="shared" si="761"/>
        <v>242.0710881666746</v>
      </c>
      <c r="BA309" s="266">
        <f t="shared" si="761"/>
        <v>464.53182724636292</v>
      </c>
      <c r="BB309" s="268">
        <f t="shared" si="761"/>
        <v>263.25869245131918</v>
      </c>
      <c r="BC309" s="268">
        <f t="shared" si="761"/>
        <v>286.1430030220518</v>
      </c>
      <c r="BD309" s="266">
        <f t="shared" si="761"/>
        <v>549.40169547337098</v>
      </c>
      <c r="BE309" s="268">
        <f t="shared" si="761"/>
        <v>303.49296747942736</v>
      </c>
      <c r="BF309" s="268">
        <f t="shared" si="761"/>
        <v>329.63357172046858</v>
      </c>
      <c r="BG309" s="266">
        <f t="shared" si="761"/>
        <v>633.126539199896</v>
      </c>
      <c r="BH309" s="268"/>
      <c r="BJ309"/>
      <c r="BK309"/>
      <c r="BL309"/>
      <c r="BM309"/>
      <c r="BN309"/>
      <c r="BO309"/>
    </row>
    <row r="310" spans="1:67" s="61" customFormat="1">
      <c r="A310" s="240"/>
      <c r="B310" s="240"/>
      <c r="C310" s="240"/>
      <c r="D310" s="240"/>
      <c r="E310" s="272"/>
      <c r="F310" s="269"/>
      <c r="G310" s="269"/>
      <c r="H310" s="272"/>
      <c r="I310" s="269"/>
      <c r="J310" s="269"/>
      <c r="K310" s="272"/>
      <c r="L310" s="269"/>
      <c r="M310" s="269"/>
      <c r="N310" s="272"/>
      <c r="O310" s="269"/>
      <c r="P310" s="269"/>
      <c r="Q310" s="272"/>
      <c r="R310" s="269"/>
      <c r="S310" s="269"/>
      <c r="T310" s="272"/>
      <c r="U310" s="269"/>
      <c r="V310" s="269"/>
      <c r="W310" s="272"/>
      <c r="X310" s="269"/>
      <c r="Y310" s="269"/>
      <c r="Z310" s="272"/>
      <c r="AA310" s="269"/>
      <c r="AB310" s="269"/>
      <c r="AC310" s="272"/>
      <c r="AD310" s="269"/>
      <c r="AE310" s="269"/>
      <c r="AF310" s="272"/>
      <c r="AG310" s="269"/>
      <c r="AH310" s="269"/>
      <c r="AI310" s="272"/>
      <c r="AJ310" s="269"/>
      <c r="AK310" s="269"/>
      <c r="AL310" s="272"/>
      <c r="AM310" s="269"/>
      <c r="AN310" s="269"/>
      <c r="AO310" s="272"/>
      <c r="AP310" s="269"/>
      <c r="AQ310" s="269"/>
      <c r="AR310" s="272"/>
      <c r="AS310" s="269"/>
      <c r="AT310" s="269"/>
      <c r="AU310" s="272"/>
      <c r="AV310" s="269"/>
      <c r="AW310" s="269"/>
      <c r="AX310" s="272"/>
      <c r="AY310" s="269"/>
      <c r="AZ310" s="269"/>
      <c r="BA310" s="272"/>
      <c r="BB310" s="269"/>
      <c r="BC310" s="269"/>
      <c r="BD310" s="272"/>
      <c r="BE310" s="269"/>
      <c r="BF310" s="269"/>
      <c r="BG310" s="272"/>
      <c r="BH310" s="269"/>
      <c r="BJ310"/>
      <c r="BK310"/>
      <c r="BL310"/>
      <c r="BM310"/>
      <c r="BN310"/>
      <c r="BO310"/>
    </row>
    <row r="311" spans="1:67" s="61" customFormat="1">
      <c r="A311" s="240"/>
      <c r="B311" s="240" t="s">
        <v>375</v>
      </c>
      <c r="C311" s="240"/>
      <c r="D311" s="240"/>
      <c r="E311" s="272"/>
      <c r="F311" s="269"/>
      <c r="G311" s="269"/>
      <c r="H311" s="272"/>
      <c r="I311" s="269"/>
      <c r="J311" s="269"/>
      <c r="K311" s="272"/>
      <c r="L311" s="269"/>
      <c r="M311" s="269"/>
      <c r="N311" s="272"/>
      <c r="O311" s="269"/>
      <c r="P311" s="269"/>
      <c r="Q311" s="272"/>
      <c r="R311" s="269"/>
      <c r="S311" s="269"/>
      <c r="T311" s="272"/>
      <c r="U311" s="269"/>
      <c r="V311" s="269"/>
      <c r="W311" s="272"/>
      <c r="X311" s="269"/>
      <c r="Y311" s="269"/>
      <c r="Z311" s="272"/>
      <c r="AA311" s="269"/>
      <c r="AB311" s="269"/>
      <c r="AC311" s="272"/>
      <c r="AD311" s="269"/>
      <c r="AE311" s="269"/>
      <c r="AF311" s="272"/>
      <c r="AG311" s="269"/>
      <c r="AH311" s="269"/>
      <c r="AI311" s="272"/>
      <c r="AJ311" s="269"/>
      <c r="AK311" s="269"/>
      <c r="AL311" s="272"/>
      <c r="AM311" s="269"/>
      <c r="AN311" s="269"/>
      <c r="AO311" s="272"/>
      <c r="AP311" s="269"/>
      <c r="AQ311" s="269"/>
      <c r="AR311" s="272"/>
      <c r="AS311" s="269"/>
      <c r="AT311" s="269"/>
      <c r="AU311" s="272"/>
      <c r="AV311" s="269"/>
      <c r="AW311" s="269"/>
      <c r="AX311" s="272"/>
      <c r="AY311" s="269"/>
      <c r="AZ311" s="269"/>
      <c r="BA311" s="272"/>
      <c r="BB311" s="269"/>
      <c r="BC311" s="269"/>
      <c r="BD311" s="272"/>
      <c r="BE311" s="269"/>
      <c r="BF311" s="269"/>
      <c r="BG311" s="272"/>
      <c r="BH311" s="269"/>
      <c r="BJ311"/>
      <c r="BK311"/>
      <c r="BL311"/>
      <c r="BM311"/>
      <c r="BN311"/>
      <c r="BO311"/>
    </row>
    <row r="312" spans="1:67" s="61" customFormat="1">
      <c r="A312" s="240"/>
      <c r="B312" s="240" t="s">
        <v>376</v>
      </c>
      <c r="C312" s="240"/>
      <c r="D312" s="240"/>
      <c r="E312" s="266">
        <f t="shared" ref="E312:BG312" si="762">E244</f>
        <v>49.292794999999998</v>
      </c>
      <c r="F312" s="268">
        <f t="shared" si="762"/>
        <v>44.390898000000007</v>
      </c>
      <c r="G312" s="268">
        <f t="shared" si="762"/>
        <v>52.904573999999997</v>
      </c>
      <c r="H312" s="266">
        <f t="shared" si="762"/>
        <v>52.904573999999997</v>
      </c>
      <c r="I312" s="268">
        <f t="shared" si="762"/>
        <v>43.197565000000004</v>
      </c>
      <c r="J312" s="268">
        <f t="shared" si="762"/>
        <v>70.081000000000003</v>
      </c>
      <c r="K312" s="266">
        <f t="shared" si="762"/>
        <v>70.081000000000003</v>
      </c>
      <c r="L312" s="268">
        <f t="shared" si="762"/>
        <v>53.720999999999989</v>
      </c>
      <c r="M312" s="268">
        <f t="shared" si="762"/>
        <v>79.016000000000005</v>
      </c>
      <c r="N312" s="266">
        <f t="shared" si="762"/>
        <v>79.016000000000005</v>
      </c>
      <c r="O312" s="268">
        <f t="shared" si="762"/>
        <v>47.929999999999978</v>
      </c>
      <c r="P312" s="268">
        <f t="shared" si="762"/>
        <v>2.157999999999987</v>
      </c>
      <c r="Q312" s="266">
        <f t="shared" si="762"/>
        <v>2.157999999999987</v>
      </c>
      <c r="R312" s="268">
        <f t="shared" si="762"/>
        <v>105.40799999999999</v>
      </c>
      <c r="S312" s="268">
        <f t="shared" si="762"/>
        <v>80.007000000000005</v>
      </c>
      <c r="T312" s="266">
        <f t="shared" si="762"/>
        <v>80.007000000000005</v>
      </c>
      <c r="U312" s="268">
        <f t="shared" si="762"/>
        <v>76.057000000000016</v>
      </c>
      <c r="V312" s="268">
        <f t="shared" si="762"/>
        <v>102.64500000000001</v>
      </c>
      <c r="W312" s="266">
        <f t="shared" si="762"/>
        <v>102.64500000000001</v>
      </c>
      <c r="X312" s="268">
        <f t="shared" si="762"/>
        <v>219.56630537749183</v>
      </c>
      <c r="Y312" s="268">
        <f t="shared" si="762"/>
        <v>352.93700000000001</v>
      </c>
      <c r="Z312" s="266">
        <f t="shared" si="762"/>
        <v>352.93700000000001</v>
      </c>
      <c r="AA312" s="268">
        <f t="shared" si="762"/>
        <v>421.94100000000003</v>
      </c>
      <c r="AB312" s="268">
        <f t="shared" si="762"/>
        <v>413.40271105862735</v>
      </c>
      <c r="AC312" s="266">
        <f t="shared" si="762"/>
        <v>413.40271105862735</v>
      </c>
      <c r="AD312" s="268">
        <f t="shared" si="762"/>
        <v>414.5829778742027</v>
      </c>
      <c r="AE312" s="268">
        <f t="shared" si="762"/>
        <v>416.41892121934131</v>
      </c>
      <c r="AF312" s="266">
        <f t="shared" si="762"/>
        <v>416.41892121934131</v>
      </c>
      <c r="AG312" s="268">
        <f t="shared" si="762"/>
        <v>424.61861836802802</v>
      </c>
      <c r="AH312" s="268">
        <f t="shared" si="762"/>
        <v>434.5658677565911</v>
      </c>
      <c r="AI312" s="266">
        <f t="shared" si="762"/>
        <v>434.5658677565911</v>
      </c>
      <c r="AJ312" s="268">
        <f t="shared" si="762"/>
        <v>458.30914136838771</v>
      </c>
      <c r="AK312" s="268">
        <f t="shared" si="762"/>
        <v>484.62484446120442</v>
      </c>
      <c r="AL312" s="266">
        <f t="shared" si="762"/>
        <v>484.62484446120442</v>
      </c>
      <c r="AM312" s="268">
        <f t="shared" si="762"/>
        <v>882.47645744294152</v>
      </c>
      <c r="AN312" s="268">
        <f t="shared" si="762"/>
        <v>942.63275019866194</v>
      </c>
      <c r="AO312" s="266">
        <f t="shared" si="762"/>
        <v>942.63275019866194</v>
      </c>
      <c r="AP312" s="268">
        <f t="shared" si="762"/>
        <v>1043.6791703019239</v>
      </c>
      <c r="AQ312" s="268">
        <f t="shared" si="762"/>
        <v>1155.6994157751994</v>
      </c>
      <c r="AR312" s="266">
        <f t="shared" si="762"/>
        <v>1155.6994157751994</v>
      </c>
      <c r="AS312" s="268">
        <f t="shared" si="762"/>
        <v>1292.0093889758302</v>
      </c>
      <c r="AT312" s="268">
        <f t="shared" si="762"/>
        <v>1442.311718116882</v>
      </c>
      <c r="AU312" s="266">
        <f t="shared" si="762"/>
        <v>1442.311718116882</v>
      </c>
      <c r="AV312" s="268">
        <f t="shared" si="762"/>
        <v>1618.5846078024288</v>
      </c>
      <c r="AW312" s="268">
        <f t="shared" si="762"/>
        <v>1812.1684206474806</v>
      </c>
      <c r="AX312" s="266">
        <f t="shared" si="762"/>
        <v>1812.1684206474806</v>
      </c>
      <c r="AY312" s="268">
        <f t="shared" si="762"/>
        <v>2030.3642843881757</v>
      </c>
      <c r="AZ312" s="268">
        <f t="shared" si="762"/>
        <v>2269.8296378502992</v>
      </c>
      <c r="BA312" s="266">
        <f t="shared" si="762"/>
        <v>2269.8296378502992</v>
      </c>
      <c r="BB312" s="268">
        <f t="shared" si="762"/>
        <v>2533.2556728033683</v>
      </c>
      <c r="BC312" s="268">
        <f t="shared" si="762"/>
        <v>2821.7399554763319</v>
      </c>
      <c r="BD312" s="266">
        <f t="shared" si="762"/>
        <v>2821.7399554763319</v>
      </c>
      <c r="BE312" s="268">
        <f t="shared" si="762"/>
        <v>3131.3161429843381</v>
      </c>
      <c r="BF312" s="268">
        <f t="shared" si="762"/>
        <v>3469.7566014637664</v>
      </c>
      <c r="BG312" s="266">
        <f t="shared" si="762"/>
        <v>3469.7566014637664</v>
      </c>
      <c r="BH312" s="268"/>
      <c r="BJ312"/>
      <c r="BK312"/>
      <c r="BL312"/>
      <c r="BM312"/>
      <c r="BN312"/>
      <c r="BO312"/>
    </row>
    <row r="313" spans="1:67" s="61" customFormat="1">
      <c r="A313" s="240"/>
      <c r="B313" s="240" t="s">
        <v>229</v>
      </c>
      <c r="C313" s="240"/>
      <c r="D313" s="240"/>
      <c r="E313" s="266">
        <v>0</v>
      </c>
      <c r="F313" s="268">
        <v>0</v>
      </c>
      <c r="G313" s="268">
        <v>0</v>
      </c>
      <c r="H313" s="266">
        <v>0</v>
      </c>
      <c r="I313" s="268">
        <v>0</v>
      </c>
      <c r="J313" s="268">
        <v>0</v>
      </c>
      <c r="K313" s="266">
        <v>0</v>
      </c>
      <c r="L313" s="268">
        <v>0</v>
      </c>
      <c r="M313" s="268">
        <v>0</v>
      </c>
      <c r="N313" s="266">
        <v>0</v>
      </c>
      <c r="O313" s="268">
        <v>0</v>
      </c>
      <c r="P313" s="268">
        <v>0</v>
      </c>
      <c r="Q313" s="266">
        <v>0</v>
      </c>
      <c r="R313" s="268">
        <v>0</v>
      </c>
      <c r="S313" s="268">
        <v>0</v>
      </c>
      <c r="T313" s="266">
        <v>0</v>
      </c>
      <c r="U313" s="268">
        <v>0</v>
      </c>
      <c r="V313" s="268">
        <v>0</v>
      </c>
      <c r="W313" s="266">
        <v>0</v>
      </c>
      <c r="X313" s="268">
        <v>0</v>
      </c>
      <c r="Y313" s="268">
        <v>0</v>
      </c>
      <c r="Z313" s="266">
        <v>0</v>
      </c>
      <c r="AA313" s="268">
        <v>0</v>
      </c>
      <c r="AB313" s="268">
        <v>0</v>
      </c>
      <c r="AC313" s="266">
        <v>0</v>
      </c>
      <c r="AD313" s="268">
        <v>0</v>
      </c>
      <c r="AE313" s="268">
        <v>0</v>
      </c>
      <c r="AF313" s="266">
        <v>0</v>
      </c>
      <c r="AG313" s="268">
        <v>0</v>
      </c>
      <c r="AH313" s="268">
        <v>0</v>
      </c>
      <c r="AI313" s="266">
        <v>0</v>
      </c>
      <c r="AJ313" s="268">
        <v>0</v>
      </c>
      <c r="AK313" s="268">
        <v>0</v>
      </c>
      <c r="AL313" s="266">
        <v>0</v>
      </c>
      <c r="AM313" s="268">
        <v>0</v>
      </c>
      <c r="AN313" s="268">
        <v>0</v>
      </c>
      <c r="AO313" s="266">
        <v>0</v>
      </c>
      <c r="AP313" s="268">
        <v>0</v>
      </c>
      <c r="AQ313" s="268">
        <v>0</v>
      </c>
      <c r="AR313" s="266">
        <v>0</v>
      </c>
      <c r="AS313" s="268">
        <v>0</v>
      </c>
      <c r="AT313" s="268">
        <v>0</v>
      </c>
      <c r="AU313" s="266">
        <v>0</v>
      </c>
      <c r="AV313" s="268">
        <v>0</v>
      </c>
      <c r="AW313" s="268">
        <v>0</v>
      </c>
      <c r="AX313" s="266">
        <v>0</v>
      </c>
      <c r="AY313" s="268">
        <v>0</v>
      </c>
      <c r="AZ313" s="268">
        <v>0</v>
      </c>
      <c r="BA313" s="266">
        <v>0</v>
      </c>
      <c r="BB313" s="268">
        <v>0</v>
      </c>
      <c r="BC313" s="268">
        <v>0</v>
      </c>
      <c r="BD313" s="266">
        <v>0</v>
      </c>
      <c r="BE313" s="268">
        <v>0</v>
      </c>
      <c r="BF313" s="268">
        <v>0</v>
      </c>
      <c r="BG313" s="266">
        <v>0</v>
      </c>
      <c r="BH313" s="268"/>
      <c r="BJ313"/>
      <c r="BK313"/>
      <c r="BL313"/>
      <c r="BM313"/>
      <c r="BN313"/>
      <c r="BO313"/>
    </row>
    <row r="314" spans="1:67" s="61" customFormat="1">
      <c r="A314" s="240"/>
      <c r="B314" s="240" t="s">
        <v>377</v>
      </c>
      <c r="C314" s="240"/>
      <c r="D314" s="240"/>
      <c r="E314" s="266">
        <f t="shared" ref="E314:BG314" si="763">SUM(E312:E313)</f>
        <v>49.292794999999998</v>
      </c>
      <c r="F314" s="268">
        <f t="shared" si="763"/>
        <v>44.390898000000007</v>
      </c>
      <c r="G314" s="268">
        <f t="shared" si="763"/>
        <v>52.904573999999997</v>
      </c>
      <c r="H314" s="266">
        <f t="shared" si="763"/>
        <v>52.904573999999997</v>
      </c>
      <c r="I314" s="268">
        <f t="shared" si="763"/>
        <v>43.197565000000004</v>
      </c>
      <c r="J314" s="268">
        <f t="shared" si="763"/>
        <v>70.081000000000003</v>
      </c>
      <c r="K314" s="266">
        <f t="shared" si="763"/>
        <v>70.081000000000003</v>
      </c>
      <c r="L314" s="268">
        <f t="shared" si="763"/>
        <v>53.720999999999989</v>
      </c>
      <c r="M314" s="268">
        <f t="shared" si="763"/>
        <v>79.016000000000005</v>
      </c>
      <c r="N314" s="266">
        <f t="shared" si="763"/>
        <v>79.016000000000005</v>
      </c>
      <c r="O314" s="268">
        <f t="shared" si="763"/>
        <v>47.929999999999978</v>
      </c>
      <c r="P314" s="268">
        <f t="shared" si="763"/>
        <v>2.157999999999987</v>
      </c>
      <c r="Q314" s="266">
        <f t="shared" si="763"/>
        <v>2.157999999999987</v>
      </c>
      <c r="R314" s="268">
        <f t="shared" si="763"/>
        <v>105.40799999999999</v>
      </c>
      <c r="S314" s="268">
        <f t="shared" si="763"/>
        <v>80.007000000000005</v>
      </c>
      <c r="T314" s="266">
        <f t="shared" si="763"/>
        <v>80.007000000000005</v>
      </c>
      <c r="U314" s="268">
        <f t="shared" si="763"/>
        <v>76.057000000000016</v>
      </c>
      <c r="V314" s="268">
        <f t="shared" si="763"/>
        <v>102.64500000000001</v>
      </c>
      <c r="W314" s="266">
        <f t="shared" si="763"/>
        <v>102.64500000000001</v>
      </c>
      <c r="X314" s="268">
        <f t="shared" si="763"/>
        <v>219.56630537749183</v>
      </c>
      <c r="Y314" s="268">
        <f t="shared" si="763"/>
        <v>352.93700000000001</v>
      </c>
      <c r="Z314" s="266">
        <f t="shared" si="763"/>
        <v>352.93700000000001</v>
      </c>
      <c r="AA314" s="268">
        <f t="shared" si="763"/>
        <v>421.94100000000003</v>
      </c>
      <c r="AB314" s="268">
        <f t="shared" si="763"/>
        <v>413.40271105862735</v>
      </c>
      <c r="AC314" s="266">
        <f t="shared" si="763"/>
        <v>413.40271105862735</v>
      </c>
      <c r="AD314" s="268">
        <f t="shared" si="763"/>
        <v>414.5829778742027</v>
      </c>
      <c r="AE314" s="268">
        <f t="shared" si="763"/>
        <v>416.41892121934131</v>
      </c>
      <c r="AF314" s="266">
        <f t="shared" si="763"/>
        <v>416.41892121934131</v>
      </c>
      <c r="AG314" s="268">
        <f t="shared" si="763"/>
        <v>424.61861836802802</v>
      </c>
      <c r="AH314" s="268">
        <f t="shared" si="763"/>
        <v>434.5658677565911</v>
      </c>
      <c r="AI314" s="266">
        <f t="shared" si="763"/>
        <v>434.5658677565911</v>
      </c>
      <c r="AJ314" s="268">
        <f t="shared" si="763"/>
        <v>458.30914136838771</v>
      </c>
      <c r="AK314" s="268">
        <f t="shared" si="763"/>
        <v>484.62484446120442</v>
      </c>
      <c r="AL314" s="266">
        <f t="shared" si="763"/>
        <v>484.62484446120442</v>
      </c>
      <c r="AM314" s="268">
        <f t="shared" si="763"/>
        <v>882.47645744294152</v>
      </c>
      <c r="AN314" s="268">
        <f t="shared" si="763"/>
        <v>942.63275019866194</v>
      </c>
      <c r="AO314" s="266">
        <f t="shared" si="763"/>
        <v>942.63275019866194</v>
      </c>
      <c r="AP314" s="268">
        <f t="shared" si="763"/>
        <v>1043.6791703019239</v>
      </c>
      <c r="AQ314" s="268">
        <f t="shared" si="763"/>
        <v>1155.6994157751994</v>
      </c>
      <c r="AR314" s="266">
        <f t="shared" si="763"/>
        <v>1155.6994157751994</v>
      </c>
      <c r="AS314" s="268">
        <f t="shared" si="763"/>
        <v>1292.0093889758302</v>
      </c>
      <c r="AT314" s="268">
        <f t="shared" si="763"/>
        <v>1442.311718116882</v>
      </c>
      <c r="AU314" s="266">
        <f t="shared" si="763"/>
        <v>1442.311718116882</v>
      </c>
      <c r="AV314" s="268">
        <f t="shared" si="763"/>
        <v>1618.5846078024288</v>
      </c>
      <c r="AW314" s="268">
        <f t="shared" si="763"/>
        <v>1812.1684206474806</v>
      </c>
      <c r="AX314" s="266">
        <f t="shared" si="763"/>
        <v>1812.1684206474806</v>
      </c>
      <c r="AY314" s="268">
        <f t="shared" si="763"/>
        <v>2030.3642843881757</v>
      </c>
      <c r="AZ314" s="268">
        <f t="shared" si="763"/>
        <v>2269.8296378502992</v>
      </c>
      <c r="BA314" s="266">
        <f t="shared" si="763"/>
        <v>2269.8296378502992</v>
      </c>
      <c r="BB314" s="268">
        <f t="shared" si="763"/>
        <v>2533.2556728033683</v>
      </c>
      <c r="BC314" s="268">
        <f t="shared" si="763"/>
        <v>2821.7399554763319</v>
      </c>
      <c r="BD314" s="266">
        <f t="shared" si="763"/>
        <v>2821.7399554763319</v>
      </c>
      <c r="BE314" s="268">
        <f t="shared" si="763"/>
        <v>3131.3161429843381</v>
      </c>
      <c r="BF314" s="268">
        <f t="shared" si="763"/>
        <v>3469.7566014637664</v>
      </c>
      <c r="BG314" s="266">
        <f t="shared" si="763"/>
        <v>3469.7566014637664</v>
      </c>
      <c r="BH314" s="268"/>
      <c r="BJ314"/>
      <c r="BK314"/>
      <c r="BL314"/>
      <c r="BM314"/>
      <c r="BN314"/>
      <c r="BO314"/>
    </row>
    <row r="315" spans="1:67" s="61" customFormat="1">
      <c r="A315" s="240"/>
      <c r="B315" s="240"/>
      <c r="C315" s="240"/>
      <c r="D315" s="240"/>
      <c r="E315" s="266"/>
      <c r="F315" s="268"/>
      <c r="G315" s="268"/>
      <c r="H315" s="266"/>
      <c r="I315" s="268"/>
      <c r="J315" s="268"/>
      <c r="K315" s="266"/>
      <c r="L315" s="268"/>
      <c r="M315" s="268"/>
      <c r="N315" s="266"/>
      <c r="O315" s="268"/>
      <c r="P315" s="268"/>
      <c r="Q315" s="266"/>
      <c r="R315" s="268"/>
      <c r="S315" s="268"/>
      <c r="T315" s="266"/>
      <c r="U315" s="268"/>
      <c r="V315" s="268"/>
      <c r="W315" s="266"/>
      <c r="X315" s="268"/>
      <c r="Y315" s="268"/>
      <c r="Z315" s="266"/>
      <c r="AA315" s="268"/>
      <c r="AB315" s="268"/>
      <c r="AC315" s="266"/>
      <c r="AD315" s="268"/>
      <c r="AE315" s="268"/>
      <c r="AF315" s="266"/>
      <c r="AG315" s="268"/>
      <c r="AH315" s="268"/>
      <c r="AI315" s="266"/>
      <c r="AJ315" s="268"/>
      <c r="AK315" s="268"/>
      <c r="AL315" s="266"/>
      <c r="AM315" s="268"/>
      <c r="AN315" s="268"/>
      <c r="AO315" s="266"/>
      <c r="AP315" s="268"/>
      <c r="AQ315" s="268"/>
      <c r="AR315" s="266"/>
      <c r="AS315" s="268"/>
      <c r="AT315" s="268"/>
      <c r="AU315" s="266"/>
      <c r="AV315" s="268"/>
      <c r="AW315" s="268"/>
      <c r="AX315" s="266"/>
      <c r="AY315" s="268"/>
      <c r="AZ315" s="268"/>
      <c r="BA315" s="266"/>
      <c r="BB315" s="268"/>
      <c r="BC315" s="268"/>
      <c r="BD315" s="266"/>
      <c r="BE315" s="268"/>
      <c r="BF315" s="268"/>
      <c r="BG315" s="266"/>
      <c r="BH315" s="268"/>
      <c r="BJ315"/>
      <c r="BK315"/>
      <c r="BL315"/>
      <c r="BM315"/>
      <c r="BN315"/>
      <c r="BO315"/>
    </row>
    <row r="316" spans="1:67" s="61" customFormat="1">
      <c r="A316" s="240"/>
      <c r="B316" s="240" t="s">
        <v>378</v>
      </c>
      <c r="C316" s="240"/>
      <c r="D316" s="240"/>
      <c r="E316" s="266">
        <f t="shared" ref="E316:BG316" si="764">E183-E169</f>
        <v>0.7860510000000005</v>
      </c>
      <c r="F316" s="268">
        <f t="shared" si="764"/>
        <v>20.523895999999997</v>
      </c>
      <c r="G316" s="268">
        <f t="shared" si="764"/>
        <v>10.085339000000001</v>
      </c>
      <c r="H316" s="266">
        <f t="shared" si="764"/>
        <v>10.085339000000001</v>
      </c>
      <c r="I316" s="268">
        <f t="shared" si="764"/>
        <v>17.303764999999999</v>
      </c>
      <c r="J316" s="268">
        <f t="shared" si="764"/>
        <v>14.081000000000003</v>
      </c>
      <c r="K316" s="266">
        <f t="shared" si="764"/>
        <v>14.081000000000003</v>
      </c>
      <c r="L316" s="268">
        <f t="shared" si="764"/>
        <v>19.625999999999998</v>
      </c>
      <c r="M316" s="268">
        <f t="shared" si="764"/>
        <v>15.682999999999993</v>
      </c>
      <c r="N316" s="266">
        <f t="shared" si="764"/>
        <v>15.682999999999993</v>
      </c>
      <c r="O316" s="268">
        <f t="shared" si="764"/>
        <v>20.689999999999991</v>
      </c>
      <c r="P316" s="268">
        <f t="shared" si="764"/>
        <v>25.506</v>
      </c>
      <c r="Q316" s="266">
        <f t="shared" si="764"/>
        <v>25.506</v>
      </c>
      <c r="R316" s="268">
        <f t="shared" si="764"/>
        <v>26.886999999999972</v>
      </c>
      <c r="S316" s="268">
        <f t="shared" si="764"/>
        <v>56.904000000000011</v>
      </c>
      <c r="T316" s="266">
        <f t="shared" si="764"/>
        <v>56.904000000000011</v>
      </c>
      <c r="U316" s="268">
        <f t="shared" si="764"/>
        <v>87.563000000000002</v>
      </c>
      <c r="V316" s="268">
        <f t="shared" si="764"/>
        <v>74.396000000000001</v>
      </c>
      <c r="W316" s="266">
        <f t="shared" si="764"/>
        <v>74.396000000000001</v>
      </c>
      <c r="X316" s="268">
        <f t="shared" si="764"/>
        <v>61.021923833768312</v>
      </c>
      <c r="Y316" s="268">
        <f t="shared" si="764"/>
        <v>130.11800000000005</v>
      </c>
      <c r="Z316" s="266">
        <f t="shared" si="764"/>
        <v>130.11800000000005</v>
      </c>
      <c r="AA316" s="268">
        <f t="shared" si="764"/>
        <v>190.85699999999997</v>
      </c>
      <c r="AB316" s="268">
        <f t="shared" si="764"/>
        <v>196.89918879237177</v>
      </c>
      <c r="AC316" s="266">
        <f t="shared" si="764"/>
        <v>196.89918879237177</v>
      </c>
      <c r="AD316" s="268">
        <f t="shared" si="764"/>
        <v>213.69624747096918</v>
      </c>
      <c r="AE316" s="268">
        <f t="shared" si="764"/>
        <v>218.04904030934145</v>
      </c>
      <c r="AF316" s="266">
        <f t="shared" si="764"/>
        <v>218.04904030934145</v>
      </c>
      <c r="AG316" s="268">
        <f t="shared" si="764"/>
        <v>238.78329358884361</v>
      </c>
      <c r="AH316" s="268">
        <f t="shared" si="764"/>
        <v>242.01836418759555</v>
      </c>
      <c r="AI316" s="266">
        <f t="shared" si="764"/>
        <v>242.01836418759555</v>
      </c>
      <c r="AJ316" s="268">
        <f t="shared" si="764"/>
        <v>265.80416719076595</v>
      </c>
      <c r="AK316" s="268">
        <f t="shared" si="764"/>
        <v>269.53685376251627</v>
      </c>
      <c r="AL316" s="266">
        <f t="shared" si="764"/>
        <v>269.53685376251627</v>
      </c>
      <c r="AM316" s="268">
        <f t="shared" si="764"/>
        <v>334.05158596899469</v>
      </c>
      <c r="AN316" s="268">
        <f t="shared" si="764"/>
        <v>339.12009730371904</v>
      </c>
      <c r="AO316" s="266">
        <f t="shared" si="764"/>
        <v>339.12009730371904</v>
      </c>
      <c r="AP316" s="268">
        <f t="shared" si="764"/>
        <v>384.96413829664755</v>
      </c>
      <c r="AQ316" s="268">
        <f t="shared" si="764"/>
        <v>397.21049619419517</v>
      </c>
      <c r="AR316" s="266">
        <f t="shared" si="764"/>
        <v>397.21049619419517</v>
      </c>
      <c r="AS316" s="268">
        <f t="shared" si="764"/>
        <v>437.99550685488407</v>
      </c>
      <c r="AT316" s="268">
        <f t="shared" si="764"/>
        <v>452.30742794721823</v>
      </c>
      <c r="AU316" s="266">
        <f t="shared" si="764"/>
        <v>452.30742794721823</v>
      </c>
      <c r="AV316" s="268">
        <f t="shared" si="764"/>
        <v>492.24052793771421</v>
      </c>
      <c r="AW316" s="268">
        <f t="shared" si="764"/>
        <v>508.62678329728669</v>
      </c>
      <c r="AX316" s="266">
        <f t="shared" si="764"/>
        <v>508.62678329728669</v>
      </c>
      <c r="AY316" s="268">
        <f t="shared" si="764"/>
        <v>544.73866893911259</v>
      </c>
      <c r="AZ316" s="268">
        <f t="shared" si="764"/>
        <v>563.39176375997909</v>
      </c>
      <c r="BA316" s="266">
        <f t="shared" si="764"/>
        <v>563.39176375997909</v>
      </c>
      <c r="BB316" s="268">
        <f t="shared" si="764"/>
        <v>596.77664150590476</v>
      </c>
      <c r="BC316" s="268">
        <f t="shared" si="764"/>
        <v>617.45445704176177</v>
      </c>
      <c r="BD316" s="266">
        <f t="shared" si="764"/>
        <v>617.45445704176177</v>
      </c>
      <c r="BE316" s="268">
        <f t="shared" si="764"/>
        <v>644.85511968983974</v>
      </c>
      <c r="BF316" s="268">
        <f t="shared" si="764"/>
        <v>667.38465173252052</v>
      </c>
      <c r="BG316" s="266">
        <f t="shared" si="764"/>
        <v>667.38465173252052</v>
      </c>
      <c r="BH316" s="268"/>
      <c r="BJ316"/>
      <c r="BK316"/>
      <c r="BL316"/>
      <c r="BM316"/>
      <c r="BN316"/>
      <c r="BO316"/>
    </row>
    <row r="317" spans="1:67" s="61" customFormat="1">
      <c r="A317" s="240"/>
      <c r="B317" s="240" t="s">
        <v>379</v>
      </c>
      <c r="C317" s="240" t="s">
        <v>380</v>
      </c>
      <c r="D317" s="240"/>
      <c r="E317" s="266">
        <f t="shared" ref="E317:BG317" si="765">-(E219-E210)</f>
        <v>-1.123011</v>
      </c>
      <c r="F317" s="268">
        <f t="shared" si="765"/>
        <v>-3.4127649999999998</v>
      </c>
      <c r="G317" s="268">
        <f t="shared" si="765"/>
        <v>-7.1087219999999993</v>
      </c>
      <c r="H317" s="266">
        <f t="shared" si="765"/>
        <v>-7.1087219999999993</v>
      </c>
      <c r="I317" s="268">
        <f t="shared" si="765"/>
        <v>-5.7322230000000012</v>
      </c>
      <c r="J317" s="268">
        <f t="shared" si="765"/>
        <v>-10.135</v>
      </c>
      <c r="K317" s="266">
        <f t="shared" si="765"/>
        <v>-10.135</v>
      </c>
      <c r="L317" s="268">
        <f t="shared" si="765"/>
        <v>-7.7750000000000012</v>
      </c>
      <c r="M317" s="268">
        <f t="shared" si="765"/>
        <v>-19.189</v>
      </c>
      <c r="N317" s="266">
        <f t="shared" si="765"/>
        <v>-19.189</v>
      </c>
      <c r="O317" s="268">
        <f t="shared" si="765"/>
        <v>-21.736000000000001</v>
      </c>
      <c r="P317" s="268">
        <f t="shared" si="765"/>
        <v>-37.35</v>
      </c>
      <c r="Q317" s="266">
        <f t="shared" si="765"/>
        <v>-37.35</v>
      </c>
      <c r="R317" s="268">
        <f t="shared" si="765"/>
        <v>-45.991</v>
      </c>
      <c r="S317" s="268">
        <f t="shared" si="765"/>
        <v>-84.914999999999992</v>
      </c>
      <c r="T317" s="266">
        <f t="shared" si="765"/>
        <v>-84.914999999999992</v>
      </c>
      <c r="U317" s="268">
        <f t="shared" si="765"/>
        <v>-141.77600000000001</v>
      </c>
      <c r="V317" s="268">
        <f t="shared" si="765"/>
        <v>-110.30600000000001</v>
      </c>
      <c r="W317" s="266">
        <f t="shared" si="765"/>
        <v>-110.30600000000001</v>
      </c>
      <c r="X317" s="268">
        <f t="shared" si="765"/>
        <v>-170.46594308141124</v>
      </c>
      <c r="Y317" s="268">
        <f t="shared" si="765"/>
        <v>-191.779</v>
      </c>
      <c r="Z317" s="266">
        <f t="shared" si="765"/>
        <v>-191.779</v>
      </c>
      <c r="AA317" s="268">
        <f t="shared" si="765"/>
        <v>-277.51799999999997</v>
      </c>
      <c r="AB317" s="268">
        <f t="shared" si="765"/>
        <v>-229.0011565595278</v>
      </c>
      <c r="AC317" s="266">
        <f t="shared" si="765"/>
        <v>-229.0011565595278</v>
      </c>
      <c r="AD317" s="268">
        <f t="shared" si="765"/>
        <v>-220.77197991849042</v>
      </c>
      <c r="AE317" s="268">
        <f t="shared" si="765"/>
        <v>-224.38161300396985</v>
      </c>
      <c r="AF317" s="266">
        <f t="shared" si="765"/>
        <v>-224.38161300396985</v>
      </c>
      <c r="AG317" s="268">
        <f t="shared" si="765"/>
        <v>-241.57587182111794</v>
      </c>
      <c r="AH317" s="268">
        <f t="shared" si="765"/>
        <v>-244.25861329325372</v>
      </c>
      <c r="AI317" s="266">
        <f t="shared" si="765"/>
        <v>-244.25861329325372</v>
      </c>
      <c r="AJ317" s="268">
        <f t="shared" si="765"/>
        <v>-263.98342553978529</v>
      </c>
      <c r="AK317" s="268">
        <f t="shared" si="765"/>
        <v>-267.07882416026115</v>
      </c>
      <c r="AL317" s="266">
        <f t="shared" si="765"/>
        <v>-267.07882416026115</v>
      </c>
      <c r="AM317" s="268">
        <f t="shared" si="765"/>
        <v>-320.57884599002375</v>
      </c>
      <c r="AN317" s="268">
        <f t="shared" si="765"/>
        <v>-324.78200173101465</v>
      </c>
      <c r="AO317" s="266">
        <f t="shared" si="765"/>
        <v>-324.78200173101465</v>
      </c>
      <c r="AP317" s="268">
        <f t="shared" si="765"/>
        <v>-362.79901133490648</v>
      </c>
      <c r="AQ317" s="268">
        <f t="shared" si="765"/>
        <v>-372.95452764018995</v>
      </c>
      <c r="AR317" s="266">
        <f t="shared" si="765"/>
        <v>-372.95452764018995</v>
      </c>
      <c r="AS317" s="268">
        <f t="shared" si="765"/>
        <v>-406.77624379783435</v>
      </c>
      <c r="AT317" s="268">
        <f t="shared" si="765"/>
        <v>-418.64466616708717</v>
      </c>
      <c r="AU317" s="266">
        <f t="shared" si="765"/>
        <v>-418.64466616708717</v>
      </c>
      <c r="AV317" s="268">
        <f t="shared" si="765"/>
        <v>-451.75991981774223</v>
      </c>
      <c r="AW317" s="268">
        <f t="shared" si="765"/>
        <v>-465.34852182324158</v>
      </c>
      <c r="AX317" s="266">
        <f t="shared" si="765"/>
        <v>-465.34852182324158</v>
      </c>
      <c r="AY317" s="268">
        <f t="shared" si="765"/>
        <v>-495.29496357499971</v>
      </c>
      <c r="AZ317" s="268">
        <f t="shared" si="765"/>
        <v>-510.76338367035231</v>
      </c>
      <c r="BA317" s="266">
        <f t="shared" si="765"/>
        <v>-510.76338367035231</v>
      </c>
      <c r="BB317" s="268">
        <f t="shared" si="765"/>
        <v>-538.44840424014478</v>
      </c>
      <c r="BC317" s="268">
        <f t="shared" si="765"/>
        <v>-555.59586102597734</v>
      </c>
      <c r="BD317" s="266">
        <f t="shared" si="765"/>
        <v>-555.59586102597734</v>
      </c>
      <c r="BE317" s="268">
        <f t="shared" si="765"/>
        <v>-578.31836175852948</v>
      </c>
      <c r="BF317" s="268">
        <f t="shared" si="765"/>
        <v>-597.00138833050846</v>
      </c>
      <c r="BG317" s="266">
        <f t="shared" si="765"/>
        <v>-597.00138833050846</v>
      </c>
      <c r="BH317" s="268"/>
      <c r="BJ317"/>
      <c r="BK317"/>
      <c r="BL317"/>
      <c r="BM317"/>
      <c r="BN317"/>
      <c r="BO317"/>
    </row>
    <row r="318" spans="1:67" s="61" customFormat="1">
      <c r="A318" s="240"/>
      <c r="B318" s="240" t="s">
        <v>381</v>
      </c>
      <c r="C318" s="240" t="s">
        <v>382</v>
      </c>
      <c r="D318" s="240"/>
      <c r="E318" s="266">
        <f t="shared" ref="E318:T318" si="766">SUM(E316:E317)</f>
        <v>-0.33695999999999948</v>
      </c>
      <c r="F318" s="268">
        <f t="shared" si="766"/>
        <v>17.111130999999997</v>
      </c>
      <c r="G318" s="268">
        <f t="shared" si="766"/>
        <v>2.9766170000000018</v>
      </c>
      <c r="H318" s="266">
        <f t="shared" si="766"/>
        <v>2.9766170000000018</v>
      </c>
      <c r="I318" s="268">
        <f t="shared" si="766"/>
        <v>11.571541999999997</v>
      </c>
      <c r="J318" s="268">
        <f t="shared" si="766"/>
        <v>3.9460000000000033</v>
      </c>
      <c r="K318" s="266">
        <f t="shared" si="766"/>
        <v>3.9460000000000033</v>
      </c>
      <c r="L318" s="268">
        <f t="shared" si="766"/>
        <v>11.850999999999996</v>
      </c>
      <c r="M318" s="268">
        <f t="shared" si="766"/>
        <v>-3.5060000000000073</v>
      </c>
      <c r="N318" s="266">
        <f t="shared" si="766"/>
        <v>-3.5060000000000073</v>
      </c>
      <c r="O318" s="268">
        <f t="shared" si="766"/>
        <v>-1.04600000000001</v>
      </c>
      <c r="P318" s="268">
        <f t="shared" si="766"/>
        <v>-11.844000000000001</v>
      </c>
      <c r="Q318" s="266">
        <f t="shared" si="766"/>
        <v>-11.844000000000001</v>
      </c>
      <c r="R318" s="268">
        <f t="shared" si="766"/>
        <v>-19.104000000000028</v>
      </c>
      <c r="S318" s="268">
        <f t="shared" si="766"/>
        <v>-28.010999999999981</v>
      </c>
      <c r="T318" s="266">
        <f t="shared" si="766"/>
        <v>-28.010999999999981</v>
      </c>
      <c r="U318" s="268">
        <f t="shared" ref="U318:BG318" si="767">SUM(U316:U317)</f>
        <v>-54.213000000000008</v>
      </c>
      <c r="V318" s="268">
        <f t="shared" si="767"/>
        <v>-35.910000000000011</v>
      </c>
      <c r="W318" s="266">
        <f t="shared" si="767"/>
        <v>-35.910000000000011</v>
      </c>
      <c r="X318" s="268">
        <f t="shared" si="767"/>
        <v>-109.44401924764293</v>
      </c>
      <c r="Y318" s="268">
        <f t="shared" si="767"/>
        <v>-61.660999999999945</v>
      </c>
      <c r="Z318" s="266">
        <f t="shared" si="767"/>
        <v>-61.660999999999945</v>
      </c>
      <c r="AA318" s="268">
        <f t="shared" si="767"/>
        <v>-86.661000000000001</v>
      </c>
      <c r="AB318" s="268">
        <f t="shared" si="767"/>
        <v>-32.101967767156026</v>
      </c>
      <c r="AC318" s="266">
        <f t="shared" si="767"/>
        <v>-32.101967767156026</v>
      </c>
      <c r="AD318" s="268">
        <f t="shared" si="767"/>
        <v>-7.0757324475212329</v>
      </c>
      <c r="AE318" s="268">
        <f t="shared" si="767"/>
        <v>-6.3325726946283964</v>
      </c>
      <c r="AF318" s="266">
        <f t="shared" si="767"/>
        <v>-6.3325726946283964</v>
      </c>
      <c r="AG318" s="268">
        <f t="shared" si="767"/>
        <v>-2.7925782322743373</v>
      </c>
      <c r="AH318" s="268">
        <f t="shared" si="767"/>
        <v>-2.2402491056581653</v>
      </c>
      <c r="AI318" s="266">
        <f t="shared" si="767"/>
        <v>-2.2402491056581653</v>
      </c>
      <c r="AJ318" s="268">
        <f t="shared" si="767"/>
        <v>1.8207416509806649</v>
      </c>
      <c r="AK318" s="268">
        <f t="shared" si="767"/>
        <v>2.4580296022551238</v>
      </c>
      <c r="AL318" s="266">
        <f t="shared" si="767"/>
        <v>2.4580296022551238</v>
      </c>
      <c r="AM318" s="268">
        <f t="shared" si="767"/>
        <v>13.472739978970935</v>
      </c>
      <c r="AN318" s="268">
        <f t="shared" si="767"/>
        <v>14.33809557270439</v>
      </c>
      <c r="AO318" s="266">
        <f t="shared" si="767"/>
        <v>14.33809557270439</v>
      </c>
      <c r="AP318" s="268">
        <f t="shared" si="767"/>
        <v>22.165126961741066</v>
      </c>
      <c r="AQ318" s="268">
        <f t="shared" si="767"/>
        <v>24.255968554005221</v>
      </c>
      <c r="AR318" s="266">
        <f t="shared" si="767"/>
        <v>24.255968554005221</v>
      </c>
      <c r="AS318" s="268">
        <f t="shared" si="767"/>
        <v>31.219263057049716</v>
      </c>
      <c r="AT318" s="268">
        <f t="shared" si="767"/>
        <v>33.662761780131063</v>
      </c>
      <c r="AU318" s="266">
        <f t="shared" si="767"/>
        <v>33.662761780131063</v>
      </c>
      <c r="AV318" s="268">
        <f t="shared" si="767"/>
        <v>40.480608119971976</v>
      </c>
      <c r="AW318" s="268">
        <f t="shared" si="767"/>
        <v>43.278261474045109</v>
      </c>
      <c r="AX318" s="266">
        <f t="shared" si="767"/>
        <v>43.278261474045109</v>
      </c>
      <c r="AY318" s="268">
        <f t="shared" si="767"/>
        <v>49.443705364112873</v>
      </c>
      <c r="AZ318" s="268">
        <f t="shared" si="767"/>
        <v>52.628380089626773</v>
      </c>
      <c r="BA318" s="266">
        <f t="shared" si="767"/>
        <v>52.628380089626773</v>
      </c>
      <c r="BB318" s="268">
        <f t="shared" si="767"/>
        <v>58.328237265759981</v>
      </c>
      <c r="BC318" s="268">
        <f t="shared" si="767"/>
        <v>61.858596015784428</v>
      </c>
      <c r="BD318" s="266">
        <f t="shared" si="767"/>
        <v>61.858596015784428</v>
      </c>
      <c r="BE318" s="268">
        <f t="shared" si="767"/>
        <v>66.536757931310262</v>
      </c>
      <c r="BF318" s="268">
        <f t="shared" si="767"/>
        <v>70.383263402012062</v>
      </c>
      <c r="BG318" s="266">
        <f t="shared" si="767"/>
        <v>70.383263402012062</v>
      </c>
      <c r="BH318" s="268"/>
      <c r="BJ318"/>
      <c r="BK318"/>
      <c r="BL318"/>
      <c r="BM318"/>
      <c r="BN318"/>
      <c r="BO318"/>
    </row>
    <row r="319" spans="1:67" s="61" customFormat="1">
      <c r="A319" s="240"/>
      <c r="B319" s="240"/>
      <c r="C319" s="240"/>
      <c r="D319" s="240"/>
      <c r="E319" s="266"/>
      <c r="F319" s="268"/>
      <c r="G319" s="268"/>
      <c r="H319" s="266"/>
      <c r="I319" s="268"/>
      <c r="J319" s="268"/>
      <c r="K319" s="266"/>
      <c r="L319" s="268"/>
      <c r="M319" s="268"/>
      <c r="N319" s="266"/>
      <c r="O319" s="268"/>
      <c r="P319" s="268"/>
      <c r="Q319" s="266"/>
      <c r="R319" s="268"/>
      <c r="S319" s="268"/>
      <c r="T319" s="266"/>
      <c r="U319" s="268"/>
      <c r="V319" s="268"/>
      <c r="W319" s="266"/>
      <c r="X319" s="268"/>
      <c r="Y319" s="268"/>
      <c r="Z319" s="266"/>
      <c r="AA319" s="268"/>
      <c r="AB319" s="268"/>
      <c r="AC319" s="266"/>
      <c r="AD319" s="268"/>
      <c r="AE319" s="268"/>
      <c r="AF319" s="266"/>
      <c r="AG319" s="268"/>
      <c r="AH319" s="268"/>
      <c r="AI319" s="266"/>
      <c r="AJ319" s="268"/>
      <c r="AK319" s="268"/>
      <c r="AL319" s="266"/>
      <c r="AM319" s="268"/>
      <c r="AN319" s="268"/>
      <c r="AO319" s="266"/>
      <c r="AP319" s="268"/>
      <c r="AQ319" s="268"/>
      <c r="AR319" s="266"/>
      <c r="AS319" s="268"/>
      <c r="AT319" s="268"/>
      <c r="AU319" s="266"/>
      <c r="AV319" s="268"/>
      <c r="AW319" s="268"/>
      <c r="AX319" s="266"/>
      <c r="AY319" s="268"/>
      <c r="AZ319" s="268"/>
      <c r="BA319" s="266"/>
      <c r="BB319" s="268"/>
      <c r="BC319" s="268"/>
      <c r="BD319" s="266"/>
      <c r="BE319" s="268"/>
      <c r="BF319" s="268"/>
      <c r="BG319" s="266"/>
      <c r="BH319" s="268"/>
      <c r="BJ319"/>
      <c r="BK319"/>
      <c r="BL319"/>
      <c r="BM319"/>
      <c r="BN319"/>
      <c r="BO319"/>
    </row>
    <row r="320" spans="1:67" s="61" customFormat="1">
      <c r="A320" s="240"/>
      <c r="B320" s="240" t="s">
        <v>383</v>
      </c>
      <c r="C320" s="240"/>
      <c r="D320" s="240"/>
      <c r="E320" s="266">
        <f t="shared" ref="E320:BG320" si="768">E186</f>
        <v>5.3890000000000006E-3</v>
      </c>
      <c r="F320" s="268">
        <f t="shared" si="768"/>
        <v>0</v>
      </c>
      <c r="G320" s="268">
        <f t="shared" si="768"/>
        <v>0</v>
      </c>
      <c r="H320" s="266">
        <f t="shared" si="768"/>
        <v>0.22617100000000001</v>
      </c>
      <c r="I320" s="268">
        <f t="shared" si="768"/>
        <v>0.25547500000000001</v>
      </c>
      <c r="J320" s="268">
        <f t="shared" si="768"/>
        <v>0</v>
      </c>
      <c r="K320" s="266">
        <f t="shared" si="768"/>
        <v>1.899</v>
      </c>
      <c r="L320" s="268">
        <f t="shared" si="768"/>
        <v>5.077</v>
      </c>
      <c r="M320" s="268">
        <f t="shared" si="768"/>
        <v>4.8209999999999997</v>
      </c>
      <c r="N320" s="266">
        <f t="shared" si="768"/>
        <v>4.8209999999999997</v>
      </c>
      <c r="O320" s="268">
        <f t="shared" si="768"/>
        <v>4.5819999999999999</v>
      </c>
      <c r="P320" s="268">
        <f t="shared" si="768"/>
        <v>3.9510000000000001</v>
      </c>
      <c r="Q320" s="266">
        <f t="shared" si="768"/>
        <v>3.9510000000000001</v>
      </c>
      <c r="R320" s="268">
        <f t="shared" si="768"/>
        <v>6.0949999999999998</v>
      </c>
      <c r="S320" s="268">
        <f t="shared" si="768"/>
        <v>12.032</v>
      </c>
      <c r="T320" s="266">
        <f t="shared" si="768"/>
        <v>12.032</v>
      </c>
      <c r="U320" s="268">
        <f t="shared" si="768"/>
        <v>16.815000000000001</v>
      </c>
      <c r="V320" s="268">
        <f t="shared" si="768"/>
        <v>15.848000000000001</v>
      </c>
      <c r="W320" s="266">
        <f t="shared" si="768"/>
        <v>15.848000000000001</v>
      </c>
      <c r="X320" s="268">
        <f t="shared" si="768"/>
        <v>19.464183875348596</v>
      </c>
      <c r="Y320" s="268">
        <f t="shared" si="768"/>
        <v>27.841000000000001</v>
      </c>
      <c r="Z320" s="266">
        <f t="shared" si="768"/>
        <v>27.841000000000001</v>
      </c>
      <c r="AA320" s="268">
        <f t="shared" si="768"/>
        <v>42.463000000000001</v>
      </c>
      <c r="AB320" s="268">
        <f t="shared" si="768"/>
        <v>39.083311893137591</v>
      </c>
      <c r="AC320" s="266">
        <f t="shared" si="768"/>
        <v>39.083311893137591</v>
      </c>
      <c r="AD320" s="268">
        <f t="shared" si="768"/>
        <v>47.503520922280067</v>
      </c>
      <c r="AE320" s="268">
        <f t="shared" si="768"/>
        <v>56.327159531564362</v>
      </c>
      <c r="AF320" s="266">
        <f t="shared" si="768"/>
        <v>56.327159531564362</v>
      </c>
      <c r="AG320" s="268">
        <f t="shared" si="768"/>
        <v>58.344586786089664</v>
      </c>
      <c r="AH320" s="268">
        <f t="shared" si="768"/>
        <v>60.425137369371107</v>
      </c>
      <c r="AI320" s="266">
        <f t="shared" si="768"/>
        <v>60.425137369371107</v>
      </c>
      <c r="AJ320" s="268">
        <f t="shared" si="768"/>
        <v>62.706182902939553</v>
      </c>
      <c r="AK320" s="268">
        <f t="shared" si="768"/>
        <v>65.06006134522508</v>
      </c>
      <c r="AL320" s="266">
        <f t="shared" si="768"/>
        <v>65.06006134522508</v>
      </c>
      <c r="AM320" s="268">
        <f t="shared" si="768"/>
        <v>68.006935354678689</v>
      </c>
      <c r="AN320" s="268">
        <f t="shared" si="768"/>
        <v>71.052707146273249</v>
      </c>
      <c r="AO320" s="266">
        <f t="shared" si="768"/>
        <v>71.052707146273249</v>
      </c>
      <c r="AP320" s="268">
        <f t="shared" si="768"/>
        <v>74.496288983313718</v>
      </c>
      <c r="AQ320" s="268">
        <f t="shared" si="768"/>
        <v>78.178824145184365</v>
      </c>
      <c r="AR320" s="266">
        <f t="shared" si="768"/>
        <v>78.178824145184365</v>
      </c>
      <c r="AS320" s="268">
        <f t="shared" si="768"/>
        <v>82.139785187671038</v>
      </c>
      <c r="AT320" s="268">
        <f t="shared" si="768"/>
        <v>86.380003227081303</v>
      </c>
      <c r="AU320" s="266">
        <f t="shared" si="768"/>
        <v>86.380003227081303</v>
      </c>
      <c r="AV320" s="268">
        <f t="shared" si="768"/>
        <v>90.870183987449252</v>
      </c>
      <c r="AW320" s="268">
        <f t="shared" si="768"/>
        <v>95.680096559711288</v>
      </c>
      <c r="AX320" s="266">
        <f t="shared" si="768"/>
        <v>95.680096559711288</v>
      </c>
      <c r="AY320" s="268">
        <f t="shared" si="768"/>
        <v>100.68245430545873</v>
      </c>
      <c r="AZ320" s="268">
        <f t="shared" si="768"/>
        <v>106.04877487697917</v>
      </c>
      <c r="BA320" s="266">
        <f t="shared" si="768"/>
        <v>106.04877487697917</v>
      </c>
      <c r="BB320" s="268">
        <f t="shared" si="768"/>
        <v>111.5588201599636</v>
      </c>
      <c r="BC320" s="268">
        <f t="shared" si="768"/>
        <v>117.47233501437941</v>
      </c>
      <c r="BD320" s="266">
        <f t="shared" si="768"/>
        <v>117.47233501437941</v>
      </c>
      <c r="BE320" s="268">
        <f t="shared" si="768"/>
        <v>123.45143862110955</v>
      </c>
      <c r="BF320" s="268">
        <f t="shared" si="768"/>
        <v>129.87014285306273</v>
      </c>
      <c r="BG320" s="266">
        <f t="shared" si="768"/>
        <v>129.87014285306273</v>
      </c>
      <c r="BH320" s="268"/>
      <c r="BJ320"/>
      <c r="BK320"/>
      <c r="BL320"/>
      <c r="BM320"/>
      <c r="BN320"/>
      <c r="BO320"/>
    </row>
    <row r="321" spans="1:67" s="61" customFormat="1">
      <c r="A321" s="240"/>
      <c r="B321" s="240" t="s">
        <v>384</v>
      </c>
      <c r="C321" s="240"/>
      <c r="D321" s="240"/>
      <c r="E321" s="266">
        <f t="shared" ref="E321:BG321" si="769">(E201-E192-E186-E183)-(E232-E221-E219)</f>
        <v>1.2108409999999974</v>
      </c>
      <c r="F321" s="268">
        <f t="shared" si="769"/>
        <v>1.2698710000000002</v>
      </c>
      <c r="G321" s="268">
        <f t="shared" si="769"/>
        <v>25.885896999999996</v>
      </c>
      <c r="H321" s="266">
        <f t="shared" si="769"/>
        <v>25.659726000000003</v>
      </c>
      <c r="I321" s="268">
        <f t="shared" si="769"/>
        <v>23.029689000000001</v>
      </c>
      <c r="J321" s="268">
        <f t="shared" si="769"/>
        <v>23.667999999999999</v>
      </c>
      <c r="K321" s="266">
        <f t="shared" si="769"/>
        <v>21.768999999999998</v>
      </c>
      <c r="L321" s="268">
        <f t="shared" si="769"/>
        <v>15.490000000000006</v>
      </c>
      <c r="M321" s="268">
        <f t="shared" si="769"/>
        <v>1.9629999999999797</v>
      </c>
      <c r="N321" s="266">
        <f t="shared" si="769"/>
        <v>1.9629999999999797</v>
      </c>
      <c r="O321" s="268">
        <f t="shared" si="769"/>
        <v>-3.5249999999999915</v>
      </c>
      <c r="P321" s="268">
        <f t="shared" si="769"/>
        <v>-9.4470000000000098</v>
      </c>
      <c r="Q321" s="266">
        <f t="shared" si="769"/>
        <v>-9.4470000000000098</v>
      </c>
      <c r="R321" s="268">
        <f t="shared" si="769"/>
        <v>-1.6250000000000071</v>
      </c>
      <c r="S321" s="268">
        <f t="shared" si="769"/>
        <v>-9.8970000000000056</v>
      </c>
      <c r="T321" s="266">
        <f t="shared" si="769"/>
        <v>-9.8970000000000056</v>
      </c>
      <c r="U321" s="268">
        <f t="shared" si="769"/>
        <v>47.78000000000003</v>
      </c>
      <c r="V321" s="268">
        <f t="shared" si="769"/>
        <v>50.67600000000003</v>
      </c>
      <c r="W321" s="266">
        <f t="shared" si="769"/>
        <v>50.67600000000003</v>
      </c>
      <c r="X321" s="268">
        <f t="shared" si="769"/>
        <v>265.40054146291021</v>
      </c>
      <c r="Y321" s="268">
        <f t="shared" si="769"/>
        <v>306.92000000000007</v>
      </c>
      <c r="Z321" s="266">
        <f t="shared" si="769"/>
        <v>306.92000000000007</v>
      </c>
      <c r="AA321" s="268">
        <f t="shared" si="769"/>
        <v>677.2360000000001</v>
      </c>
      <c r="AB321" s="268">
        <f t="shared" si="769"/>
        <v>699.15717930660423</v>
      </c>
      <c r="AC321" s="266">
        <f t="shared" si="769"/>
        <v>699.15717930660423</v>
      </c>
      <c r="AD321" s="268">
        <f t="shared" si="769"/>
        <v>701.81619268422844</v>
      </c>
      <c r="AE321" s="268">
        <f t="shared" si="769"/>
        <v>718.53466583866191</v>
      </c>
      <c r="AF321" s="266">
        <f t="shared" si="769"/>
        <v>718.53466583866191</v>
      </c>
      <c r="AG321" s="268">
        <f t="shared" si="769"/>
        <v>721.56080672044959</v>
      </c>
      <c r="AH321" s="268">
        <f t="shared" si="769"/>
        <v>724.68163259537198</v>
      </c>
      <c r="AI321" s="266">
        <f t="shared" si="769"/>
        <v>724.68163259537198</v>
      </c>
      <c r="AJ321" s="268">
        <f t="shared" si="769"/>
        <v>728.10320089572474</v>
      </c>
      <c r="AK321" s="268">
        <f t="shared" si="769"/>
        <v>731.63401855915345</v>
      </c>
      <c r="AL321" s="266">
        <f t="shared" si="769"/>
        <v>731.63401855915345</v>
      </c>
      <c r="AM321" s="268">
        <f t="shared" si="769"/>
        <v>736.05432957333346</v>
      </c>
      <c r="AN321" s="268">
        <f t="shared" si="769"/>
        <v>740.62298726072549</v>
      </c>
      <c r="AO321" s="266">
        <f t="shared" si="769"/>
        <v>740.62298726072549</v>
      </c>
      <c r="AP321" s="268">
        <f t="shared" si="769"/>
        <v>745.78836001628611</v>
      </c>
      <c r="AQ321" s="268">
        <f t="shared" si="769"/>
        <v>751.31216275909196</v>
      </c>
      <c r="AR321" s="266">
        <f t="shared" si="769"/>
        <v>751.31216275909196</v>
      </c>
      <c r="AS321" s="268">
        <f t="shared" si="769"/>
        <v>757.25360432282196</v>
      </c>
      <c r="AT321" s="268">
        <f t="shared" si="769"/>
        <v>763.61393138193739</v>
      </c>
      <c r="AU321" s="266">
        <f t="shared" si="769"/>
        <v>763.61393138193739</v>
      </c>
      <c r="AV321" s="268">
        <f t="shared" si="769"/>
        <v>770.34920252248935</v>
      </c>
      <c r="AW321" s="268">
        <f t="shared" si="769"/>
        <v>777.56407138088241</v>
      </c>
      <c r="AX321" s="266">
        <f t="shared" si="769"/>
        <v>777.56407138088241</v>
      </c>
      <c r="AY321" s="268">
        <f t="shared" si="769"/>
        <v>785.06760799950359</v>
      </c>
      <c r="AZ321" s="268">
        <f t="shared" si="769"/>
        <v>793.11708885678388</v>
      </c>
      <c r="BA321" s="266">
        <f t="shared" si="769"/>
        <v>793.11708885678388</v>
      </c>
      <c r="BB321" s="268">
        <f t="shared" si="769"/>
        <v>801.38215678126119</v>
      </c>
      <c r="BC321" s="268">
        <f t="shared" si="769"/>
        <v>810.25242906288452</v>
      </c>
      <c r="BD321" s="266">
        <f t="shared" si="769"/>
        <v>810.25242906288452</v>
      </c>
      <c r="BE321" s="268">
        <f t="shared" si="769"/>
        <v>819.2210844729799</v>
      </c>
      <c r="BF321" s="268">
        <f t="shared" si="769"/>
        <v>828.84914082090938</v>
      </c>
      <c r="BG321" s="266">
        <f t="shared" si="769"/>
        <v>828.84914082090938</v>
      </c>
      <c r="BH321" s="268"/>
      <c r="BJ321"/>
      <c r="BK321"/>
      <c r="BL321"/>
      <c r="BM321"/>
      <c r="BN321"/>
      <c r="BO321"/>
    </row>
    <row r="322" spans="1:67" s="61" customFormat="1">
      <c r="A322" s="240"/>
      <c r="B322" s="240"/>
      <c r="C322" s="240"/>
      <c r="D322" s="240"/>
      <c r="E322" s="266"/>
      <c r="F322" s="268"/>
      <c r="G322" s="268"/>
      <c r="H322" s="266"/>
      <c r="I322" s="268"/>
      <c r="J322" s="268"/>
      <c r="K322" s="266"/>
      <c r="L322" s="268"/>
      <c r="M322" s="268"/>
      <c r="N322" s="266"/>
      <c r="O322" s="268"/>
      <c r="P322" s="268"/>
      <c r="Q322" s="266"/>
      <c r="R322" s="268"/>
      <c r="S322" s="268"/>
      <c r="T322" s="266"/>
      <c r="U322" s="268"/>
      <c r="V322" s="268"/>
      <c r="W322" s="266"/>
      <c r="X322" s="268"/>
      <c r="Y322" s="268"/>
      <c r="Z322" s="266"/>
      <c r="AA322" s="268"/>
      <c r="AB322" s="268"/>
      <c r="AC322" s="266"/>
      <c r="AD322" s="268"/>
      <c r="AE322" s="268"/>
      <c r="AF322" s="266"/>
      <c r="AG322" s="268"/>
      <c r="AH322" s="268"/>
      <c r="AI322" s="266"/>
      <c r="AJ322" s="268"/>
      <c r="AK322" s="268"/>
      <c r="AL322" s="266"/>
      <c r="AM322" s="268"/>
      <c r="AN322" s="268"/>
      <c r="AO322" s="266"/>
      <c r="AP322" s="268"/>
      <c r="AQ322" s="268"/>
      <c r="AR322" s="266"/>
      <c r="AS322" s="268"/>
      <c r="AT322" s="268"/>
      <c r="AU322" s="266"/>
      <c r="AV322" s="268"/>
      <c r="AW322" s="268"/>
      <c r="AX322" s="266"/>
      <c r="AY322" s="268"/>
      <c r="AZ322" s="268"/>
      <c r="BA322" s="266"/>
      <c r="BB322" s="268"/>
      <c r="BC322" s="268"/>
      <c r="BD322" s="266"/>
      <c r="BE322" s="268"/>
      <c r="BF322" s="268"/>
      <c r="BG322" s="266"/>
      <c r="BH322" s="268"/>
      <c r="BJ322"/>
      <c r="BK322"/>
      <c r="BL322"/>
      <c r="BM322"/>
      <c r="BN322"/>
      <c r="BO322"/>
    </row>
    <row r="323" spans="1:67" s="61" customFormat="1">
      <c r="A323" s="240"/>
      <c r="B323" s="240" t="s">
        <v>385</v>
      </c>
      <c r="C323" s="240"/>
      <c r="D323" s="240"/>
      <c r="E323" s="266">
        <f t="shared" ref="E323:BG323" si="770">E318+E320+E321</f>
        <v>0.87926999999999789</v>
      </c>
      <c r="F323" s="268">
        <f t="shared" si="770"/>
        <v>18.381001999999995</v>
      </c>
      <c r="G323" s="268">
        <f t="shared" si="770"/>
        <v>28.862513999999997</v>
      </c>
      <c r="H323" s="266">
        <f t="shared" si="770"/>
        <v>28.862514000000004</v>
      </c>
      <c r="I323" s="268">
        <f t="shared" si="770"/>
        <v>34.856706000000003</v>
      </c>
      <c r="J323" s="268">
        <f t="shared" si="770"/>
        <v>27.614000000000004</v>
      </c>
      <c r="K323" s="266">
        <f t="shared" si="770"/>
        <v>27.614000000000001</v>
      </c>
      <c r="L323" s="268">
        <f t="shared" si="770"/>
        <v>32.418000000000006</v>
      </c>
      <c r="M323" s="268">
        <f t="shared" si="770"/>
        <v>3.277999999999972</v>
      </c>
      <c r="N323" s="266">
        <f t="shared" si="770"/>
        <v>3.277999999999972</v>
      </c>
      <c r="O323" s="268">
        <f t="shared" si="770"/>
        <v>1.0999999999998344E-2</v>
      </c>
      <c r="P323" s="268">
        <f t="shared" si="770"/>
        <v>-17.340000000000011</v>
      </c>
      <c r="Q323" s="266">
        <f t="shared" si="770"/>
        <v>-17.340000000000011</v>
      </c>
      <c r="R323" s="268">
        <f t="shared" si="770"/>
        <v>-14.634000000000036</v>
      </c>
      <c r="S323" s="268">
        <f t="shared" si="770"/>
        <v>-25.875999999999987</v>
      </c>
      <c r="T323" s="266">
        <f t="shared" si="770"/>
        <v>-25.875999999999987</v>
      </c>
      <c r="U323" s="268">
        <f t="shared" si="770"/>
        <v>10.382000000000019</v>
      </c>
      <c r="V323" s="268">
        <f t="shared" si="770"/>
        <v>30.614000000000019</v>
      </c>
      <c r="W323" s="266">
        <f t="shared" si="770"/>
        <v>30.614000000000019</v>
      </c>
      <c r="X323" s="268">
        <f t="shared" si="770"/>
        <v>175.42070609061588</v>
      </c>
      <c r="Y323" s="268">
        <f t="shared" si="770"/>
        <v>273.10000000000014</v>
      </c>
      <c r="Z323" s="266">
        <f t="shared" si="770"/>
        <v>273.10000000000014</v>
      </c>
      <c r="AA323" s="268">
        <f t="shared" si="770"/>
        <v>633.03800000000012</v>
      </c>
      <c r="AB323" s="268">
        <f t="shared" si="770"/>
        <v>706.13852343258577</v>
      </c>
      <c r="AC323" s="266">
        <f t="shared" si="770"/>
        <v>706.13852343258577</v>
      </c>
      <c r="AD323" s="268">
        <f t="shared" si="770"/>
        <v>742.24398115898725</v>
      </c>
      <c r="AE323" s="268">
        <f t="shared" si="770"/>
        <v>768.52925267559783</v>
      </c>
      <c r="AF323" s="266">
        <f t="shared" si="770"/>
        <v>768.52925267559783</v>
      </c>
      <c r="AG323" s="268">
        <f t="shared" si="770"/>
        <v>777.1128152742649</v>
      </c>
      <c r="AH323" s="268">
        <f t="shared" si="770"/>
        <v>782.86652085908497</v>
      </c>
      <c r="AI323" s="266">
        <f t="shared" si="770"/>
        <v>782.86652085908497</v>
      </c>
      <c r="AJ323" s="268">
        <f t="shared" si="770"/>
        <v>792.63012544964499</v>
      </c>
      <c r="AK323" s="268">
        <f t="shared" si="770"/>
        <v>799.15210950663368</v>
      </c>
      <c r="AL323" s="266">
        <f t="shared" si="770"/>
        <v>799.15210950663368</v>
      </c>
      <c r="AM323" s="268">
        <f t="shared" si="770"/>
        <v>817.53400490698311</v>
      </c>
      <c r="AN323" s="268">
        <f t="shared" si="770"/>
        <v>826.01378997970312</v>
      </c>
      <c r="AO323" s="266">
        <f t="shared" si="770"/>
        <v>826.01378997970312</v>
      </c>
      <c r="AP323" s="268">
        <f t="shared" si="770"/>
        <v>842.44977596134095</v>
      </c>
      <c r="AQ323" s="268">
        <f t="shared" si="770"/>
        <v>853.74695545828149</v>
      </c>
      <c r="AR323" s="266">
        <f t="shared" si="770"/>
        <v>853.74695545828149</v>
      </c>
      <c r="AS323" s="268">
        <f t="shared" si="770"/>
        <v>870.61265256754268</v>
      </c>
      <c r="AT323" s="268">
        <f t="shared" si="770"/>
        <v>883.65669638914972</v>
      </c>
      <c r="AU323" s="266">
        <f t="shared" si="770"/>
        <v>883.65669638914972</v>
      </c>
      <c r="AV323" s="268">
        <f t="shared" si="770"/>
        <v>901.69999462991063</v>
      </c>
      <c r="AW323" s="268">
        <f t="shared" si="770"/>
        <v>916.52242941463874</v>
      </c>
      <c r="AX323" s="266">
        <f t="shared" si="770"/>
        <v>916.52242941463874</v>
      </c>
      <c r="AY323" s="268">
        <f t="shared" si="770"/>
        <v>935.19376766907521</v>
      </c>
      <c r="AZ323" s="268">
        <f t="shared" si="770"/>
        <v>951.79424382338982</v>
      </c>
      <c r="BA323" s="266">
        <f t="shared" si="770"/>
        <v>951.79424382338982</v>
      </c>
      <c r="BB323" s="268">
        <f t="shared" si="770"/>
        <v>971.26921420698477</v>
      </c>
      <c r="BC323" s="268">
        <f t="shared" si="770"/>
        <v>989.58336009304833</v>
      </c>
      <c r="BD323" s="266">
        <f t="shared" si="770"/>
        <v>989.58336009304833</v>
      </c>
      <c r="BE323" s="268">
        <f t="shared" si="770"/>
        <v>1009.2092810253997</v>
      </c>
      <c r="BF323" s="268">
        <f t="shared" si="770"/>
        <v>1029.1025470759841</v>
      </c>
      <c r="BG323" s="266">
        <f t="shared" si="770"/>
        <v>1029.1025470759841</v>
      </c>
      <c r="BH323" s="268"/>
      <c r="BJ323"/>
      <c r="BK323"/>
      <c r="BL323"/>
      <c r="BM323"/>
      <c r="BN323"/>
      <c r="BO323"/>
    </row>
    <row r="324" spans="1:67" s="61" customFormat="1">
      <c r="A324" s="240"/>
      <c r="B324" s="240" t="s">
        <v>386</v>
      </c>
      <c r="C324" s="240"/>
      <c r="D324" s="240"/>
      <c r="E324" s="266">
        <f t="shared" ref="E324:BG324" si="771">E192</f>
        <v>0</v>
      </c>
      <c r="F324" s="268">
        <f t="shared" si="771"/>
        <v>0</v>
      </c>
      <c r="G324" s="268">
        <f t="shared" si="771"/>
        <v>0</v>
      </c>
      <c r="H324" s="266">
        <f t="shared" si="771"/>
        <v>0</v>
      </c>
      <c r="I324" s="268">
        <f t="shared" si="771"/>
        <v>0</v>
      </c>
      <c r="J324" s="268">
        <f t="shared" si="771"/>
        <v>0</v>
      </c>
      <c r="K324" s="266">
        <f t="shared" si="771"/>
        <v>0</v>
      </c>
      <c r="L324" s="268">
        <f t="shared" si="771"/>
        <v>0</v>
      </c>
      <c r="M324" s="268">
        <f t="shared" si="771"/>
        <v>0</v>
      </c>
      <c r="N324" s="266">
        <f t="shared" si="771"/>
        <v>0</v>
      </c>
      <c r="O324" s="268">
        <f t="shared" si="771"/>
        <v>0</v>
      </c>
      <c r="P324" s="268">
        <f t="shared" si="771"/>
        <v>0</v>
      </c>
      <c r="Q324" s="266">
        <f t="shared" si="771"/>
        <v>0</v>
      </c>
      <c r="R324" s="268">
        <f t="shared" si="771"/>
        <v>0</v>
      </c>
      <c r="S324" s="268">
        <f t="shared" si="771"/>
        <v>0</v>
      </c>
      <c r="T324" s="266">
        <f t="shared" si="771"/>
        <v>0</v>
      </c>
      <c r="U324" s="268">
        <f t="shared" si="771"/>
        <v>0</v>
      </c>
      <c r="V324" s="268">
        <f t="shared" si="771"/>
        <v>0</v>
      </c>
      <c r="W324" s="266">
        <f t="shared" si="771"/>
        <v>0</v>
      </c>
      <c r="X324" s="268">
        <f t="shared" si="771"/>
        <v>0</v>
      </c>
      <c r="Y324" s="268">
        <f t="shared" si="771"/>
        <v>0</v>
      </c>
      <c r="Z324" s="266">
        <f t="shared" si="771"/>
        <v>0</v>
      </c>
      <c r="AA324" s="268">
        <f t="shared" si="771"/>
        <v>0</v>
      </c>
      <c r="AB324" s="268">
        <f t="shared" si="771"/>
        <v>0</v>
      </c>
      <c r="AC324" s="266">
        <f t="shared" si="771"/>
        <v>0</v>
      </c>
      <c r="AD324" s="268">
        <f t="shared" si="771"/>
        <v>0</v>
      </c>
      <c r="AE324" s="268">
        <f t="shared" si="771"/>
        <v>0</v>
      </c>
      <c r="AF324" s="266">
        <f t="shared" si="771"/>
        <v>0</v>
      </c>
      <c r="AG324" s="268">
        <f t="shared" si="771"/>
        <v>0</v>
      </c>
      <c r="AH324" s="268">
        <f t="shared" si="771"/>
        <v>0</v>
      </c>
      <c r="AI324" s="266">
        <f t="shared" si="771"/>
        <v>0</v>
      </c>
      <c r="AJ324" s="268">
        <f t="shared" si="771"/>
        <v>0</v>
      </c>
      <c r="AK324" s="268">
        <f t="shared" si="771"/>
        <v>0</v>
      </c>
      <c r="AL324" s="266">
        <f t="shared" si="771"/>
        <v>0</v>
      </c>
      <c r="AM324" s="268">
        <f t="shared" si="771"/>
        <v>0</v>
      </c>
      <c r="AN324" s="268">
        <f t="shared" si="771"/>
        <v>0</v>
      </c>
      <c r="AO324" s="266">
        <f t="shared" si="771"/>
        <v>0</v>
      </c>
      <c r="AP324" s="268">
        <f t="shared" si="771"/>
        <v>0</v>
      </c>
      <c r="AQ324" s="268">
        <f t="shared" si="771"/>
        <v>0</v>
      </c>
      <c r="AR324" s="266">
        <f t="shared" si="771"/>
        <v>0</v>
      </c>
      <c r="AS324" s="268">
        <f t="shared" si="771"/>
        <v>0</v>
      </c>
      <c r="AT324" s="268">
        <f t="shared" si="771"/>
        <v>0</v>
      </c>
      <c r="AU324" s="266">
        <f t="shared" si="771"/>
        <v>0</v>
      </c>
      <c r="AV324" s="268">
        <f t="shared" si="771"/>
        <v>0</v>
      </c>
      <c r="AW324" s="268">
        <f t="shared" si="771"/>
        <v>0</v>
      </c>
      <c r="AX324" s="266">
        <f t="shared" si="771"/>
        <v>0</v>
      </c>
      <c r="AY324" s="268">
        <f t="shared" si="771"/>
        <v>0</v>
      </c>
      <c r="AZ324" s="268">
        <f t="shared" si="771"/>
        <v>0</v>
      </c>
      <c r="BA324" s="266">
        <f t="shared" si="771"/>
        <v>0</v>
      </c>
      <c r="BB324" s="268">
        <f t="shared" si="771"/>
        <v>0</v>
      </c>
      <c r="BC324" s="268">
        <f t="shared" si="771"/>
        <v>0</v>
      </c>
      <c r="BD324" s="266">
        <f t="shared" si="771"/>
        <v>0</v>
      </c>
      <c r="BE324" s="268">
        <f t="shared" si="771"/>
        <v>0</v>
      </c>
      <c r="BF324" s="268">
        <f t="shared" si="771"/>
        <v>0</v>
      </c>
      <c r="BG324" s="266">
        <f t="shared" si="771"/>
        <v>0</v>
      </c>
      <c r="BH324" s="268"/>
      <c r="BJ324"/>
      <c r="BK324"/>
      <c r="BL324"/>
      <c r="BM324"/>
      <c r="BN324"/>
      <c r="BO324"/>
    </row>
    <row r="325" spans="1:67" s="61" customFormat="1">
      <c r="A325" s="240"/>
      <c r="B325" s="240"/>
      <c r="C325" s="240"/>
      <c r="D325" s="240"/>
      <c r="E325" s="266"/>
      <c r="F325" s="268"/>
      <c r="G325" s="268"/>
      <c r="H325" s="266"/>
      <c r="I325" s="268"/>
      <c r="J325" s="268"/>
      <c r="K325" s="266"/>
      <c r="L325" s="268"/>
      <c r="M325" s="268"/>
      <c r="N325" s="266"/>
      <c r="O325" s="268"/>
      <c r="P325" s="268"/>
      <c r="Q325" s="266"/>
      <c r="R325" s="268"/>
      <c r="S325" s="268"/>
      <c r="T325" s="266"/>
      <c r="U325" s="268"/>
      <c r="V325" s="268"/>
      <c r="W325" s="266"/>
      <c r="X325" s="268"/>
      <c r="Y325" s="268"/>
      <c r="Z325" s="266"/>
      <c r="AA325" s="268"/>
      <c r="AB325" s="268"/>
      <c r="AC325" s="266"/>
      <c r="AD325" s="268"/>
      <c r="AE325" s="268"/>
      <c r="AF325" s="266"/>
      <c r="AG325" s="268"/>
      <c r="AH325" s="268"/>
      <c r="AI325" s="266"/>
      <c r="AJ325" s="268"/>
      <c r="AK325" s="268"/>
      <c r="AL325" s="266"/>
      <c r="AM325" s="268"/>
      <c r="AN325" s="268"/>
      <c r="AO325" s="266"/>
      <c r="AP325" s="268"/>
      <c r="AQ325" s="268"/>
      <c r="AR325" s="266"/>
      <c r="AS325" s="268"/>
      <c r="AT325" s="268"/>
      <c r="AU325" s="266"/>
      <c r="AV325" s="268"/>
      <c r="AW325" s="268"/>
      <c r="AX325" s="266"/>
      <c r="AY325" s="268"/>
      <c r="AZ325" s="268"/>
      <c r="BA325" s="266"/>
      <c r="BB325" s="268"/>
      <c r="BC325" s="268"/>
      <c r="BD325" s="266"/>
      <c r="BE325" s="268"/>
      <c r="BF325" s="268"/>
      <c r="BG325" s="266"/>
      <c r="BH325" s="268"/>
      <c r="BJ325"/>
      <c r="BK325"/>
      <c r="BL325"/>
      <c r="BM325"/>
      <c r="BN325"/>
      <c r="BO325"/>
    </row>
    <row r="326" spans="1:67" s="61" customFormat="1">
      <c r="A326" s="240"/>
      <c r="B326" s="240" t="s">
        <v>387</v>
      </c>
      <c r="C326" s="240"/>
      <c r="D326" s="240"/>
      <c r="E326" s="266">
        <f t="shared" ref="E326:BG326" si="772">E323+E324</f>
        <v>0.87926999999999789</v>
      </c>
      <c r="F326" s="268">
        <f t="shared" si="772"/>
        <v>18.381001999999995</v>
      </c>
      <c r="G326" s="268">
        <f t="shared" si="772"/>
        <v>28.862513999999997</v>
      </c>
      <c r="H326" s="266">
        <f t="shared" si="772"/>
        <v>28.862514000000004</v>
      </c>
      <c r="I326" s="268">
        <f t="shared" si="772"/>
        <v>34.856706000000003</v>
      </c>
      <c r="J326" s="268">
        <f t="shared" si="772"/>
        <v>27.614000000000004</v>
      </c>
      <c r="K326" s="266">
        <f t="shared" si="772"/>
        <v>27.614000000000001</v>
      </c>
      <c r="L326" s="268">
        <f t="shared" si="772"/>
        <v>32.418000000000006</v>
      </c>
      <c r="M326" s="268">
        <f t="shared" si="772"/>
        <v>3.277999999999972</v>
      </c>
      <c r="N326" s="266">
        <f t="shared" si="772"/>
        <v>3.277999999999972</v>
      </c>
      <c r="O326" s="268">
        <f t="shared" si="772"/>
        <v>1.0999999999998344E-2</v>
      </c>
      <c r="P326" s="268">
        <f t="shared" si="772"/>
        <v>-17.340000000000011</v>
      </c>
      <c r="Q326" s="266">
        <f t="shared" si="772"/>
        <v>-17.340000000000011</v>
      </c>
      <c r="R326" s="268">
        <f t="shared" si="772"/>
        <v>-14.634000000000036</v>
      </c>
      <c r="S326" s="268">
        <f t="shared" si="772"/>
        <v>-25.875999999999987</v>
      </c>
      <c r="T326" s="266">
        <f t="shared" si="772"/>
        <v>-25.875999999999987</v>
      </c>
      <c r="U326" s="268">
        <f t="shared" si="772"/>
        <v>10.382000000000019</v>
      </c>
      <c r="V326" s="268">
        <f t="shared" si="772"/>
        <v>30.614000000000019</v>
      </c>
      <c r="W326" s="266">
        <f t="shared" si="772"/>
        <v>30.614000000000019</v>
      </c>
      <c r="X326" s="268">
        <f t="shared" si="772"/>
        <v>175.42070609061588</v>
      </c>
      <c r="Y326" s="268">
        <f t="shared" si="772"/>
        <v>273.10000000000014</v>
      </c>
      <c r="Z326" s="266">
        <f t="shared" si="772"/>
        <v>273.10000000000014</v>
      </c>
      <c r="AA326" s="268">
        <f t="shared" si="772"/>
        <v>633.03800000000012</v>
      </c>
      <c r="AB326" s="268">
        <f t="shared" si="772"/>
        <v>706.13852343258577</v>
      </c>
      <c r="AC326" s="266">
        <f t="shared" si="772"/>
        <v>706.13852343258577</v>
      </c>
      <c r="AD326" s="268">
        <f t="shared" si="772"/>
        <v>742.24398115898725</v>
      </c>
      <c r="AE326" s="268">
        <f t="shared" si="772"/>
        <v>768.52925267559783</v>
      </c>
      <c r="AF326" s="266">
        <f t="shared" si="772"/>
        <v>768.52925267559783</v>
      </c>
      <c r="AG326" s="268">
        <f t="shared" si="772"/>
        <v>777.1128152742649</v>
      </c>
      <c r="AH326" s="268">
        <f t="shared" si="772"/>
        <v>782.86652085908497</v>
      </c>
      <c r="AI326" s="266">
        <f t="shared" si="772"/>
        <v>782.86652085908497</v>
      </c>
      <c r="AJ326" s="268">
        <f t="shared" si="772"/>
        <v>792.63012544964499</v>
      </c>
      <c r="AK326" s="268">
        <f t="shared" si="772"/>
        <v>799.15210950663368</v>
      </c>
      <c r="AL326" s="266">
        <f t="shared" si="772"/>
        <v>799.15210950663368</v>
      </c>
      <c r="AM326" s="268">
        <f t="shared" si="772"/>
        <v>817.53400490698311</v>
      </c>
      <c r="AN326" s="268">
        <f t="shared" si="772"/>
        <v>826.01378997970312</v>
      </c>
      <c r="AO326" s="266">
        <f t="shared" si="772"/>
        <v>826.01378997970312</v>
      </c>
      <c r="AP326" s="268">
        <f t="shared" si="772"/>
        <v>842.44977596134095</v>
      </c>
      <c r="AQ326" s="268">
        <f t="shared" si="772"/>
        <v>853.74695545828149</v>
      </c>
      <c r="AR326" s="266">
        <f t="shared" si="772"/>
        <v>853.74695545828149</v>
      </c>
      <c r="AS326" s="268">
        <f t="shared" si="772"/>
        <v>870.61265256754268</v>
      </c>
      <c r="AT326" s="268">
        <f t="shared" si="772"/>
        <v>883.65669638914972</v>
      </c>
      <c r="AU326" s="266">
        <f t="shared" si="772"/>
        <v>883.65669638914972</v>
      </c>
      <c r="AV326" s="268">
        <f t="shared" si="772"/>
        <v>901.69999462991063</v>
      </c>
      <c r="AW326" s="268">
        <f t="shared" si="772"/>
        <v>916.52242941463874</v>
      </c>
      <c r="AX326" s="266">
        <f t="shared" si="772"/>
        <v>916.52242941463874</v>
      </c>
      <c r="AY326" s="268">
        <f t="shared" si="772"/>
        <v>935.19376766907521</v>
      </c>
      <c r="AZ326" s="268">
        <f t="shared" si="772"/>
        <v>951.79424382338982</v>
      </c>
      <c r="BA326" s="266">
        <f t="shared" si="772"/>
        <v>951.79424382338982</v>
      </c>
      <c r="BB326" s="268">
        <f t="shared" si="772"/>
        <v>971.26921420698477</v>
      </c>
      <c r="BC326" s="268">
        <f t="shared" si="772"/>
        <v>989.58336009304833</v>
      </c>
      <c r="BD326" s="266">
        <f t="shared" si="772"/>
        <v>989.58336009304833</v>
      </c>
      <c r="BE326" s="268">
        <f t="shared" si="772"/>
        <v>1009.2092810253997</v>
      </c>
      <c r="BF326" s="268">
        <f t="shared" si="772"/>
        <v>1029.1025470759841</v>
      </c>
      <c r="BG326" s="266">
        <f t="shared" si="772"/>
        <v>1029.1025470759841</v>
      </c>
      <c r="BH326" s="268"/>
      <c r="BJ326"/>
      <c r="BK326"/>
      <c r="BL326"/>
      <c r="BM326"/>
      <c r="BN326"/>
      <c r="BO326"/>
    </row>
    <row r="327" spans="1:67" s="61" customFormat="1">
      <c r="A327" s="240"/>
      <c r="B327" s="240" t="s">
        <v>388</v>
      </c>
      <c r="C327" s="240"/>
      <c r="D327" s="240"/>
      <c r="E327" s="266">
        <f t="shared" ref="E327:BG327" si="773">E169-E210-E221</f>
        <v>48.413525</v>
      </c>
      <c r="F327" s="268">
        <f t="shared" si="773"/>
        <v>26.010149999999999</v>
      </c>
      <c r="G327" s="268">
        <f t="shared" si="773"/>
        <v>24.041822</v>
      </c>
      <c r="H327" s="266">
        <f t="shared" si="773"/>
        <v>24.041822</v>
      </c>
      <c r="I327" s="268">
        <f t="shared" si="773"/>
        <v>8.3408589999999982</v>
      </c>
      <c r="J327" s="268">
        <f t="shared" si="773"/>
        <v>42.466999999999999</v>
      </c>
      <c r="K327" s="266">
        <f t="shared" si="773"/>
        <v>42.466999999999999</v>
      </c>
      <c r="L327" s="268">
        <f t="shared" si="773"/>
        <v>21.303000000000001</v>
      </c>
      <c r="M327" s="268">
        <f t="shared" si="773"/>
        <v>75.738</v>
      </c>
      <c r="N327" s="266">
        <f t="shared" si="773"/>
        <v>75.738</v>
      </c>
      <c r="O327" s="268">
        <f t="shared" si="773"/>
        <v>47.919000000000004</v>
      </c>
      <c r="P327" s="268">
        <f t="shared" si="773"/>
        <v>19.497999999999998</v>
      </c>
      <c r="Q327" s="266">
        <f t="shared" si="773"/>
        <v>19.497999999999998</v>
      </c>
      <c r="R327" s="268">
        <f t="shared" si="773"/>
        <v>120.042</v>
      </c>
      <c r="S327" s="268">
        <f t="shared" si="773"/>
        <v>105.88299999999998</v>
      </c>
      <c r="T327" s="266">
        <f t="shared" si="773"/>
        <v>105.88299999999998</v>
      </c>
      <c r="U327" s="268">
        <f t="shared" si="773"/>
        <v>65.675000000000011</v>
      </c>
      <c r="V327" s="268">
        <f t="shared" si="773"/>
        <v>72.031000000000006</v>
      </c>
      <c r="W327" s="266">
        <f t="shared" si="773"/>
        <v>72.031000000000006</v>
      </c>
      <c r="X327" s="268">
        <f t="shared" si="773"/>
        <v>44.145599286875935</v>
      </c>
      <c r="Y327" s="268">
        <f t="shared" si="773"/>
        <v>79.837000000000046</v>
      </c>
      <c r="Z327" s="266">
        <f t="shared" si="773"/>
        <v>79.837000000000046</v>
      </c>
      <c r="AA327" s="268">
        <f t="shared" si="773"/>
        <v>-211.09700000000001</v>
      </c>
      <c r="AB327" s="268">
        <f t="shared" si="773"/>
        <v>-292.73581237395842</v>
      </c>
      <c r="AC327" s="266">
        <f t="shared" si="773"/>
        <v>-292.73581237395842</v>
      </c>
      <c r="AD327" s="268">
        <f t="shared" si="773"/>
        <v>-327.66100328478439</v>
      </c>
      <c r="AE327" s="268">
        <f t="shared" si="773"/>
        <v>-352.11033145625623</v>
      </c>
      <c r="AF327" s="266">
        <f t="shared" si="773"/>
        <v>-352.11033145625623</v>
      </c>
      <c r="AG327" s="268">
        <f t="shared" si="773"/>
        <v>-352.49419690623682</v>
      </c>
      <c r="AH327" s="268">
        <f t="shared" si="773"/>
        <v>-348.30065310249353</v>
      </c>
      <c r="AI327" s="266">
        <f t="shared" si="773"/>
        <v>-348.30065310249353</v>
      </c>
      <c r="AJ327" s="268">
        <f t="shared" si="773"/>
        <v>-334.32098408125688</v>
      </c>
      <c r="AK327" s="268">
        <f t="shared" si="773"/>
        <v>-314.52726504542852</v>
      </c>
      <c r="AL327" s="266">
        <f t="shared" si="773"/>
        <v>-314.52726504542852</v>
      </c>
      <c r="AM327" s="268">
        <f t="shared" si="773"/>
        <v>64.942452535958765</v>
      </c>
      <c r="AN327" s="268">
        <f t="shared" si="773"/>
        <v>116.61896021895926</v>
      </c>
      <c r="AO327" s="266">
        <f t="shared" si="773"/>
        <v>116.61896021895926</v>
      </c>
      <c r="AP327" s="268">
        <f t="shared" si="773"/>
        <v>201.22939434058338</v>
      </c>
      <c r="AQ327" s="268">
        <f t="shared" si="773"/>
        <v>301.95246031691829</v>
      </c>
      <c r="AR327" s="266">
        <f t="shared" si="773"/>
        <v>301.95246031691829</v>
      </c>
      <c r="AS327" s="268">
        <f t="shared" si="773"/>
        <v>421.39673640828795</v>
      </c>
      <c r="AT327" s="268">
        <f t="shared" si="773"/>
        <v>558.65502172773267</v>
      </c>
      <c r="AU327" s="266">
        <f t="shared" si="773"/>
        <v>558.65502172773267</v>
      </c>
      <c r="AV327" s="268">
        <f t="shared" si="773"/>
        <v>716.88461317251881</v>
      </c>
      <c r="AW327" s="268">
        <f t="shared" si="773"/>
        <v>895.64599123284211</v>
      </c>
      <c r="AX327" s="266">
        <f t="shared" si="773"/>
        <v>895.64599123284211</v>
      </c>
      <c r="AY327" s="268">
        <f t="shared" si="773"/>
        <v>1095.1705167191008</v>
      </c>
      <c r="AZ327" s="268">
        <f t="shared" si="773"/>
        <v>1318.0353940269097</v>
      </c>
      <c r="BA327" s="266">
        <f t="shared" si="773"/>
        <v>1318.0353940269097</v>
      </c>
      <c r="BB327" s="268">
        <f t="shared" si="773"/>
        <v>1561.986458596384</v>
      </c>
      <c r="BC327" s="268">
        <f t="shared" si="773"/>
        <v>1832.1565953832835</v>
      </c>
      <c r="BD327" s="266">
        <f t="shared" si="773"/>
        <v>1832.1565953832835</v>
      </c>
      <c r="BE327" s="268">
        <f t="shared" si="773"/>
        <v>2122.1068619589387</v>
      </c>
      <c r="BF327" s="268">
        <f t="shared" si="773"/>
        <v>2440.6540543877832</v>
      </c>
      <c r="BG327" s="266">
        <f t="shared" si="773"/>
        <v>2440.6540543877832</v>
      </c>
      <c r="BH327" s="268"/>
      <c r="BJ327"/>
      <c r="BK327"/>
      <c r="BL327"/>
      <c r="BM327"/>
      <c r="BN327"/>
      <c r="BO327"/>
    </row>
    <row r="328" spans="1:67" s="61" customFormat="1">
      <c r="A328" s="240"/>
      <c r="B328" s="240"/>
      <c r="C328" s="240"/>
      <c r="D328" s="240"/>
      <c r="E328" s="266"/>
      <c r="F328" s="268"/>
      <c r="G328" s="268"/>
      <c r="H328" s="266"/>
      <c r="I328" s="268"/>
      <c r="J328" s="268"/>
      <c r="K328" s="266"/>
      <c r="L328" s="268"/>
      <c r="M328" s="268"/>
      <c r="N328" s="266"/>
      <c r="O328" s="268"/>
      <c r="P328" s="268"/>
      <c r="Q328" s="266"/>
      <c r="R328" s="268"/>
      <c r="S328" s="268"/>
      <c r="T328" s="266"/>
      <c r="U328" s="268"/>
      <c r="V328" s="268"/>
      <c r="W328" s="266"/>
      <c r="X328" s="268"/>
      <c r="Y328" s="268"/>
      <c r="Z328" s="266"/>
      <c r="AA328" s="268"/>
      <c r="AB328" s="268"/>
      <c r="AC328" s="266"/>
      <c r="AD328" s="268"/>
      <c r="AE328" s="268"/>
      <c r="AF328" s="266"/>
      <c r="AG328" s="268"/>
      <c r="AH328" s="268"/>
      <c r="AI328" s="266"/>
      <c r="AJ328" s="268"/>
      <c r="AK328" s="268"/>
      <c r="AL328" s="266"/>
      <c r="AM328" s="268"/>
      <c r="AN328" s="268"/>
      <c r="AO328" s="266"/>
      <c r="AP328" s="268"/>
      <c r="AQ328" s="268"/>
      <c r="AR328" s="266"/>
      <c r="AS328" s="268"/>
      <c r="AT328" s="268"/>
      <c r="AU328" s="266"/>
      <c r="AV328" s="268"/>
      <c r="AW328" s="268"/>
      <c r="AX328" s="266"/>
      <c r="AY328" s="268"/>
      <c r="AZ328" s="268"/>
      <c r="BA328" s="266"/>
      <c r="BB328" s="268"/>
      <c r="BC328" s="268"/>
      <c r="BD328" s="266"/>
      <c r="BE328" s="268"/>
      <c r="BF328" s="268"/>
      <c r="BG328" s="266"/>
      <c r="BH328" s="268"/>
      <c r="BJ328"/>
      <c r="BK328"/>
      <c r="BL328"/>
      <c r="BM328"/>
      <c r="BN328"/>
      <c r="BO328"/>
    </row>
    <row r="329" spans="1:67" s="61" customFormat="1">
      <c r="A329" s="240"/>
      <c r="B329" s="240" t="s">
        <v>389</v>
      </c>
      <c r="C329" s="240"/>
      <c r="D329" s="240"/>
      <c r="E329" s="266">
        <f t="shared" ref="E329:T329" si="774">SUM(E326:E328)</f>
        <v>49.292794999999998</v>
      </c>
      <c r="F329" s="268">
        <f t="shared" si="774"/>
        <v>44.391151999999991</v>
      </c>
      <c r="G329" s="268">
        <f t="shared" si="774"/>
        <v>52.904336000000001</v>
      </c>
      <c r="H329" s="266">
        <f t="shared" si="774"/>
        <v>52.904336000000001</v>
      </c>
      <c r="I329" s="268">
        <f t="shared" si="774"/>
        <v>43.197564999999997</v>
      </c>
      <c r="J329" s="268">
        <f t="shared" si="774"/>
        <v>70.081000000000003</v>
      </c>
      <c r="K329" s="266">
        <f t="shared" si="774"/>
        <v>70.081000000000003</v>
      </c>
      <c r="L329" s="268">
        <f t="shared" si="774"/>
        <v>53.721000000000004</v>
      </c>
      <c r="M329" s="268">
        <f t="shared" si="774"/>
        <v>79.015999999999977</v>
      </c>
      <c r="N329" s="266">
        <f t="shared" si="774"/>
        <v>79.015999999999977</v>
      </c>
      <c r="O329" s="268">
        <f t="shared" si="774"/>
        <v>47.93</v>
      </c>
      <c r="P329" s="268">
        <f t="shared" si="774"/>
        <v>2.157999999999987</v>
      </c>
      <c r="Q329" s="266">
        <f t="shared" si="774"/>
        <v>2.157999999999987</v>
      </c>
      <c r="R329" s="268">
        <f t="shared" si="774"/>
        <v>105.40799999999996</v>
      </c>
      <c r="S329" s="268">
        <f t="shared" si="774"/>
        <v>80.006999999999991</v>
      </c>
      <c r="T329" s="266">
        <f t="shared" si="774"/>
        <v>80.006999999999991</v>
      </c>
      <c r="U329" s="268">
        <f t="shared" ref="U329:BG329" si="775">SUM(U326:U328)</f>
        <v>76.057000000000031</v>
      </c>
      <c r="V329" s="268">
        <f t="shared" si="775"/>
        <v>102.64500000000002</v>
      </c>
      <c r="W329" s="266">
        <f t="shared" si="775"/>
        <v>102.64500000000002</v>
      </c>
      <c r="X329" s="268">
        <f t="shared" si="775"/>
        <v>219.5663053774918</v>
      </c>
      <c r="Y329" s="268">
        <f t="shared" si="775"/>
        <v>352.93700000000018</v>
      </c>
      <c r="Z329" s="266">
        <f t="shared" si="775"/>
        <v>352.93700000000018</v>
      </c>
      <c r="AA329" s="268">
        <f t="shared" si="775"/>
        <v>421.94100000000014</v>
      </c>
      <c r="AB329" s="268">
        <f t="shared" si="775"/>
        <v>413.40271105862735</v>
      </c>
      <c r="AC329" s="266">
        <f t="shared" si="775"/>
        <v>413.40271105862735</v>
      </c>
      <c r="AD329" s="268">
        <f t="shared" si="775"/>
        <v>414.58297787420287</v>
      </c>
      <c r="AE329" s="268">
        <f t="shared" si="775"/>
        <v>416.4189212193416</v>
      </c>
      <c r="AF329" s="266">
        <f t="shared" si="775"/>
        <v>416.4189212193416</v>
      </c>
      <c r="AG329" s="268">
        <f t="shared" si="775"/>
        <v>424.61861836802808</v>
      </c>
      <c r="AH329" s="268">
        <f t="shared" si="775"/>
        <v>434.56586775659144</v>
      </c>
      <c r="AI329" s="266">
        <f t="shared" si="775"/>
        <v>434.56586775659144</v>
      </c>
      <c r="AJ329" s="268">
        <f t="shared" si="775"/>
        <v>458.30914136838811</v>
      </c>
      <c r="AK329" s="268">
        <f t="shared" si="775"/>
        <v>484.62484446120516</v>
      </c>
      <c r="AL329" s="266">
        <f t="shared" si="775"/>
        <v>484.62484446120516</v>
      </c>
      <c r="AM329" s="268">
        <f t="shared" si="775"/>
        <v>882.47645744294186</v>
      </c>
      <c r="AN329" s="268">
        <f t="shared" si="775"/>
        <v>942.63275019866239</v>
      </c>
      <c r="AO329" s="266">
        <f t="shared" si="775"/>
        <v>942.63275019866239</v>
      </c>
      <c r="AP329" s="268">
        <f t="shared" si="775"/>
        <v>1043.6791703019244</v>
      </c>
      <c r="AQ329" s="268">
        <f t="shared" si="775"/>
        <v>1155.6994157751997</v>
      </c>
      <c r="AR329" s="266">
        <f t="shared" si="775"/>
        <v>1155.6994157751997</v>
      </c>
      <c r="AS329" s="268">
        <f t="shared" si="775"/>
        <v>1292.0093889758307</v>
      </c>
      <c r="AT329" s="268">
        <f t="shared" si="775"/>
        <v>1442.3117181168823</v>
      </c>
      <c r="AU329" s="266">
        <f t="shared" si="775"/>
        <v>1442.3117181168823</v>
      </c>
      <c r="AV329" s="268">
        <f t="shared" si="775"/>
        <v>1618.5846078024294</v>
      </c>
      <c r="AW329" s="268">
        <f t="shared" si="775"/>
        <v>1812.1684206474808</v>
      </c>
      <c r="AX329" s="266">
        <f t="shared" si="775"/>
        <v>1812.1684206474808</v>
      </c>
      <c r="AY329" s="268">
        <f t="shared" si="775"/>
        <v>2030.364284388176</v>
      </c>
      <c r="AZ329" s="268">
        <f t="shared" si="775"/>
        <v>2269.8296378502996</v>
      </c>
      <c r="BA329" s="266">
        <f t="shared" si="775"/>
        <v>2269.8296378502996</v>
      </c>
      <c r="BB329" s="268">
        <f t="shared" si="775"/>
        <v>2533.2556728033687</v>
      </c>
      <c r="BC329" s="268">
        <f t="shared" si="775"/>
        <v>2821.7399554763319</v>
      </c>
      <c r="BD329" s="266">
        <f t="shared" si="775"/>
        <v>2821.7399554763319</v>
      </c>
      <c r="BE329" s="268">
        <f t="shared" si="775"/>
        <v>3131.3161429843385</v>
      </c>
      <c r="BF329" s="268">
        <f t="shared" si="775"/>
        <v>3469.7566014637673</v>
      </c>
      <c r="BG329" s="266">
        <f t="shared" si="775"/>
        <v>3469.7566014637673</v>
      </c>
      <c r="BH329" s="268"/>
      <c r="BJ329"/>
      <c r="BK329"/>
      <c r="BL329"/>
      <c r="BM329"/>
      <c r="BN329"/>
      <c r="BO329"/>
    </row>
    <row r="330" spans="1:67" s="61" customFormat="1">
      <c r="E330" s="200"/>
      <c r="F330" s="202"/>
      <c r="G330" s="202"/>
      <c r="H330" s="200"/>
      <c r="I330" s="202"/>
      <c r="J330" s="202"/>
      <c r="K330" s="200"/>
      <c r="L330" s="202"/>
      <c r="M330" s="202"/>
      <c r="N330" s="200"/>
      <c r="O330" s="202"/>
      <c r="P330" s="202"/>
      <c r="Q330" s="200"/>
      <c r="R330" s="202"/>
      <c r="S330" s="202"/>
      <c r="T330" s="200"/>
      <c r="U330" s="202"/>
      <c r="V330" s="202"/>
      <c r="W330" s="200"/>
      <c r="X330" s="202"/>
      <c r="Y330" s="202"/>
      <c r="Z330" s="200"/>
      <c r="AA330" s="202"/>
      <c r="AB330" s="202"/>
      <c r="AC330" s="200"/>
      <c r="AD330" s="202"/>
      <c r="AE330" s="202"/>
      <c r="AF330" s="200"/>
      <c r="AG330" s="202"/>
      <c r="AH330" s="202"/>
      <c r="AI330" s="200"/>
      <c r="AJ330" s="202"/>
      <c r="AK330" s="202"/>
      <c r="AL330" s="200"/>
      <c r="AM330" s="202"/>
      <c r="AN330" s="202"/>
      <c r="AO330" s="200"/>
      <c r="AP330" s="202"/>
      <c r="AQ330" s="202"/>
      <c r="AR330" s="200"/>
      <c r="AS330" s="202"/>
      <c r="AT330" s="202"/>
      <c r="AU330" s="200"/>
      <c r="AV330" s="202"/>
      <c r="AW330" s="202"/>
      <c r="AX330" s="200"/>
      <c r="AY330" s="202"/>
      <c r="AZ330" s="202"/>
      <c r="BA330" s="200"/>
      <c r="BB330" s="202"/>
      <c r="BC330" s="202"/>
      <c r="BD330" s="200"/>
      <c r="BE330" s="202"/>
      <c r="BF330" s="202"/>
      <c r="BG330" s="200"/>
      <c r="BH330" s="202"/>
      <c r="BJ330"/>
      <c r="BK330"/>
      <c r="BL330"/>
      <c r="BM330"/>
      <c r="BN330"/>
      <c r="BO330"/>
    </row>
    <row r="331" spans="1:67" s="61" customFormat="1">
      <c r="B331" s="61" t="s">
        <v>369</v>
      </c>
      <c r="E331" s="280">
        <f t="shared" ref="E331:BG331" si="776">E309/E329</f>
        <v>0.13218033183145733</v>
      </c>
      <c r="F331" s="281">
        <f t="shared" si="776"/>
        <v>-0.23556511892279802</v>
      </c>
      <c r="G331" s="281">
        <f t="shared" si="776"/>
        <v>-0.31130103156719086</v>
      </c>
      <c r="H331" s="280">
        <f t="shared" si="776"/>
        <v>-0.51326151852651447</v>
      </c>
      <c r="I331" s="281">
        <f t="shared" si="776"/>
        <v>-0.35738336040601981</v>
      </c>
      <c r="J331" s="281">
        <f t="shared" si="776"/>
        <v>-0.32121515541510326</v>
      </c>
      <c r="K331" s="280">
        <f t="shared" si="776"/>
        <v>-0.54147430442980171</v>
      </c>
      <c r="L331" s="281">
        <f t="shared" si="776"/>
        <v>-0.36264285643942779</v>
      </c>
      <c r="M331" s="281">
        <f t="shared" si="776"/>
        <v>-0.34362358727288672</v>
      </c>
      <c r="N331" s="280">
        <f t="shared" si="776"/>
        <v>-0.59117507789748414</v>
      </c>
      <c r="O331" s="281">
        <f t="shared" si="776"/>
        <v>-0.65496283179859194</v>
      </c>
      <c r="P331" s="281">
        <f t="shared" si="776"/>
        <v>-23.123652887223827</v>
      </c>
      <c r="Q331" s="280">
        <f t="shared" si="776"/>
        <v>-37.666012519791494</v>
      </c>
      <c r="R331" s="281">
        <f t="shared" si="776"/>
        <v>-0.58420622521460086</v>
      </c>
      <c r="S331" s="281">
        <f t="shared" si="776"/>
        <v>-0.17666942358453944</v>
      </c>
      <c r="T331" s="280">
        <f t="shared" si="776"/>
        <v>-0.93699302261651385</v>
      </c>
      <c r="U331" s="281">
        <f t="shared" si="776"/>
        <v>0.27105603615498408</v>
      </c>
      <c r="V331" s="281">
        <f t="shared" si="776"/>
        <v>0.16118822134872055</v>
      </c>
      <c r="W331" s="280">
        <f t="shared" si="776"/>
        <v>0.3332414920193687</v>
      </c>
      <c r="X331" s="281">
        <f t="shared" si="776"/>
        <v>0.1514350572798504</v>
      </c>
      <c r="Y331" s="281">
        <f t="shared" si="776"/>
        <v>8.0617015282999097E-2</v>
      </c>
      <c r="Z331" s="280">
        <f t="shared" si="776"/>
        <v>0.1753147213057443</v>
      </c>
      <c r="AA331" s="281">
        <f t="shared" si="776"/>
        <v>6.0241227556758377E-2</v>
      </c>
      <c r="AB331" s="281">
        <f t="shared" si="776"/>
        <v>5.8422412821244628E-2</v>
      </c>
      <c r="AC331" s="280">
        <f t="shared" si="776"/>
        <v>0.12261629707240486</v>
      </c>
      <c r="AD331" s="281">
        <f t="shared" si="776"/>
        <v>5.8916036006399296E-2</v>
      </c>
      <c r="AE331" s="281">
        <f t="shared" si="776"/>
        <v>6.2177593451735257E-2</v>
      </c>
      <c r="AF331" s="280">
        <f t="shared" si="776"/>
        <v>0.1208338754010628</v>
      </c>
      <c r="AG331" s="281">
        <f t="shared" si="776"/>
        <v>7.2350675286065716E-2</v>
      </c>
      <c r="AH331" s="281">
        <f t="shared" si="776"/>
        <v>7.5237318244501569E-2</v>
      </c>
      <c r="AI331" s="280">
        <f t="shared" si="776"/>
        <v>0.14593188046716254</v>
      </c>
      <c r="AJ331" s="281">
        <f t="shared" si="776"/>
        <v>0.10422446058675749</v>
      </c>
      <c r="AK331" s="281">
        <f t="shared" si="776"/>
        <v>0.10397499662659487</v>
      </c>
      <c r="AL331" s="280">
        <f t="shared" si="776"/>
        <v>0.20253994554952209</v>
      </c>
      <c r="AM331" s="281">
        <f t="shared" si="776"/>
        <v>9.352603769316041E-2</v>
      </c>
      <c r="AN331" s="281">
        <f t="shared" si="776"/>
        <v>9.1703545486773605E-2</v>
      </c>
      <c r="AO331" s="280">
        <f t="shared" si="776"/>
        <v>0.1792610024123269</v>
      </c>
      <c r="AP331" s="281">
        <f t="shared" si="776"/>
        <v>0.10664893990888495</v>
      </c>
      <c r="AQ331" s="281">
        <f t="shared" si="776"/>
        <v>0.10545446686175591</v>
      </c>
      <c r="AR331" s="280">
        <f t="shared" si="776"/>
        <v>0.20176608180102981</v>
      </c>
      <c r="AS331" s="281">
        <f t="shared" si="776"/>
        <v>0.11273699419331402</v>
      </c>
      <c r="AT331" s="281">
        <f t="shared" si="776"/>
        <v>0.11015037703584075</v>
      </c>
      <c r="AU331" s="280">
        <f t="shared" si="776"/>
        <v>0.21113912527457043</v>
      </c>
      <c r="AV331" s="281">
        <f t="shared" si="776"/>
        <v>0.11349354982242603</v>
      </c>
      <c r="AW331" s="281">
        <f t="shared" si="776"/>
        <v>0.11025626539885512</v>
      </c>
      <c r="AX331" s="280">
        <f t="shared" si="776"/>
        <v>0.2116259343183709</v>
      </c>
      <c r="AY331" s="281">
        <f t="shared" si="776"/>
        <v>0.10956690914543148</v>
      </c>
      <c r="AZ331" s="281">
        <f t="shared" si="776"/>
        <v>0.10664724970105433</v>
      </c>
      <c r="BA331" s="280">
        <f t="shared" si="776"/>
        <v>0.20465493070498</v>
      </c>
      <c r="BB331" s="281">
        <f t="shared" si="776"/>
        <v>0.10392109066511634</v>
      </c>
      <c r="BC331" s="281">
        <f t="shared" si="776"/>
        <v>0.10140658159045297</v>
      </c>
      <c r="BD331" s="280">
        <f t="shared" si="776"/>
        <v>0.194703163346825</v>
      </c>
      <c r="BE331" s="281">
        <f t="shared" si="776"/>
        <v>9.6921854460271697E-2</v>
      </c>
      <c r="BF331" s="281">
        <f t="shared" si="776"/>
        <v>9.5001929409517613E-2</v>
      </c>
      <c r="BG331" s="280">
        <f t="shared" si="776"/>
        <v>0.18247001502433985</v>
      </c>
      <c r="BH331" s="281"/>
      <c r="BJ331"/>
      <c r="BK331"/>
      <c r="BL331"/>
      <c r="BM331"/>
      <c r="BN331"/>
      <c r="BO331"/>
    </row>
    <row r="332" spans="1:67" s="61" customFormat="1">
      <c r="B332" s="61" t="s">
        <v>390</v>
      </c>
      <c r="E332" s="282"/>
      <c r="F332" s="283"/>
      <c r="G332" s="283"/>
      <c r="H332" s="282"/>
      <c r="I332" s="283"/>
      <c r="J332" s="283"/>
      <c r="K332" s="282"/>
      <c r="L332" s="283"/>
      <c r="M332" s="283"/>
      <c r="N332" s="282"/>
      <c r="O332" s="283"/>
      <c r="P332" s="283"/>
      <c r="Q332" s="282"/>
      <c r="R332" s="283"/>
      <c r="S332" s="283"/>
      <c r="T332" s="282"/>
      <c r="U332" s="283"/>
      <c r="V332" s="283"/>
      <c r="W332" s="282"/>
      <c r="X332" s="283"/>
      <c r="Y332" s="283"/>
      <c r="Z332" s="282"/>
      <c r="AA332" s="283"/>
      <c r="AB332" s="283"/>
      <c r="AC332" s="282"/>
      <c r="AD332" s="283"/>
      <c r="AE332" s="283"/>
      <c r="AF332" s="282"/>
      <c r="AG332" s="283"/>
      <c r="AH332" s="283"/>
      <c r="AI332" s="282"/>
      <c r="AJ332" s="283"/>
      <c r="AK332" s="283"/>
      <c r="AL332" s="282"/>
      <c r="AM332" s="283"/>
      <c r="AN332" s="283"/>
      <c r="AO332" s="282"/>
      <c r="AP332" s="283"/>
      <c r="AQ332" s="283"/>
      <c r="AR332" s="282"/>
      <c r="AS332" s="283"/>
      <c r="AT332" s="283"/>
      <c r="AU332" s="282"/>
      <c r="AV332" s="283"/>
      <c r="AW332" s="283"/>
      <c r="AX332" s="282"/>
      <c r="AY332" s="283"/>
      <c r="AZ332" s="283"/>
      <c r="BA332" s="282"/>
      <c r="BB332" s="283"/>
      <c r="BC332" s="283"/>
      <c r="BD332" s="282"/>
      <c r="BE332" s="283"/>
      <c r="BF332" s="283"/>
      <c r="BG332" s="282"/>
      <c r="BH332" s="283"/>
      <c r="BJ332"/>
      <c r="BK332"/>
      <c r="BL332"/>
      <c r="BM332"/>
      <c r="BN332"/>
      <c r="BO332"/>
    </row>
    <row r="333" spans="1:67" s="61" customFormat="1">
      <c r="E333" s="200"/>
      <c r="F333" s="284"/>
      <c r="G333" s="284"/>
      <c r="H333" s="200"/>
      <c r="I333" s="284"/>
      <c r="J333" s="284"/>
      <c r="K333" s="200"/>
      <c r="L333" s="284"/>
      <c r="M333" s="284"/>
      <c r="N333" s="200"/>
      <c r="O333" s="202"/>
      <c r="P333" s="284"/>
      <c r="Q333" s="200"/>
      <c r="R333" s="202"/>
      <c r="S333" s="284"/>
      <c r="T333" s="200"/>
      <c r="U333" s="284"/>
      <c r="V333" s="284"/>
      <c r="W333" s="200"/>
      <c r="X333" s="284"/>
      <c r="Y333" s="284"/>
      <c r="Z333" s="200"/>
      <c r="AA333" s="284"/>
      <c r="AB333" s="284"/>
      <c r="AC333" s="200"/>
      <c r="AD333" s="284"/>
      <c r="AE333" s="284"/>
      <c r="AF333" s="200"/>
      <c r="AG333" s="284"/>
      <c r="AH333" s="284"/>
      <c r="AI333" s="200"/>
      <c r="AJ333" s="284"/>
      <c r="AK333" s="284"/>
      <c r="AL333" s="200"/>
      <c r="AM333" s="284"/>
      <c r="AN333" s="284"/>
      <c r="AO333" s="200"/>
      <c r="AP333" s="284"/>
      <c r="AQ333" s="284"/>
      <c r="AR333" s="200"/>
      <c r="AS333" s="284"/>
      <c r="AT333" s="284"/>
      <c r="AU333" s="200"/>
      <c r="AV333" s="284"/>
      <c r="AW333" s="284"/>
      <c r="AX333" s="200"/>
      <c r="AY333" s="284"/>
      <c r="AZ333" s="284"/>
      <c r="BA333" s="200"/>
      <c r="BB333" s="284"/>
      <c r="BC333" s="284"/>
      <c r="BD333" s="200"/>
      <c r="BE333" s="284"/>
      <c r="BF333" s="284"/>
      <c r="BG333" s="200"/>
      <c r="BH333" s="202"/>
      <c r="BJ333"/>
      <c r="BK333"/>
      <c r="BL333"/>
      <c r="BM333"/>
      <c r="BN333"/>
      <c r="BO333"/>
    </row>
    <row r="334" spans="1:67" customFormat="1"/>
    <row r="335" spans="1:67" s="61" customFormat="1">
      <c r="E335" s="287"/>
      <c r="F335" s="284"/>
      <c r="G335" s="284"/>
      <c r="H335" s="287"/>
      <c r="I335" s="284"/>
      <c r="J335" s="284"/>
      <c r="K335" s="287"/>
      <c r="L335" s="284"/>
      <c r="M335" s="284"/>
      <c r="N335" s="287"/>
      <c r="O335" s="106"/>
      <c r="P335" s="284"/>
      <c r="Q335" s="287"/>
      <c r="R335" s="106"/>
      <c r="S335" s="284"/>
      <c r="T335" s="287"/>
      <c r="U335" s="284"/>
      <c r="V335" s="284"/>
      <c r="W335" s="287"/>
      <c r="X335" s="284"/>
      <c r="Y335" s="284"/>
      <c r="Z335" s="287"/>
      <c r="AA335" s="284"/>
      <c r="AB335" s="284"/>
      <c r="AC335" s="287"/>
      <c r="AD335" s="284"/>
      <c r="AE335" s="284"/>
      <c r="AF335" s="287"/>
      <c r="AG335" s="284"/>
      <c r="AH335" s="284"/>
      <c r="AI335" s="287"/>
      <c r="AJ335" s="284"/>
      <c r="AK335" s="284"/>
      <c r="AL335" s="287"/>
      <c r="AM335" s="284"/>
      <c r="AN335" s="284"/>
      <c r="AO335" s="287"/>
      <c r="AP335" s="284"/>
      <c r="AQ335" s="284"/>
      <c r="AR335" s="287"/>
      <c r="AS335" s="284"/>
      <c r="AT335" s="284"/>
      <c r="AU335" s="287"/>
      <c r="AV335" s="284"/>
      <c r="AW335" s="284"/>
      <c r="AX335" s="287"/>
      <c r="AY335" s="284"/>
      <c r="AZ335" s="284"/>
      <c r="BA335" s="287"/>
      <c r="BB335" s="284"/>
      <c r="BC335" s="284"/>
      <c r="BD335" s="287"/>
      <c r="BE335" s="284"/>
      <c r="BF335" s="284"/>
      <c r="BG335" s="287"/>
      <c r="BH335" s="106"/>
      <c r="BJ335"/>
      <c r="BK335"/>
      <c r="BL335"/>
      <c r="BM335"/>
      <c r="BN335"/>
      <c r="BO335"/>
    </row>
    <row r="336" spans="1:67" s="61" customFormat="1">
      <c r="E336" s="287"/>
      <c r="F336" s="284"/>
      <c r="G336" s="284"/>
      <c r="H336" s="287"/>
      <c r="I336" s="284"/>
      <c r="J336" s="284"/>
      <c r="K336" s="287"/>
      <c r="L336" s="284"/>
      <c r="M336" s="284"/>
      <c r="N336" s="287"/>
      <c r="O336" s="106"/>
      <c r="P336" s="284"/>
      <c r="Q336" s="287"/>
      <c r="R336" s="106"/>
      <c r="S336" s="284"/>
      <c r="T336" s="287"/>
      <c r="U336" s="284"/>
      <c r="V336" s="284"/>
      <c r="W336" s="287"/>
      <c r="X336" s="284"/>
      <c r="Y336" s="284"/>
      <c r="Z336" s="287"/>
      <c r="AA336" s="284"/>
      <c r="AB336" s="284"/>
      <c r="AC336" s="287"/>
      <c r="AD336" s="284"/>
      <c r="AE336" s="284"/>
      <c r="AF336" s="287"/>
      <c r="AG336" s="284"/>
      <c r="AH336" s="284"/>
      <c r="AI336" s="287"/>
      <c r="AJ336" s="284"/>
      <c r="AK336" s="284"/>
      <c r="AL336" s="287"/>
      <c r="AM336" s="284"/>
      <c r="AN336" s="284"/>
      <c r="AO336" s="287"/>
      <c r="AP336" s="284"/>
      <c r="AQ336" s="284"/>
      <c r="AR336" s="287"/>
      <c r="AS336" s="284"/>
      <c r="AT336" s="284"/>
      <c r="AU336" s="287"/>
      <c r="AV336" s="284"/>
      <c r="AW336" s="284"/>
      <c r="AX336" s="287"/>
      <c r="AY336" s="284"/>
      <c r="AZ336" s="284"/>
      <c r="BA336" s="287"/>
      <c r="BB336" s="284"/>
      <c r="BC336" s="284"/>
      <c r="BD336" s="287"/>
      <c r="BE336" s="284"/>
      <c r="BF336" s="284"/>
      <c r="BG336" s="287"/>
      <c r="BH336" s="106"/>
      <c r="BJ336"/>
      <c r="BK336"/>
      <c r="BL336"/>
      <c r="BM336"/>
      <c r="BN336"/>
      <c r="BO336"/>
    </row>
    <row r="337" spans="2:116" s="61" customFormat="1">
      <c r="B337" s="61" t="s">
        <v>391</v>
      </c>
      <c r="E337" s="287"/>
      <c r="F337" s="284"/>
      <c r="G337" s="284"/>
      <c r="H337" s="287"/>
      <c r="I337" s="284"/>
      <c r="J337" s="284"/>
      <c r="K337" s="287"/>
      <c r="L337" s="284"/>
      <c r="M337" s="284"/>
      <c r="N337" s="287"/>
      <c r="O337" s="106"/>
      <c r="P337" s="284"/>
      <c r="Q337" s="287"/>
      <c r="R337" s="106"/>
      <c r="S337" s="284"/>
      <c r="T337" s="287"/>
      <c r="U337" s="284"/>
      <c r="V337" s="284"/>
      <c r="W337" s="287"/>
      <c r="X337" s="284"/>
      <c r="Y337" s="284"/>
      <c r="Z337" s="287"/>
      <c r="AA337" s="284"/>
      <c r="AB337" s="284"/>
      <c r="AC337" s="287"/>
      <c r="AD337" s="284"/>
      <c r="AE337" s="284"/>
      <c r="AF337" s="287"/>
      <c r="AG337" s="284"/>
      <c r="AH337" s="284"/>
      <c r="AI337" s="287"/>
      <c r="AJ337" s="284"/>
      <c r="AK337" s="284"/>
      <c r="AL337" s="287"/>
      <c r="AM337" s="284"/>
      <c r="AN337" s="284"/>
      <c r="AO337" s="287"/>
      <c r="AP337" s="284"/>
      <c r="AQ337" s="284"/>
      <c r="AR337" s="287"/>
      <c r="AS337" s="284"/>
      <c r="AT337" s="284"/>
      <c r="AU337" s="287"/>
      <c r="AV337" s="284"/>
      <c r="AW337" s="284"/>
      <c r="AX337" s="287"/>
      <c r="AY337" s="284"/>
      <c r="AZ337" s="284"/>
      <c r="BA337" s="287"/>
      <c r="BB337" s="284"/>
      <c r="BC337" s="284"/>
      <c r="BD337" s="287"/>
      <c r="BE337" s="284"/>
      <c r="BF337" s="284"/>
      <c r="BG337" s="287"/>
      <c r="BH337" s="106"/>
      <c r="BJ337"/>
      <c r="BK337"/>
      <c r="BL337"/>
      <c r="BM337"/>
      <c r="BN337"/>
      <c r="BO337"/>
    </row>
    <row r="338" spans="2:116" s="61" customFormat="1">
      <c r="B338" s="61" t="s">
        <v>392</v>
      </c>
      <c r="E338" s="287"/>
      <c r="F338" s="284"/>
      <c r="G338" s="284"/>
      <c r="H338" s="287"/>
      <c r="I338" s="284"/>
      <c r="J338" s="284"/>
      <c r="K338" s="287"/>
      <c r="L338" s="284"/>
      <c r="M338" s="284"/>
      <c r="N338" s="287"/>
      <c r="O338" s="106"/>
      <c r="P338" s="284"/>
      <c r="Q338" s="287"/>
      <c r="R338" s="106"/>
      <c r="S338" s="284"/>
      <c r="T338" s="287"/>
      <c r="U338" s="284"/>
      <c r="V338" s="284"/>
      <c r="W338" s="287"/>
      <c r="X338" s="284"/>
      <c r="Y338" s="284"/>
      <c r="Z338" s="287"/>
      <c r="AA338" s="284"/>
      <c r="AB338" s="284"/>
      <c r="AC338" s="287"/>
      <c r="AD338" s="284"/>
      <c r="AE338" s="284"/>
      <c r="AF338" s="287"/>
      <c r="AG338" s="284"/>
      <c r="AH338" s="284"/>
      <c r="AI338" s="287"/>
      <c r="AJ338" s="284"/>
      <c r="AK338" s="284"/>
      <c r="AL338" s="287"/>
      <c r="AM338" s="284"/>
      <c r="AN338" s="284"/>
      <c r="AO338" s="287"/>
      <c r="AP338" s="284"/>
      <c r="AQ338" s="284"/>
      <c r="AR338" s="287"/>
      <c r="AS338" s="284"/>
      <c r="AT338" s="284"/>
      <c r="AU338" s="287"/>
      <c r="AV338" s="284"/>
      <c r="AW338" s="284"/>
      <c r="AX338" s="287"/>
      <c r="AY338" s="284"/>
      <c r="AZ338" s="284"/>
      <c r="BA338" s="287"/>
      <c r="BB338" s="284"/>
      <c r="BC338" s="284"/>
      <c r="BD338" s="287"/>
      <c r="BE338" s="284"/>
      <c r="BF338" s="284"/>
      <c r="BG338" s="287"/>
      <c r="BH338" s="106"/>
      <c r="BJ338"/>
      <c r="BK338"/>
      <c r="BL338"/>
      <c r="BM338"/>
      <c r="BN338"/>
      <c r="BO338"/>
    </row>
    <row r="339" spans="2:116" s="61" customFormat="1">
      <c r="E339" s="287"/>
      <c r="F339" s="284"/>
      <c r="G339" s="284"/>
      <c r="H339" s="287"/>
      <c r="I339" s="284"/>
      <c r="J339" s="284"/>
      <c r="K339" s="287"/>
      <c r="L339" s="284"/>
      <c r="M339" s="284"/>
      <c r="N339" s="287"/>
      <c r="O339" s="106"/>
      <c r="P339" s="284"/>
      <c r="Q339" s="287"/>
      <c r="R339" s="106"/>
      <c r="S339" s="284"/>
      <c r="T339" s="287"/>
      <c r="U339" s="284"/>
      <c r="V339" s="284"/>
      <c r="W339" s="287"/>
      <c r="X339" s="284"/>
      <c r="Y339" s="284"/>
      <c r="Z339" s="287"/>
      <c r="AA339" s="284"/>
      <c r="AB339" s="284"/>
      <c r="AC339" s="287"/>
      <c r="AD339" s="284"/>
      <c r="AE339" s="284"/>
      <c r="AF339" s="287"/>
      <c r="AG339" s="284"/>
      <c r="AH339" s="284"/>
      <c r="AI339" s="287"/>
      <c r="AJ339" s="284"/>
      <c r="AK339" s="284"/>
      <c r="AL339" s="287"/>
      <c r="AM339" s="284"/>
      <c r="AN339" s="284"/>
      <c r="AO339" s="287"/>
      <c r="AP339" s="284"/>
      <c r="AQ339" s="284"/>
      <c r="AR339" s="287"/>
      <c r="AS339" s="284"/>
      <c r="AT339" s="284"/>
      <c r="AU339" s="287"/>
      <c r="AV339" s="284"/>
      <c r="AW339" s="284"/>
      <c r="AX339" s="287"/>
      <c r="AY339" s="284"/>
      <c r="AZ339" s="284"/>
      <c r="BA339" s="287"/>
      <c r="BB339" s="284"/>
      <c r="BC339" s="284"/>
      <c r="BD339" s="287"/>
      <c r="BE339" s="284"/>
      <c r="BF339" s="284"/>
      <c r="BG339" s="287"/>
      <c r="BH339" s="106"/>
      <c r="BJ339"/>
      <c r="BK339"/>
      <c r="BL339"/>
      <c r="BM339"/>
      <c r="BN339"/>
      <c r="BO339"/>
    </row>
    <row r="340" spans="2:116" s="61" customFormat="1">
      <c r="E340" s="287"/>
      <c r="F340" s="284"/>
      <c r="G340" s="284"/>
      <c r="H340" s="287"/>
      <c r="I340" s="284"/>
      <c r="J340" s="284"/>
      <c r="K340" s="287"/>
      <c r="L340" s="284"/>
      <c r="M340" s="284"/>
      <c r="N340" s="287"/>
      <c r="O340" s="106"/>
      <c r="P340" s="284"/>
      <c r="Q340" s="287"/>
      <c r="R340" s="106"/>
      <c r="S340" s="284"/>
      <c r="T340" s="287"/>
      <c r="U340" s="284"/>
      <c r="V340" s="284"/>
      <c r="W340" s="287"/>
      <c r="X340" s="284"/>
      <c r="Y340" s="284"/>
      <c r="Z340" s="287"/>
      <c r="AA340" s="284"/>
      <c r="AB340" s="284"/>
      <c r="AC340" s="287"/>
      <c r="AD340" s="284"/>
      <c r="AE340" s="284"/>
      <c r="AF340" s="287"/>
      <c r="AG340" s="284"/>
      <c r="AH340" s="284"/>
      <c r="AI340" s="287"/>
      <c r="AJ340" s="284"/>
      <c r="AK340" s="284"/>
      <c r="AL340" s="287"/>
      <c r="AM340" s="284"/>
      <c r="AN340" s="284"/>
      <c r="AO340" s="287"/>
      <c r="AP340" s="284"/>
      <c r="AQ340" s="284"/>
      <c r="AR340" s="287"/>
      <c r="AS340" s="284"/>
      <c r="AT340" s="284"/>
      <c r="AU340" s="287"/>
      <c r="AV340" s="284"/>
      <c r="AW340" s="284"/>
      <c r="AX340" s="287"/>
      <c r="AY340" s="284"/>
      <c r="AZ340" s="284"/>
      <c r="BA340" s="287"/>
      <c r="BB340" s="284"/>
      <c r="BC340" s="284"/>
      <c r="BD340" s="287"/>
      <c r="BE340" s="284"/>
      <c r="BF340" s="284"/>
      <c r="BG340" s="287"/>
      <c r="BH340" s="106"/>
      <c r="BJ340"/>
      <c r="BK340"/>
      <c r="BL340"/>
      <c r="BM340"/>
      <c r="BN340"/>
      <c r="BO340"/>
    </row>
    <row r="341" spans="2:116" s="61" customFormat="1">
      <c r="E341" s="287"/>
      <c r="F341" s="284"/>
      <c r="G341" s="284"/>
      <c r="H341" s="287"/>
      <c r="I341" s="284"/>
      <c r="J341" s="284"/>
      <c r="K341" s="287"/>
      <c r="L341" s="284"/>
      <c r="M341" s="284"/>
      <c r="N341" s="287"/>
      <c r="O341" s="106"/>
      <c r="P341" s="284"/>
      <c r="Q341" s="287"/>
      <c r="R341" s="106"/>
      <c r="S341" s="284"/>
      <c r="T341" s="287"/>
      <c r="U341" s="284"/>
      <c r="V341" s="284"/>
      <c r="W341" s="287"/>
      <c r="X341" s="284"/>
      <c r="Y341" s="284"/>
      <c r="Z341" s="287"/>
      <c r="AA341" s="284"/>
      <c r="AB341" s="284"/>
      <c r="AC341" s="287"/>
      <c r="AD341" s="284"/>
      <c r="AE341" s="284"/>
      <c r="AF341" s="287"/>
      <c r="AG341" s="284"/>
      <c r="AH341" s="284"/>
      <c r="AI341" s="287"/>
      <c r="AJ341" s="284"/>
      <c r="AK341" s="284"/>
      <c r="AL341" s="287"/>
      <c r="AM341" s="284"/>
      <c r="AN341" s="284"/>
      <c r="AO341" s="287"/>
      <c r="AP341" s="284"/>
      <c r="AQ341" s="284"/>
      <c r="AR341" s="287"/>
      <c r="AS341" s="284"/>
      <c r="AT341" s="284"/>
      <c r="AU341" s="287"/>
      <c r="AV341" s="284"/>
      <c r="AW341" s="284"/>
      <c r="AX341" s="287"/>
      <c r="AY341" s="284"/>
      <c r="AZ341" s="284"/>
      <c r="BA341" s="287"/>
      <c r="BB341" s="284"/>
      <c r="BC341" s="284"/>
      <c r="BD341" s="287"/>
      <c r="BE341" s="284"/>
      <c r="BF341" s="284"/>
      <c r="BG341" s="287"/>
      <c r="BH341" s="106"/>
      <c r="BJ341"/>
      <c r="BK341"/>
      <c r="BL341"/>
      <c r="BM341"/>
      <c r="BN341"/>
      <c r="BO341"/>
    </row>
    <row r="342" spans="2:116" s="61" customFormat="1">
      <c r="E342" s="287"/>
      <c r="F342" s="284"/>
      <c r="G342" s="284"/>
      <c r="H342" s="287"/>
      <c r="I342" s="284"/>
      <c r="J342" s="284"/>
      <c r="K342" s="287"/>
      <c r="L342" s="284"/>
      <c r="M342" s="284"/>
      <c r="N342" s="287"/>
      <c r="O342" s="106"/>
      <c r="P342" s="284"/>
      <c r="Q342" s="287"/>
      <c r="R342" s="106"/>
      <c r="S342" s="284"/>
      <c r="T342" s="287"/>
      <c r="U342" s="284"/>
      <c r="V342" s="284"/>
      <c r="W342" s="287"/>
      <c r="X342" s="284"/>
      <c r="Y342" s="284"/>
      <c r="Z342" s="287"/>
      <c r="AA342" s="284"/>
      <c r="AB342" s="284"/>
      <c r="AC342" s="287"/>
      <c r="AD342" s="284"/>
      <c r="AE342" s="284"/>
      <c r="AF342" s="287"/>
      <c r="AG342" s="284"/>
      <c r="AH342" s="284"/>
      <c r="AI342" s="287"/>
      <c r="AJ342" s="284"/>
      <c r="AK342" s="284"/>
      <c r="AL342" s="287"/>
      <c r="AM342" s="284"/>
      <c r="AN342" s="284"/>
      <c r="AO342" s="287"/>
      <c r="AP342" s="284"/>
      <c r="AQ342" s="284"/>
      <c r="AR342" s="287"/>
      <c r="AS342" s="284"/>
      <c r="AT342" s="284"/>
      <c r="AU342" s="287"/>
      <c r="AV342" s="284"/>
      <c r="AW342" s="284"/>
      <c r="AX342" s="287"/>
      <c r="AY342" s="284"/>
      <c r="AZ342" s="284"/>
      <c r="BA342" s="287"/>
      <c r="BB342" s="284"/>
      <c r="BC342" s="284"/>
      <c r="BD342" s="287"/>
      <c r="BE342" s="284"/>
      <c r="BF342" s="284"/>
      <c r="BG342" s="287"/>
      <c r="BH342" s="106"/>
      <c r="BJ342"/>
      <c r="BK342"/>
      <c r="BL342"/>
      <c r="BM342"/>
      <c r="BN342"/>
      <c r="BO342"/>
    </row>
    <row r="343" spans="2:116" s="61" customFormat="1">
      <c r="B343" s="288" t="s">
        <v>393</v>
      </c>
      <c r="E343" s="287"/>
      <c r="F343" s="284"/>
      <c r="G343" s="284"/>
      <c r="H343" s="287"/>
      <c r="I343" s="284"/>
      <c r="J343" s="284"/>
      <c r="K343" s="287"/>
      <c r="L343" s="284"/>
      <c r="M343" s="284"/>
      <c r="N343" s="287"/>
      <c r="O343" s="106"/>
      <c r="P343" s="284"/>
      <c r="Q343" s="287"/>
      <c r="R343" s="106"/>
      <c r="S343" s="284"/>
      <c r="T343" s="287"/>
      <c r="U343" s="284"/>
      <c r="V343" s="284"/>
      <c r="W343" s="287"/>
      <c r="X343" s="284"/>
      <c r="Y343" s="284"/>
      <c r="Z343" s="287"/>
      <c r="AA343" s="284"/>
      <c r="AB343" s="284"/>
      <c r="AC343" s="287"/>
      <c r="AD343" s="284"/>
      <c r="AE343" s="284"/>
      <c r="AF343" s="287"/>
      <c r="AG343" s="284"/>
      <c r="AH343" s="284"/>
      <c r="AI343" s="287"/>
      <c r="AJ343" s="284"/>
      <c r="AK343" s="284"/>
      <c r="AL343" s="287"/>
      <c r="AM343" s="284"/>
      <c r="AN343" s="284"/>
      <c r="AO343" s="287"/>
      <c r="AP343" s="284"/>
      <c r="AQ343" s="284"/>
      <c r="AR343" s="287"/>
      <c r="AS343" s="284"/>
      <c r="AT343" s="284"/>
      <c r="AU343" s="287"/>
      <c r="AV343" s="284"/>
      <c r="AW343" s="284"/>
      <c r="AX343" s="287"/>
      <c r="AY343" s="284"/>
      <c r="AZ343" s="284"/>
      <c r="BA343" s="287"/>
      <c r="BB343" s="284"/>
      <c r="BC343" s="284"/>
      <c r="BD343" s="287"/>
      <c r="BE343" s="284"/>
      <c r="BF343" s="284"/>
      <c r="BG343" s="287"/>
      <c r="BH343" s="106"/>
      <c r="BJ343"/>
      <c r="BK343"/>
      <c r="BL343"/>
      <c r="BM343"/>
      <c r="BN343"/>
      <c r="BO343"/>
    </row>
    <row r="344" spans="2:116" s="61" customFormat="1">
      <c r="B344" s="118" t="s">
        <v>394</v>
      </c>
      <c r="E344" s="287"/>
      <c r="F344" s="284"/>
      <c r="G344" s="284"/>
      <c r="H344" s="287"/>
      <c r="I344" s="284"/>
      <c r="J344" s="284"/>
      <c r="K344" s="287"/>
      <c r="L344" s="284"/>
      <c r="M344" s="284"/>
      <c r="N344" s="287"/>
      <c r="O344" s="106"/>
      <c r="P344" s="284"/>
      <c r="Q344" s="287"/>
      <c r="R344" s="106"/>
      <c r="S344" s="284"/>
      <c r="T344" s="287"/>
      <c r="U344" s="284"/>
      <c r="V344" s="284"/>
      <c r="W344" s="287"/>
      <c r="X344" s="284"/>
      <c r="Y344" s="284"/>
      <c r="Z344" s="287"/>
      <c r="AA344" s="284"/>
      <c r="AB344" s="284"/>
      <c r="AC344" s="287"/>
      <c r="AD344" s="284"/>
      <c r="AE344" s="284"/>
      <c r="AF344" s="287"/>
      <c r="AG344" s="284"/>
      <c r="AH344" s="284"/>
      <c r="AI344" s="287"/>
      <c r="AJ344" s="284"/>
      <c r="AK344" s="284"/>
      <c r="AL344" s="287"/>
      <c r="AM344" s="284"/>
      <c r="AN344" s="284"/>
      <c r="AO344" s="287"/>
      <c r="AP344" s="284"/>
      <c r="AQ344" s="284"/>
      <c r="AR344" s="287"/>
      <c r="AS344" s="284"/>
      <c r="AT344" s="284"/>
      <c r="AU344" s="287"/>
      <c r="AV344" s="284"/>
      <c r="AW344" s="284"/>
      <c r="AX344" s="287"/>
      <c r="AY344" s="284"/>
      <c r="AZ344" s="284"/>
      <c r="BA344" s="287"/>
      <c r="BB344" s="284"/>
      <c r="BC344" s="284"/>
      <c r="BD344" s="287"/>
      <c r="BE344" s="284"/>
      <c r="BF344" s="284"/>
      <c r="BG344" s="287"/>
      <c r="BH344" s="106"/>
      <c r="BJ344"/>
      <c r="BK344"/>
      <c r="BL344"/>
      <c r="BM344"/>
      <c r="BN344"/>
      <c r="BO344"/>
    </row>
    <row r="345" spans="2:116" s="61" customFormat="1">
      <c r="B345" s="118"/>
      <c r="E345" s="287"/>
      <c r="F345" s="284"/>
      <c r="G345" s="284"/>
      <c r="H345" s="287"/>
      <c r="I345" s="284"/>
      <c r="J345" s="284"/>
      <c r="K345" s="287"/>
      <c r="L345" s="284"/>
      <c r="M345" s="284"/>
      <c r="N345" s="287"/>
      <c r="O345" s="106"/>
      <c r="P345" s="284"/>
      <c r="Q345" s="287"/>
      <c r="R345" s="106"/>
      <c r="S345" s="284"/>
      <c r="T345" s="287"/>
      <c r="U345" s="284"/>
      <c r="V345" s="284"/>
      <c r="W345" s="287"/>
      <c r="X345" s="284"/>
      <c r="Y345" s="284"/>
      <c r="Z345" s="287"/>
      <c r="AA345" s="284"/>
      <c r="AB345" s="284"/>
      <c r="AC345" s="287"/>
      <c r="AD345" s="284"/>
      <c r="AE345" s="284"/>
      <c r="AF345" s="287"/>
      <c r="AG345" s="284"/>
      <c r="AH345" s="284"/>
      <c r="AI345" s="287"/>
      <c r="AJ345" s="284"/>
      <c r="AK345" s="284"/>
      <c r="AL345" s="287"/>
      <c r="AM345" s="284"/>
      <c r="AN345" s="284"/>
      <c r="AO345" s="287"/>
      <c r="AP345" s="284"/>
      <c r="AQ345" s="284"/>
      <c r="AR345" s="287"/>
      <c r="AS345" s="284"/>
      <c r="AT345" s="284"/>
      <c r="AU345" s="287"/>
      <c r="AV345" s="284"/>
      <c r="AW345" s="284"/>
      <c r="AX345" s="287"/>
      <c r="AY345" s="284"/>
      <c r="AZ345" s="284"/>
      <c r="BA345" s="287"/>
      <c r="BB345" s="284"/>
      <c r="BC345" s="284"/>
      <c r="BD345" s="287"/>
      <c r="BE345" s="284"/>
      <c r="BF345" s="284"/>
      <c r="BG345" s="287"/>
      <c r="BH345" s="106"/>
      <c r="BJ345"/>
      <c r="BK345"/>
      <c r="BL345"/>
      <c r="BM345"/>
      <c r="BN345"/>
      <c r="BO345"/>
    </row>
    <row r="346" spans="2:116" s="61" customFormat="1">
      <c r="B346" s="61" t="s">
        <v>395</v>
      </c>
      <c r="E346" s="287"/>
      <c r="F346" s="284"/>
      <c r="G346" s="284"/>
      <c r="H346" s="287"/>
      <c r="I346" s="284"/>
      <c r="J346" s="284"/>
      <c r="K346" s="287"/>
      <c r="L346" s="284"/>
      <c r="M346" s="284"/>
      <c r="N346" s="287"/>
      <c r="O346" s="106"/>
      <c r="P346" s="284"/>
      <c r="Q346" s="287"/>
      <c r="R346" s="106"/>
      <c r="S346" s="284"/>
      <c r="T346" s="287"/>
      <c r="U346" s="284"/>
      <c r="V346" s="284"/>
      <c r="W346" s="287"/>
      <c r="X346" s="284"/>
      <c r="Y346" s="284"/>
      <c r="Z346" s="287"/>
      <c r="AA346" s="284"/>
      <c r="AB346" s="284"/>
      <c r="AC346" s="287"/>
      <c r="AD346" s="284"/>
      <c r="AE346" s="284"/>
      <c r="AF346" s="287"/>
      <c r="AG346" s="284"/>
      <c r="AH346" s="284"/>
      <c r="AI346" s="287"/>
      <c r="AJ346" s="284"/>
      <c r="AK346" s="284"/>
      <c r="AL346" s="287"/>
      <c r="AM346" s="284"/>
      <c r="AN346" s="284"/>
      <c r="AO346" s="287"/>
      <c r="AP346" s="284"/>
      <c r="AQ346" s="284"/>
      <c r="AR346" s="287"/>
      <c r="AS346" s="284"/>
      <c r="AT346" s="284"/>
      <c r="AU346" s="287"/>
      <c r="AV346" s="284"/>
      <c r="AW346" s="284"/>
      <c r="AX346" s="287"/>
      <c r="AY346" s="284"/>
      <c r="AZ346" s="284"/>
      <c r="BA346" s="287"/>
      <c r="BB346" s="284"/>
      <c r="BC346" s="284"/>
      <c r="BD346" s="287"/>
      <c r="BE346" s="284"/>
      <c r="BF346" s="284"/>
      <c r="BG346" s="287"/>
      <c r="BH346" s="106"/>
      <c r="BJ346"/>
      <c r="BK346"/>
      <c r="BL346"/>
      <c r="BM346"/>
      <c r="BN346"/>
      <c r="BO346"/>
    </row>
    <row r="347" spans="2:116" s="61" customFormat="1">
      <c r="B347" s="61" t="s">
        <v>396</v>
      </c>
      <c r="E347" s="287"/>
      <c r="F347" s="284"/>
      <c r="G347" s="284"/>
      <c r="H347" s="287"/>
      <c r="I347" s="284"/>
      <c r="J347" s="284"/>
      <c r="K347" s="287"/>
      <c r="L347" s="284"/>
      <c r="M347" s="284"/>
      <c r="N347" s="287"/>
      <c r="O347" s="106"/>
      <c r="P347" s="284"/>
      <c r="Q347" s="287"/>
      <c r="R347" s="106"/>
      <c r="S347" s="284"/>
      <c r="T347" s="287"/>
      <c r="U347" s="284"/>
      <c r="V347" s="284"/>
      <c r="W347" s="287"/>
      <c r="X347" s="284"/>
      <c r="Y347" s="284"/>
      <c r="Z347" s="287"/>
      <c r="AA347" s="284"/>
      <c r="AB347" s="284"/>
      <c r="AC347" s="287"/>
      <c r="AD347" s="284"/>
      <c r="AE347" s="284"/>
      <c r="AF347" s="287"/>
      <c r="AG347" s="284"/>
      <c r="AH347" s="284"/>
      <c r="AI347" s="287"/>
      <c r="AJ347" s="284"/>
      <c r="AK347" s="284"/>
      <c r="AL347" s="287"/>
      <c r="AM347" s="284"/>
      <c r="AN347" s="284"/>
      <c r="AO347" s="287"/>
      <c r="AP347" s="284"/>
      <c r="AQ347" s="284"/>
      <c r="AR347" s="287"/>
      <c r="AS347" s="284"/>
      <c r="AT347" s="284"/>
      <c r="AU347" s="287"/>
      <c r="AV347" s="284"/>
      <c r="AW347" s="284"/>
      <c r="AX347" s="287"/>
      <c r="AY347" s="284"/>
      <c r="AZ347" s="284"/>
      <c r="BA347" s="287"/>
      <c r="BB347" s="284"/>
      <c r="BC347" s="284"/>
      <c r="BD347" s="287"/>
      <c r="BE347" s="284"/>
      <c r="BF347" s="284"/>
      <c r="BG347" s="287"/>
      <c r="BH347" s="106"/>
      <c r="BJ347"/>
      <c r="BK347"/>
      <c r="BL347"/>
      <c r="BM347"/>
      <c r="BN347"/>
      <c r="BO347"/>
    </row>
    <row r="348" spans="2:116" s="61" customFormat="1">
      <c r="E348" s="106"/>
      <c r="F348" s="284"/>
      <c r="G348" s="284"/>
      <c r="H348" s="106"/>
      <c r="I348" s="284"/>
      <c r="J348" s="284"/>
      <c r="K348" s="106"/>
      <c r="L348" s="284"/>
      <c r="M348" s="284"/>
      <c r="N348" s="106"/>
      <c r="O348" s="106"/>
      <c r="P348" s="284"/>
      <c r="Q348" s="106"/>
      <c r="R348" s="106"/>
      <c r="S348" s="284"/>
      <c r="T348" s="106"/>
      <c r="U348" s="284"/>
      <c r="V348" s="284"/>
      <c r="W348" s="106"/>
      <c r="X348" s="284"/>
      <c r="Y348" s="284"/>
      <c r="Z348" s="106"/>
      <c r="AA348" s="284"/>
      <c r="AB348" s="284"/>
      <c r="AC348" s="106"/>
      <c r="AD348" s="284"/>
      <c r="AE348" s="284"/>
      <c r="AF348" s="106"/>
      <c r="AG348" s="284"/>
      <c r="AH348" s="284"/>
      <c r="AI348" s="106"/>
      <c r="AJ348" s="284"/>
      <c r="AK348" s="284"/>
      <c r="AL348" s="106"/>
      <c r="AM348" s="284"/>
      <c r="AN348" s="284"/>
      <c r="AO348" s="106"/>
      <c r="AP348" s="284"/>
      <c r="AQ348" s="284"/>
      <c r="AR348" s="106"/>
      <c r="AS348" s="284"/>
      <c r="AT348" s="284"/>
      <c r="AU348" s="106"/>
      <c r="AV348" s="284"/>
      <c r="AW348" s="284"/>
      <c r="AX348" s="106"/>
      <c r="AY348" s="284"/>
      <c r="AZ348" s="284"/>
      <c r="BA348" s="106"/>
      <c r="BB348" s="284"/>
      <c r="BC348" s="284"/>
      <c r="BD348" s="106"/>
      <c r="BE348" s="284"/>
      <c r="BF348" s="284"/>
      <c r="BG348" s="106"/>
      <c r="BH348" s="106"/>
      <c r="BJ348"/>
      <c r="BK348"/>
      <c r="BL348"/>
      <c r="BM348"/>
      <c r="BN348"/>
      <c r="BO348"/>
    </row>
    <row r="349" spans="2:116" s="61" customFormat="1">
      <c r="BI349" s="289"/>
      <c r="BJ349"/>
      <c r="BK349"/>
      <c r="BL349"/>
      <c r="BM349"/>
      <c r="BN349"/>
      <c r="BO349"/>
      <c r="BV349" s="290"/>
      <c r="BW349" s="290"/>
      <c r="BX349" s="290"/>
      <c r="BY349" s="290"/>
      <c r="BZ349" s="290"/>
      <c r="CA349" s="290"/>
      <c r="CB349" s="290"/>
      <c r="CC349" s="290"/>
      <c r="CD349" s="290"/>
      <c r="CE349" s="290"/>
      <c r="CF349" s="290"/>
      <c r="CG349" s="290"/>
      <c r="CH349" s="290"/>
      <c r="CI349" s="290"/>
      <c r="CJ349" s="290"/>
      <c r="CK349" s="290"/>
      <c r="CL349" s="290"/>
      <c r="CM349" s="290"/>
      <c r="CN349" s="290"/>
      <c r="CO349" s="290"/>
      <c r="CP349" s="290"/>
      <c r="CQ349" s="290"/>
      <c r="CR349" s="290"/>
      <c r="CS349" s="290"/>
      <c r="CT349" s="290"/>
      <c r="CU349" s="290"/>
      <c r="CV349" s="290"/>
      <c r="CW349" s="290"/>
      <c r="CX349" s="290"/>
      <c r="CY349" s="290"/>
      <c r="CZ349" s="290"/>
      <c r="DA349" s="290"/>
      <c r="DB349" s="290"/>
      <c r="DC349" s="290"/>
      <c r="DD349" s="290"/>
      <c r="DE349" s="290"/>
      <c r="DF349" s="290"/>
      <c r="DG349" s="290"/>
      <c r="DH349" s="290"/>
      <c r="DI349" s="290"/>
      <c r="DJ349" s="290"/>
      <c r="DK349" s="290"/>
      <c r="DL349" s="290"/>
    </row>
    <row r="350" spans="2:116" s="61" customFormat="1">
      <c r="B350" s="61" t="s">
        <v>397</v>
      </c>
      <c r="U350" s="103">
        <f>+Segment!U19</f>
        <v>147.239</v>
      </c>
      <c r="V350" s="103">
        <f>+Segment!V19</f>
        <v>181.96599999999998</v>
      </c>
      <c r="W350" s="103">
        <f>+Segment!W19</f>
        <v>329.20499999999998</v>
      </c>
      <c r="X350" s="103">
        <f>+Segment!X19</f>
        <v>236.245</v>
      </c>
      <c r="Y350" s="103">
        <f>+Segment!Y19</f>
        <v>272.26299999999998</v>
      </c>
      <c r="Z350" s="103">
        <f>+Segment!Z19</f>
        <v>508.50799999999998</v>
      </c>
      <c r="AA350" s="103">
        <f>+Segment!AA19</f>
        <v>305.83499999999998</v>
      </c>
      <c r="AB350" s="103">
        <f>+Segment!AB19</f>
        <v>317.04192093839913</v>
      </c>
      <c r="AC350" s="103">
        <f>+Segment!AC19</f>
        <v>622.87692093839905</v>
      </c>
      <c r="AD350" s="103">
        <f>+Segment!AD19</f>
        <v>341.46889627065661</v>
      </c>
      <c r="AE350" s="103">
        <f>+Segment!AE19</f>
        <v>362.70203206759442</v>
      </c>
      <c r="AF350" s="103">
        <f>+Segment!AF19</f>
        <v>704.17092833825109</v>
      </c>
      <c r="AG350" s="103">
        <f>+Segment!AG19</f>
        <v>397.57181363132588</v>
      </c>
      <c r="AH350" s="103">
        <f>+Segment!AH19</f>
        <v>413.35264582035967</v>
      </c>
      <c r="AI350" s="103">
        <f>+Segment!AI19</f>
        <v>810.92445945168561</v>
      </c>
      <c r="AJ350" s="103">
        <f>+Segment!AJ19</f>
        <v>458.13713034058662</v>
      </c>
      <c r="AK350" s="103">
        <f>+Segment!AK19</f>
        <v>476.34535739530452</v>
      </c>
      <c r="AL350" s="103">
        <f>+Segment!AL19</f>
        <v>934.48248773589114</v>
      </c>
      <c r="AM350" s="103">
        <f>+Segment!AM19</f>
        <v>536.5794031345871</v>
      </c>
      <c r="AN350" s="103">
        <f>+Segment!AN19</f>
        <v>557.94023084416199</v>
      </c>
      <c r="AO350" s="103">
        <f>+Segment!AO19</f>
        <v>1094.519633978749</v>
      </c>
      <c r="AP350" s="103">
        <f>+Segment!AP19</f>
        <v>591.78725194114202</v>
      </c>
      <c r="AQ350" s="103">
        <f>+Segment!AQ19</f>
        <v>640.08378613348032</v>
      </c>
      <c r="AR350" s="103">
        <f>+Segment!AR19</f>
        <v>1231.8710380746224</v>
      </c>
      <c r="AS350" s="103">
        <f>+Segment!AS19</f>
        <v>658.94958054098709</v>
      </c>
      <c r="AT350" s="103">
        <f>+Segment!AT19</f>
        <v>712.73491176470498</v>
      </c>
      <c r="AU350" s="103">
        <f>+Segment!AU19</f>
        <v>1371.6844923056919</v>
      </c>
      <c r="AV350" s="103">
        <f>+Segment!AV19</f>
        <v>723.40628907568043</v>
      </c>
      <c r="AW350" s="103">
        <f>+Segment!AW19</f>
        <v>782.38836535668179</v>
      </c>
      <c r="AX350" s="103">
        <f>+Segment!AX19</f>
        <v>1505.7946544323622</v>
      </c>
      <c r="AY350" s="103">
        <f>+Segment!AY19</f>
        <v>783.15517975004821</v>
      </c>
      <c r="AZ350" s="103">
        <f>+Segment!AZ19</f>
        <v>847.38860976292858</v>
      </c>
      <c r="BA350" s="103">
        <f>+Segment!BA19</f>
        <v>1630.5437895129767</v>
      </c>
      <c r="BB350" s="103">
        <f>+Segment!BB19</f>
        <v>838.1845505429194</v>
      </c>
      <c r="BC350" s="103">
        <f>+Segment!BC19</f>
        <v>906.89935835888252</v>
      </c>
      <c r="BD350" s="103">
        <f>+Segment!BD19</f>
        <v>1745.0839089018018</v>
      </c>
      <c r="BE350" s="103">
        <f>+Segment!BE19</f>
        <v>885.00405827267377</v>
      </c>
      <c r="BF350" s="103">
        <f>+Segment!BF19</f>
        <v>957.51796726492694</v>
      </c>
      <c r="BG350" s="103">
        <f>+Segment!BG19</f>
        <v>1842.5220255376007</v>
      </c>
      <c r="BI350" s="291"/>
      <c r="BJ350"/>
      <c r="BK350"/>
      <c r="BL350"/>
      <c r="BM350"/>
      <c r="BN350"/>
      <c r="BO350"/>
      <c r="BV350" s="290"/>
      <c r="BW350" s="290"/>
      <c r="BX350" s="290"/>
      <c r="BY350" s="290"/>
      <c r="BZ350" s="290"/>
      <c r="CA350" s="290"/>
      <c r="CB350" s="290"/>
      <c r="CC350" s="290"/>
      <c r="CD350" s="290"/>
      <c r="CE350" s="290"/>
      <c r="CF350" s="290"/>
      <c r="CG350" s="290"/>
      <c r="CH350" s="290"/>
      <c r="CI350" s="290"/>
      <c r="CJ350" s="290"/>
      <c r="CK350" s="290"/>
      <c r="CL350" s="290"/>
      <c r="CM350" s="290"/>
      <c r="CN350" s="290"/>
      <c r="CO350" s="290"/>
      <c r="CP350" s="290"/>
      <c r="CQ350" s="290"/>
      <c r="CR350" s="290"/>
      <c r="CS350" s="290"/>
      <c r="CT350" s="290"/>
      <c r="CU350" s="290"/>
      <c r="CV350" s="290"/>
      <c r="CW350" s="290"/>
      <c r="CX350" s="290"/>
      <c r="CY350" s="290"/>
      <c r="CZ350" s="290"/>
      <c r="DA350" s="290"/>
      <c r="DB350" s="290"/>
      <c r="DC350" s="290"/>
      <c r="DD350" s="290"/>
      <c r="DE350" s="290"/>
      <c r="DF350" s="290"/>
      <c r="DG350" s="290"/>
      <c r="DH350" s="290"/>
      <c r="DI350" s="290"/>
      <c r="DJ350" s="290"/>
      <c r="DK350" s="290"/>
      <c r="DL350" s="290"/>
    </row>
    <row r="351" spans="2:116" s="61" customFormat="1">
      <c r="B351" s="61" t="s">
        <v>398</v>
      </c>
      <c r="U351" s="103">
        <f>+Segment!U29</f>
        <v>1.359</v>
      </c>
      <c r="V351" s="103">
        <f>+Segment!V29</f>
        <v>2.137</v>
      </c>
      <c r="W351" s="103">
        <f>+Segment!W29</f>
        <v>3.496</v>
      </c>
      <c r="X351" s="103">
        <f>+Segment!X29</f>
        <v>2.839</v>
      </c>
      <c r="Y351" s="103">
        <f>+Segment!Y29</f>
        <v>3.387</v>
      </c>
      <c r="Z351" s="103">
        <f>+Segment!Z29</f>
        <v>6.226</v>
      </c>
      <c r="AA351" s="103">
        <f>+Segment!AA29</f>
        <v>3.9940000000000002</v>
      </c>
      <c r="AB351" s="103">
        <f>+Segment!AB29</f>
        <v>4</v>
      </c>
      <c r="AC351" s="103">
        <f>+Segment!AC29</f>
        <v>7.9939999999999998</v>
      </c>
      <c r="AD351" s="103">
        <f>+Segment!AD29</f>
        <v>4.2</v>
      </c>
      <c r="AE351" s="103">
        <f>+Segment!AE29</f>
        <v>4.2</v>
      </c>
      <c r="AF351" s="103">
        <f>+Segment!AF29</f>
        <v>8.4</v>
      </c>
      <c r="AG351" s="103">
        <f>+Segment!AG29</f>
        <v>4.41</v>
      </c>
      <c r="AH351" s="103">
        <f>+Segment!AH29</f>
        <v>4.41</v>
      </c>
      <c r="AI351" s="103">
        <f>+Segment!AI29</f>
        <v>8.82</v>
      </c>
      <c r="AJ351" s="103">
        <f>+Segment!AJ29</f>
        <v>4.6305030515255261</v>
      </c>
      <c r="AK351" s="103">
        <f>+Segment!AK29</f>
        <v>4.630503176077589</v>
      </c>
      <c r="AL351" s="103">
        <f>+Segment!AL29</f>
        <v>9.2610062276031151</v>
      </c>
      <c r="AM351" s="103">
        <f>+Segment!AM29</f>
        <v>87.270661728814488</v>
      </c>
      <c r="AN351" s="103">
        <f>+Segment!AN29</f>
        <v>90.634279554480372</v>
      </c>
      <c r="AO351" s="103">
        <f>+Segment!AO29</f>
        <v>177.90494128329487</v>
      </c>
      <c r="AP351" s="103">
        <f>+Segment!AP29</f>
        <v>150.59634794397351</v>
      </c>
      <c r="AQ351" s="103">
        <f>+Segment!AQ29</f>
        <v>162.03814495918499</v>
      </c>
      <c r="AR351" s="103">
        <f>+Segment!AR29</f>
        <v>312.6344929031585</v>
      </c>
      <c r="AS351" s="103">
        <f>+Segment!AS29</f>
        <v>206.85322773693105</v>
      </c>
      <c r="AT351" s="103">
        <f>+Segment!AT29</f>
        <v>222.88214574411177</v>
      </c>
      <c r="AU351" s="103">
        <f>+Segment!AU29</f>
        <v>429.73537348104281</v>
      </c>
      <c r="AV351" s="103">
        <f>+Segment!AV29</f>
        <v>268.47957605536749</v>
      </c>
      <c r="AW351" s="103">
        <f>+Segment!AW29</f>
        <v>289.43045274789159</v>
      </c>
      <c r="AX351" s="103">
        <f>+Segment!AX29</f>
        <v>557.91002880325914</v>
      </c>
      <c r="AY351" s="103">
        <f>+Segment!AY29</f>
        <v>330.24196547782742</v>
      </c>
      <c r="AZ351" s="103">
        <f>+Segment!AZ29</f>
        <v>356.99924190819792</v>
      </c>
      <c r="BA351" s="103">
        <f>+Segment!BA29</f>
        <v>687.24120738602528</v>
      </c>
      <c r="BB351" s="103">
        <f>+Segment!BB29</f>
        <v>395.2748644337571</v>
      </c>
      <c r="BC351" s="103">
        <f>+Segment!BC29</f>
        <v>427.42744947563295</v>
      </c>
      <c r="BD351" s="103">
        <f>+Segment!BD29</f>
        <v>822.70231390939011</v>
      </c>
      <c r="BE351" s="103">
        <f>+Segment!BE29</f>
        <v>458.51734235195698</v>
      </c>
      <c r="BF351" s="103">
        <f>+Segment!BF29</f>
        <v>495.90358966546302</v>
      </c>
      <c r="BG351" s="103">
        <f>+Segment!BG29</f>
        <v>954.42093201742</v>
      </c>
      <c r="BI351" s="289"/>
      <c r="BJ351"/>
      <c r="BK351"/>
      <c r="BL351"/>
      <c r="BM351"/>
      <c r="BN351"/>
      <c r="BO351"/>
      <c r="BV351" s="290"/>
      <c r="BW351" s="290"/>
      <c r="BX351" s="290"/>
      <c r="BY351" s="290"/>
      <c r="BZ351" s="290"/>
      <c r="CA351" s="290"/>
      <c r="CB351" s="290"/>
      <c r="CC351" s="290"/>
      <c r="CD351" s="290"/>
      <c r="CE351" s="290"/>
      <c r="CF351" s="290"/>
      <c r="CG351" s="290"/>
      <c r="CH351" s="290"/>
      <c r="CI351" s="290"/>
      <c r="CJ351" s="290"/>
      <c r="CK351" s="290"/>
      <c r="CL351" s="290"/>
      <c r="CM351" s="290"/>
      <c r="CN351" s="290"/>
      <c r="CO351" s="290"/>
      <c r="CP351" s="290"/>
      <c r="CQ351" s="290"/>
      <c r="CR351" s="290"/>
      <c r="CS351" s="290"/>
      <c r="CT351" s="290"/>
      <c r="CU351" s="290"/>
      <c r="CV351" s="290"/>
      <c r="CW351" s="290"/>
      <c r="CX351" s="290"/>
      <c r="CY351" s="290"/>
      <c r="CZ351" s="290"/>
      <c r="DA351" s="290"/>
      <c r="DB351" s="290"/>
      <c r="DC351" s="290"/>
      <c r="DD351" s="290"/>
      <c r="DE351" s="290"/>
      <c r="DF351" s="290"/>
      <c r="DG351" s="290"/>
      <c r="DH351" s="290"/>
      <c r="DI351" s="290"/>
      <c r="DJ351" s="290"/>
      <c r="DK351" s="290"/>
      <c r="DL351" s="290"/>
    </row>
    <row r="352" spans="2:116" s="61" customFormat="1">
      <c r="B352" s="61" t="s">
        <v>399</v>
      </c>
      <c r="U352" s="103">
        <f>+Segment!U77</f>
        <v>32.741999999999997</v>
      </c>
      <c r="V352" s="103">
        <f>+Segment!V77</f>
        <v>52.573</v>
      </c>
      <c r="W352" s="103">
        <f>+Segment!W77</f>
        <v>85.314999999999998</v>
      </c>
      <c r="X352" s="103">
        <f>+Segment!X77</f>
        <v>55.437999999999995</v>
      </c>
      <c r="Y352" s="103">
        <f>+Segment!Y77</f>
        <v>72.49199999999999</v>
      </c>
      <c r="Z352" s="103">
        <f>+Segment!Z77</f>
        <v>127.92999999999999</v>
      </c>
      <c r="AA352" s="103">
        <f>+Segment!AA77</f>
        <v>81.582999999999998</v>
      </c>
      <c r="AB352" s="103">
        <f>+Segment!AB77</f>
        <v>78.468000000000004</v>
      </c>
      <c r="AC352" s="103">
        <f>+Segment!AC77</f>
        <v>160.05099999999999</v>
      </c>
      <c r="AD352" s="103">
        <f>+Segment!AD77</f>
        <v>86.5</v>
      </c>
      <c r="AE352" s="103">
        <f>+Segment!AE77</f>
        <v>91.5</v>
      </c>
      <c r="AF352" s="103">
        <f>+Segment!AF77</f>
        <v>178</v>
      </c>
      <c r="AG352" s="103">
        <f>+Segment!AG77</f>
        <v>100.87136272626519</v>
      </c>
      <c r="AH352" s="103">
        <f>+Segment!AH77</f>
        <v>104.02752916407195</v>
      </c>
      <c r="AI352" s="103">
        <f>+Segment!AI77</f>
        <v>204.89889189033715</v>
      </c>
      <c r="AJ352" s="103">
        <f>+Segment!AJ77</f>
        <v>114.05227667842244</v>
      </c>
      <c r="AK352" s="103">
        <f>+Segment!AK77</f>
        <v>117.69392211427642</v>
      </c>
      <c r="AL352" s="103">
        <f>+Segment!AL77</f>
        <v>231.74619879269886</v>
      </c>
      <c r="AM352" s="103">
        <f>+Segment!AM77</f>
        <v>147.34370047268033</v>
      </c>
      <c r="AN352" s="103">
        <f>+Segment!AN77</f>
        <v>152.28858957972849</v>
      </c>
      <c r="AO352" s="103">
        <f>+Segment!AO77</f>
        <v>299.63229005240885</v>
      </c>
      <c r="AP352" s="103">
        <f>+Segment!AP77</f>
        <v>166.04243437618535</v>
      </c>
      <c r="AQ352" s="103">
        <f>+Segment!AQ77</f>
        <v>177.71608621538311</v>
      </c>
      <c r="AR352" s="103">
        <f>+Segment!AR77</f>
        <v>343.75852059156847</v>
      </c>
      <c r="AS352" s="103">
        <f>+Segment!AS77</f>
        <v>188.64881203076681</v>
      </c>
      <c r="AT352" s="103">
        <f>+Segment!AT77</f>
        <v>202.12056645879375</v>
      </c>
      <c r="AU352" s="103">
        <f>+Segment!AU77</f>
        <v>390.76937848956055</v>
      </c>
      <c r="AV352" s="103">
        <f>+Segment!AV77</f>
        <v>210.417216624509</v>
      </c>
      <c r="AW352" s="103">
        <f>+Segment!AW77</f>
        <v>225.6139318412913</v>
      </c>
      <c r="AX352" s="103">
        <f>+Segment!AX77</f>
        <v>436.0311484658003</v>
      </c>
      <c r="AY352" s="103">
        <f>+Segment!AY77</f>
        <v>231.30238041670833</v>
      </c>
      <c r="AZ352" s="103">
        <f>+Segment!AZ77</f>
        <v>248.14701587103653</v>
      </c>
      <c r="BA352" s="103">
        <f>+Segment!BA77</f>
        <v>479.44939628774489</v>
      </c>
      <c r="BB352" s="103">
        <f>+Segment!BB77</f>
        <v>251.20904218874193</v>
      </c>
      <c r="BC352" s="103">
        <f>+Segment!BC77</f>
        <v>269.61648755853571</v>
      </c>
      <c r="BD352" s="103">
        <f>+Segment!BD77</f>
        <v>520.82552974727764</v>
      </c>
      <c r="BE352" s="103">
        <f>+Segment!BE77</f>
        <v>268.74810479616235</v>
      </c>
      <c r="BF352" s="103">
        <f>+Segment!BF77</f>
        <v>288.51735524970684</v>
      </c>
      <c r="BG352" s="103">
        <f>+Segment!BG77</f>
        <v>557.26546004586919</v>
      </c>
      <c r="BJ352"/>
      <c r="BK352"/>
      <c r="BL352"/>
      <c r="BM352"/>
      <c r="BN352"/>
      <c r="BO352"/>
      <c r="BV352" s="290"/>
      <c r="BW352" s="290"/>
      <c r="BX352" s="290"/>
      <c r="BY352" s="290"/>
      <c r="BZ352" s="290"/>
      <c r="CA352" s="290"/>
      <c r="CB352" s="290"/>
      <c r="CC352" s="290"/>
      <c r="CD352" s="290"/>
      <c r="CE352" s="290"/>
      <c r="CF352" s="290"/>
      <c r="CG352" s="290"/>
      <c r="CH352" s="290"/>
      <c r="CI352" s="290"/>
      <c r="CJ352" s="290"/>
      <c r="CK352" s="290"/>
      <c r="CL352" s="290"/>
      <c r="CM352" s="290"/>
      <c r="CN352" s="290"/>
      <c r="CO352" s="290"/>
      <c r="CP352" s="290"/>
      <c r="CQ352" s="290"/>
      <c r="CR352" s="290"/>
      <c r="CS352" s="290"/>
      <c r="CT352" s="290"/>
      <c r="CU352" s="290"/>
      <c r="CV352" s="290"/>
      <c r="CW352" s="290"/>
      <c r="CX352" s="290"/>
      <c r="CY352" s="290"/>
      <c r="CZ352" s="290"/>
      <c r="DA352" s="290"/>
      <c r="DB352" s="290"/>
      <c r="DC352" s="290"/>
      <c r="DD352" s="290"/>
      <c r="DE352" s="290"/>
      <c r="DF352" s="290"/>
      <c r="DG352" s="290"/>
      <c r="DH352" s="290"/>
      <c r="DI352" s="290"/>
      <c r="DJ352" s="290"/>
      <c r="DK352" s="290"/>
      <c r="DL352" s="290"/>
    </row>
    <row r="353" spans="2:116" s="61" customFormat="1">
      <c r="B353" s="61" t="s">
        <v>400</v>
      </c>
      <c r="U353" s="292">
        <f>+Segment!U71</f>
        <v>0.63020640799016014</v>
      </c>
      <c r="V353" s="292">
        <f>+Segment!V71</f>
        <v>0.62871956350606695</v>
      </c>
      <c r="W353" s="292">
        <f>+Segment!W71</f>
        <v>0.6293839232621975</v>
      </c>
      <c r="X353" s="292">
        <f>+Segment!X71</f>
        <v>0.65604667565345487</v>
      </c>
      <c r="Y353" s="292">
        <f>+Segment!Y71</f>
        <v>0.64623023037481042</v>
      </c>
      <c r="Z353" s="292">
        <f>+Segment!Z71</f>
        <v>0.65078375610539907</v>
      </c>
      <c r="AA353" s="292">
        <f>+Segment!AA71</f>
        <v>0.53443881145304717</v>
      </c>
      <c r="AB353" s="292">
        <f>+Segment!AB71</f>
        <v>0.52639650589818643</v>
      </c>
      <c r="AC353" s="292">
        <f>+Segment!AC71</f>
        <v>0.53029926915015713</v>
      </c>
      <c r="AD353" s="292">
        <f>+Segment!AD71</f>
        <v>0.52375594980416162</v>
      </c>
      <c r="AE353" s="292">
        <f>+Segment!AE71</f>
        <v>0.52907079671041946</v>
      </c>
      <c r="AF353" s="292">
        <f>+Segment!AF71</f>
        <v>0.52647554518379058</v>
      </c>
      <c r="AG353" s="292">
        <f>+Segment!AG71</f>
        <v>0.54063420319962829</v>
      </c>
      <c r="AH353" s="292">
        <f>+Segment!AH71</f>
        <v>0.54395233119977449</v>
      </c>
      <c r="AI353" s="292">
        <f>+Segment!AI71</f>
        <v>0.54231882264349573</v>
      </c>
      <c r="AJ353" s="292">
        <f>+Segment!AJ71</f>
        <v>0.55444100019274378</v>
      </c>
      <c r="AK353" s="292">
        <f>+Segment!AK71</f>
        <v>0.55770717099577061</v>
      </c>
      <c r="AL353" s="292">
        <f>+Segment!AL71</f>
        <v>0.55609974779726101</v>
      </c>
      <c r="AM353" s="292">
        <f>+Segment!AM71</f>
        <v>0.58427330774732067</v>
      </c>
      <c r="AN353" s="292">
        <f>+Segment!AN71</f>
        <v>0.58712976086502</v>
      </c>
      <c r="AO353" s="292">
        <f>+Segment!AO71</f>
        <v>0.58572510460278959</v>
      </c>
      <c r="AP353" s="292">
        <f>+Segment!AP71</f>
        <v>0.60312010074394651</v>
      </c>
      <c r="AQ353" s="292">
        <f>+Segment!AQ71</f>
        <v>0.60825391583649935</v>
      </c>
      <c r="AR353" s="292">
        <f>+Segment!AR71</f>
        <v>0.60577308196720692</v>
      </c>
      <c r="AS353" s="292">
        <f>+Segment!AS71</f>
        <v>0.61794162897852778</v>
      </c>
      <c r="AT353" s="292">
        <f>+Segment!AT71</f>
        <v>0.62273102297903082</v>
      </c>
      <c r="AU353" s="292">
        <f>+Segment!AU71</f>
        <v>0.62041786741156035</v>
      </c>
      <c r="AV353" s="292">
        <f>+Segment!AV71</f>
        <v>0.63089284222550202</v>
      </c>
      <c r="AW353" s="292">
        <f>+Segment!AW71</f>
        <v>0.63539287767455976</v>
      </c>
      <c r="AX353" s="292">
        <f>+Segment!AX71</f>
        <v>0.63322021425370578</v>
      </c>
      <c r="AY353" s="292">
        <f>+Segment!AY71</f>
        <v>0.64190801444895818</v>
      </c>
      <c r="AZ353" s="292">
        <f>+Segment!AZ71</f>
        <v>0.6462865613326636</v>
      </c>
      <c r="BA353" s="292">
        <f>+Segment!BA71</f>
        <v>0.64417413607954865</v>
      </c>
      <c r="BB353" s="292">
        <f>+Segment!BB71</f>
        <v>0.65185875917587388</v>
      </c>
      <c r="BC353" s="292">
        <f>+Segment!BC71</f>
        <v>0.656077301525262</v>
      </c>
      <c r="BD353" s="292">
        <f>+Segment!BD71</f>
        <v>0.65404252785630601</v>
      </c>
      <c r="BE353" s="292">
        <f>+Segment!BE71</f>
        <v>0.66054945161511536</v>
      </c>
      <c r="BF353" s="292">
        <f>+Segment!BF71</f>
        <v>0.66466329259637891</v>
      </c>
      <c r="BG353" s="292">
        <f>+Segment!BG71</f>
        <v>0.66267930625228988</v>
      </c>
      <c r="BI353" s="291"/>
      <c r="BJ353"/>
      <c r="BK353"/>
      <c r="BL353"/>
      <c r="BM353"/>
      <c r="BN353"/>
      <c r="BO353"/>
      <c r="BV353" s="293"/>
      <c r="BW353" s="293"/>
      <c r="BX353" s="293"/>
      <c r="BY353" s="293"/>
      <c r="BZ353" s="293"/>
      <c r="CA353" s="293"/>
      <c r="CB353" s="293"/>
      <c r="CC353" s="293"/>
      <c r="CD353" s="293"/>
      <c r="CE353" s="293"/>
      <c r="CF353" s="293"/>
      <c r="CG353" s="293"/>
      <c r="CH353" s="293"/>
      <c r="CI353" s="293"/>
      <c r="CJ353" s="293"/>
      <c r="CK353" s="293"/>
      <c r="CL353" s="293"/>
      <c r="CM353" s="293"/>
      <c r="CN353" s="293"/>
      <c r="CO353" s="293"/>
      <c r="CP353" s="293"/>
      <c r="CQ353" s="293"/>
      <c r="CR353" s="293"/>
      <c r="CS353" s="293"/>
      <c r="CT353" s="293"/>
      <c r="CU353" s="293"/>
      <c r="CV353" s="293"/>
      <c r="CW353" s="293"/>
      <c r="CX353" s="293"/>
      <c r="CY353" s="293"/>
      <c r="CZ353" s="293"/>
      <c r="DA353" s="293"/>
      <c r="DB353" s="293"/>
      <c r="DC353" s="293"/>
      <c r="DD353" s="293"/>
      <c r="DE353" s="293"/>
      <c r="DF353" s="293"/>
      <c r="DG353" s="293"/>
      <c r="DH353" s="293"/>
      <c r="DI353" s="293"/>
      <c r="DJ353" s="293"/>
      <c r="DK353" s="293"/>
      <c r="DL353" s="293"/>
    </row>
    <row r="354" spans="2:116" s="61" customFormat="1">
      <c r="B354" s="61" t="s">
        <v>142</v>
      </c>
      <c r="U354" s="292">
        <f>+Segment!U186</f>
        <v>0.15794143148074727</v>
      </c>
      <c r="V354" s="292">
        <f>+Segment!V186</f>
        <v>8.6039251879801243E-2</v>
      </c>
      <c r="W354" s="292">
        <f>+Segment!W186</f>
        <v>0.11820000120128042</v>
      </c>
      <c r="X354" s="292">
        <f>+Segment!X186</f>
        <v>0.15468822382945691</v>
      </c>
      <c r="Y354" s="292">
        <f>+Segment!Y186</f>
        <v>0.10940275872030043</v>
      </c>
      <c r="Z354" s="292">
        <f>+Segment!Z186</f>
        <v>0.13040919483264979</v>
      </c>
      <c r="AA354" s="292">
        <f>+Segment!AA186</f>
        <v>5.4001572911089687E-2</v>
      </c>
      <c r="AB354" s="292">
        <f>+Segment!AB186</f>
        <v>5.5337274620092455E-2</v>
      </c>
      <c r="AC354" s="292">
        <f>+Segment!AC186</f>
        <v>5.4689086422077315E-2</v>
      </c>
      <c r="AD354" s="292">
        <f>+Segment!AD186</f>
        <v>6.0155929255409836E-2</v>
      </c>
      <c r="AE354" s="292">
        <f>+Segment!AE186</f>
        <v>6.1146180718802706E-2</v>
      </c>
      <c r="AF354" s="292">
        <f>+Segment!AF186</f>
        <v>6.0662638733973394E-2</v>
      </c>
      <c r="AG354" s="292">
        <f>+Segment!AG186</f>
        <v>7.1322847566763548E-2</v>
      </c>
      <c r="AH354" s="292">
        <f>+Segment!AH186</f>
        <v>7.4316685055654905E-2</v>
      </c>
      <c r="AI354" s="292">
        <f>+Segment!AI186</f>
        <v>7.2842824145528284E-2</v>
      </c>
      <c r="AJ354" s="292">
        <f>+Segment!AJ186</f>
        <v>0.10243465564366724</v>
      </c>
      <c r="AK354" s="292">
        <f>+Segment!AK186</f>
        <v>0.10551537279894203</v>
      </c>
      <c r="AL354" s="292">
        <f>+Segment!AL186</f>
        <v>0.10399921932073271</v>
      </c>
      <c r="AM354" s="292">
        <f>+Segment!AM186</f>
        <v>0.14248608526662732</v>
      </c>
      <c r="AN354" s="292">
        <f>+Segment!AN186</f>
        <v>0.14524217891017227</v>
      </c>
      <c r="AO354" s="292">
        <f>+Segment!AO186</f>
        <v>0.14388687425920105</v>
      </c>
      <c r="AP354" s="292">
        <f>+Segment!AP186</f>
        <v>0.17717112908783852</v>
      </c>
      <c r="AQ354" s="292">
        <f>+Segment!AQ186</f>
        <v>0.18195947833101825</v>
      </c>
      <c r="AR354" s="292">
        <f>+Segment!AR186</f>
        <v>0.17964558529702238</v>
      </c>
      <c r="AS354" s="292">
        <f>+Segment!AS186</f>
        <v>0.2019734617646273</v>
      </c>
      <c r="AT354" s="292">
        <f>+Segment!AT186</f>
        <v>0.20644582539136383</v>
      </c>
      <c r="AU354" s="292">
        <f>+Segment!AU186</f>
        <v>0.20428578743628001</v>
      </c>
      <c r="AV354" s="292">
        <f>+Segment!AV186</f>
        <v>0.2253646087375909</v>
      </c>
      <c r="AW354" s="292">
        <f>+Segment!AW186</f>
        <v>0.22954815834439687</v>
      </c>
      <c r="AX354" s="292">
        <f>+Segment!AX186</f>
        <v>0.2275282975448695</v>
      </c>
      <c r="AY354" s="292">
        <f>+Segment!AY186</f>
        <v>0.24597555227242648</v>
      </c>
      <c r="AZ354" s="292">
        <f>+Segment!AZ186</f>
        <v>0.25022523329614632</v>
      </c>
      <c r="BA354" s="292">
        <f>+Segment!BA186</f>
        <v>0.24817497923912185</v>
      </c>
      <c r="BB354" s="292">
        <f>+Segment!BB186</f>
        <v>0.26547004128350893</v>
      </c>
      <c r="BC354" s="292">
        <f>+Segment!BC186</f>
        <v>0.269569655642307</v>
      </c>
      <c r="BD354" s="292">
        <f>+Segment!BD186</f>
        <v>0.26759224575536672</v>
      </c>
      <c r="BE354" s="292">
        <f>+Segment!BE186</f>
        <v>0.28352436376825241</v>
      </c>
      <c r="BF354" s="292">
        <f>+Segment!BF186</f>
        <v>0.28752498587547864</v>
      </c>
      <c r="BG354" s="292">
        <f>+Segment!BG186</f>
        <v>0.28559560171484927</v>
      </c>
      <c r="BJ354"/>
      <c r="BK354"/>
      <c r="BL354"/>
      <c r="BM354"/>
      <c r="BN354"/>
      <c r="BO354"/>
    </row>
    <row r="355" spans="2:116" s="61" customFormat="1">
      <c r="BJ355"/>
      <c r="BK355"/>
      <c r="BL355"/>
      <c r="BM355"/>
      <c r="BN355"/>
      <c r="BO355"/>
    </row>
    <row r="356" spans="2:116" s="61" customFormat="1">
      <c r="BJ356"/>
      <c r="BK356"/>
      <c r="BL356"/>
      <c r="BM356"/>
      <c r="BN356"/>
      <c r="BO356"/>
    </row>
    <row r="357" spans="2:116" s="61" customFormat="1">
      <c r="BJ357"/>
      <c r="BK357"/>
      <c r="BL357"/>
      <c r="BM357"/>
      <c r="BN357"/>
      <c r="BO357"/>
    </row>
    <row r="358" spans="2:116" s="61" customFormat="1">
      <c r="BJ358"/>
      <c r="BK358"/>
      <c r="BL358"/>
      <c r="BM358"/>
      <c r="BN358"/>
      <c r="BO358"/>
    </row>
    <row r="359" spans="2:116" s="61" customFormat="1">
      <c r="BJ359"/>
      <c r="BK359"/>
      <c r="BL359"/>
      <c r="BM359"/>
      <c r="BN359"/>
      <c r="BO359"/>
    </row>
    <row r="360" spans="2:116" s="61" customFormat="1">
      <c r="BJ360"/>
      <c r="BK360"/>
      <c r="BL360"/>
      <c r="BM360"/>
      <c r="BN360"/>
      <c r="BO360"/>
    </row>
    <row r="361" spans="2:116" s="61" customFormat="1">
      <c r="BJ361"/>
      <c r="BK361"/>
      <c r="BL361"/>
      <c r="BM361"/>
      <c r="BN361"/>
      <c r="BO361"/>
    </row>
    <row r="362" spans="2:116" s="61" customFormat="1">
      <c r="BJ362"/>
      <c r="BK362"/>
      <c r="BL362"/>
      <c r="BM362"/>
      <c r="BN362"/>
      <c r="BO362"/>
    </row>
    <row r="363" spans="2:116" s="61" customFormat="1">
      <c r="BJ363"/>
      <c r="BK363"/>
      <c r="BL363"/>
      <c r="BM363"/>
      <c r="BN363"/>
      <c r="BO363"/>
    </row>
    <row r="364" spans="2:116" s="61" customFormat="1">
      <c r="BJ364"/>
      <c r="BK364"/>
      <c r="BL364"/>
      <c r="BM364"/>
      <c r="BN364"/>
      <c r="BO364"/>
    </row>
    <row r="365" spans="2:116" s="61" customFormat="1">
      <c r="BJ365"/>
      <c r="BK365"/>
      <c r="BL365"/>
      <c r="BM365"/>
      <c r="BN365"/>
      <c r="BO365"/>
    </row>
    <row r="366" spans="2:116" s="61" customFormat="1">
      <c r="BJ366"/>
      <c r="BK366"/>
      <c r="BL366"/>
      <c r="BM366"/>
      <c r="BN366"/>
      <c r="BO366"/>
    </row>
    <row r="367" spans="2:116" s="61" customFormat="1">
      <c r="BJ367"/>
      <c r="BK367"/>
      <c r="BL367"/>
      <c r="BM367"/>
      <c r="BN367"/>
      <c r="BO367"/>
    </row>
    <row r="368" spans="2:116" s="61" customFormat="1">
      <c r="BJ368"/>
      <c r="BK368"/>
      <c r="BL368"/>
      <c r="BM368"/>
      <c r="BN368"/>
      <c r="BO368"/>
    </row>
    <row r="369" spans="62:67" s="61" customFormat="1">
      <c r="BJ369"/>
      <c r="BK369"/>
      <c r="BL369"/>
      <c r="BM369"/>
      <c r="BN369"/>
      <c r="BO369"/>
    </row>
    <row r="370" spans="62:67" s="61" customFormat="1">
      <c r="BJ370"/>
      <c r="BK370"/>
      <c r="BL370"/>
      <c r="BM370"/>
      <c r="BN370"/>
      <c r="BO370"/>
    </row>
    <row r="371" spans="62:67" s="61" customFormat="1">
      <c r="BJ371"/>
      <c r="BK371"/>
      <c r="BL371"/>
      <c r="BM371"/>
      <c r="BN371"/>
      <c r="BO371"/>
    </row>
    <row r="372" spans="62:67" s="61" customFormat="1">
      <c r="BJ372"/>
      <c r="BK372"/>
      <c r="BL372"/>
      <c r="BM372"/>
      <c r="BN372"/>
      <c r="BO372"/>
    </row>
    <row r="373" spans="62:67" s="61" customFormat="1">
      <c r="BJ373"/>
      <c r="BK373"/>
      <c r="BL373"/>
      <c r="BM373"/>
      <c r="BN373"/>
      <c r="BO373"/>
    </row>
    <row r="374" spans="62:67" s="61" customFormat="1">
      <c r="BJ374"/>
      <c r="BK374"/>
      <c r="BL374"/>
      <c r="BM374"/>
      <c r="BN374"/>
      <c r="BO374"/>
    </row>
    <row r="375" spans="62:67" s="61" customFormat="1">
      <c r="BJ375"/>
      <c r="BK375"/>
      <c r="BL375"/>
      <c r="BM375"/>
      <c r="BN375"/>
      <c r="BO375"/>
    </row>
    <row r="376" spans="62:67" s="61" customFormat="1">
      <c r="BJ376"/>
      <c r="BK376"/>
      <c r="BL376"/>
      <c r="BM376"/>
      <c r="BN376"/>
      <c r="BO376"/>
    </row>
    <row r="377" spans="62:67" s="61" customFormat="1">
      <c r="BJ377"/>
      <c r="BK377"/>
      <c r="BL377"/>
      <c r="BM377"/>
      <c r="BN377"/>
      <c r="BO377"/>
    </row>
    <row r="378" spans="62:67" s="61" customFormat="1">
      <c r="BJ378"/>
      <c r="BK378"/>
      <c r="BL378"/>
      <c r="BM378"/>
      <c r="BN378"/>
      <c r="BO378"/>
    </row>
    <row r="379" spans="62:67" s="61" customFormat="1">
      <c r="BJ379"/>
      <c r="BK379"/>
      <c r="BL379"/>
      <c r="BM379"/>
      <c r="BN379"/>
      <c r="BO379"/>
    </row>
    <row r="380" spans="62:67" s="61" customFormat="1">
      <c r="BJ380"/>
      <c r="BK380"/>
      <c r="BL380"/>
      <c r="BM380"/>
      <c r="BN380"/>
      <c r="BO380"/>
    </row>
    <row r="381" spans="62:67" s="61" customFormat="1">
      <c r="BJ381"/>
      <c r="BK381"/>
      <c r="BL381"/>
      <c r="BM381"/>
      <c r="BN381"/>
      <c r="BO381"/>
    </row>
    <row r="382" spans="62:67" s="61" customFormat="1">
      <c r="BJ382"/>
      <c r="BK382"/>
      <c r="BL382"/>
      <c r="BM382"/>
      <c r="BN382"/>
      <c r="BO382"/>
    </row>
    <row r="383" spans="62:67" s="61" customFormat="1">
      <c r="BJ383"/>
      <c r="BK383"/>
      <c r="BL383"/>
      <c r="BM383"/>
      <c r="BN383"/>
      <c r="BO383"/>
    </row>
    <row r="384" spans="62:67" s="61" customFormat="1">
      <c r="BJ384"/>
      <c r="BK384"/>
      <c r="BL384"/>
      <c r="BM384"/>
      <c r="BN384"/>
      <c r="BO384"/>
    </row>
    <row r="385" spans="62:67" s="61" customFormat="1">
      <c r="BJ385"/>
      <c r="BK385"/>
      <c r="BL385"/>
      <c r="BM385"/>
      <c r="BN385"/>
      <c r="BO385"/>
    </row>
    <row r="386" spans="62:67" s="61" customFormat="1">
      <c r="BJ386"/>
      <c r="BK386"/>
      <c r="BL386"/>
      <c r="BM386"/>
      <c r="BN386"/>
      <c r="BO386"/>
    </row>
    <row r="387" spans="62:67" s="61" customFormat="1">
      <c r="BJ387"/>
      <c r="BK387"/>
      <c r="BL387"/>
      <c r="BM387"/>
      <c r="BN387"/>
      <c r="BO387"/>
    </row>
    <row r="388" spans="62:67" s="61" customFormat="1">
      <c r="BJ388"/>
      <c r="BK388"/>
      <c r="BL388"/>
      <c r="BM388"/>
      <c r="BN388"/>
      <c r="BO388"/>
    </row>
    <row r="389" spans="62:67" s="61" customFormat="1">
      <c r="BJ389"/>
      <c r="BK389"/>
      <c r="BL389"/>
      <c r="BM389"/>
      <c r="BN389"/>
      <c r="BO389"/>
    </row>
    <row r="390" spans="62:67" s="61" customFormat="1">
      <c r="BJ390"/>
      <c r="BK390"/>
      <c r="BL390"/>
      <c r="BM390"/>
      <c r="BN390"/>
      <c r="BO390"/>
    </row>
    <row r="391" spans="62:67" s="61" customFormat="1">
      <c r="BJ391"/>
      <c r="BK391"/>
      <c r="BL391"/>
      <c r="BM391"/>
      <c r="BN391"/>
      <c r="BO391"/>
    </row>
    <row r="392" spans="62:67" s="61" customFormat="1">
      <c r="BJ392"/>
      <c r="BK392"/>
      <c r="BL392"/>
      <c r="BM392"/>
      <c r="BN392"/>
      <c r="BO392"/>
    </row>
    <row r="393" spans="62:67" s="61" customFormat="1">
      <c r="BJ393"/>
      <c r="BK393"/>
      <c r="BL393"/>
      <c r="BM393"/>
      <c r="BN393"/>
      <c r="BO393"/>
    </row>
    <row r="394" spans="62:67" s="61" customFormat="1">
      <c r="BJ394"/>
      <c r="BK394"/>
      <c r="BL394"/>
      <c r="BM394"/>
      <c r="BN394"/>
      <c r="BO394"/>
    </row>
    <row r="395" spans="62:67" s="61" customFormat="1">
      <c r="BJ395"/>
      <c r="BK395"/>
      <c r="BL395"/>
      <c r="BM395"/>
      <c r="BN395"/>
      <c r="BO395"/>
    </row>
    <row r="396" spans="62:67" s="61" customFormat="1">
      <c r="BJ396"/>
      <c r="BK396"/>
      <c r="BL396"/>
      <c r="BM396"/>
      <c r="BN396"/>
      <c r="BO396"/>
    </row>
    <row r="397" spans="62:67" s="61" customFormat="1">
      <c r="BJ397"/>
      <c r="BK397"/>
      <c r="BL397"/>
      <c r="BM397"/>
      <c r="BN397"/>
      <c r="BO397"/>
    </row>
    <row r="398" spans="62:67" s="61" customFormat="1">
      <c r="BJ398"/>
      <c r="BK398"/>
      <c r="BL398"/>
      <c r="BM398"/>
      <c r="BN398"/>
      <c r="BO398"/>
    </row>
    <row r="399" spans="62:67" s="61" customFormat="1">
      <c r="BJ399"/>
      <c r="BK399"/>
      <c r="BL399"/>
      <c r="BM399"/>
      <c r="BN399"/>
      <c r="BO399"/>
    </row>
    <row r="400" spans="62:67" s="61" customFormat="1">
      <c r="BJ400"/>
      <c r="BK400"/>
      <c r="BL400"/>
      <c r="BM400"/>
      <c r="BN400"/>
      <c r="BO400"/>
    </row>
    <row r="401" spans="62:67" s="61" customFormat="1">
      <c r="BJ401"/>
      <c r="BK401"/>
      <c r="BL401"/>
      <c r="BM401"/>
      <c r="BN401"/>
      <c r="BO401"/>
    </row>
    <row r="402" spans="62:67" s="61" customFormat="1">
      <c r="BJ402"/>
      <c r="BK402"/>
      <c r="BL402"/>
      <c r="BM402"/>
      <c r="BN402"/>
      <c r="BO402"/>
    </row>
    <row r="403" spans="62:67" s="61" customFormat="1">
      <c r="BJ403"/>
      <c r="BK403"/>
      <c r="BL403"/>
      <c r="BM403"/>
      <c r="BN403"/>
      <c r="BO403"/>
    </row>
    <row r="404" spans="62:67" s="61" customFormat="1">
      <c r="BJ404"/>
      <c r="BK404"/>
      <c r="BL404"/>
      <c r="BM404"/>
      <c r="BN404"/>
      <c r="BO404"/>
    </row>
    <row r="405" spans="62:67" s="61" customFormat="1">
      <c r="BJ405"/>
      <c r="BK405"/>
      <c r="BL405"/>
      <c r="BM405"/>
      <c r="BN405"/>
      <c r="BO405"/>
    </row>
    <row r="406" spans="62:67" s="61" customFormat="1">
      <c r="BJ406"/>
      <c r="BK406"/>
      <c r="BL406"/>
      <c r="BM406"/>
      <c r="BN406"/>
      <c r="BO406"/>
    </row>
    <row r="407" spans="62:67" s="61" customFormat="1">
      <c r="BJ407"/>
      <c r="BK407"/>
      <c r="BL407"/>
      <c r="BM407"/>
      <c r="BN407"/>
      <c r="BO407"/>
    </row>
    <row r="408" spans="62:67" s="61" customFormat="1">
      <c r="BJ408"/>
      <c r="BK408"/>
      <c r="BL408"/>
      <c r="BM408"/>
      <c r="BN408"/>
      <c r="BO408"/>
    </row>
    <row r="409" spans="62:67" s="61" customFormat="1">
      <c r="BJ409"/>
      <c r="BK409"/>
      <c r="BL409"/>
      <c r="BM409"/>
      <c r="BN409"/>
      <c r="BO409"/>
    </row>
    <row r="410" spans="62:67" s="61" customFormat="1">
      <c r="BJ410"/>
      <c r="BK410"/>
      <c r="BL410"/>
      <c r="BM410"/>
      <c r="BN410"/>
      <c r="BO410"/>
    </row>
    <row r="411" spans="62:67" s="61" customFormat="1">
      <c r="BJ411"/>
      <c r="BK411"/>
      <c r="BL411"/>
      <c r="BM411"/>
      <c r="BN411"/>
      <c r="BO411"/>
    </row>
    <row r="412" spans="62:67" s="61" customFormat="1">
      <c r="BJ412"/>
      <c r="BK412"/>
      <c r="BL412"/>
      <c r="BM412"/>
      <c r="BN412"/>
      <c r="BO412"/>
    </row>
    <row r="413" spans="62:67" s="61" customFormat="1">
      <c r="BJ413"/>
      <c r="BK413"/>
      <c r="BL413"/>
      <c r="BM413"/>
      <c r="BN413"/>
      <c r="BO413"/>
    </row>
    <row r="414" spans="62:67" s="61" customFormat="1">
      <c r="BJ414"/>
      <c r="BK414"/>
      <c r="BL414"/>
      <c r="BM414"/>
      <c r="BN414"/>
      <c r="BO414"/>
    </row>
  </sheetData>
  <dataConsolidate/>
  <conditionalFormatting sqref="E248:BG248">
    <cfRule type="cellIs" dxfId="1" priority="1" operator="lessThan">
      <formula>0</formula>
    </cfRule>
    <cfRule type="cellIs" dxfId="0" priority="2" operator="greaterThan">
      <formula>0</formula>
    </cfRule>
  </conditionalFormatting>
  <printOptions headings="1" gridLines="1"/>
  <pageMargins left="0.51181102362204722" right="0.51181102362204722" top="0.51181102362204722" bottom="0.55118110236220474" header="0.51181102362204722" footer="0.51181102362204722"/>
  <pageSetup paperSize="9" fitToHeight="17" orientation="portrait" horizontalDpi="300" verticalDpi="300" r:id="rId1"/>
  <headerFooter alignWithMargins="0">
    <oddFooter>&amp;L&amp;"Times New Roman,Italic"&amp;8&amp;F  &amp;D  &amp;T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To_Cashfw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Balance_Sheet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Line="0" autoPict="0" macro="[0]!To_Cashfw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Line="0" autoPict="0" macro="[0]!Balance_Sheet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Line="0" autoPict="0" macro="[0]!To_Cashfw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Line="0" autoPict="0" macro="[0]!Balance_Sheet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Line="0" autoPict="0" macro="[0]!To_Cashfw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Line="0" autoPict="0" macro="[0]!Balance_Sheet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4E282-5C77-42A2-A838-CA15D12513B1}">
  <sheetPr codeName="Sheet8">
    <tabColor theme="5" tint="0.79998168889431442"/>
    <pageSetUpPr fitToPage="1"/>
  </sheetPr>
  <dimension ref="A1:CT254"/>
  <sheetViews>
    <sheetView showGridLines="0" zoomScale="70" zoomScaleNormal="70" workbookViewId="0">
      <pane xSplit="4" ySplit="2" topLeftCell="T58" activePane="bottomRight" state="frozen"/>
      <selection activeCell="R30" sqref="R30:S31"/>
      <selection pane="topRight" activeCell="R30" sqref="R30:S31"/>
      <selection pane="bottomLeft" activeCell="R30" sqref="R30:S31"/>
      <selection pane="bottomRight" activeCell="AD82" activeCellId="1" sqref="AD80:AF80 AD82:AF85"/>
    </sheetView>
  </sheetViews>
  <sheetFormatPr defaultColWidth="9.140625" defaultRowHeight="12.75" outlineLevelRow="1" outlineLevelCol="1"/>
  <cols>
    <col min="1" max="1" width="8.5703125" style="51" bestFit="1" customWidth="1"/>
    <col min="2" max="2" width="37.5703125" style="53" customWidth="1"/>
    <col min="3" max="3" width="9.5703125" style="53" customWidth="1"/>
    <col min="4" max="4" width="7.5703125" style="53" customWidth="1"/>
    <col min="5" max="7" width="9.42578125" style="286" hidden="1" customWidth="1" outlineLevel="1"/>
    <col min="8" max="8" width="9.140625" style="286" hidden="1" customWidth="1" outlineLevel="1"/>
    <col min="9" max="19" width="9.42578125" style="286" hidden="1" customWidth="1" outlineLevel="1"/>
    <col min="20" max="20" width="9.42578125" style="286" customWidth="1" collapsed="1"/>
    <col min="21" max="22" width="9.42578125" style="286" customWidth="1" outlineLevel="1"/>
    <col min="23" max="23" width="9.42578125" style="286" customWidth="1"/>
    <col min="24" max="25" width="9.42578125" style="286" customWidth="1" outlineLevel="1"/>
    <col min="26" max="26" width="9.42578125" style="286" customWidth="1"/>
    <col min="27" max="28" width="9.42578125" style="286" customWidth="1" outlineLevel="1"/>
    <col min="29" max="29" width="9.42578125" style="286" customWidth="1"/>
    <col min="30" max="31" width="9.42578125" style="286" customWidth="1" outlineLevel="1"/>
    <col min="32" max="32" width="9.42578125" style="286" customWidth="1"/>
    <col min="33" max="34" width="9.42578125" style="286" customWidth="1" outlineLevel="1"/>
    <col min="35" max="35" width="9.42578125" style="286" customWidth="1"/>
    <col min="36" max="37" width="9.42578125" style="286" customWidth="1" outlineLevel="1"/>
    <col min="38" max="38" width="9.42578125" style="286" customWidth="1"/>
    <col min="39" max="40" width="9.42578125" style="286" customWidth="1" outlineLevel="1"/>
    <col min="41" max="41" width="9.42578125" style="286" customWidth="1"/>
    <col min="42" max="43" width="9.42578125" style="286" customWidth="1" outlineLevel="1"/>
    <col min="44" max="44" width="9.42578125" style="286" customWidth="1"/>
    <col min="45" max="46" width="9.42578125" style="286" customWidth="1" outlineLevel="1"/>
    <col min="47" max="47" width="9.42578125" style="286" customWidth="1"/>
    <col min="48" max="49" width="9.42578125" style="286" customWidth="1" outlineLevel="1"/>
    <col min="50" max="50" width="9.42578125" style="286" customWidth="1"/>
    <col min="51" max="52" width="9.42578125" style="286" customWidth="1" outlineLevel="1"/>
    <col min="53" max="53" width="9.42578125" style="286" customWidth="1"/>
    <col min="54" max="55" width="9.42578125" style="286" customWidth="1" outlineLevel="1"/>
    <col min="56" max="56" width="9.42578125" style="286" customWidth="1"/>
    <col min="57" max="58" width="9.42578125" style="286" customWidth="1" outlineLevel="1"/>
    <col min="59" max="59" width="9.42578125" style="286" customWidth="1"/>
    <col min="60" max="62" width="9.140625" style="53"/>
    <col min="63" max="63" width="22.42578125" style="53" bestFit="1" customWidth="1"/>
    <col min="64" max="64" width="9.140625" style="53"/>
    <col min="65" max="66" width="9.140625" style="53" customWidth="1"/>
    <col min="67" max="16384" width="9.140625" style="53"/>
  </cols>
  <sheetData>
    <row r="1" spans="1:77">
      <c r="A1" s="342" t="s">
        <v>453</v>
      </c>
      <c r="B1" s="342" t="s">
        <v>454</v>
      </c>
    </row>
    <row r="2" spans="1:77" collapsed="1">
      <c r="A2" s="342" t="s">
        <v>455</v>
      </c>
      <c r="B2" s="343" t="s">
        <v>128</v>
      </c>
      <c r="C2" s="344"/>
      <c r="D2" s="344"/>
      <c r="E2" s="345" t="str">
        <f>Model!E9</f>
        <v>2017</v>
      </c>
      <c r="F2" s="345" t="str">
        <f>Model!F9</f>
        <v>1H18</v>
      </c>
      <c r="G2" s="345" t="str">
        <f>Model!G9</f>
        <v>2H18</v>
      </c>
      <c r="H2" s="345" t="str">
        <f>Model!H9</f>
        <v>2018</v>
      </c>
      <c r="I2" s="345" t="str">
        <f>Model!I9</f>
        <v>1H19</v>
      </c>
      <c r="J2" s="345" t="str">
        <f>Model!J9</f>
        <v>2H19</v>
      </c>
      <c r="K2" s="345" t="str">
        <f>Model!K9</f>
        <v>2019</v>
      </c>
      <c r="L2" s="345" t="str">
        <f>Model!L9</f>
        <v>1H20</v>
      </c>
      <c r="M2" s="345" t="str">
        <f>Model!M9</f>
        <v>2H20E</v>
      </c>
      <c r="N2" s="345" t="str">
        <f>Model!N9</f>
        <v>2020E</v>
      </c>
      <c r="O2" s="345" t="str">
        <f>Model!O9</f>
        <v>1H21</v>
      </c>
      <c r="P2" s="345" t="str">
        <f>Model!P9</f>
        <v>2H21</v>
      </c>
      <c r="Q2" s="345" t="str">
        <f>Model!Q9</f>
        <v>2021</v>
      </c>
      <c r="R2" s="345" t="str">
        <f>Model!R9</f>
        <v>1H22</v>
      </c>
      <c r="S2" s="345" t="str">
        <f>Model!S9</f>
        <v>2H22</v>
      </c>
      <c r="T2" s="345" t="str">
        <f>Model!T9</f>
        <v>2022</v>
      </c>
      <c r="U2" s="345" t="str">
        <f>Model!U9</f>
        <v>1H23</v>
      </c>
      <c r="V2" s="345" t="str">
        <f>Model!V9</f>
        <v>2H23</v>
      </c>
      <c r="W2" s="345" t="str">
        <f>Model!W9</f>
        <v>2023</v>
      </c>
      <c r="X2" s="345" t="str">
        <f>Model!X9</f>
        <v>1H24</v>
      </c>
      <c r="Y2" s="345" t="str">
        <f>Model!Y9</f>
        <v>2H24</v>
      </c>
      <c r="Z2" s="345" t="str">
        <f>Model!Z9</f>
        <v>2024</v>
      </c>
      <c r="AA2" s="345" t="str">
        <f>Model!AA9</f>
        <v>1H25</v>
      </c>
      <c r="AB2" s="345" t="str">
        <f>Model!AB9</f>
        <v>2H25E</v>
      </c>
      <c r="AC2" s="345" t="str">
        <f>Model!AC9</f>
        <v>2025E</v>
      </c>
      <c r="AD2" s="345" t="str">
        <f>Model!AD9</f>
        <v>1H26E</v>
      </c>
      <c r="AE2" s="345" t="str">
        <f>Model!AE9</f>
        <v>2H26E</v>
      </c>
      <c r="AF2" s="345" t="str">
        <f>Model!AF9</f>
        <v>2026E</v>
      </c>
      <c r="AG2" s="345" t="str">
        <f>Model!AG9</f>
        <v>1H27E</v>
      </c>
      <c r="AH2" s="345" t="str">
        <f>Model!AH9</f>
        <v>2H27E</v>
      </c>
      <c r="AI2" s="345" t="str">
        <f>Model!AI9</f>
        <v>2027E</v>
      </c>
      <c r="AJ2" s="345" t="str">
        <f>Model!AJ9</f>
        <v>1H28E</v>
      </c>
      <c r="AK2" s="345" t="str">
        <f>Model!AK9</f>
        <v>2H28E</v>
      </c>
      <c r="AL2" s="345" t="str">
        <f>Model!AL9</f>
        <v>2028E</v>
      </c>
      <c r="AM2" s="345" t="str">
        <f>Model!AM9</f>
        <v>1H29E</v>
      </c>
      <c r="AN2" s="345" t="str">
        <f>Model!AN9</f>
        <v>2H29E</v>
      </c>
      <c r="AO2" s="345" t="str">
        <f>Model!AO9</f>
        <v>2029E</v>
      </c>
      <c r="AP2" s="345" t="str">
        <f>Model!AP9</f>
        <v>1H30E</v>
      </c>
      <c r="AQ2" s="345" t="str">
        <f>Model!AQ9</f>
        <v>2H30E</v>
      </c>
      <c r="AR2" s="345" t="str">
        <f>Model!AR9</f>
        <v>2030E</v>
      </c>
      <c r="AS2" s="345" t="str">
        <f>Model!AS9</f>
        <v>1H31E</v>
      </c>
      <c r="AT2" s="345" t="str">
        <f>Model!AT9</f>
        <v>2H31E</v>
      </c>
      <c r="AU2" s="345" t="str">
        <f>Model!AU9</f>
        <v>2031E</v>
      </c>
      <c r="AV2" s="345" t="str">
        <f>Model!AV9</f>
        <v>1H32E</v>
      </c>
      <c r="AW2" s="345" t="str">
        <f>Model!AW9</f>
        <v>2H32E</v>
      </c>
      <c r="AX2" s="345" t="str">
        <f>Model!AX9</f>
        <v>2032E</v>
      </c>
      <c r="AY2" s="345" t="str">
        <f>Model!AY9</f>
        <v>1H33E</v>
      </c>
      <c r="AZ2" s="345" t="str">
        <f>Model!AZ9</f>
        <v>2H33E</v>
      </c>
      <c r="BA2" s="345" t="str">
        <f>Model!BA9</f>
        <v>2033E</v>
      </c>
      <c r="BB2" s="345" t="str">
        <f>Model!BB9</f>
        <v>1H34E</v>
      </c>
      <c r="BC2" s="345" t="str">
        <f>Model!BC9</f>
        <v>2H34E</v>
      </c>
      <c r="BD2" s="345" t="str">
        <f>Model!BD9</f>
        <v>2034E</v>
      </c>
      <c r="BE2" s="345" t="str">
        <f>Model!BE9</f>
        <v>1H35E</v>
      </c>
      <c r="BF2" s="345" t="str">
        <f>Model!BF9</f>
        <v>2H35E</v>
      </c>
      <c r="BG2" s="345" t="str">
        <f>Model!BG9</f>
        <v>2035E</v>
      </c>
      <c r="BL2" s="286" t="str">
        <f>+BL17</f>
        <v>2022</v>
      </c>
      <c r="BM2" s="286" t="str">
        <f t="shared" ref="BM2:BY2" si="0">+BM17</f>
        <v>2023</v>
      </c>
      <c r="BN2" s="286" t="str">
        <f t="shared" si="0"/>
        <v>2024</v>
      </c>
      <c r="BO2" s="286" t="str">
        <f t="shared" si="0"/>
        <v>2025E</v>
      </c>
      <c r="BP2" s="286" t="str">
        <f t="shared" si="0"/>
        <v>2026E</v>
      </c>
      <c r="BQ2" s="286" t="str">
        <f t="shared" si="0"/>
        <v>2027E</v>
      </c>
      <c r="BR2" s="286" t="str">
        <f t="shared" si="0"/>
        <v>2028E</v>
      </c>
      <c r="BS2" s="286" t="str">
        <f t="shared" si="0"/>
        <v>2029E</v>
      </c>
      <c r="BT2" s="286" t="str">
        <f t="shared" si="0"/>
        <v>2030E</v>
      </c>
      <c r="BU2" s="286" t="str">
        <f t="shared" si="0"/>
        <v>2031E</v>
      </c>
      <c r="BV2" s="286" t="str">
        <f t="shared" si="0"/>
        <v>2032E</v>
      </c>
      <c r="BW2" s="286" t="str">
        <f t="shared" si="0"/>
        <v>2033E</v>
      </c>
      <c r="BX2" s="286" t="str">
        <f t="shared" si="0"/>
        <v>2034E</v>
      </c>
      <c r="BY2" s="286" t="str">
        <f t="shared" si="0"/>
        <v>2035E</v>
      </c>
    </row>
    <row r="3" spans="1:77" hidden="1" outlineLevel="1">
      <c r="E3" s="485"/>
      <c r="F3" s="479"/>
      <c r="G3" s="479"/>
      <c r="H3" s="485"/>
      <c r="I3" s="479"/>
      <c r="J3" s="479"/>
      <c r="K3" s="485"/>
      <c r="L3" s="479"/>
      <c r="M3" s="479"/>
      <c r="N3" s="485"/>
      <c r="O3" s="479"/>
      <c r="P3" s="479"/>
      <c r="Q3" s="485"/>
      <c r="R3" s="479"/>
      <c r="S3" s="479"/>
      <c r="T3" s="486"/>
      <c r="U3" s="487">
        <v>0.68151856754813089</v>
      </c>
      <c r="V3" s="487">
        <v>0.66257432580692732</v>
      </c>
      <c r="W3" s="488">
        <v>0.67090729584332365</v>
      </c>
      <c r="X3" s="487">
        <v>0.66956256881144116</v>
      </c>
      <c r="Y3" s="487">
        <v>0.67042378994969531</v>
      </c>
      <c r="Z3" s="488">
        <v>0.67002402249709458</v>
      </c>
      <c r="AA3" s="487">
        <v>0.66956256881144116</v>
      </c>
      <c r="AB3" s="489"/>
      <c r="AC3" s="485"/>
      <c r="AD3" s="479"/>
      <c r="AE3" s="489"/>
      <c r="AF3" s="485"/>
      <c r="AG3" s="479"/>
      <c r="AH3" s="489"/>
      <c r="AI3" s="485"/>
      <c r="AJ3" s="479"/>
      <c r="AK3" s="489"/>
      <c r="AL3" s="485"/>
      <c r="AM3" s="479"/>
      <c r="AN3" s="489"/>
      <c r="AO3" s="485"/>
      <c r="AP3" s="479"/>
      <c r="AQ3" s="489"/>
      <c r="AR3" s="485"/>
      <c r="AS3" s="479"/>
      <c r="AT3" s="489"/>
      <c r="AU3" s="485"/>
      <c r="AV3" s="479"/>
      <c r="AW3" s="489"/>
      <c r="AX3" s="485"/>
      <c r="AY3" s="479"/>
      <c r="AZ3" s="489"/>
      <c r="BA3" s="485"/>
      <c r="BB3" s="479"/>
      <c r="BC3" s="489"/>
      <c r="BD3" s="485"/>
      <c r="BE3" s="479"/>
      <c r="BF3" s="489"/>
      <c r="BG3" s="485"/>
    </row>
    <row r="4" spans="1:77" hidden="1" outlineLevel="1">
      <c r="B4" s="52" t="s">
        <v>456</v>
      </c>
      <c r="E4" s="346">
        <v>0</v>
      </c>
      <c r="F4" s="347">
        <v>0</v>
      </c>
      <c r="G4" s="347">
        <f>H4-F4</f>
        <v>0.19500000000000001</v>
      </c>
      <c r="H4" s="346">
        <v>0.19500000000000001</v>
      </c>
      <c r="I4" s="347">
        <v>1.8169999999999999</v>
      </c>
      <c r="J4" s="347">
        <f>K4-I4</f>
        <v>1.6679999999999999</v>
      </c>
      <c r="K4" s="346">
        <v>3.4849999999999999</v>
      </c>
      <c r="L4" s="347">
        <v>1.607</v>
      </c>
      <c r="M4" s="347">
        <f>N4-L4</f>
        <v>1.671</v>
      </c>
      <c r="N4" s="346">
        <v>3.278</v>
      </c>
      <c r="O4" s="347">
        <v>2.0720000000000001</v>
      </c>
      <c r="P4" s="347">
        <f>Q4-O4</f>
        <v>2.399</v>
      </c>
      <c r="Q4" s="346">
        <v>4.4710000000000001</v>
      </c>
      <c r="R4" s="348">
        <v>22.512</v>
      </c>
      <c r="S4" s="347">
        <f>T4-R4</f>
        <v>133.47200000000001</v>
      </c>
      <c r="T4" s="349">
        <v>155.98400000000001</v>
      </c>
      <c r="U4" s="348">
        <f>+U17</f>
        <v>148.78300000000002</v>
      </c>
      <c r="V4" s="347">
        <f t="shared" ref="V4:Z4" si="1">+V17</f>
        <v>184.19499999999999</v>
      </c>
      <c r="W4" s="349">
        <f t="shared" si="1"/>
        <v>332.97799999999995</v>
      </c>
      <c r="X4" s="475">
        <f t="shared" si="1"/>
        <v>239.61099999999999</v>
      </c>
      <c r="Y4" s="347">
        <f t="shared" si="1"/>
        <v>276.94</v>
      </c>
      <c r="Z4" s="349">
        <f t="shared" si="1"/>
        <v>516.55100000000004</v>
      </c>
      <c r="AA4" s="348">
        <f t="shared" ref="AA4" si="2">+AA17</f>
        <v>390.35900000000004</v>
      </c>
      <c r="AB4" s="347">
        <f>+AB17</f>
        <v>414.04192093839913</v>
      </c>
      <c r="AC4" s="346">
        <f>+SUM(AA4:AB4)</f>
        <v>804.40092093839917</v>
      </c>
      <c r="AD4" s="347">
        <f t="shared" ref="AD4:AE4" si="3">+AD17</f>
        <v>443.1688962706566</v>
      </c>
      <c r="AE4" s="347">
        <f t="shared" si="3"/>
        <v>464.4020320675944</v>
      </c>
      <c r="AF4" s="346">
        <f t="shared" ref="AF4" si="4">+SUM(AD4:AE4)</f>
        <v>907.57092833825095</v>
      </c>
      <c r="AG4" s="347">
        <f t="shared" ref="AG4:AH4" si="5">+AG17</f>
        <v>504.35681363132591</v>
      </c>
      <c r="AH4" s="347">
        <f t="shared" si="5"/>
        <v>520.13764582035969</v>
      </c>
      <c r="AI4" s="346">
        <f t="shared" ref="AI4" si="6">+SUM(AG4:AH4)</f>
        <v>1024.4944594516855</v>
      </c>
      <c r="AJ4" s="347">
        <f t="shared" ref="AJ4:AK4" si="7">+AJ17</f>
        <v>570.26138339211218</v>
      </c>
      <c r="AK4" s="347">
        <f t="shared" si="7"/>
        <v>588.46961057138208</v>
      </c>
      <c r="AL4" s="346">
        <f t="shared" ref="AL4" si="8">+SUM(AJ4:AK4)</f>
        <v>1158.7309939634943</v>
      </c>
      <c r="AM4" s="347">
        <f t="shared" ref="AM4:AN4" si="9">+AM17</f>
        <v>736.71850236340163</v>
      </c>
      <c r="AN4" s="347">
        <f t="shared" si="9"/>
        <v>761.44294789864239</v>
      </c>
      <c r="AO4" s="346">
        <f t="shared" ref="AO4" si="10">+SUM(AM4:AN4)</f>
        <v>1498.1614502620441</v>
      </c>
      <c r="AP4" s="347">
        <f t="shared" ref="AP4:AQ4" si="11">+AP17</f>
        <v>860.89545926011556</v>
      </c>
      <c r="AQ4" s="347">
        <f t="shared" si="11"/>
        <v>920.63379046766545</v>
      </c>
      <c r="AR4" s="346">
        <f t="shared" ref="AR4" si="12">+SUM(AP4:AQ4)</f>
        <v>1781.529249727781</v>
      </c>
      <c r="AS4" s="347">
        <f t="shared" ref="AS4:AT4" si="13">+AS17</f>
        <v>990.24026062166809</v>
      </c>
      <c r="AT4" s="347">
        <f t="shared" si="13"/>
        <v>1060.0545098525668</v>
      </c>
      <c r="AU4" s="346">
        <f t="shared" ref="AU4" si="14">+SUM(AS4:AT4)</f>
        <v>2050.2947704742346</v>
      </c>
      <c r="AV4" s="347">
        <f t="shared" ref="AV4:AW4" si="15">+AV17</f>
        <v>1122.5451900919854</v>
      </c>
      <c r="AW4" s="347">
        <f t="shared" si="15"/>
        <v>1202.4781430655109</v>
      </c>
      <c r="AX4" s="346">
        <f t="shared" ref="AX4" si="16">+SUM(AV4:AW4)</f>
        <v>2325.0233331574964</v>
      </c>
      <c r="AY4" s="347">
        <f t="shared" ref="AY4:AZ4" si="17">+AY17</f>
        <v>1250.5894364368601</v>
      </c>
      <c r="AZ4" s="347">
        <f t="shared" si="17"/>
        <v>1341.580142880111</v>
      </c>
      <c r="BA4" s="346">
        <f t="shared" ref="BA4" si="18">+SUM(AY4:AZ4)</f>
        <v>2592.1695793169711</v>
      </c>
      <c r="BB4" s="347">
        <f t="shared" ref="BB4:BC4" si="19">+BB17</f>
        <v>1377.5113207461102</v>
      </c>
      <c r="BC4" s="347">
        <f t="shared" si="19"/>
        <v>1478.3787136039491</v>
      </c>
      <c r="BD4" s="346">
        <f t="shared" ref="BD4" si="20">+SUM(BB4:BC4)</f>
        <v>2855.8900343500591</v>
      </c>
      <c r="BE4" s="347">
        <f t="shared" ref="BE4:BF4" si="21">+BE17</f>
        <v>1494.7759016825362</v>
      </c>
      <c r="BF4" s="347">
        <f t="shared" si="21"/>
        <v>1604.6760579882953</v>
      </c>
      <c r="BG4" s="346">
        <f t="shared" ref="BG4" si="22">+SUM(BE4:BF4)</f>
        <v>3099.4519596708315</v>
      </c>
    </row>
    <row r="5" spans="1:77" hidden="1" outlineLevel="1">
      <c r="B5" s="350" t="s">
        <v>457</v>
      </c>
      <c r="E5" s="351"/>
      <c r="F5" s="352"/>
      <c r="G5" s="352"/>
      <c r="H5" s="224"/>
      <c r="I5" s="352"/>
      <c r="J5" s="352"/>
      <c r="K5" s="224"/>
      <c r="L5" s="352"/>
      <c r="M5" s="352"/>
      <c r="N5" s="224"/>
      <c r="O5" s="352"/>
      <c r="P5" s="352"/>
      <c r="Q5" s="224"/>
      <c r="R5" s="353"/>
      <c r="S5" s="353"/>
      <c r="T5" s="224"/>
      <c r="U5" s="353"/>
      <c r="V5" s="353"/>
      <c r="W5" s="224"/>
      <c r="X5" s="352">
        <f t="shared" ref="X5:AA5" si="23">IFERROR(X4/U4-1,"NA")</f>
        <v>0.61047297070229778</v>
      </c>
      <c r="Y5" s="352">
        <f t="shared" si="23"/>
        <v>0.50351529628925862</v>
      </c>
      <c r="Z5" s="351">
        <f>Z4/W4-1</f>
        <v>0.55130669293466861</v>
      </c>
      <c r="AA5" s="352">
        <f t="shared" si="23"/>
        <v>0.62913639190187443</v>
      </c>
      <c r="AB5" s="352">
        <f t="shared" ref="AB5" si="24">+AB4/Y4-1</f>
        <v>0.49506001638766217</v>
      </c>
      <c r="AC5" s="490">
        <f>+AC4/Z4-1</f>
        <v>0.55725363214551726</v>
      </c>
      <c r="AD5" s="352">
        <f t="shared" ref="AD5:BG5" si="25">+AD4/AA4-1</f>
        <v>0.13528545843865913</v>
      </c>
      <c r="AE5" s="352">
        <f t="shared" si="25"/>
        <v>0.1216304644106021</v>
      </c>
      <c r="AF5" s="490">
        <f t="shared" si="25"/>
        <v>0.12825694838774626</v>
      </c>
      <c r="AG5" s="352">
        <f t="shared" si="25"/>
        <v>0.13806906999921753</v>
      </c>
      <c r="AH5" s="352">
        <f t="shared" si="25"/>
        <v>0.12001586966495625</v>
      </c>
      <c r="AI5" s="490">
        <f t="shared" si="25"/>
        <v>0.12883128740970129</v>
      </c>
      <c r="AJ5" s="352">
        <f t="shared" si="25"/>
        <v>0.13067052527015344</v>
      </c>
      <c r="AK5" s="352">
        <f t="shared" si="25"/>
        <v>0.13137284966799401</v>
      </c>
      <c r="AL5" s="490">
        <f t="shared" si="25"/>
        <v>0.13102709660689893</v>
      </c>
      <c r="AM5" s="352">
        <f t="shared" si="25"/>
        <v>0.29189617922424427</v>
      </c>
      <c r="AN5" s="352">
        <f t="shared" si="25"/>
        <v>0.29393758695425176</v>
      </c>
      <c r="AO5" s="490">
        <f t="shared" si="25"/>
        <v>0.29293292236665902</v>
      </c>
      <c r="AP5" s="352">
        <f t="shared" si="25"/>
        <v>0.16855414449121708</v>
      </c>
      <c r="AQ5" s="352">
        <f t="shared" si="25"/>
        <v>0.20906470144393974</v>
      </c>
      <c r="AR5" s="490">
        <f t="shared" si="25"/>
        <v>0.18914369971018341</v>
      </c>
      <c r="AS5" s="352">
        <f t="shared" si="25"/>
        <v>0.15024449248775928</v>
      </c>
      <c r="AT5" s="352">
        <f t="shared" si="25"/>
        <v>0.15143993282505752</v>
      </c>
      <c r="AU5" s="490">
        <f t="shared" si="25"/>
        <v>0.15086225544010645</v>
      </c>
      <c r="AV5" s="352">
        <f t="shared" si="25"/>
        <v>0.13360891768554928</v>
      </c>
      <c r="AW5" s="352">
        <f t="shared" si="25"/>
        <v>0.13435500900114339</v>
      </c>
      <c r="AX5" s="490">
        <f t="shared" si="25"/>
        <v>0.13399466585954212</v>
      </c>
      <c r="AY5" s="352">
        <f t="shared" si="25"/>
        <v>0.11406600596131211</v>
      </c>
      <c r="AZ5" s="352">
        <f t="shared" si="25"/>
        <v>0.1156794413410156</v>
      </c>
      <c r="BA5" s="490">
        <f t="shared" si="25"/>
        <v>0.11490045813719929</v>
      </c>
      <c r="BB5" s="352">
        <f t="shared" si="25"/>
        <v>0.10148965008921862</v>
      </c>
      <c r="BC5" s="352">
        <f t="shared" si="25"/>
        <v>0.10196824352972178</v>
      </c>
      <c r="BD5" s="490">
        <f t="shared" si="25"/>
        <v>0.101737346637089</v>
      </c>
      <c r="BE5" s="352">
        <f t="shared" si="25"/>
        <v>8.5127852795366721E-2</v>
      </c>
      <c r="BF5" s="352">
        <f t="shared" si="25"/>
        <v>8.5429628566865645E-2</v>
      </c>
      <c r="BG5" s="490">
        <f t="shared" si="25"/>
        <v>8.5284069901592652E-2</v>
      </c>
    </row>
    <row r="6" spans="1:77" hidden="1" outlineLevel="1">
      <c r="B6" s="52" t="s">
        <v>458</v>
      </c>
      <c r="E6" s="346">
        <v>0</v>
      </c>
      <c r="F6" s="347">
        <v>0</v>
      </c>
      <c r="G6" s="347">
        <f t="shared" ref="G6:G10" si="26">H6-F6</f>
        <v>0</v>
      </c>
      <c r="H6" s="346">
        <v>0</v>
      </c>
      <c r="I6" s="347">
        <v>0</v>
      </c>
      <c r="J6" s="347">
        <f t="shared" ref="J6" si="27">K6-I6</f>
        <v>0</v>
      </c>
      <c r="K6" s="346">
        <v>0</v>
      </c>
      <c r="L6" s="347">
        <v>0</v>
      </c>
      <c r="M6" s="347">
        <f t="shared" ref="M6:M10" si="28">N6-L6</f>
        <v>0</v>
      </c>
      <c r="N6" s="346">
        <v>0</v>
      </c>
      <c r="O6" s="347">
        <v>0</v>
      </c>
      <c r="P6" s="347">
        <f t="shared" ref="P6:P10" si="29">Q6-O6</f>
        <v>0.42699999999999999</v>
      </c>
      <c r="Q6" s="346">
        <v>0.42699999999999999</v>
      </c>
      <c r="R6" s="348">
        <v>0</v>
      </c>
      <c r="S6" s="347">
        <f t="shared" ref="S6:S10" si="30">T6-R6</f>
        <v>0.38500000000000001</v>
      </c>
      <c r="T6" s="349">
        <v>0.38500000000000001</v>
      </c>
      <c r="U6" s="348"/>
      <c r="V6" s="347"/>
      <c r="W6" s="349"/>
      <c r="X6" s="348"/>
      <c r="Y6" s="347"/>
      <c r="Z6" s="349"/>
      <c r="AA6" s="347">
        <f>X6*(1+AA7)</f>
        <v>0</v>
      </c>
      <c r="AB6" s="347">
        <f>Y6*(1+AB7)</f>
        <v>0</v>
      </c>
      <c r="AC6" s="346">
        <f>+SUM(AA6:AB6)</f>
        <v>0</v>
      </c>
      <c r="AD6" s="347">
        <f>AA6*(1+AD7)</f>
        <v>0</v>
      </c>
      <c r="AE6" s="347">
        <f>AB6*(1+AE7)</f>
        <v>0</v>
      </c>
      <c r="AF6" s="346">
        <f>+SUM(AD6:AE6)</f>
        <v>0</v>
      </c>
      <c r="AG6" s="347">
        <f t="shared" ref="AG6:AH6" si="31">AD6*(1+AG7)</f>
        <v>0</v>
      </c>
      <c r="AH6" s="347">
        <f t="shared" si="31"/>
        <v>0</v>
      </c>
      <c r="AI6" s="346">
        <f t="shared" ref="AI6" si="32">+SUM(AG6:AH6)</f>
        <v>0</v>
      </c>
      <c r="AJ6" s="347">
        <f t="shared" ref="AJ6:AK6" si="33">AG6*(1+AJ7)</f>
        <v>0</v>
      </c>
      <c r="AK6" s="347">
        <f t="shared" si="33"/>
        <v>0</v>
      </c>
      <c r="AL6" s="346">
        <f t="shared" ref="AL6" si="34">+SUM(AJ6:AK6)</f>
        <v>0</v>
      </c>
      <c r="AM6" s="347">
        <f t="shared" ref="AM6:AN6" si="35">AJ6*(1+AM7)</f>
        <v>0</v>
      </c>
      <c r="AN6" s="347">
        <f t="shared" si="35"/>
        <v>0</v>
      </c>
      <c r="AO6" s="346">
        <f t="shared" ref="AO6" si="36">+SUM(AM6:AN6)</f>
        <v>0</v>
      </c>
      <c r="AP6" s="347">
        <f t="shared" ref="AP6:AQ6" si="37">AM6*(1+AP7)</f>
        <v>0</v>
      </c>
      <c r="AQ6" s="347">
        <f t="shared" si="37"/>
        <v>0</v>
      </c>
      <c r="AR6" s="346">
        <f t="shared" ref="AR6" si="38">+SUM(AP6:AQ6)</f>
        <v>0</v>
      </c>
      <c r="AS6" s="347">
        <f t="shared" ref="AS6:AT6" si="39">AP6*(1+AS7)</f>
        <v>0</v>
      </c>
      <c r="AT6" s="347">
        <f t="shared" si="39"/>
        <v>0</v>
      </c>
      <c r="AU6" s="346">
        <f t="shared" ref="AU6" si="40">+SUM(AS6:AT6)</f>
        <v>0</v>
      </c>
      <c r="AV6" s="347">
        <f t="shared" ref="AV6:AW6" si="41">AS6*(1+AV7)</f>
        <v>0</v>
      </c>
      <c r="AW6" s="347">
        <f t="shared" si="41"/>
        <v>0</v>
      </c>
      <c r="AX6" s="346">
        <f t="shared" ref="AX6" si="42">+SUM(AV6:AW6)</f>
        <v>0</v>
      </c>
      <c r="AY6" s="347">
        <f t="shared" ref="AY6:AZ6" si="43">AV6*(1+AY7)</f>
        <v>0</v>
      </c>
      <c r="AZ6" s="347">
        <f t="shared" si="43"/>
        <v>0</v>
      </c>
      <c r="BA6" s="346">
        <f t="shared" ref="BA6" si="44">+SUM(AY6:AZ6)</f>
        <v>0</v>
      </c>
      <c r="BB6" s="347">
        <f t="shared" ref="BB6:BC6" si="45">AY6*(1+BB7)</f>
        <v>0</v>
      </c>
      <c r="BC6" s="347">
        <f t="shared" si="45"/>
        <v>0</v>
      </c>
      <c r="BD6" s="346">
        <f t="shared" ref="BD6" si="46">+SUM(BB6:BC6)</f>
        <v>0</v>
      </c>
      <c r="BE6" s="347">
        <f t="shared" ref="BE6:BF6" si="47">BB6*(1+BE7)</f>
        <v>0</v>
      </c>
      <c r="BF6" s="347">
        <f t="shared" si="47"/>
        <v>0</v>
      </c>
      <c r="BG6" s="346">
        <f t="shared" ref="BG6" si="48">+SUM(BE6:BF6)</f>
        <v>0</v>
      </c>
    </row>
    <row r="7" spans="1:77" hidden="1" outlineLevel="1">
      <c r="B7" s="350" t="s">
        <v>457</v>
      </c>
      <c r="E7" s="485"/>
      <c r="F7" s="479"/>
      <c r="G7" s="479"/>
      <c r="H7" s="224"/>
      <c r="I7" s="479"/>
      <c r="J7" s="479"/>
      <c r="K7" s="224"/>
      <c r="L7" s="479"/>
      <c r="M7" s="479"/>
      <c r="N7" s="224"/>
      <c r="O7" s="479"/>
      <c r="P7" s="479"/>
      <c r="Q7" s="224"/>
      <c r="R7" s="353"/>
      <c r="S7" s="353"/>
      <c r="T7" s="224"/>
      <c r="U7" s="353"/>
      <c r="V7" s="353"/>
      <c r="W7" s="224"/>
      <c r="X7" s="352" t="str">
        <f t="shared" ref="X7:Y7" si="49">IFERROR(X6/U6-1,"NA")</f>
        <v>NA</v>
      </c>
      <c r="Y7" s="352" t="str">
        <f t="shared" si="49"/>
        <v>NA</v>
      </c>
      <c r="Z7" s="351" t="e">
        <f>Z6/W6-1</f>
        <v>#DIV/0!</v>
      </c>
      <c r="AA7" s="354">
        <v>0.05</v>
      </c>
      <c r="AB7" s="352">
        <f>+AA7</f>
        <v>0.05</v>
      </c>
      <c r="AC7" s="490" t="e">
        <f>+AC6/Z6-1</f>
        <v>#DIV/0!</v>
      </c>
      <c r="AD7" s="352">
        <f>+AB7</f>
        <v>0.05</v>
      </c>
      <c r="AE7" s="352">
        <f>+AD7</f>
        <v>0.05</v>
      </c>
      <c r="AF7" s="490" t="e">
        <f>+AF6/AC6-1</f>
        <v>#DIV/0!</v>
      </c>
      <c r="AG7" s="352">
        <f t="shared" ref="AG7" si="50">+AE7</f>
        <v>0.05</v>
      </c>
      <c r="AH7" s="352">
        <f t="shared" ref="AH7" si="51">+AG7</f>
        <v>0.05</v>
      </c>
      <c r="AI7" s="490" t="e">
        <f t="shared" ref="AI7" si="52">+AI6/AF6-1</f>
        <v>#DIV/0!</v>
      </c>
      <c r="AJ7" s="352">
        <f t="shared" ref="AJ7" si="53">+AH7</f>
        <v>0.05</v>
      </c>
      <c r="AK7" s="352">
        <f t="shared" ref="AK7" si="54">+AJ7</f>
        <v>0.05</v>
      </c>
      <c r="AL7" s="490" t="e">
        <f t="shared" ref="AL7" si="55">+AL6/AI6-1</f>
        <v>#DIV/0!</v>
      </c>
      <c r="AM7" s="352">
        <f t="shared" ref="AM7" si="56">+AK7</f>
        <v>0.05</v>
      </c>
      <c r="AN7" s="352">
        <f t="shared" ref="AN7" si="57">+AM7</f>
        <v>0.05</v>
      </c>
      <c r="AO7" s="490" t="e">
        <f t="shared" ref="AO7" si="58">+AO6/AL6-1</f>
        <v>#DIV/0!</v>
      </c>
      <c r="AP7" s="352">
        <f t="shared" ref="AP7" si="59">+AN7</f>
        <v>0.05</v>
      </c>
      <c r="AQ7" s="352">
        <f t="shared" ref="AQ7" si="60">+AP7</f>
        <v>0.05</v>
      </c>
      <c r="AR7" s="490" t="e">
        <f t="shared" ref="AR7" si="61">+AR6/AO6-1</f>
        <v>#DIV/0!</v>
      </c>
      <c r="AS7" s="352">
        <f t="shared" ref="AS7" si="62">+AQ7</f>
        <v>0.05</v>
      </c>
      <c r="AT7" s="352">
        <f t="shared" ref="AT7" si="63">+AS7</f>
        <v>0.05</v>
      </c>
      <c r="AU7" s="490" t="e">
        <f t="shared" ref="AU7" si="64">+AU6/AR6-1</f>
        <v>#DIV/0!</v>
      </c>
      <c r="AV7" s="352">
        <f t="shared" ref="AV7" si="65">+AT7</f>
        <v>0.05</v>
      </c>
      <c r="AW7" s="352">
        <f t="shared" ref="AW7" si="66">+AV7</f>
        <v>0.05</v>
      </c>
      <c r="AX7" s="490" t="e">
        <f t="shared" ref="AX7" si="67">+AX6/AU6-1</f>
        <v>#DIV/0!</v>
      </c>
      <c r="AY7" s="352">
        <f t="shared" ref="AY7" si="68">+AW7</f>
        <v>0.05</v>
      </c>
      <c r="AZ7" s="352">
        <f t="shared" ref="AZ7" si="69">+AY7</f>
        <v>0.05</v>
      </c>
      <c r="BA7" s="490" t="e">
        <f t="shared" ref="BA7" si="70">+BA6/AX6-1</f>
        <v>#DIV/0!</v>
      </c>
      <c r="BB7" s="352">
        <f t="shared" ref="BB7" si="71">+AZ7</f>
        <v>0.05</v>
      </c>
      <c r="BC7" s="352">
        <f t="shared" ref="BC7" si="72">+BB7</f>
        <v>0.05</v>
      </c>
      <c r="BD7" s="490" t="e">
        <f t="shared" ref="BD7" si="73">+BD6/BA6-1</f>
        <v>#DIV/0!</v>
      </c>
      <c r="BE7" s="352">
        <f t="shared" ref="BE7" si="74">+BC7</f>
        <v>0.05</v>
      </c>
      <c r="BF7" s="352">
        <f t="shared" ref="BF7" si="75">+BE7</f>
        <v>0.05</v>
      </c>
      <c r="BG7" s="490" t="e">
        <f t="shared" ref="BG7" si="76">+BG6/BD6-1</f>
        <v>#DIV/0!</v>
      </c>
    </row>
    <row r="8" spans="1:77" hidden="1" outlineLevel="1">
      <c r="B8" s="52" t="s">
        <v>459</v>
      </c>
      <c r="E8" s="346">
        <v>0</v>
      </c>
      <c r="F8" s="347">
        <v>0</v>
      </c>
      <c r="G8" s="347">
        <f t="shared" si="26"/>
        <v>0</v>
      </c>
      <c r="H8" s="346">
        <v>0</v>
      </c>
      <c r="I8" s="347">
        <v>0</v>
      </c>
      <c r="J8" s="347">
        <f t="shared" ref="J8" si="77">K8-I8</f>
        <v>0</v>
      </c>
      <c r="K8" s="346">
        <v>0</v>
      </c>
      <c r="L8" s="347">
        <v>0</v>
      </c>
      <c r="M8" s="347">
        <f t="shared" si="28"/>
        <v>1.4019999999999999</v>
      </c>
      <c r="N8" s="346">
        <v>1.4019999999999999</v>
      </c>
      <c r="O8" s="347">
        <v>0.83799999999999997</v>
      </c>
      <c r="P8" s="347">
        <f t="shared" si="29"/>
        <v>-0.83799999999999997</v>
      </c>
      <c r="Q8" s="346">
        <v>0</v>
      </c>
      <c r="R8" s="348">
        <v>0</v>
      </c>
      <c r="S8" s="347">
        <f t="shared" si="30"/>
        <v>0.374</v>
      </c>
      <c r="T8" s="349">
        <v>0.374</v>
      </c>
      <c r="U8" s="348"/>
      <c r="V8" s="347"/>
      <c r="W8" s="349"/>
      <c r="X8" s="348"/>
      <c r="Y8" s="347"/>
      <c r="Z8" s="349"/>
      <c r="AA8" s="347">
        <f>X8*(1+AA9)</f>
        <v>0</v>
      </c>
      <c r="AB8" s="347">
        <f>Y8*(1+AB9)</f>
        <v>0</v>
      </c>
      <c r="AC8" s="346">
        <f>+SUM(AA8:AB8)</f>
        <v>0</v>
      </c>
      <c r="AD8" s="347">
        <f>AA8*(1+AD9)</f>
        <v>0</v>
      </c>
      <c r="AE8" s="347">
        <f>AB8*(1+AE9)</f>
        <v>0</v>
      </c>
      <c r="AF8" s="346">
        <f>+SUM(AD8:AE8)</f>
        <v>0</v>
      </c>
      <c r="AG8" s="347">
        <f t="shared" ref="AG8:AH8" si="78">AD8*(1+AG9)</f>
        <v>0</v>
      </c>
      <c r="AH8" s="347">
        <f t="shared" si="78"/>
        <v>0</v>
      </c>
      <c r="AI8" s="346">
        <f t="shared" ref="AI8" si="79">+SUM(AG8:AH8)</f>
        <v>0</v>
      </c>
      <c r="AJ8" s="347">
        <f t="shared" ref="AJ8:AK8" si="80">AG8*(1+AJ9)</f>
        <v>0</v>
      </c>
      <c r="AK8" s="347">
        <f t="shared" si="80"/>
        <v>0</v>
      </c>
      <c r="AL8" s="346">
        <f t="shared" ref="AL8" si="81">+SUM(AJ8:AK8)</f>
        <v>0</v>
      </c>
      <c r="AM8" s="347">
        <f t="shared" ref="AM8:AN8" si="82">AJ8*(1+AM9)</f>
        <v>0</v>
      </c>
      <c r="AN8" s="347">
        <f t="shared" si="82"/>
        <v>0</v>
      </c>
      <c r="AO8" s="346">
        <f t="shared" ref="AO8" si="83">+SUM(AM8:AN8)</f>
        <v>0</v>
      </c>
      <c r="AP8" s="347">
        <f t="shared" ref="AP8:AQ8" si="84">AM8*(1+AP9)</f>
        <v>0</v>
      </c>
      <c r="AQ8" s="347">
        <f t="shared" si="84"/>
        <v>0</v>
      </c>
      <c r="AR8" s="346">
        <f t="shared" ref="AR8" si="85">+SUM(AP8:AQ8)</f>
        <v>0</v>
      </c>
      <c r="AS8" s="347">
        <f t="shared" ref="AS8:AT8" si="86">AP8*(1+AS9)</f>
        <v>0</v>
      </c>
      <c r="AT8" s="347">
        <f t="shared" si="86"/>
        <v>0</v>
      </c>
      <c r="AU8" s="346">
        <f t="shared" ref="AU8" si="87">+SUM(AS8:AT8)</f>
        <v>0</v>
      </c>
      <c r="AV8" s="347">
        <f t="shared" ref="AV8:AW8" si="88">AS8*(1+AV9)</f>
        <v>0</v>
      </c>
      <c r="AW8" s="347">
        <f t="shared" si="88"/>
        <v>0</v>
      </c>
      <c r="AX8" s="346">
        <f t="shared" ref="AX8" si="89">+SUM(AV8:AW8)</f>
        <v>0</v>
      </c>
      <c r="AY8" s="347">
        <f t="shared" ref="AY8:AZ8" si="90">AV8*(1+AY9)</f>
        <v>0</v>
      </c>
      <c r="AZ8" s="347">
        <f t="shared" si="90"/>
        <v>0</v>
      </c>
      <c r="BA8" s="346">
        <f t="shared" ref="BA8" si="91">+SUM(AY8:AZ8)</f>
        <v>0</v>
      </c>
      <c r="BB8" s="347">
        <f t="shared" ref="BB8:BC8" si="92">AY8*(1+BB9)</f>
        <v>0</v>
      </c>
      <c r="BC8" s="347">
        <f t="shared" si="92"/>
        <v>0</v>
      </c>
      <c r="BD8" s="346">
        <f t="shared" ref="BD8" si="93">+SUM(BB8:BC8)</f>
        <v>0</v>
      </c>
      <c r="BE8" s="347">
        <f t="shared" ref="BE8:BF8" si="94">BB8*(1+BE9)</f>
        <v>0</v>
      </c>
      <c r="BF8" s="347">
        <f t="shared" si="94"/>
        <v>0</v>
      </c>
      <c r="BG8" s="346">
        <f t="shared" ref="BG8" si="95">+SUM(BE8:BF8)</f>
        <v>0</v>
      </c>
    </row>
    <row r="9" spans="1:77" hidden="1" outlineLevel="1">
      <c r="B9" s="350" t="s">
        <v>457</v>
      </c>
      <c r="E9" s="485"/>
      <c r="F9" s="479"/>
      <c r="G9" s="479"/>
      <c r="H9" s="224"/>
      <c r="I9" s="479"/>
      <c r="J9" s="479"/>
      <c r="K9" s="224"/>
      <c r="L9" s="479"/>
      <c r="M9" s="479"/>
      <c r="N9" s="224"/>
      <c r="O9" s="479"/>
      <c r="P9" s="479"/>
      <c r="Q9" s="224"/>
      <c r="R9" s="353"/>
      <c r="S9" s="353"/>
      <c r="T9" s="224"/>
      <c r="U9" s="353"/>
      <c r="V9" s="353"/>
      <c r="W9" s="224"/>
      <c r="X9" s="352" t="str">
        <f t="shared" ref="X9:Y9" si="96">IFERROR(X8/U8-1,"NA")</f>
        <v>NA</v>
      </c>
      <c r="Y9" s="352" t="str">
        <f t="shared" si="96"/>
        <v>NA</v>
      </c>
      <c r="Z9" s="351" t="e">
        <f>Z8/W8-1</f>
        <v>#DIV/0!</v>
      </c>
      <c r="AA9" s="354">
        <v>0.05</v>
      </c>
      <c r="AB9" s="352">
        <f>+AA9</f>
        <v>0.05</v>
      </c>
      <c r="AC9" s="490" t="e">
        <f>+AC8/Z8-1</f>
        <v>#DIV/0!</v>
      </c>
      <c r="AD9" s="352">
        <f>+AB9</f>
        <v>0.05</v>
      </c>
      <c r="AE9" s="352">
        <f>+AD9</f>
        <v>0.05</v>
      </c>
      <c r="AF9" s="490" t="e">
        <f>+AF8/AC8-1</f>
        <v>#DIV/0!</v>
      </c>
      <c r="AG9" s="352">
        <f t="shared" ref="AG9" si="97">+AE9</f>
        <v>0.05</v>
      </c>
      <c r="AH9" s="352">
        <f t="shared" ref="AH9" si="98">+AG9</f>
        <v>0.05</v>
      </c>
      <c r="AI9" s="490" t="e">
        <f t="shared" ref="AI9" si="99">+AI8/AF8-1</f>
        <v>#DIV/0!</v>
      </c>
      <c r="AJ9" s="352">
        <f t="shared" ref="AJ9" si="100">+AH9</f>
        <v>0.05</v>
      </c>
      <c r="AK9" s="352">
        <f t="shared" ref="AK9" si="101">+AJ9</f>
        <v>0.05</v>
      </c>
      <c r="AL9" s="490" t="e">
        <f t="shared" ref="AL9" si="102">+AL8/AI8-1</f>
        <v>#DIV/0!</v>
      </c>
      <c r="AM9" s="352">
        <f t="shared" ref="AM9" si="103">+AK9</f>
        <v>0.05</v>
      </c>
      <c r="AN9" s="352">
        <f t="shared" ref="AN9" si="104">+AM9</f>
        <v>0.05</v>
      </c>
      <c r="AO9" s="490" t="e">
        <f t="shared" ref="AO9" si="105">+AO8/AL8-1</f>
        <v>#DIV/0!</v>
      </c>
      <c r="AP9" s="352">
        <f t="shared" ref="AP9" si="106">+AN9</f>
        <v>0.05</v>
      </c>
      <c r="AQ9" s="352">
        <f t="shared" ref="AQ9" si="107">+AP9</f>
        <v>0.05</v>
      </c>
      <c r="AR9" s="490" t="e">
        <f t="shared" ref="AR9" si="108">+AR8/AO8-1</f>
        <v>#DIV/0!</v>
      </c>
      <c r="AS9" s="352">
        <f t="shared" ref="AS9" si="109">+AQ9</f>
        <v>0.05</v>
      </c>
      <c r="AT9" s="352">
        <f t="shared" ref="AT9" si="110">+AS9</f>
        <v>0.05</v>
      </c>
      <c r="AU9" s="490" t="e">
        <f t="shared" ref="AU9" si="111">+AU8/AR8-1</f>
        <v>#DIV/0!</v>
      </c>
      <c r="AV9" s="352">
        <f t="shared" ref="AV9" si="112">+AT9</f>
        <v>0.05</v>
      </c>
      <c r="AW9" s="352">
        <f t="shared" ref="AW9" si="113">+AV9</f>
        <v>0.05</v>
      </c>
      <c r="AX9" s="490" t="e">
        <f t="shared" ref="AX9" si="114">+AX8/AU8-1</f>
        <v>#DIV/0!</v>
      </c>
      <c r="AY9" s="352">
        <f t="shared" ref="AY9" si="115">+AW9</f>
        <v>0.05</v>
      </c>
      <c r="AZ9" s="352">
        <f t="shared" ref="AZ9" si="116">+AY9</f>
        <v>0.05</v>
      </c>
      <c r="BA9" s="490" t="e">
        <f t="shared" ref="BA9" si="117">+BA8/AX8-1</f>
        <v>#DIV/0!</v>
      </c>
      <c r="BB9" s="352">
        <f t="shared" ref="BB9" si="118">+AZ9</f>
        <v>0.05</v>
      </c>
      <c r="BC9" s="352">
        <f t="shared" ref="BC9" si="119">+BB9</f>
        <v>0.05</v>
      </c>
      <c r="BD9" s="490" t="e">
        <f t="shared" ref="BD9" si="120">+BD8/BA8-1</f>
        <v>#DIV/0!</v>
      </c>
      <c r="BE9" s="352">
        <f t="shared" ref="BE9" si="121">+BC9</f>
        <v>0.05</v>
      </c>
      <c r="BF9" s="352">
        <f t="shared" ref="BF9" si="122">+BE9</f>
        <v>0.05</v>
      </c>
      <c r="BG9" s="490" t="e">
        <f t="shared" ref="BG9" si="123">+BG8/BD8-1</f>
        <v>#DIV/0!</v>
      </c>
    </row>
    <row r="10" spans="1:77" hidden="1" outlineLevel="1">
      <c r="B10" s="52" t="s">
        <v>460</v>
      </c>
      <c r="E10" s="346">
        <v>0</v>
      </c>
      <c r="F10" s="347">
        <v>0</v>
      </c>
      <c r="G10" s="347">
        <f t="shared" si="26"/>
        <v>0</v>
      </c>
      <c r="H10" s="346">
        <v>0</v>
      </c>
      <c r="I10" s="347">
        <v>0</v>
      </c>
      <c r="J10" s="347">
        <f t="shared" ref="J10" si="124">K10-I10</f>
        <v>0</v>
      </c>
      <c r="K10" s="346">
        <v>0</v>
      </c>
      <c r="L10" s="347">
        <v>0</v>
      </c>
      <c r="M10" s="347">
        <f t="shared" si="28"/>
        <v>0.53300000000000003</v>
      </c>
      <c r="N10" s="346">
        <v>0.53300000000000003</v>
      </c>
      <c r="O10" s="347">
        <v>0</v>
      </c>
      <c r="P10" s="347">
        <f t="shared" si="29"/>
        <v>2.698</v>
      </c>
      <c r="Q10" s="346">
        <v>2.698</v>
      </c>
      <c r="R10" s="348">
        <v>1.5349999999999999</v>
      </c>
      <c r="S10" s="347">
        <f t="shared" si="30"/>
        <v>1.8180000000000003</v>
      </c>
      <c r="T10" s="349">
        <v>3.3530000000000002</v>
      </c>
      <c r="U10" s="348"/>
      <c r="V10" s="347"/>
      <c r="W10" s="349"/>
      <c r="X10" s="348"/>
      <c r="Y10" s="347"/>
      <c r="Z10" s="349"/>
      <c r="AA10" s="347">
        <f>X10*(1+AA11)</f>
        <v>0</v>
      </c>
      <c r="AB10" s="347">
        <f>Y10*(1+AB11)</f>
        <v>0</v>
      </c>
      <c r="AC10" s="346">
        <f>+SUM(AA10:AB10)</f>
        <v>0</v>
      </c>
      <c r="AD10" s="347">
        <f>AA10*(1+AD11)</f>
        <v>0</v>
      </c>
      <c r="AE10" s="347">
        <f>AB10*(1+AE11)</f>
        <v>0</v>
      </c>
      <c r="AF10" s="346">
        <f>+SUM(AD10:AE10)</f>
        <v>0</v>
      </c>
      <c r="AG10" s="347">
        <f t="shared" ref="AG10:AH10" si="125">AD10*(1+AG11)</f>
        <v>0</v>
      </c>
      <c r="AH10" s="347">
        <f t="shared" si="125"/>
        <v>0</v>
      </c>
      <c r="AI10" s="346">
        <f t="shared" ref="AI10" si="126">+SUM(AG10:AH10)</f>
        <v>0</v>
      </c>
      <c r="AJ10" s="347">
        <f t="shared" ref="AJ10:AK10" si="127">AG10*(1+AJ11)</f>
        <v>0</v>
      </c>
      <c r="AK10" s="347">
        <f t="shared" si="127"/>
        <v>0</v>
      </c>
      <c r="AL10" s="346">
        <f t="shared" ref="AL10" si="128">+SUM(AJ10:AK10)</f>
        <v>0</v>
      </c>
      <c r="AM10" s="347">
        <f t="shared" ref="AM10:AN10" si="129">AJ10*(1+AM11)</f>
        <v>0</v>
      </c>
      <c r="AN10" s="347">
        <f t="shared" si="129"/>
        <v>0</v>
      </c>
      <c r="AO10" s="346">
        <f t="shared" ref="AO10" si="130">+SUM(AM10:AN10)</f>
        <v>0</v>
      </c>
      <c r="AP10" s="347">
        <f t="shared" ref="AP10:AQ10" si="131">AM10*(1+AP11)</f>
        <v>0</v>
      </c>
      <c r="AQ10" s="347">
        <f t="shared" si="131"/>
        <v>0</v>
      </c>
      <c r="AR10" s="346">
        <f t="shared" ref="AR10" si="132">+SUM(AP10:AQ10)</f>
        <v>0</v>
      </c>
      <c r="AS10" s="347">
        <f t="shared" ref="AS10:AT10" si="133">AP10*(1+AS11)</f>
        <v>0</v>
      </c>
      <c r="AT10" s="347">
        <f t="shared" si="133"/>
        <v>0</v>
      </c>
      <c r="AU10" s="346">
        <f t="shared" ref="AU10" si="134">+SUM(AS10:AT10)</f>
        <v>0</v>
      </c>
      <c r="AV10" s="347">
        <f t="shared" ref="AV10:AW10" si="135">AS10*(1+AV11)</f>
        <v>0</v>
      </c>
      <c r="AW10" s="347">
        <f t="shared" si="135"/>
        <v>0</v>
      </c>
      <c r="AX10" s="346">
        <f t="shared" ref="AX10" si="136">+SUM(AV10:AW10)</f>
        <v>0</v>
      </c>
      <c r="AY10" s="347">
        <f t="shared" ref="AY10:AZ10" si="137">AV10*(1+AY11)</f>
        <v>0</v>
      </c>
      <c r="AZ10" s="347">
        <f t="shared" si="137"/>
        <v>0</v>
      </c>
      <c r="BA10" s="346">
        <f t="shared" ref="BA10" si="138">+SUM(AY10:AZ10)</f>
        <v>0</v>
      </c>
      <c r="BB10" s="347">
        <f t="shared" ref="BB10:BC10" si="139">AY10*(1+BB11)</f>
        <v>0</v>
      </c>
      <c r="BC10" s="347">
        <f t="shared" si="139"/>
        <v>0</v>
      </c>
      <c r="BD10" s="346">
        <f t="shared" ref="BD10" si="140">+SUM(BB10:BC10)</f>
        <v>0</v>
      </c>
      <c r="BE10" s="347">
        <f t="shared" ref="BE10:BF10" si="141">BB10*(1+BE11)</f>
        <v>0</v>
      </c>
      <c r="BF10" s="347">
        <f t="shared" si="141"/>
        <v>0</v>
      </c>
      <c r="BG10" s="346">
        <f t="shared" ref="BG10" si="142">+SUM(BE10:BF10)</f>
        <v>0</v>
      </c>
    </row>
    <row r="11" spans="1:77" hidden="1" outlineLevel="1">
      <c r="B11" s="491" t="s">
        <v>457</v>
      </c>
      <c r="C11" s="57"/>
      <c r="D11" s="57"/>
      <c r="E11" s="492"/>
      <c r="F11" s="493"/>
      <c r="G11" s="493"/>
      <c r="H11" s="355"/>
      <c r="I11" s="493"/>
      <c r="J11" s="493"/>
      <c r="K11" s="356"/>
      <c r="L11" s="493"/>
      <c r="M11" s="493"/>
      <c r="N11" s="356"/>
      <c r="O11" s="493"/>
      <c r="P11" s="493"/>
      <c r="Q11" s="356"/>
      <c r="R11" s="357"/>
      <c r="S11" s="357"/>
      <c r="T11" s="356"/>
      <c r="U11" s="357"/>
      <c r="V11" s="357"/>
      <c r="W11" s="356"/>
      <c r="X11" s="358" t="str">
        <f t="shared" ref="X11:Y11" si="143">IFERROR(X10/U10-1,"NA")</f>
        <v>NA</v>
      </c>
      <c r="Y11" s="358" t="str">
        <f t="shared" si="143"/>
        <v>NA</v>
      </c>
      <c r="Z11" s="355" t="e">
        <f>Z10/W10-1</f>
        <v>#DIV/0!</v>
      </c>
      <c r="AA11" s="359">
        <v>0.05</v>
      </c>
      <c r="AB11" s="358">
        <f>+AA11</f>
        <v>0.05</v>
      </c>
      <c r="AC11" s="494" t="e">
        <f>+AC10/Z10-1</f>
        <v>#DIV/0!</v>
      </c>
      <c r="AD11" s="358">
        <f>+AB11</f>
        <v>0.05</v>
      </c>
      <c r="AE11" s="358">
        <f>+AD11</f>
        <v>0.05</v>
      </c>
      <c r="AF11" s="494" t="e">
        <f>+AF10/AC10-1</f>
        <v>#DIV/0!</v>
      </c>
      <c r="AG11" s="358">
        <f t="shared" ref="AG11" si="144">+AE11</f>
        <v>0.05</v>
      </c>
      <c r="AH11" s="358">
        <f t="shared" ref="AH11" si="145">+AG11</f>
        <v>0.05</v>
      </c>
      <c r="AI11" s="494" t="e">
        <f t="shared" ref="AI11" si="146">+AI10/AF10-1</f>
        <v>#DIV/0!</v>
      </c>
      <c r="AJ11" s="358">
        <f t="shared" ref="AJ11" si="147">+AH11</f>
        <v>0.05</v>
      </c>
      <c r="AK11" s="358">
        <f t="shared" ref="AK11" si="148">+AJ11</f>
        <v>0.05</v>
      </c>
      <c r="AL11" s="494" t="e">
        <f t="shared" ref="AL11" si="149">+AL10/AI10-1</f>
        <v>#DIV/0!</v>
      </c>
      <c r="AM11" s="358">
        <f t="shared" ref="AM11" si="150">+AK11</f>
        <v>0.05</v>
      </c>
      <c r="AN11" s="358">
        <f t="shared" ref="AN11" si="151">+AM11</f>
        <v>0.05</v>
      </c>
      <c r="AO11" s="494" t="e">
        <f t="shared" ref="AO11" si="152">+AO10/AL10-1</f>
        <v>#DIV/0!</v>
      </c>
      <c r="AP11" s="358">
        <f t="shared" ref="AP11" si="153">+AN11</f>
        <v>0.05</v>
      </c>
      <c r="AQ11" s="358">
        <f t="shared" ref="AQ11" si="154">+AP11</f>
        <v>0.05</v>
      </c>
      <c r="AR11" s="494" t="e">
        <f t="shared" ref="AR11" si="155">+AR10/AO10-1</f>
        <v>#DIV/0!</v>
      </c>
      <c r="AS11" s="358">
        <f t="shared" ref="AS11" si="156">+AQ11</f>
        <v>0.05</v>
      </c>
      <c r="AT11" s="358">
        <f t="shared" ref="AT11" si="157">+AS11</f>
        <v>0.05</v>
      </c>
      <c r="AU11" s="494" t="e">
        <f t="shared" ref="AU11" si="158">+AU10/AR10-1</f>
        <v>#DIV/0!</v>
      </c>
      <c r="AV11" s="358">
        <f t="shared" ref="AV11" si="159">+AT11</f>
        <v>0.05</v>
      </c>
      <c r="AW11" s="358">
        <f t="shared" ref="AW11" si="160">+AV11</f>
        <v>0.05</v>
      </c>
      <c r="AX11" s="494" t="e">
        <f t="shared" ref="AX11" si="161">+AX10/AU10-1</f>
        <v>#DIV/0!</v>
      </c>
      <c r="AY11" s="358">
        <f t="shared" ref="AY11" si="162">+AW11</f>
        <v>0.05</v>
      </c>
      <c r="AZ11" s="358">
        <f t="shared" ref="AZ11" si="163">+AY11</f>
        <v>0.05</v>
      </c>
      <c r="BA11" s="494" t="e">
        <f t="shared" ref="BA11" si="164">+BA10/AX10-1</f>
        <v>#DIV/0!</v>
      </c>
      <c r="BB11" s="358">
        <f t="shared" ref="BB11" si="165">+AZ11</f>
        <v>0.05</v>
      </c>
      <c r="BC11" s="358">
        <f t="shared" ref="BC11" si="166">+BB11</f>
        <v>0.05</v>
      </c>
      <c r="BD11" s="494" t="e">
        <f t="shared" ref="BD11" si="167">+BD10/BA10-1</f>
        <v>#DIV/0!</v>
      </c>
      <c r="BE11" s="358">
        <f t="shared" ref="BE11" si="168">+BC11</f>
        <v>0.05</v>
      </c>
      <c r="BF11" s="358">
        <f t="shared" ref="BF11" si="169">+BE11</f>
        <v>0.05</v>
      </c>
      <c r="BG11" s="494" t="e">
        <f t="shared" ref="BG11" si="170">+BG10/BD10-1</f>
        <v>#DIV/0!</v>
      </c>
    </row>
    <row r="12" spans="1:77" hidden="1" outlineLevel="1">
      <c r="B12" s="52" t="s">
        <v>461</v>
      </c>
      <c r="E12" s="346">
        <f t="shared" ref="E12:BG12" si="171">E10+E8+E6+E4</f>
        <v>0</v>
      </c>
      <c r="F12" s="347">
        <f t="shared" si="171"/>
        <v>0</v>
      </c>
      <c r="G12" s="347">
        <f t="shared" si="171"/>
        <v>0.19500000000000001</v>
      </c>
      <c r="H12" s="346">
        <f t="shared" si="171"/>
        <v>0.19500000000000001</v>
      </c>
      <c r="I12" s="347">
        <f t="shared" si="171"/>
        <v>1.8169999999999999</v>
      </c>
      <c r="J12" s="347">
        <f t="shared" si="171"/>
        <v>1.6679999999999999</v>
      </c>
      <c r="K12" s="346">
        <f t="shared" si="171"/>
        <v>3.4849999999999999</v>
      </c>
      <c r="L12" s="347">
        <f t="shared" si="171"/>
        <v>1.607</v>
      </c>
      <c r="M12" s="347">
        <f t="shared" si="171"/>
        <v>3.6059999999999999</v>
      </c>
      <c r="N12" s="346">
        <f t="shared" si="171"/>
        <v>5.2130000000000001</v>
      </c>
      <c r="O12" s="347">
        <f t="shared" si="171"/>
        <v>2.91</v>
      </c>
      <c r="P12" s="347">
        <f t="shared" si="171"/>
        <v>4.6859999999999999</v>
      </c>
      <c r="Q12" s="346">
        <f t="shared" si="171"/>
        <v>7.5960000000000001</v>
      </c>
      <c r="R12" s="347">
        <f t="shared" si="171"/>
        <v>24.047000000000001</v>
      </c>
      <c r="S12" s="347">
        <f t="shared" si="171"/>
        <v>136.04900000000001</v>
      </c>
      <c r="T12" s="346">
        <f t="shared" si="171"/>
        <v>160.096</v>
      </c>
      <c r="U12" s="347">
        <f>+U4</f>
        <v>148.78300000000002</v>
      </c>
      <c r="V12" s="347">
        <f t="shared" ref="V12:Z12" si="172">+V4</f>
        <v>184.19499999999999</v>
      </c>
      <c r="W12" s="346">
        <f t="shared" si="172"/>
        <v>332.97799999999995</v>
      </c>
      <c r="X12" s="347">
        <f t="shared" si="172"/>
        <v>239.61099999999999</v>
      </c>
      <c r="Y12" s="347">
        <f t="shared" si="172"/>
        <v>276.94</v>
      </c>
      <c r="Z12" s="346">
        <f t="shared" si="172"/>
        <v>516.55100000000004</v>
      </c>
      <c r="AA12" s="347">
        <f t="shared" ref="AA12" si="173">+AA4</f>
        <v>390.35900000000004</v>
      </c>
      <c r="AB12" s="347">
        <f t="shared" si="171"/>
        <v>414.04192093839913</v>
      </c>
      <c r="AC12" s="346">
        <f t="shared" si="171"/>
        <v>804.40092093839917</v>
      </c>
      <c r="AD12" s="347">
        <f t="shared" si="171"/>
        <v>443.1688962706566</v>
      </c>
      <c r="AE12" s="347">
        <f t="shared" si="171"/>
        <v>464.4020320675944</v>
      </c>
      <c r="AF12" s="346">
        <f t="shared" si="171"/>
        <v>907.57092833825095</v>
      </c>
      <c r="AG12" s="347">
        <f t="shared" si="171"/>
        <v>504.35681363132591</v>
      </c>
      <c r="AH12" s="347">
        <f t="shared" si="171"/>
        <v>520.13764582035969</v>
      </c>
      <c r="AI12" s="346">
        <f t="shared" si="171"/>
        <v>1024.4944594516855</v>
      </c>
      <c r="AJ12" s="347">
        <f t="shared" si="171"/>
        <v>570.26138339211218</v>
      </c>
      <c r="AK12" s="347">
        <f t="shared" si="171"/>
        <v>588.46961057138208</v>
      </c>
      <c r="AL12" s="346">
        <f t="shared" si="171"/>
        <v>1158.7309939634943</v>
      </c>
      <c r="AM12" s="347">
        <f t="shared" si="171"/>
        <v>736.71850236340163</v>
      </c>
      <c r="AN12" s="347">
        <f t="shared" si="171"/>
        <v>761.44294789864239</v>
      </c>
      <c r="AO12" s="346">
        <f t="shared" si="171"/>
        <v>1498.1614502620441</v>
      </c>
      <c r="AP12" s="347">
        <f t="shared" si="171"/>
        <v>860.89545926011556</v>
      </c>
      <c r="AQ12" s="347">
        <f t="shared" si="171"/>
        <v>920.63379046766545</v>
      </c>
      <c r="AR12" s="346">
        <f t="shared" si="171"/>
        <v>1781.529249727781</v>
      </c>
      <c r="AS12" s="347">
        <f t="shared" si="171"/>
        <v>990.24026062166809</v>
      </c>
      <c r="AT12" s="347">
        <f t="shared" si="171"/>
        <v>1060.0545098525668</v>
      </c>
      <c r="AU12" s="346">
        <f t="shared" si="171"/>
        <v>2050.2947704742346</v>
      </c>
      <c r="AV12" s="347">
        <f t="shared" si="171"/>
        <v>1122.5451900919854</v>
      </c>
      <c r="AW12" s="347">
        <f t="shared" si="171"/>
        <v>1202.4781430655109</v>
      </c>
      <c r="AX12" s="346">
        <f t="shared" si="171"/>
        <v>2325.0233331574964</v>
      </c>
      <c r="AY12" s="347">
        <f t="shared" si="171"/>
        <v>1250.5894364368601</v>
      </c>
      <c r="AZ12" s="347">
        <f t="shared" si="171"/>
        <v>1341.580142880111</v>
      </c>
      <c r="BA12" s="346">
        <f t="shared" si="171"/>
        <v>2592.1695793169711</v>
      </c>
      <c r="BB12" s="347">
        <f t="shared" si="171"/>
        <v>1377.5113207461102</v>
      </c>
      <c r="BC12" s="347">
        <f t="shared" si="171"/>
        <v>1478.3787136039491</v>
      </c>
      <c r="BD12" s="346">
        <f t="shared" si="171"/>
        <v>2855.8900343500591</v>
      </c>
      <c r="BE12" s="347">
        <f t="shared" si="171"/>
        <v>1494.7759016825362</v>
      </c>
      <c r="BF12" s="347">
        <f t="shared" si="171"/>
        <v>1604.6760579882953</v>
      </c>
      <c r="BG12" s="346">
        <f t="shared" si="171"/>
        <v>3099.4519596708315</v>
      </c>
    </row>
    <row r="13" spans="1:77" hidden="1" outlineLevel="1">
      <c r="B13" s="360" t="s">
        <v>457</v>
      </c>
      <c r="C13" s="293"/>
      <c r="D13" s="293"/>
      <c r="E13" s="351"/>
      <c r="F13" s="352"/>
      <c r="G13" s="352"/>
      <c r="H13" s="224"/>
      <c r="I13" s="352"/>
      <c r="J13" s="352"/>
      <c r="K13" s="224"/>
      <c r="L13" s="352"/>
      <c r="M13" s="352"/>
      <c r="N13" s="224"/>
      <c r="O13" s="352"/>
      <c r="P13" s="352"/>
      <c r="Q13" s="224"/>
      <c r="R13" s="353"/>
      <c r="S13" s="353"/>
      <c r="T13" s="224"/>
      <c r="U13" s="353"/>
      <c r="V13" s="353"/>
      <c r="W13" s="224"/>
      <c r="X13" s="352">
        <f t="shared" ref="X13:BG13" si="174">IFERROR(X12/U12-1,"NA")</f>
        <v>0.61047297070229778</v>
      </c>
      <c r="Y13" s="352">
        <f t="shared" si="174"/>
        <v>0.50351529628925862</v>
      </c>
      <c r="Z13" s="351">
        <f t="shared" si="174"/>
        <v>0.55130669293466861</v>
      </c>
      <c r="AA13" s="352">
        <f t="shared" si="174"/>
        <v>0.62913639190187443</v>
      </c>
      <c r="AB13" s="352">
        <f t="shared" si="174"/>
        <v>0.49506001638766217</v>
      </c>
      <c r="AC13" s="351">
        <f t="shared" si="174"/>
        <v>0.55725363214551726</v>
      </c>
      <c r="AD13" s="352">
        <f t="shared" si="174"/>
        <v>0.13528545843865913</v>
      </c>
      <c r="AE13" s="352">
        <f t="shared" si="174"/>
        <v>0.1216304644106021</v>
      </c>
      <c r="AF13" s="351">
        <f t="shared" si="174"/>
        <v>0.12825694838774626</v>
      </c>
      <c r="AG13" s="352">
        <f t="shared" si="174"/>
        <v>0.13806906999921753</v>
      </c>
      <c r="AH13" s="352">
        <f t="shared" si="174"/>
        <v>0.12001586966495625</v>
      </c>
      <c r="AI13" s="351">
        <f t="shared" si="174"/>
        <v>0.12883128740970129</v>
      </c>
      <c r="AJ13" s="352">
        <f t="shared" si="174"/>
        <v>0.13067052527015344</v>
      </c>
      <c r="AK13" s="352">
        <f t="shared" si="174"/>
        <v>0.13137284966799401</v>
      </c>
      <c r="AL13" s="351">
        <f t="shared" si="174"/>
        <v>0.13102709660689893</v>
      </c>
      <c r="AM13" s="352">
        <f t="shared" si="174"/>
        <v>0.29189617922424427</v>
      </c>
      <c r="AN13" s="352">
        <f t="shared" si="174"/>
        <v>0.29393758695425176</v>
      </c>
      <c r="AO13" s="351">
        <f t="shared" si="174"/>
        <v>0.29293292236665902</v>
      </c>
      <c r="AP13" s="352">
        <f t="shared" si="174"/>
        <v>0.16855414449121708</v>
      </c>
      <c r="AQ13" s="352">
        <f t="shared" si="174"/>
        <v>0.20906470144393974</v>
      </c>
      <c r="AR13" s="351">
        <f t="shared" si="174"/>
        <v>0.18914369971018341</v>
      </c>
      <c r="AS13" s="352">
        <f t="shared" si="174"/>
        <v>0.15024449248775928</v>
      </c>
      <c r="AT13" s="352">
        <f t="shared" si="174"/>
        <v>0.15143993282505752</v>
      </c>
      <c r="AU13" s="351">
        <f t="shared" si="174"/>
        <v>0.15086225544010645</v>
      </c>
      <c r="AV13" s="352">
        <f t="shared" si="174"/>
        <v>0.13360891768554928</v>
      </c>
      <c r="AW13" s="352">
        <f t="shared" si="174"/>
        <v>0.13435500900114339</v>
      </c>
      <c r="AX13" s="351">
        <f t="shared" si="174"/>
        <v>0.13399466585954212</v>
      </c>
      <c r="AY13" s="352">
        <f t="shared" si="174"/>
        <v>0.11406600596131211</v>
      </c>
      <c r="AZ13" s="352">
        <f t="shared" si="174"/>
        <v>0.1156794413410156</v>
      </c>
      <c r="BA13" s="351">
        <f t="shared" si="174"/>
        <v>0.11490045813719929</v>
      </c>
      <c r="BB13" s="352">
        <f t="shared" si="174"/>
        <v>0.10148965008921862</v>
      </c>
      <c r="BC13" s="352">
        <f t="shared" si="174"/>
        <v>0.10196824352972178</v>
      </c>
      <c r="BD13" s="351">
        <f t="shared" si="174"/>
        <v>0.101737346637089</v>
      </c>
      <c r="BE13" s="352">
        <f t="shared" si="174"/>
        <v>8.5127852795366721E-2</v>
      </c>
      <c r="BF13" s="352">
        <f t="shared" si="174"/>
        <v>8.5429628566865645E-2</v>
      </c>
      <c r="BG13" s="351">
        <f t="shared" si="174"/>
        <v>8.5284069901592652E-2</v>
      </c>
    </row>
    <row r="14" spans="1:77" hidden="1" outlineLevel="1">
      <c r="E14" s="485"/>
      <c r="F14" s="479"/>
      <c r="G14" s="479"/>
      <c r="H14" s="485"/>
      <c r="I14" s="479"/>
      <c r="J14" s="479"/>
      <c r="K14" s="485"/>
      <c r="L14" s="479"/>
      <c r="M14" s="479"/>
      <c r="N14" s="485"/>
      <c r="O14" s="479"/>
      <c r="P14" s="479"/>
      <c r="Q14" s="485"/>
      <c r="R14" s="479"/>
      <c r="S14" s="479"/>
      <c r="T14" s="486"/>
      <c r="U14" s="479">
        <f>+U10*U3</f>
        <v>0</v>
      </c>
      <c r="V14" s="479">
        <f t="shared" ref="V14:Z14" si="175">+V10*V3</f>
        <v>0</v>
      </c>
      <c r="W14" s="486">
        <f t="shared" si="175"/>
        <v>0</v>
      </c>
      <c r="X14" s="479">
        <f t="shared" si="175"/>
        <v>0</v>
      </c>
      <c r="Y14" s="479">
        <f t="shared" si="175"/>
        <v>0</v>
      </c>
      <c r="Z14" s="485">
        <f t="shared" si="175"/>
        <v>0</v>
      </c>
      <c r="AA14" s="479">
        <f t="shared" ref="AA14" si="176">+AA10*AA3</f>
        <v>0</v>
      </c>
      <c r="AB14" s="479"/>
      <c r="AC14" s="485"/>
      <c r="AD14" s="479"/>
      <c r="AE14" s="479"/>
      <c r="AF14" s="485"/>
      <c r="AG14" s="479"/>
      <c r="AH14" s="479"/>
      <c r="AI14" s="485"/>
      <c r="AJ14" s="479"/>
      <c r="AK14" s="479"/>
      <c r="AL14" s="485"/>
      <c r="AM14" s="479"/>
      <c r="AN14" s="479"/>
      <c r="AO14" s="485"/>
      <c r="AP14" s="479"/>
      <c r="AQ14" s="479"/>
      <c r="AR14" s="485"/>
      <c r="AS14" s="479"/>
      <c r="AT14" s="479"/>
      <c r="AU14" s="485"/>
      <c r="AV14" s="479"/>
      <c r="AW14" s="479"/>
      <c r="AX14" s="485"/>
      <c r="AY14" s="479"/>
      <c r="AZ14" s="479"/>
      <c r="BA14" s="485"/>
      <c r="BB14" s="479"/>
      <c r="BC14" s="479"/>
      <c r="BD14" s="485"/>
      <c r="BE14" s="479"/>
      <c r="BF14" s="479"/>
      <c r="BG14" s="485"/>
    </row>
    <row r="15" spans="1:77" hidden="1" outlineLevel="1">
      <c r="B15" s="361" t="s">
        <v>462</v>
      </c>
      <c r="C15" s="342"/>
      <c r="D15" s="342"/>
      <c r="E15" s="362">
        <f t="shared" ref="E15:Z15" si="177">E17-E12</f>
        <v>0</v>
      </c>
      <c r="F15" s="363">
        <f t="shared" si="177"/>
        <v>0</v>
      </c>
      <c r="G15" s="363">
        <f t="shared" si="177"/>
        <v>0</v>
      </c>
      <c r="H15" s="362">
        <f t="shared" si="177"/>
        <v>0</v>
      </c>
      <c r="I15" s="363">
        <f t="shared" si="177"/>
        <v>5.0200000000000244E-4</v>
      </c>
      <c r="J15" s="363">
        <f t="shared" si="177"/>
        <v>-5.0200000000000244E-4</v>
      </c>
      <c r="K15" s="362">
        <f t="shared" si="177"/>
        <v>0</v>
      </c>
      <c r="L15" s="363">
        <f t="shared" si="177"/>
        <v>0</v>
      </c>
      <c r="M15" s="363">
        <f t="shared" si="177"/>
        <v>0</v>
      </c>
      <c r="N15" s="362">
        <f t="shared" si="177"/>
        <v>0</v>
      </c>
      <c r="O15" s="363">
        <f t="shared" si="177"/>
        <v>0</v>
      </c>
      <c r="P15" s="363">
        <f t="shared" si="177"/>
        <v>0</v>
      </c>
      <c r="Q15" s="362">
        <f t="shared" si="177"/>
        <v>0</v>
      </c>
      <c r="R15" s="363">
        <f t="shared" si="177"/>
        <v>0</v>
      </c>
      <c r="S15" s="363">
        <f t="shared" si="177"/>
        <v>0</v>
      </c>
      <c r="T15" s="362">
        <f t="shared" si="177"/>
        <v>0</v>
      </c>
      <c r="U15" s="363">
        <f t="shared" si="177"/>
        <v>0</v>
      </c>
      <c r="V15" s="363">
        <f t="shared" si="177"/>
        <v>0</v>
      </c>
      <c r="W15" s="362">
        <f t="shared" si="177"/>
        <v>0</v>
      </c>
      <c r="X15" s="363">
        <f t="shared" si="177"/>
        <v>0</v>
      </c>
      <c r="Y15" s="363">
        <f t="shared" si="177"/>
        <v>0</v>
      </c>
      <c r="Z15" s="362">
        <f t="shared" si="177"/>
        <v>0</v>
      </c>
      <c r="AA15" s="363">
        <f t="shared" ref="AA15" si="178">AA17-AA12</f>
        <v>0</v>
      </c>
      <c r="AB15" s="363"/>
      <c r="AC15" s="362"/>
      <c r="AD15" s="363"/>
      <c r="AE15" s="363"/>
      <c r="AF15" s="362"/>
      <c r="AG15" s="363"/>
      <c r="AH15" s="363"/>
      <c r="AI15" s="362"/>
      <c r="AJ15" s="363"/>
      <c r="AK15" s="363"/>
      <c r="AL15" s="362"/>
      <c r="AM15" s="363"/>
      <c r="AN15" s="363"/>
      <c r="AO15" s="362"/>
      <c r="AP15" s="363"/>
      <c r="AQ15" s="363"/>
      <c r="AR15" s="362"/>
      <c r="AS15" s="363"/>
      <c r="AT15" s="363"/>
      <c r="AU15" s="362"/>
      <c r="AV15" s="363"/>
      <c r="AW15" s="363"/>
      <c r="AX15" s="362"/>
      <c r="AY15" s="363"/>
      <c r="AZ15" s="363"/>
      <c r="BA15" s="362"/>
      <c r="BB15" s="363"/>
      <c r="BC15" s="363"/>
      <c r="BD15" s="362"/>
      <c r="BE15" s="363"/>
      <c r="BF15" s="363"/>
      <c r="BG15" s="362"/>
    </row>
    <row r="16" spans="1:77" collapsed="1">
      <c r="B16" s="364" t="s">
        <v>103</v>
      </c>
      <c r="C16" s="495"/>
      <c r="D16" s="495"/>
      <c r="E16" s="496"/>
      <c r="F16" s="497"/>
      <c r="G16" s="497"/>
      <c r="H16" s="496"/>
      <c r="I16" s="497"/>
      <c r="J16" s="497"/>
      <c r="K16" s="496"/>
      <c r="L16" s="497"/>
      <c r="M16" s="497"/>
      <c r="N16" s="496"/>
      <c r="O16" s="497"/>
      <c r="P16" s="497"/>
      <c r="Q16" s="496"/>
      <c r="R16" s="497"/>
      <c r="S16" s="497"/>
      <c r="T16" s="498"/>
      <c r="U16" s="497"/>
      <c r="V16" s="497"/>
      <c r="W16" s="498"/>
      <c r="X16" s="497"/>
      <c r="Y16" s="499"/>
      <c r="Z16" s="496"/>
      <c r="AA16" s="497"/>
      <c r="AB16" s="499"/>
      <c r="AC16" s="496"/>
      <c r="AD16" s="497"/>
      <c r="AE16" s="499"/>
      <c r="AF16" s="496"/>
      <c r="AG16" s="497"/>
      <c r="AH16" s="499"/>
      <c r="AI16" s="496"/>
      <c r="AJ16" s="497"/>
      <c r="AK16" s="499"/>
      <c r="AL16" s="496"/>
      <c r="AM16" s="497"/>
      <c r="AN16" s="499"/>
      <c r="AO16" s="496"/>
      <c r="AP16" s="497"/>
      <c r="AQ16" s="499"/>
      <c r="AR16" s="496"/>
      <c r="AS16" s="497"/>
      <c r="AT16" s="499"/>
      <c r="AU16" s="496"/>
      <c r="AV16" s="497"/>
      <c r="AW16" s="499"/>
      <c r="AX16" s="496"/>
      <c r="AY16" s="497"/>
      <c r="AZ16" s="499"/>
      <c r="BA16" s="496"/>
      <c r="BB16" s="497"/>
      <c r="BC16" s="499"/>
      <c r="BD16" s="496"/>
      <c r="BE16" s="497"/>
      <c r="BF16" s="499"/>
      <c r="BG16" s="496"/>
    </row>
    <row r="17" spans="1:98">
      <c r="A17" s="51" t="s">
        <v>13</v>
      </c>
      <c r="B17" s="52" t="s">
        <v>463</v>
      </c>
      <c r="E17" s="346">
        <v>0</v>
      </c>
      <c r="F17" s="347">
        <v>0</v>
      </c>
      <c r="G17" s="347">
        <f t="shared" ref="G17" si="179">H17-F17</f>
        <v>0.19500000000000001</v>
      </c>
      <c r="H17" s="346">
        <v>0.19500000000000001</v>
      </c>
      <c r="I17" s="348">
        <v>1.817502</v>
      </c>
      <c r="J17" s="347">
        <f t="shared" ref="J17" si="180">K17-I17</f>
        <v>1.6674979999999999</v>
      </c>
      <c r="K17" s="349">
        <v>3.4849999999999999</v>
      </c>
      <c r="L17" s="348">
        <v>1.607</v>
      </c>
      <c r="M17" s="347">
        <f t="shared" ref="M17" si="181">N17-L17</f>
        <v>3.6059999999999999</v>
      </c>
      <c r="N17" s="349">
        <v>5.2130000000000001</v>
      </c>
      <c r="O17" s="348">
        <v>2.91</v>
      </c>
      <c r="P17" s="347">
        <f t="shared" ref="P17" si="182">Q17-O17</f>
        <v>4.6859999999999999</v>
      </c>
      <c r="Q17" s="349">
        <v>7.5960000000000001</v>
      </c>
      <c r="R17" s="347">
        <f t="shared" ref="R17:BG17" si="183">(R19+R29+R35)</f>
        <v>24.047000000000001</v>
      </c>
      <c r="S17" s="347">
        <f t="shared" si="183"/>
        <v>136.04900000000001</v>
      </c>
      <c r="T17" s="346">
        <f t="shared" si="183"/>
        <v>160.096</v>
      </c>
      <c r="U17" s="347">
        <f t="shared" si="183"/>
        <v>148.78300000000002</v>
      </c>
      <c r="V17" s="347">
        <f t="shared" si="183"/>
        <v>184.19499999999999</v>
      </c>
      <c r="W17" s="346">
        <f t="shared" si="183"/>
        <v>332.97799999999995</v>
      </c>
      <c r="X17" s="347">
        <f t="shared" si="183"/>
        <v>239.61099999999999</v>
      </c>
      <c r="Y17" s="347">
        <f t="shared" si="183"/>
        <v>276.94</v>
      </c>
      <c r="Z17" s="346">
        <f t="shared" si="183"/>
        <v>516.55100000000004</v>
      </c>
      <c r="AA17" s="347">
        <f t="shared" si="183"/>
        <v>390.35900000000004</v>
      </c>
      <c r="AB17" s="347">
        <f t="shared" si="183"/>
        <v>414.04192093839913</v>
      </c>
      <c r="AC17" s="346">
        <f t="shared" si="183"/>
        <v>804.40092093839905</v>
      </c>
      <c r="AD17" s="347">
        <f t="shared" si="183"/>
        <v>443.1688962706566</v>
      </c>
      <c r="AE17" s="347">
        <f t="shared" si="183"/>
        <v>464.4020320675944</v>
      </c>
      <c r="AF17" s="346">
        <f t="shared" si="183"/>
        <v>907.57092833825106</v>
      </c>
      <c r="AG17" s="347">
        <f t="shared" si="183"/>
        <v>504.35681363132591</v>
      </c>
      <c r="AH17" s="347">
        <f t="shared" si="183"/>
        <v>520.13764582035969</v>
      </c>
      <c r="AI17" s="346">
        <f t="shared" si="183"/>
        <v>1024.4944594516858</v>
      </c>
      <c r="AJ17" s="347">
        <f t="shared" si="183"/>
        <v>570.26138339211218</v>
      </c>
      <c r="AK17" s="347">
        <f t="shared" si="183"/>
        <v>588.46961057138208</v>
      </c>
      <c r="AL17" s="346">
        <f t="shared" si="183"/>
        <v>1158.7309939634943</v>
      </c>
      <c r="AM17" s="347">
        <f t="shared" si="183"/>
        <v>736.71850236340163</v>
      </c>
      <c r="AN17" s="347">
        <f t="shared" si="183"/>
        <v>761.44294789864239</v>
      </c>
      <c r="AO17" s="346">
        <f t="shared" si="183"/>
        <v>1498.1614502620439</v>
      </c>
      <c r="AP17" s="347">
        <f t="shared" si="183"/>
        <v>860.89545926011556</v>
      </c>
      <c r="AQ17" s="347">
        <f t="shared" si="183"/>
        <v>920.63379046766545</v>
      </c>
      <c r="AR17" s="346">
        <f t="shared" si="183"/>
        <v>1781.529249727781</v>
      </c>
      <c r="AS17" s="347">
        <f t="shared" si="183"/>
        <v>990.24026062166809</v>
      </c>
      <c r="AT17" s="347">
        <f t="shared" si="183"/>
        <v>1060.0545098525668</v>
      </c>
      <c r="AU17" s="346">
        <f t="shared" si="183"/>
        <v>2050.2947704742351</v>
      </c>
      <c r="AV17" s="347">
        <f t="shared" si="183"/>
        <v>1122.5451900919854</v>
      </c>
      <c r="AW17" s="347">
        <f t="shared" si="183"/>
        <v>1202.4781430655109</v>
      </c>
      <c r="AX17" s="346">
        <f t="shared" si="183"/>
        <v>2325.0233331574964</v>
      </c>
      <c r="AY17" s="347">
        <f t="shared" si="183"/>
        <v>1250.5894364368601</v>
      </c>
      <c r="AZ17" s="347">
        <f t="shared" si="183"/>
        <v>1341.580142880111</v>
      </c>
      <c r="BA17" s="346">
        <f t="shared" si="183"/>
        <v>2592.1695793169711</v>
      </c>
      <c r="BB17" s="347">
        <f t="shared" si="183"/>
        <v>1377.5113207461102</v>
      </c>
      <c r="BC17" s="347">
        <f t="shared" si="183"/>
        <v>1478.3787136039491</v>
      </c>
      <c r="BD17" s="346">
        <f t="shared" si="183"/>
        <v>2855.8900343500591</v>
      </c>
      <c r="BE17" s="347">
        <f t="shared" si="183"/>
        <v>1494.7759016825362</v>
      </c>
      <c r="BF17" s="347">
        <f t="shared" si="183"/>
        <v>1604.6760579882953</v>
      </c>
      <c r="BG17" s="346">
        <f t="shared" si="183"/>
        <v>3099.4519596708315</v>
      </c>
      <c r="BK17" s="365"/>
      <c r="BL17" s="366" t="s">
        <v>2</v>
      </c>
      <c r="BM17" s="366" t="s">
        <v>3</v>
      </c>
      <c r="BN17" s="366" t="s">
        <v>4</v>
      </c>
      <c r="BO17" s="366" t="s">
        <v>5</v>
      </c>
      <c r="BP17" s="366" t="s">
        <v>6</v>
      </c>
      <c r="BQ17" s="366" t="s">
        <v>7</v>
      </c>
      <c r="BR17" s="366" t="s">
        <v>129</v>
      </c>
      <c r="BS17" s="366" t="s">
        <v>130</v>
      </c>
      <c r="BT17" s="366" t="s">
        <v>131</v>
      </c>
      <c r="BU17" s="366" t="s">
        <v>132</v>
      </c>
      <c r="BV17" s="366" t="s">
        <v>133</v>
      </c>
      <c r="BW17" s="366" t="s">
        <v>134</v>
      </c>
      <c r="BX17" s="366" t="s">
        <v>135</v>
      </c>
      <c r="BY17" s="366" t="s">
        <v>136</v>
      </c>
      <c r="CB17" s="366" t="s">
        <v>464</v>
      </c>
      <c r="CC17" s="366" t="s">
        <v>465</v>
      </c>
      <c r="CD17" s="366" t="s">
        <v>430</v>
      </c>
      <c r="CE17" s="366" t="s">
        <v>466</v>
      </c>
      <c r="CJ17" s="53" t="s">
        <v>595</v>
      </c>
    </row>
    <row r="18" spans="1:98">
      <c r="B18" s="52"/>
      <c r="E18" s="346"/>
      <c r="F18" s="347"/>
      <c r="G18" s="347"/>
      <c r="H18" s="346"/>
      <c r="I18" s="348"/>
      <c r="J18" s="347"/>
      <c r="K18" s="349"/>
      <c r="L18" s="348"/>
      <c r="M18" s="347"/>
      <c r="N18" s="349"/>
      <c r="O18" s="348"/>
      <c r="P18" s="347"/>
      <c r="Q18" s="349"/>
      <c r="R18" s="347"/>
      <c r="S18" s="347"/>
      <c r="T18" s="346"/>
      <c r="U18" s="347"/>
      <c r="V18" s="347"/>
      <c r="W18" s="346"/>
      <c r="X18" s="347"/>
      <c r="Y18" s="347"/>
      <c r="Z18" s="346"/>
      <c r="AA18" s="347"/>
      <c r="AB18" s="347"/>
      <c r="AC18" s="367"/>
      <c r="AD18" s="347"/>
      <c r="AE18" s="347"/>
      <c r="AF18" s="367"/>
      <c r="AG18" s="347"/>
      <c r="AH18" s="347"/>
      <c r="AI18" s="346"/>
      <c r="AJ18" s="347"/>
      <c r="AK18" s="347"/>
      <c r="AL18" s="346"/>
      <c r="AM18" s="347"/>
      <c r="AN18" s="347"/>
      <c r="AO18" s="346"/>
      <c r="AP18" s="347"/>
      <c r="AQ18" s="347"/>
      <c r="AR18" s="346"/>
      <c r="AS18" s="347"/>
      <c r="AT18" s="347"/>
      <c r="AU18" s="346"/>
      <c r="AV18" s="347"/>
      <c r="AW18" s="347"/>
      <c r="AX18" s="346"/>
      <c r="AY18" s="347"/>
      <c r="AZ18" s="347"/>
      <c r="BA18" s="346"/>
      <c r="BB18" s="347"/>
      <c r="BC18" s="347"/>
      <c r="BD18" s="346"/>
      <c r="BE18" s="347"/>
      <c r="BF18" s="347"/>
      <c r="BG18" s="346"/>
      <c r="BJ18" s="51" t="s">
        <v>13</v>
      </c>
      <c r="BK18" s="52" t="s">
        <v>103</v>
      </c>
      <c r="BL18" s="55">
        <f t="shared" ref="BL18:BY21" si="184">+VLOOKUP($BJ18,$A:$BG,MATCH(BL$17,$A$2:$BG$2,FALSE),FALSE)</f>
        <v>160.096</v>
      </c>
      <c r="BM18" s="55">
        <f t="shared" si="184"/>
        <v>332.97799999999995</v>
      </c>
      <c r="BN18" s="55">
        <f t="shared" si="184"/>
        <v>516.55100000000004</v>
      </c>
      <c r="BO18" s="55">
        <f t="shared" si="184"/>
        <v>804.40092093839905</v>
      </c>
      <c r="BP18" s="55">
        <f t="shared" si="184"/>
        <v>907.57092833825106</v>
      </c>
      <c r="BQ18" s="55">
        <f t="shared" si="184"/>
        <v>1024.4944594516858</v>
      </c>
      <c r="BR18" s="55">
        <f t="shared" si="184"/>
        <v>1158.7309939634943</v>
      </c>
      <c r="BS18" s="55">
        <f t="shared" si="184"/>
        <v>1498.1614502620439</v>
      </c>
      <c r="BT18" s="55">
        <f t="shared" si="184"/>
        <v>1781.529249727781</v>
      </c>
      <c r="BU18" s="55">
        <f t="shared" si="184"/>
        <v>2050.2947704742351</v>
      </c>
      <c r="BV18" s="55">
        <f t="shared" si="184"/>
        <v>2325.0233331574964</v>
      </c>
      <c r="BW18" s="55">
        <f t="shared" si="184"/>
        <v>2592.1695793169711</v>
      </c>
      <c r="BX18" s="55">
        <f t="shared" si="184"/>
        <v>2855.8900343500591</v>
      </c>
      <c r="BY18" s="55">
        <f t="shared" si="184"/>
        <v>3099.4519596708315</v>
      </c>
      <c r="CB18" s="53" t="s">
        <v>103</v>
      </c>
      <c r="CC18" s="54">
        <v>785</v>
      </c>
      <c r="CD18" s="53">
        <v>0.65</v>
      </c>
      <c r="CE18" s="54">
        <f>+CC18/CD18</f>
        <v>1207.6923076923076</v>
      </c>
      <c r="CG18" s="54">
        <v>804.40092093839905</v>
      </c>
      <c r="CJ18" s="286" t="s">
        <v>588</v>
      </c>
      <c r="CK18" s="286" t="s">
        <v>589</v>
      </c>
      <c r="CL18" s="286" t="s">
        <v>590</v>
      </c>
      <c r="CM18" s="286" t="s">
        <v>591</v>
      </c>
      <c r="CN18" s="286" t="s">
        <v>592</v>
      </c>
      <c r="CO18" s="286" t="s">
        <v>593</v>
      </c>
      <c r="CP18" s="286" t="s">
        <v>594</v>
      </c>
      <c r="CQ18" s="286" t="s">
        <v>608</v>
      </c>
    </row>
    <row r="19" spans="1:98">
      <c r="A19" s="51" t="s">
        <v>102</v>
      </c>
      <c r="B19" s="368" t="s">
        <v>99</v>
      </c>
      <c r="C19" s="369"/>
      <c r="D19" s="369"/>
      <c r="E19" s="370"/>
      <c r="F19" s="371"/>
      <c r="G19" s="371"/>
      <c r="H19" s="370"/>
      <c r="I19" s="371"/>
      <c r="J19" s="371"/>
      <c r="K19" s="370"/>
      <c r="L19" s="371"/>
      <c r="M19" s="371"/>
      <c r="N19" s="370"/>
      <c r="O19" s="372"/>
      <c r="P19" s="372"/>
      <c r="Q19" s="373"/>
      <c r="R19" s="374">
        <v>22.512</v>
      </c>
      <c r="S19" s="371">
        <f>T19-R19</f>
        <v>133.857</v>
      </c>
      <c r="T19" s="375">
        <v>156.369</v>
      </c>
      <c r="U19" s="374">
        <v>147.239</v>
      </c>
      <c r="V19" s="371">
        <f>W19-U19</f>
        <v>181.96599999999998</v>
      </c>
      <c r="W19" s="375">
        <v>329.20499999999998</v>
      </c>
      <c r="X19" s="374">
        <v>236.245</v>
      </c>
      <c r="Y19" s="371">
        <f>Z19-X19</f>
        <v>272.26299999999998</v>
      </c>
      <c r="Z19" s="375">
        <v>508.50799999999998</v>
      </c>
      <c r="AA19" s="374">
        <v>305.83499999999998</v>
      </c>
      <c r="AB19" s="371">
        <f>+SUM(AB20:AB26)</f>
        <v>317.04192093839913</v>
      </c>
      <c r="AC19" s="370">
        <f>+SUM(AA19:AB19)</f>
        <v>622.87692093839905</v>
      </c>
      <c r="AD19" s="371">
        <f>+SUM(AD20:AD26)</f>
        <v>341.46889627065661</v>
      </c>
      <c r="AE19" s="371">
        <f>+SUM(AE20:AE26)</f>
        <v>362.70203206759442</v>
      </c>
      <c r="AF19" s="370">
        <f t="shared" ref="AF19" si="185">+SUM(AD19:AE19)</f>
        <v>704.17092833825109</v>
      </c>
      <c r="AG19" s="371">
        <f>+SUM(AG20:AG26)</f>
        <v>397.57181363132588</v>
      </c>
      <c r="AH19" s="371">
        <f>+SUM(AH20:AH26)</f>
        <v>413.35264582035967</v>
      </c>
      <c r="AI19" s="370">
        <f t="shared" ref="AI19" si="186">+SUM(AG19:AH19)</f>
        <v>810.92445945168561</v>
      </c>
      <c r="AJ19" s="371">
        <f>+SUM(AJ20:AJ26)</f>
        <v>458.13713034058662</v>
      </c>
      <c r="AK19" s="371">
        <f>+SUM(AK20:AK26)</f>
        <v>476.34535739530452</v>
      </c>
      <c r="AL19" s="370">
        <f t="shared" ref="AL19" si="187">+SUM(AJ19:AK19)</f>
        <v>934.48248773589114</v>
      </c>
      <c r="AM19" s="371">
        <f>+SUM(AM20:AM26)</f>
        <v>536.5794031345871</v>
      </c>
      <c r="AN19" s="371">
        <f>+SUM(AN20:AN26)</f>
        <v>557.94023084416199</v>
      </c>
      <c r="AO19" s="370">
        <f t="shared" ref="AO19" si="188">+SUM(AM19:AN19)</f>
        <v>1094.519633978749</v>
      </c>
      <c r="AP19" s="371">
        <f>+SUM(AP20:AP26)</f>
        <v>591.78725194114202</v>
      </c>
      <c r="AQ19" s="371">
        <f>+SUM(AQ20:AQ26)</f>
        <v>640.08378613348032</v>
      </c>
      <c r="AR19" s="370">
        <f t="shared" ref="AR19" si="189">+SUM(AP19:AQ19)</f>
        <v>1231.8710380746224</v>
      </c>
      <c r="AS19" s="371">
        <f>+SUM(AS20:AS26)</f>
        <v>658.94958054098709</v>
      </c>
      <c r="AT19" s="371">
        <f>+SUM(AT20:AT26)</f>
        <v>712.73491176470498</v>
      </c>
      <c r="AU19" s="370">
        <f t="shared" ref="AU19" si="190">+SUM(AS19:AT19)</f>
        <v>1371.6844923056919</v>
      </c>
      <c r="AV19" s="371">
        <f>+SUM(AV20:AV26)</f>
        <v>723.40628907568043</v>
      </c>
      <c r="AW19" s="371">
        <f>+SUM(AW20:AW26)</f>
        <v>782.38836535668179</v>
      </c>
      <c r="AX19" s="370">
        <f t="shared" ref="AX19" si="191">+SUM(AV19:AW19)</f>
        <v>1505.7946544323622</v>
      </c>
      <c r="AY19" s="371">
        <f>+SUM(AY20:AY26)</f>
        <v>783.15517975004821</v>
      </c>
      <c r="AZ19" s="371">
        <f>+SUM(AZ20:AZ26)</f>
        <v>847.38860976292858</v>
      </c>
      <c r="BA19" s="370">
        <f t="shared" ref="BA19" si="192">+SUM(AY19:AZ19)</f>
        <v>1630.5437895129767</v>
      </c>
      <c r="BB19" s="371">
        <f>+SUM(BB20:BB26)</f>
        <v>838.1845505429194</v>
      </c>
      <c r="BC19" s="371">
        <f>+SUM(BC20:BC26)</f>
        <v>906.89935835888252</v>
      </c>
      <c r="BD19" s="370">
        <f t="shared" ref="BD19" si="193">+SUM(BB19:BC19)</f>
        <v>1745.0839089018018</v>
      </c>
      <c r="BE19" s="371">
        <f>+SUM(BE20:BE26)</f>
        <v>885.00405827267377</v>
      </c>
      <c r="BF19" s="371">
        <f>+SUM(BF20:BF26)</f>
        <v>957.51796726492694</v>
      </c>
      <c r="BG19" s="370">
        <f t="shared" ref="BG19" si="194">+SUM(BE19:BF19)</f>
        <v>1842.5220255376007</v>
      </c>
      <c r="BJ19" s="51" t="s">
        <v>102</v>
      </c>
      <c r="BK19" s="500" t="s">
        <v>99</v>
      </c>
      <c r="BL19" s="54">
        <f t="shared" si="184"/>
        <v>156.369</v>
      </c>
      <c r="BM19" s="54">
        <f t="shared" si="184"/>
        <v>329.20499999999998</v>
      </c>
      <c r="BN19" s="54">
        <f t="shared" si="184"/>
        <v>508.50799999999998</v>
      </c>
      <c r="BO19" s="54">
        <f t="shared" si="184"/>
        <v>622.87692093839905</v>
      </c>
      <c r="BP19" s="54">
        <f t="shared" si="184"/>
        <v>704.17092833825109</v>
      </c>
      <c r="BQ19" s="54">
        <f t="shared" si="184"/>
        <v>810.92445945168561</v>
      </c>
      <c r="BR19" s="54">
        <f t="shared" si="184"/>
        <v>934.48248773589114</v>
      </c>
      <c r="BS19" s="54">
        <f t="shared" si="184"/>
        <v>1094.519633978749</v>
      </c>
      <c r="BT19" s="54">
        <f t="shared" si="184"/>
        <v>1231.8710380746224</v>
      </c>
      <c r="BU19" s="54">
        <f t="shared" si="184"/>
        <v>1371.6844923056919</v>
      </c>
      <c r="BV19" s="54">
        <f t="shared" si="184"/>
        <v>1505.7946544323622</v>
      </c>
      <c r="BW19" s="54">
        <f t="shared" si="184"/>
        <v>1630.5437895129767</v>
      </c>
      <c r="BX19" s="54">
        <f t="shared" si="184"/>
        <v>1745.0839089018018</v>
      </c>
      <c r="BY19" s="54">
        <f t="shared" si="184"/>
        <v>1842.5220255376007</v>
      </c>
      <c r="CB19" s="53" t="s">
        <v>469</v>
      </c>
      <c r="CC19" s="54">
        <f>33+46*3</f>
        <v>171</v>
      </c>
      <c r="CD19" s="53">
        <f>+CD18</f>
        <v>0.65</v>
      </c>
      <c r="CE19" s="54">
        <f t="shared" ref="CE19:CE20" si="195">+CC19/CD19</f>
        <v>263.07692307692309</v>
      </c>
      <c r="CI19" s="53" t="s">
        <v>597</v>
      </c>
      <c r="CJ19" s="53">
        <v>113</v>
      </c>
      <c r="CK19" s="53">
        <v>123</v>
      </c>
      <c r="CL19" s="53">
        <v>132</v>
      </c>
      <c r="CM19" s="53">
        <v>139</v>
      </c>
      <c r="CN19" s="53">
        <v>151</v>
      </c>
      <c r="CO19" s="53">
        <v>154</v>
      </c>
      <c r="CP19" s="53">
        <v>155</v>
      </c>
      <c r="CQ19" s="54">
        <f>+CR19-SUM(CN19:CP19)</f>
        <v>161.54192093839913</v>
      </c>
      <c r="CR19" s="251">
        <f>+AC20+AC22</f>
        <v>621.54192093839913</v>
      </c>
    </row>
    <row r="20" spans="1:98">
      <c r="A20" s="51" t="s">
        <v>402</v>
      </c>
      <c r="B20" s="350" t="s">
        <v>470</v>
      </c>
      <c r="E20" s="485"/>
      <c r="F20" s="479"/>
      <c r="G20" s="479"/>
      <c r="H20" s="485"/>
      <c r="I20" s="479"/>
      <c r="J20" s="479"/>
      <c r="K20" s="485"/>
      <c r="L20" s="479"/>
      <c r="M20" s="479"/>
      <c r="N20" s="485"/>
      <c r="O20" s="501"/>
      <c r="P20" s="501"/>
      <c r="Q20" s="502"/>
      <c r="R20" s="376"/>
      <c r="S20" s="479"/>
      <c r="T20" s="377"/>
      <c r="U20" s="376">
        <v>144</v>
      </c>
      <c r="V20" s="479">
        <f>+W20-U20</f>
        <v>180</v>
      </c>
      <c r="W20" s="377">
        <v>324</v>
      </c>
      <c r="X20" s="376">
        <v>235</v>
      </c>
      <c r="Y20" s="479">
        <f>+Z20-X20</f>
        <v>270</v>
      </c>
      <c r="Z20" s="377">
        <v>505</v>
      </c>
      <c r="AA20" s="363">
        <f>151+154</f>
        <v>305</v>
      </c>
      <c r="AB20" s="479">
        <f t="shared" ref="AB20:AB24" si="196">+AC20-AA20</f>
        <v>306</v>
      </c>
      <c r="AC20" s="555">
        <v>611</v>
      </c>
      <c r="AD20" s="479">
        <f>+AF20*AD$27</f>
        <v>331.62308449002148</v>
      </c>
      <c r="AE20" s="479">
        <f>+AF20-AD20</f>
        <v>345.15872059165497</v>
      </c>
      <c r="AF20" s="503">
        <v>676.78180508167645</v>
      </c>
      <c r="AG20" s="479">
        <f>+AI20*AG$27</f>
        <v>370.44122039581123</v>
      </c>
      <c r="AH20" s="479">
        <f>+AI20-AG20</f>
        <v>385.56127020788517</v>
      </c>
      <c r="AI20" s="503">
        <v>756.0024906036964</v>
      </c>
      <c r="AJ20" s="479">
        <f>+AL20*AJ$27</f>
        <v>376.49041877273197</v>
      </c>
      <c r="AK20" s="479">
        <f>+AL20-AJ20</f>
        <v>391.85737464100674</v>
      </c>
      <c r="AL20" s="503">
        <v>768.34779341373871</v>
      </c>
      <c r="AM20" s="479">
        <f>+AO20*AM$27</f>
        <v>395.14960660170425</v>
      </c>
      <c r="AN20" s="479">
        <f>+AO20-AM20</f>
        <v>411.27816197320237</v>
      </c>
      <c r="AO20" s="503">
        <v>806.42776857490662</v>
      </c>
      <c r="AP20" s="479">
        <f>+AR20*AP$27</f>
        <v>399.20308479444805</v>
      </c>
      <c r="AQ20" s="479">
        <f>+AR20-AP20</f>
        <v>432.47000852731878</v>
      </c>
      <c r="AR20" s="503">
        <v>831.67309332176683</v>
      </c>
      <c r="AS20" s="479">
        <f>+AU20*AS$27</f>
        <v>423.55853815952673</v>
      </c>
      <c r="AT20" s="479">
        <f>+AU20-AS20</f>
        <v>458.85508300615402</v>
      </c>
      <c r="AU20" s="503">
        <v>882.41362116568075</v>
      </c>
      <c r="AV20" s="479">
        <f>+AX20*AV$27</f>
        <v>449.32526906856509</v>
      </c>
      <c r="AW20" s="479">
        <f>+AX20-AV20</f>
        <v>486.76904149094554</v>
      </c>
      <c r="AX20" s="503">
        <v>936.09431055951063</v>
      </c>
      <c r="AY20" s="479">
        <f>+BA20*AY$27</f>
        <v>476.58204034594684</v>
      </c>
      <c r="AZ20" s="479">
        <f>+BA20-AY20</f>
        <v>516.29721037477589</v>
      </c>
      <c r="BA20" s="503">
        <v>992.87925072072267</v>
      </c>
      <c r="BB20" s="479">
        <f>+BD20*BB$27</f>
        <v>505.41812652748797</v>
      </c>
      <c r="BC20" s="479">
        <f>+BD20-BB20</f>
        <v>547.536303738112</v>
      </c>
      <c r="BD20" s="503">
        <v>1052.9544302656</v>
      </c>
      <c r="BE20" s="479">
        <f>+BG20*BE$27</f>
        <v>535.90994165235998</v>
      </c>
      <c r="BF20" s="479">
        <f>+BG20-BE20</f>
        <v>580.56910345672327</v>
      </c>
      <c r="BG20" s="503">
        <v>1116.4790451090832</v>
      </c>
      <c r="BJ20" s="51" t="s">
        <v>119</v>
      </c>
      <c r="BK20" s="500" t="s">
        <v>117</v>
      </c>
      <c r="BL20" s="54">
        <f t="shared" si="184"/>
        <v>3.7269999999999999</v>
      </c>
      <c r="BM20" s="54">
        <f t="shared" si="184"/>
        <v>3.496</v>
      </c>
      <c r="BN20" s="54">
        <f t="shared" si="184"/>
        <v>6.226</v>
      </c>
      <c r="BO20" s="54">
        <f t="shared" si="184"/>
        <v>7.9939999999999998</v>
      </c>
      <c r="BP20" s="54">
        <f t="shared" si="184"/>
        <v>8.4</v>
      </c>
      <c r="BQ20" s="54">
        <f t="shared" si="184"/>
        <v>8.82</v>
      </c>
      <c r="BR20" s="54">
        <f t="shared" si="184"/>
        <v>9.2610062276031151</v>
      </c>
      <c r="BS20" s="54">
        <f t="shared" si="184"/>
        <v>177.90494128329487</v>
      </c>
      <c r="BT20" s="54">
        <f t="shared" si="184"/>
        <v>312.6344929031585</v>
      </c>
      <c r="BU20" s="54">
        <f t="shared" si="184"/>
        <v>429.73537348104281</v>
      </c>
      <c r="BV20" s="54">
        <f t="shared" si="184"/>
        <v>557.91002880325914</v>
      </c>
      <c r="BW20" s="54">
        <f t="shared" si="184"/>
        <v>687.24120738602528</v>
      </c>
      <c r="BX20" s="54">
        <f t="shared" si="184"/>
        <v>822.70231390939011</v>
      </c>
      <c r="BY20" s="54">
        <f t="shared" si="184"/>
        <v>954.42093201742</v>
      </c>
      <c r="CB20" s="53" t="s">
        <v>471</v>
      </c>
      <c r="CC20" s="54">
        <f>+CC18-CC19</f>
        <v>614</v>
      </c>
      <c r="CD20" s="53">
        <f>+CD19</f>
        <v>0.65</v>
      </c>
      <c r="CE20" s="54">
        <f t="shared" si="195"/>
        <v>944.61538461538453</v>
      </c>
      <c r="CI20" s="53" t="s">
        <v>486</v>
      </c>
      <c r="CN20" s="53">
        <v>33</v>
      </c>
      <c r="CO20" s="53">
        <v>46</v>
      </c>
      <c r="CP20" s="53">
        <v>47</v>
      </c>
      <c r="CQ20" s="53">
        <f>+CP20</f>
        <v>47</v>
      </c>
      <c r="CR20" s="251">
        <f>+AC36</f>
        <v>171</v>
      </c>
    </row>
    <row r="21" spans="1:98">
      <c r="A21" s="51" t="s">
        <v>403</v>
      </c>
      <c r="B21" s="350" t="s">
        <v>472</v>
      </c>
      <c r="C21" s="378" t="s">
        <v>453</v>
      </c>
      <c r="E21" s="485"/>
      <c r="F21" s="479"/>
      <c r="G21" s="479"/>
      <c r="H21" s="485"/>
      <c r="I21" s="479"/>
      <c r="J21" s="479"/>
      <c r="K21" s="485"/>
      <c r="L21" s="479"/>
      <c r="M21" s="479"/>
      <c r="N21" s="485"/>
      <c r="O21" s="501"/>
      <c r="P21" s="501"/>
      <c r="Q21" s="502"/>
      <c r="R21" s="376"/>
      <c r="S21" s="479"/>
      <c r="T21" s="377"/>
      <c r="U21" s="376"/>
      <c r="V21" s="376"/>
      <c r="W21" s="485"/>
      <c r="X21" s="376"/>
      <c r="Y21" s="376"/>
      <c r="Z21" s="485"/>
      <c r="AA21" s="376"/>
      <c r="AB21" s="479">
        <f t="shared" si="196"/>
        <v>0</v>
      </c>
      <c r="AC21" s="503">
        <v>0</v>
      </c>
      <c r="AD21" s="479">
        <f>+AF21*AD$27</f>
        <v>0</v>
      </c>
      <c r="AE21" s="479">
        <f>+AF21-AD21</f>
        <v>0</v>
      </c>
      <c r="AF21" s="503">
        <v>0</v>
      </c>
      <c r="AG21" s="479">
        <f>+AI21*AG$27</f>
        <v>0</v>
      </c>
      <c r="AH21" s="479">
        <f>+AI21-AG21</f>
        <v>0</v>
      </c>
      <c r="AI21" s="503">
        <v>0</v>
      </c>
      <c r="AJ21" s="479">
        <f>+AL21*AJ$27</f>
        <v>40.201792827648639</v>
      </c>
      <c r="AK21" s="479">
        <f>+AL21-AJ21</f>
        <v>41.842682330817972</v>
      </c>
      <c r="AL21" s="503">
        <v>82.044475158466611</v>
      </c>
      <c r="AM21" s="479">
        <f>+AO21*AM$27</f>
        <v>69.420907099397041</v>
      </c>
      <c r="AN21" s="479">
        <f>+AO21-AM21</f>
        <v>72.254413511617329</v>
      </c>
      <c r="AO21" s="503">
        <v>141.67532061101437</v>
      </c>
      <c r="AP21" s="479">
        <f>+AR21*AP$27</f>
        <v>91.447257580969648</v>
      </c>
      <c r="AQ21" s="479">
        <f>+AR21-AP21</f>
        <v>99.067862379383797</v>
      </c>
      <c r="AR21" s="503">
        <v>190.51511996035345</v>
      </c>
      <c r="AS21" s="479">
        <f>+AU21*AS$27</f>
        <v>109.26912905205312</v>
      </c>
      <c r="AT21" s="479">
        <f>+AU21-AS21</f>
        <v>118.3748898063909</v>
      </c>
      <c r="AU21" s="503">
        <v>227.64401885844401</v>
      </c>
      <c r="AV21" s="479">
        <f>+AX21*AV$27</f>
        <v>121.00528263578251</v>
      </c>
      <c r="AW21" s="479">
        <f>+AX21-AV21</f>
        <v>131.0890561887644</v>
      </c>
      <c r="AX21" s="503">
        <v>252.0943388245469</v>
      </c>
      <c r="AY21" s="479">
        <f>+BA21*AY$27</f>
        <v>126.16730234499776</v>
      </c>
      <c r="AZ21" s="479">
        <f>+BA21-AY21</f>
        <v>136.68124420708091</v>
      </c>
      <c r="BA21" s="503">
        <v>262.84854655207869</v>
      </c>
      <c r="BB21" s="479">
        <f>+BD21*BB$27</f>
        <v>124.24183018128221</v>
      </c>
      <c r="BC21" s="479">
        <f>+BD21-BB21</f>
        <v>134.5953160297224</v>
      </c>
      <c r="BD21" s="503">
        <v>258.83714621100461</v>
      </c>
      <c r="BE21" s="479">
        <f>+BG21*BE$27</f>
        <v>114.6895161747524</v>
      </c>
      <c r="BF21" s="479">
        <f>+BG21-BE21</f>
        <v>124.24697585598177</v>
      </c>
      <c r="BG21" s="503">
        <v>238.93649203073417</v>
      </c>
      <c r="BJ21" s="51" t="s">
        <v>137</v>
      </c>
      <c r="BK21" s="500" t="s">
        <v>414</v>
      </c>
      <c r="BL21" s="54">
        <f t="shared" si="184"/>
        <v>0</v>
      </c>
      <c r="BM21" s="54">
        <f t="shared" si="184"/>
        <v>0.27700000000000002</v>
      </c>
      <c r="BN21" s="54">
        <f t="shared" si="184"/>
        <v>1.8169999999999999</v>
      </c>
      <c r="BO21" s="54">
        <f t="shared" si="184"/>
        <v>173.53</v>
      </c>
      <c r="BP21" s="54">
        <f t="shared" si="184"/>
        <v>195</v>
      </c>
      <c r="BQ21" s="54">
        <f t="shared" si="184"/>
        <v>204.75000000000003</v>
      </c>
      <c r="BR21" s="54">
        <f t="shared" si="184"/>
        <v>214.98750000000004</v>
      </c>
      <c r="BS21" s="54">
        <f t="shared" si="184"/>
        <v>225.73687500000003</v>
      </c>
      <c r="BT21" s="54">
        <f t="shared" si="184"/>
        <v>237.02371875000006</v>
      </c>
      <c r="BU21" s="54">
        <f t="shared" si="184"/>
        <v>248.87490468750008</v>
      </c>
      <c r="BV21" s="54">
        <f t="shared" si="184"/>
        <v>261.31864992187514</v>
      </c>
      <c r="BW21" s="54">
        <f t="shared" si="184"/>
        <v>274.38458241796883</v>
      </c>
      <c r="BX21" s="54">
        <f t="shared" si="184"/>
        <v>288.10381153886732</v>
      </c>
      <c r="BY21" s="54">
        <f t="shared" si="184"/>
        <v>302.50900211581069</v>
      </c>
      <c r="CE21" s="54"/>
      <c r="CI21" s="53" t="s">
        <v>52</v>
      </c>
      <c r="CN21" s="53">
        <f>+CN22-SUM(CN19:CN20)</f>
        <v>2</v>
      </c>
      <c r="CO21" s="53">
        <f>+CO22-SUM(CO19:CO20)</f>
        <v>4</v>
      </c>
      <c r="CP21" s="53">
        <f>+CP22-SUM(CP19:CP20)</f>
        <v>4</v>
      </c>
      <c r="CQ21" s="53">
        <f>+CP21</f>
        <v>4</v>
      </c>
      <c r="CR21" s="251">
        <f>+CR22-CR19-CR20</f>
        <v>11.858999999999924</v>
      </c>
    </row>
    <row r="22" spans="1:98">
      <c r="A22" s="51" t="s">
        <v>404</v>
      </c>
      <c r="B22" s="350" t="s">
        <v>473</v>
      </c>
      <c r="E22" s="485"/>
      <c r="F22" s="479"/>
      <c r="G22" s="479"/>
      <c r="H22" s="485"/>
      <c r="I22" s="479"/>
      <c r="J22" s="479"/>
      <c r="K22" s="485"/>
      <c r="L22" s="479"/>
      <c r="M22" s="479"/>
      <c r="N22" s="485"/>
      <c r="O22" s="501"/>
      <c r="P22" s="501"/>
      <c r="Q22" s="502"/>
      <c r="R22" s="376"/>
      <c r="S22" s="479"/>
      <c r="T22" s="377"/>
      <c r="U22" s="376"/>
      <c r="V22" s="376"/>
      <c r="W22" s="485"/>
      <c r="X22" s="376"/>
      <c r="Y22" s="376"/>
      <c r="Z22" s="485"/>
      <c r="AA22" s="376"/>
      <c r="AB22" s="479">
        <f t="shared" si="196"/>
        <v>10.541920938399107</v>
      </c>
      <c r="AC22" s="503">
        <v>10.541920938399107</v>
      </c>
      <c r="AD22" s="479">
        <f>+AF22*AD$27</f>
        <v>8.927311780635117</v>
      </c>
      <c r="AE22" s="479">
        <f t="shared" ref="AE22" si="197">+AF22-AD22</f>
        <v>9.2916918533141004</v>
      </c>
      <c r="AF22" s="503">
        <v>18.219003633949217</v>
      </c>
      <c r="AG22" s="479">
        <f>+AI22*AG$27</f>
        <v>12.719763525736882</v>
      </c>
      <c r="AH22" s="479">
        <f t="shared" ref="AH22" si="198">+AI22-AG22</f>
        <v>13.238937547195532</v>
      </c>
      <c r="AI22" s="503">
        <v>25.958701072932413</v>
      </c>
      <c r="AJ22" s="479">
        <f>+AL22*AJ$27</f>
        <v>16.298762854870546</v>
      </c>
      <c r="AK22" s="479">
        <f t="shared" ref="AK22" si="199">+AL22-AJ22</f>
        <v>16.964018481599958</v>
      </c>
      <c r="AL22" s="503">
        <v>33.262781336470503</v>
      </c>
      <c r="AM22" s="479">
        <f>+AO22*AM$27</f>
        <v>19.908477107171727</v>
      </c>
      <c r="AN22" s="479">
        <f t="shared" ref="AN22" si="200">+AO22-AM22</f>
        <v>20.721068009505267</v>
      </c>
      <c r="AO22" s="503">
        <v>40.629545116676994</v>
      </c>
      <c r="AP22" s="479">
        <f>+AR22*AP$27</f>
        <v>23.068275561884153</v>
      </c>
      <c r="AQ22" s="479">
        <f t="shared" ref="AQ22" si="201">+AR22-AP22</f>
        <v>24.990631858707832</v>
      </c>
      <c r="AR22" s="503">
        <v>48.058907420591986</v>
      </c>
      <c r="AS22" s="479">
        <f>+AU22*AS$27</f>
        <v>26.663247155505424</v>
      </c>
      <c r="AT22" s="479">
        <f t="shared" ref="AT22" si="202">+AU22-AS22</f>
        <v>28.885184418464213</v>
      </c>
      <c r="AU22" s="503">
        <v>55.548431573969637</v>
      </c>
      <c r="AV22" s="479">
        <f>+AX22*AV$27</f>
        <v>30.28883795435215</v>
      </c>
      <c r="AW22" s="479">
        <f t="shared" ref="AW22" si="203">+AX22-AV22</f>
        <v>32.812907783881499</v>
      </c>
      <c r="AX22" s="503">
        <v>63.101745738233646</v>
      </c>
      <c r="AY22" s="479">
        <f>+BA22*AY$27</f>
        <v>33.944379065213482</v>
      </c>
      <c r="AZ22" s="479">
        <f t="shared" ref="AZ22" si="204">+BA22-AY22</f>
        <v>36.773077320647943</v>
      </c>
      <c r="BA22" s="503">
        <v>70.717456385861425</v>
      </c>
      <c r="BB22" s="479">
        <f>+BD22*BB$27</f>
        <v>37.629911466163527</v>
      </c>
      <c r="BC22" s="479">
        <f t="shared" ref="BC22" si="205">+BD22-BB22</f>
        <v>40.765737421677152</v>
      </c>
      <c r="BD22" s="503">
        <v>78.395648887840679</v>
      </c>
      <c r="BE22" s="479">
        <f>+BG22*BE$27</f>
        <v>41.344740516380583</v>
      </c>
      <c r="BF22" s="479">
        <f t="shared" ref="BF22" si="206">+BG22-BE22</f>
        <v>44.790135559412306</v>
      </c>
      <c r="BG22" s="503">
        <v>86.134876075792889</v>
      </c>
      <c r="CB22" s="53" t="s">
        <v>24</v>
      </c>
      <c r="CC22" s="251">
        <f>+Z77</f>
        <v>127.92999999999999</v>
      </c>
      <c r="CD22" s="295">
        <v>0.25</v>
      </c>
      <c r="CE22" s="53">
        <f>+CC22*(1+CD22)</f>
        <v>159.91249999999999</v>
      </c>
      <c r="CI22" s="53" t="s">
        <v>500</v>
      </c>
      <c r="CL22" s="53">
        <v>135</v>
      </c>
      <c r="CN22" s="53">
        <v>186</v>
      </c>
      <c r="CO22" s="53">
        <v>204</v>
      </c>
      <c r="CP22" s="53">
        <v>206</v>
      </c>
      <c r="CQ22" s="53">
        <f>+CR22-SUM(CN22:CP22)</f>
        <v>208.40092093839905</v>
      </c>
      <c r="CR22" s="251">
        <f>+AC17</f>
        <v>804.40092093839905</v>
      </c>
      <c r="CT22" s="251"/>
    </row>
    <row r="23" spans="1:98">
      <c r="A23" s="51" t="s">
        <v>405</v>
      </c>
      <c r="B23" s="350" t="s">
        <v>406</v>
      </c>
      <c r="E23" s="485"/>
      <c r="F23" s="479"/>
      <c r="G23" s="479"/>
      <c r="H23" s="485"/>
      <c r="I23" s="479"/>
      <c r="J23" s="479"/>
      <c r="K23" s="485"/>
      <c r="L23" s="479"/>
      <c r="M23" s="479"/>
      <c r="N23" s="485"/>
      <c r="O23" s="501"/>
      <c r="P23" s="501"/>
      <c r="Q23" s="502"/>
      <c r="R23" s="376"/>
      <c r="S23" s="479"/>
      <c r="T23" s="377"/>
      <c r="U23" s="376"/>
      <c r="V23" s="376"/>
      <c r="W23" s="485"/>
      <c r="X23" s="376"/>
      <c r="Y23" s="376"/>
      <c r="Z23" s="485"/>
      <c r="AA23" s="376"/>
      <c r="AB23" s="479">
        <f t="shared" si="196"/>
        <v>0</v>
      </c>
      <c r="AC23" s="503">
        <v>0</v>
      </c>
      <c r="AD23" s="540">
        <v>0</v>
      </c>
      <c r="AE23" s="479">
        <f>+AF23-AD23</f>
        <v>7.7016196226253371</v>
      </c>
      <c r="AF23" s="503">
        <v>7.7016196226253371</v>
      </c>
      <c r="AG23" s="479">
        <f>+AI23*AG$27</f>
        <v>13.400479709777835</v>
      </c>
      <c r="AH23" s="479">
        <f>+AI23-AG23</f>
        <v>13.947438065278972</v>
      </c>
      <c r="AI23" s="503">
        <v>27.347917775056807</v>
      </c>
      <c r="AJ23" s="479">
        <f>+AL23*AJ$27</f>
        <v>24.034770885335508</v>
      </c>
      <c r="AK23" s="479">
        <f>+AL23-AJ23</f>
        <v>25.015781941879812</v>
      </c>
      <c r="AL23" s="503">
        <v>49.05055282721532</v>
      </c>
      <c r="AM23" s="479">
        <f>+AO23*AM$27</f>
        <v>41.717740139356756</v>
      </c>
      <c r="AN23" s="479">
        <f>+AO23-AM23</f>
        <v>43.420505043003978</v>
      </c>
      <c r="AO23" s="503">
        <v>85.138245182360734</v>
      </c>
      <c r="AP23" s="479">
        <f>+AR23*AP$27</f>
        <v>58.665564314981133</v>
      </c>
      <c r="AQ23" s="479">
        <f>+AR23-AP23</f>
        <v>63.554361341229558</v>
      </c>
      <c r="AR23" s="503">
        <v>122.21992565621069</v>
      </c>
      <c r="AS23" s="479">
        <f>+AU23*AS$27</f>
        <v>76.946783559167926</v>
      </c>
      <c r="AT23" s="479">
        <f>+AU23-AS23</f>
        <v>83.359015522431918</v>
      </c>
      <c r="AU23" s="503">
        <v>160.30579908159984</v>
      </c>
      <c r="AV23" s="479">
        <f>+AX23*AV$27</f>
        <v>95.717120899609128</v>
      </c>
      <c r="AW23" s="479">
        <f>+AX23-AV23</f>
        <v>103.69354764124323</v>
      </c>
      <c r="AX23" s="503">
        <v>199.41066854085236</v>
      </c>
      <c r="AY23" s="479">
        <f>+BA23*AY$27</f>
        <v>114.98204425091448</v>
      </c>
      <c r="AZ23" s="479">
        <f>+BA23-AY23</f>
        <v>124.56388127182403</v>
      </c>
      <c r="BA23" s="503">
        <v>239.54592552273851</v>
      </c>
      <c r="BB23" s="479">
        <f>+BD23*BB$27</f>
        <v>134.75365199538285</v>
      </c>
      <c r="BC23" s="479">
        <f>+BD23-BB23</f>
        <v>145.98312299499813</v>
      </c>
      <c r="BD23" s="503">
        <v>280.73677499038098</v>
      </c>
      <c r="BE23" s="479">
        <f>+BG23*BE$27</f>
        <v>155.02661278892023</v>
      </c>
      <c r="BF23" s="479">
        <f>+BG23-BE23</f>
        <v>167.94549718799695</v>
      </c>
      <c r="BG23" s="503">
        <v>322.97210997691718</v>
      </c>
      <c r="BJ23" s="51" t="s">
        <v>17</v>
      </c>
      <c r="BK23" s="52" t="s">
        <v>16</v>
      </c>
      <c r="BL23" s="55">
        <f t="shared" ref="BL23:BY26" si="207">+VLOOKUP($BJ23,$A:$BG,MATCH(BL$17,$A$2:$BG$2,FALSE),FALSE)</f>
        <v>94.926000000000002</v>
      </c>
      <c r="BM23" s="55">
        <f t="shared" si="207"/>
        <v>209.57099999999997</v>
      </c>
      <c r="BN23" s="55">
        <f t="shared" si="207"/>
        <v>336.16300000000001</v>
      </c>
      <c r="BO23" s="55">
        <f t="shared" si="207"/>
        <v>426.57322047734635</v>
      </c>
      <c r="BP23" s="55">
        <f t="shared" si="207"/>
        <v>477.8138992898397</v>
      </c>
      <c r="BQ23" s="55">
        <f t="shared" si="207"/>
        <v>555.60262905462275</v>
      </c>
      <c r="BR23" s="55">
        <f t="shared" si="207"/>
        <v>644.37001350796868</v>
      </c>
      <c r="BS23" s="55">
        <f t="shared" si="207"/>
        <v>877.51077216660269</v>
      </c>
      <c r="BT23" s="55">
        <f t="shared" si="207"/>
        <v>1079.2024642223237</v>
      </c>
      <c r="BU23" s="55">
        <f t="shared" si="207"/>
        <v>1272.0395090626996</v>
      </c>
      <c r="BV23" s="55">
        <f t="shared" si="207"/>
        <v>1472.2517731668549</v>
      </c>
      <c r="BW23" s="55">
        <f t="shared" si="207"/>
        <v>1669.808599328197</v>
      </c>
      <c r="BX23" s="55">
        <f t="shared" si="207"/>
        <v>1867.8735373459454</v>
      </c>
      <c r="BY23" s="55">
        <f t="shared" si="207"/>
        <v>2053.942674396967</v>
      </c>
      <c r="CT23" s="251"/>
    </row>
    <row r="24" spans="1:98">
      <c r="A24" s="51" t="s">
        <v>412</v>
      </c>
      <c r="B24" s="350" t="s">
        <v>413</v>
      </c>
      <c r="E24" s="485"/>
      <c r="F24" s="479"/>
      <c r="G24" s="479"/>
      <c r="H24" s="485"/>
      <c r="I24" s="479"/>
      <c r="J24" s="479"/>
      <c r="K24" s="485"/>
      <c r="L24" s="479"/>
      <c r="M24" s="479"/>
      <c r="N24" s="485"/>
      <c r="O24" s="501"/>
      <c r="P24" s="501"/>
      <c r="Q24" s="502"/>
      <c r="R24" s="376"/>
      <c r="S24" s="479"/>
      <c r="T24" s="377"/>
      <c r="U24" s="376"/>
      <c r="V24" s="376"/>
      <c r="W24" s="485"/>
      <c r="X24" s="376"/>
      <c r="Y24" s="376"/>
      <c r="Z24" s="485"/>
      <c r="AA24" s="376"/>
      <c r="AB24" s="479">
        <f t="shared" si="196"/>
        <v>0</v>
      </c>
      <c r="AC24" s="503">
        <v>0</v>
      </c>
      <c r="AD24" s="479">
        <f>+AF24*AD$27</f>
        <v>0</v>
      </c>
      <c r="AE24" s="479">
        <f>+AF24-AD24</f>
        <v>0</v>
      </c>
      <c r="AF24" s="503">
        <v>0</v>
      </c>
      <c r="AG24" s="479">
        <f>+AI24*AG$27</f>
        <v>0</v>
      </c>
      <c r="AH24" s="479">
        <f>+AI24-AG24</f>
        <v>0</v>
      </c>
      <c r="AI24" s="503">
        <v>0</v>
      </c>
      <c r="AJ24" s="479">
        <f>+AL24*AJ$27</f>
        <v>0</v>
      </c>
      <c r="AK24" s="479">
        <f>+AL24-AJ24</f>
        <v>0</v>
      </c>
      <c r="AL24" s="503">
        <v>0</v>
      </c>
      <c r="AM24" s="479">
        <f>+AO24*AM$27</f>
        <v>9.1601486869573083</v>
      </c>
      <c r="AN24" s="479">
        <f>+AO24-AM24</f>
        <v>9.534032306833117</v>
      </c>
      <c r="AO24" s="503">
        <v>18.694180993790425</v>
      </c>
      <c r="AP24" s="479">
        <f>+AR24*AP$27</f>
        <v>10.997298448020363</v>
      </c>
      <c r="AQ24" s="479">
        <f>+AR24-AP24</f>
        <v>11.913739985355395</v>
      </c>
      <c r="AR24" s="503">
        <v>22.911038433375758</v>
      </c>
      <c r="AS24" s="479">
        <f>+AU24*AS$27</f>
        <v>13.048969812244312</v>
      </c>
      <c r="AT24" s="479">
        <f>+AU24-AS24</f>
        <v>14.136383963264674</v>
      </c>
      <c r="AU24" s="503">
        <v>27.185353775508986</v>
      </c>
      <c r="AV24" s="479">
        <f>+AX24*AV$27</f>
        <v>15.128540705784115</v>
      </c>
      <c r="AW24" s="479">
        <f>+AX24-AV24</f>
        <v>16.389252431266126</v>
      </c>
      <c r="AX24" s="503">
        <v>31.517793137050241</v>
      </c>
      <c r="AY24" s="479">
        <f>+BA24*AY$27</f>
        <v>17.23633450841178</v>
      </c>
      <c r="AZ24" s="479">
        <f>+BA24-AY24</f>
        <v>18.672695717446096</v>
      </c>
      <c r="BA24" s="503">
        <v>35.909030225857876</v>
      </c>
      <c r="BB24" s="479">
        <f>+BD24*BB$27</f>
        <v>19.080239088156375</v>
      </c>
      <c r="BC24" s="479">
        <f>+BD24-BB24</f>
        <v>20.67025901216941</v>
      </c>
      <c r="BD24" s="503">
        <v>39.750498100325785</v>
      </c>
      <c r="BE24" s="479">
        <f>+BG24*BE$27</f>
        <v>19.034094856116333</v>
      </c>
      <c r="BF24" s="479">
        <f>+BG24-BE24</f>
        <v>20.620269427459363</v>
      </c>
      <c r="BG24" s="503">
        <v>39.654364283575696</v>
      </c>
      <c r="BJ24" s="51" t="s">
        <v>104</v>
      </c>
      <c r="BK24" s="500" t="s">
        <v>99</v>
      </c>
      <c r="BL24" s="54">
        <f t="shared" si="207"/>
        <v>91.198999999999998</v>
      </c>
      <c r="BM24" s="54">
        <f t="shared" si="207"/>
        <v>205.798</v>
      </c>
      <c r="BN24" s="54">
        <f t="shared" si="207"/>
        <v>330.245</v>
      </c>
      <c r="BO24" s="54">
        <f t="shared" si="207"/>
        <v>401.21065907165905</v>
      </c>
      <c r="BP24" s="54">
        <f t="shared" si="207"/>
        <v>450.66939413648072</v>
      </c>
      <c r="BQ24" s="54">
        <f t="shared" si="207"/>
        <v>527.10089864359566</v>
      </c>
      <c r="BR24" s="54">
        <f t="shared" si="207"/>
        <v>616.75844190568819</v>
      </c>
      <c r="BS24" s="54">
        <f t="shared" si="207"/>
        <v>722.38295842597427</v>
      </c>
      <c r="BT24" s="54">
        <f t="shared" si="207"/>
        <v>819.19424031962399</v>
      </c>
      <c r="BU24" s="54">
        <f t="shared" si="207"/>
        <v>919.02860984481356</v>
      </c>
      <c r="BV24" s="54">
        <f t="shared" si="207"/>
        <v>1016.4113917418445</v>
      </c>
      <c r="BW24" s="54">
        <f t="shared" si="207"/>
        <v>1108.769776868824</v>
      </c>
      <c r="BX24" s="54">
        <f t="shared" si="207"/>
        <v>1195.3824775977341</v>
      </c>
      <c r="BY24" s="54">
        <f t="shared" si="207"/>
        <v>1271.3401976209445</v>
      </c>
    </row>
    <row r="25" spans="1:98">
      <c r="B25" s="350" t="s">
        <v>474</v>
      </c>
      <c r="E25" s="485"/>
      <c r="F25" s="479"/>
      <c r="G25" s="479"/>
      <c r="H25" s="485"/>
      <c r="I25" s="479"/>
      <c r="J25" s="479"/>
      <c r="K25" s="485"/>
      <c r="L25" s="479"/>
      <c r="M25" s="479"/>
      <c r="N25" s="485"/>
      <c r="O25" s="501"/>
      <c r="P25" s="501"/>
      <c r="Q25" s="502"/>
      <c r="R25" s="376"/>
      <c r="S25" s="479"/>
      <c r="T25" s="377"/>
      <c r="U25" s="479">
        <f>+U19-U20</f>
        <v>3.2390000000000043</v>
      </c>
      <c r="V25" s="479">
        <f>+V19-V20</f>
        <v>1.9659999999999798</v>
      </c>
      <c r="W25" s="485">
        <f>+SUM(U25:V25)</f>
        <v>5.2049999999999841</v>
      </c>
      <c r="X25" s="479">
        <f>+X19-X20</f>
        <v>1.2450000000000045</v>
      </c>
      <c r="Y25" s="479">
        <f>+Y19-Y20</f>
        <v>2.2629999999999768</v>
      </c>
      <c r="Z25" s="485">
        <f>+SUM(X25:Y25)</f>
        <v>3.5079999999999814</v>
      </c>
      <c r="AA25" s="479">
        <f>+AA19-AA20</f>
        <v>0.83499999999997954</v>
      </c>
      <c r="AB25" s="554">
        <v>0.5</v>
      </c>
      <c r="AC25" s="485">
        <f>+SUM(AA25:AB25)</f>
        <v>1.3349999999999795</v>
      </c>
      <c r="AD25" s="479">
        <f>+AA25*1.1</f>
        <v>0.91849999999997756</v>
      </c>
      <c r="AE25" s="479">
        <f>+AB25*1.1</f>
        <v>0.55000000000000004</v>
      </c>
      <c r="AF25" s="485">
        <f>+SUM(AD25:AE25)</f>
        <v>1.4684999999999775</v>
      </c>
      <c r="AG25" s="479">
        <f t="shared" ref="AG25:AH25" si="208">+AD25*1.1</f>
        <v>1.0103499999999754</v>
      </c>
      <c r="AH25" s="479">
        <f t="shared" si="208"/>
        <v>0.60500000000000009</v>
      </c>
      <c r="AI25" s="485">
        <f t="shared" ref="AI25" si="209">+SUM(AG25:AH25)</f>
        <v>1.6153499999999754</v>
      </c>
      <c r="AJ25" s="479">
        <f t="shared" ref="AJ25:AK25" si="210">+AG25*1.1</f>
        <v>1.111384999999973</v>
      </c>
      <c r="AK25" s="479">
        <f t="shared" si="210"/>
        <v>0.6655000000000002</v>
      </c>
      <c r="AL25" s="485">
        <f t="shared" ref="AL25" si="211">+SUM(AJ25:AK25)</f>
        <v>1.7768849999999732</v>
      </c>
      <c r="AM25" s="479">
        <f t="shared" ref="AM25:AN25" si="212">+AJ25*1.1</f>
        <v>1.2225234999999703</v>
      </c>
      <c r="AN25" s="479">
        <f t="shared" si="212"/>
        <v>0.73205000000000031</v>
      </c>
      <c r="AO25" s="485">
        <f t="shared" ref="AO25" si="213">+SUM(AM25:AN25)</f>
        <v>1.9545734999999707</v>
      </c>
      <c r="AP25" s="479">
        <f t="shared" ref="AP25:AQ25" si="214">+AM25*1.1</f>
        <v>1.3447758499999676</v>
      </c>
      <c r="AQ25" s="479">
        <f t="shared" si="214"/>
        <v>0.80525500000000039</v>
      </c>
      <c r="AR25" s="485">
        <f t="shared" ref="AR25:AR26" si="215">+SUM(AP25:AQ25)</f>
        <v>2.1500308499999679</v>
      </c>
      <c r="AS25" s="479">
        <f t="shared" ref="AS25:AT25" si="216">+AP25*1.1</f>
        <v>1.4792534349999644</v>
      </c>
      <c r="AT25" s="479">
        <f t="shared" si="216"/>
        <v>0.88578050000000053</v>
      </c>
      <c r="AU25" s="485">
        <f t="shared" ref="AU25:AU26" si="217">+SUM(AS25:AT25)</f>
        <v>2.3650339349999649</v>
      </c>
      <c r="AV25" s="479">
        <f t="shared" ref="AV25:AW25" si="218">+AS25*1.1</f>
        <v>1.627178778499961</v>
      </c>
      <c r="AW25" s="479">
        <f t="shared" si="218"/>
        <v>0.97435855000000071</v>
      </c>
      <c r="AX25" s="485">
        <f t="shared" ref="AX25:AX26" si="219">+SUM(AV25:AW25)</f>
        <v>2.6015373284999619</v>
      </c>
      <c r="AY25" s="479">
        <f t="shared" ref="AY25:AZ25" si="220">+AV25*1.1</f>
        <v>1.7898966563499572</v>
      </c>
      <c r="AZ25" s="479">
        <f t="shared" si="220"/>
        <v>1.0717944050000008</v>
      </c>
      <c r="BA25" s="485">
        <f t="shared" ref="BA25:BA26" si="221">+SUM(AY25:AZ25)</f>
        <v>2.861691061349958</v>
      </c>
      <c r="BB25" s="479">
        <f t="shared" ref="BB25:BC25" si="222">+AY25*1.1</f>
        <v>1.9688863219849531</v>
      </c>
      <c r="BC25" s="479">
        <f t="shared" si="222"/>
        <v>1.1789738455000009</v>
      </c>
      <c r="BD25" s="485">
        <f t="shared" ref="BD25:BD26" si="223">+SUM(BB25:BC25)</f>
        <v>3.147860167484954</v>
      </c>
      <c r="BE25" s="479">
        <f t="shared" ref="BE25:BF25" si="224">+BB25*1.1</f>
        <v>2.1657749541834486</v>
      </c>
      <c r="BF25" s="479">
        <f t="shared" si="224"/>
        <v>1.2968712300500012</v>
      </c>
      <c r="BG25" s="485">
        <f t="shared" ref="BG25:BG26" si="225">+SUM(BE25:BF25)</f>
        <v>3.4626461842334497</v>
      </c>
      <c r="BJ25" s="51" t="s">
        <v>121</v>
      </c>
      <c r="BK25" s="500" t="s">
        <v>117</v>
      </c>
      <c r="BL25" s="54">
        <f t="shared" si="207"/>
        <v>3.7269999999999999</v>
      </c>
      <c r="BM25" s="54">
        <f t="shared" si="207"/>
        <v>3.496</v>
      </c>
      <c r="BN25" s="54">
        <f t="shared" si="207"/>
        <v>6.226</v>
      </c>
      <c r="BO25" s="54">
        <f t="shared" si="207"/>
        <v>7.7779999999999996</v>
      </c>
      <c r="BP25" s="54">
        <f t="shared" si="207"/>
        <v>8.4</v>
      </c>
      <c r="BQ25" s="54">
        <f t="shared" si="207"/>
        <v>8.82</v>
      </c>
      <c r="BR25" s="54">
        <f t="shared" si="207"/>
        <v>6.9457546707023363</v>
      </c>
      <c r="BS25" s="54">
        <f t="shared" si="207"/>
        <v>133.42870596247116</v>
      </c>
      <c r="BT25" s="54">
        <f t="shared" si="207"/>
        <v>236.03904214188466</v>
      </c>
      <c r="BU25" s="54">
        <f t="shared" si="207"/>
        <v>326.59888384559258</v>
      </c>
      <c r="BV25" s="54">
        <f t="shared" si="207"/>
        <v>426.80117203449328</v>
      </c>
      <c r="BW25" s="54">
        <f t="shared" si="207"/>
        <v>529.17572968723948</v>
      </c>
      <c r="BX25" s="54">
        <f t="shared" si="207"/>
        <v>637.59429327977739</v>
      </c>
      <c r="BY25" s="54">
        <f t="shared" si="207"/>
        <v>744.44832697358765</v>
      </c>
      <c r="CB25" s="53" t="s">
        <v>475</v>
      </c>
      <c r="CD25" s="59">
        <v>0.63</v>
      </c>
      <c r="CE25" s="53">
        <f>+CE20*CD25</f>
        <v>595.10769230769222</v>
      </c>
      <c r="CG25" s="54"/>
    </row>
    <row r="26" spans="1:98">
      <c r="B26" s="350" t="s">
        <v>476</v>
      </c>
      <c r="C26" s="379">
        <v>0.2</v>
      </c>
      <c r="E26" s="485"/>
      <c r="F26" s="479"/>
      <c r="G26" s="479"/>
      <c r="H26" s="485"/>
      <c r="I26" s="479"/>
      <c r="J26" s="479"/>
      <c r="K26" s="485"/>
      <c r="L26" s="479"/>
      <c r="M26" s="479"/>
      <c r="N26" s="485"/>
      <c r="O26" s="501"/>
      <c r="P26" s="501"/>
      <c r="Q26" s="502"/>
      <c r="R26" s="376"/>
      <c r="S26" s="479"/>
      <c r="T26" s="377"/>
      <c r="U26" s="479"/>
      <c r="V26" s="479"/>
      <c r="W26" s="485"/>
      <c r="X26" s="479"/>
      <c r="Y26" s="479"/>
      <c r="Z26" s="485"/>
      <c r="AA26" s="479"/>
      <c r="AB26" s="479"/>
      <c r="AC26" s="485"/>
      <c r="AD26" s="479"/>
      <c r="AE26" s="479"/>
      <c r="AF26" s="485"/>
      <c r="AG26" s="479"/>
      <c r="AH26" s="479"/>
      <c r="AI26" s="485"/>
      <c r="AJ26" s="479"/>
      <c r="AK26" s="479"/>
      <c r="AL26" s="485"/>
      <c r="AM26" s="479"/>
      <c r="AN26" s="479"/>
      <c r="AO26" s="485"/>
      <c r="AP26" s="479">
        <f>+AG81*$C26</f>
        <v>7.0609953908385634</v>
      </c>
      <c r="AQ26" s="479">
        <f>+AH81*$C26</f>
        <v>7.2819270414850372</v>
      </c>
      <c r="AR26" s="485">
        <f t="shared" si="215"/>
        <v>14.342922432323601</v>
      </c>
      <c r="AS26" s="479">
        <f>+AJ81*$C26</f>
        <v>7.9836593674895715</v>
      </c>
      <c r="AT26" s="479">
        <f>+AK81*$C26</f>
        <v>8.2385745479993489</v>
      </c>
      <c r="AU26" s="485">
        <f t="shared" si="217"/>
        <v>16.222233915488921</v>
      </c>
      <c r="AV26" s="479">
        <f>+AM81*$C26</f>
        <v>10.314059033087624</v>
      </c>
      <c r="AW26" s="479">
        <f>+AN81*$C26</f>
        <v>10.660201270580995</v>
      </c>
      <c r="AX26" s="485">
        <f t="shared" si="219"/>
        <v>20.974260303668618</v>
      </c>
      <c r="AY26" s="479">
        <f>+AP81*$C26</f>
        <v>12.453182578213902</v>
      </c>
      <c r="AZ26" s="479">
        <f>+AQ81*$C26</f>
        <v>13.328706466153733</v>
      </c>
      <c r="BA26" s="485">
        <f t="shared" si="221"/>
        <v>25.781889044367635</v>
      </c>
      <c r="BB26" s="479">
        <f>+AS81*$C26</f>
        <v>15.091904962461346</v>
      </c>
      <c r="BC26" s="479">
        <f>+AT81*$C26</f>
        <v>16.169645316703502</v>
      </c>
      <c r="BD26" s="485">
        <f t="shared" si="223"/>
        <v>31.261550279164847</v>
      </c>
      <c r="BE26" s="479">
        <f>+AV81*$C26</f>
        <v>16.833377329960722</v>
      </c>
      <c r="BF26" s="479">
        <f>+AW81*$C26</f>
        <v>18.049114547303304</v>
      </c>
      <c r="BG26" s="485">
        <f t="shared" si="225"/>
        <v>34.88249187726403</v>
      </c>
      <c r="BJ26" s="51" t="s">
        <v>477</v>
      </c>
      <c r="BK26" s="500" t="s">
        <v>414</v>
      </c>
      <c r="BL26" s="54">
        <f t="shared" si="207"/>
        <v>0</v>
      </c>
      <c r="BM26" s="54">
        <f t="shared" si="207"/>
        <v>0.27700000000000002</v>
      </c>
      <c r="BN26" s="54">
        <f t="shared" si="207"/>
        <v>-0.30800000000000005</v>
      </c>
      <c r="BO26" s="54">
        <f t="shared" si="207"/>
        <v>17.58456140568731</v>
      </c>
      <c r="BP26" s="54">
        <f t="shared" si="207"/>
        <v>18.744505153359</v>
      </c>
      <c r="BQ26" s="54">
        <f t="shared" si="207"/>
        <v>19.681730411026933</v>
      </c>
      <c r="BR26" s="54">
        <f t="shared" si="207"/>
        <v>20.665816931578291</v>
      </c>
      <c r="BS26" s="54">
        <f t="shared" si="207"/>
        <v>21.699107778157213</v>
      </c>
      <c r="BT26" s="54">
        <f t="shared" si="207"/>
        <v>23.969181760815076</v>
      </c>
      <c r="BU26" s="54">
        <f t="shared" si="207"/>
        <v>26.412015372293325</v>
      </c>
      <c r="BV26" s="54">
        <f t="shared" si="207"/>
        <v>29.039209390517357</v>
      </c>
      <c r="BW26" s="54">
        <f t="shared" si="207"/>
        <v>31.863092772133086</v>
      </c>
      <c r="BX26" s="54">
        <f t="shared" si="207"/>
        <v>34.896766468434066</v>
      </c>
      <c r="BY26" s="54">
        <f t="shared" si="207"/>
        <v>38.154149802434858</v>
      </c>
      <c r="CB26" s="53" t="s">
        <v>24</v>
      </c>
      <c r="CE26" s="53">
        <f>+CE22</f>
        <v>159.91249999999999</v>
      </c>
      <c r="CG26" s="53">
        <f>+CE26</f>
        <v>159.91249999999999</v>
      </c>
    </row>
    <row r="27" spans="1:98">
      <c r="B27" s="350" t="s">
        <v>478</v>
      </c>
      <c r="C27" s="504"/>
      <c r="E27" s="485"/>
      <c r="F27" s="479"/>
      <c r="G27" s="380"/>
      <c r="H27" s="485"/>
      <c r="I27" s="479"/>
      <c r="J27" s="479"/>
      <c r="K27" s="485"/>
      <c r="L27" s="479"/>
      <c r="M27" s="479"/>
      <c r="N27" s="485"/>
      <c r="O27" s="501"/>
      <c r="P27" s="501"/>
      <c r="Q27" s="502"/>
      <c r="R27" s="376"/>
      <c r="S27" s="479"/>
      <c r="T27" s="377"/>
      <c r="U27" s="381">
        <f>+U20/W20</f>
        <v>0.44444444444444442</v>
      </c>
      <c r="V27" s="380">
        <f>1-U27</f>
        <v>0.55555555555555558</v>
      </c>
      <c r="W27" s="382"/>
      <c r="X27" s="381">
        <f>+X20/Z20</f>
        <v>0.46534653465346537</v>
      </c>
      <c r="Y27" s="380">
        <f>1-X27</f>
        <v>0.53465346534653468</v>
      </c>
      <c r="Z27" s="377"/>
      <c r="AA27" s="381">
        <f>+AA20/AC20</f>
        <v>0.49918166939443537</v>
      </c>
      <c r="AB27" s="380">
        <f>1-AA27</f>
        <v>0.50081833060556469</v>
      </c>
      <c r="AC27" s="485"/>
      <c r="AD27" s="380">
        <v>0.49</v>
      </c>
      <c r="AE27" s="380">
        <v>0.51</v>
      </c>
      <c r="AF27" s="485"/>
      <c r="AG27" s="380">
        <f>+AD27</f>
        <v>0.49</v>
      </c>
      <c r="AH27" s="380">
        <f>+AE27</f>
        <v>0.51</v>
      </c>
      <c r="AI27" s="485"/>
      <c r="AJ27" s="380">
        <f>+AG27</f>
        <v>0.49</v>
      </c>
      <c r="AK27" s="380">
        <f>+AH27</f>
        <v>0.51</v>
      </c>
      <c r="AL27" s="485"/>
      <c r="AM27" s="380">
        <f t="shared" ref="AM27:AN27" si="226">+AJ27</f>
        <v>0.49</v>
      </c>
      <c r="AN27" s="380">
        <f t="shared" si="226"/>
        <v>0.51</v>
      </c>
      <c r="AO27" s="485"/>
      <c r="AP27" s="383">
        <v>0.48</v>
      </c>
      <c r="AQ27" s="380">
        <f>1-AP27</f>
        <v>0.52</v>
      </c>
      <c r="AR27" s="485"/>
      <c r="AS27" s="380">
        <f t="shared" ref="AS27:AT27" si="227">+AP27</f>
        <v>0.48</v>
      </c>
      <c r="AT27" s="380">
        <f t="shared" si="227"/>
        <v>0.52</v>
      </c>
      <c r="AU27" s="485"/>
      <c r="AV27" s="380">
        <f t="shared" ref="AV27:AW27" si="228">+AS27</f>
        <v>0.48</v>
      </c>
      <c r="AW27" s="380">
        <f t="shared" si="228"/>
        <v>0.52</v>
      </c>
      <c r="AX27" s="485"/>
      <c r="AY27" s="380">
        <f t="shared" ref="AY27:AZ27" si="229">+AV27</f>
        <v>0.48</v>
      </c>
      <c r="AZ27" s="380">
        <f t="shared" si="229"/>
        <v>0.52</v>
      </c>
      <c r="BA27" s="485"/>
      <c r="BB27" s="380">
        <f t="shared" ref="BB27:BC27" si="230">+AY27</f>
        <v>0.48</v>
      </c>
      <c r="BC27" s="380">
        <f t="shared" si="230"/>
        <v>0.52</v>
      </c>
      <c r="BD27" s="485"/>
      <c r="BE27" s="380">
        <f t="shared" ref="BE27:BF27" si="231">+BB27</f>
        <v>0.48</v>
      </c>
      <c r="BF27" s="380">
        <f t="shared" si="231"/>
        <v>0.52</v>
      </c>
      <c r="BG27" s="485"/>
      <c r="CB27" s="53" t="s">
        <v>27</v>
      </c>
      <c r="CD27" s="59">
        <v>0.18</v>
      </c>
      <c r="CE27" s="53">
        <f>+CE$20*CD27</f>
        <v>170.03076923076921</v>
      </c>
      <c r="CI27" s="53" t="s">
        <v>585</v>
      </c>
      <c r="CJ27" s="53">
        <f>+CJ19</f>
        <v>113</v>
      </c>
      <c r="CK27" s="53">
        <f t="shared" ref="CK27:CP27" si="232">+CK19</f>
        <v>123</v>
      </c>
      <c r="CL27" s="53">
        <f t="shared" si="232"/>
        <v>132</v>
      </c>
      <c r="CM27" s="53">
        <f t="shared" si="232"/>
        <v>139</v>
      </c>
      <c r="CN27" s="53">
        <f t="shared" si="232"/>
        <v>151</v>
      </c>
      <c r="CO27" s="53">
        <f t="shared" si="232"/>
        <v>154</v>
      </c>
      <c r="CP27" s="53">
        <f t="shared" si="232"/>
        <v>155</v>
      </c>
      <c r="CQ27" s="53">
        <f>+CR27-SUM($CN$27:$CP$27)</f>
        <v>157.14100000000008</v>
      </c>
      <c r="CR27" s="53">
        <f>+CS27-$CR$20-$CR$21</f>
        <v>617.14100000000008</v>
      </c>
      <c r="CS27" s="53">
        <v>800</v>
      </c>
      <c r="CT27" s="552">
        <f>+CQ27/CP27-1</f>
        <v>1.3812903225806972E-2</v>
      </c>
    </row>
    <row r="28" spans="1:98">
      <c r="B28" s="350"/>
      <c r="C28" s="504"/>
      <c r="E28" s="485"/>
      <c r="F28" s="479"/>
      <c r="G28" s="380"/>
      <c r="H28" s="485"/>
      <c r="I28" s="479"/>
      <c r="J28" s="479"/>
      <c r="K28" s="485"/>
      <c r="L28" s="479"/>
      <c r="M28" s="479"/>
      <c r="N28" s="485"/>
      <c r="O28" s="501"/>
      <c r="P28" s="501"/>
      <c r="Q28" s="502"/>
      <c r="R28" s="376"/>
      <c r="S28" s="479"/>
      <c r="T28" s="377"/>
      <c r="U28" s="381"/>
      <c r="V28" s="380"/>
      <c r="W28" s="382"/>
      <c r="X28" s="381"/>
      <c r="Y28" s="479"/>
      <c r="Z28" s="377"/>
      <c r="AA28" s="381"/>
      <c r="AB28" s="479"/>
      <c r="AC28" s="535">
        <f>AB23/AC20</f>
        <v>0</v>
      </c>
      <c r="AD28" s="489"/>
      <c r="AE28" s="489"/>
      <c r="AF28" s="535">
        <f>AF23/AF20</f>
        <v>1.1379767548118227E-2</v>
      </c>
      <c r="AG28" s="489"/>
      <c r="AH28" s="489"/>
      <c r="AI28" s="535">
        <f>AI23/AI20</f>
        <v>3.6174375236804404E-2</v>
      </c>
      <c r="AJ28" s="479"/>
      <c r="AK28" s="479"/>
      <c r="AL28" s="485"/>
      <c r="AM28" s="479"/>
      <c r="AN28" s="479"/>
      <c r="AO28" s="485"/>
      <c r="AP28" s="479"/>
      <c r="AQ28" s="479"/>
      <c r="AR28" s="485"/>
      <c r="AS28" s="479"/>
      <c r="AT28" s="479"/>
      <c r="AU28" s="485"/>
      <c r="AV28" s="479"/>
      <c r="AW28" s="479"/>
      <c r="AX28" s="485"/>
      <c r="AY28" s="479"/>
      <c r="AZ28" s="479"/>
      <c r="BA28" s="485"/>
      <c r="BB28" s="479"/>
      <c r="BC28" s="479"/>
      <c r="BD28" s="485"/>
      <c r="BE28" s="479"/>
      <c r="BF28" s="479"/>
      <c r="BG28" s="485"/>
      <c r="BJ28" s="51" t="s">
        <v>479</v>
      </c>
      <c r="BK28" s="52" t="s">
        <v>400</v>
      </c>
      <c r="BL28" s="56">
        <f t="shared" ref="BL28:BY31" si="233">+VLOOKUP($BJ28,$A:$BG,MATCH(BL$17,$A$2:$BG$2,FALSE),FALSE)</f>
        <v>0.59293174095542678</v>
      </c>
      <c r="BM28" s="56">
        <f t="shared" si="233"/>
        <v>0.6293839232621975</v>
      </c>
      <c r="BN28" s="56">
        <f t="shared" si="233"/>
        <v>0.65078375610539907</v>
      </c>
      <c r="BO28" s="56">
        <f t="shared" si="233"/>
        <v>0.53029926915015713</v>
      </c>
      <c r="BP28" s="56">
        <f t="shared" si="233"/>
        <v>0.52647554518379058</v>
      </c>
      <c r="BQ28" s="56">
        <f t="shared" si="233"/>
        <v>0.54231882264349573</v>
      </c>
      <c r="BR28" s="56">
        <f t="shared" si="233"/>
        <v>0.55609974779726101</v>
      </c>
      <c r="BS28" s="56">
        <f t="shared" si="233"/>
        <v>0.58572510460278959</v>
      </c>
      <c r="BT28" s="56">
        <f t="shared" si="233"/>
        <v>0.60577308196720692</v>
      </c>
      <c r="BU28" s="56">
        <f t="shared" si="233"/>
        <v>0.62041786741156035</v>
      </c>
      <c r="BV28" s="56">
        <f t="shared" si="233"/>
        <v>0.63322021425370578</v>
      </c>
      <c r="BW28" s="56">
        <f t="shared" si="233"/>
        <v>0.64417413607954865</v>
      </c>
      <c r="BX28" s="56">
        <f t="shared" si="233"/>
        <v>0.65404252785630601</v>
      </c>
      <c r="BY28" s="56">
        <f t="shared" si="233"/>
        <v>0.66267930625228988</v>
      </c>
      <c r="CB28" s="53" t="s">
        <v>480</v>
      </c>
      <c r="CD28" s="59">
        <v>0.03</v>
      </c>
      <c r="CE28" s="53">
        <f t="shared" ref="CE28:CE29" si="234">+CE$20*CD28</f>
        <v>28.338461538461534</v>
      </c>
      <c r="CI28" s="53" t="s">
        <v>607</v>
      </c>
      <c r="CP28" s="53">
        <f>+CP27</f>
        <v>155</v>
      </c>
      <c r="CQ28" s="53">
        <f t="shared" ref="CQ28:CQ30" si="235">+CR28-SUM($CN$27:$CP$27)</f>
        <v>167.14100000000008</v>
      </c>
      <c r="CR28" s="53">
        <f t="shared" ref="CR28:CR30" si="236">+CS28-$CR$20-$CR$21</f>
        <v>627.14100000000008</v>
      </c>
      <c r="CS28" s="53">
        <v>810</v>
      </c>
      <c r="CT28" s="552">
        <f t="shared" ref="CT28:CT29" si="237">+CQ28/CP28-1</f>
        <v>7.8329032258064979E-2</v>
      </c>
    </row>
    <row r="29" spans="1:98">
      <c r="A29" s="51" t="s">
        <v>119</v>
      </c>
      <c r="B29" s="368" t="s">
        <v>117</v>
      </c>
      <c r="C29" s="384"/>
      <c r="D29" s="369"/>
      <c r="E29" s="370"/>
      <c r="F29" s="371"/>
      <c r="G29" s="371"/>
      <c r="H29" s="370"/>
      <c r="I29" s="371"/>
      <c r="J29" s="371"/>
      <c r="K29" s="370"/>
      <c r="L29" s="371"/>
      <c r="M29" s="371"/>
      <c r="N29" s="370"/>
      <c r="O29" s="372"/>
      <c r="P29" s="372"/>
      <c r="Q29" s="373"/>
      <c r="R29" s="374">
        <v>1.5349999999999999</v>
      </c>
      <c r="S29" s="371">
        <f>T29-R29</f>
        <v>2.1920000000000002</v>
      </c>
      <c r="T29" s="375">
        <v>3.7269999999999999</v>
      </c>
      <c r="U29" s="374">
        <v>1.359</v>
      </c>
      <c r="V29" s="371">
        <f>W29-U29</f>
        <v>2.137</v>
      </c>
      <c r="W29" s="375">
        <v>3.496</v>
      </c>
      <c r="X29" s="374">
        <v>2.839</v>
      </c>
      <c r="Y29" s="371">
        <f>Z29-X29</f>
        <v>3.387</v>
      </c>
      <c r="Z29" s="375">
        <v>6.226</v>
      </c>
      <c r="AA29" s="374">
        <v>3.9940000000000002</v>
      </c>
      <c r="AB29" s="371">
        <f>+SUM(AB30:AB33)</f>
        <v>4</v>
      </c>
      <c r="AC29" s="370">
        <f t="shared" ref="AC29" si="238">+SUM(AA29:AB29)</f>
        <v>7.9939999999999998</v>
      </c>
      <c r="AD29" s="371">
        <f>+SUM(AD30:AD33)</f>
        <v>4.2</v>
      </c>
      <c r="AE29" s="371">
        <f>+SUM(AE30:AE33)</f>
        <v>4.2</v>
      </c>
      <c r="AF29" s="370">
        <f t="shared" ref="AF29" si="239">+SUM(AD29:AE29)</f>
        <v>8.4</v>
      </c>
      <c r="AG29" s="371">
        <f>+SUM(AG30:AG33)</f>
        <v>4.41</v>
      </c>
      <c r="AH29" s="371">
        <f>+SUM(AH30:AH33)</f>
        <v>4.41</v>
      </c>
      <c r="AI29" s="370">
        <f t="shared" ref="AI29" si="240">+SUM(AG29:AH29)</f>
        <v>8.82</v>
      </c>
      <c r="AJ29" s="371">
        <f>+SUM(AJ30:AJ33)</f>
        <v>4.6305030515255261</v>
      </c>
      <c r="AK29" s="371">
        <f>+SUM(AK30:AK33)</f>
        <v>4.630503176077589</v>
      </c>
      <c r="AL29" s="370">
        <f t="shared" ref="AL29" si="241">+SUM(AJ29:AK29)</f>
        <v>9.2610062276031151</v>
      </c>
      <c r="AM29" s="371">
        <f>+SUM(AM30:AM33)</f>
        <v>87.270661728814488</v>
      </c>
      <c r="AN29" s="371">
        <f>+SUM(AN30:AN33)</f>
        <v>90.634279554480372</v>
      </c>
      <c r="AO29" s="370">
        <f t="shared" ref="AO29" si="242">+SUM(AM29:AN29)</f>
        <v>177.90494128329487</v>
      </c>
      <c r="AP29" s="371">
        <f>+SUM(AP30:AP33)</f>
        <v>150.59634794397351</v>
      </c>
      <c r="AQ29" s="371">
        <f>+SUM(AQ30:AQ33)</f>
        <v>162.03814495918499</v>
      </c>
      <c r="AR29" s="370">
        <f t="shared" ref="AR29" si="243">+SUM(AP29:AQ29)</f>
        <v>312.6344929031585</v>
      </c>
      <c r="AS29" s="371">
        <f>+SUM(AS30:AS33)</f>
        <v>206.85322773693105</v>
      </c>
      <c r="AT29" s="371">
        <f>+SUM(AT30:AT33)</f>
        <v>222.88214574411177</v>
      </c>
      <c r="AU29" s="370">
        <f t="shared" ref="AU29" si="244">+SUM(AS29:AT29)</f>
        <v>429.73537348104281</v>
      </c>
      <c r="AV29" s="371">
        <f>+SUM(AV30:AV33)</f>
        <v>268.47957605536749</v>
      </c>
      <c r="AW29" s="371">
        <f>+SUM(AW30:AW33)</f>
        <v>289.43045274789159</v>
      </c>
      <c r="AX29" s="370">
        <f t="shared" ref="AX29" si="245">+SUM(AV29:AW29)</f>
        <v>557.91002880325914</v>
      </c>
      <c r="AY29" s="371">
        <f>+SUM(AY30:AY33)</f>
        <v>330.24196547782742</v>
      </c>
      <c r="AZ29" s="371">
        <f>+SUM(AZ30:AZ33)</f>
        <v>356.99924190819792</v>
      </c>
      <c r="BA29" s="370">
        <f t="shared" ref="BA29" si="246">+SUM(AY29:AZ29)</f>
        <v>687.24120738602528</v>
      </c>
      <c r="BB29" s="371">
        <f>+SUM(BB30:BB33)</f>
        <v>395.2748644337571</v>
      </c>
      <c r="BC29" s="371">
        <f>+SUM(BC30:BC33)</f>
        <v>427.42744947563295</v>
      </c>
      <c r="BD29" s="370">
        <f t="shared" ref="BD29" si="247">+SUM(BB29:BC29)</f>
        <v>822.70231390939011</v>
      </c>
      <c r="BE29" s="371">
        <f>+SUM(BE30:BE33)</f>
        <v>458.51734235195698</v>
      </c>
      <c r="BF29" s="371">
        <f>+SUM(BF30:BF33)</f>
        <v>495.90358966546302</v>
      </c>
      <c r="BG29" s="370">
        <f t="shared" ref="BG29" si="248">+SUM(BE29:BF29)</f>
        <v>954.42093201742</v>
      </c>
      <c r="BJ29" s="51" t="s">
        <v>481</v>
      </c>
      <c r="BK29" s="500" t="s">
        <v>99</v>
      </c>
      <c r="BL29" s="473">
        <f t="shared" si="233"/>
        <v>0.58322941247945559</v>
      </c>
      <c r="BM29" s="473">
        <f t="shared" si="233"/>
        <v>0.62513631323947083</v>
      </c>
      <c r="BN29" s="473">
        <f t="shared" si="233"/>
        <v>0.64943914353363175</v>
      </c>
      <c r="BO29" s="473">
        <f t="shared" si="233"/>
        <v>0.64412510013569402</v>
      </c>
      <c r="BP29" s="473">
        <f t="shared" si="233"/>
        <v>0.64</v>
      </c>
      <c r="BQ29" s="473">
        <f t="shared" si="233"/>
        <v>0.65</v>
      </c>
      <c r="BR29" s="473">
        <f t="shared" si="233"/>
        <v>0.66</v>
      </c>
      <c r="BS29" s="473">
        <f t="shared" si="233"/>
        <v>0.65999999999999992</v>
      </c>
      <c r="BT29" s="473">
        <f t="shared" si="233"/>
        <v>0.66500000000000004</v>
      </c>
      <c r="BU29" s="473">
        <f t="shared" si="233"/>
        <v>0.66999999999999993</v>
      </c>
      <c r="BV29" s="473">
        <f t="shared" si="233"/>
        <v>0.67499999999999993</v>
      </c>
      <c r="BW29" s="473">
        <f t="shared" si="233"/>
        <v>0.67999999999999994</v>
      </c>
      <c r="BX29" s="473">
        <f t="shared" si="233"/>
        <v>0.68499999999999994</v>
      </c>
      <c r="BY29" s="473">
        <f t="shared" si="233"/>
        <v>0.69000000000000006</v>
      </c>
      <c r="CB29" s="53" t="s">
        <v>33</v>
      </c>
      <c r="CD29" s="59">
        <v>0.14000000000000001</v>
      </c>
      <c r="CE29" s="53">
        <f t="shared" si="234"/>
        <v>132.24615384615385</v>
      </c>
      <c r="CG29" s="53">
        <f>36%*CG18</f>
        <v>289.58433153782363</v>
      </c>
      <c r="CI29" s="53" t="s">
        <v>586</v>
      </c>
      <c r="CP29" s="53">
        <f>+CP28</f>
        <v>155</v>
      </c>
      <c r="CQ29" s="53">
        <f t="shared" si="235"/>
        <v>177.14100000000008</v>
      </c>
      <c r="CR29" s="53">
        <f t="shared" si="236"/>
        <v>637.14100000000008</v>
      </c>
      <c r="CS29" s="53">
        <v>820</v>
      </c>
      <c r="CT29" s="552">
        <f t="shared" si="237"/>
        <v>0.14284516129032299</v>
      </c>
    </row>
    <row r="30" spans="1:98">
      <c r="A30" s="51" t="s">
        <v>410</v>
      </c>
      <c r="B30" s="350" t="s">
        <v>411</v>
      </c>
      <c r="C30" s="504"/>
      <c r="E30" s="485"/>
      <c r="F30" s="479"/>
      <c r="G30" s="479"/>
      <c r="H30" s="485"/>
      <c r="I30" s="479"/>
      <c r="J30" s="479"/>
      <c r="K30" s="485"/>
      <c r="L30" s="479"/>
      <c r="M30" s="479"/>
      <c r="N30" s="485"/>
      <c r="O30" s="501"/>
      <c r="P30" s="501"/>
      <c r="Q30" s="502"/>
      <c r="R30" s="376"/>
      <c r="S30" s="479"/>
      <c r="T30" s="377"/>
      <c r="U30" s="376"/>
      <c r="V30" s="479"/>
      <c r="W30" s="377"/>
      <c r="X30" s="376"/>
      <c r="Y30" s="479"/>
      <c r="Z30" s="377"/>
      <c r="AA30" s="376"/>
      <c r="AB30" s="479"/>
      <c r="AC30" s="485"/>
      <c r="AD30" s="479"/>
      <c r="AE30" s="479"/>
      <c r="AF30" s="485"/>
      <c r="AG30" s="479"/>
      <c r="AH30" s="479"/>
      <c r="AI30" s="485"/>
      <c r="AJ30" s="479">
        <f>+AJ27*AL30</f>
        <v>3.0515255259155622E-6</v>
      </c>
      <c r="AK30" s="479">
        <f>+AL30-AJ30</f>
        <v>3.1760775881978305E-6</v>
      </c>
      <c r="AL30" s="503">
        <v>6.2276031141133927E-6</v>
      </c>
      <c r="AM30" s="479">
        <f t="shared" ref="AM30" si="249">+AM27*AO30</f>
        <v>63.272694640817875</v>
      </c>
      <c r="AN30" s="479">
        <f t="shared" ref="AN30" si="250">+AO30-AM30</f>
        <v>65.855253605749212</v>
      </c>
      <c r="AO30" s="503">
        <v>129.12794824656709</v>
      </c>
      <c r="AP30" s="479">
        <f t="shared" ref="AP30" si="251">+AP27*AR30</f>
        <v>100.47999115430355</v>
      </c>
      <c r="AQ30" s="479">
        <f t="shared" ref="AQ30" si="252">+AR30-AP30</f>
        <v>108.85332375049552</v>
      </c>
      <c r="AR30" s="503">
        <v>209.33331490479907</v>
      </c>
      <c r="AS30" s="479">
        <f t="shared" ref="AS30" si="253">+AS27*AU30</f>
        <v>140.65819744671327</v>
      </c>
      <c r="AT30" s="479">
        <f t="shared" ref="AT30" si="254">+AU30-AS30</f>
        <v>152.37971390060605</v>
      </c>
      <c r="AU30" s="503">
        <v>293.03791134731932</v>
      </c>
      <c r="AV30" s="479">
        <f t="shared" ref="AV30" si="255">+AV27*AX30</f>
        <v>182.56913296179002</v>
      </c>
      <c r="AW30" s="479">
        <f t="shared" ref="AW30" si="256">+AX30-AV30</f>
        <v>197.78322737527256</v>
      </c>
      <c r="AX30" s="503">
        <v>380.35236033706258</v>
      </c>
      <c r="AY30" s="479">
        <f t="shared" ref="AY30" si="257">+AY27*BA30</f>
        <v>226.26608099507612</v>
      </c>
      <c r="AZ30" s="479">
        <f t="shared" ref="AZ30" si="258">+BA30-AY30</f>
        <v>245.12158774466585</v>
      </c>
      <c r="BA30" s="503">
        <v>471.38766873974197</v>
      </c>
      <c r="BB30" s="479">
        <f t="shared" ref="BB30" si="259">+BB27*BD30</f>
        <v>271.81436548375234</v>
      </c>
      <c r="BC30" s="479">
        <f t="shared" ref="BC30" si="260">+BD30-BB30</f>
        <v>294.4655626073984</v>
      </c>
      <c r="BD30" s="503">
        <v>566.27992809115074</v>
      </c>
      <c r="BE30" s="479">
        <f t="shared" ref="BE30" si="261">+BE27*BG30</f>
        <v>319.25211228130951</v>
      </c>
      <c r="BF30" s="479">
        <f t="shared" ref="BF30" si="262">+BG30-BE30</f>
        <v>345.8564549714186</v>
      </c>
      <c r="BG30" s="503">
        <v>665.10856725272811</v>
      </c>
      <c r="BJ30" s="51" t="s">
        <v>482</v>
      </c>
      <c r="BK30" s="500" t="s">
        <v>117</v>
      </c>
      <c r="BL30" s="473"/>
      <c r="BM30" s="473"/>
      <c r="BN30" s="473"/>
      <c r="BO30" s="473"/>
      <c r="BP30" s="473"/>
      <c r="BQ30" s="473"/>
      <c r="BR30" s="473">
        <f t="shared" si="233"/>
        <v>0.75</v>
      </c>
      <c r="BS30" s="473">
        <f t="shared" si="233"/>
        <v>0.75</v>
      </c>
      <c r="BT30" s="473">
        <f t="shared" si="233"/>
        <v>0.755</v>
      </c>
      <c r="BU30" s="473">
        <f t="shared" si="233"/>
        <v>0.76000000000000012</v>
      </c>
      <c r="BV30" s="473">
        <f t="shared" si="233"/>
        <v>0.76500000000000001</v>
      </c>
      <c r="BW30" s="473">
        <f t="shared" si="233"/>
        <v>0.77</v>
      </c>
      <c r="BX30" s="473">
        <f t="shared" si="233"/>
        <v>0.77500000000000002</v>
      </c>
      <c r="BY30" s="473">
        <f t="shared" si="233"/>
        <v>0.78</v>
      </c>
      <c r="CB30" s="53" t="s">
        <v>18</v>
      </c>
      <c r="CE30" s="53">
        <f>+CE25-SUM(CE26:CE29)</f>
        <v>104.57980769230761</v>
      </c>
      <c r="CG30" s="54"/>
      <c r="CQ30" s="53">
        <f t="shared" si="235"/>
        <v>161.54192093839913</v>
      </c>
      <c r="CR30" s="53">
        <f t="shared" si="236"/>
        <v>621.54192093839913</v>
      </c>
      <c r="CS30" s="251">
        <f>+AC17</f>
        <v>804.40092093839905</v>
      </c>
    </row>
    <row r="31" spans="1:98">
      <c r="A31" s="51" t="s">
        <v>408</v>
      </c>
      <c r="B31" s="350" t="s">
        <v>409</v>
      </c>
      <c r="E31" s="485"/>
      <c r="F31" s="479"/>
      <c r="G31" s="479"/>
      <c r="H31" s="485"/>
      <c r="I31" s="479"/>
      <c r="J31" s="479"/>
      <c r="K31" s="485"/>
      <c r="L31" s="479"/>
      <c r="M31" s="479"/>
      <c r="N31" s="485"/>
      <c r="O31" s="501"/>
      <c r="P31" s="501"/>
      <c r="Q31" s="502"/>
      <c r="R31" s="376"/>
      <c r="S31" s="479"/>
      <c r="T31" s="377"/>
      <c r="U31" s="376"/>
      <c r="V31" s="376"/>
      <c r="W31" s="485"/>
      <c r="X31" s="376"/>
      <c r="Y31" s="376"/>
      <c r="Z31" s="485"/>
      <c r="AA31" s="376"/>
      <c r="AB31" s="479">
        <f>+AC31-AA31</f>
        <v>0</v>
      </c>
      <c r="AC31" s="503">
        <v>0</v>
      </c>
      <c r="AD31" s="479">
        <f>+AF31*AD$27</f>
        <v>0</v>
      </c>
      <c r="AE31" s="479">
        <f>+AF31-AD31</f>
        <v>0</v>
      </c>
      <c r="AF31" s="503">
        <v>0</v>
      </c>
      <c r="AG31" s="479">
        <f>+AI31*AG$27</f>
        <v>0</v>
      </c>
      <c r="AH31" s="479">
        <f>+AI31-AG31</f>
        <v>0</v>
      </c>
      <c r="AI31" s="503">
        <v>0</v>
      </c>
      <c r="AJ31" s="479">
        <f>+AL31*AJ$27</f>
        <v>0</v>
      </c>
      <c r="AK31" s="479">
        <f>+AL31-AJ31</f>
        <v>0</v>
      </c>
      <c r="AL31" s="503">
        <v>0</v>
      </c>
      <c r="AM31" s="479">
        <f>+AO31*AM$27</f>
        <v>19.135942087996607</v>
      </c>
      <c r="AN31" s="479">
        <f>+AO31-AM31</f>
        <v>19.917000948731161</v>
      </c>
      <c r="AO31" s="503">
        <v>39.052943036727768</v>
      </c>
      <c r="AP31" s="479">
        <f>+AR31*AP$27</f>
        <v>31.897953385255477</v>
      </c>
      <c r="AQ31" s="479">
        <f>+AR31-AP31</f>
        <v>34.556116167360102</v>
      </c>
      <c r="AR31" s="503">
        <v>66.454069552615579</v>
      </c>
      <c r="AS31" s="479">
        <f>+AU31*AS$27</f>
        <v>46.007851759522858</v>
      </c>
      <c r="AT31" s="479">
        <f>+AU31-AS31</f>
        <v>49.841839406149766</v>
      </c>
      <c r="AU31" s="503">
        <v>95.849691165672624</v>
      </c>
      <c r="AV31" s="479">
        <f>+AX31*AV$27</f>
        <v>61.127360341504009</v>
      </c>
      <c r="AW31" s="479">
        <f>+AX31-AV31</f>
        <v>66.221307036629355</v>
      </c>
      <c r="AX31" s="503">
        <v>127.34866737813336</v>
      </c>
      <c r="AY31" s="479">
        <f>+BA31*AY$27</f>
        <v>77.310758410571893</v>
      </c>
      <c r="AZ31" s="479">
        <f>+BA31-AY31</f>
        <v>83.753321611452876</v>
      </c>
      <c r="BA31" s="503">
        <v>161.06408002202477</v>
      </c>
      <c r="BB31" s="479">
        <f>+BD31*BB$27</f>
        <v>94.617328642398661</v>
      </c>
      <c r="BC31" s="479">
        <f>+BD31-BB31</f>
        <v>102.50210602926524</v>
      </c>
      <c r="BD31" s="503">
        <v>197.1194346716639</v>
      </c>
      <c r="BE31" s="479">
        <f>+BG31*BE$27</f>
        <v>107.49958556859667</v>
      </c>
      <c r="BF31" s="479">
        <f>+BG31-BE31</f>
        <v>116.45788436597974</v>
      </c>
      <c r="BG31" s="503">
        <v>223.95746993457641</v>
      </c>
      <c r="BJ31" s="51" t="s">
        <v>483</v>
      </c>
      <c r="BK31" s="500" t="s">
        <v>414</v>
      </c>
      <c r="BL31" s="473">
        <f t="shared" ref="BL31:BQ31" si="263">+VLOOKUP($BJ31,$A:$BG,MATCH(BL$17,$A$2:$BG$2,FALSE),FALSE)</f>
        <v>0</v>
      </c>
      <c r="BM31" s="473">
        <f t="shared" si="263"/>
        <v>1</v>
      </c>
      <c r="BN31" s="473">
        <f t="shared" si="263"/>
        <v>-0.16951018161805176</v>
      </c>
      <c r="BO31" s="473">
        <f t="shared" si="263"/>
        <v>0.10133441713644506</v>
      </c>
      <c r="BP31" s="473">
        <f t="shared" si="263"/>
        <v>9.6125667453123079E-2</v>
      </c>
      <c r="BQ31" s="473">
        <f t="shared" si="263"/>
        <v>9.6125667453122982E-2</v>
      </c>
      <c r="BR31" s="473">
        <f t="shared" si="233"/>
        <v>9.6125667453123037E-2</v>
      </c>
      <c r="BS31" s="473">
        <f t="shared" si="233"/>
        <v>9.6125667453123065E-2</v>
      </c>
      <c r="BT31" s="473">
        <f t="shared" si="233"/>
        <v>0.10112566745312307</v>
      </c>
      <c r="BU31" s="473">
        <f t="shared" si="233"/>
        <v>0.10612566745312303</v>
      </c>
      <c r="BV31" s="473">
        <f t="shared" si="233"/>
        <v>0.11112566745312298</v>
      </c>
      <c r="BW31" s="473">
        <f t="shared" si="233"/>
        <v>0.11612566745312307</v>
      </c>
      <c r="BX31" s="473">
        <f t="shared" si="233"/>
        <v>0.121125667453123</v>
      </c>
      <c r="BY31" s="473">
        <f t="shared" si="233"/>
        <v>0.12612566745312312</v>
      </c>
      <c r="CB31" s="53" t="s">
        <v>484</v>
      </c>
      <c r="CE31" s="251">
        <f>+AC202</f>
        <v>34.870941291598356</v>
      </c>
      <c r="CQ31" s="550">
        <f>+CQ30/CP29-1</f>
        <v>4.22059415380589E-2</v>
      </c>
    </row>
    <row r="32" spans="1:98">
      <c r="B32" s="350" t="s">
        <v>476</v>
      </c>
      <c r="C32" s="385">
        <f>+C26</f>
        <v>0.2</v>
      </c>
      <c r="E32" s="485"/>
      <c r="F32" s="479"/>
      <c r="G32" s="479"/>
      <c r="H32" s="485"/>
      <c r="I32" s="479"/>
      <c r="J32" s="479"/>
      <c r="K32" s="485"/>
      <c r="L32" s="479"/>
      <c r="M32" s="479"/>
      <c r="N32" s="485"/>
      <c r="O32" s="501"/>
      <c r="P32" s="501"/>
      <c r="Q32" s="502"/>
      <c r="R32" s="376"/>
      <c r="S32" s="479"/>
      <c r="T32" s="377"/>
      <c r="U32" s="376"/>
      <c r="V32" s="479"/>
      <c r="W32" s="377"/>
      <c r="X32" s="376"/>
      <c r="Y32" s="479"/>
      <c r="Z32" s="377"/>
      <c r="AA32" s="376"/>
      <c r="AB32" s="479"/>
      <c r="AC32" s="485"/>
      <c r="AD32" s="479"/>
      <c r="AE32" s="479"/>
      <c r="AF32" s="485"/>
      <c r="AG32" s="479"/>
      <c r="AH32" s="479"/>
      <c r="AI32" s="485"/>
      <c r="AJ32" s="479"/>
      <c r="AK32" s="479"/>
      <c r="AL32" s="503"/>
      <c r="AM32" s="479"/>
      <c r="AN32" s="479"/>
      <c r="AO32" s="503"/>
      <c r="AP32" s="479">
        <f>+AG86*$C32</f>
        <v>13.113277154414476</v>
      </c>
      <c r="AQ32" s="479">
        <f>+AH86*$C32</f>
        <v>13.523578791329355</v>
      </c>
      <c r="AR32" s="503">
        <f t="shared" ref="AR32:AR33" si="264">+SUM(AP32:AQ32)</f>
        <v>26.636855945743832</v>
      </c>
      <c r="AS32" s="479">
        <f>+AJ86*$C32</f>
        <v>14.826795968194919</v>
      </c>
      <c r="AT32" s="479">
        <f>+AK86*$C32</f>
        <v>15.300209874855936</v>
      </c>
      <c r="AU32" s="503">
        <f t="shared" ref="AU32" si="265">+SUM(AS32:AT32)</f>
        <v>30.127005843050853</v>
      </c>
      <c r="AV32" s="479">
        <f>+AM86*$C32</f>
        <v>19.154681061448443</v>
      </c>
      <c r="AW32" s="479">
        <f>+AN86*$C32</f>
        <v>19.797516645364709</v>
      </c>
      <c r="AX32" s="503">
        <f t="shared" ref="AX32" si="266">+SUM(AV32:AW32)</f>
        <v>38.952197706813152</v>
      </c>
      <c r="AY32" s="479">
        <f>+AP86*$C32</f>
        <v>20.755304297023173</v>
      </c>
      <c r="AZ32" s="479">
        <f>+AQ86*$C32</f>
        <v>22.214510776922893</v>
      </c>
      <c r="BA32" s="503">
        <f t="shared" ref="BA32" si="267">+SUM(AY32:AZ32)</f>
        <v>42.969815073946066</v>
      </c>
      <c r="BB32" s="479">
        <f>+AS86*$C32</f>
        <v>22.637857443692017</v>
      </c>
      <c r="BC32" s="479">
        <f>+AT86*$C32</f>
        <v>24.254467975055249</v>
      </c>
      <c r="BD32" s="503">
        <f t="shared" ref="BD32" si="268">+SUM(BB32:BC32)</f>
        <v>46.892325418747262</v>
      </c>
      <c r="BE32" s="479">
        <f>+AV86*$C32</f>
        <v>25.250065994941082</v>
      </c>
      <c r="BF32" s="479">
        <f>+AW86*$C32</f>
        <v>27.073671820954957</v>
      </c>
      <c r="BG32" s="503">
        <f t="shared" ref="BG32" si="269">+SUM(BE32:BF32)</f>
        <v>52.323737815896038</v>
      </c>
      <c r="CB32" s="53" t="s">
        <v>51</v>
      </c>
      <c r="CE32" s="251">
        <f>+CE30-CE31</f>
        <v>69.708866400709255</v>
      </c>
    </row>
    <row r="33" spans="1:94">
      <c r="B33" s="350" t="s">
        <v>52</v>
      </c>
      <c r="C33" s="504"/>
      <c r="E33" s="485"/>
      <c r="F33" s="479"/>
      <c r="G33" s="479"/>
      <c r="H33" s="485"/>
      <c r="I33" s="479"/>
      <c r="J33" s="479"/>
      <c r="K33" s="485"/>
      <c r="L33" s="479"/>
      <c r="M33" s="479"/>
      <c r="N33" s="485"/>
      <c r="O33" s="501"/>
      <c r="P33" s="501"/>
      <c r="Q33" s="502"/>
      <c r="R33" s="376"/>
      <c r="S33" s="479"/>
      <c r="T33" s="377"/>
      <c r="U33" s="376"/>
      <c r="V33" s="479"/>
      <c r="W33" s="377"/>
      <c r="X33" s="376"/>
      <c r="Y33" s="479"/>
      <c r="Z33" s="377"/>
      <c r="AA33" s="376"/>
      <c r="AB33" s="479">
        <v>4</v>
      </c>
      <c r="AC33" s="485">
        <f>+SUM(AA33:AB33)</f>
        <v>4</v>
      </c>
      <c r="AD33" s="363">
        <v>4.2</v>
      </c>
      <c r="AE33" s="363">
        <f>+AD33</f>
        <v>4.2</v>
      </c>
      <c r="AF33" s="485">
        <f>+SUM(AD33:AE33)</f>
        <v>8.4</v>
      </c>
      <c r="AG33" s="479">
        <f>+AD33*(1+AG43)</f>
        <v>4.41</v>
      </c>
      <c r="AH33" s="479">
        <f>+AE33*(1+AH43)</f>
        <v>4.41</v>
      </c>
      <c r="AI33" s="485">
        <f t="shared" ref="AI33" si="270">+SUM(AG33:AH33)</f>
        <v>8.82</v>
      </c>
      <c r="AJ33" s="479">
        <f>+AG33*(1+AJ43)</f>
        <v>4.6305000000000005</v>
      </c>
      <c r="AK33" s="479">
        <f>+AH33*(1+AK43)</f>
        <v>4.6305000000000005</v>
      </c>
      <c r="AL33" s="503">
        <f t="shared" ref="AL33" si="271">+SUM(AJ33:AK33)</f>
        <v>9.261000000000001</v>
      </c>
      <c r="AM33" s="479">
        <f>+AJ33*(1+AM43)</f>
        <v>4.8620250000000009</v>
      </c>
      <c r="AN33" s="479">
        <f>+AK33*(1+AN43)</f>
        <v>4.8620250000000009</v>
      </c>
      <c r="AO33" s="503">
        <f t="shared" ref="AO33" si="272">+SUM(AM33:AN33)</f>
        <v>9.7240500000000019</v>
      </c>
      <c r="AP33" s="479">
        <f>+AM33*(1+AP43)</f>
        <v>5.1051262500000014</v>
      </c>
      <c r="AQ33" s="479">
        <f>+AN33*(1+AQ43)</f>
        <v>5.1051262500000014</v>
      </c>
      <c r="AR33" s="503">
        <f t="shared" si="264"/>
        <v>10.210252500000003</v>
      </c>
      <c r="AS33" s="479">
        <f>+AP33*(1+AS43)</f>
        <v>5.3603825625000017</v>
      </c>
      <c r="AT33" s="479">
        <f>+AQ33*(1+AT43)</f>
        <v>5.3603825625000017</v>
      </c>
      <c r="AU33" s="503">
        <f t="shared" ref="AU33" si="273">+SUM(AS33:AT33)</f>
        <v>10.720765125000003</v>
      </c>
      <c r="AV33" s="479">
        <f>+AS33*(1+AV43)</f>
        <v>5.6284016906250018</v>
      </c>
      <c r="AW33" s="479">
        <f>+AT33*(1+AW43)</f>
        <v>5.6284016906250018</v>
      </c>
      <c r="AX33" s="503">
        <f t="shared" ref="AX33" si="274">+SUM(AV33:AW33)</f>
        <v>11.256803381250004</v>
      </c>
      <c r="AY33" s="479">
        <f>+AV33*(1+AY43)</f>
        <v>5.9098217751562521</v>
      </c>
      <c r="AZ33" s="479">
        <f>+AW33*(1+AZ43)</f>
        <v>5.9098217751562521</v>
      </c>
      <c r="BA33" s="503">
        <f t="shared" ref="BA33" si="275">+SUM(AY33:AZ33)</f>
        <v>11.819643550312504</v>
      </c>
      <c r="BB33" s="479">
        <f>+AY33*(1+BB43)</f>
        <v>6.2053128639140649</v>
      </c>
      <c r="BC33" s="479">
        <f>+AZ33*(1+BC43)</f>
        <v>6.2053128639140649</v>
      </c>
      <c r="BD33" s="503">
        <f t="shared" ref="BD33" si="276">+SUM(BB33:BC33)</f>
        <v>12.41062572782813</v>
      </c>
      <c r="BE33" s="479">
        <f>+BB33*(1+BE43)</f>
        <v>6.515578507109768</v>
      </c>
      <c r="BF33" s="479">
        <f>+BC33*(1+BF43)</f>
        <v>6.515578507109768</v>
      </c>
      <c r="BG33" s="503">
        <f t="shared" ref="BG33" si="277">+SUM(BE33:BF33)</f>
        <v>13.031157014219536</v>
      </c>
      <c r="BK33" s="386" t="s">
        <v>485</v>
      </c>
      <c r="CB33" s="53" t="s">
        <v>54</v>
      </c>
      <c r="CD33" s="295">
        <v>0.23499999999999999</v>
      </c>
      <c r="CE33" s="53">
        <f>+CE32*CD33</f>
        <v>16.381583604166675</v>
      </c>
    </row>
    <row r="34" spans="1:94">
      <c r="B34" s="500"/>
      <c r="E34" s="485"/>
      <c r="F34" s="479"/>
      <c r="G34" s="479"/>
      <c r="H34" s="485"/>
      <c r="I34" s="479"/>
      <c r="J34" s="479"/>
      <c r="K34" s="485"/>
      <c r="L34" s="479"/>
      <c r="M34" s="479"/>
      <c r="N34" s="485"/>
      <c r="O34" s="501"/>
      <c r="P34" s="501"/>
      <c r="Q34" s="502"/>
      <c r="R34" s="376"/>
      <c r="S34" s="479"/>
      <c r="T34" s="377"/>
      <c r="U34" s="376"/>
      <c r="V34" s="479"/>
      <c r="W34" s="377"/>
      <c r="X34" s="376"/>
      <c r="Y34" s="479"/>
      <c r="Z34" s="377"/>
      <c r="AA34" s="376"/>
      <c r="AB34" s="479"/>
      <c r="AC34" s="485"/>
      <c r="AD34" s="479"/>
      <c r="AE34" s="479"/>
      <c r="AF34" s="485"/>
      <c r="AG34" s="479"/>
      <c r="AH34" s="479"/>
      <c r="AI34" s="485"/>
      <c r="AJ34" s="479"/>
      <c r="AK34" s="479"/>
      <c r="AL34" s="485"/>
      <c r="AM34" s="479"/>
      <c r="AN34" s="479"/>
      <c r="AO34" s="485"/>
      <c r="AP34" s="479"/>
      <c r="AQ34" s="479"/>
      <c r="AR34" s="485"/>
      <c r="AS34" s="479"/>
      <c r="AT34" s="479"/>
      <c r="AU34" s="485"/>
      <c r="AV34" s="479"/>
      <c r="AW34" s="479"/>
      <c r="AX34" s="485"/>
      <c r="AY34" s="479"/>
      <c r="AZ34" s="479"/>
      <c r="BA34" s="485"/>
      <c r="BB34" s="479"/>
      <c r="BC34" s="479"/>
      <c r="BD34" s="485"/>
      <c r="BE34" s="479"/>
      <c r="BF34" s="479"/>
      <c r="BG34" s="485"/>
      <c r="BJ34" s="51" t="s">
        <v>23</v>
      </c>
      <c r="BK34" s="500" t="s">
        <v>24</v>
      </c>
      <c r="BL34" s="54">
        <f t="shared" ref="BL34:BY36" si="278">+VLOOKUP($BJ34,$A:$BG,MATCH(BL$17,$A$2:$BG$2,FALSE),FALSE)</f>
        <v>81.007999999999996</v>
      </c>
      <c r="BM34" s="54">
        <f t="shared" si="278"/>
        <v>85.314999999999998</v>
      </c>
      <c r="BN34" s="54">
        <f t="shared" si="278"/>
        <v>127.92999999999999</v>
      </c>
      <c r="BO34" s="54">
        <f t="shared" si="278"/>
        <v>160.05099999999999</v>
      </c>
      <c r="BP34" s="54">
        <f t="shared" si="278"/>
        <v>178</v>
      </c>
      <c r="BQ34" s="54">
        <f t="shared" si="278"/>
        <v>204.89889189033715</v>
      </c>
      <c r="BR34" s="54">
        <f t="shared" si="278"/>
        <v>231.74619879269886</v>
      </c>
      <c r="BS34" s="54">
        <f t="shared" si="278"/>
        <v>299.63229005240885</v>
      </c>
      <c r="BT34" s="54">
        <f t="shared" si="278"/>
        <v>343.75852059156847</v>
      </c>
      <c r="BU34" s="54">
        <f t="shared" si="278"/>
        <v>390.76937848956055</v>
      </c>
      <c r="BV34" s="54">
        <f t="shared" si="278"/>
        <v>436.0311484658003</v>
      </c>
      <c r="BW34" s="54">
        <f t="shared" si="278"/>
        <v>479.44939628774489</v>
      </c>
      <c r="BX34" s="54">
        <f t="shared" si="278"/>
        <v>520.82552974727764</v>
      </c>
      <c r="BY34" s="54">
        <f t="shared" si="278"/>
        <v>557.26546004586919</v>
      </c>
      <c r="CB34" s="53" t="s">
        <v>21</v>
      </c>
      <c r="CE34" s="251">
        <f>+CE32-CE33</f>
        <v>53.327282796542576</v>
      </c>
      <c r="CI34" s="53" t="s">
        <v>489</v>
      </c>
      <c r="CO34" s="550">
        <f>+(1+CO36)/(1+CO35)-1</f>
        <v>-4.6728971962616828E-2</v>
      </c>
      <c r="CP34" s="550">
        <f>+(1+CP36)/(1+CP35)-1</f>
        <v>-1.9417475728155331E-2</v>
      </c>
    </row>
    <row r="35" spans="1:94">
      <c r="A35" s="51" t="s">
        <v>137</v>
      </c>
      <c r="B35" s="368" t="s">
        <v>138</v>
      </c>
      <c r="C35" s="369"/>
      <c r="D35" s="369"/>
      <c r="E35" s="370"/>
      <c r="F35" s="371"/>
      <c r="G35" s="371"/>
      <c r="H35" s="370"/>
      <c r="I35" s="371"/>
      <c r="J35" s="371"/>
      <c r="K35" s="370"/>
      <c r="L35" s="371"/>
      <c r="M35" s="371"/>
      <c r="N35" s="370"/>
      <c r="O35" s="372"/>
      <c r="P35" s="372"/>
      <c r="Q35" s="373"/>
      <c r="R35" s="374">
        <v>0</v>
      </c>
      <c r="S35" s="371">
        <f>T35-R35</f>
        <v>0</v>
      </c>
      <c r="T35" s="375">
        <v>0</v>
      </c>
      <c r="U35" s="374">
        <v>0.185</v>
      </c>
      <c r="V35" s="371">
        <f>W35-U35</f>
        <v>9.2000000000000026E-2</v>
      </c>
      <c r="W35" s="375">
        <v>0.27700000000000002</v>
      </c>
      <c r="X35" s="374">
        <v>0.52700000000000002</v>
      </c>
      <c r="Y35" s="371">
        <f>Z35-X35</f>
        <v>1.29</v>
      </c>
      <c r="Z35" s="375">
        <v>1.8169999999999999</v>
      </c>
      <c r="AA35" s="374">
        <f>80.53</f>
        <v>80.53</v>
      </c>
      <c r="AB35" s="371">
        <f t="shared" ref="AB35:AF35" si="279">+SUM(AB36:AB37)</f>
        <v>93</v>
      </c>
      <c r="AC35" s="370">
        <f t="shared" si="279"/>
        <v>173.53</v>
      </c>
      <c r="AD35" s="371">
        <f t="shared" si="279"/>
        <v>97.5</v>
      </c>
      <c r="AE35" s="371">
        <f t="shared" si="279"/>
        <v>97.5</v>
      </c>
      <c r="AF35" s="370">
        <f t="shared" si="279"/>
        <v>195</v>
      </c>
      <c r="AG35" s="371">
        <f t="shared" ref="AG35:BG35" si="280">+SUM(AG36:AG37)</f>
        <v>102.37500000000001</v>
      </c>
      <c r="AH35" s="371">
        <f t="shared" si="280"/>
        <v>102.37500000000001</v>
      </c>
      <c r="AI35" s="370">
        <f t="shared" si="280"/>
        <v>204.75000000000003</v>
      </c>
      <c r="AJ35" s="371">
        <f t="shared" si="280"/>
        <v>107.49375000000002</v>
      </c>
      <c r="AK35" s="371">
        <f t="shared" si="280"/>
        <v>107.49375000000002</v>
      </c>
      <c r="AL35" s="370">
        <f t="shared" si="280"/>
        <v>214.98750000000004</v>
      </c>
      <c r="AM35" s="371">
        <f t="shared" si="280"/>
        <v>112.86843750000001</v>
      </c>
      <c r="AN35" s="371">
        <f t="shared" si="280"/>
        <v>112.86843750000001</v>
      </c>
      <c r="AO35" s="370">
        <f t="shared" si="280"/>
        <v>225.73687500000003</v>
      </c>
      <c r="AP35" s="371">
        <f t="shared" si="280"/>
        <v>118.51185937500003</v>
      </c>
      <c r="AQ35" s="371">
        <f t="shared" si="280"/>
        <v>118.51185937500003</v>
      </c>
      <c r="AR35" s="370">
        <f t="shared" si="280"/>
        <v>237.02371875000006</v>
      </c>
      <c r="AS35" s="371">
        <f t="shared" si="280"/>
        <v>124.43745234375004</v>
      </c>
      <c r="AT35" s="371">
        <f t="shared" si="280"/>
        <v>124.43745234375004</v>
      </c>
      <c r="AU35" s="370">
        <f t="shared" si="280"/>
        <v>248.87490468750008</v>
      </c>
      <c r="AV35" s="371">
        <f t="shared" si="280"/>
        <v>130.65932496093757</v>
      </c>
      <c r="AW35" s="371">
        <f t="shared" si="280"/>
        <v>130.65932496093757</v>
      </c>
      <c r="AX35" s="370">
        <f t="shared" si="280"/>
        <v>261.31864992187514</v>
      </c>
      <c r="AY35" s="371">
        <f t="shared" si="280"/>
        <v>137.19229120898441</v>
      </c>
      <c r="AZ35" s="371">
        <f t="shared" si="280"/>
        <v>137.19229120898441</v>
      </c>
      <c r="BA35" s="370">
        <f t="shared" si="280"/>
        <v>274.38458241796883</v>
      </c>
      <c r="BB35" s="371">
        <f t="shared" si="280"/>
        <v>144.05190576943366</v>
      </c>
      <c r="BC35" s="371">
        <f t="shared" si="280"/>
        <v>144.05190576943366</v>
      </c>
      <c r="BD35" s="370">
        <f t="shared" si="280"/>
        <v>288.10381153886732</v>
      </c>
      <c r="BE35" s="371">
        <f t="shared" si="280"/>
        <v>151.25450105790534</v>
      </c>
      <c r="BF35" s="371">
        <f t="shared" si="280"/>
        <v>151.25450105790534</v>
      </c>
      <c r="BG35" s="370">
        <f t="shared" si="280"/>
        <v>302.50900211581069</v>
      </c>
      <c r="BJ35" s="51" t="s">
        <v>26</v>
      </c>
      <c r="BK35" s="500" t="s">
        <v>27</v>
      </c>
      <c r="BL35" s="54">
        <f t="shared" si="278"/>
        <v>37.97</v>
      </c>
      <c r="BM35" s="54">
        <f t="shared" si="278"/>
        <v>33.463999999999999</v>
      </c>
      <c r="BN35" s="54">
        <f t="shared" si="278"/>
        <v>55.952999999999996</v>
      </c>
      <c r="BO35" s="54">
        <f t="shared" si="278"/>
        <v>99.456561644003799</v>
      </c>
      <c r="BP35" s="54">
        <f t="shared" si="278"/>
        <v>111.88361268786198</v>
      </c>
      <c r="BQ35" s="54">
        <f t="shared" si="278"/>
        <v>125.8265484986255</v>
      </c>
      <c r="BR35" s="54">
        <f t="shared" si="278"/>
        <v>124.21976158283694</v>
      </c>
      <c r="BS35" s="54">
        <f t="shared" si="278"/>
        <v>154.08339293843017</v>
      </c>
      <c r="BT35" s="54">
        <f t="shared" si="278"/>
        <v>179.96698479741332</v>
      </c>
      <c r="BU35" s="54">
        <f t="shared" si="278"/>
        <v>203.70057838834458</v>
      </c>
      <c r="BV35" s="54">
        <f t="shared" si="278"/>
        <v>227.34250308763586</v>
      </c>
      <c r="BW35" s="54">
        <f t="shared" si="278"/>
        <v>249.59912821249767</v>
      </c>
      <c r="BX35" s="54">
        <f t="shared" si="278"/>
        <v>270.96250780802615</v>
      </c>
      <c r="BY35" s="54">
        <f t="shared" si="278"/>
        <v>289.90469108598006</v>
      </c>
      <c r="CI35" s="53" t="s">
        <v>487</v>
      </c>
      <c r="CO35" s="551">
        <v>7.0000000000000007E-2</v>
      </c>
      <c r="CP35" s="551">
        <v>0.03</v>
      </c>
    </row>
    <row r="36" spans="1:94">
      <c r="B36" s="350" t="s">
        <v>486</v>
      </c>
      <c r="E36" s="485"/>
      <c r="F36" s="479"/>
      <c r="G36" s="479"/>
      <c r="H36" s="485"/>
      <c r="I36" s="479"/>
      <c r="J36" s="479"/>
      <c r="K36" s="485"/>
      <c r="L36" s="479"/>
      <c r="M36" s="479"/>
      <c r="N36" s="485"/>
      <c r="O36" s="501"/>
      <c r="P36" s="501"/>
      <c r="Q36" s="502"/>
      <c r="R36" s="376"/>
      <c r="S36" s="479"/>
      <c r="T36" s="377"/>
      <c r="U36" s="376"/>
      <c r="V36" s="479"/>
      <c r="W36" s="377"/>
      <c r="X36" s="376"/>
      <c r="Y36" s="479"/>
      <c r="Z36" s="377"/>
      <c r="AA36" s="376">
        <f>79</f>
        <v>79</v>
      </c>
      <c r="AB36" s="554">
        <v>92</v>
      </c>
      <c r="AC36" s="485">
        <f>+SUM(AA36:AB36)</f>
        <v>171</v>
      </c>
      <c r="AD36" s="363">
        <v>96</v>
      </c>
      <c r="AE36" s="479">
        <f>+AD36</f>
        <v>96</v>
      </c>
      <c r="AF36" s="485">
        <f>+SUM(AD36:AE36)</f>
        <v>192</v>
      </c>
      <c r="AG36" s="479">
        <f t="shared" ref="AG36:AH36" si="281">+AD36*(1+AG43)</f>
        <v>100.80000000000001</v>
      </c>
      <c r="AH36" s="479">
        <f t="shared" si="281"/>
        <v>100.80000000000001</v>
      </c>
      <c r="AI36" s="485">
        <f t="shared" ref="AI36:AI37" si="282">+SUM(AG36:AH36)</f>
        <v>201.60000000000002</v>
      </c>
      <c r="AJ36" s="479">
        <f t="shared" ref="AJ36:AK36" si="283">+AG36*(1+AJ43)</f>
        <v>105.84000000000002</v>
      </c>
      <c r="AK36" s="479">
        <f t="shared" si="283"/>
        <v>105.84000000000002</v>
      </c>
      <c r="AL36" s="485">
        <f t="shared" ref="AL36:AL37" si="284">+SUM(AJ36:AK36)</f>
        <v>211.68000000000004</v>
      </c>
      <c r="AM36" s="479">
        <f t="shared" ref="AM36:AN36" si="285">+AJ36*(1+AM43)</f>
        <v>111.13200000000002</v>
      </c>
      <c r="AN36" s="479">
        <f t="shared" si="285"/>
        <v>111.13200000000002</v>
      </c>
      <c r="AO36" s="485">
        <f t="shared" ref="AO36:AO37" si="286">+SUM(AM36:AN36)</f>
        <v>222.26400000000004</v>
      </c>
      <c r="AP36" s="479">
        <f t="shared" ref="AP36:AQ36" si="287">+AM36*(1+AP43)</f>
        <v>116.68860000000002</v>
      </c>
      <c r="AQ36" s="479">
        <f t="shared" si="287"/>
        <v>116.68860000000002</v>
      </c>
      <c r="AR36" s="485">
        <f t="shared" ref="AR36:AR37" si="288">+SUM(AP36:AQ36)</f>
        <v>233.37720000000004</v>
      </c>
      <c r="AS36" s="479">
        <f t="shared" ref="AS36:AT36" si="289">+AP36*(1+AS43)</f>
        <v>122.52303000000003</v>
      </c>
      <c r="AT36" s="479">
        <f t="shared" si="289"/>
        <v>122.52303000000003</v>
      </c>
      <c r="AU36" s="485">
        <f t="shared" ref="AU36:AU37" si="290">+SUM(AS36:AT36)</f>
        <v>245.04606000000007</v>
      </c>
      <c r="AV36" s="479">
        <f t="shared" ref="AV36:AW36" si="291">+AS36*(1+AV43)</f>
        <v>128.64918150000005</v>
      </c>
      <c r="AW36" s="479">
        <f t="shared" si="291"/>
        <v>128.64918150000005</v>
      </c>
      <c r="AX36" s="485">
        <f t="shared" ref="AX36:AX37" si="292">+SUM(AV36:AW36)</f>
        <v>257.29836300000011</v>
      </c>
      <c r="AY36" s="479">
        <f t="shared" ref="AY36:AZ36" si="293">+AV36*(1+AY43)</f>
        <v>135.08164057500005</v>
      </c>
      <c r="AZ36" s="479">
        <f t="shared" si="293"/>
        <v>135.08164057500005</v>
      </c>
      <c r="BA36" s="485">
        <f t="shared" ref="BA36:BA37" si="294">+SUM(AY36:AZ36)</f>
        <v>270.1632811500001</v>
      </c>
      <c r="BB36" s="479">
        <f t="shared" ref="BB36:BC36" si="295">+AY36*(1+BB43)</f>
        <v>141.83572260375007</v>
      </c>
      <c r="BC36" s="479">
        <f t="shared" si="295"/>
        <v>141.83572260375007</v>
      </c>
      <c r="BD36" s="485">
        <f t="shared" ref="BD36:BD37" si="296">+SUM(BB36:BC36)</f>
        <v>283.67144520750014</v>
      </c>
      <c r="BE36" s="479">
        <f t="shared" ref="BE36:BF36" si="297">+BB36*(1+BE43)</f>
        <v>148.92750873393757</v>
      </c>
      <c r="BF36" s="479">
        <f t="shared" si="297"/>
        <v>148.92750873393757</v>
      </c>
      <c r="BG36" s="485">
        <f t="shared" ref="BG36:BG37" si="298">+SUM(BE36:BF36)</f>
        <v>297.85501746787514</v>
      </c>
      <c r="BJ36" s="51" t="s">
        <v>29</v>
      </c>
      <c r="BK36" s="500" t="s">
        <v>30</v>
      </c>
      <c r="BL36" s="54">
        <f t="shared" si="278"/>
        <v>0</v>
      </c>
      <c r="BM36" s="54">
        <f t="shared" si="278"/>
        <v>6.2509999999999994</v>
      </c>
      <c r="BN36" s="54">
        <f t="shared" si="278"/>
        <v>16.670000000000002</v>
      </c>
      <c r="BO36" s="54">
        <f t="shared" si="278"/>
        <v>39.551096046919959</v>
      </c>
      <c r="BP36" s="54">
        <f t="shared" si="278"/>
        <v>45.378546416912556</v>
      </c>
      <c r="BQ36" s="54">
        <f t="shared" si="278"/>
        <v>51.224722972584289</v>
      </c>
      <c r="BR36" s="54">
        <f t="shared" si="278"/>
        <v>55.619087710247726</v>
      </c>
      <c r="BS36" s="54">
        <f t="shared" si="278"/>
        <v>68.915426712054028</v>
      </c>
      <c r="BT36" s="54">
        <f t="shared" si="278"/>
        <v>78.387286988022367</v>
      </c>
      <c r="BU36" s="54">
        <f t="shared" si="278"/>
        <v>86.11238035991785</v>
      </c>
      <c r="BV36" s="54">
        <f t="shared" si="278"/>
        <v>93.000933326299844</v>
      </c>
      <c r="BW36" s="54">
        <f t="shared" si="278"/>
        <v>98.502444014044883</v>
      </c>
      <c r="BX36" s="54">
        <f t="shared" si="278"/>
        <v>102.81204123660211</v>
      </c>
      <c r="BY36" s="54">
        <f t="shared" si="278"/>
        <v>105.38136662880822</v>
      </c>
      <c r="CI36" s="53" t="s">
        <v>500</v>
      </c>
      <c r="CO36" s="551">
        <v>0.02</v>
      </c>
      <c r="CP36" s="551">
        <v>0.01</v>
      </c>
    </row>
    <row r="37" spans="1:94">
      <c r="B37" s="350" t="s">
        <v>52</v>
      </c>
      <c r="E37" s="485"/>
      <c r="F37" s="479"/>
      <c r="G37" s="479"/>
      <c r="H37" s="485"/>
      <c r="I37" s="479"/>
      <c r="J37" s="479"/>
      <c r="K37" s="485"/>
      <c r="L37" s="479"/>
      <c r="M37" s="479"/>
      <c r="N37" s="485"/>
      <c r="O37" s="501"/>
      <c r="P37" s="501"/>
      <c r="Q37" s="502"/>
      <c r="R37" s="376"/>
      <c r="S37" s="479"/>
      <c r="T37" s="377"/>
      <c r="U37" s="376"/>
      <c r="V37" s="479"/>
      <c r="W37" s="377"/>
      <c r="X37" s="376"/>
      <c r="Y37" s="479"/>
      <c r="Z37" s="377"/>
      <c r="AA37" s="479">
        <f>+AA35-AA36</f>
        <v>1.5300000000000011</v>
      </c>
      <c r="AB37" s="554">
        <v>1</v>
      </c>
      <c r="AC37" s="485">
        <f>+SUM(AA37:AB37)</f>
        <v>2.5300000000000011</v>
      </c>
      <c r="AD37" s="363">
        <v>1.5</v>
      </c>
      <c r="AE37" s="479">
        <f>+AD37</f>
        <v>1.5</v>
      </c>
      <c r="AF37" s="485">
        <f>+SUM(AD37:AE37)</f>
        <v>3</v>
      </c>
      <c r="AG37" s="479">
        <f t="shared" ref="AG37:AH37" si="299">+AD37*(1+AG43)</f>
        <v>1.5750000000000002</v>
      </c>
      <c r="AH37" s="479">
        <f t="shared" si="299"/>
        <v>1.5750000000000002</v>
      </c>
      <c r="AI37" s="485">
        <f t="shared" si="282"/>
        <v>3.1500000000000004</v>
      </c>
      <c r="AJ37" s="479">
        <f t="shared" ref="AJ37:AK37" si="300">+AG37*(1+AJ43)</f>
        <v>1.6537500000000003</v>
      </c>
      <c r="AK37" s="479">
        <f t="shared" si="300"/>
        <v>1.6537500000000003</v>
      </c>
      <c r="AL37" s="485">
        <f t="shared" si="284"/>
        <v>3.3075000000000006</v>
      </c>
      <c r="AM37" s="479">
        <f t="shared" ref="AM37:AN37" si="301">+AJ37*(1+AM43)</f>
        <v>1.7364375000000003</v>
      </c>
      <c r="AN37" s="479">
        <f t="shared" si="301"/>
        <v>1.7364375000000003</v>
      </c>
      <c r="AO37" s="485">
        <f t="shared" si="286"/>
        <v>3.4728750000000006</v>
      </c>
      <c r="AP37" s="479">
        <f t="shared" ref="AP37:AQ37" si="302">+AM37*(1+AP43)</f>
        <v>1.8232593750000003</v>
      </c>
      <c r="AQ37" s="479">
        <f t="shared" si="302"/>
        <v>1.8232593750000003</v>
      </c>
      <c r="AR37" s="485">
        <f t="shared" si="288"/>
        <v>3.6465187500000007</v>
      </c>
      <c r="AS37" s="479">
        <f t="shared" ref="AS37:AT37" si="303">+AP37*(1+AS43)</f>
        <v>1.9144223437500005</v>
      </c>
      <c r="AT37" s="479">
        <f t="shared" si="303"/>
        <v>1.9144223437500005</v>
      </c>
      <c r="AU37" s="485">
        <f t="shared" si="290"/>
        <v>3.8288446875000011</v>
      </c>
      <c r="AV37" s="479">
        <f t="shared" ref="AV37:AW37" si="304">+AS37*(1+AV43)</f>
        <v>2.0101434609375008</v>
      </c>
      <c r="AW37" s="479">
        <f t="shared" si="304"/>
        <v>2.0101434609375008</v>
      </c>
      <c r="AX37" s="485">
        <f t="shared" si="292"/>
        <v>4.0202869218750017</v>
      </c>
      <c r="AY37" s="479">
        <f t="shared" ref="AY37:AZ37" si="305">+AV37*(1+AY43)</f>
        <v>2.1106506339843758</v>
      </c>
      <c r="AZ37" s="479">
        <f t="shared" si="305"/>
        <v>2.1106506339843758</v>
      </c>
      <c r="BA37" s="485">
        <f t="shared" si="294"/>
        <v>4.2213012679687516</v>
      </c>
      <c r="BB37" s="479">
        <f t="shared" ref="BB37:BC37" si="306">+AY37*(1+BB43)</f>
        <v>2.2161831656835949</v>
      </c>
      <c r="BC37" s="479">
        <f t="shared" si="306"/>
        <v>2.2161831656835949</v>
      </c>
      <c r="BD37" s="485">
        <f t="shared" si="296"/>
        <v>4.4323663313671897</v>
      </c>
      <c r="BE37" s="479">
        <f t="shared" ref="BE37:BF37" si="307">+BB37*(1+BE43)</f>
        <v>2.3269923239677746</v>
      </c>
      <c r="BF37" s="479">
        <f t="shared" si="307"/>
        <v>2.3269923239677746</v>
      </c>
      <c r="BG37" s="485">
        <f t="shared" si="298"/>
        <v>4.6539846479355491</v>
      </c>
      <c r="BJ37" s="51"/>
      <c r="BK37" s="500"/>
      <c r="BL37" s="54"/>
      <c r="BM37" s="54"/>
      <c r="BN37" s="54"/>
      <c r="BO37" s="54"/>
      <c r="BP37" s="54"/>
      <c r="BQ37" s="54"/>
      <c r="BR37" s="54"/>
      <c r="BS37" s="54"/>
      <c r="BT37" s="54"/>
      <c r="BU37" s="54"/>
      <c r="BV37" s="54"/>
      <c r="BW37" s="54"/>
      <c r="BX37" s="54"/>
      <c r="BY37" s="54"/>
      <c r="CD37" s="53">
        <f>46*2</f>
        <v>92</v>
      </c>
    </row>
    <row r="38" spans="1:94">
      <c r="B38" s="387"/>
      <c r="C38" s="52"/>
      <c r="D38" s="52"/>
      <c r="E38" s="346"/>
      <c r="F38" s="347"/>
      <c r="G38" s="347"/>
      <c r="H38" s="346"/>
      <c r="I38" s="347"/>
      <c r="J38" s="347"/>
      <c r="K38" s="346"/>
      <c r="L38" s="347"/>
      <c r="M38" s="347"/>
      <c r="N38" s="346"/>
      <c r="O38" s="388"/>
      <c r="P38" s="388"/>
      <c r="Q38" s="389"/>
      <c r="R38" s="348"/>
      <c r="S38" s="347"/>
      <c r="T38" s="390">
        <f>+T17-SUM(T19:T35)</f>
        <v>0</v>
      </c>
      <c r="U38" s="391">
        <f t="shared" ref="U38:Z38" si="308">+U17-SUM(U19,U29:U35)</f>
        <v>0</v>
      </c>
      <c r="V38" s="391">
        <f t="shared" si="308"/>
        <v>0</v>
      </c>
      <c r="W38" s="390">
        <f t="shared" si="308"/>
        <v>0</v>
      </c>
      <c r="X38" s="391">
        <f t="shared" si="308"/>
        <v>0</v>
      </c>
      <c r="Y38" s="391">
        <f t="shared" si="308"/>
        <v>0</v>
      </c>
      <c r="Z38" s="390">
        <f t="shared" si="308"/>
        <v>0</v>
      </c>
      <c r="AA38" s="391">
        <f t="shared" ref="AA38" si="309">+AA17-SUM(AA19,AA29:AA35)</f>
        <v>0</v>
      </c>
      <c r="AB38" s="391">
        <f t="shared" ref="AB38:BG38" si="310">+AB17-SUM(AB19,AB29,AB35)</f>
        <v>0</v>
      </c>
      <c r="AC38" s="390">
        <f t="shared" si="310"/>
        <v>0</v>
      </c>
      <c r="AD38" s="391">
        <f t="shared" si="310"/>
        <v>0</v>
      </c>
      <c r="AE38" s="391">
        <f t="shared" si="310"/>
        <v>0</v>
      </c>
      <c r="AF38" s="390">
        <f t="shared" si="310"/>
        <v>0</v>
      </c>
      <c r="AG38" s="391">
        <f t="shared" si="310"/>
        <v>0</v>
      </c>
      <c r="AH38" s="391">
        <f t="shared" si="310"/>
        <v>0</v>
      </c>
      <c r="AI38" s="390">
        <f t="shared" si="310"/>
        <v>0</v>
      </c>
      <c r="AJ38" s="391">
        <f t="shared" si="310"/>
        <v>0</v>
      </c>
      <c r="AK38" s="391">
        <f t="shared" si="310"/>
        <v>0</v>
      </c>
      <c r="AL38" s="390">
        <f t="shared" si="310"/>
        <v>0</v>
      </c>
      <c r="AM38" s="391">
        <f t="shared" si="310"/>
        <v>0</v>
      </c>
      <c r="AN38" s="391">
        <f t="shared" si="310"/>
        <v>0</v>
      </c>
      <c r="AO38" s="390">
        <f t="shared" si="310"/>
        <v>0</v>
      </c>
      <c r="AP38" s="391">
        <f t="shared" si="310"/>
        <v>0</v>
      </c>
      <c r="AQ38" s="391">
        <f t="shared" si="310"/>
        <v>0</v>
      </c>
      <c r="AR38" s="390">
        <f t="shared" si="310"/>
        <v>0</v>
      </c>
      <c r="AS38" s="391">
        <f t="shared" si="310"/>
        <v>0</v>
      </c>
      <c r="AT38" s="391">
        <f t="shared" si="310"/>
        <v>0</v>
      </c>
      <c r="AU38" s="390">
        <f t="shared" si="310"/>
        <v>0</v>
      </c>
      <c r="AV38" s="391">
        <f t="shared" si="310"/>
        <v>0</v>
      </c>
      <c r="AW38" s="391">
        <f t="shared" si="310"/>
        <v>0</v>
      </c>
      <c r="AX38" s="390">
        <f t="shared" si="310"/>
        <v>0</v>
      </c>
      <c r="AY38" s="391">
        <f t="shared" si="310"/>
        <v>0</v>
      </c>
      <c r="AZ38" s="391">
        <f t="shared" si="310"/>
        <v>0</v>
      </c>
      <c r="BA38" s="390">
        <f t="shared" si="310"/>
        <v>0</v>
      </c>
      <c r="BB38" s="391">
        <f t="shared" si="310"/>
        <v>0</v>
      </c>
      <c r="BC38" s="391">
        <f t="shared" si="310"/>
        <v>0</v>
      </c>
      <c r="BD38" s="390">
        <f t="shared" si="310"/>
        <v>0</v>
      </c>
      <c r="BE38" s="391">
        <f t="shared" si="310"/>
        <v>0</v>
      </c>
      <c r="BF38" s="391">
        <f t="shared" si="310"/>
        <v>0</v>
      </c>
      <c r="BG38" s="390">
        <f t="shared" si="310"/>
        <v>0</v>
      </c>
      <c r="BJ38" s="51" t="s">
        <v>32</v>
      </c>
      <c r="BK38" s="500" t="s">
        <v>33</v>
      </c>
      <c r="BL38" s="54">
        <f t="shared" ref="BL38:BY38" si="311">+VLOOKUP($BJ38,$A:$BG,MATCH(BL$17,$A$2:$BG$2,FALSE),FALSE)</f>
        <v>49.128</v>
      </c>
      <c r="BM38" s="54">
        <f t="shared" si="311"/>
        <v>49.098999999999997</v>
      </c>
      <c r="BN38" s="54">
        <f t="shared" si="311"/>
        <v>72.781999999999996</v>
      </c>
      <c r="BO38" s="54">
        <f t="shared" si="311"/>
        <v>103.45865932668389</v>
      </c>
      <c r="BP38" s="54">
        <f t="shared" si="311"/>
        <v>110.18536604228137</v>
      </c>
      <c r="BQ38" s="54">
        <f t="shared" si="311"/>
        <v>124.6377574314607</v>
      </c>
      <c r="BR38" s="54">
        <f t="shared" si="311"/>
        <v>141.24612149633265</v>
      </c>
      <c r="BS38" s="54">
        <f t="shared" si="311"/>
        <v>176.76793050642368</v>
      </c>
      <c r="BT38" s="54">
        <f t="shared" si="311"/>
        <v>201.5840382974018</v>
      </c>
      <c r="BU38" s="54">
        <f t="shared" si="311"/>
        <v>223.86845942391648</v>
      </c>
      <c r="BV38" s="54">
        <f t="shared" si="311"/>
        <v>244.99417087063324</v>
      </c>
      <c r="BW38" s="54">
        <f t="shared" si="311"/>
        <v>263.75023876556139</v>
      </c>
      <c r="BX38" s="54">
        <f t="shared" si="311"/>
        <v>280.45668149068717</v>
      </c>
      <c r="BY38" s="54">
        <f t="shared" si="311"/>
        <v>293.6876082196203</v>
      </c>
      <c r="CD38" s="53">
        <f>+CD37/0.65</f>
        <v>141.53846153846155</v>
      </c>
    </row>
    <row r="39" spans="1:94">
      <c r="B39" s="386" t="s">
        <v>457</v>
      </c>
      <c r="C39" s="52"/>
      <c r="D39" s="52"/>
      <c r="E39" s="346"/>
      <c r="F39" s="347"/>
      <c r="G39" s="347"/>
      <c r="H39" s="346"/>
      <c r="I39" s="347"/>
      <c r="J39" s="347"/>
      <c r="K39" s="346"/>
      <c r="L39" s="347"/>
      <c r="M39" s="347"/>
      <c r="N39" s="346"/>
      <c r="O39" s="388"/>
      <c r="P39" s="388"/>
      <c r="Q39" s="389"/>
      <c r="R39" s="348"/>
      <c r="S39" s="347"/>
      <c r="T39" s="349"/>
      <c r="U39" s="348"/>
      <c r="V39" s="347"/>
      <c r="W39" s="349"/>
      <c r="X39" s="348"/>
      <c r="Y39" s="347"/>
      <c r="Z39" s="349"/>
      <c r="AA39" s="348"/>
      <c r="AB39" s="392"/>
      <c r="AC39" s="346"/>
      <c r="AD39" s="347"/>
      <c r="AE39" s="392"/>
      <c r="AF39" s="346"/>
      <c r="AG39" s="347"/>
      <c r="AH39" s="392"/>
      <c r="AI39" s="346"/>
      <c r="AJ39" s="347"/>
      <c r="AK39" s="392"/>
      <c r="AL39" s="346"/>
      <c r="AM39" s="347"/>
      <c r="AN39" s="392"/>
      <c r="AO39" s="346"/>
      <c r="AP39" s="347"/>
      <c r="AQ39" s="392"/>
      <c r="AR39" s="346"/>
      <c r="AS39" s="347"/>
      <c r="AT39" s="392"/>
      <c r="AU39" s="346"/>
      <c r="AV39" s="347"/>
      <c r="AW39" s="392"/>
      <c r="AX39" s="346"/>
      <c r="AY39" s="347"/>
      <c r="AZ39" s="392"/>
      <c r="BA39" s="346"/>
      <c r="BB39" s="347"/>
      <c r="BC39" s="392"/>
      <c r="BD39" s="346"/>
      <c r="BE39" s="347"/>
      <c r="BF39" s="392"/>
      <c r="BG39" s="346"/>
      <c r="CC39" s="53" t="s">
        <v>487</v>
      </c>
      <c r="CD39" s="53">
        <v>10</v>
      </c>
      <c r="CE39" s="53">
        <f>+CD39*(1+CF39)</f>
        <v>10.700000000000001</v>
      </c>
      <c r="CF39" s="59">
        <v>7.0000000000000007E-2</v>
      </c>
    </row>
    <row r="40" spans="1:94">
      <c r="B40" s="52" t="s">
        <v>463</v>
      </c>
      <c r="E40" s="485"/>
      <c r="F40" s="479"/>
      <c r="G40" s="479"/>
      <c r="H40" s="393"/>
      <c r="I40" s="479"/>
      <c r="J40" s="479"/>
      <c r="K40" s="393"/>
      <c r="L40" s="479"/>
      <c r="M40" s="479"/>
      <c r="N40" s="393"/>
      <c r="O40" s="501"/>
      <c r="P40" s="501"/>
      <c r="Q40" s="394"/>
      <c r="R40" s="353"/>
      <c r="S40" s="353"/>
      <c r="T40" s="224"/>
      <c r="U40" s="352">
        <f t="shared" ref="U40:BG40" si="312">IFERROR(U17/R17-1,"NA")</f>
        <v>5.1871751153990111</v>
      </c>
      <c r="V40" s="352">
        <f t="shared" si="312"/>
        <v>0.3538872024050157</v>
      </c>
      <c r="W40" s="351">
        <f t="shared" si="312"/>
        <v>1.0798645812512491</v>
      </c>
      <c r="X40" s="352">
        <f t="shared" si="312"/>
        <v>0.61047297070229778</v>
      </c>
      <c r="Y40" s="352">
        <f t="shared" si="312"/>
        <v>0.50351529628925862</v>
      </c>
      <c r="Z40" s="351">
        <f t="shared" si="312"/>
        <v>0.55130669293466861</v>
      </c>
      <c r="AA40" s="352">
        <f t="shared" si="312"/>
        <v>0.62913639190187443</v>
      </c>
      <c r="AB40" s="352">
        <f t="shared" si="312"/>
        <v>0.49506001638766217</v>
      </c>
      <c r="AC40" s="351">
        <f t="shared" si="312"/>
        <v>0.55725363214551704</v>
      </c>
      <c r="AD40" s="352">
        <f t="shared" si="312"/>
        <v>0.13528545843865913</v>
      </c>
      <c r="AE40" s="352">
        <f t="shared" si="312"/>
        <v>0.1216304644106021</v>
      </c>
      <c r="AF40" s="351">
        <f t="shared" si="312"/>
        <v>0.12825694838774648</v>
      </c>
      <c r="AG40" s="352">
        <f t="shared" si="312"/>
        <v>0.13806906999921753</v>
      </c>
      <c r="AH40" s="352">
        <f t="shared" si="312"/>
        <v>0.12001586966495625</v>
      </c>
      <c r="AI40" s="351">
        <f t="shared" si="312"/>
        <v>0.12883128740970129</v>
      </c>
      <c r="AJ40" s="352">
        <f t="shared" si="312"/>
        <v>0.13067052527015344</v>
      </c>
      <c r="AK40" s="352">
        <f t="shared" si="312"/>
        <v>0.13137284966799401</v>
      </c>
      <c r="AL40" s="351">
        <f t="shared" si="312"/>
        <v>0.13102709660689871</v>
      </c>
      <c r="AM40" s="352">
        <f t="shared" si="312"/>
        <v>0.29189617922424427</v>
      </c>
      <c r="AN40" s="352">
        <f t="shared" si="312"/>
        <v>0.29393758695425176</v>
      </c>
      <c r="AO40" s="351">
        <f t="shared" si="312"/>
        <v>0.2929329223666588</v>
      </c>
      <c r="AP40" s="352">
        <f t="shared" si="312"/>
        <v>0.16855414449121708</v>
      </c>
      <c r="AQ40" s="352">
        <f t="shared" si="312"/>
        <v>0.20906470144393974</v>
      </c>
      <c r="AR40" s="351">
        <f t="shared" si="312"/>
        <v>0.18914369971018363</v>
      </c>
      <c r="AS40" s="352">
        <f t="shared" si="312"/>
        <v>0.15024449248775928</v>
      </c>
      <c r="AT40" s="352">
        <f t="shared" si="312"/>
        <v>0.15143993282505752</v>
      </c>
      <c r="AU40" s="351">
        <f t="shared" si="312"/>
        <v>0.15086225544010667</v>
      </c>
      <c r="AV40" s="352">
        <f t="shared" si="312"/>
        <v>0.13360891768554928</v>
      </c>
      <c r="AW40" s="352">
        <f t="shared" si="312"/>
        <v>0.13435500900114339</v>
      </c>
      <c r="AX40" s="351">
        <f t="shared" si="312"/>
        <v>0.13399466585954189</v>
      </c>
      <c r="AY40" s="352">
        <f t="shared" si="312"/>
        <v>0.11406600596131211</v>
      </c>
      <c r="AZ40" s="352">
        <f t="shared" si="312"/>
        <v>0.1156794413410156</v>
      </c>
      <c r="BA40" s="351">
        <f t="shared" si="312"/>
        <v>0.11490045813719929</v>
      </c>
      <c r="BB40" s="352">
        <f t="shared" si="312"/>
        <v>0.10148965008921862</v>
      </c>
      <c r="BC40" s="352">
        <f t="shared" si="312"/>
        <v>0.10196824352972178</v>
      </c>
      <c r="BD40" s="351">
        <f t="shared" si="312"/>
        <v>0.101737346637089</v>
      </c>
      <c r="BE40" s="352">
        <f t="shared" si="312"/>
        <v>8.5127852795366721E-2</v>
      </c>
      <c r="BF40" s="352">
        <f t="shared" si="312"/>
        <v>8.5429628566865645E-2</v>
      </c>
      <c r="BG40" s="351">
        <f t="shared" si="312"/>
        <v>8.5284069901592652E-2</v>
      </c>
      <c r="BK40" s="386" t="s">
        <v>488</v>
      </c>
      <c r="CC40" s="53" t="s">
        <v>489</v>
      </c>
      <c r="CD40" s="53">
        <v>10</v>
      </c>
      <c r="CE40" s="53">
        <f>+CD40*(1+CF40)</f>
        <v>10.1</v>
      </c>
      <c r="CF40" s="59">
        <v>0.01</v>
      </c>
    </row>
    <row r="41" spans="1:94">
      <c r="B41" s="350" t="s">
        <v>99</v>
      </c>
      <c r="E41" s="485"/>
      <c r="F41" s="479"/>
      <c r="G41" s="479"/>
      <c r="H41" s="393"/>
      <c r="I41" s="479"/>
      <c r="J41" s="479"/>
      <c r="K41" s="393"/>
      <c r="L41" s="479"/>
      <c r="M41" s="479"/>
      <c r="N41" s="393"/>
      <c r="O41" s="501"/>
      <c r="P41" s="501"/>
      <c r="Q41" s="394"/>
      <c r="R41" s="352"/>
      <c r="S41" s="352"/>
      <c r="T41" s="351"/>
      <c r="U41" s="352">
        <f t="shared" ref="U41:BG41" si="313">IFERROR(U19/R19-1,"NA")</f>
        <v>5.5404673063255157</v>
      </c>
      <c r="V41" s="352">
        <f t="shared" si="313"/>
        <v>0.35940593319736713</v>
      </c>
      <c r="W41" s="351">
        <f t="shared" si="313"/>
        <v>1.1053085969725456</v>
      </c>
      <c r="X41" s="352">
        <f t="shared" si="313"/>
        <v>0.60450016639613136</v>
      </c>
      <c r="Y41" s="352">
        <f t="shared" si="313"/>
        <v>0.4962300649571898</v>
      </c>
      <c r="Z41" s="351">
        <f t="shared" si="313"/>
        <v>0.54465454655913481</v>
      </c>
      <c r="AA41" s="352">
        <f t="shared" si="313"/>
        <v>0.29456708078477845</v>
      </c>
      <c r="AB41" s="352">
        <f t="shared" si="313"/>
        <v>0.16446935844532362</v>
      </c>
      <c r="AC41" s="351">
        <f t="shared" si="313"/>
        <v>0.22491076037820257</v>
      </c>
      <c r="AD41" s="352">
        <f t="shared" si="313"/>
        <v>0.11651346729660328</v>
      </c>
      <c r="AE41" s="352">
        <f t="shared" si="313"/>
        <v>0.14401915997117309</v>
      </c>
      <c r="AF41" s="351">
        <f t="shared" si="313"/>
        <v>0.13051375748097716</v>
      </c>
      <c r="AG41" s="352">
        <f t="shared" si="313"/>
        <v>0.16429876329409732</v>
      </c>
      <c r="AH41" s="352">
        <f t="shared" si="313"/>
        <v>0.13964800104380393</v>
      </c>
      <c r="AI41" s="351">
        <f t="shared" si="313"/>
        <v>0.15160173022956025</v>
      </c>
      <c r="AJ41" s="352">
        <f t="shared" si="313"/>
        <v>0.15233805474304529</v>
      </c>
      <c r="AK41" s="352">
        <f t="shared" si="313"/>
        <v>0.15239460110368097</v>
      </c>
      <c r="AL41" s="351">
        <f t="shared" si="313"/>
        <v>0.15236687812789684</v>
      </c>
      <c r="AM41" s="352">
        <f t="shared" si="313"/>
        <v>0.17122007276660867</v>
      </c>
      <c r="AN41" s="352">
        <f t="shared" si="313"/>
        <v>0.17129352093410732</v>
      </c>
      <c r="AO41" s="351">
        <f t="shared" si="313"/>
        <v>0.17125751241267606</v>
      </c>
      <c r="AP41" s="352">
        <f t="shared" si="313"/>
        <v>0.10288849792601429</v>
      </c>
      <c r="AQ41" s="352">
        <f t="shared" si="313"/>
        <v>0.14722644245430261</v>
      </c>
      <c r="AR41" s="351">
        <f t="shared" si="313"/>
        <v>0.12549012354998124</v>
      </c>
      <c r="AS41" s="352">
        <f t="shared" si="313"/>
        <v>0.11349066472713565</v>
      </c>
      <c r="AT41" s="352">
        <f t="shared" si="313"/>
        <v>0.11350252452117937</v>
      </c>
      <c r="AU41" s="351">
        <f t="shared" si="313"/>
        <v>0.11349682711072884</v>
      </c>
      <c r="AV41" s="352">
        <f t="shared" si="313"/>
        <v>9.7817360292991484E-2</v>
      </c>
      <c r="AW41" s="352">
        <f t="shared" si="313"/>
        <v>9.7727012444946082E-2</v>
      </c>
      <c r="AX41" s="351">
        <f t="shared" si="313"/>
        <v>9.7770415047298442E-2</v>
      </c>
      <c r="AY41" s="352">
        <f t="shared" si="313"/>
        <v>8.2593822554004603E-2</v>
      </c>
      <c r="AZ41" s="352">
        <f t="shared" si="313"/>
        <v>8.3079257417911556E-2</v>
      </c>
      <c r="BA41" s="351">
        <f t="shared" si="313"/>
        <v>8.2846047243832821E-2</v>
      </c>
      <c r="BB41" s="352">
        <f t="shared" si="313"/>
        <v>7.0266241245361405E-2</v>
      </c>
      <c r="BC41" s="352">
        <f t="shared" si="313"/>
        <v>7.0228402778039545E-2</v>
      </c>
      <c r="BD41" s="351">
        <f t="shared" si="313"/>
        <v>7.024657670986989E-2</v>
      </c>
      <c r="BE41" s="352">
        <f t="shared" si="313"/>
        <v>5.5858232771563099E-2</v>
      </c>
      <c r="BF41" s="352">
        <f t="shared" si="313"/>
        <v>5.5815023397572494E-2</v>
      </c>
      <c r="BG41" s="351">
        <f t="shared" si="313"/>
        <v>5.5835777373660855E-2</v>
      </c>
      <c r="BK41" s="386"/>
      <c r="CC41" s="53" t="s">
        <v>103</v>
      </c>
      <c r="CD41" s="53">
        <f>+CD39*CD40</f>
        <v>100</v>
      </c>
      <c r="CE41" s="53">
        <f>+CE39*CE40</f>
        <v>108.07000000000001</v>
      </c>
    </row>
    <row r="42" spans="1:94">
      <c r="B42" s="350" t="s">
        <v>117</v>
      </c>
      <c r="E42" s="485"/>
      <c r="F42" s="479"/>
      <c r="G42" s="479"/>
      <c r="H42" s="393"/>
      <c r="I42" s="479"/>
      <c r="J42" s="479"/>
      <c r="K42" s="393"/>
      <c r="L42" s="479"/>
      <c r="M42" s="479"/>
      <c r="N42" s="393"/>
      <c r="O42" s="501"/>
      <c r="P42" s="501"/>
      <c r="Q42" s="394"/>
      <c r="R42" s="352"/>
      <c r="S42" s="352"/>
      <c r="T42" s="351"/>
      <c r="U42" s="352">
        <f t="shared" ref="U42:AA42" si="314">IFERROR(U29/R29-1,"NA")</f>
        <v>-0.11465798045602604</v>
      </c>
      <c r="V42" s="352">
        <f t="shared" si="314"/>
        <v>-2.5091240875912524E-2</v>
      </c>
      <c r="W42" s="351">
        <f t="shared" si="314"/>
        <v>-6.1980144888650335E-2</v>
      </c>
      <c r="X42" s="352">
        <f t="shared" si="314"/>
        <v>1.0890360559234731</v>
      </c>
      <c r="Y42" s="352">
        <f t="shared" si="314"/>
        <v>0.58493214787084691</v>
      </c>
      <c r="Z42" s="351">
        <f t="shared" si="314"/>
        <v>0.78089244851258588</v>
      </c>
      <c r="AA42" s="352">
        <f t="shared" si="314"/>
        <v>0.40683339203945068</v>
      </c>
      <c r="AB42" s="396">
        <f>+AA42</f>
        <v>0.40683339203945068</v>
      </c>
      <c r="AC42" s="505">
        <f>IFERROR(AC29/Z29-1,"NA")</f>
        <v>0.283970446514616</v>
      </c>
      <c r="AD42" s="396">
        <f>+AB42</f>
        <v>0.40683339203945068</v>
      </c>
      <c r="AE42" s="396">
        <f>+AD42</f>
        <v>0.40683339203945068</v>
      </c>
      <c r="AF42" s="505">
        <f>IFERROR(AF29/AC29-1,"NA")</f>
        <v>5.07880910683014E-2</v>
      </c>
      <c r="AG42" s="396">
        <f t="shared" ref="AG42" si="315">+AE42</f>
        <v>0.40683339203945068</v>
      </c>
      <c r="AH42" s="396">
        <f t="shared" ref="AH42" si="316">+AG42</f>
        <v>0.40683339203945068</v>
      </c>
      <c r="AI42" s="505">
        <f>IFERROR(AI29/AF29-1,"NA")</f>
        <v>5.0000000000000044E-2</v>
      </c>
      <c r="AJ42" s="396">
        <f t="shared" ref="AJ42:AJ43" si="317">+AH42</f>
        <v>0.40683339203945068</v>
      </c>
      <c r="AK42" s="396">
        <f t="shared" ref="AK42:AK43" si="318">+AJ42</f>
        <v>0.40683339203945068</v>
      </c>
      <c r="AL42" s="505">
        <f>IFERROR(AL29/AI29-1,"NA")</f>
        <v>5.0000706077450552E-2</v>
      </c>
      <c r="AM42" s="396">
        <f t="shared" ref="AM42:AM43" si="319">+AK42</f>
        <v>0.40683339203945068</v>
      </c>
      <c r="AN42" s="396">
        <f t="shared" ref="AN42:AN43" si="320">+AM42</f>
        <v>0.40683339203945068</v>
      </c>
      <c r="AO42" s="505">
        <f>IFERROR(AO29/AL29-1,"NA")</f>
        <v>18.210109237702056</v>
      </c>
      <c r="AP42" s="396">
        <f t="shared" ref="AP42" si="321">+AN42</f>
        <v>0.40683339203945068</v>
      </c>
      <c r="AQ42" s="396">
        <f t="shared" ref="AQ42:AQ43" si="322">+AP42</f>
        <v>0.40683339203945068</v>
      </c>
      <c r="AR42" s="505">
        <f>IFERROR(AR29/AO29-1,"NA")</f>
        <v>0.75731202656884622</v>
      </c>
      <c r="AS42" s="396">
        <f t="shared" ref="AS42:AS43" si="323">+AQ42</f>
        <v>0.40683339203945068</v>
      </c>
      <c r="AT42" s="396">
        <f t="shared" ref="AT42:AT43" si="324">+AS42</f>
        <v>0.40683339203945068</v>
      </c>
      <c r="AU42" s="505">
        <f>IFERROR(AU29/AR29-1,"NA")</f>
        <v>0.3745616150363722</v>
      </c>
      <c r="AV42" s="396">
        <f t="shared" ref="AV42:AV43" si="325">+AT42</f>
        <v>0.40683339203945068</v>
      </c>
      <c r="AW42" s="396">
        <f t="shared" ref="AW42:AW43" si="326">+AV42</f>
        <v>0.40683339203945068</v>
      </c>
      <c r="AX42" s="505">
        <f>IFERROR(AX29/AU29-1,"NA")</f>
        <v>0.29826414866420237</v>
      </c>
      <c r="AY42" s="396">
        <f t="shared" ref="AY42:AY43" si="327">+AW42</f>
        <v>0.40683339203945068</v>
      </c>
      <c r="AZ42" s="396">
        <f t="shared" ref="AZ42:AZ43" si="328">+AY42</f>
        <v>0.40683339203945068</v>
      </c>
      <c r="BA42" s="505">
        <f>IFERROR(BA29/AX29-1,"NA")</f>
        <v>0.23181368304166727</v>
      </c>
      <c r="BB42" s="396">
        <f t="shared" ref="BB42:BB43" si="329">+AZ42</f>
        <v>0.40683339203945068</v>
      </c>
      <c r="BC42" s="396">
        <f t="shared" ref="BC42:BC43" si="330">+BB42</f>
        <v>0.40683339203945068</v>
      </c>
      <c r="BD42" s="505">
        <f>IFERROR(BD29/BA29-1,"NA")</f>
        <v>0.19710853346323853</v>
      </c>
      <c r="BE42" s="396">
        <f t="shared" ref="BE42:BE43" si="331">+BC42</f>
        <v>0.40683339203945068</v>
      </c>
      <c r="BF42" s="396">
        <f t="shared" ref="BF42:BF43" si="332">+BE42</f>
        <v>0.40683339203945068</v>
      </c>
      <c r="BG42" s="505">
        <f>IFERROR(BG29/BD29-1,"NA")</f>
        <v>0.16010483486076232</v>
      </c>
      <c r="BK42" s="500" t="s">
        <v>24</v>
      </c>
      <c r="BL42" s="292">
        <f t="shared" ref="BL42:BY44" si="333">+BL34/BL$18</f>
        <v>0.50599640215870478</v>
      </c>
      <c r="BM42" s="292">
        <f t="shared" si="333"/>
        <v>0.25621812852500769</v>
      </c>
      <c r="BN42" s="292">
        <f t="shared" si="333"/>
        <v>0.24766189592121587</v>
      </c>
      <c r="BO42" s="292">
        <f t="shared" si="333"/>
        <v>0.19896919040481392</v>
      </c>
      <c r="BP42" s="292">
        <f t="shared" si="333"/>
        <v>0.19612792173270177</v>
      </c>
      <c r="BQ42" s="292">
        <f t="shared" si="333"/>
        <v>0.2</v>
      </c>
      <c r="BR42" s="292">
        <f t="shared" si="333"/>
        <v>0.2</v>
      </c>
      <c r="BS42" s="292">
        <f t="shared" si="333"/>
        <v>0.20000000000000004</v>
      </c>
      <c r="BT42" s="292">
        <f t="shared" si="333"/>
        <v>0.19295698942023828</v>
      </c>
      <c r="BU42" s="292">
        <f t="shared" si="333"/>
        <v>0.19059180373326282</v>
      </c>
      <c r="BV42" s="292">
        <f t="shared" si="333"/>
        <v>0.1875383968184304</v>
      </c>
      <c r="BW42" s="292">
        <f t="shared" si="333"/>
        <v>0.18496066002521269</v>
      </c>
      <c r="BX42" s="292">
        <f t="shared" si="333"/>
        <v>0.18236890198253261</v>
      </c>
      <c r="BY42" s="292">
        <f t="shared" si="333"/>
        <v>0.17979483705404875</v>
      </c>
    </row>
    <row r="43" spans="1:94">
      <c r="B43" s="350" t="s">
        <v>138</v>
      </c>
      <c r="E43" s="485"/>
      <c r="F43" s="479"/>
      <c r="G43" s="479"/>
      <c r="H43" s="393"/>
      <c r="I43" s="479"/>
      <c r="J43" s="479"/>
      <c r="K43" s="393"/>
      <c r="L43" s="479"/>
      <c r="M43" s="479"/>
      <c r="N43" s="393"/>
      <c r="O43" s="501"/>
      <c r="P43" s="501"/>
      <c r="Q43" s="394"/>
      <c r="R43" s="352"/>
      <c r="S43" s="352"/>
      <c r="T43" s="351"/>
      <c r="U43" s="352"/>
      <c r="V43" s="352"/>
      <c r="W43" s="351"/>
      <c r="X43" s="352"/>
      <c r="Y43" s="352"/>
      <c r="Z43" s="351"/>
      <c r="AA43" s="352"/>
      <c r="AB43" s="396"/>
      <c r="AC43" s="505"/>
      <c r="AD43" s="395"/>
      <c r="AE43" s="396"/>
      <c r="AF43" s="505"/>
      <c r="AG43" s="395">
        <v>0.05</v>
      </c>
      <c r="AH43" s="396">
        <f>+AG43</f>
        <v>0.05</v>
      </c>
      <c r="AI43" s="505">
        <f>IFERROR(AI35/AF35-1,"NA")</f>
        <v>5.0000000000000044E-2</v>
      </c>
      <c r="AJ43" s="396">
        <f t="shared" si="317"/>
        <v>0.05</v>
      </c>
      <c r="AK43" s="396">
        <f t="shared" si="318"/>
        <v>0.05</v>
      </c>
      <c r="AL43" s="505">
        <f>IFERROR(AL35/AI35-1,"NA")</f>
        <v>5.0000000000000044E-2</v>
      </c>
      <c r="AM43" s="396">
        <f t="shared" si="319"/>
        <v>0.05</v>
      </c>
      <c r="AN43" s="396">
        <f t="shared" si="320"/>
        <v>0.05</v>
      </c>
      <c r="AO43" s="505">
        <f>IFERROR(AO35/AL35-1,"NA")</f>
        <v>4.9999999999999822E-2</v>
      </c>
      <c r="AP43" s="396">
        <f>+AN43</f>
        <v>0.05</v>
      </c>
      <c r="AQ43" s="396">
        <f t="shared" si="322"/>
        <v>0.05</v>
      </c>
      <c r="AR43" s="505">
        <f>IFERROR(AR35/AO35-1,"NA")</f>
        <v>5.0000000000000044E-2</v>
      </c>
      <c r="AS43" s="396">
        <f t="shared" si="323"/>
        <v>0.05</v>
      </c>
      <c r="AT43" s="396">
        <f t="shared" si="324"/>
        <v>0.05</v>
      </c>
      <c r="AU43" s="505">
        <f>IFERROR(AU35/AR35-1,"NA")</f>
        <v>5.0000000000000044E-2</v>
      </c>
      <c r="AV43" s="396">
        <f t="shared" si="325"/>
        <v>0.05</v>
      </c>
      <c r="AW43" s="396">
        <f t="shared" si="326"/>
        <v>0.05</v>
      </c>
      <c r="AX43" s="505">
        <f>IFERROR(AX35/AU35-1,"NA")</f>
        <v>5.0000000000000266E-2</v>
      </c>
      <c r="AY43" s="396">
        <f t="shared" si="327"/>
        <v>0.05</v>
      </c>
      <c r="AZ43" s="396">
        <f t="shared" si="328"/>
        <v>0.05</v>
      </c>
      <c r="BA43" s="505">
        <f>IFERROR(BA35/AX35-1,"NA")</f>
        <v>4.9999999999999822E-2</v>
      </c>
      <c r="BB43" s="396">
        <f t="shared" si="329"/>
        <v>0.05</v>
      </c>
      <c r="BC43" s="396">
        <f t="shared" si="330"/>
        <v>0.05</v>
      </c>
      <c r="BD43" s="505">
        <f>IFERROR(BD35/BA35-1,"NA")</f>
        <v>5.0000000000000266E-2</v>
      </c>
      <c r="BE43" s="396">
        <f t="shared" si="331"/>
        <v>0.05</v>
      </c>
      <c r="BF43" s="396">
        <f t="shared" si="332"/>
        <v>0.05</v>
      </c>
      <c r="BG43" s="505">
        <f>IFERROR(BG35/BD35-1,"NA")</f>
        <v>5.0000000000000044E-2</v>
      </c>
      <c r="BK43" s="500" t="s">
        <v>27</v>
      </c>
      <c r="BL43" s="292">
        <f t="shared" si="333"/>
        <v>0.23717019788127122</v>
      </c>
      <c r="BM43" s="292">
        <f t="shared" si="333"/>
        <v>0.10049913207479173</v>
      </c>
      <c r="BN43" s="292">
        <f t="shared" si="333"/>
        <v>0.10832037882029072</v>
      </c>
      <c r="BO43" s="292">
        <f t="shared" si="333"/>
        <v>0.12364053677111612</v>
      </c>
      <c r="BP43" s="292">
        <f t="shared" si="333"/>
        <v>0.12327809231694896</v>
      </c>
      <c r="BQ43" s="292">
        <f t="shared" si="333"/>
        <v>0.12281818348336257</v>
      </c>
      <c r="BR43" s="292">
        <f t="shared" si="333"/>
        <v>0.10720327861252538</v>
      </c>
      <c r="BS43" s="292">
        <f t="shared" si="333"/>
        <v>0.1028483231306475</v>
      </c>
      <c r="BT43" s="292">
        <f t="shared" si="333"/>
        <v>0.10101825991625589</v>
      </c>
      <c r="BU43" s="292">
        <f t="shared" si="333"/>
        <v>9.9351849949472604E-2</v>
      </c>
      <c r="BV43" s="292">
        <f t="shared" si="333"/>
        <v>9.7780740453427425E-2</v>
      </c>
      <c r="BW43" s="292">
        <f t="shared" si="333"/>
        <v>9.6289660292312479E-2</v>
      </c>
      <c r="BX43" s="292">
        <f t="shared" si="333"/>
        <v>9.4878480805964074E-2</v>
      </c>
      <c r="BY43" s="292">
        <f t="shared" si="333"/>
        <v>9.3534177931497473E-2</v>
      </c>
      <c r="CC43" s="53" t="s">
        <v>140</v>
      </c>
      <c r="CD43" s="53">
        <f>+CD41-CD44</f>
        <v>35</v>
      </c>
      <c r="CE43" s="53">
        <f>+CD43*(1+CF39)</f>
        <v>37.450000000000003</v>
      </c>
    </row>
    <row r="44" spans="1:94">
      <c r="E44" s="346"/>
      <c r="F44" s="347"/>
      <c r="G44" s="347"/>
      <c r="H44" s="346"/>
      <c r="I44" s="347"/>
      <c r="J44" s="347"/>
      <c r="K44" s="346"/>
      <c r="L44" s="347"/>
      <c r="M44" s="347"/>
      <c r="N44" s="485"/>
      <c r="O44" s="388"/>
      <c r="P44" s="388"/>
      <c r="Q44" s="502"/>
      <c r="R44" s="347"/>
      <c r="S44" s="347"/>
      <c r="T44" s="486"/>
      <c r="U44" s="347"/>
      <c r="V44" s="347"/>
      <c r="W44" s="486"/>
      <c r="X44" s="347"/>
      <c r="Y44" s="347"/>
      <c r="Z44" s="486"/>
      <c r="AA44" s="347"/>
      <c r="AB44" s="489"/>
      <c r="AC44" s="485"/>
      <c r="AD44" s="479"/>
      <c r="AE44" s="489"/>
      <c r="AF44" s="485"/>
      <c r="AG44" s="479"/>
      <c r="AH44" s="489"/>
      <c r="AI44" s="485"/>
      <c r="AJ44" s="479"/>
      <c r="AK44" s="489"/>
      <c r="AL44" s="485"/>
      <c r="AM44" s="479"/>
      <c r="AN44" s="489"/>
      <c r="AO44" s="485"/>
      <c r="AP44" s="479"/>
      <c r="AQ44" s="489"/>
      <c r="AR44" s="485"/>
      <c r="AS44" s="479"/>
      <c r="AT44" s="489"/>
      <c r="AU44" s="485"/>
      <c r="AV44" s="479"/>
      <c r="AW44" s="489"/>
      <c r="AX44" s="485"/>
      <c r="AY44" s="479"/>
      <c r="AZ44" s="489"/>
      <c r="BA44" s="485"/>
      <c r="BB44" s="479"/>
      <c r="BC44" s="489"/>
      <c r="BD44" s="485"/>
      <c r="BE44" s="479"/>
      <c r="BF44" s="489"/>
      <c r="BG44" s="485"/>
      <c r="BK44" s="500" t="s">
        <v>30</v>
      </c>
      <c r="BL44" s="292">
        <f t="shared" si="333"/>
        <v>0</v>
      </c>
      <c r="BM44" s="292">
        <f t="shared" si="333"/>
        <v>1.8773012030824859E-2</v>
      </c>
      <c r="BN44" s="292">
        <f t="shared" si="333"/>
        <v>3.2271740834883683E-2</v>
      </c>
      <c r="BO44" s="292">
        <f t="shared" si="333"/>
        <v>4.9168387327031389E-2</v>
      </c>
      <c r="BP44" s="292">
        <f t="shared" si="333"/>
        <v>0.05</v>
      </c>
      <c r="BQ44" s="292">
        <f t="shared" si="333"/>
        <v>0.05</v>
      </c>
      <c r="BR44" s="292">
        <f t="shared" si="333"/>
        <v>4.8000000000000001E-2</v>
      </c>
      <c r="BS44" s="292">
        <f t="shared" si="333"/>
        <v>4.6000000000000006E-2</v>
      </c>
      <c r="BT44" s="292">
        <f t="shared" si="333"/>
        <v>4.4000000000000004E-2</v>
      </c>
      <c r="BU44" s="292">
        <f t="shared" si="333"/>
        <v>4.1999999999999989E-2</v>
      </c>
      <c r="BV44" s="292">
        <f t="shared" si="333"/>
        <v>3.9999999999999994E-2</v>
      </c>
      <c r="BW44" s="292">
        <f t="shared" si="333"/>
        <v>3.7999999999999992E-2</v>
      </c>
      <c r="BX44" s="292">
        <f t="shared" si="333"/>
        <v>3.5999999999999997E-2</v>
      </c>
      <c r="BY44" s="292">
        <f t="shared" si="333"/>
        <v>3.3999999999999982E-2</v>
      </c>
      <c r="CC44" s="53" t="s">
        <v>490</v>
      </c>
      <c r="CD44" s="53">
        <f>+CD41*CD47</f>
        <v>65</v>
      </c>
      <c r="CE44" s="53">
        <f>+CE41-CE43</f>
        <v>70.62</v>
      </c>
    </row>
    <row r="45" spans="1:94">
      <c r="A45" s="51" t="s">
        <v>491</v>
      </c>
      <c r="B45" s="350" t="s">
        <v>425</v>
      </c>
      <c r="E45" s="346"/>
      <c r="F45" s="347"/>
      <c r="G45" s="347"/>
      <c r="H45" s="346"/>
      <c r="I45" s="347"/>
      <c r="J45" s="347"/>
      <c r="K45" s="346"/>
      <c r="L45" s="347"/>
      <c r="M45" s="347"/>
      <c r="N45" s="485"/>
      <c r="O45" s="388"/>
      <c r="P45" s="388"/>
      <c r="Q45" s="502"/>
      <c r="R45" s="347"/>
      <c r="S45" s="347"/>
      <c r="T45" s="486"/>
      <c r="U45" s="506">
        <f>+SUM(U20:U22)</f>
        <v>144</v>
      </c>
      <c r="V45" s="506">
        <f t="shared" ref="V45:BG45" si="334">+SUM(V20:V22)</f>
        <v>180</v>
      </c>
      <c r="W45" s="507">
        <f t="shared" si="334"/>
        <v>324</v>
      </c>
      <c r="X45" s="506">
        <f t="shared" si="334"/>
        <v>235</v>
      </c>
      <c r="Y45" s="506">
        <f t="shared" si="334"/>
        <v>270</v>
      </c>
      <c r="Z45" s="507">
        <f t="shared" si="334"/>
        <v>505</v>
      </c>
      <c r="AA45" s="506">
        <f t="shared" ref="AA45" si="335">+SUM(AA20:AA22)</f>
        <v>305</v>
      </c>
      <c r="AB45" s="506">
        <f t="shared" si="334"/>
        <v>316.54192093839913</v>
      </c>
      <c r="AC45" s="507">
        <f t="shared" si="334"/>
        <v>621.54192093839913</v>
      </c>
      <c r="AD45" s="506">
        <f t="shared" si="334"/>
        <v>340.55039627065662</v>
      </c>
      <c r="AE45" s="506">
        <f t="shared" si="334"/>
        <v>354.45041244496906</v>
      </c>
      <c r="AF45" s="507">
        <f t="shared" si="334"/>
        <v>695.00080871562568</v>
      </c>
      <c r="AG45" s="506">
        <f t="shared" si="334"/>
        <v>383.16098392154811</v>
      </c>
      <c r="AH45" s="506">
        <f t="shared" si="334"/>
        <v>398.80020775508069</v>
      </c>
      <c r="AI45" s="507">
        <f t="shared" si="334"/>
        <v>781.9611916766288</v>
      </c>
      <c r="AJ45" s="506">
        <f t="shared" si="334"/>
        <v>432.99097445525115</v>
      </c>
      <c r="AK45" s="506">
        <f t="shared" si="334"/>
        <v>450.66407545342469</v>
      </c>
      <c r="AL45" s="507">
        <f t="shared" si="334"/>
        <v>883.65504990867589</v>
      </c>
      <c r="AM45" s="506">
        <f t="shared" si="334"/>
        <v>484.47899080827301</v>
      </c>
      <c r="AN45" s="506">
        <f t="shared" si="334"/>
        <v>504.25364349432493</v>
      </c>
      <c r="AO45" s="507">
        <f t="shared" si="334"/>
        <v>988.73263430259806</v>
      </c>
      <c r="AP45" s="506">
        <f t="shared" si="334"/>
        <v>513.71861793730193</v>
      </c>
      <c r="AQ45" s="506">
        <f t="shared" si="334"/>
        <v>556.52850276541039</v>
      </c>
      <c r="AR45" s="507">
        <f t="shared" si="334"/>
        <v>1070.2471207027122</v>
      </c>
      <c r="AS45" s="506">
        <f t="shared" si="334"/>
        <v>559.49091436708534</v>
      </c>
      <c r="AT45" s="506">
        <f t="shared" si="334"/>
        <v>606.11515723100911</v>
      </c>
      <c r="AU45" s="507">
        <f t="shared" si="334"/>
        <v>1165.6060715980943</v>
      </c>
      <c r="AV45" s="506">
        <f t="shared" si="334"/>
        <v>600.61938965869979</v>
      </c>
      <c r="AW45" s="506">
        <f t="shared" si="334"/>
        <v>650.67100546359154</v>
      </c>
      <c r="AX45" s="507">
        <f t="shared" si="334"/>
        <v>1251.2903951222911</v>
      </c>
      <c r="AY45" s="506">
        <f t="shared" si="334"/>
        <v>636.69372175615808</v>
      </c>
      <c r="AZ45" s="506">
        <f t="shared" si="334"/>
        <v>689.75153190250478</v>
      </c>
      <c r="BA45" s="507">
        <f t="shared" si="334"/>
        <v>1326.4452536586628</v>
      </c>
      <c r="BB45" s="506">
        <f t="shared" si="334"/>
        <v>667.28986817493376</v>
      </c>
      <c r="BC45" s="506">
        <f t="shared" si="334"/>
        <v>722.89735718951158</v>
      </c>
      <c r="BD45" s="507">
        <f t="shared" si="334"/>
        <v>1390.1872253644453</v>
      </c>
      <c r="BE45" s="506">
        <f t="shared" si="334"/>
        <v>691.94419834349299</v>
      </c>
      <c r="BF45" s="506">
        <f t="shared" si="334"/>
        <v>749.60621487211733</v>
      </c>
      <c r="BG45" s="507">
        <f t="shared" si="334"/>
        <v>1441.5504132156102</v>
      </c>
      <c r="BH45" s="397">
        <f>+(BG45/Z45)^(1/11)-1</f>
        <v>0.1000504093641672</v>
      </c>
      <c r="BK45" s="500"/>
      <c r="BL45" s="292"/>
      <c r="BM45" s="292"/>
      <c r="BN45" s="292"/>
      <c r="BO45" s="292"/>
      <c r="BP45" s="292"/>
      <c r="BQ45" s="292"/>
      <c r="BR45" s="292"/>
      <c r="BS45" s="292"/>
      <c r="BT45" s="292"/>
      <c r="BU45" s="292"/>
      <c r="BV45" s="292"/>
      <c r="BW45" s="292"/>
      <c r="BX45" s="292"/>
      <c r="BY45" s="292"/>
    </row>
    <row r="46" spans="1:94">
      <c r="E46" s="346"/>
      <c r="F46" s="347"/>
      <c r="G46" s="347"/>
      <c r="H46" s="346"/>
      <c r="I46" s="347"/>
      <c r="J46" s="347"/>
      <c r="K46" s="346"/>
      <c r="L46" s="347"/>
      <c r="M46" s="347"/>
      <c r="N46" s="485"/>
      <c r="O46" s="388"/>
      <c r="P46" s="388"/>
      <c r="Q46" s="502"/>
      <c r="R46" s="347"/>
      <c r="S46" s="347"/>
      <c r="T46" s="486"/>
      <c r="U46" s="347"/>
      <c r="V46" s="347"/>
      <c r="W46" s="486"/>
      <c r="X46" s="398">
        <f t="shared" ref="X46:AB46" si="336">+X45/U45-1</f>
        <v>0.63194444444444442</v>
      </c>
      <c r="Y46" s="398">
        <f t="shared" si="336"/>
        <v>0.5</v>
      </c>
      <c r="Z46" s="399">
        <f t="shared" si="336"/>
        <v>0.55864197530864201</v>
      </c>
      <c r="AA46" s="398">
        <f t="shared" si="336"/>
        <v>0.2978723404255319</v>
      </c>
      <c r="AB46" s="380">
        <f t="shared" si="336"/>
        <v>0.17237748495703387</v>
      </c>
      <c r="AC46" s="399">
        <f>+AC45/Z45-1</f>
        <v>0.23077608106613678</v>
      </c>
      <c r="AD46" s="380">
        <f t="shared" ref="AD46:BG46" si="337">+AD45/AA45-1</f>
        <v>0.11655867629723482</v>
      </c>
      <c r="AE46" s="380">
        <f t="shared" si="337"/>
        <v>0.11975820262349113</v>
      </c>
      <c r="AF46" s="399">
        <f t="shared" si="337"/>
        <v>0.11818814677265688</v>
      </c>
      <c r="AG46" s="380">
        <f t="shared" si="337"/>
        <v>0.1251227075860637</v>
      </c>
      <c r="AH46" s="380">
        <f t="shared" si="337"/>
        <v>0.12512270758606392</v>
      </c>
      <c r="AI46" s="399">
        <f t="shared" si="337"/>
        <v>0.12512270758606392</v>
      </c>
      <c r="AJ46" s="380">
        <f t="shared" si="337"/>
        <v>0.13004975095247606</v>
      </c>
      <c r="AK46" s="380">
        <f t="shared" si="337"/>
        <v>0.13004975095247606</v>
      </c>
      <c r="AL46" s="399">
        <f t="shared" si="337"/>
        <v>0.13004975095247628</v>
      </c>
      <c r="AM46" s="380">
        <f t="shared" si="337"/>
        <v>0.11891244711924842</v>
      </c>
      <c r="AN46" s="380">
        <f t="shared" si="337"/>
        <v>0.1189124471192482</v>
      </c>
      <c r="AO46" s="399">
        <f t="shared" si="337"/>
        <v>0.11891244711924842</v>
      </c>
      <c r="AP46" s="380">
        <f t="shared" si="337"/>
        <v>6.0352724646010936E-2</v>
      </c>
      <c r="AQ46" s="380">
        <f t="shared" si="337"/>
        <v>0.10366778692730216</v>
      </c>
      <c r="AR46" s="399">
        <f t="shared" si="337"/>
        <v>8.2443406409469233E-2</v>
      </c>
      <c r="AS46" s="380">
        <f t="shared" si="337"/>
        <v>8.9099936875111974E-2</v>
      </c>
      <c r="AT46" s="380">
        <f t="shared" si="337"/>
        <v>8.9099936875112196E-2</v>
      </c>
      <c r="AU46" s="399">
        <f t="shared" si="337"/>
        <v>8.9099936875112196E-2</v>
      </c>
      <c r="AV46" s="380">
        <f t="shared" si="337"/>
        <v>7.351053294250609E-2</v>
      </c>
      <c r="AW46" s="380">
        <f t="shared" si="337"/>
        <v>7.3510532942506313E-2</v>
      </c>
      <c r="AX46" s="399">
        <f t="shared" si="337"/>
        <v>7.351053294250609E-2</v>
      </c>
      <c r="AY46" s="380">
        <f t="shared" si="337"/>
        <v>6.0061883979399155E-2</v>
      </c>
      <c r="AZ46" s="380">
        <f t="shared" si="337"/>
        <v>6.0061883979399155E-2</v>
      </c>
      <c r="BA46" s="399">
        <f t="shared" si="337"/>
        <v>6.0061883979399155E-2</v>
      </c>
      <c r="BB46" s="380">
        <f t="shared" si="337"/>
        <v>4.8054732398466138E-2</v>
      </c>
      <c r="BC46" s="380">
        <f t="shared" si="337"/>
        <v>4.8054732398465916E-2</v>
      </c>
      <c r="BD46" s="399">
        <f t="shared" si="337"/>
        <v>4.8054732398466138E-2</v>
      </c>
      <c r="BE46" s="380">
        <f t="shared" si="337"/>
        <v>3.6946957153702664E-2</v>
      </c>
      <c r="BF46" s="380">
        <f t="shared" si="337"/>
        <v>3.6946957153702664E-2</v>
      </c>
      <c r="BG46" s="399">
        <f t="shared" si="337"/>
        <v>3.6946957153702664E-2</v>
      </c>
      <c r="BK46" s="500"/>
      <c r="BL46" s="292"/>
      <c r="BM46" s="292"/>
      <c r="BN46" s="292"/>
      <c r="BO46" s="292"/>
      <c r="BP46" s="292"/>
      <c r="BQ46" s="292"/>
      <c r="BR46" s="292"/>
      <c r="BS46" s="292"/>
      <c r="BT46" s="292"/>
      <c r="BU46" s="292"/>
      <c r="BV46" s="292"/>
      <c r="BW46" s="292"/>
      <c r="BX46" s="292"/>
      <c r="BY46" s="292"/>
    </row>
    <row r="47" spans="1:94">
      <c r="B47" s="364" t="s">
        <v>189</v>
      </c>
      <c r="C47" s="495"/>
      <c r="D47" s="495"/>
      <c r="E47" s="496"/>
      <c r="F47" s="497"/>
      <c r="G47" s="497"/>
      <c r="H47" s="496"/>
      <c r="I47" s="497"/>
      <c r="J47" s="497"/>
      <c r="K47" s="496"/>
      <c r="L47" s="497"/>
      <c r="M47" s="497"/>
      <c r="N47" s="496"/>
      <c r="O47" s="508"/>
      <c r="P47" s="508"/>
      <c r="Q47" s="509"/>
      <c r="R47" s="497"/>
      <c r="S47" s="497"/>
      <c r="T47" s="498"/>
      <c r="U47" s="497"/>
      <c r="V47" s="497"/>
      <c r="W47" s="498"/>
      <c r="X47" s="497"/>
      <c r="Y47" s="499"/>
      <c r="Z47" s="496"/>
      <c r="AA47" s="497"/>
      <c r="AB47" s="499"/>
      <c r="AC47" s="496"/>
      <c r="AD47" s="497"/>
      <c r="AE47" s="499"/>
      <c r="AF47" s="496"/>
      <c r="AG47" s="497"/>
      <c r="AH47" s="499"/>
      <c r="AI47" s="496"/>
      <c r="AJ47" s="497"/>
      <c r="AK47" s="499"/>
      <c r="AL47" s="496"/>
      <c r="AM47" s="497"/>
      <c r="AN47" s="499"/>
      <c r="AO47" s="496"/>
      <c r="AP47" s="497"/>
      <c r="AQ47" s="499"/>
      <c r="AR47" s="496"/>
      <c r="AS47" s="497"/>
      <c r="AT47" s="499"/>
      <c r="AU47" s="496"/>
      <c r="AV47" s="497"/>
      <c r="AW47" s="499"/>
      <c r="AX47" s="496"/>
      <c r="AY47" s="497"/>
      <c r="AZ47" s="499"/>
      <c r="BA47" s="496"/>
      <c r="BB47" s="497"/>
      <c r="BC47" s="499"/>
      <c r="BD47" s="496"/>
      <c r="BE47" s="497"/>
      <c r="BF47" s="499"/>
      <c r="BG47" s="496"/>
      <c r="BK47" s="500" t="s">
        <v>33</v>
      </c>
      <c r="BL47" s="292">
        <f t="shared" ref="BL47:BY47" si="338">+BL38/BL$18</f>
        <v>0.30686588047171698</v>
      </c>
      <c r="BM47" s="292">
        <f t="shared" si="338"/>
        <v>0.14745418616244918</v>
      </c>
      <c r="BN47" s="292">
        <f t="shared" si="338"/>
        <v>0.14089993050057012</v>
      </c>
      <c r="BO47" s="292">
        <f t="shared" si="338"/>
        <v>0.1286157892584098</v>
      </c>
      <c r="BP47" s="292">
        <f t="shared" si="338"/>
        <v>0.12140689240016661</v>
      </c>
      <c r="BQ47" s="292">
        <f t="shared" si="338"/>
        <v>0.12165781501460478</v>
      </c>
      <c r="BR47" s="292">
        <f t="shared" si="338"/>
        <v>0.12189724986400303</v>
      </c>
      <c r="BS47" s="292">
        <f t="shared" si="338"/>
        <v>0.117989907212941</v>
      </c>
      <c r="BT47" s="292">
        <f t="shared" si="338"/>
        <v>0.11315224733369042</v>
      </c>
      <c r="BU47" s="292">
        <f t="shared" si="338"/>
        <v>0.10918842629254499</v>
      </c>
      <c r="BV47" s="292">
        <f t="shared" si="338"/>
        <v>0.10537277943697841</v>
      </c>
      <c r="BW47" s="292">
        <f t="shared" si="338"/>
        <v>0.10174883652290172</v>
      </c>
      <c r="BX47" s="292">
        <f t="shared" si="338"/>
        <v>9.8202899312442624E-2</v>
      </c>
      <c r="BY47" s="292">
        <f t="shared" si="338"/>
        <v>9.475468955189438E-2</v>
      </c>
      <c r="CC47" s="53" t="s">
        <v>492</v>
      </c>
      <c r="CD47" s="247">
        <v>0.65</v>
      </c>
      <c r="CE47" s="247">
        <f>+CE44/CE41</f>
        <v>0.65346534653465349</v>
      </c>
    </row>
    <row r="48" spans="1:94">
      <c r="A48" s="51" t="s">
        <v>139</v>
      </c>
      <c r="B48" s="52" t="s">
        <v>463</v>
      </c>
      <c r="E48" s="346">
        <v>0</v>
      </c>
      <c r="F48" s="347">
        <v>0</v>
      </c>
      <c r="G48" s="347">
        <f t="shared" ref="G48" si="339">H48-F48</f>
        <v>0</v>
      </c>
      <c r="H48" s="346">
        <v>0</v>
      </c>
      <c r="I48" s="348">
        <v>0.72899999999999998</v>
      </c>
      <c r="J48" s="347">
        <f t="shared" ref="J48" si="340">K48-I48</f>
        <v>1.8140000000000001</v>
      </c>
      <c r="K48" s="349">
        <v>2.5430000000000001</v>
      </c>
      <c r="L48" s="348">
        <v>0.91700000000000004</v>
      </c>
      <c r="M48" s="347">
        <f t="shared" ref="M48" si="341">N48-L48</f>
        <v>1.107</v>
      </c>
      <c r="N48" s="349">
        <v>2.024</v>
      </c>
      <c r="O48" s="348">
        <v>0.875</v>
      </c>
      <c r="P48" s="347">
        <f t="shared" ref="P48" si="342">Q48-O48</f>
        <v>1.673</v>
      </c>
      <c r="Q48" s="349">
        <v>2.548</v>
      </c>
      <c r="R48" s="347">
        <f>(R49+R50+R51)</f>
        <v>10.568</v>
      </c>
      <c r="S48" s="347">
        <f>(S49+S50+S51)</f>
        <v>54.602000000000004</v>
      </c>
      <c r="T48" s="346">
        <f>+SUM(T49:T51)</f>
        <v>65.17</v>
      </c>
      <c r="U48" s="347">
        <f t="shared" ref="U48:BG48" si="343">+SUM(U49:U51)</f>
        <v>55.018999999999998</v>
      </c>
      <c r="V48" s="347">
        <f t="shared" si="343"/>
        <v>68.388000000000005</v>
      </c>
      <c r="W48" s="346">
        <f t="shared" si="343"/>
        <v>123.407</v>
      </c>
      <c r="X48" s="347">
        <f t="shared" si="343"/>
        <v>82.415000000000006</v>
      </c>
      <c r="Y48" s="347">
        <f t="shared" si="343"/>
        <v>97.972999999999999</v>
      </c>
      <c r="Z48" s="346">
        <f t="shared" si="343"/>
        <v>180.38800000000001</v>
      </c>
      <c r="AA48" s="347">
        <f t="shared" ref="AA48" si="344">+SUM(AA49:AA51)</f>
        <v>181.73599999999999</v>
      </c>
      <c r="AB48" s="347">
        <f t="shared" si="343"/>
        <v>196.09170046105268</v>
      </c>
      <c r="AC48" s="346">
        <f t="shared" si="343"/>
        <v>377.8277004610527</v>
      </c>
      <c r="AD48" s="347">
        <f t="shared" si="343"/>
        <v>211.05655008075689</v>
      </c>
      <c r="AE48" s="347">
        <f t="shared" si="343"/>
        <v>218.70047896765448</v>
      </c>
      <c r="AF48" s="346">
        <f t="shared" si="343"/>
        <v>429.75702904841137</v>
      </c>
      <c r="AG48" s="347">
        <f t="shared" si="343"/>
        <v>231.68426956545062</v>
      </c>
      <c r="AH48" s="347">
        <f t="shared" si="343"/>
        <v>237.2075608316124</v>
      </c>
      <c r="AI48" s="346">
        <f t="shared" si="343"/>
        <v>468.89183039706302</v>
      </c>
      <c r="AJ48" s="347">
        <f t="shared" si="343"/>
        <v>254.08509161289174</v>
      </c>
      <c r="AK48" s="347">
        <f t="shared" si="343"/>
        <v>260.27588884263378</v>
      </c>
      <c r="AL48" s="346">
        <f t="shared" si="343"/>
        <v>514.36098045552558</v>
      </c>
      <c r="AM48" s="347">
        <f t="shared" si="343"/>
        <v>306.27354610888466</v>
      </c>
      <c r="AN48" s="347">
        <f t="shared" si="343"/>
        <v>314.37713198655661</v>
      </c>
      <c r="AO48" s="346">
        <f t="shared" si="343"/>
        <v>620.65067809544121</v>
      </c>
      <c r="AP48" s="347">
        <f t="shared" si="343"/>
        <v>341.67210314114857</v>
      </c>
      <c r="AQ48" s="347">
        <f t="shared" si="343"/>
        <v>360.65468236430871</v>
      </c>
      <c r="AR48" s="346">
        <f t="shared" si="343"/>
        <v>702.32678550545734</v>
      </c>
      <c r="AS48" s="347">
        <f t="shared" si="343"/>
        <v>378.32958089299257</v>
      </c>
      <c r="AT48" s="347">
        <f t="shared" si="343"/>
        <v>399.92568051854283</v>
      </c>
      <c r="AU48" s="346">
        <f t="shared" si="343"/>
        <v>778.25526141153546</v>
      </c>
      <c r="AV48" s="347">
        <f t="shared" si="343"/>
        <v>414.33946458828638</v>
      </c>
      <c r="AW48" s="347">
        <f t="shared" si="343"/>
        <v>438.432095402355</v>
      </c>
      <c r="AX48" s="346">
        <f t="shared" si="343"/>
        <v>852.77155999064144</v>
      </c>
      <c r="AY48" s="347">
        <f t="shared" si="343"/>
        <v>447.82605440283362</v>
      </c>
      <c r="AZ48" s="347">
        <f t="shared" si="343"/>
        <v>474.53492558594053</v>
      </c>
      <c r="BA48" s="346">
        <f t="shared" si="343"/>
        <v>922.36097998877403</v>
      </c>
      <c r="BB48" s="347">
        <f t="shared" si="343"/>
        <v>479.56850045383158</v>
      </c>
      <c r="BC48" s="347">
        <f t="shared" si="343"/>
        <v>508.44799655028203</v>
      </c>
      <c r="BD48" s="346">
        <f t="shared" si="343"/>
        <v>988.01649700411372</v>
      </c>
      <c r="BE48" s="347">
        <f t="shared" si="343"/>
        <v>507.40249953864725</v>
      </c>
      <c r="BF48" s="347">
        <f t="shared" si="343"/>
        <v>538.10678573521704</v>
      </c>
      <c r="BG48" s="346">
        <f t="shared" si="343"/>
        <v>1045.5092852738644</v>
      </c>
    </row>
    <row r="49" spans="1:89">
      <c r="A49" s="51" t="s">
        <v>493</v>
      </c>
      <c r="B49" s="350" t="s">
        <v>99</v>
      </c>
      <c r="E49" s="485"/>
      <c r="F49" s="501"/>
      <c r="G49" s="501"/>
      <c r="H49" s="502"/>
      <c r="I49" s="501"/>
      <c r="J49" s="501"/>
      <c r="K49" s="502"/>
      <c r="L49" s="501"/>
      <c r="M49" s="501"/>
      <c r="N49" s="502"/>
      <c r="O49" s="501"/>
      <c r="P49" s="501"/>
      <c r="Q49" s="502"/>
      <c r="R49" s="376">
        <v>10.568</v>
      </c>
      <c r="S49" s="479">
        <f>T49-R49</f>
        <v>54.602000000000004</v>
      </c>
      <c r="T49" s="377">
        <v>65.17</v>
      </c>
      <c r="U49" s="376">
        <v>55.018999999999998</v>
      </c>
      <c r="V49" s="479">
        <f>W49-U49</f>
        <v>68.388000000000005</v>
      </c>
      <c r="W49" s="377">
        <v>123.407</v>
      </c>
      <c r="X49" s="376">
        <v>82.415000000000006</v>
      </c>
      <c r="Y49" s="479">
        <f>Z49-X49</f>
        <v>95.847999999999999</v>
      </c>
      <c r="Z49" s="377">
        <v>178.26300000000001</v>
      </c>
      <c r="AA49" s="376">
        <v>108.839</v>
      </c>
      <c r="AB49" s="479">
        <f>+AB19*AB59</f>
        <v>112.82726186673999</v>
      </c>
      <c r="AC49" s="485">
        <f>+SUM(AA49:AB49)</f>
        <v>221.66626186674</v>
      </c>
      <c r="AD49" s="479">
        <f>+AD19*AD59</f>
        <v>122.92880265743638</v>
      </c>
      <c r="AE49" s="479">
        <f>+AE19*AE59</f>
        <v>130.57273154433398</v>
      </c>
      <c r="AF49" s="485">
        <f t="shared" ref="AF49:AF51" si="345">+SUM(AD49:AE49)</f>
        <v>253.50153420177037</v>
      </c>
      <c r="AG49" s="479">
        <f>+AG19*AG59</f>
        <v>139.15013477096406</v>
      </c>
      <c r="AH49" s="479">
        <f>+AH19*AH59</f>
        <v>144.67342603712586</v>
      </c>
      <c r="AI49" s="485">
        <f t="shared" ref="AI49:AI51" si="346">+SUM(AG49:AH49)</f>
        <v>283.82356080808995</v>
      </c>
      <c r="AJ49" s="479">
        <f>+AJ19*AJ59</f>
        <v>155.76662431579948</v>
      </c>
      <c r="AK49" s="479">
        <f>+AK19*AK59</f>
        <v>161.95742151440353</v>
      </c>
      <c r="AL49" s="485">
        <f t="shared" ref="AL49:AL51" si="347">+SUM(AJ49:AK49)</f>
        <v>317.72404583020301</v>
      </c>
      <c r="AM49" s="479">
        <f>+AM19*AM59</f>
        <v>182.43699706575961</v>
      </c>
      <c r="AN49" s="479">
        <f>+AN19*AN59</f>
        <v>189.69967848701509</v>
      </c>
      <c r="AO49" s="485">
        <f t="shared" ref="AO49:AO51" si="348">+SUM(AM49:AN49)</f>
        <v>372.1366755527747</v>
      </c>
      <c r="AP49" s="479">
        <f>+AP19*AP59</f>
        <v>198.2487294002826</v>
      </c>
      <c r="AQ49" s="479">
        <f>+AQ19*AQ59</f>
        <v>214.42806835471592</v>
      </c>
      <c r="AR49" s="485">
        <f t="shared" ref="AR49:AR51" si="349">+SUM(AP49:AQ49)</f>
        <v>412.67679775499852</v>
      </c>
      <c r="AS49" s="479">
        <f>+AS19*AS59</f>
        <v>217.45336157852574</v>
      </c>
      <c r="AT49" s="479">
        <f>+AT19*AT59</f>
        <v>235.20252088235264</v>
      </c>
      <c r="AU49" s="485">
        <f t="shared" ref="AU49:AU51" si="350">+SUM(AS49:AT49)</f>
        <v>452.65588246087839</v>
      </c>
      <c r="AV49" s="479">
        <f>+AV19*AV59</f>
        <v>235.10704394959615</v>
      </c>
      <c r="AW49" s="479">
        <f>+AW19*AW59</f>
        <v>254.27621874092159</v>
      </c>
      <c r="AX49" s="485">
        <f t="shared" ref="AX49:AX51" si="351">+SUM(AV49:AW49)</f>
        <v>489.38326269051777</v>
      </c>
      <c r="AY49" s="479">
        <f>+AY19*AY59</f>
        <v>250.60965752001542</v>
      </c>
      <c r="AZ49" s="479">
        <f>+AZ19*AZ59</f>
        <v>271.16435512413716</v>
      </c>
      <c r="BA49" s="485">
        <f t="shared" ref="BA49:BA51" si="352">+SUM(AY49:AZ49)</f>
        <v>521.77401264415255</v>
      </c>
      <c r="BB49" s="479">
        <f>+BB19*BB59</f>
        <v>264.02813342101962</v>
      </c>
      <c r="BC49" s="479">
        <f>+BC19*BC59</f>
        <v>285.67329788304801</v>
      </c>
      <c r="BD49" s="485">
        <f t="shared" ref="BD49:BD51" si="353">+SUM(BB49:BC49)</f>
        <v>549.70143130406768</v>
      </c>
      <c r="BE49" s="479">
        <f>+BE19*BE59</f>
        <v>274.35125806452885</v>
      </c>
      <c r="BF49" s="479">
        <f>+BF19*BF59</f>
        <v>296.83056985212733</v>
      </c>
      <c r="BG49" s="485">
        <f t="shared" ref="BG49:BG51" si="354">+SUM(BE49:BF49)</f>
        <v>571.18182791665618</v>
      </c>
      <c r="BK49" s="500"/>
      <c r="BL49" s="292"/>
      <c r="BM49" s="292"/>
      <c r="BN49" s="292"/>
      <c r="BO49" s="292"/>
      <c r="BP49" s="292"/>
      <c r="BQ49" s="292"/>
      <c r="BR49" s="292"/>
      <c r="BS49" s="292"/>
      <c r="BT49" s="292"/>
      <c r="BU49" s="292"/>
      <c r="BV49" s="292"/>
      <c r="BW49" s="292"/>
      <c r="BX49" s="292"/>
      <c r="BY49" s="292"/>
    </row>
    <row r="50" spans="1:89">
      <c r="A50" s="51" t="s">
        <v>494</v>
      </c>
      <c r="B50" s="350" t="s">
        <v>117</v>
      </c>
      <c r="E50" s="485"/>
      <c r="F50" s="479"/>
      <c r="G50" s="479"/>
      <c r="H50" s="485"/>
      <c r="I50" s="479"/>
      <c r="J50" s="479"/>
      <c r="K50" s="485"/>
      <c r="L50" s="479"/>
      <c r="M50" s="479"/>
      <c r="N50" s="485"/>
      <c r="O50" s="479"/>
      <c r="P50" s="479"/>
      <c r="Q50" s="485"/>
      <c r="R50" s="376">
        <v>0</v>
      </c>
      <c r="S50" s="479">
        <f>T50-R50</f>
        <v>0</v>
      </c>
      <c r="T50" s="377">
        <v>0</v>
      </c>
      <c r="U50" s="376">
        <v>0</v>
      </c>
      <c r="V50" s="479">
        <f>W50-U50</f>
        <v>0</v>
      </c>
      <c r="W50" s="377">
        <v>0</v>
      </c>
      <c r="X50" s="376">
        <v>0</v>
      </c>
      <c r="Y50" s="479">
        <f>Z50-X50</f>
        <v>0</v>
      </c>
      <c r="Z50" s="377">
        <v>0</v>
      </c>
      <c r="AA50" s="376">
        <v>0.108</v>
      </c>
      <c r="AB50" s="479">
        <f>+AA50</f>
        <v>0.108</v>
      </c>
      <c r="AC50" s="485">
        <f t="shared" ref="AC50:AC51" si="355">+SUM(AA50:AB50)</f>
        <v>0.216</v>
      </c>
      <c r="AD50" s="479">
        <v>0</v>
      </c>
      <c r="AE50" s="479">
        <f t="shared" ref="AE50" si="356">+AD50</f>
        <v>0</v>
      </c>
      <c r="AF50" s="485">
        <f t="shared" si="345"/>
        <v>0</v>
      </c>
      <c r="AG50" s="479">
        <v>0</v>
      </c>
      <c r="AH50" s="479">
        <f t="shared" ref="AH50" si="357">+AG50</f>
        <v>0</v>
      </c>
      <c r="AI50" s="485">
        <f t="shared" si="346"/>
        <v>0</v>
      </c>
      <c r="AJ50" s="479">
        <f>+AJ29*AJ60</f>
        <v>1.1576257628813815</v>
      </c>
      <c r="AK50" s="479">
        <f>+AK29*AK60</f>
        <v>1.1576257940193972</v>
      </c>
      <c r="AL50" s="485">
        <f t="shared" si="347"/>
        <v>2.3152515569007788</v>
      </c>
      <c r="AM50" s="479">
        <f>+AM29*AM60</f>
        <v>21.817665432203622</v>
      </c>
      <c r="AN50" s="479">
        <f>+AN29*AN60</f>
        <v>22.658569888620093</v>
      </c>
      <c r="AO50" s="485">
        <f t="shared" si="348"/>
        <v>44.476235320823719</v>
      </c>
      <c r="AP50" s="479">
        <f>+AP29*AP60</f>
        <v>36.896105246273507</v>
      </c>
      <c r="AQ50" s="479">
        <f>+AQ29*AQ60</f>
        <v>39.699345515000324</v>
      </c>
      <c r="AR50" s="485">
        <f t="shared" si="349"/>
        <v>76.595450761273838</v>
      </c>
      <c r="AS50" s="479">
        <f>+AS29*AS60</f>
        <v>49.644774656863447</v>
      </c>
      <c r="AT50" s="479">
        <f>+AT29*AT60</f>
        <v>53.49171497858682</v>
      </c>
      <c r="AU50" s="485">
        <f t="shared" si="350"/>
        <v>103.13648963545026</v>
      </c>
      <c r="AV50" s="479">
        <f>+AV29*AV60</f>
        <v>63.092700373011354</v>
      </c>
      <c r="AW50" s="479">
        <f>+AW29*AW60</f>
        <v>68.016156395754521</v>
      </c>
      <c r="AX50" s="485">
        <f t="shared" si="351"/>
        <v>131.10885676876586</v>
      </c>
      <c r="AY50" s="479">
        <f>+AY29*AY60</f>
        <v>75.955652059900302</v>
      </c>
      <c r="AZ50" s="479">
        <f>+AZ29*AZ60</f>
        <v>82.109825638885511</v>
      </c>
      <c r="BA50" s="485">
        <f t="shared" si="352"/>
        <v>158.0654776987858</v>
      </c>
      <c r="BB50" s="479">
        <f>+BB29*BB60</f>
        <v>88.936844497595345</v>
      </c>
      <c r="BC50" s="479">
        <f>+BC29*BC60</f>
        <v>96.171176132017408</v>
      </c>
      <c r="BD50" s="485">
        <f t="shared" si="353"/>
        <v>185.10802062961275</v>
      </c>
      <c r="BE50" s="479">
        <f>+BE29*BE60</f>
        <v>100.87381531743053</v>
      </c>
      <c r="BF50" s="479">
        <f>+BF29*BF60</f>
        <v>109.09878972640185</v>
      </c>
      <c r="BG50" s="485">
        <f t="shared" si="354"/>
        <v>209.97260504383237</v>
      </c>
    </row>
    <row r="51" spans="1:89">
      <c r="A51" s="51" t="s">
        <v>495</v>
      </c>
      <c r="B51" s="350" t="s">
        <v>138</v>
      </c>
      <c r="E51" s="485"/>
      <c r="F51" s="479"/>
      <c r="G51" s="479"/>
      <c r="H51" s="485"/>
      <c r="I51" s="479"/>
      <c r="J51" s="479"/>
      <c r="K51" s="485"/>
      <c r="L51" s="479"/>
      <c r="M51" s="479"/>
      <c r="N51" s="485"/>
      <c r="O51" s="479"/>
      <c r="P51" s="479"/>
      <c r="Q51" s="485"/>
      <c r="R51" s="376">
        <v>0</v>
      </c>
      <c r="S51" s="479">
        <f>T51-R51</f>
        <v>0</v>
      </c>
      <c r="T51" s="377">
        <v>0</v>
      </c>
      <c r="U51" s="376">
        <v>0</v>
      </c>
      <c r="V51" s="479">
        <f>W51-U51</f>
        <v>0</v>
      </c>
      <c r="W51" s="377">
        <v>0</v>
      </c>
      <c r="X51" s="376">
        <v>0</v>
      </c>
      <c r="Y51" s="479">
        <f>Z51-X51</f>
        <v>2.125</v>
      </c>
      <c r="Z51" s="377">
        <v>2.125</v>
      </c>
      <c r="AA51" s="376">
        <f>103.485-30.696</f>
        <v>72.789000000000001</v>
      </c>
      <c r="AB51" s="479">
        <f t="shared" ref="AB51" si="358">+SUM(AB52:AB53)</f>
        <v>83.156438594312689</v>
      </c>
      <c r="AC51" s="485">
        <f t="shared" si="355"/>
        <v>155.94543859431269</v>
      </c>
      <c r="AD51" s="479">
        <f>+AD35*AD61</f>
        <v>88.1277474233205</v>
      </c>
      <c r="AE51" s="479">
        <f>+AE35*AE61</f>
        <v>88.1277474233205</v>
      </c>
      <c r="AF51" s="485">
        <f t="shared" si="345"/>
        <v>176.255494846641</v>
      </c>
      <c r="AG51" s="479">
        <f>+AG35*AG61</f>
        <v>92.534134794486548</v>
      </c>
      <c r="AH51" s="479">
        <f>+AH35*AH61</f>
        <v>92.534134794486548</v>
      </c>
      <c r="AI51" s="485">
        <f t="shared" si="346"/>
        <v>185.0682695889731</v>
      </c>
      <c r="AJ51" s="479">
        <f>+AJ35*AJ61</f>
        <v>97.160841534210874</v>
      </c>
      <c r="AK51" s="479">
        <f>+AK35*AK61</f>
        <v>97.160841534210874</v>
      </c>
      <c r="AL51" s="485">
        <f t="shared" si="347"/>
        <v>194.32168306842175</v>
      </c>
      <c r="AM51" s="479">
        <f>+AM35*AM61</f>
        <v>102.01888361092141</v>
      </c>
      <c r="AN51" s="479">
        <f>+AN35*AN61</f>
        <v>102.01888361092141</v>
      </c>
      <c r="AO51" s="485">
        <f t="shared" si="348"/>
        <v>204.03776722184281</v>
      </c>
      <c r="AP51" s="479">
        <f>+AP35*AP61</f>
        <v>106.52726849459249</v>
      </c>
      <c r="AQ51" s="479">
        <f>+AQ35*AQ61</f>
        <v>106.52726849459249</v>
      </c>
      <c r="AR51" s="485">
        <f t="shared" si="349"/>
        <v>213.05453698918498</v>
      </c>
      <c r="AS51" s="479">
        <f>+AS35*AS61</f>
        <v>111.23144465760338</v>
      </c>
      <c r="AT51" s="479">
        <f>+AT35*AT61</f>
        <v>111.23144465760338</v>
      </c>
      <c r="AU51" s="485">
        <f t="shared" si="350"/>
        <v>222.46288931520675</v>
      </c>
      <c r="AV51" s="479">
        <f>+AV35*AV61</f>
        <v>116.13972026567889</v>
      </c>
      <c r="AW51" s="479">
        <f>+AW35*AW61</f>
        <v>116.13972026567889</v>
      </c>
      <c r="AX51" s="485">
        <f t="shared" si="351"/>
        <v>232.27944053135778</v>
      </c>
      <c r="AY51" s="479">
        <f>+AY35*AY61</f>
        <v>121.26074482291787</v>
      </c>
      <c r="AZ51" s="479">
        <f>+AZ35*AZ61</f>
        <v>121.26074482291787</v>
      </c>
      <c r="BA51" s="485">
        <f t="shared" si="352"/>
        <v>242.52148964583574</v>
      </c>
      <c r="BB51" s="479">
        <f>+BB35*BB61</f>
        <v>126.60352253521663</v>
      </c>
      <c r="BC51" s="479">
        <f>+BC35*BC61</f>
        <v>126.60352253521663</v>
      </c>
      <c r="BD51" s="485">
        <f t="shared" si="353"/>
        <v>253.20704507043325</v>
      </c>
      <c r="BE51" s="479">
        <f>+BE35*BE61</f>
        <v>132.17742615668791</v>
      </c>
      <c r="BF51" s="479">
        <f>+BF35*BF61</f>
        <v>132.17742615668791</v>
      </c>
      <c r="BG51" s="485">
        <f t="shared" si="354"/>
        <v>264.35485231337583</v>
      </c>
      <c r="BJ51" s="51" t="s">
        <v>496</v>
      </c>
      <c r="BK51" s="386" t="s">
        <v>109</v>
      </c>
      <c r="BL51" s="54">
        <f t="shared" ref="BL51:BY54" si="359">+VLOOKUP($BJ51,$A:$BG,MATCH(BL$17,$A$2:$BG$2,FALSE),FALSE)</f>
        <v>-67.801000000000002</v>
      </c>
      <c r="BM51" s="54">
        <f t="shared" si="359"/>
        <v>39.357999999999947</v>
      </c>
      <c r="BN51" s="54">
        <f t="shared" si="359"/>
        <v>67.363000000000085</v>
      </c>
      <c r="BO51" s="54">
        <f t="shared" si="359"/>
        <v>43.99195148319869</v>
      </c>
      <c r="BP51" s="54">
        <f t="shared" si="359"/>
        <v>55.055647351240182</v>
      </c>
      <c r="BQ51" s="54">
        <f t="shared" si="359"/>
        <v>74.6270697479072</v>
      </c>
      <c r="BR51" s="54">
        <f t="shared" si="359"/>
        <v>120.50711877494004</v>
      </c>
      <c r="BS51" s="54">
        <f t="shared" si="359"/>
        <v>215.56576821383698</v>
      </c>
      <c r="BT51" s="54">
        <f t="shared" si="359"/>
        <v>320.04386479111236</v>
      </c>
      <c r="BU51" s="54">
        <f t="shared" si="359"/>
        <v>418.84608166281612</v>
      </c>
      <c r="BV51" s="54">
        <f t="shared" si="359"/>
        <v>529.00860074542311</v>
      </c>
      <c r="BW51" s="54">
        <f t="shared" si="359"/>
        <v>643.3116315312725</v>
      </c>
      <c r="BX51" s="54">
        <f t="shared" si="359"/>
        <v>764.2140279221037</v>
      </c>
      <c r="BY51" s="54">
        <f t="shared" si="359"/>
        <v>885.18984740845985</v>
      </c>
    </row>
    <row r="52" spans="1:89">
      <c r="B52" s="350" t="s">
        <v>497</v>
      </c>
      <c r="E52" s="485"/>
      <c r="F52" s="479"/>
      <c r="G52" s="479"/>
      <c r="H52" s="485"/>
      <c r="I52" s="479"/>
      <c r="J52" s="479"/>
      <c r="K52" s="485"/>
      <c r="L52" s="479"/>
      <c r="M52" s="479"/>
      <c r="N52" s="485"/>
      <c r="O52" s="479"/>
      <c r="P52" s="479"/>
      <c r="Q52" s="485"/>
      <c r="R52" s="376"/>
      <c r="S52" s="479"/>
      <c r="T52" s="377"/>
      <c r="U52" s="376"/>
      <c r="V52" s="479"/>
      <c r="W52" s="377"/>
      <c r="X52" s="376"/>
      <c r="Y52" s="479"/>
      <c r="Z52" s="377"/>
      <c r="AA52" s="376"/>
      <c r="AB52" s="479">
        <f t="shared" ref="AB52" si="360">+AB36*AB61</f>
        <v>83.156438594312689</v>
      </c>
      <c r="AC52" s="485">
        <f>+SUM(AA52:AB52)</f>
        <v>83.156438594312689</v>
      </c>
      <c r="AD52" s="479"/>
      <c r="AE52" s="479"/>
      <c r="AF52" s="485"/>
      <c r="AG52" s="479"/>
      <c r="AH52" s="479"/>
      <c r="AI52" s="485"/>
      <c r="AJ52" s="479"/>
      <c r="AK52" s="479"/>
      <c r="AL52" s="485"/>
      <c r="AM52" s="479"/>
      <c r="AN52" s="479"/>
      <c r="AO52" s="485"/>
      <c r="AP52" s="479"/>
      <c r="AQ52" s="479"/>
      <c r="AR52" s="485"/>
      <c r="AS52" s="479"/>
      <c r="AT52" s="479"/>
      <c r="AU52" s="485"/>
      <c r="AV52" s="479"/>
      <c r="AW52" s="479"/>
      <c r="AX52" s="485"/>
      <c r="AY52" s="479"/>
      <c r="AZ52" s="479"/>
      <c r="BA52" s="485"/>
      <c r="BB52" s="479"/>
      <c r="BC52" s="479"/>
      <c r="BD52" s="485"/>
      <c r="BE52" s="479"/>
      <c r="BF52" s="479"/>
      <c r="BG52" s="485"/>
      <c r="BJ52" s="51" t="s">
        <v>108</v>
      </c>
      <c r="BK52" s="500" t="s">
        <v>99</v>
      </c>
      <c r="BL52" s="54">
        <f t="shared" si="359"/>
        <v>-36.533941958154273</v>
      </c>
      <c r="BM52" s="54">
        <f t="shared" si="359"/>
        <v>96.99499999999999</v>
      </c>
      <c r="BN52" s="54">
        <f t="shared" si="359"/>
        <v>173.91</v>
      </c>
      <c r="BO52" s="54">
        <f t="shared" si="359"/>
        <v>227.16588857595494</v>
      </c>
      <c r="BP52" s="54">
        <f t="shared" si="359"/>
        <v>271.58340129173928</v>
      </c>
      <c r="BQ52" s="54">
        <f t="shared" si="359"/>
        <v>322.48218813868323</v>
      </c>
      <c r="BR52" s="54">
        <f t="shared" si="359"/>
        <v>398.47055937621212</v>
      </c>
      <c r="BS52" s="54">
        <f t="shared" si="359"/>
        <v>464.41579766632066</v>
      </c>
      <c r="BT52" s="54">
        <f t="shared" si="359"/>
        <v>522.8229717007888</v>
      </c>
      <c r="BU52" s="54">
        <f t="shared" si="359"/>
        <v>580.40305382965607</v>
      </c>
      <c r="BV52" s="54">
        <f t="shared" si="359"/>
        <v>646.51573799140431</v>
      </c>
      <c r="BW52" s="54">
        <f t="shared" si="359"/>
        <v>710.3970407322829</v>
      </c>
      <c r="BX52" s="54">
        <f t="shared" si="359"/>
        <v>771.53469197912034</v>
      </c>
      <c r="BY52" s="54">
        <f t="shared" si="359"/>
        <v>826.89949055346517</v>
      </c>
    </row>
    <row r="53" spans="1:89">
      <c r="B53" s="350" t="s">
        <v>498</v>
      </c>
      <c r="E53" s="485"/>
      <c r="F53" s="479"/>
      <c r="G53" s="479"/>
      <c r="H53" s="485"/>
      <c r="I53" s="479"/>
      <c r="J53" s="479"/>
      <c r="K53" s="485"/>
      <c r="L53" s="479"/>
      <c r="M53" s="479"/>
      <c r="N53" s="485"/>
      <c r="O53" s="479"/>
      <c r="P53" s="479"/>
      <c r="Q53" s="485"/>
      <c r="R53" s="376"/>
      <c r="S53" s="479"/>
      <c r="T53" s="377"/>
      <c r="U53" s="376"/>
      <c r="V53" s="479"/>
      <c r="W53" s="377"/>
      <c r="X53" s="376"/>
      <c r="Y53" s="479"/>
      <c r="Z53" s="377"/>
      <c r="AA53" s="376"/>
      <c r="AB53" s="479">
        <f>+AA53</f>
        <v>0</v>
      </c>
      <c r="AC53" s="485">
        <f>+SUM(AA53:AB53)</f>
        <v>0</v>
      </c>
      <c r="AD53" s="479"/>
      <c r="AE53" s="479"/>
      <c r="AF53" s="485"/>
      <c r="AG53" s="479"/>
      <c r="AH53" s="479"/>
      <c r="AI53" s="485"/>
      <c r="AJ53" s="479"/>
      <c r="AK53" s="479"/>
      <c r="AL53" s="485"/>
      <c r="AM53" s="479"/>
      <c r="AN53" s="479"/>
      <c r="AO53" s="485"/>
      <c r="AP53" s="479"/>
      <c r="AQ53" s="479"/>
      <c r="AR53" s="485"/>
      <c r="AS53" s="479"/>
      <c r="AT53" s="479"/>
      <c r="AU53" s="485"/>
      <c r="AV53" s="479"/>
      <c r="AW53" s="479"/>
      <c r="AX53" s="485"/>
      <c r="AY53" s="479"/>
      <c r="AZ53" s="479"/>
      <c r="BA53" s="485"/>
      <c r="BB53" s="479"/>
      <c r="BC53" s="479"/>
      <c r="BD53" s="485"/>
      <c r="BE53" s="479"/>
      <c r="BF53" s="479"/>
      <c r="BG53" s="485"/>
      <c r="BJ53" s="51" t="s">
        <v>125</v>
      </c>
      <c r="BK53" s="500" t="s">
        <v>117</v>
      </c>
      <c r="BL53" s="54">
        <f t="shared" si="359"/>
        <v>-25.884196821846306</v>
      </c>
      <c r="BM53" s="54">
        <f t="shared" si="359"/>
        <v>-28.091999999999999</v>
      </c>
      <c r="BN53" s="54">
        <f t="shared" si="359"/>
        <v>-49.898000000000003</v>
      </c>
      <c r="BO53" s="54">
        <f t="shared" si="359"/>
        <v>-91.019697045568336</v>
      </c>
      <c r="BP53" s="54">
        <f t="shared" si="359"/>
        <v>-107.65986379569354</v>
      </c>
      <c r="BQ53" s="54">
        <f t="shared" si="359"/>
        <v>-125.4771367141974</v>
      </c>
      <c r="BR53" s="54">
        <f t="shared" si="359"/>
        <v>-144.8577751650673</v>
      </c>
      <c r="BS53" s="54">
        <f t="shared" si="359"/>
        <v>-89.516254451763757</v>
      </c>
      <c r="BT53" s="54">
        <f t="shared" si="359"/>
        <v>-26.91760267009704</v>
      </c>
      <c r="BU53" s="54">
        <f t="shared" si="359"/>
        <v>28.93557530235671</v>
      </c>
      <c r="BV53" s="54">
        <f t="shared" si="359"/>
        <v>85.677197788026149</v>
      </c>
      <c r="BW53" s="54">
        <f t="shared" si="359"/>
        <v>145.7165580792506</v>
      </c>
      <c r="BX53" s="54">
        <f t="shared" si="359"/>
        <v>212.49713203550846</v>
      </c>
      <c r="BY53" s="54">
        <f t="shared" si="359"/>
        <v>281.39194093266792</v>
      </c>
    </row>
    <row r="54" spans="1:89">
      <c r="B54" s="52"/>
      <c r="E54" s="346"/>
      <c r="F54" s="347"/>
      <c r="G54" s="347"/>
      <c r="H54" s="346"/>
      <c r="I54" s="347"/>
      <c r="J54" s="347"/>
      <c r="K54" s="346"/>
      <c r="L54" s="347"/>
      <c r="M54" s="347"/>
      <c r="N54" s="346"/>
      <c r="O54" s="347"/>
      <c r="P54" s="347"/>
      <c r="Q54" s="346"/>
      <c r="R54" s="347"/>
      <c r="S54" s="347"/>
      <c r="T54" s="390">
        <f t="shared" ref="T54:BG54" si="361">+T48-SUM(T49:T51)</f>
        <v>0</v>
      </c>
      <c r="U54" s="391">
        <f t="shared" si="361"/>
        <v>0</v>
      </c>
      <c r="V54" s="391">
        <f t="shared" si="361"/>
        <v>0</v>
      </c>
      <c r="W54" s="390">
        <f t="shared" si="361"/>
        <v>0</v>
      </c>
      <c r="X54" s="391">
        <f t="shared" si="361"/>
        <v>0</v>
      </c>
      <c r="Y54" s="391">
        <f t="shared" si="361"/>
        <v>0</v>
      </c>
      <c r="Z54" s="390">
        <f t="shared" si="361"/>
        <v>0</v>
      </c>
      <c r="AA54" s="391">
        <f t="shared" ref="AA54" si="362">+AA48-SUM(AA49:AA51)</f>
        <v>0</v>
      </c>
      <c r="AB54" s="391">
        <f t="shared" si="361"/>
        <v>0</v>
      </c>
      <c r="AC54" s="390">
        <f t="shared" si="361"/>
        <v>0</v>
      </c>
      <c r="AD54" s="391">
        <f t="shared" si="361"/>
        <v>0</v>
      </c>
      <c r="AE54" s="391">
        <f t="shared" si="361"/>
        <v>0</v>
      </c>
      <c r="AF54" s="390">
        <f t="shared" si="361"/>
        <v>0</v>
      </c>
      <c r="AG54" s="391">
        <f t="shared" si="361"/>
        <v>0</v>
      </c>
      <c r="AH54" s="391">
        <f t="shared" si="361"/>
        <v>0</v>
      </c>
      <c r="AI54" s="390">
        <f t="shared" si="361"/>
        <v>0</v>
      </c>
      <c r="AJ54" s="391">
        <f t="shared" si="361"/>
        <v>0</v>
      </c>
      <c r="AK54" s="391">
        <f t="shared" si="361"/>
        <v>0</v>
      </c>
      <c r="AL54" s="390">
        <f t="shared" si="361"/>
        <v>0</v>
      </c>
      <c r="AM54" s="391">
        <f t="shared" si="361"/>
        <v>0</v>
      </c>
      <c r="AN54" s="391">
        <f t="shared" si="361"/>
        <v>0</v>
      </c>
      <c r="AO54" s="390">
        <f t="shared" si="361"/>
        <v>0</v>
      </c>
      <c r="AP54" s="391">
        <f t="shared" si="361"/>
        <v>0</v>
      </c>
      <c r="AQ54" s="391">
        <f t="shared" si="361"/>
        <v>0</v>
      </c>
      <c r="AR54" s="390">
        <f t="shared" si="361"/>
        <v>0</v>
      </c>
      <c r="AS54" s="391">
        <f t="shared" si="361"/>
        <v>0</v>
      </c>
      <c r="AT54" s="391">
        <f t="shared" si="361"/>
        <v>0</v>
      </c>
      <c r="AU54" s="390">
        <f t="shared" si="361"/>
        <v>0</v>
      </c>
      <c r="AV54" s="391">
        <f t="shared" si="361"/>
        <v>0</v>
      </c>
      <c r="AW54" s="391">
        <f t="shared" si="361"/>
        <v>0</v>
      </c>
      <c r="AX54" s="390">
        <f t="shared" si="361"/>
        <v>0</v>
      </c>
      <c r="AY54" s="391">
        <f t="shared" si="361"/>
        <v>0</v>
      </c>
      <c r="AZ54" s="391">
        <f t="shared" si="361"/>
        <v>0</v>
      </c>
      <c r="BA54" s="390">
        <f t="shared" si="361"/>
        <v>0</v>
      </c>
      <c r="BB54" s="391">
        <f t="shared" si="361"/>
        <v>0</v>
      </c>
      <c r="BC54" s="391">
        <f t="shared" si="361"/>
        <v>0</v>
      </c>
      <c r="BD54" s="390">
        <f t="shared" si="361"/>
        <v>0</v>
      </c>
      <c r="BE54" s="391">
        <f t="shared" si="361"/>
        <v>0</v>
      </c>
      <c r="BF54" s="391">
        <f t="shared" si="361"/>
        <v>0</v>
      </c>
      <c r="BG54" s="390">
        <f t="shared" si="361"/>
        <v>0</v>
      </c>
      <c r="BJ54" s="51" t="s">
        <v>143</v>
      </c>
      <c r="BK54" s="500" t="s">
        <v>414</v>
      </c>
      <c r="BL54" s="54">
        <f t="shared" si="359"/>
        <v>-5.3828612199994375</v>
      </c>
      <c r="BM54" s="54">
        <f t="shared" si="359"/>
        <v>-3.8139999999999992</v>
      </c>
      <c r="BN54" s="54">
        <f t="shared" si="359"/>
        <v>-15.758000000000001</v>
      </c>
      <c r="BO54" s="54">
        <f t="shared" si="359"/>
        <v>-30.097676767424009</v>
      </c>
      <c r="BP54" s="54">
        <f t="shared" si="359"/>
        <v>-40.800070519436773</v>
      </c>
      <c r="BQ54" s="54">
        <f t="shared" si="359"/>
        <v>-45.540897217702373</v>
      </c>
      <c r="BR54" s="54">
        <f t="shared" si="359"/>
        <v>-46.200840888942899</v>
      </c>
      <c r="BS54" s="54">
        <f t="shared" si="359"/>
        <v>-46.9716662310666</v>
      </c>
      <c r="BT54" s="54">
        <f t="shared" si="359"/>
        <v>-46.700633634315587</v>
      </c>
      <c r="BU54" s="54">
        <f t="shared" si="359"/>
        <v>-46.971913536000457</v>
      </c>
      <c r="BV54" s="54">
        <f t="shared" si="359"/>
        <v>-46.245260045876151</v>
      </c>
      <c r="BW54" s="54">
        <f t="shared" si="359"/>
        <v>-44.310944624658269</v>
      </c>
      <c r="BX54" s="54">
        <f t="shared" si="359"/>
        <v>-41.32466894564628</v>
      </c>
      <c r="BY54" s="54">
        <f t="shared" si="359"/>
        <v>-37.134466497423297</v>
      </c>
    </row>
    <row r="55" spans="1:89">
      <c r="B55" s="52" t="s">
        <v>499</v>
      </c>
      <c r="E55" s="485"/>
      <c r="F55" s="479"/>
      <c r="G55" s="479"/>
      <c r="H55" s="351"/>
      <c r="I55" s="510"/>
      <c r="J55" s="510"/>
      <c r="K55" s="351"/>
      <c r="L55" s="510"/>
      <c r="M55" s="510"/>
      <c r="N55" s="351"/>
      <c r="O55" s="510"/>
      <c r="P55" s="510"/>
      <c r="Q55" s="351"/>
      <c r="R55" s="352"/>
      <c r="S55" s="352"/>
      <c r="T55" s="490"/>
      <c r="U55" s="352">
        <f t="shared" ref="U55:BG55" si="363">IFERROR(U48/R48-1,"NA")</f>
        <v>4.206188493565481</v>
      </c>
      <c r="V55" s="352">
        <f t="shared" si="363"/>
        <v>0.25248159408080295</v>
      </c>
      <c r="W55" s="490">
        <f t="shared" si="363"/>
        <v>0.89361669479822003</v>
      </c>
      <c r="X55" s="352">
        <f t="shared" si="363"/>
        <v>0.49793707628273887</v>
      </c>
      <c r="Y55" s="352">
        <f t="shared" si="363"/>
        <v>0.4326051354038718</v>
      </c>
      <c r="Z55" s="490">
        <f t="shared" si="363"/>
        <v>0.46173231664330228</v>
      </c>
      <c r="AA55" s="352">
        <f t="shared" si="363"/>
        <v>1.2051325608202386</v>
      </c>
      <c r="AB55" s="352">
        <f t="shared" si="363"/>
        <v>1.0014871491232551</v>
      </c>
      <c r="AC55" s="490">
        <f t="shared" si="363"/>
        <v>1.0945279090685229</v>
      </c>
      <c r="AD55" s="352">
        <f t="shared" si="363"/>
        <v>0.16133594929324357</v>
      </c>
      <c r="AE55" s="352">
        <f t="shared" si="363"/>
        <v>0.11529696796674127</v>
      </c>
      <c r="AF55" s="490">
        <f t="shared" si="363"/>
        <v>0.13744182473648903</v>
      </c>
      <c r="AG55" s="352">
        <f t="shared" si="363"/>
        <v>9.7735509638534834E-2</v>
      </c>
      <c r="AH55" s="352">
        <f t="shared" si="363"/>
        <v>8.4622959909909978E-2</v>
      </c>
      <c r="AI55" s="490">
        <f t="shared" si="363"/>
        <v>9.1062620744809752E-2</v>
      </c>
      <c r="AJ55" s="352">
        <f t="shared" si="363"/>
        <v>9.6686849260229524E-2</v>
      </c>
      <c r="AK55" s="352">
        <f t="shared" si="363"/>
        <v>9.7249547738476272E-2</v>
      </c>
      <c r="AL55" s="490">
        <f t="shared" si="363"/>
        <v>9.6971512640684709E-2</v>
      </c>
      <c r="AM55" s="352">
        <f t="shared" si="363"/>
        <v>0.20539754680099054</v>
      </c>
      <c r="AN55" s="352">
        <f t="shared" si="363"/>
        <v>0.20786114067074868</v>
      </c>
      <c r="AO55" s="490">
        <f t="shared" si="363"/>
        <v>0.20664416952037046</v>
      </c>
      <c r="AP55" s="352">
        <f t="shared" si="363"/>
        <v>0.11557823874112594</v>
      </c>
      <c r="AQ55" s="352">
        <f t="shared" si="363"/>
        <v>0.14720393333103821</v>
      </c>
      <c r="AR55" s="490">
        <f t="shared" si="363"/>
        <v>0.1315975480130811</v>
      </c>
      <c r="AS55" s="352">
        <f t="shared" si="363"/>
        <v>0.10728847165113864</v>
      </c>
      <c r="AT55" s="352">
        <f t="shared" si="363"/>
        <v>0.10888808623470259</v>
      </c>
      <c r="AU55" s="490">
        <f t="shared" si="363"/>
        <v>0.10810989623787903</v>
      </c>
      <c r="AV55" s="352">
        <f t="shared" si="363"/>
        <v>9.5181253367229823E-2</v>
      </c>
      <c r="AW55" s="352">
        <f t="shared" si="363"/>
        <v>9.6283926638281558E-2</v>
      </c>
      <c r="AX55" s="490">
        <f t="shared" si="363"/>
        <v>9.574788925159905E-2</v>
      </c>
      <c r="AY55" s="352">
        <f t="shared" si="363"/>
        <v>8.0819213897043607E-2</v>
      </c>
      <c r="AZ55" s="352">
        <f t="shared" si="363"/>
        <v>8.2345317694986431E-2</v>
      </c>
      <c r="BA55" s="490">
        <f t="shared" si="363"/>
        <v>8.1603823653425112E-2</v>
      </c>
      <c r="BB55" s="352">
        <f t="shared" si="363"/>
        <v>7.0881195363511784E-2</v>
      </c>
      <c r="BC55" s="352">
        <f t="shared" si="363"/>
        <v>7.1465911434162033E-2</v>
      </c>
      <c r="BD55" s="490">
        <f t="shared" si="363"/>
        <v>7.1182019230842553E-2</v>
      </c>
      <c r="BE55" s="352">
        <f t="shared" si="363"/>
        <v>5.8039673286455207E-2</v>
      </c>
      <c r="BF55" s="352">
        <f t="shared" si="363"/>
        <v>5.8332001278722734E-2</v>
      </c>
      <c r="BG55" s="490">
        <f t="shared" si="363"/>
        <v>5.8190109622745734E-2</v>
      </c>
    </row>
    <row r="56" spans="1:89">
      <c r="B56" s="52"/>
      <c r="E56" s="485"/>
      <c r="F56" s="479"/>
      <c r="G56" s="479"/>
      <c r="H56" s="351"/>
      <c r="I56" s="510"/>
      <c r="J56" s="510"/>
      <c r="K56" s="351"/>
      <c r="L56" s="510"/>
      <c r="M56" s="510"/>
      <c r="N56" s="351"/>
      <c r="O56" s="510"/>
      <c r="P56" s="510"/>
      <c r="Q56" s="351"/>
      <c r="R56" s="352"/>
      <c r="S56" s="352"/>
      <c r="T56" s="490"/>
      <c r="U56" s="352"/>
      <c r="V56" s="352"/>
      <c r="W56" s="490"/>
      <c r="X56" s="352"/>
      <c r="Y56" s="352"/>
      <c r="Z56" s="490"/>
      <c r="AA56" s="352"/>
      <c r="AB56" s="352"/>
      <c r="AC56" s="490"/>
      <c r="AD56" s="352"/>
      <c r="AE56" s="352"/>
      <c r="AF56" s="490"/>
      <c r="AG56" s="352"/>
      <c r="AH56" s="352"/>
      <c r="AI56" s="490"/>
      <c r="AJ56" s="352"/>
      <c r="AK56" s="352"/>
      <c r="AL56" s="490"/>
      <c r="AM56" s="352"/>
      <c r="AN56" s="352"/>
      <c r="AO56" s="490"/>
      <c r="AP56" s="352"/>
      <c r="AQ56" s="352"/>
      <c r="AR56" s="490"/>
      <c r="AS56" s="352"/>
      <c r="AT56" s="352"/>
      <c r="AU56" s="490"/>
      <c r="AV56" s="352"/>
      <c r="AW56" s="352"/>
      <c r="AX56" s="490"/>
      <c r="AY56" s="352"/>
      <c r="AZ56" s="352"/>
      <c r="BA56" s="490"/>
      <c r="BB56" s="352"/>
      <c r="BC56" s="352"/>
      <c r="BD56" s="490"/>
      <c r="BE56" s="352"/>
      <c r="BF56" s="352"/>
      <c r="BG56" s="490"/>
      <c r="BK56" s="386" t="s">
        <v>142</v>
      </c>
      <c r="BL56" s="56">
        <f t="shared" ref="BL56:BY59" si="364">+BL51/BL18</f>
        <v>-0.42350214871077352</v>
      </c>
      <c r="BM56" s="56">
        <f t="shared" si="364"/>
        <v>0.11820000120128042</v>
      </c>
      <c r="BN56" s="56">
        <f t="shared" si="364"/>
        <v>0.13040919483264979</v>
      </c>
      <c r="BO56" s="56">
        <f t="shared" si="364"/>
        <v>5.4689086422077315E-2</v>
      </c>
      <c r="BP56" s="56">
        <f t="shared" si="364"/>
        <v>6.0662638733973394E-2</v>
      </c>
      <c r="BQ56" s="56">
        <f t="shared" si="364"/>
        <v>7.2842824145528284E-2</v>
      </c>
      <c r="BR56" s="56">
        <f t="shared" si="364"/>
        <v>0.10399921932073271</v>
      </c>
      <c r="BS56" s="56">
        <f t="shared" si="364"/>
        <v>0.14388687425920105</v>
      </c>
      <c r="BT56" s="56">
        <f t="shared" si="364"/>
        <v>0.17964558529702238</v>
      </c>
      <c r="BU56" s="56">
        <f t="shared" si="364"/>
        <v>0.20428578743628001</v>
      </c>
      <c r="BV56" s="56">
        <f t="shared" si="364"/>
        <v>0.2275282975448695</v>
      </c>
      <c r="BW56" s="56">
        <f t="shared" si="364"/>
        <v>0.24817497923912185</v>
      </c>
      <c r="BX56" s="56">
        <f t="shared" si="364"/>
        <v>0.26759224575536672</v>
      </c>
      <c r="BY56" s="56">
        <f t="shared" si="364"/>
        <v>0.28559560171484927</v>
      </c>
    </row>
    <row r="57" spans="1:89">
      <c r="B57" s="52" t="s">
        <v>488</v>
      </c>
      <c r="E57" s="485"/>
      <c r="F57" s="479"/>
      <c r="G57" s="479"/>
      <c r="H57" s="351"/>
      <c r="I57" s="510"/>
      <c r="J57" s="510"/>
      <c r="K57" s="351"/>
      <c r="L57" s="510"/>
      <c r="M57" s="510"/>
      <c r="N57" s="351"/>
      <c r="O57" s="510"/>
      <c r="P57" s="510"/>
      <c r="Q57" s="351"/>
      <c r="R57" s="352"/>
      <c r="S57" s="352"/>
      <c r="T57" s="490"/>
      <c r="U57" s="352"/>
      <c r="V57" s="352"/>
      <c r="W57" s="490"/>
      <c r="X57" s="352"/>
      <c r="Y57" s="352"/>
      <c r="Z57" s="490"/>
      <c r="AA57" s="352"/>
      <c r="AB57" s="352"/>
      <c r="AC57" s="490"/>
      <c r="AD57" s="352"/>
      <c r="AE57" s="352"/>
      <c r="AF57" s="490"/>
      <c r="AG57" s="352"/>
      <c r="AH57" s="352"/>
      <c r="AI57" s="490"/>
      <c r="AJ57" s="352"/>
      <c r="AK57" s="352"/>
      <c r="AL57" s="490"/>
      <c r="AM57" s="352"/>
      <c r="AN57" s="352"/>
      <c r="AO57" s="490"/>
      <c r="AP57" s="352"/>
      <c r="AQ57" s="352"/>
      <c r="AR57" s="490"/>
      <c r="AS57" s="352"/>
      <c r="AT57" s="352"/>
      <c r="AU57" s="490"/>
      <c r="AV57" s="352"/>
      <c r="AW57" s="352"/>
      <c r="AX57" s="490"/>
      <c r="AY57" s="352"/>
      <c r="AZ57" s="352"/>
      <c r="BA57" s="490"/>
      <c r="BB57" s="352"/>
      <c r="BC57" s="352"/>
      <c r="BD57" s="490"/>
      <c r="BE57" s="352"/>
      <c r="BF57" s="352"/>
      <c r="BG57" s="490"/>
      <c r="BK57" s="500" t="s">
        <v>99</v>
      </c>
      <c r="BL57" s="473">
        <f t="shared" si="364"/>
        <v>-0.23363928884979934</v>
      </c>
      <c r="BM57" s="473">
        <f t="shared" si="364"/>
        <v>0.29463404261782172</v>
      </c>
      <c r="BN57" s="473">
        <f t="shared" si="364"/>
        <v>0.34200051916587348</v>
      </c>
      <c r="BO57" s="473">
        <f t="shared" si="364"/>
        <v>0.36470429540673427</v>
      </c>
      <c r="BP57" s="473">
        <f t="shared" si="364"/>
        <v>0.38567823572699839</v>
      </c>
      <c r="BQ57" s="473">
        <f t="shared" si="364"/>
        <v>0.39767229164197693</v>
      </c>
      <c r="BR57" s="473">
        <f t="shared" si="364"/>
        <v>0.42640773327025705</v>
      </c>
      <c r="BS57" s="473">
        <f t="shared" si="364"/>
        <v>0.4243101569389825</v>
      </c>
      <c r="BT57" s="473">
        <f t="shared" si="364"/>
        <v>0.42441372151905238</v>
      </c>
      <c r="BU57" s="473">
        <f t="shared" si="364"/>
        <v>0.42313159993085941</v>
      </c>
      <c r="BV57" s="473">
        <f t="shared" si="364"/>
        <v>0.42935186154922345</v>
      </c>
      <c r="BW57" s="473">
        <f t="shared" si="364"/>
        <v>0.43568105640662969</v>
      </c>
      <c r="BX57" s="473">
        <f t="shared" si="364"/>
        <v>0.44211896519328664</v>
      </c>
      <c r="BY57" s="473">
        <f t="shared" si="364"/>
        <v>0.44878676026257924</v>
      </c>
      <c r="CD57" s="286" t="s">
        <v>467</v>
      </c>
      <c r="CE57" s="286" t="s">
        <v>468</v>
      </c>
      <c r="CF57" s="286" t="s">
        <v>486</v>
      </c>
      <c r="CG57" s="286" t="s">
        <v>500</v>
      </c>
    </row>
    <row r="58" spans="1:89">
      <c r="B58" s="52" t="s">
        <v>463</v>
      </c>
      <c r="E58" s="351"/>
      <c r="F58" s="352"/>
      <c r="G58" s="352"/>
      <c r="H58" s="351"/>
      <c r="I58" s="352"/>
      <c r="J58" s="352"/>
      <c r="K58" s="351"/>
      <c r="L58" s="352"/>
      <c r="M58" s="352"/>
      <c r="N58" s="351"/>
      <c r="O58" s="352"/>
      <c r="P58" s="352"/>
      <c r="Q58" s="351"/>
      <c r="R58" s="352">
        <f>IFERROR(-R48/R17,"NA")</f>
        <v>-0.43947269929720961</v>
      </c>
      <c r="S58" s="352">
        <f>IFERROR(-S48/S17,"NA")</f>
        <v>-0.40134069342663303</v>
      </c>
      <c r="T58" s="400">
        <f t="shared" ref="T58:BG58" si="365">IFERROR(T48/T17,"NA")</f>
        <v>0.40706825904457328</v>
      </c>
      <c r="U58" s="401">
        <f t="shared" si="365"/>
        <v>0.3697935920098398</v>
      </c>
      <c r="V58" s="401">
        <f t="shared" si="365"/>
        <v>0.37128043649393311</v>
      </c>
      <c r="W58" s="400">
        <f t="shared" si="365"/>
        <v>0.37061607673780256</v>
      </c>
      <c r="X58" s="401">
        <f t="shared" si="365"/>
        <v>0.34395332434654508</v>
      </c>
      <c r="Y58" s="401">
        <f t="shared" si="365"/>
        <v>0.35376976962518958</v>
      </c>
      <c r="Z58" s="400">
        <f t="shared" si="365"/>
        <v>0.34921624389460088</v>
      </c>
      <c r="AA58" s="401">
        <f t="shared" ref="AA58" si="366">IFERROR(AA48/AA17,"NA")</f>
        <v>0.46556118854695289</v>
      </c>
      <c r="AB58" s="401">
        <f t="shared" si="365"/>
        <v>0.47360349410181357</v>
      </c>
      <c r="AC58" s="402">
        <f t="shared" si="365"/>
        <v>0.46970073084984287</v>
      </c>
      <c r="AD58" s="401">
        <f t="shared" si="365"/>
        <v>0.47624405019583843</v>
      </c>
      <c r="AE58" s="401">
        <f t="shared" si="365"/>
        <v>0.47092920328958054</v>
      </c>
      <c r="AF58" s="402">
        <f t="shared" si="365"/>
        <v>0.47352445481620936</v>
      </c>
      <c r="AG58" s="401">
        <f t="shared" si="365"/>
        <v>0.45936579680037176</v>
      </c>
      <c r="AH58" s="401">
        <f t="shared" si="365"/>
        <v>0.45604766880022551</v>
      </c>
      <c r="AI58" s="402">
        <f t="shared" si="365"/>
        <v>0.45768117735650432</v>
      </c>
      <c r="AJ58" s="401">
        <f t="shared" si="365"/>
        <v>0.44555899980725616</v>
      </c>
      <c r="AK58" s="401">
        <f t="shared" si="365"/>
        <v>0.44229282900422945</v>
      </c>
      <c r="AL58" s="402">
        <f t="shared" si="365"/>
        <v>0.44390025220273904</v>
      </c>
      <c r="AM58" s="401">
        <f t="shared" si="365"/>
        <v>0.41572669225267933</v>
      </c>
      <c r="AN58" s="401">
        <f t="shared" si="365"/>
        <v>0.41287023913498</v>
      </c>
      <c r="AO58" s="402">
        <f t="shared" si="365"/>
        <v>0.41427489539721035</v>
      </c>
      <c r="AP58" s="401">
        <f t="shared" si="365"/>
        <v>0.39687989925605349</v>
      </c>
      <c r="AQ58" s="401">
        <f t="shared" si="365"/>
        <v>0.39174608416350065</v>
      </c>
      <c r="AR58" s="402">
        <f t="shared" si="365"/>
        <v>0.39422691803279314</v>
      </c>
      <c r="AS58" s="401">
        <f t="shared" si="365"/>
        <v>0.38205837102147217</v>
      </c>
      <c r="AT58" s="401">
        <f t="shared" si="365"/>
        <v>0.37726897702096923</v>
      </c>
      <c r="AU58" s="402">
        <f t="shared" si="365"/>
        <v>0.37958213258843959</v>
      </c>
      <c r="AV58" s="401">
        <f t="shared" si="365"/>
        <v>0.36910715777449804</v>
      </c>
      <c r="AW58" s="401">
        <f t="shared" si="365"/>
        <v>0.36460712232544024</v>
      </c>
      <c r="AX58" s="402">
        <f t="shared" si="365"/>
        <v>0.36677978574629427</v>
      </c>
      <c r="AY58" s="401">
        <f t="shared" si="365"/>
        <v>0.35809198555104182</v>
      </c>
      <c r="AZ58" s="401">
        <f t="shared" si="365"/>
        <v>0.3537134386673364</v>
      </c>
      <c r="BA58" s="402">
        <f t="shared" si="365"/>
        <v>0.35582586392045129</v>
      </c>
      <c r="BB58" s="401">
        <f t="shared" si="365"/>
        <v>0.34814124082412612</v>
      </c>
      <c r="BC58" s="401">
        <f t="shared" si="365"/>
        <v>0.343922698474738</v>
      </c>
      <c r="BD58" s="402">
        <f t="shared" si="365"/>
        <v>0.34595747214369393</v>
      </c>
      <c r="BE58" s="401">
        <f t="shared" si="365"/>
        <v>0.33945054838488459</v>
      </c>
      <c r="BF58" s="401">
        <f t="shared" si="365"/>
        <v>0.33533670740362109</v>
      </c>
      <c r="BG58" s="402">
        <f t="shared" si="365"/>
        <v>0.33732069374771007</v>
      </c>
      <c r="BK58" s="500" t="s">
        <v>117</v>
      </c>
      <c r="BL58" s="473">
        <f t="shared" si="364"/>
        <v>-6.9450487850405977</v>
      </c>
      <c r="BM58" s="473">
        <f t="shared" si="364"/>
        <v>-8.0354691075514868</v>
      </c>
      <c r="BN58" s="473">
        <f t="shared" si="364"/>
        <v>-8.014455509155157</v>
      </c>
      <c r="BO58" s="473">
        <f t="shared" si="364"/>
        <v>-11.386001631919981</v>
      </c>
      <c r="BP58" s="473">
        <f t="shared" si="364"/>
        <v>-12.816650451868277</v>
      </c>
      <c r="BQ58" s="473">
        <f t="shared" si="364"/>
        <v>-14.226432734035987</v>
      </c>
      <c r="BR58" s="473">
        <f t="shared" si="364"/>
        <v>-15.641688560073307</v>
      </c>
      <c r="BS58" s="473">
        <f t="shared" si="364"/>
        <v>-0.50316901715067353</v>
      </c>
      <c r="BT58" s="473">
        <f t="shared" si="364"/>
        <v>-8.609927337235633E-2</v>
      </c>
      <c r="BU58" s="473">
        <f t="shared" si="364"/>
        <v>6.7333473313974615E-2</v>
      </c>
      <c r="BV58" s="473">
        <f t="shared" si="364"/>
        <v>0.15356812633715763</v>
      </c>
      <c r="BW58" s="473">
        <f t="shared" si="364"/>
        <v>0.2120311711713195</v>
      </c>
      <c r="BX58" s="473">
        <f t="shared" si="364"/>
        <v>0.25829164260611553</v>
      </c>
      <c r="BY58" s="473">
        <f t="shared" si="364"/>
        <v>0.29483001838389267</v>
      </c>
      <c r="CC58" s="53" t="s">
        <v>501</v>
      </c>
      <c r="CD58" s="53">
        <v>600</v>
      </c>
      <c r="CE58" s="53">
        <v>2</v>
      </c>
      <c r="CF58" s="53">
        <v>175</v>
      </c>
      <c r="CG58" s="511">
        <f>+SUM(CD58:CF58)</f>
        <v>777</v>
      </c>
    </row>
    <row r="59" spans="1:89">
      <c r="B59" s="350" t="s">
        <v>99</v>
      </c>
      <c r="E59" s="346"/>
      <c r="F59" s="347"/>
      <c r="G59" s="347"/>
      <c r="H59" s="346"/>
      <c r="I59" s="347"/>
      <c r="J59" s="347"/>
      <c r="K59" s="346"/>
      <c r="L59" s="347"/>
      <c r="M59" s="347"/>
      <c r="N59" s="485"/>
      <c r="O59" s="347"/>
      <c r="P59" s="347"/>
      <c r="Q59" s="485"/>
      <c r="R59" s="352">
        <f>-R49/R$19</f>
        <v>-0.46943852167732764</v>
      </c>
      <c r="S59" s="352">
        <f>-S49/S19</f>
        <v>-0.40791292199884954</v>
      </c>
      <c r="T59" s="351">
        <f t="shared" ref="T59:Z59" si="367">IFERROR(T49/T19,"NA")</f>
        <v>0.41677058752054436</v>
      </c>
      <c r="U59" s="352">
        <f t="shared" si="367"/>
        <v>0.37367137782788523</v>
      </c>
      <c r="V59" s="352">
        <f t="shared" si="367"/>
        <v>0.37582845146895583</v>
      </c>
      <c r="W59" s="351">
        <f t="shared" si="367"/>
        <v>0.37486368676052917</v>
      </c>
      <c r="X59" s="352">
        <f t="shared" si="367"/>
        <v>0.34885394399881481</v>
      </c>
      <c r="Y59" s="352">
        <f t="shared" si="367"/>
        <v>0.35204195942893457</v>
      </c>
      <c r="Z59" s="351">
        <f t="shared" si="367"/>
        <v>0.35056085646636831</v>
      </c>
      <c r="AA59" s="352">
        <f t="shared" ref="AA59" si="368">IFERROR(AA49/AA19,"NA")</f>
        <v>0.35587489986430593</v>
      </c>
      <c r="AB59" s="396">
        <f>+AA59</f>
        <v>0.35587489986430593</v>
      </c>
      <c r="AC59" s="505">
        <f>IFERROR(AC49/AC19,"NA")</f>
        <v>0.35587489986430598</v>
      </c>
      <c r="AD59" s="395">
        <f>36%-AA57</f>
        <v>0.36</v>
      </c>
      <c r="AE59" s="396">
        <f>+AD59</f>
        <v>0.36</v>
      </c>
      <c r="AF59" s="505">
        <f>IFERROR(AF49/AF19,"NA")</f>
        <v>0.36</v>
      </c>
      <c r="AG59" s="395">
        <f>35%-AA57</f>
        <v>0.35</v>
      </c>
      <c r="AH59" s="396">
        <f t="shared" ref="AH59:AH61" si="369">+AG59</f>
        <v>0.35</v>
      </c>
      <c r="AI59" s="505">
        <f>IFERROR(AI49/AI19,"NA")</f>
        <v>0.35</v>
      </c>
      <c r="AJ59" s="395">
        <v>0.34</v>
      </c>
      <c r="AK59" s="396">
        <f t="shared" ref="AK59:AK61" si="370">+AJ59</f>
        <v>0.34</v>
      </c>
      <c r="AL59" s="505">
        <f>IFERROR(AL49/AL19,"NA")</f>
        <v>0.34</v>
      </c>
      <c r="AM59" s="396">
        <f t="shared" ref="AM59:AM60" si="371">+AK59</f>
        <v>0.34</v>
      </c>
      <c r="AN59" s="396">
        <f t="shared" ref="AN59:AN61" si="372">+AM59</f>
        <v>0.34</v>
      </c>
      <c r="AO59" s="505">
        <f>IFERROR(AO49/AO19,"NA")</f>
        <v>0.34</v>
      </c>
      <c r="AP59" s="396">
        <f>+AN59+AP62</f>
        <v>0.33500000000000002</v>
      </c>
      <c r="AQ59" s="396">
        <f t="shared" ref="AQ59:AQ61" si="373">+AP59</f>
        <v>0.33500000000000002</v>
      </c>
      <c r="AR59" s="505">
        <f>IFERROR(AR49/AR19,"NA")</f>
        <v>0.33500000000000002</v>
      </c>
      <c r="AS59" s="396">
        <f>+AQ59+AS62</f>
        <v>0.33</v>
      </c>
      <c r="AT59" s="396">
        <f t="shared" ref="AT59:AT61" si="374">+AS59</f>
        <v>0.33</v>
      </c>
      <c r="AU59" s="505">
        <f>IFERROR(AU49/AU19,"NA")</f>
        <v>0.33</v>
      </c>
      <c r="AV59" s="396">
        <f>+AT59+AV62</f>
        <v>0.32500000000000001</v>
      </c>
      <c r="AW59" s="396">
        <f t="shared" ref="AW59:AW61" si="375">+AV59</f>
        <v>0.32500000000000001</v>
      </c>
      <c r="AX59" s="505">
        <f>IFERROR(AX49/AX19,"NA")</f>
        <v>0.32500000000000001</v>
      </c>
      <c r="AY59" s="396">
        <f>+AW59+AY62</f>
        <v>0.32</v>
      </c>
      <c r="AZ59" s="396">
        <f t="shared" ref="AZ59:AZ61" si="376">+AY59</f>
        <v>0.32</v>
      </c>
      <c r="BA59" s="505">
        <f>IFERROR(BA49/BA19,"NA")</f>
        <v>0.32</v>
      </c>
      <c r="BB59" s="396">
        <f>+AZ59+BB62</f>
        <v>0.315</v>
      </c>
      <c r="BC59" s="396">
        <f t="shared" ref="BC59:BC61" si="377">+BB59</f>
        <v>0.315</v>
      </c>
      <c r="BD59" s="505">
        <f>IFERROR(BD49/BD19,"NA")</f>
        <v>0.31500000000000006</v>
      </c>
      <c r="BE59" s="396">
        <f>+BC59+BE62</f>
        <v>0.31</v>
      </c>
      <c r="BF59" s="396">
        <f t="shared" ref="BF59:BF61" si="378">+BE59</f>
        <v>0.31</v>
      </c>
      <c r="BG59" s="505">
        <f>IFERROR(BG49/BG19,"NA")</f>
        <v>0.31</v>
      </c>
      <c r="BK59" s="500" t="s">
        <v>414</v>
      </c>
      <c r="BL59" s="473"/>
      <c r="BM59" s="473">
        <f t="shared" si="364"/>
        <v>-13.768953068592053</v>
      </c>
      <c r="BN59" s="473">
        <f t="shared" si="364"/>
        <v>-8.6725371491469456</v>
      </c>
      <c r="BO59" s="473">
        <f t="shared" si="364"/>
        <v>-0.17344365105413478</v>
      </c>
      <c r="BP59" s="473">
        <f t="shared" si="364"/>
        <v>-0.20923113086890652</v>
      </c>
      <c r="BQ59" s="473">
        <f t="shared" si="364"/>
        <v>-0.22242196443322279</v>
      </c>
      <c r="BR59" s="473">
        <f t="shared" si="364"/>
        <v>-0.21490012623498059</v>
      </c>
      <c r="BS59" s="473">
        <f t="shared" si="364"/>
        <v>-0.20808149413367485</v>
      </c>
      <c r="BT59" s="473">
        <f t="shared" si="364"/>
        <v>-0.19702936854000219</v>
      </c>
      <c r="BU59" s="473">
        <f t="shared" si="364"/>
        <v>-0.18873704279256587</v>
      </c>
      <c r="BV59" s="473">
        <f t="shared" si="364"/>
        <v>-0.17696884650101252</v>
      </c>
      <c r="BW59" s="473">
        <f t="shared" si="364"/>
        <v>-0.16149210802653483</v>
      </c>
      <c r="BX59" s="473">
        <f t="shared" si="364"/>
        <v>-0.14343673110368163</v>
      </c>
      <c r="BY59" s="473">
        <f t="shared" si="364"/>
        <v>-0.12275491386271858</v>
      </c>
      <c r="CC59" s="53" t="s">
        <v>492</v>
      </c>
      <c r="CD59" s="59">
        <v>0.63</v>
      </c>
      <c r="CE59" s="53">
        <v>0</v>
      </c>
      <c r="CF59" s="59">
        <v>0.5</v>
      </c>
    </row>
    <row r="60" spans="1:89">
      <c r="B60" s="350" t="s">
        <v>117</v>
      </c>
      <c r="E60" s="346"/>
      <c r="F60" s="347"/>
      <c r="G60" s="347"/>
      <c r="H60" s="346"/>
      <c r="I60" s="347"/>
      <c r="J60" s="347"/>
      <c r="K60" s="346"/>
      <c r="L60" s="347"/>
      <c r="M60" s="347"/>
      <c r="N60" s="485"/>
      <c r="O60" s="347"/>
      <c r="P60" s="347"/>
      <c r="Q60" s="485"/>
      <c r="R60" s="352"/>
      <c r="S60" s="352"/>
      <c r="T60" s="351"/>
      <c r="U60" s="352"/>
      <c r="V60" s="352"/>
      <c r="W60" s="351"/>
      <c r="X60" s="352"/>
      <c r="Y60" s="352"/>
      <c r="Z60" s="351"/>
      <c r="AA60" s="352"/>
      <c r="AB60" s="352"/>
      <c r="AC60" s="490"/>
      <c r="AD60" s="352"/>
      <c r="AE60" s="352"/>
      <c r="AF60" s="490"/>
      <c r="AG60" s="352"/>
      <c r="AH60" s="352"/>
      <c r="AI60" s="490"/>
      <c r="AJ60" s="395">
        <v>0.25</v>
      </c>
      <c r="AK60" s="396">
        <f>+AJ60</f>
        <v>0.25</v>
      </c>
      <c r="AL60" s="505">
        <f>IFERROR(AL50/AL29,"NA")</f>
        <v>0.25</v>
      </c>
      <c r="AM60" s="396">
        <f t="shared" si="371"/>
        <v>0.25</v>
      </c>
      <c r="AN60" s="396">
        <f t="shared" si="372"/>
        <v>0.25</v>
      </c>
      <c r="AO60" s="505">
        <f>IFERROR(AO50/AO29,"NA")</f>
        <v>0.25</v>
      </c>
      <c r="AP60" s="396">
        <f>+AN60+AP62</f>
        <v>0.245</v>
      </c>
      <c r="AQ60" s="396">
        <f t="shared" si="373"/>
        <v>0.245</v>
      </c>
      <c r="AR60" s="505">
        <f>IFERROR(AR50/AR29,"NA")</f>
        <v>0.24500000000000002</v>
      </c>
      <c r="AS60" s="396">
        <f>+AQ60+AS62</f>
        <v>0.24</v>
      </c>
      <c r="AT60" s="396">
        <f t="shared" si="374"/>
        <v>0.24</v>
      </c>
      <c r="AU60" s="505">
        <f>IFERROR(AU50/AU29,"NA")</f>
        <v>0.23999999999999996</v>
      </c>
      <c r="AV60" s="396">
        <f>+AT60+AV62</f>
        <v>0.23499999999999999</v>
      </c>
      <c r="AW60" s="396">
        <f t="shared" si="375"/>
        <v>0.23499999999999999</v>
      </c>
      <c r="AX60" s="505">
        <f>IFERROR(AX50/AX29,"NA")</f>
        <v>0.23499999999999993</v>
      </c>
      <c r="AY60" s="396">
        <f>+AW60+AY62</f>
        <v>0.22999999999999998</v>
      </c>
      <c r="AZ60" s="396">
        <f t="shared" si="376"/>
        <v>0.22999999999999998</v>
      </c>
      <c r="BA60" s="505">
        <f>IFERROR(BA50/BA29,"NA")</f>
        <v>0.22999999999999998</v>
      </c>
      <c r="BB60" s="396">
        <f>+AZ60+BB62</f>
        <v>0.22499999999999998</v>
      </c>
      <c r="BC60" s="396">
        <f t="shared" si="377"/>
        <v>0.22499999999999998</v>
      </c>
      <c r="BD60" s="505">
        <f>IFERROR(BD50/BD29,"NA")</f>
        <v>0.22499999999999998</v>
      </c>
      <c r="BE60" s="396">
        <f>+BC60+BE62</f>
        <v>0.21999999999999997</v>
      </c>
      <c r="BF60" s="396">
        <f t="shared" si="378"/>
        <v>0.21999999999999997</v>
      </c>
      <c r="BG60" s="505">
        <f>IFERROR(BG50/BG29,"NA")</f>
        <v>0.21999999999999997</v>
      </c>
      <c r="CC60" s="53" t="s">
        <v>490</v>
      </c>
      <c r="CD60" s="53">
        <f>+CD58*CD59</f>
        <v>378</v>
      </c>
      <c r="CE60" s="53">
        <f>+CE58*CE59</f>
        <v>0</v>
      </c>
      <c r="CF60" s="53">
        <f>+CF58*CF59</f>
        <v>87.5</v>
      </c>
      <c r="CG60" s="53">
        <f>+SUM(CD60:CF60)</f>
        <v>465.5</v>
      </c>
      <c r="CH60" s="53">
        <f>+CG60/CG58</f>
        <v>0.59909909909909909</v>
      </c>
    </row>
    <row r="61" spans="1:89">
      <c r="B61" s="350" t="s">
        <v>486</v>
      </c>
      <c r="E61" s="346"/>
      <c r="F61" s="347"/>
      <c r="G61" s="347"/>
      <c r="H61" s="346"/>
      <c r="I61" s="347"/>
      <c r="J61" s="347"/>
      <c r="K61" s="346"/>
      <c r="L61" s="347"/>
      <c r="M61" s="347"/>
      <c r="N61" s="485"/>
      <c r="O61" s="347"/>
      <c r="P61" s="347"/>
      <c r="Q61" s="485"/>
      <c r="R61" s="352"/>
      <c r="S61" s="352"/>
      <c r="T61" s="351" t="str">
        <f t="shared" ref="T61:Z61" si="379">IFERROR(T51/T35,"NA")</f>
        <v>NA</v>
      </c>
      <c r="U61" s="352">
        <f t="shared" si="379"/>
        <v>0</v>
      </c>
      <c r="V61" s="352">
        <f t="shared" si="379"/>
        <v>0</v>
      </c>
      <c r="W61" s="351">
        <f t="shared" si="379"/>
        <v>0</v>
      </c>
      <c r="X61" s="352">
        <f t="shared" si="379"/>
        <v>0</v>
      </c>
      <c r="Y61" s="352">
        <f t="shared" si="379"/>
        <v>1.6472868217054264</v>
      </c>
      <c r="Z61" s="351">
        <f t="shared" si="379"/>
        <v>1.1695101816180518</v>
      </c>
      <c r="AA61" s="352">
        <f t="shared" ref="AA61" si="380">IFERROR(AA51/AA35,"NA")</f>
        <v>0.90387433254687699</v>
      </c>
      <c r="AB61" s="396">
        <f>+AA61</f>
        <v>0.90387433254687699</v>
      </c>
      <c r="AC61" s="505">
        <f>IFERROR(AC51/AC35,"NA")</f>
        <v>0.89866558286355491</v>
      </c>
      <c r="AD61" s="396">
        <f>+AB61</f>
        <v>0.90387433254687699</v>
      </c>
      <c r="AE61" s="396">
        <f>+AD61</f>
        <v>0.90387433254687699</v>
      </c>
      <c r="AF61" s="505">
        <f>IFERROR(AF51/AF35,"NA")</f>
        <v>0.90387433254687688</v>
      </c>
      <c r="AG61" s="396">
        <f>+AE61</f>
        <v>0.90387433254687699</v>
      </c>
      <c r="AH61" s="396">
        <f t="shared" si="369"/>
        <v>0.90387433254687699</v>
      </c>
      <c r="AI61" s="505">
        <f>IFERROR(AI51/AI35,"NA")</f>
        <v>0.90387433254687699</v>
      </c>
      <c r="AJ61" s="396">
        <f>+AH61</f>
        <v>0.90387433254687699</v>
      </c>
      <c r="AK61" s="396">
        <f t="shared" si="370"/>
        <v>0.90387433254687699</v>
      </c>
      <c r="AL61" s="505">
        <f>IFERROR(AL51/AL35,"NA")</f>
        <v>0.90387433254687699</v>
      </c>
      <c r="AM61" s="396">
        <f>+AK61</f>
        <v>0.90387433254687699</v>
      </c>
      <c r="AN61" s="396">
        <f t="shared" si="372"/>
        <v>0.90387433254687699</v>
      </c>
      <c r="AO61" s="505">
        <f>IFERROR(AO51/AO35,"NA")</f>
        <v>0.90387433254687688</v>
      </c>
      <c r="AP61" s="396">
        <f>+AN61+AP62</f>
        <v>0.89887433254687699</v>
      </c>
      <c r="AQ61" s="396">
        <f t="shared" si="373"/>
        <v>0.89887433254687699</v>
      </c>
      <c r="AR61" s="505">
        <f>IFERROR(AR51/AR35,"NA")</f>
        <v>0.89887433254687699</v>
      </c>
      <c r="AS61" s="396">
        <f>+AQ61+AS62</f>
        <v>0.89387433254687698</v>
      </c>
      <c r="AT61" s="396">
        <f t="shared" si="374"/>
        <v>0.89387433254687698</v>
      </c>
      <c r="AU61" s="505">
        <f>IFERROR(AU51/AU35,"NA")</f>
        <v>0.89387433254687698</v>
      </c>
      <c r="AV61" s="396">
        <f>+AT61+AV62</f>
        <v>0.88887433254687698</v>
      </c>
      <c r="AW61" s="396">
        <f t="shared" si="375"/>
        <v>0.88887433254687698</v>
      </c>
      <c r="AX61" s="505">
        <f>IFERROR(AX51/AX35,"NA")</f>
        <v>0.88887433254687698</v>
      </c>
      <c r="AY61" s="396">
        <f>+AW61+AY62</f>
        <v>0.88387433254687697</v>
      </c>
      <c r="AZ61" s="396">
        <f t="shared" si="376"/>
        <v>0.88387433254687697</v>
      </c>
      <c r="BA61" s="505">
        <f>IFERROR(BA51/BA35,"NA")</f>
        <v>0.88387433254687697</v>
      </c>
      <c r="BB61" s="396">
        <f>+AZ61+BB62</f>
        <v>0.87887433254687697</v>
      </c>
      <c r="BC61" s="396">
        <f t="shared" si="377"/>
        <v>0.87887433254687697</v>
      </c>
      <c r="BD61" s="505">
        <f>IFERROR(BD51/BD35,"NA")</f>
        <v>0.87887433254687697</v>
      </c>
      <c r="BE61" s="396">
        <f>+BC61+BE62</f>
        <v>0.87387433254687696</v>
      </c>
      <c r="BF61" s="396">
        <f t="shared" si="378"/>
        <v>0.87387433254687696</v>
      </c>
      <c r="BG61" s="505">
        <f>IFERROR(BG51/BG35,"NA")</f>
        <v>0.87387433254687685</v>
      </c>
      <c r="BJ61" s="51" t="s">
        <v>18</v>
      </c>
      <c r="BK61" s="500" t="s">
        <v>18</v>
      </c>
      <c r="BL61" s="54">
        <f ca="1">+VLOOKUP($BJ61,Model!$B:$BG,MATCH(Segment!BL$17,Model!$B$4:$BG$4,FALSE),FALSE)</f>
        <v>-73.180000000000007</v>
      </c>
      <c r="BM61" s="54">
        <f ca="1">+VLOOKUP($BJ61,Model!$B:$BG,MATCH(Segment!BM$17,Model!$B$4:$BG$4,FALSE),FALSE)</f>
        <v>34.872999999999948</v>
      </c>
      <c r="BN61" s="54">
        <f ca="1">+VLOOKUP($BJ61,Model!$B:$BG,MATCH(Segment!BN$17,Model!$B$4:$BG$4,FALSE),FALSE)</f>
        <v>62.068000000000083</v>
      </c>
      <c r="BO61" s="54">
        <f ca="1">+VLOOKUP($BJ61,Model!$B:$BG,MATCH(Segment!BO$17,Model!$B$4:$BG$4,FALSE),FALSE)</f>
        <v>24.055903459738712</v>
      </c>
      <c r="BP61" s="54">
        <f ca="1">+VLOOKUP($BJ61,Model!$B:$BG,MATCH(Segment!BP$17,Model!$B$4:$BG$4,FALSE),FALSE)</f>
        <v>32.366374142783911</v>
      </c>
      <c r="BQ61" s="54">
        <f ca="1">+VLOOKUP($BJ61,Model!$B:$BG,MATCH(Segment!BQ$17,Model!$B$4:$BG$4,FALSE),FALSE)</f>
        <v>49.014708261615063</v>
      </c>
      <c r="BR61" s="54">
        <f ca="1">+VLOOKUP($BJ61,Model!$B:$BG,MATCH(Segment!BR$17,Model!$B$4:$BG$4,FALSE),FALSE)</f>
        <v>91.538843925852689</v>
      </c>
      <c r="BS61" s="54">
        <f ca="1">+VLOOKUP($BJ61,Model!$B:$BG,MATCH(Segment!BS$17,Model!$B$4:$BG$4,FALSE),FALSE)</f>
        <v>178.11173195728588</v>
      </c>
      <c r="BT61" s="54">
        <f ca="1">+VLOOKUP($BJ61,Model!$B:$BG,MATCH(Segment!BT$17,Model!$B$4:$BG$4,FALSE),FALSE)</f>
        <v>275.5056335479178</v>
      </c>
      <c r="BU61" s="54">
        <f ca="1">+VLOOKUP($BJ61,Model!$B:$BG,MATCH(Segment!BU$17,Model!$B$4:$BG$4,FALSE),FALSE)</f>
        <v>367.58871240096028</v>
      </c>
      <c r="BV61" s="54">
        <f ca="1">+VLOOKUP($BJ61,Model!$B:$BG,MATCH(Segment!BV$17,Model!$B$4:$BG$4,FALSE),FALSE)</f>
        <v>470.8830174164857</v>
      </c>
      <c r="BW61" s="54">
        <f ca="1">+VLOOKUP($BJ61,Model!$B:$BG,MATCH(Segment!BW$17,Model!$B$4:$BG$4,FALSE),FALSE)</f>
        <v>578.50739204834827</v>
      </c>
      <c r="BX61" s="54">
        <f ca="1">+VLOOKUP($BJ61,Model!$B:$BG,MATCH(Segment!BX$17,Model!$B$4:$BG$4,FALSE),FALSE)</f>
        <v>692.81677706335222</v>
      </c>
      <c r="BY61" s="54">
        <f ca="1">+VLOOKUP($BJ61,Model!$B:$BG,MATCH(Segment!BY$17,Model!$B$4:$BG$4,FALSE),FALSE)</f>
        <v>807.70354841668905</v>
      </c>
      <c r="CC61" s="53" t="s">
        <v>24</v>
      </c>
      <c r="CD61" s="53">
        <f>+CG61</f>
        <v>157.5</v>
      </c>
      <c r="CE61" s="53">
        <v>0</v>
      </c>
      <c r="CF61" s="53">
        <v>0</v>
      </c>
      <c r="CG61" s="511">
        <v>157.5</v>
      </c>
    </row>
    <row r="62" spans="1:89">
      <c r="B62" s="350"/>
      <c r="E62" s="346"/>
      <c r="F62" s="347"/>
      <c r="G62" s="347"/>
      <c r="H62" s="346"/>
      <c r="I62" s="347"/>
      <c r="J62" s="347"/>
      <c r="K62" s="346"/>
      <c r="L62" s="347"/>
      <c r="M62" s="347"/>
      <c r="N62" s="485"/>
      <c r="O62" s="347"/>
      <c r="P62" s="347"/>
      <c r="Q62" s="485"/>
      <c r="R62" s="352"/>
      <c r="S62" s="352"/>
      <c r="T62" s="351"/>
      <c r="U62" s="352"/>
      <c r="V62" s="352"/>
      <c r="W62" s="351"/>
      <c r="X62" s="352"/>
      <c r="Y62" s="352"/>
      <c r="Z62" s="351"/>
      <c r="AA62" s="352"/>
      <c r="AB62" s="352"/>
      <c r="AC62" s="490"/>
      <c r="AD62" s="354"/>
      <c r="AE62" s="352"/>
      <c r="AF62" s="490"/>
      <c r="AG62" s="354"/>
      <c r="AH62" s="352"/>
      <c r="AI62" s="490"/>
      <c r="AJ62" s="354"/>
      <c r="AK62" s="352"/>
      <c r="AL62" s="490"/>
      <c r="AM62" s="354"/>
      <c r="AN62" s="352"/>
      <c r="AO62" s="490"/>
      <c r="AP62" s="403">
        <v>-5.0000000000000001E-3</v>
      </c>
      <c r="AQ62" s="352"/>
      <c r="AR62" s="351"/>
      <c r="AS62" s="353">
        <f>+AP62</f>
        <v>-5.0000000000000001E-3</v>
      </c>
      <c r="AT62" s="352"/>
      <c r="AU62" s="351"/>
      <c r="AV62" s="353">
        <f>+AS62</f>
        <v>-5.0000000000000001E-3</v>
      </c>
      <c r="AW62" s="352"/>
      <c r="AX62" s="351"/>
      <c r="AY62" s="353">
        <f>+AV62</f>
        <v>-5.0000000000000001E-3</v>
      </c>
      <c r="AZ62" s="352"/>
      <c r="BA62" s="351"/>
      <c r="BB62" s="353">
        <f>+AY62</f>
        <v>-5.0000000000000001E-3</v>
      </c>
      <c r="BC62" s="352"/>
      <c r="BD62" s="351"/>
      <c r="BE62" s="353">
        <f>+BB62</f>
        <v>-5.0000000000000001E-3</v>
      </c>
      <c r="BF62" s="352"/>
      <c r="BG62" s="490"/>
      <c r="BJ62" s="51" t="s">
        <v>158</v>
      </c>
      <c r="BK62" s="500" t="s">
        <v>21</v>
      </c>
      <c r="BL62" s="54">
        <f ca="1">+VLOOKUP($BJ62,Model!$B:$BG,MATCH(Segment!BL$17,Model!$B$4:$BG$4,FALSE),FALSE)</f>
        <v>-104.07899999999999</v>
      </c>
      <c r="BM62" s="54">
        <f ca="1">+VLOOKUP($BJ62,Model!$B:$BG,MATCH(Segment!BM$17,Model!$B$4:$BG$4,FALSE),FALSE)</f>
        <v>4.2459999999999445</v>
      </c>
      <c r="BN62" s="54">
        <f ca="1">+VLOOKUP($BJ62,Model!$B:$BG,MATCH(Segment!BN$17,Model!$B$4:$BG$4,FALSE),FALSE)</f>
        <v>33.685000000000088</v>
      </c>
      <c r="BO62" s="54">
        <f ca="1">+VLOOKUP($BJ62,Model!$B:$BG,MATCH(Segment!BO$17,Model!$B$4:$BG$4,FALSE),FALSE)</f>
        <v>-6.6062889413726555</v>
      </c>
      <c r="BP62" s="54">
        <f ca="1">+VLOOKUP($BJ62,Model!$B:$BG,MATCH(Segment!BP$17,Model!$B$4:$BG$4,FALSE),FALSE)</f>
        <v>3.016210160713972</v>
      </c>
      <c r="BQ62" s="54">
        <f ca="1">+VLOOKUP($BJ62,Model!$B:$BG,MATCH(Segment!BQ$17,Model!$B$4:$BG$4,FALSE),FALSE)</f>
        <v>18.146946537249786</v>
      </c>
      <c r="BR62" s="54">
        <f ca="1">+VLOOKUP($BJ62,Model!$B:$BG,MATCH(Segment!BR$17,Model!$B$4:$BG$4,FALSE),FALSE)</f>
        <v>50.058976704613322</v>
      </c>
      <c r="BS62" s="54">
        <f ca="1">+VLOOKUP($BJ62,Model!$B:$BG,MATCH(Segment!BS$17,Model!$B$4:$BG$4,FALSE),FALSE)</f>
        <v>116.19690573745746</v>
      </c>
      <c r="BT62" s="54">
        <f ca="1">+VLOOKUP($BJ62,Model!$B:$BG,MATCH(Segment!BT$17,Model!$B$4:$BG$4,FALSE),FALSE)</f>
        <v>213.06666557653759</v>
      </c>
      <c r="BU62" s="54">
        <f ca="1">+VLOOKUP($BJ62,Model!$B:$BG,MATCH(Segment!BU$17,Model!$B$4:$BG$4,FALSE),FALSE)</f>
        <v>286.61230234168255</v>
      </c>
      <c r="BV62" s="54">
        <f ca="1">+VLOOKUP($BJ62,Model!$B:$BG,MATCH(Segment!BV$17,Model!$B$4:$BG$4,FALSE),FALSE)</f>
        <v>369.85670253059851</v>
      </c>
      <c r="BW62" s="54">
        <f ca="1">+VLOOKUP($BJ62,Model!$B:$BG,MATCH(Segment!BW$17,Model!$B$4:$BG$4,FALSE),FALSE)</f>
        <v>457.66121720281882</v>
      </c>
      <c r="BX62" s="54">
        <f ca="1">+VLOOKUP($BJ62,Model!$B:$BG,MATCH(Segment!BX$17,Model!$B$4:$BG$4,FALSE),FALSE)</f>
        <v>551.91031762603257</v>
      </c>
      <c r="BY62" s="54">
        <f ca="1">+VLOOKUP($BJ62,Model!$B:$BG,MATCH(Segment!BY$17,Model!$B$4:$BG$4,FALSE),FALSE)</f>
        <v>648.01664598743491</v>
      </c>
      <c r="CC62" s="53" t="s">
        <v>502</v>
      </c>
      <c r="CD62" s="53">
        <f>+CD58*CD68</f>
        <v>192</v>
      </c>
      <c r="CF62" s="53">
        <f>+CG62-CD62</f>
        <v>87.71999999999997</v>
      </c>
      <c r="CG62" s="511">
        <f>+CG58*CH62</f>
        <v>279.71999999999997</v>
      </c>
      <c r="CH62" s="59">
        <v>0.36</v>
      </c>
    </row>
    <row r="63" spans="1:89">
      <c r="E63" s="346"/>
      <c r="F63" s="347"/>
      <c r="G63" s="347"/>
      <c r="H63" s="346"/>
      <c r="I63" s="347"/>
      <c r="J63" s="347"/>
      <c r="K63" s="346"/>
      <c r="L63" s="347"/>
      <c r="M63" s="347"/>
      <c r="N63" s="485"/>
      <c r="O63" s="347"/>
      <c r="P63" s="347"/>
      <c r="Q63" s="485"/>
      <c r="R63" s="347"/>
      <c r="S63" s="347"/>
      <c r="T63" s="486"/>
      <c r="U63" s="347"/>
      <c r="V63" s="347"/>
      <c r="W63" s="486"/>
      <c r="X63" s="347"/>
      <c r="Y63" s="347"/>
      <c r="Z63" s="486"/>
      <c r="AA63" s="347"/>
      <c r="AB63" s="489"/>
      <c r="AC63" s="485"/>
      <c r="AD63" s="479"/>
      <c r="AE63" s="489"/>
      <c r="AF63" s="485"/>
      <c r="AG63" s="479"/>
      <c r="AH63" s="489"/>
      <c r="AI63" s="485"/>
      <c r="AJ63" s="479"/>
      <c r="AK63" s="489"/>
      <c r="AL63" s="485"/>
      <c r="AM63" s="479"/>
      <c r="AN63" s="489"/>
      <c r="AO63" s="485"/>
      <c r="AP63" s="479"/>
      <c r="AQ63" s="489"/>
      <c r="AR63" s="485"/>
      <c r="AS63" s="479"/>
      <c r="AT63" s="489"/>
      <c r="AU63" s="485"/>
      <c r="AV63" s="479"/>
      <c r="AW63" s="489"/>
      <c r="AX63" s="485"/>
      <c r="AY63" s="479"/>
      <c r="AZ63" s="489"/>
      <c r="BA63" s="485"/>
      <c r="BB63" s="479"/>
      <c r="BC63" s="489"/>
      <c r="BD63" s="485"/>
      <c r="BE63" s="479"/>
      <c r="BF63" s="489"/>
      <c r="BG63" s="485"/>
      <c r="BJ63" s="51" t="s">
        <v>278</v>
      </c>
      <c r="BK63" s="500" t="s">
        <v>421</v>
      </c>
      <c r="BL63" s="54">
        <f ca="1">+VLOOKUP($BJ63,Model!$B:$BG,MATCH(Segment!BL$17,Model!$B$4:$BG$4,FALSE),FALSE)</f>
        <v>-77.830999999999989</v>
      </c>
      <c r="BM63" s="54">
        <f ca="1">+VLOOKUP($BJ63,Model!$B:$BG,MATCH(Segment!BM$17,Model!$B$4:$BG$4,FALSE),FALSE)</f>
        <v>7.1639999999999997</v>
      </c>
      <c r="BN63" s="54">
        <f ca="1">+VLOOKUP($BJ63,Model!$B:$BG,MATCH(Segment!BN$17,Model!$B$4:$BG$4,FALSE),FALSE)</f>
        <v>5.3059999999999974</v>
      </c>
      <c r="BO63" s="54">
        <f ca="1">+VLOOKUP($BJ63,Model!$B:$BG,MATCH(Segment!BO$17,Model!$B$4:$BG$4,FALSE),FALSE)</f>
        <v>-87.666812373958408</v>
      </c>
      <c r="BP63" s="54">
        <f ca="1">+VLOOKUP($BJ63,Model!$B:$BG,MATCH(Segment!BP$17,Model!$B$4:$BG$4,FALSE),FALSE)</f>
        <v>-59.37451908229778</v>
      </c>
      <c r="BQ63" s="54">
        <f ca="1">+VLOOKUP($BJ63,Model!$B:$BG,MATCH(Segment!BQ$17,Model!$B$4:$BG$4,FALSE),FALSE)</f>
        <v>3.8096783537627026</v>
      </c>
      <c r="BR63" s="54">
        <f ca="1">+VLOOKUP($BJ63,Model!$B:$BG,MATCH(Segment!BR$17,Model!$B$4:$BG$4,FALSE),FALSE)</f>
        <v>33.773388057065034</v>
      </c>
      <c r="BS63" s="54">
        <f ca="1">+VLOOKUP($BJ63,Model!$B:$BG,MATCH(Segment!BS$17,Model!$B$4:$BG$4,FALSE),FALSE)</f>
        <v>89.335225264387773</v>
      </c>
      <c r="BT63" s="54">
        <f ca="1">+VLOOKUP($BJ63,Model!$B:$BG,MATCH(Segment!BT$17,Model!$B$4:$BG$4,FALSE),FALSE)</f>
        <v>185.33350009795907</v>
      </c>
      <c r="BU63" s="54">
        <f ca="1">+VLOOKUP($BJ63,Model!$B:$BG,MATCH(Segment!BU$17,Model!$B$4:$BG$4,FALSE),FALSE)</f>
        <v>256.70256141081427</v>
      </c>
      <c r="BV63" s="54">
        <f ca="1">+VLOOKUP($BJ63,Model!$B:$BG,MATCH(Segment!BV$17,Model!$B$4:$BG$4,FALSE),FALSE)</f>
        <v>336.99096950510938</v>
      </c>
      <c r="BW63" s="54">
        <f ca="1">+VLOOKUP($BJ63,Model!$B:$BG,MATCH(Segment!BW$17,Model!$B$4:$BG$4,FALSE),FALSE)</f>
        <v>422.38940279406745</v>
      </c>
      <c r="BX63" s="54">
        <f ca="1">+VLOOKUP($BJ63,Model!$B:$BG,MATCH(Segment!BX$17,Model!$B$4:$BG$4,FALSE),FALSE)</f>
        <v>514.12120135637383</v>
      </c>
      <c r="BY63" s="54">
        <f ca="1">+VLOOKUP($BJ63,Model!$B:$BG,MATCH(Segment!BY$17,Model!$B$4:$BG$4,FALSE),FALSE)</f>
        <v>608.49745900449955</v>
      </c>
      <c r="CC63" s="53" t="s">
        <v>18</v>
      </c>
      <c r="CD63" s="53">
        <f>+CD60-CD61-CD62</f>
        <v>28.5</v>
      </c>
      <c r="CF63" s="53">
        <f>+CF60-CF62</f>
        <v>-0.21999999999997044</v>
      </c>
      <c r="CG63" s="53">
        <f>+CG60-CG61-CG62</f>
        <v>28.28000000000003</v>
      </c>
    </row>
    <row r="64" spans="1:89" s="52" customFormat="1">
      <c r="A64" s="51"/>
      <c r="B64" s="364" t="s">
        <v>16</v>
      </c>
      <c r="C64" s="495"/>
      <c r="D64" s="495"/>
      <c r="E64" s="496"/>
      <c r="F64" s="497"/>
      <c r="G64" s="497"/>
      <c r="H64" s="496"/>
      <c r="I64" s="497"/>
      <c r="J64" s="497"/>
      <c r="K64" s="496"/>
      <c r="L64" s="497"/>
      <c r="M64" s="497"/>
      <c r="N64" s="496"/>
      <c r="O64" s="497"/>
      <c r="P64" s="497"/>
      <c r="Q64" s="496"/>
      <c r="R64" s="497"/>
      <c r="S64" s="497"/>
      <c r="T64" s="498"/>
      <c r="U64" s="497"/>
      <c r="V64" s="497"/>
      <c r="W64" s="498"/>
      <c r="X64" s="497"/>
      <c r="Y64" s="499"/>
      <c r="Z64" s="496"/>
      <c r="AA64" s="497"/>
      <c r="AB64" s="499"/>
      <c r="AC64" s="496"/>
      <c r="AD64" s="497"/>
      <c r="AE64" s="499"/>
      <c r="AF64" s="496"/>
      <c r="AG64" s="497"/>
      <c r="AH64" s="499"/>
      <c r="AI64" s="496"/>
      <c r="AJ64" s="497"/>
      <c r="AK64" s="499"/>
      <c r="AL64" s="496"/>
      <c r="AM64" s="497"/>
      <c r="AN64" s="499"/>
      <c r="AO64" s="496"/>
      <c r="AP64" s="497"/>
      <c r="AQ64" s="499"/>
      <c r="AR64" s="496"/>
      <c r="AS64" s="497"/>
      <c r="AT64" s="499"/>
      <c r="AU64" s="496"/>
      <c r="AV64" s="497"/>
      <c r="AW64" s="499"/>
      <c r="AX64" s="496"/>
      <c r="AY64" s="497"/>
      <c r="AZ64" s="499"/>
      <c r="BA64" s="496"/>
      <c r="BB64" s="497"/>
      <c r="BC64" s="499"/>
      <c r="BD64" s="496"/>
      <c r="BE64" s="497"/>
      <c r="BF64" s="499"/>
      <c r="BG64" s="496"/>
      <c r="BJ64" s="51" t="s">
        <v>88</v>
      </c>
      <c r="BK64" s="500" t="s">
        <v>428</v>
      </c>
      <c r="BL64" s="54">
        <f ca="1">+VLOOKUP($BJ64,Model!$B:$BG,MATCH(Segment!BL$17,Model!$B$4:$BG$4,FALSE),FALSE)</f>
        <v>-113.017</v>
      </c>
      <c r="BM64" s="54">
        <f ca="1">+VLOOKUP($BJ64,Model!$B:$BG,MATCH(Segment!BM$17,Model!$B$4:$BG$4,FALSE),FALSE)</f>
        <v>-77.69</v>
      </c>
      <c r="BN64" s="54">
        <f ca="1">+VLOOKUP($BJ64,Model!$B:$BG,MATCH(Segment!BN$17,Model!$B$4:$BG$4,FALSE),FALSE)</f>
        <v>-86.425000000000054</v>
      </c>
      <c r="BO64" s="54">
        <f ca="1">+VLOOKUP($BJ64,Model!$B:$BG,MATCH(Segment!BO$17,Model!$B$4:$BG$4,FALSE),FALSE)</f>
        <v>258.65481237395846</v>
      </c>
      <c r="BP64" s="54">
        <f ca="1">+VLOOKUP($BJ64,Model!$B:$BG,MATCH(Segment!BP$17,Model!$B$4:$BG$4,FALSE),FALSE)</f>
        <v>318.02933145625627</v>
      </c>
      <c r="BQ64" s="54">
        <f ca="1">+VLOOKUP($BJ64,Model!$B:$BG,MATCH(Segment!BQ$17,Model!$B$4:$BG$4,FALSE),FALSE)</f>
        <v>314.21965310249357</v>
      </c>
      <c r="BR64" s="54">
        <f ca="1">+VLOOKUP($BJ64,Model!$B:$BG,MATCH(Segment!BR$17,Model!$B$4:$BG$4,FALSE),FALSE)</f>
        <v>280.4462650454285</v>
      </c>
      <c r="BS64" s="54">
        <f ca="1">+VLOOKUP($BJ64,Model!$B:$BG,MATCH(Segment!BS$17,Model!$B$4:$BG$4,FALSE),FALSE)</f>
        <v>-150.69996021895923</v>
      </c>
      <c r="BT64" s="54">
        <f ca="1">+VLOOKUP($BJ64,Model!$B:$BG,MATCH(Segment!BT$17,Model!$B$4:$BG$4,FALSE),FALSE)</f>
        <v>-336.03346031691831</v>
      </c>
      <c r="BU64" s="54">
        <f ca="1">+VLOOKUP($BJ64,Model!$B:$BG,MATCH(Segment!BU$17,Model!$B$4:$BG$4,FALSE),FALSE)</f>
        <v>-592.73602172773269</v>
      </c>
      <c r="BV64" s="54">
        <f ca="1">+VLOOKUP($BJ64,Model!$B:$BG,MATCH(Segment!BV$17,Model!$B$4:$BG$4,FALSE),FALSE)</f>
        <v>-929.72699123284212</v>
      </c>
      <c r="BW64" s="54">
        <f ca="1">+VLOOKUP($BJ64,Model!$B:$BG,MATCH(Segment!BW$17,Model!$B$4:$BG$4,FALSE),FALSE)</f>
        <v>-1352.1163940269096</v>
      </c>
      <c r="BX64" s="54">
        <f ca="1">+VLOOKUP($BJ64,Model!$B:$BG,MATCH(Segment!BX$17,Model!$B$4:$BG$4,FALSE),FALSE)</f>
        <v>-1866.2375953832834</v>
      </c>
      <c r="BY64" s="54">
        <f ca="1">+VLOOKUP($BJ64,Model!$B:$BG,MATCH(Segment!BY$17,Model!$B$4:$BG$4,FALSE),FALSE)</f>
        <v>-2474.7350543877828</v>
      </c>
      <c r="BZ64" s="53"/>
      <c r="CA64" s="53"/>
      <c r="CB64" s="53"/>
      <c r="CC64" s="53"/>
      <c r="CD64" s="53"/>
      <c r="CE64" s="53"/>
      <c r="CF64" s="53"/>
      <c r="CG64" s="53"/>
      <c r="CH64" s="53"/>
      <c r="CI64" s="53"/>
      <c r="CJ64" s="53"/>
      <c r="CK64" s="53"/>
    </row>
    <row r="65" spans="1:89">
      <c r="A65" s="51" t="s">
        <v>17</v>
      </c>
      <c r="B65" s="52" t="s">
        <v>463</v>
      </c>
      <c r="C65" s="52"/>
      <c r="D65" s="52"/>
      <c r="E65" s="346"/>
      <c r="F65" s="347"/>
      <c r="G65" s="347"/>
      <c r="H65" s="346"/>
      <c r="I65" s="347"/>
      <c r="J65" s="347"/>
      <c r="K65" s="346"/>
      <c r="L65" s="347"/>
      <c r="M65" s="347"/>
      <c r="N65" s="346"/>
      <c r="O65" s="347"/>
      <c r="P65" s="347"/>
      <c r="Q65" s="346"/>
      <c r="R65" s="347"/>
      <c r="S65" s="347"/>
      <c r="T65" s="404">
        <f t="shared" ref="T65:BG65" si="381">+T17-T48</f>
        <v>94.926000000000002</v>
      </c>
      <c r="U65" s="347">
        <f t="shared" si="381"/>
        <v>93.76400000000001</v>
      </c>
      <c r="V65" s="347">
        <f t="shared" si="381"/>
        <v>115.80699999999999</v>
      </c>
      <c r="W65" s="346">
        <f t="shared" si="381"/>
        <v>209.57099999999997</v>
      </c>
      <c r="X65" s="347">
        <f t="shared" si="381"/>
        <v>157.19599999999997</v>
      </c>
      <c r="Y65" s="347">
        <f t="shared" si="381"/>
        <v>178.96699999999998</v>
      </c>
      <c r="Z65" s="346">
        <f t="shared" si="381"/>
        <v>336.16300000000001</v>
      </c>
      <c r="AA65" s="347">
        <f t="shared" ref="AA65" si="382">+AA17-AA48</f>
        <v>208.62300000000005</v>
      </c>
      <c r="AB65" s="347">
        <f t="shared" si="381"/>
        <v>217.95022047734645</v>
      </c>
      <c r="AC65" s="346">
        <f t="shared" si="381"/>
        <v>426.57322047734635</v>
      </c>
      <c r="AD65" s="347">
        <f t="shared" si="381"/>
        <v>232.11234618989971</v>
      </c>
      <c r="AE65" s="347">
        <f t="shared" si="381"/>
        <v>245.70155309993993</v>
      </c>
      <c r="AF65" s="346">
        <f t="shared" si="381"/>
        <v>477.8138992898397</v>
      </c>
      <c r="AG65" s="347">
        <f t="shared" si="381"/>
        <v>272.67254406587529</v>
      </c>
      <c r="AH65" s="347">
        <f t="shared" si="381"/>
        <v>282.9300849887473</v>
      </c>
      <c r="AI65" s="346">
        <f t="shared" si="381"/>
        <v>555.60262905462275</v>
      </c>
      <c r="AJ65" s="347">
        <f t="shared" si="381"/>
        <v>316.17629177922043</v>
      </c>
      <c r="AK65" s="347">
        <f t="shared" si="381"/>
        <v>328.1937217287483</v>
      </c>
      <c r="AL65" s="346">
        <f t="shared" si="381"/>
        <v>644.37001350796868</v>
      </c>
      <c r="AM65" s="347">
        <f t="shared" si="381"/>
        <v>430.44495625451697</v>
      </c>
      <c r="AN65" s="347">
        <f t="shared" si="381"/>
        <v>447.06581591208578</v>
      </c>
      <c r="AO65" s="346">
        <f t="shared" si="381"/>
        <v>877.51077216660269</v>
      </c>
      <c r="AP65" s="347">
        <f t="shared" si="381"/>
        <v>519.22335611896699</v>
      </c>
      <c r="AQ65" s="347">
        <f t="shared" si="381"/>
        <v>559.97910810335679</v>
      </c>
      <c r="AR65" s="346">
        <f t="shared" si="381"/>
        <v>1079.2024642223237</v>
      </c>
      <c r="AS65" s="347">
        <f t="shared" si="381"/>
        <v>611.91067972867552</v>
      </c>
      <c r="AT65" s="347">
        <f t="shared" si="381"/>
        <v>660.12882933402398</v>
      </c>
      <c r="AU65" s="346">
        <f t="shared" si="381"/>
        <v>1272.0395090626996</v>
      </c>
      <c r="AV65" s="347">
        <f t="shared" si="381"/>
        <v>708.20572550369911</v>
      </c>
      <c r="AW65" s="347">
        <f t="shared" si="381"/>
        <v>764.04604766315595</v>
      </c>
      <c r="AX65" s="346">
        <f t="shared" si="381"/>
        <v>1472.2517731668549</v>
      </c>
      <c r="AY65" s="347">
        <f t="shared" si="381"/>
        <v>802.76338203402645</v>
      </c>
      <c r="AZ65" s="347">
        <f t="shared" si="381"/>
        <v>867.04521729417047</v>
      </c>
      <c r="BA65" s="346">
        <f t="shared" si="381"/>
        <v>1669.808599328197</v>
      </c>
      <c r="BB65" s="347">
        <f t="shared" si="381"/>
        <v>897.94282029227861</v>
      </c>
      <c r="BC65" s="347">
        <f t="shared" si="381"/>
        <v>969.93071705366708</v>
      </c>
      <c r="BD65" s="346">
        <f t="shared" si="381"/>
        <v>1867.8735373459454</v>
      </c>
      <c r="BE65" s="347">
        <f t="shared" si="381"/>
        <v>987.37340214388894</v>
      </c>
      <c r="BF65" s="347">
        <f t="shared" si="381"/>
        <v>1066.5692722530782</v>
      </c>
      <c r="BG65" s="346">
        <f t="shared" si="381"/>
        <v>2053.942674396967</v>
      </c>
      <c r="BK65" s="500" t="s">
        <v>333</v>
      </c>
      <c r="BL65" s="54"/>
      <c r="BM65" s="54"/>
      <c r="BN65" s="54"/>
      <c r="BO65" s="54"/>
      <c r="BP65" s="54"/>
      <c r="BQ65" s="473"/>
      <c r="BR65" s="473"/>
      <c r="BS65" s="473"/>
      <c r="BT65" s="473"/>
      <c r="BU65" s="473"/>
      <c r="BV65" s="473"/>
      <c r="BW65" s="473"/>
      <c r="BX65" s="473"/>
      <c r="BY65" s="473"/>
      <c r="CC65" s="53" t="s">
        <v>27</v>
      </c>
      <c r="CD65" s="59">
        <v>0.15</v>
      </c>
    </row>
    <row r="66" spans="1:89">
      <c r="A66" s="51" t="s">
        <v>104</v>
      </c>
      <c r="B66" s="350" t="s">
        <v>99</v>
      </c>
      <c r="E66" s="485"/>
      <c r="F66" s="479"/>
      <c r="G66" s="479"/>
      <c r="H66" s="485"/>
      <c r="I66" s="479"/>
      <c r="J66" s="479"/>
      <c r="K66" s="485"/>
      <c r="L66" s="479"/>
      <c r="M66" s="479"/>
      <c r="N66" s="485"/>
      <c r="O66" s="479"/>
      <c r="P66" s="479"/>
      <c r="Q66" s="485"/>
      <c r="R66" s="479"/>
      <c r="S66" s="479"/>
      <c r="T66" s="485">
        <f t="shared" ref="T66:BG66" si="383">+T19-T49</f>
        <v>91.198999999999998</v>
      </c>
      <c r="U66" s="479">
        <f t="shared" si="383"/>
        <v>92.22</v>
      </c>
      <c r="V66" s="479">
        <f t="shared" si="383"/>
        <v>113.57799999999997</v>
      </c>
      <c r="W66" s="485">
        <f t="shared" si="383"/>
        <v>205.798</v>
      </c>
      <c r="X66" s="479">
        <f t="shared" si="383"/>
        <v>153.82999999999998</v>
      </c>
      <c r="Y66" s="479">
        <f t="shared" si="383"/>
        <v>176.41499999999996</v>
      </c>
      <c r="Z66" s="485">
        <f t="shared" si="383"/>
        <v>330.245</v>
      </c>
      <c r="AA66" s="479">
        <f t="shared" ref="AA66" si="384">+AA19-AA49</f>
        <v>196.99599999999998</v>
      </c>
      <c r="AB66" s="479">
        <f t="shared" si="383"/>
        <v>204.21465907165913</v>
      </c>
      <c r="AC66" s="485">
        <f t="shared" si="383"/>
        <v>401.21065907165905</v>
      </c>
      <c r="AD66" s="479">
        <f t="shared" si="383"/>
        <v>218.54009361322022</v>
      </c>
      <c r="AE66" s="479">
        <f t="shared" si="383"/>
        <v>232.12930052326044</v>
      </c>
      <c r="AF66" s="485">
        <f t="shared" si="383"/>
        <v>450.66939413648072</v>
      </c>
      <c r="AG66" s="479">
        <f t="shared" si="383"/>
        <v>258.42167886036179</v>
      </c>
      <c r="AH66" s="479">
        <f t="shared" si="383"/>
        <v>268.6792197832338</v>
      </c>
      <c r="AI66" s="485">
        <f t="shared" si="383"/>
        <v>527.10089864359566</v>
      </c>
      <c r="AJ66" s="479">
        <f t="shared" si="383"/>
        <v>302.37050602478712</v>
      </c>
      <c r="AK66" s="479">
        <f t="shared" si="383"/>
        <v>314.38793588090095</v>
      </c>
      <c r="AL66" s="485">
        <f t="shared" si="383"/>
        <v>616.75844190568819</v>
      </c>
      <c r="AM66" s="479">
        <f t="shared" si="383"/>
        <v>354.14240606882748</v>
      </c>
      <c r="AN66" s="479">
        <f t="shared" si="383"/>
        <v>368.2405523571469</v>
      </c>
      <c r="AO66" s="485">
        <f t="shared" si="383"/>
        <v>722.38295842597427</v>
      </c>
      <c r="AP66" s="479">
        <f t="shared" si="383"/>
        <v>393.53852254085939</v>
      </c>
      <c r="AQ66" s="479">
        <f t="shared" si="383"/>
        <v>425.65571777876437</v>
      </c>
      <c r="AR66" s="485">
        <f t="shared" si="383"/>
        <v>819.19424031962399</v>
      </c>
      <c r="AS66" s="479">
        <f t="shared" si="383"/>
        <v>441.49621896246134</v>
      </c>
      <c r="AT66" s="479">
        <f t="shared" si="383"/>
        <v>477.53239088235233</v>
      </c>
      <c r="AU66" s="485">
        <f t="shared" si="383"/>
        <v>919.02860984481356</v>
      </c>
      <c r="AV66" s="479">
        <f t="shared" si="383"/>
        <v>488.29924512608432</v>
      </c>
      <c r="AW66" s="479">
        <f t="shared" si="383"/>
        <v>528.11214661576014</v>
      </c>
      <c r="AX66" s="485">
        <f t="shared" si="383"/>
        <v>1016.4113917418445</v>
      </c>
      <c r="AY66" s="479">
        <f t="shared" si="383"/>
        <v>532.54552223003282</v>
      </c>
      <c r="AZ66" s="479">
        <f t="shared" si="383"/>
        <v>576.22425463879142</v>
      </c>
      <c r="BA66" s="485">
        <f t="shared" si="383"/>
        <v>1108.769776868824</v>
      </c>
      <c r="BB66" s="479">
        <f t="shared" si="383"/>
        <v>574.15641712189972</v>
      </c>
      <c r="BC66" s="479">
        <f t="shared" si="383"/>
        <v>621.22606047583452</v>
      </c>
      <c r="BD66" s="485">
        <f t="shared" si="383"/>
        <v>1195.3824775977341</v>
      </c>
      <c r="BE66" s="479">
        <f t="shared" si="383"/>
        <v>610.65280020814498</v>
      </c>
      <c r="BF66" s="479">
        <f t="shared" si="383"/>
        <v>660.68739741279956</v>
      </c>
      <c r="BG66" s="485">
        <f t="shared" si="383"/>
        <v>1271.3401976209445</v>
      </c>
      <c r="CC66" s="53" t="s">
        <v>503</v>
      </c>
      <c r="CD66" s="59">
        <v>0.01</v>
      </c>
    </row>
    <row r="67" spans="1:89">
      <c r="A67" s="51" t="s">
        <v>121</v>
      </c>
      <c r="B67" s="350" t="s">
        <v>117</v>
      </c>
      <c r="E67" s="485"/>
      <c r="F67" s="479"/>
      <c r="G67" s="479"/>
      <c r="H67" s="485"/>
      <c r="I67" s="479"/>
      <c r="J67" s="479"/>
      <c r="K67" s="485"/>
      <c r="L67" s="479"/>
      <c r="M67" s="479"/>
      <c r="N67" s="485"/>
      <c r="O67" s="479"/>
      <c r="P67" s="479"/>
      <c r="Q67" s="485"/>
      <c r="R67" s="479"/>
      <c r="S67" s="479"/>
      <c r="T67" s="485">
        <f t="shared" ref="T67:BG67" si="385">+T29-T50</f>
        <v>3.7269999999999999</v>
      </c>
      <c r="U67" s="479">
        <f t="shared" si="385"/>
        <v>1.359</v>
      </c>
      <c r="V67" s="479">
        <f t="shared" si="385"/>
        <v>2.137</v>
      </c>
      <c r="W67" s="485">
        <f t="shared" si="385"/>
        <v>3.496</v>
      </c>
      <c r="X67" s="479">
        <f t="shared" si="385"/>
        <v>2.839</v>
      </c>
      <c r="Y67" s="479">
        <f t="shared" si="385"/>
        <v>3.387</v>
      </c>
      <c r="Z67" s="485">
        <f t="shared" si="385"/>
        <v>6.226</v>
      </c>
      <c r="AA67" s="479">
        <f t="shared" ref="AA67" si="386">+AA29-AA50</f>
        <v>3.8860000000000001</v>
      </c>
      <c r="AB67" s="479">
        <f t="shared" si="385"/>
        <v>3.8919999999999999</v>
      </c>
      <c r="AC67" s="485">
        <f t="shared" si="385"/>
        <v>7.7779999999999996</v>
      </c>
      <c r="AD67" s="479">
        <f t="shared" si="385"/>
        <v>4.2</v>
      </c>
      <c r="AE67" s="479">
        <f t="shared" si="385"/>
        <v>4.2</v>
      </c>
      <c r="AF67" s="485">
        <f t="shared" si="385"/>
        <v>8.4</v>
      </c>
      <c r="AG67" s="479">
        <f t="shared" si="385"/>
        <v>4.41</v>
      </c>
      <c r="AH67" s="479">
        <f t="shared" si="385"/>
        <v>4.41</v>
      </c>
      <c r="AI67" s="485">
        <f t="shared" si="385"/>
        <v>8.82</v>
      </c>
      <c r="AJ67" s="479">
        <f t="shared" si="385"/>
        <v>3.4728772886441446</v>
      </c>
      <c r="AK67" s="479">
        <f t="shared" si="385"/>
        <v>3.4728773820581917</v>
      </c>
      <c r="AL67" s="485">
        <f t="shared" si="385"/>
        <v>6.9457546707023363</v>
      </c>
      <c r="AM67" s="479">
        <f t="shared" si="385"/>
        <v>65.452996296610863</v>
      </c>
      <c r="AN67" s="479">
        <f t="shared" si="385"/>
        <v>67.975709665860279</v>
      </c>
      <c r="AO67" s="485">
        <f t="shared" si="385"/>
        <v>133.42870596247116</v>
      </c>
      <c r="AP67" s="479">
        <f t="shared" si="385"/>
        <v>113.70024269770001</v>
      </c>
      <c r="AQ67" s="479">
        <f t="shared" si="385"/>
        <v>122.33879944418467</v>
      </c>
      <c r="AR67" s="485">
        <f t="shared" si="385"/>
        <v>236.03904214188466</v>
      </c>
      <c r="AS67" s="479">
        <f t="shared" si="385"/>
        <v>157.20845308006761</v>
      </c>
      <c r="AT67" s="479">
        <f t="shared" si="385"/>
        <v>169.39043076552494</v>
      </c>
      <c r="AU67" s="485">
        <f t="shared" si="385"/>
        <v>326.59888384559258</v>
      </c>
      <c r="AV67" s="479">
        <f t="shared" si="385"/>
        <v>205.38687568235613</v>
      </c>
      <c r="AW67" s="479">
        <f t="shared" si="385"/>
        <v>221.41429635213706</v>
      </c>
      <c r="AX67" s="485">
        <f t="shared" si="385"/>
        <v>426.80117203449328</v>
      </c>
      <c r="AY67" s="479">
        <f t="shared" si="385"/>
        <v>254.28631341792712</v>
      </c>
      <c r="AZ67" s="479">
        <f t="shared" si="385"/>
        <v>274.88941626931239</v>
      </c>
      <c r="BA67" s="485">
        <f t="shared" si="385"/>
        <v>529.17572968723948</v>
      </c>
      <c r="BB67" s="479">
        <f t="shared" si="385"/>
        <v>306.33801993616174</v>
      </c>
      <c r="BC67" s="479">
        <f t="shared" si="385"/>
        <v>331.25627334361553</v>
      </c>
      <c r="BD67" s="485">
        <f t="shared" si="385"/>
        <v>637.59429327977739</v>
      </c>
      <c r="BE67" s="479">
        <f t="shared" si="385"/>
        <v>357.64352703452647</v>
      </c>
      <c r="BF67" s="479">
        <f t="shared" si="385"/>
        <v>386.80479993906118</v>
      </c>
      <c r="BG67" s="485">
        <f t="shared" si="385"/>
        <v>744.44832697358765</v>
      </c>
      <c r="CC67" s="53" t="s">
        <v>33</v>
      </c>
      <c r="CD67" s="59">
        <v>0.05</v>
      </c>
    </row>
    <row r="68" spans="1:89">
      <c r="A68" s="51" t="s">
        <v>477</v>
      </c>
      <c r="B68" s="350" t="s">
        <v>138</v>
      </c>
      <c r="E68" s="485"/>
      <c r="F68" s="479"/>
      <c r="G68" s="479"/>
      <c r="H68" s="485"/>
      <c r="I68" s="479"/>
      <c r="J68" s="479"/>
      <c r="K68" s="485"/>
      <c r="L68" s="479"/>
      <c r="M68" s="479"/>
      <c r="N68" s="485"/>
      <c r="O68" s="479"/>
      <c r="P68" s="479"/>
      <c r="Q68" s="485"/>
      <c r="R68" s="479"/>
      <c r="S68" s="479"/>
      <c r="T68" s="485">
        <f t="shared" ref="T68:BG68" si="387">+T35-T51</f>
        <v>0</v>
      </c>
      <c r="U68" s="479">
        <f t="shared" si="387"/>
        <v>0.185</v>
      </c>
      <c r="V68" s="479">
        <f t="shared" si="387"/>
        <v>9.2000000000000026E-2</v>
      </c>
      <c r="W68" s="485">
        <f t="shared" si="387"/>
        <v>0.27700000000000002</v>
      </c>
      <c r="X68" s="479">
        <f t="shared" si="387"/>
        <v>0.52700000000000002</v>
      </c>
      <c r="Y68" s="479">
        <f t="shared" si="387"/>
        <v>-0.83499999999999996</v>
      </c>
      <c r="Z68" s="485">
        <f t="shared" si="387"/>
        <v>-0.30800000000000005</v>
      </c>
      <c r="AA68" s="479">
        <f t="shared" ref="AA68" si="388">+AA35-AA51</f>
        <v>7.7409999999999997</v>
      </c>
      <c r="AB68" s="479">
        <f t="shared" si="387"/>
        <v>9.8435614056873106</v>
      </c>
      <c r="AC68" s="485">
        <f t="shared" si="387"/>
        <v>17.58456140568731</v>
      </c>
      <c r="AD68" s="479">
        <f t="shared" si="387"/>
        <v>9.3722525766795002</v>
      </c>
      <c r="AE68" s="479">
        <f t="shared" si="387"/>
        <v>9.3722525766795002</v>
      </c>
      <c r="AF68" s="485">
        <f t="shared" si="387"/>
        <v>18.744505153359</v>
      </c>
      <c r="AG68" s="479">
        <f t="shared" si="387"/>
        <v>9.8408652055134667</v>
      </c>
      <c r="AH68" s="479">
        <f t="shared" si="387"/>
        <v>9.8408652055134667</v>
      </c>
      <c r="AI68" s="485">
        <f t="shared" si="387"/>
        <v>19.681730411026933</v>
      </c>
      <c r="AJ68" s="479">
        <f t="shared" si="387"/>
        <v>10.332908465789146</v>
      </c>
      <c r="AK68" s="479">
        <f t="shared" si="387"/>
        <v>10.332908465789146</v>
      </c>
      <c r="AL68" s="485">
        <f t="shared" si="387"/>
        <v>20.665816931578291</v>
      </c>
      <c r="AM68" s="479">
        <f t="shared" si="387"/>
        <v>10.849553889078607</v>
      </c>
      <c r="AN68" s="479">
        <f t="shared" si="387"/>
        <v>10.849553889078607</v>
      </c>
      <c r="AO68" s="485">
        <f t="shared" si="387"/>
        <v>21.699107778157213</v>
      </c>
      <c r="AP68" s="479">
        <f t="shared" si="387"/>
        <v>11.984590880407538</v>
      </c>
      <c r="AQ68" s="479">
        <f t="shared" si="387"/>
        <v>11.984590880407538</v>
      </c>
      <c r="AR68" s="485">
        <f t="shared" si="387"/>
        <v>23.969181760815076</v>
      </c>
      <c r="AS68" s="479">
        <f t="shared" si="387"/>
        <v>13.206007686146663</v>
      </c>
      <c r="AT68" s="479">
        <f t="shared" si="387"/>
        <v>13.206007686146663</v>
      </c>
      <c r="AU68" s="485">
        <f t="shared" si="387"/>
        <v>26.412015372293325</v>
      </c>
      <c r="AV68" s="479">
        <f t="shared" si="387"/>
        <v>14.519604695258678</v>
      </c>
      <c r="AW68" s="479">
        <f t="shared" si="387"/>
        <v>14.519604695258678</v>
      </c>
      <c r="AX68" s="485">
        <f t="shared" si="387"/>
        <v>29.039209390517357</v>
      </c>
      <c r="AY68" s="479">
        <f t="shared" si="387"/>
        <v>15.931546386066543</v>
      </c>
      <c r="AZ68" s="479">
        <f t="shared" si="387"/>
        <v>15.931546386066543</v>
      </c>
      <c r="BA68" s="485">
        <f t="shared" si="387"/>
        <v>31.863092772133086</v>
      </c>
      <c r="BB68" s="479">
        <f t="shared" si="387"/>
        <v>17.448383234217033</v>
      </c>
      <c r="BC68" s="479">
        <f t="shared" si="387"/>
        <v>17.448383234217033</v>
      </c>
      <c r="BD68" s="485">
        <f t="shared" si="387"/>
        <v>34.896766468434066</v>
      </c>
      <c r="BE68" s="479">
        <f t="shared" si="387"/>
        <v>19.077074901217429</v>
      </c>
      <c r="BF68" s="479">
        <f t="shared" si="387"/>
        <v>19.077074901217429</v>
      </c>
      <c r="BG68" s="485">
        <f t="shared" si="387"/>
        <v>38.154149802434858</v>
      </c>
      <c r="CD68" s="59">
        <v>0.32</v>
      </c>
    </row>
    <row r="69" spans="1:89">
      <c r="E69" s="346"/>
      <c r="F69" s="347"/>
      <c r="G69" s="347"/>
      <c r="H69" s="346"/>
      <c r="I69" s="347"/>
      <c r="J69" s="347"/>
      <c r="K69" s="346"/>
      <c r="L69" s="347"/>
      <c r="M69" s="347"/>
      <c r="N69" s="485"/>
      <c r="O69" s="347"/>
      <c r="P69" s="347"/>
      <c r="Q69" s="485"/>
      <c r="R69" s="347"/>
      <c r="S69" s="347"/>
      <c r="T69" s="390">
        <f>+T65-SUM(T66:T68)</f>
        <v>0</v>
      </c>
      <c r="U69" s="391">
        <f t="shared" ref="U69" si="389">+U65-SUM(U66:U68)</f>
        <v>0</v>
      </c>
      <c r="V69" s="391">
        <f t="shared" ref="V69:BG69" si="390">+V65-SUM(V66:V68)</f>
        <v>0</v>
      </c>
      <c r="W69" s="390">
        <f t="shared" si="390"/>
        <v>0</v>
      </c>
      <c r="X69" s="391">
        <f t="shared" si="390"/>
        <v>0</v>
      </c>
      <c r="Y69" s="391">
        <f t="shared" si="390"/>
        <v>0</v>
      </c>
      <c r="Z69" s="390">
        <f t="shared" si="390"/>
        <v>0</v>
      </c>
      <c r="AA69" s="391">
        <f t="shared" ref="AA69" si="391">+AA65-SUM(AA66:AA68)</f>
        <v>0</v>
      </c>
      <c r="AB69" s="391">
        <f t="shared" si="390"/>
        <v>0</v>
      </c>
      <c r="AC69" s="390">
        <f t="shared" si="390"/>
        <v>0</v>
      </c>
      <c r="AD69" s="391">
        <f t="shared" si="390"/>
        <v>0</v>
      </c>
      <c r="AE69" s="391">
        <f t="shared" si="390"/>
        <v>0</v>
      </c>
      <c r="AF69" s="390">
        <f t="shared" si="390"/>
        <v>0</v>
      </c>
      <c r="AG69" s="391">
        <f t="shared" si="390"/>
        <v>0</v>
      </c>
      <c r="AH69" s="391">
        <f t="shared" si="390"/>
        <v>0</v>
      </c>
      <c r="AI69" s="390">
        <f t="shared" si="390"/>
        <v>0</v>
      </c>
      <c r="AJ69" s="391">
        <f t="shared" si="390"/>
        <v>0</v>
      </c>
      <c r="AK69" s="391">
        <f t="shared" si="390"/>
        <v>0</v>
      </c>
      <c r="AL69" s="390">
        <f t="shared" si="390"/>
        <v>0</v>
      </c>
      <c r="AM69" s="391">
        <f t="shared" si="390"/>
        <v>0</v>
      </c>
      <c r="AN69" s="391">
        <f t="shared" si="390"/>
        <v>0</v>
      </c>
      <c r="AO69" s="390">
        <f t="shared" si="390"/>
        <v>0</v>
      </c>
      <c r="AP69" s="391">
        <f t="shared" si="390"/>
        <v>0</v>
      </c>
      <c r="AQ69" s="391">
        <f t="shared" si="390"/>
        <v>0</v>
      </c>
      <c r="AR69" s="390">
        <f t="shared" si="390"/>
        <v>0</v>
      </c>
      <c r="AS69" s="391">
        <f t="shared" si="390"/>
        <v>0</v>
      </c>
      <c r="AT69" s="391">
        <f t="shared" si="390"/>
        <v>0</v>
      </c>
      <c r="AU69" s="390">
        <f t="shared" si="390"/>
        <v>0</v>
      </c>
      <c r="AV69" s="391">
        <f t="shared" si="390"/>
        <v>0</v>
      </c>
      <c r="AW69" s="391">
        <f t="shared" si="390"/>
        <v>0</v>
      </c>
      <c r="AX69" s="390">
        <f t="shared" si="390"/>
        <v>0</v>
      </c>
      <c r="AY69" s="391">
        <f t="shared" si="390"/>
        <v>0</v>
      </c>
      <c r="AZ69" s="391">
        <f t="shared" si="390"/>
        <v>0</v>
      </c>
      <c r="BA69" s="390">
        <f t="shared" si="390"/>
        <v>0</v>
      </c>
      <c r="BB69" s="391">
        <f t="shared" si="390"/>
        <v>0</v>
      </c>
      <c r="BC69" s="391">
        <f t="shared" si="390"/>
        <v>0</v>
      </c>
      <c r="BD69" s="390">
        <f t="shared" si="390"/>
        <v>0</v>
      </c>
      <c r="BE69" s="391">
        <f t="shared" si="390"/>
        <v>0</v>
      </c>
      <c r="BF69" s="391">
        <f t="shared" si="390"/>
        <v>0</v>
      </c>
      <c r="BG69" s="390">
        <f t="shared" si="390"/>
        <v>0</v>
      </c>
    </row>
    <row r="70" spans="1:89">
      <c r="B70" s="52" t="s">
        <v>400</v>
      </c>
      <c r="E70" s="346"/>
      <c r="F70" s="347"/>
      <c r="G70" s="347"/>
      <c r="H70" s="346"/>
      <c r="I70" s="347"/>
      <c r="J70" s="347"/>
      <c r="K70" s="346"/>
      <c r="L70" s="347"/>
      <c r="M70" s="347"/>
      <c r="N70" s="485"/>
      <c r="O70" s="347"/>
      <c r="P70" s="347"/>
      <c r="Q70" s="485"/>
      <c r="R70" s="347"/>
      <c r="S70" s="347"/>
      <c r="T70" s="486"/>
      <c r="U70" s="347"/>
      <c r="V70" s="347"/>
      <c r="W70" s="486"/>
      <c r="X70" s="347"/>
      <c r="Y70" s="347"/>
      <c r="Z70" s="486"/>
      <c r="AA70" s="347"/>
      <c r="AB70" s="489"/>
      <c r="AC70" s="485"/>
      <c r="AD70" s="479"/>
      <c r="AE70" s="489"/>
      <c r="AF70" s="485"/>
      <c r="AG70" s="479"/>
      <c r="AH70" s="489"/>
      <c r="AI70" s="485"/>
      <c r="AJ70" s="479"/>
      <c r="AK70" s="489"/>
      <c r="AL70" s="485"/>
      <c r="AM70" s="479"/>
      <c r="AN70" s="489"/>
      <c r="AO70" s="485"/>
      <c r="AP70" s="479"/>
      <c r="AQ70" s="489"/>
      <c r="AR70" s="485"/>
      <c r="AS70" s="479"/>
      <c r="AT70" s="489"/>
      <c r="AU70" s="485"/>
      <c r="AV70" s="479"/>
      <c r="AW70" s="489"/>
      <c r="AX70" s="485"/>
      <c r="AY70" s="479"/>
      <c r="AZ70" s="489"/>
      <c r="BA70" s="485"/>
      <c r="BB70" s="479"/>
      <c r="BC70" s="489"/>
      <c r="BD70" s="485"/>
      <c r="BE70" s="479"/>
      <c r="BF70" s="489"/>
      <c r="BG70" s="485"/>
      <c r="CD70" s="59"/>
    </row>
    <row r="71" spans="1:89">
      <c r="A71" s="51" t="s">
        <v>479</v>
      </c>
      <c r="B71" s="52" t="s">
        <v>463</v>
      </c>
      <c r="E71" s="346"/>
      <c r="F71" s="347"/>
      <c r="G71" s="347"/>
      <c r="H71" s="346"/>
      <c r="I71" s="347"/>
      <c r="J71" s="347"/>
      <c r="K71" s="346"/>
      <c r="L71" s="347"/>
      <c r="M71" s="347"/>
      <c r="N71" s="485"/>
      <c r="O71" s="347"/>
      <c r="P71" s="347"/>
      <c r="Q71" s="485"/>
      <c r="R71" s="347"/>
      <c r="S71" s="347"/>
      <c r="T71" s="405">
        <f t="shared" ref="T71:BG71" si="392">+T65/T17</f>
        <v>0.59293174095542678</v>
      </c>
      <c r="U71" s="406">
        <f t="shared" si="392"/>
        <v>0.63020640799016014</v>
      </c>
      <c r="V71" s="406">
        <f t="shared" si="392"/>
        <v>0.62871956350606695</v>
      </c>
      <c r="W71" s="405">
        <f t="shared" si="392"/>
        <v>0.6293839232621975</v>
      </c>
      <c r="X71" s="406">
        <f t="shared" si="392"/>
        <v>0.65604667565345487</v>
      </c>
      <c r="Y71" s="406">
        <f t="shared" si="392"/>
        <v>0.64623023037481042</v>
      </c>
      <c r="Z71" s="405">
        <f t="shared" si="392"/>
        <v>0.65078375610539907</v>
      </c>
      <c r="AA71" s="406">
        <f t="shared" ref="AA71" si="393">+AA65/AA17</f>
        <v>0.53443881145304717</v>
      </c>
      <c r="AB71" s="406">
        <f t="shared" si="392"/>
        <v>0.52639650589818643</v>
      </c>
      <c r="AC71" s="405">
        <f t="shared" si="392"/>
        <v>0.53029926915015713</v>
      </c>
      <c r="AD71" s="406">
        <f t="shared" si="392"/>
        <v>0.52375594980416162</v>
      </c>
      <c r="AE71" s="406">
        <f t="shared" si="392"/>
        <v>0.52907079671041946</v>
      </c>
      <c r="AF71" s="405">
        <f t="shared" si="392"/>
        <v>0.52647554518379058</v>
      </c>
      <c r="AG71" s="406">
        <f t="shared" si="392"/>
        <v>0.54063420319962829</v>
      </c>
      <c r="AH71" s="406">
        <f t="shared" si="392"/>
        <v>0.54395233119977449</v>
      </c>
      <c r="AI71" s="405">
        <f t="shared" si="392"/>
        <v>0.54231882264349573</v>
      </c>
      <c r="AJ71" s="406">
        <f t="shared" si="392"/>
        <v>0.55444100019274378</v>
      </c>
      <c r="AK71" s="406">
        <f t="shared" si="392"/>
        <v>0.55770717099577061</v>
      </c>
      <c r="AL71" s="405">
        <f t="shared" si="392"/>
        <v>0.55609974779726101</v>
      </c>
      <c r="AM71" s="406">
        <f t="shared" si="392"/>
        <v>0.58427330774732067</v>
      </c>
      <c r="AN71" s="406">
        <f t="shared" si="392"/>
        <v>0.58712976086502</v>
      </c>
      <c r="AO71" s="405">
        <f t="shared" si="392"/>
        <v>0.58572510460278959</v>
      </c>
      <c r="AP71" s="406">
        <f t="shared" si="392"/>
        <v>0.60312010074394651</v>
      </c>
      <c r="AQ71" s="406">
        <f t="shared" si="392"/>
        <v>0.60825391583649935</v>
      </c>
      <c r="AR71" s="405">
        <f t="shared" si="392"/>
        <v>0.60577308196720692</v>
      </c>
      <c r="AS71" s="406">
        <f t="shared" si="392"/>
        <v>0.61794162897852778</v>
      </c>
      <c r="AT71" s="406">
        <f t="shared" si="392"/>
        <v>0.62273102297903082</v>
      </c>
      <c r="AU71" s="405">
        <f t="shared" si="392"/>
        <v>0.62041786741156035</v>
      </c>
      <c r="AV71" s="406">
        <f t="shared" si="392"/>
        <v>0.63089284222550202</v>
      </c>
      <c r="AW71" s="406">
        <f t="shared" si="392"/>
        <v>0.63539287767455976</v>
      </c>
      <c r="AX71" s="405">
        <f t="shared" si="392"/>
        <v>0.63322021425370578</v>
      </c>
      <c r="AY71" s="406">
        <f t="shared" si="392"/>
        <v>0.64190801444895818</v>
      </c>
      <c r="AZ71" s="406">
        <f t="shared" si="392"/>
        <v>0.6462865613326636</v>
      </c>
      <c r="BA71" s="405">
        <f t="shared" si="392"/>
        <v>0.64417413607954865</v>
      </c>
      <c r="BB71" s="406">
        <f t="shared" si="392"/>
        <v>0.65185875917587388</v>
      </c>
      <c r="BC71" s="406">
        <f t="shared" si="392"/>
        <v>0.656077301525262</v>
      </c>
      <c r="BD71" s="405">
        <f t="shared" si="392"/>
        <v>0.65404252785630601</v>
      </c>
      <c r="BE71" s="406">
        <f t="shared" si="392"/>
        <v>0.66054945161511536</v>
      </c>
      <c r="BF71" s="406">
        <f t="shared" si="392"/>
        <v>0.66466329259637891</v>
      </c>
      <c r="BG71" s="405">
        <f t="shared" si="392"/>
        <v>0.66267930625228988</v>
      </c>
    </row>
    <row r="72" spans="1:89">
      <c r="A72" s="51" t="s">
        <v>481</v>
      </c>
      <c r="B72" s="350" t="s">
        <v>99</v>
      </c>
      <c r="E72" s="485"/>
      <c r="F72" s="479"/>
      <c r="G72" s="479"/>
      <c r="H72" s="485"/>
      <c r="I72" s="479"/>
      <c r="J72" s="479"/>
      <c r="K72" s="485"/>
      <c r="L72" s="479"/>
      <c r="M72" s="479"/>
      <c r="N72" s="485"/>
      <c r="O72" s="479"/>
      <c r="P72" s="479"/>
      <c r="Q72" s="485"/>
      <c r="R72" s="479"/>
      <c r="S72" s="479"/>
      <c r="T72" s="351">
        <f t="shared" ref="T72:BG72" si="394">+T66/T19</f>
        <v>0.58322941247945559</v>
      </c>
      <c r="U72" s="352">
        <f t="shared" si="394"/>
        <v>0.62632862217211471</v>
      </c>
      <c r="V72" s="352">
        <f t="shared" si="394"/>
        <v>0.62417154853104417</v>
      </c>
      <c r="W72" s="351">
        <f t="shared" si="394"/>
        <v>0.62513631323947083</v>
      </c>
      <c r="X72" s="352">
        <f t="shared" si="394"/>
        <v>0.65114605600118514</v>
      </c>
      <c r="Y72" s="352">
        <f t="shared" si="394"/>
        <v>0.64795804057106543</v>
      </c>
      <c r="Z72" s="351">
        <f t="shared" si="394"/>
        <v>0.64943914353363175</v>
      </c>
      <c r="AA72" s="352">
        <f t="shared" ref="AA72" si="395">+AA66/AA19</f>
        <v>0.64412510013569402</v>
      </c>
      <c r="AB72" s="352">
        <f t="shared" si="394"/>
        <v>0.64412510013569402</v>
      </c>
      <c r="AC72" s="351">
        <f t="shared" si="394"/>
        <v>0.64412510013569402</v>
      </c>
      <c r="AD72" s="352">
        <f t="shared" si="394"/>
        <v>0.64</v>
      </c>
      <c r="AE72" s="352">
        <f t="shared" si="394"/>
        <v>0.64</v>
      </c>
      <c r="AF72" s="351">
        <f t="shared" si="394"/>
        <v>0.64</v>
      </c>
      <c r="AG72" s="352">
        <f t="shared" si="394"/>
        <v>0.64999999999999991</v>
      </c>
      <c r="AH72" s="352">
        <f t="shared" si="394"/>
        <v>0.65</v>
      </c>
      <c r="AI72" s="351">
        <f t="shared" si="394"/>
        <v>0.65</v>
      </c>
      <c r="AJ72" s="352">
        <f t="shared" si="394"/>
        <v>0.65999999999999992</v>
      </c>
      <c r="AK72" s="352">
        <f t="shared" si="394"/>
        <v>0.65999999999999992</v>
      </c>
      <c r="AL72" s="351">
        <f t="shared" si="394"/>
        <v>0.66</v>
      </c>
      <c r="AM72" s="352">
        <f t="shared" si="394"/>
        <v>0.66</v>
      </c>
      <c r="AN72" s="352">
        <f t="shared" si="394"/>
        <v>0.65999999999999992</v>
      </c>
      <c r="AO72" s="351">
        <f t="shared" si="394"/>
        <v>0.65999999999999992</v>
      </c>
      <c r="AP72" s="352">
        <f t="shared" si="394"/>
        <v>0.66499999999999992</v>
      </c>
      <c r="AQ72" s="352">
        <f t="shared" si="394"/>
        <v>0.66499999999999992</v>
      </c>
      <c r="AR72" s="351">
        <f t="shared" si="394"/>
        <v>0.66500000000000004</v>
      </c>
      <c r="AS72" s="352">
        <f t="shared" si="394"/>
        <v>0.67</v>
      </c>
      <c r="AT72" s="352">
        <f t="shared" si="394"/>
        <v>0.67</v>
      </c>
      <c r="AU72" s="351">
        <f t="shared" si="394"/>
        <v>0.66999999999999993</v>
      </c>
      <c r="AV72" s="352">
        <f t="shared" si="394"/>
        <v>0.67500000000000004</v>
      </c>
      <c r="AW72" s="352">
        <f t="shared" si="394"/>
        <v>0.67499999999999993</v>
      </c>
      <c r="AX72" s="351">
        <f t="shared" si="394"/>
        <v>0.67499999999999993</v>
      </c>
      <c r="AY72" s="352">
        <f t="shared" si="394"/>
        <v>0.68</v>
      </c>
      <c r="AZ72" s="352">
        <f t="shared" si="394"/>
        <v>0.67999999999999994</v>
      </c>
      <c r="BA72" s="351">
        <f t="shared" si="394"/>
        <v>0.67999999999999994</v>
      </c>
      <c r="BB72" s="352">
        <f t="shared" si="394"/>
        <v>0.68499999999999994</v>
      </c>
      <c r="BC72" s="352">
        <f t="shared" si="394"/>
        <v>0.68499999999999994</v>
      </c>
      <c r="BD72" s="351">
        <f t="shared" si="394"/>
        <v>0.68499999999999994</v>
      </c>
      <c r="BE72" s="352">
        <f t="shared" si="394"/>
        <v>0.69000000000000006</v>
      </c>
      <c r="BF72" s="352">
        <f t="shared" si="394"/>
        <v>0.69</v>
      </c>
      <c r="BG72" s="351">
        <f t="shared" si="394"/>
        <v>0.69000000000000006</v>
      </c>
    </row>
    <row r="73" spans="1:89">
      <c r="A73" s="51" t="s">
        <v>482</v>
      </c>
      <c r="B73" s="350" t="s">
        <v>117</v>
      </c>
      <c r="E73" s="485"/>
      <c r="F73" s="479"/>
      <c r="G73" s="479"/>
      <c r="H73" s="485"/>
      <c r="I73" s="479"/>
      <c r="J73" s="479"/>
      <c r="K73" s="485"/>
      <c r="L73" s="479"/>
      <c r="M73" s="479"/>
      <c r="N73" s="485"/>
      <c r="O73" s="479"/>
      <c r="P73" s="479"/>
      <c r="Q73" s="485"/>
      <c r="R73" s="479"/>
      <c r="S73" s="479"/>
      <c r="T73" s="351"/>
      <c r="U73" s="352">
        <f t="shared" ref="U73:BG73" si="396">+U67/U29</f>
        <v>1</v>
      </c>
      <c r="V73" s="352">
        <f t="shared" si="396"/>
        <v>1</v>
      </c>
      <c r="W73" s="351">
        <f t="shared" si="396"/>
        <v>1</v>
      </c>
      <c r="X73" s="352">
        <f t="shared" si="396"/>
        <v>1</v>
      </c>
      <c r="Y73" s="352">
        <f t="shared" si="396"/>
        <v>1</v>
      </c>
      <c r="Z73" s="351">
        <f t="shared" si="396"/>
        <v>1</v>
      </c>
      <c r="AA73" s="352">
        <f t="shared" ref="AA73" si="397">+AA67/AA29</f>
        <v>0.97295943915873806</v>
      </c>
      <c r="AB73" s="352">
        <f t="shared" si="396"/>
        <v>0.97299999999999998</v>
      </c>
      <c r="AC73" s="351">
        <f t="shared" si="396"/>
        <v>0.97297973480110078</v>
      </c>
      <c r="AD73" s="352">
        <f t="shared" si="396"/>
        <v>1</v>
      </c>
      <c r="AE73" s="352">
        <f t="shared" si="396"/>
        <v>1</v>
      </c>
      <c r="AF73" s="351">
        <f t="shared" si="396"/>
        <v>1</v>
      </c>
      <c r="AG73" s="352">
        <f t="shared" si="396"/>
        <v>1</v>
      </c>
      <c r="AH73" s="352">
        <f t="shared" si="396"/>
        <v>1</v>
      </c>
      <c r="AI73" s="351">
        <f t="shared" si="396"/>
        <v>1</v>
      </c>
      <c r="AJ73" s="352">
        <f t="shared" si="396"/>
        <v>0.75</v>
      </c>
      <c r="AK73" s="352">
        <f t="shared" si="396"/>
        <v>0.75</v>
      </c>
      <c r="AL73" s="351">
        <f t="shared" si="396"/>
        <v>0.75</v>
      </c>
      <c r="AM73" s="352">
        <f t="shared" si="396"/>
        <v>0.75</v>
      </c>
      <c r="AN73" s="352">
        <f t="shared" si="396"/>
        <v>0.75</v>
      </c>
      <c r="AO73" s="351">
        <f t="shared" si="396"/>
        <v>0.75</v>
      </c>
      <c r="AP73" s="352">
        <f t="shared" si="396"/>
        <v>0.755</v>
      </c>
      <c r="AQ73" s="352">
        <f t="shared" si="396"/>
        <v>0.755</v>
      </c>
      <c r="AR73" s="351">
        <f t="shared" si="396"/>
        <v>0.755</v>
      </c>
      <c r="AS73" s="352">
        <f t="shared" si="396"/>
        <v>0.76000000000000012</v>
      </c>
      <c r="AT73" s="352">
        <f t="shared" si="396"/>
        <v>0.76</v>
      </c>
      <c r="AU73" s="351">
        <f t="shared" si="396"/>
        <v>0.76000000000000012</v>
      </c>
      <c r="AV73" s="352">
        <f t="shared" si="396"/>
        <v>0.76500000000000001</v>
      </c>
      <c r="AW73" s="352">
        <f t="shared" si="396"/>
        <v>0.76500000000000001</v>
      </c>
      <c r="AX73" s="351">
        <f t="shared" si="396"/>
        <v>0.76500000000000001</v>
      </c>
      <c r="AY73" s="352">
        <f t="shared" si="396"/>
        <v>0.77</v>
      </c>
      <c r="AZ73" s="352">
        <f t="shared" si="396"/>
        <v>0.77</v>
      </c>
      <c r="BA73" s="351">
        <f t="shared" si="396"/>
        <v>0.77</v>
      </c>
      <c r="BB73" s="352">
        <f t="shared" si="396"/>
        <v>0.77500000000000002</v>
      </c>
      <c r="BC73" s="352">
        <f t="shared" si="396"/>
        <v>0.77500000000000002</v>
      </c>
      <c r="BD73" s="351">
        <f t="shared" si="396"/>
        <v>0.77500000000000002</v>
      </c>
      <c r="BE73" s="352">
        <f t="shared" si="396"/>
        <v>0.78</v>
      </c>
      <c r="BF73" s="352">
        <f t="shared" si="396"/>
        <v>0.78</v>
      </c>
      <c r="BG73" s="351">
        <f t="shared" si="396"/>
        <v>0.78</v>
      </c>
    </row>
    <row r="74" spans="1:89">
      <c r="A74" s="51" t="s">
        <v>483</v>
      </c>
      <c r="B74" s="350" t="s">
        <v>138</v>
      </c>
      <c r="E74" s="485"/>
      <c r="F74" s="479"/>
      <c r="G74" s="479"/>
      <c r="H74" s="485"/>
      <c r="I74" s="479"/>
      <c r="J74" s="479"/>
      <c r="K74" s="485"/>
      <c r="L74" s="479"/>
      <c r="M74" s="479"/>
      <c r="N74" s="485"/>
      <c r="O74" s="479"/>
      <c r="P74" s="479"/>
      <c r="Q74" s="485"/>
      <c r="R74" s="479"/>
      <c r="S74" s="479"/>
      <c r="T74" s="351"/>
      <c r="U74" s="352">
        <f t="shared" ref="U74:BG74" si="398">+U68/U35</f>
        <v>1</v>
      </c>
      <c r="V74" s="352">
        <f t="shared" si="398"/>
        <v>1</v>
      </c>
      <c r="W74" s="351">
        <f t="shared" si="398"/>
        <v>1</v>
      </c>
      <c r="X74" s="352">
        <f t="shared" si="398"/>
        <v>1</v>
      </c>
      <c r="Y74" s="352">
        <f t="shared" si="398"/>
        <v>-0.64728682170542629</v>
      </c>
      <c r="Z74" s="351">
        <f t="shared" si="398"/>
        <v>-0.16951018161805176</v>
      </c>
      <c r="AA74" s="352">
        <f t="shared" ref="AA74" si="399">+AA68/AA35</f>
        <v>9.6125667453123051E-2</v>
      </c>
      <c r="AB74" s="352">
        <f t="shared" si="398"/>
        <v>0.10584474629771302</v>
      </c>
      <c r="AC74" s="351">
        <f t="shared" si="398"/>
        <v>0.10133441713644506</v>
      </c>
      <c r="AD74" s="352">
        <f t="shared" si="398"/>
        <v>9.6125667453123079E-2</v>
      </c>
      <c r="AE74" s="352">
        <f t="shared" si="398"/>
        <v>9.6125667453123079E-2</v>
      </c>
      <c r="AF74" s="351">
        <f t="shared" si="398"/>
        <v>9.6125667453123079E-2</v>
      </c>
      <c r="AG74" s="352">
        <f t="shared" si="398"/>
        <v>9.6125667453122982E-2</v>
      </c>
      <c r="AH74" s="352">
        <f t="shared" si="398"/>
        <v>9.6125667453122982E-2</v>
      </c>
      <c r="AI74" s="351">
        <f t="shared" si="398"/>
        <v>9.6125667453122982E-2</v>
      </c>
      <c r="AJ74" s="352">
        <f t="shared" si="398"/>
        <v>9.6125667453123037E-2</v>
      </c>
      <c r="AK74" s="352">
        <f t="shared" si="398"/>
        <v>9.6125667453123037E-2</v>
      </c>
      <c r="AL74" s="351">
        <f t="shared" si="398"/>
        <v>9.6125667453123037E-2</v>
      </c>
      <c r="AM74" s="352">
        <f t="shared" si="398"/>
        <v>9.6125667453123065E-2</v>
      </c>
      <c r="AN74" s="352">
        <f t="shared" si="398"/>
        <v>9.6125667453123065E-2</v>
      </c>
      <c r="AO74" s="351">
        <f t="shared" si="398"/>
        <v>9.6125667453123065E-2</v>
      </c>
      <c r="AP74" s="352">
        <f t="shared" si="398"/>
        <v>0.10112566745312307</v>
      </c>
      <c r="AQ74" s="352">
        <f t="shared" si="398"/>
        <v>0.10112566745312307</v>
      </c>
      <c r="AR74" s="351">
        <f t="shared" si="398"/>
        <v>0.10112566745312307</v>
      </c>
      <c r="AS74" s="352">
        <f t="shared" si="398"/>
        <v>0.10612566745312303</v>
      </c>
      <c r="AT74" s="352">
        <f t="shared" si="398"/>
        <v>0.10612566745312303</v>
      </c>
      <c r="AU74" s="351">
        <f t="shared" si="398"/>
        <v>0.10612566745312303</v>
      </c>
      <c r="AV74" s="352">
        <f t="shared" si="398"/>
        <v>0.11112566745312298</v>
      </c>
      <c r="AW74" s="352">
        <f t="shared" si="398"/>
        <v>0.11112566745312298</v>
      </c>
      <c r="AX74" s="351">
        <f t="shared" si="398"/>
        <v>0.11112566745312298</v>
      </c>
      <c r="AY74" s="352">
        <f t="shared" si="398"/>
        <v>0.11612566745312307</v>
      </c>
      <c r="AZ74" s="352">
        <f t="shared" si="398"/>
        <v>0.11612566745312307</v>
      </c>
      <c r="BA74" s="351">
        <f t="shared" si="398"/>
        <v>0.11612566745312307</v>
      </c>
      <c r="BB74" s="352">
        <f t="shared" si="398"/>
        <v>0.121125667453123</v>
      </c>
      <c r="BC74" s="352">
        <f t="shared" si="398"/>
        <v>0.121125667453123</v>
      </c>
      <c r="BD74" s="351">
        <f t="shared" si="398"/>
        <v>0.121125667453123</v>
      </c>
      <c r="BE74" s="352">
        <f t="shared" si="398"/>
        <v>0.12612566745312312</v>
      </c>
      <c r="BF74" s="352">
        <f t="shared" si="398"/>
        <v>0.12612566745312312</v>
      </c>
      <c r="BG74" s="351">
        <f t="shared" si="398"/>
        <v>0.12612566745312312</v>
      </c>
    </row>
    <row r="75" spans="1:89">
      <c r="E75" s="346"/>
      <c r="F75" s="347"/>
      <c r="G75" s="347"/>
      <c r="H75" s="346"/>
      <c r="I75" s="347"/>
      <c r="J75" s="347"/>
      <c r="K75" s="346"/>
      <c r="L75" s="347"/>
      <c r="M75" s="347"/>
      <c r="N75" s="485"/>
      <c r="O75" s="347"/>
      <c r="P75" s="347"/>
      <c r="Q75" s="485"/>
      <c r="R75" s="347"/>
      <c r="S75" s="347"/>
      <c r="T75" s="486"/>
      <c r="U75" s="347"/>
      <c r="V75" s="347"/>
      <c r="W75" s="486"/>
      <c r="X75" s="347"/>
      <c r="Y75" s="347"/>
      <c r="Z75" s="486"/>
      <c r="AA75" s="479"/>
      <c r="AB75" s="489"/>
      <c r="AC75" s="485"/>
      <c r="AD75" s="479"/>
      <c r="AE75" s="489"/>
      <c r="AF75" s="485"/>
      <c r="AG75" s="479"/>
      <c r="AH75" s="489"/>
      <c r="AI75" s="485"/>
      <c r="AJ75" s="479"/>
      <c r="AK75" s="489"/>
      <c r="AL75" s="485"/>
      <c r="AM75" s="479"/>
      <c r="AN75" s="489"/>
      <c r="AO75" s="485"/>
      <c r="AP75" s="479"/>
      <c r="AQ75" s="489"/>
      <c r="AR75" s="485"/>
      <c r="AS75" s="479"/>
      <c r="AT75" s="489"/>
      <c r="AU75" s="485"/>
      <c r="AV75" s="479"/>
      <c r="AW75" s="489"/>
      <c r="AX75" s="485"/>
      <c r="AY75" s="479"/>
      <c r="AZ75" s="489"/>
      <c r="BA75" s="485"/>
      <c r="BB75" s="479"/>
      <c r="BC75" s="489"/>
      <c r="BD75" s="485"/>
      <c r="BE75" s="479"/>
      <c r="BF75" s="489"/>
      <c r="BG75" s="485"/>
    </row>
    <row r="76" spans="1:89">
      <c r="B76" s="364" t="s">
        <v>190</v>
      </c>
      <c r="C76" s="495"/>
      <c r="D76" s="495"/>
      <c r="E76" s="496"/>
      <c r="F76" s="497"/>
      <c r="G76" s="497"/>
      <c r="H76" s="496"/>
      <c r="I76" s="497"/>
      <c r="J76" s="497"/>
      <c r="K76" s="496"/>
      <c r="L76" s="497"/>
      <c r="M76" s="497"/>
      <c r="N76" s="496"/>
      <c r="O76" s="497"/>
      <c r="P76" s="497"/>
      <c r="Q76" s="496"/>
      <c r="R76" s="497"/>
      <c r="S76" s="497"/>
      <c r="T76" s="498"/>
      <c r="U76" s="497"/>
      <c r="V76" s="497"/>
      <c r="W76" s="498"/>
      <c r="X76" s="497"/>
      <c r="Y76" s="499"/>
      <c r="Z76" s="496"/>
      <c r="AA76" s="497"/>
      <c r="AB76" s="499"/>
      <c r="AC76" s="496"/>
      <c r="AD76" s="497"/>
      <c r="AE76" s="499"/>
      <c r="AF76" s="496"/>
      <c r="AG76" s="497"/>
      <c r="AH76" s="499"/>
      <c r="AI76" s="496"/>
      <c r="AJ76" s="497"/>
      <c r="AK76" s="499"/>
      <c r="AL76" s="496"/>
      <c r="AM76" s="497"/>
      <c r="AN76" s="499"/>
      <c r="AO76" s="496"/>
      <c r="AP76" s="497"/>
      <c r="AQ76" s="499"/>
      <c r="AR76" s="496"/>
      <c r="AS76" s="497"/>
      <c r="AT76" s="499"/>
      <c r="AU76" s="496"/>
      <c r="AV76" s="497"/>
      <c r="AW76" s="499"/>
      <c r="AX76" s="496"/>
      <c r="AY76" s="497"/>
      <c r="AZ76" s="499"/>
      <c r="BA76" s="496"/>
      <c r="BB76" s="497"/>
      <c r="BC76" s="499"/>
      <c r="BD76" s="496"/>
      <c r="BE76" s="497"/>
      <c r="BF76" s="499"/>
      <c r="BG76" s="496"/>
    </row>
    <row r="77" spans="1:89" ht="13.35" customHeight="1">
      <c r="A77" s="51" t="s">
        <v>23</v>
      </c>
      <c r="B77" s="52" t="s">
        <v>463</v>
      </c>
      <c r="E77" s="346">
        <v>-2.9770620000000001</v>
      </c>
      <c r="F77" s="347">
        <v>6.453843</v>
      </c>
      <c r="G77" s="347">
        <f t="shared" ref="G77" si="400">H77-F77</f>
        <v>12.238157000000001</v>
      </c>
      <c r="H77" s="346">
        <v>18.692</v>
      </c>
      <c r="I77" s="348">
        <v>7.8397079999999999</v>
      </c>
      <c r="J77" s="347">
        <f t="shared" ref="J77" si="401">K77-I77</f>
        <v>13.322291999999999</v>
      </c>
      <c r="K77" s="349">
        <v>21.161999999999999</v>
      </c>
      <c r="L77" s="348">
        <v>8.6050000000000004</v>
      </c>
      <c r="M77" s="347">
        <f t="shared" ref="M77" si="402">N77-L77</f>
        <v>14.48</v>
      </c>
      <c r="N77" s="349">
        <v>23.085000000000001</v>
      </c>
      <c r="O77" s="348">
        <v>13.67</v>
      </c>
      <c r="P77" s="347">
        <f t="shared" ref="P77" si="403">Q77-O77</f>
        <v>20.464999999999996</v>
      </c>
      <c r="Q77" s="349">
        <v>34.134999999999998</v>
      </c>
      <c r="R77" s="347">
        <f>(R81+R86+R87)</f>
        <v>24.843</v>
      </c>
      <c r="S77" s="347">
        <f>(S81+S86+S87)</f>
        <v>56.164999999999999</v>
      </c>
      <c r="T77" s="349">
        <v>81.007999999999996</v>
      </c>
      <c r="U77" s="348">
        <f>(U81+U86+U87)</f>
        <v>32.741999999999997</v>
      </c>
      <c r="V77" s="347">
        <f>(V81+V86+V87)</f>
        <v>52.573</v>
      </c>
      <c r="W77" s="346">
        <f>(W81+W86+W87)</f>
        <v>85.314999999999998</v>
      </c>
      <c r="X77" s="475">
        <f>(X81+X86+X87)</f>
        <v>55.437999999999995</v>
      </c>
      <c r="Y77" s="347">
        <f>Z77-X77</f>
        <v>72.49199999999999</v>
      </c>
      <c r="Z77" s="346">
        <f>(Z81+Z86+Z87)</f>
        <v>127.92999999999999</v>
      </c>
      <c r="AA77" s="347">
        <f>(AA81+AA86+AA87)</f>
        <v>81.582999999999998</v>
      </c>
      <c r="AB77" s="347">
        <f t="shared" ref="AB77" si="404">+SUM(AB81,AB86,AB87)</f>
        <v>78.468000000000004</v>
      </c>
      <c r="AC77" s="346">
        <f>+SUM(AA77:AB77)</f>
        <v>160.05099999999999</v>
      </c>
      <c r="AD77" s="347">
        <f>+SUM(AD81,AD86,AD87)</f>
        <v>86.5</v>
      </c>
      <c r="AE77" s="347">
        <f t="shared" ref="AE77" si="405">+SUM(AE81,AE86,AE87)</f>
        <v>91.5</v>
      </c>
      <c r="AF77" s="346">
        <f>+SUM(AD77:AE77)</f>
        <v>178</v>
      </c>
      <c r="AG77" s="347">
        <f>+AG17*AG93</f>
        <v>100.87136272626519</v>
      </c>
      <c r="AH77" s="347">
        <f>+AH17*AH93</f>
        <v>104.02752916407195</v>
      </c>
      <c r="AI77" s="346">
        <f t="shared" ref="AI77" si="406">+SUM(AG77:AH77)</f>
        <v>204.89889189033715</v>
      </c>
      <c r="AJ77" s="347">
        <f>+AJ17*AJ93</f>
        <v>114.05227667842244</v>
      </c>
      <c r="AK77" s="347">
        <f>+AK17*AK93</f>
        <v>117.69392211427642</v>
      </c>
      <c r="AL77" s="346">
        <f t="shared" ref="AL77" si="407">+SUM(AJ77:AK77)</f>
        <v>231.74619879269886</v>
      </c>
      <c r="AM77" s="347">
        <f>+AM17*AM93</f>
        <v>147.34370047268033</v>
      </c>
      <c r="AN77" s="347">
        <f>+AN17*AN93</f>
        <v>152.28858957972849</v>
      </c>
      <c r="AO77" s="346">
        <f t="shared" ref="AO77" si="408">+SUM(AM77:AN77)</f>
        <v>299.63229005240885</v>
      </c>
      <c r="AP77" s="347">
        <f>+(AP17-AP26-AP32)*AP93</f>
        <v>166.04243437618535</v>
      </c>
      <c r="AQ77" s="347">
        <f>+(AQ17-AQ26-AQ32)*AQ93</f>
        <v>177.71608621538311</v>
      </c>
      <c r="AR77" s="346">
        <f t="shared" ref="AR77" si="409">+SUM(AP77:AQ77)</f>
        <v>343.75852059156847</v>
      </c>
      <c r="AS77" s="347">
        <f>+(AS17-AS26-AS32)*AS93</f>
        <v>188.64881203076681</v>
      </c>
      <c r="AT77" s="347">
        <f>+(AT17-AT26-AT32)*AT93</f>
        <v>202.12056645879375</v>
      </c>
      <c r="AU77" s="346">
        <f t="shared" ref="AU77" si="410">+SUM(AS77:AT77)</f>
        <v>390.76937848956055</v>
      </c>
      <c r="AV77" s="347">
        <f>+(AV17-AV26-AV32)*AV93</f>
        <v>210.417216624509</v>
      </c>
      <c r="AW77" s="347">
        <f>+(AW17-AW26-AW32)*AW93</f>
        <v>225.6139318412913</v>
      </c>
      <c r="AX77" s="346">
        <f t="shared" ref="AX77" si="411">+SUM(AV77:AW77)</f>
        <v>436.0311484658003</v>
      </c>
      <c r="AY77" s="347">
        <f>+(AY17-AY26-AY32)*AY93</f>
        <v>231.30238041670833</v>
      </c>
      <c r="AZ77" s="347">
        <f>+(AZ17-AZ26-AZ32)*AZ93</f>
        <v>248.14701587103653</v>
      </c>
      <c r="BA77" s="346">
        <f t="shared" ref="BA77" si="412">+SUM(AY77:AZ77)</f>
        <v>479.44939628774489</v>
      </c>
      <c r="BB77" s="347">
        <f>+(BB17-BB26-BB32)*BB93</f>
        <v>251.20904218874193</v>
      </c>
      <c r="BC77" s="347">
        <f>+(BC17-BC26-BC32)*BC93</f>
        <v>269.61648755853571</v>
      </c>
      <c r="BD77" s="346">
        <f t="shared" ref="BD77" si="413">+SUM(BB77:BC77)</f>
        <v>520.82552974727764</v>
      </c>
      <c r="BE77" s="347">
        <f>+(BE17-BE26-BE32)*BE93</f>
        <v>268.74810479616235</v>
      </c>
      <c r="BF77" s="347">
        <f>+(BF17-BF26-BF32)*BF93</f>
        <v>288.51735524970684</v>
      </c>
      <c r="BG77" s="346">
        <f t="shared" ref="BG77" si="414">+SUM(BE77:BF77)</f>
        <v>557.26546004586919</v>
      </c>
    </row>
    <row r="78" spans="1:89">
      <c r="B78" s="350" t="s">
        <v>504</v>
      </c>
      <c r="E78" s="346"/>
      <c r="F78" s="347"/>
      <c r="G78" s="347"/>
      <c r="H78" s="346"/>
      <c r="I78" s="348"/>
      <c r="J78" s="347"/>
      <c r="K78" s="349"/>
      <c r="L78" s="348"/>
      <c r="M78" s="347"/>
      <c r="N78" s="349"/>
      <c r="O78" s="348"/>
      <c r="P78" s="347"/>
      <c r="Q78" s="349"/>
      <c r="R78" s="347"/>
      <c r="S78" s="347"/>
      <c r="T78" s="349"/>
      <c r="U78" s="363">
        <f>+$X78/X$81*U$81</f>
        <v>1.3681230919334024</v>
      </c>
      <c r="V78" s="479">
        <f>+W78-U78</f>
        <v>2.3733188556321401</v>
      </c>
      <c r="W78" s="362">
        <f>+$X78/X$81*W$81</f>
        <v>3.7414419475655425</v>
      </c>
      <c r="X78" s="376">
        <v>2.2149999999999999</v>
      </c>
      <c r="Y78" s="479">
        <f>+Z78-X78</f>
        <v>2.7784227174015674</v>
      </c>
      <c r="Z78" s="362">
        <f>+X78/X$81*Z$81</f>
        <v>4.9934227174015673</v>
      </c>
      <c r="AA78" s="376">
        <v>6.3970000000000002</v>
      </c>
      <c r="AB78" s="479">
        <f>+AA78</f>
        <v>6.3970000000000002</v>
      </c>
      <c r="AC78" s="485">
        <f>+SUM(AA78:AB78)</f>
        <v>12.794</v>
      </c>
      <c r="AD78" s="363">
        <v>6.5</v>
      </c>
      <c r="AE78" s="479">
        <f>+AD78</f>
        <v>6.5</v>
      </c>
      <c r="AF78" s="485">
        <f>+SUM(AD78:AE78)</f>
        <v>13</v>
      </c>
      <c r="AG78" s="347"/>
      <c r="AH78" s="347"/>
      <c r="AI78" s="407"/>
      <c r="AJ78" s="347"/>
      <c r="AK78" s="347"/>
      <c r="AL78" s="346"/>
      <c r="AM78" s="347"/>
      <c r="AN78" s="347"/>
      <c r="AO78" s="346"/>
      <c r="AP78" s="347"/>
      <c r="AQ78" s="347"/>
      <c r="AR78" s="346"/>
      <c r="AS78" s="347"/>
      <c r="AT78" s="347"/>
      <c r="AU78" s="346"/>
      <c r="AV78" s="347"/>
      <c r="AW78" s="347"/>
      <c r="AX78" s="346"/>
      <c r="AY78" s="347"/>
      <c r="AZ78" s="347"/>
      <c r="BA78" s="346"/>
      <c r="BB78" s="347"/>
      <c r="BC78" s="347"/>
      <c r="BD78" s="346"/>
      <c r="BE78" s="347"/>
      <c r="BF78" s="347"/>
      <c r="BG78" s="346"/>
    </row>
    <row r="79" spans="1:89">
      <c r="B79" s="350" t="s">
        <v>505</v>
      </c>
      <c r="E79" s="346"/>
      <c r="F79" s="347"/>
      <c r="G79" s="347"/>
      <c r="H79" s="346"/>
      <c r="I79" s="348"/>
      <c r="J79" s="347"/>
      <c r="K79" s="349"/>
      <c r="L79" s="348"/>
      <c r="M79" s="347"/>
      <c r="N79" s="349"/>
      <c r="O79" s="348"/>
      <c r="P79" s="347"/>
      <c r="Q79" s="349"/>
      <c r="R79" s="347"/>
      <c r="S79" s="347"/>
      <c r="T79" s="349"/>
      <c r="U79" s="363">
        <f t="shared" ref="U79:U80" si="415">+$X79/X$81*U$81</f>
        <v>17.030816259087906</v>
      </c>
      <c r="V79" s="479">
        <f t="shared" ref="V79:V85" si="416">+W79-U79</f>
        <v>29.543801718440179</v>
      </c>
      <c r="W79" s="362">
        <f t="shared" ref="W79:W80" si="417">+$X79/X$81*W$81</f>
        <v>46.574617977528085</v>
      </c>
      <c r="X79" s="376">
        <v>27.573</v>
      </c>
      <c r="Y79" s="479">
        <f t="shared" ref="Y79:Y80" si="418">+Z79-X79</f>
        <v>34.58665895571712</v>
      </c>
      <c r="Z79" s="362">
        <f t="shared" ref="Z79:Z80" si="419">+X79/X$81*Z$81</f>
        <v>62.15965895571712</v>
      </c>
      <c r="AA79" s="376">
        <v>27.613</v>
      </c>
      <c r="AB79" s="363">
        <v>18</v>
      </c>
      <c r="AC79" s="485">
        <f t="shared" ref="AC79:AC80" si="420">+SUM(AA79:AB79)</f>
        <v>45.613</v>
      </c>
      <c r="AD79" s="363">
        <v>20</v>
      </c>
      <c r="AE79" s="479">
        <f>+AD79</f>
        <v>20</v>
      </c>
      <c r="AF79" s="485">
        <f>+SUM(AD79:AE79)</f>
        <v>40</v>
      </c>
      <c r="AG79" s="347"/>
      <c r="AH79" s="347"/>
      <c r="AI79" s="407"/>
      <c r="AJ79" s="347"/>
      <c r="AK79" s="347"/>
      <c r="AL79" s="346"/>
      <c r="AM79" s="347"/>
      <c r="AN79" s="347"/>
      <c r="AO79" s="346"/>
      <c r="AP79" s="347"/>
      <c r="AQ79" s="347"/>
      <c r="AR79" s="346"/>
      <c r="AS79" s="347"/>
      <c r="AT79" s="347"/>
      <c r="AU79" s="346"/>
      <c r="AV79" s="347"/>
      <c r="AW79" s="347"/>
      <c r="AX79" s="346"/>
      <c r="AY79" s="347"/>
      <c r="AZ79" s="347"/>
      <c r="BA79" s="346"/>
      <c r="BB79" s="347"/>
      <c r="BC79" s="347"/>
      <c r="BD79" s="346"/>
      <c r="BE79" s="347"/>
      <c r="BF79" s="347"/>
      <c r="BG79" s="346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</row>
    <row r="80" spans="1:89">
      <c r="B80" s="350" t="s">
        <v>506</v>
      </c>
      <c r="E80" s="346"/>
      <c r="F80" s="347"/>
      <c r="G80" s="347"/>
      <c r="H80" s="346"/>
      <c r="I80" s="348"/>
      <c r="J80" s="347"/>
      <c r="K80" s="349"/>
      <c r="L80" s="348"/>
      <c r="M80" s="347"/>
      <c r="N80" s="349"/>
      <c r="O80" s="348"/>
      <c r="P80" s="347"/>
      <c r="Q80" s="349"/>
      <c r="R80" s="347"/>
      <c r="S80" s="347"/>
      <c r="T80" s="349"/>
      <c r="U80" s="363">
        <f t="shared" si="415"/>
        <v>1.2260606489786927</v>
      </c>
      <c r="V80" s="479">
        <f t="shared" si="416"/>
        <v>2.1268794259276742</v>
      </c>
      <c r="W80" s="362">
        <f t="shared" si="417"/>
        <v>3.3529400749063667</v>
      </c>
      <c r="X80" s="376">
        <v>1.9850000000000001</v>
      </c>
      <c r="Y80" s="479">
        <f t="shared" si="418"/>
        <v>2.4899183268813143</v>
      </c>
      <c r="Z80" s="362">
        <f t="shared" si="419"/>
        <v>4.4749183268813146</v>
      </c>
      <c r="AA80" s="376">
        <v>4.1059999999999999</v>
      </c>
      <c r="AB80" s="479">
        <f>+AA80</f>
        <v>4.1059999999999999</v>
      </c>
      <c r="AC80" s="485">
        <f t="shared" si="420"/>
        <v>8.2119999999999997</v>
      </c>
      <c r="AD80" s="363">
        <v>5</v>
      </c>
      <c r="AE80" s="479">
        <f>+AD80</f>
        <v>5</v>
      </c>
      <c r="AF80" s="485">
        <f t="shared" ref="AF80" si="421">+SUM(AD80:AE80)</f>
        <v>10</v>
      </c>
      <c r="AG80" s="347"/>
      <c r="AH80" s="347"/>
      <c r="AI80" s="407"/>
      <c r="AJ80" s="347"/>
      <c r="AK80" s="347"/>
      <c r="AL80" s="346"/>
      <c r="AM80" s="347"/>
      <c r="AN80" s="347"/>
      <c r="AO80" s="346"/>
      <c r="AP80" s="347"/>
      <c r="AQ80" s="347"/>
      <c r="AR80" s="346"/>
      <c r="AS80" s="347"/>
      <c r="AT80" s="347"/>
      <c r="AU80" s="346"/>
      <c r="AV80" s="347"/>
      <c r="AW80" s="347"/>
      <c r="AX80" s="346"/>
      <c r="AY80" s="347"/>
      <c r="AZ80" s="347"/>
      <c r="BA80" s="346"/>
      <c r="BB80" s="347"/>
      <c r="BC80" s="347"/>
      <c r="BD80" s="346"/>
      <c r="BE80" s="347"/>
      <c r="BF80" s="347"/>
      <c r="BG80" s="346"/>
      <c r="BZ80" s="52"/>
    </row>
    <row r="81" spans="1:89">
      <c r="A81" s="51" t="s">
        <v>507</v>
      </c>
      <c r="B81" s="386" t="s">
        <v>99</v>
      </c>
      <c r="C81" s="52"/>
      <c r="D81" s="52"/>
      <c r="E81" s="346"/>
      <c r="F81" s="347"/>
      <c r="G81" s="347"/>
      <c r="H81" s="346"/>
      <c r="I81" s="347"/>
      <c r="J81" s="347"/>
      <c r="K81" s="346"/>
      <c r="L81" s="347"/>
      <c r="M81" s="347"/>
      <c r="N81" s="346"/>
      <c r="O81" s="347"/>
      <c r="P81" s="347"/>
      <c r="Q81" s="346"/>
      <c r="R81" s="348">
        <v>0</v>
      </c>
      <c r="S81" s="347">
        <f>T81-R81</f>
        <v>50.959600914258921</v>
      </c>
      <c r="T81" s="346">
        <f>+W81/W$77*T$77</f>
        <v>50.959600914258921</v>
      </c>
      <c r="U81" s="348">
        <v>19.625</v>
      </c>
      <c r="V81" s="347">
        <f>W81-U81</f>
        <v>34.043999999999997</v>
      </c>
      <c r="W81" s="349">
        <v>53.668999999999997</v>
      </c>
      <c r="X81" s="347">
        <f>+SUM(X78:X80)</f>
        <v>31.773</v>
      </c>
      <c r="Y81" s="347">
        <f>Z81-X81</f>
        <v>39.855000000000004</v>
      </c>
      <c r="Z81" s="349">
        <v>71.628</v>
      </c>
      <c r="AA81" s="347">
        <f>+SUM(AA78:AA80)</f>
        <v>38.116</v>
      </c>
      <c r="AB81" s="347">
        <f>+SUM(AB78:AB80)</f>
        <v>28.503</v>
      </c>
      <c r="AC81" s="346">
        <f t="shared" ref="AC81:AC86" si="422">+SUM(AA81:AB81)</f>
        <v>66.619</v>
      </c>
      <c r="AD81" s="347">
        <f>+SUM(AD78:AD80)</f>
        <v>31.5</v>
      </c>
      <c r="AE81" s="347">
        <f>+SUM(AE78:AE80)</f>
        <v>31.5</v>
      </c>
      <c r="AF81" s="346">
        <f t="shared" ref="AF81" si="423">+SUM(AD81:AE81)</f>
        <v>63</v>
      </c>
      <c r="AG81" s="347">
        <f>+AG$77*AG96</f>
        <v>35.304976954192817</v>
      </c>
      <c r="AH81" s="347">
        <f>+AH$77*AH96</f>
        <v>36.409635207425183</v>
      </c>
      <c r="AI81" s="346">
        <f t="shared" ref="AI81:AI87" si="424">+SUM(AG81:AH81)</f>
        <v>71.714612161617993</v>
      </c>
      <c r="AJ81" s="347">
        <f>+AJ$77*AJ96</f>
        <v>39.918296837447855</v>
      </c>
      <c r="AK81" s="347">
        <f>+AK$77*AK96</f>
        <v>41.192872739996744</v>
      </c>
      <c r="AL81" s="346">
        <f t="shared" ref="AL81:AL87" si="425">+SUM(AJ81:AK81)</f>
        <v>81.111169577444599</v>
      </c>
      <c r="AM81" s="347">
        <f>+AM$77*AM96</f>
        <v>51.570295165438111</v>
      </c>
      <c r="AN81" s="347">
        <f>+AN$77*AN96</f>
        <v>53.30100635290497</v>
      </c>
      <c r="AO81" s="346">
        <f t="shared" ref="AO81:AO87" si="426">+SUM(AM81:AN81)</f>
        <v>104.87130151834307</v>
      </c>
      <c r="AP81" s="347">
        <f>+AP$77*AP96</f>
        <v>62.265912891069505</v>
      </c>
      <c r="AQ81" s="347">
        <f>+AQ$77*AQ96</f>
        <v>66.643532330768664</v>
      </c>
      <c r="AR81" s="346">
        <f t="shared" ref="AR81:AR87" si="427">+SUM(AP81:AQ81)</f>
        <v>128.90944522183815</v>
      </c>
      <c r="AS81" s="347">
        <f>+AS$77*AS96</f>
        <v>75.459524812306725</v>
      </c>
      <c r="AT81" s="347">
        <f>+AT$77*AT96</f>
        <v>80.848226583517501</v>
      </c>
      <c r="AU81" s="346">
        <f t="shared" ref="AU81:AU87" si="428">+SUM(AS81:AT81)</f>
        <v>156.30775139582423</v>
      </c>
      <c r="AV81" s="347">
        <f>+AV$77*AV96</f>
        <v>84.166886649803601</v>
      </c>
      <c r="AW81" s="347">
        <f>+AW$77*AW96</f>
        <v>90.245572736516522</v>
      </c>
      <c r="AX81" s="346">
        <f t="shared" ref="AX81:AX87" si="429">+SUM(AV81:AW81)</f>
        <v>174.41245938632011</v>
      </c>
      <c r="AY81" s="347">
        <f>+AY$77*AY96</f>
        <v>92.520952166683344</v>
      </c>
      <c r="AZ81" s="347">
        <f>+AZ$77*AZ96</f>
        <v>99.258806348414623</v>
      </c>
      <c r="BA81" s="346">
        <f t="shared" ref="BA81:BA87" si="430">+SUM(AY81:AZ81)</f>
        <v>191.77975851509797</v>
      </c>
      <c r="BB81" s="347">
        <f>+BB$77*BB96</f>
        <v>100.48361687549678</v>
      </c>
      <c r="BC81" s="347">
        <f>+BC$77*BC96</f>
        <v>107.8465950234143</v>
      </c>
      <c r="BD81" s="346">
        <f t="shared" ref="BD81:BD87" si="431">+SUM(BB81:BC81)</f>
        <v>208.33021189891107</v>
      </c>
      <c r="BE81" s="347">
        <f>+BE$77*BE96</f>
        <v>107.49924191846495</v>
      </c>
      <c r="BF81" s="347">
        <f>+BF$77*BF96</f>
        <v>115.40694209988274</v>
      </c>
      <c r="BG81" s="346">
        <f t="shared" ref="BG81:BG87" si="432">+SUM(BE81:BF81)</f>
        <v>222.90618401834769</v>
      </c>
    </row>
    <row r="82" spans="1:89">
      <c r="B82" s="350" t="s">
        <v>508</v>
      </c>
      <c r="E82" s="485"/>
      <c r="F82" s="479"/>
      <c r="G82" s="479"/>
      <c r="H82" s="485"/>
      <c r="I82" s="479"/>
      <c r="J82" s="479"/>
      <c r="K82" s="485"/>
      <c r="L82" s="479"/>
      <c r="M82" s="479"/>
      <c r="N82" s="485"/>
      <c r="O82" s="479"/>
      <c r="P82" s="479"/>
      <c r="Q82" s="485"/>
      <c r="R82" s="376"/>
      <c r="S82" s="479"/>
      <c r="T82" s="485"/>
      <c r="U82" s="363">
        <f>+$X82/$X$86*U$86</f>
        <v>7.6557844007609379</v>
      </c>
      <c r="V82" s="479">
        <f t="shared" si="416"/>
        <v>10.851911562037623</v>
      </c>
      <c r="W82" s="362">
        <f>+$X82/$X$86*W$86</f>
        <v>18.507695962798561</v>
      </c>
      <c r="X82" s="376">
        <v>14.006</v>
      </c>
      <c r="Y82" s="479">
        <f t="shared" ref="Y82:Y85" si="433">+Z82-X82</f>
        <v>19.078475248361869</v>
      </c>
      <c r="Z82" s="362">
        <f>+X82/X$86*Z$86</f>
        <v>33.084475248361869</v>
      </c>
      <c r="AA82" s="376">
        <v>23.588999999999999</v>
      </c>
      <c r="AB82" s="363">
        <v>27</v>
      </c>
      <c r="AC82" s="485">
        <f>+SUM(AA82:AB82)</f>
        <v>50.588999999999999</v>
      </c>
      <c r="AD82" s="363">
        <v>25</v>
      </c>
      <c r="AE82" s="479">
        <v>30</v>
      </c>
      <c r="AF82" s="485">
        <f>+SUM(AD82:AE82)</f>
        <v>55</v>
      </c>
      <c r="AG82" s="479"/>
      <c r="AH82" s="479"/>
      <c r="AI82" s="512"/>
      <c r="AJ82" s="479"/>
      <c r="AK82" s="479"/>
      <c r="AL82" s="485"/>
      <c r="AM82" s="479"/>
      <c r="AN82" s="479"/>
      <c r="AO82" s="485"/>
      <c r="AP82" s="479"/>
      <c r="AQ82" s="479"/>
      <c r="AR82" s="485"/>
      <c r="AS82" s="479"/>
      <c r="AT82" s="479"/>
      <c r="AU82" s="485"/>
      <c r="AV82" s="479"/>
      <c r="AW82" s="479"/>
      <c r="AX82" s="485"/>
      <c r="AY82" s="479"/>
      <c r="AZ82" s="479"/>
      <c r="BA82" s="485"/>
      <c r="BB82" s="479"/>
      <c r="BC82" s="479"/>
      <c r="BD82" s="485"/>
      <c r="BE82" s="479"/>
      <c r="BF82" s="479"/>
      <c r="BG82" s="485"/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</row>
    <row r="83" spans="1:89">
      <c r="B83" s="350" t="s">
        <v>509</v>
      </c>
      <c r="E83" s="485"/>
      <c r="F83" s="479"/>
      <c r="G83" s="479"/>
      <c r="H83" s="485"/>
      <c r="I83" s="479"/>
      <c r="J83" s="479"/>
      <c r="K83" s="485"/>
      <c r="L83" s="479"/>
      <c r="M83" s="479"/>
      <c r="N83" s="485"/>
      <c r="O83" s="479"/>
      <c r="P83" s="479"/>
      <c r="Q83" s="485"/>
      <c r="R83" s="376"/>
      <c r="S83" s="479"/>
      <c r="T83" s="485"/>
      <c r="U83" s="363">
        <f t="shared" ref="U83:W85" si="434">+$X83/$X$86*U$86</f>
        <v>1.9595878249841472</v>
      </c>
      <c r="V83" s="479">
        <f t="shared" si="416"/>
        <v>2.7776740646797715</v>
      </c>
      <c r="W83" s="362">
        <f t="shared" si="434"/>
        <v>4.7372618896639187</v>
      </c>
      <c r="X83" s="376">
        <v>3.585</v>
      </c>
      <c r="Y83" s="479">
        <f t="shared" si="433"/>
        <v>4.8833595434369057</v>
      </c>
      <c r="Z83" s="362">
        <f t="shared" ref="Z83:Z85" si="435">+X83/X$86*Z$86</f>
        <v>8.4683595434369057</v>
      </c>
      <c r="AA83" s="376">
        <v>8.9130000000000003</v>
      </c>
      <c r="AB83" s="363">
        <v>12</v>
      </c>
      <c r="AC83" s="485">
        <f>+SUM(AA83:AB83)</f>
        <v>20.913</v>
      </c>
      <c r="AD83" s="363">
        <v>20</v>
      </c>
      <c r="AE83" s="479">
        <f>+AD83</f>
        <v>20</v>
      </c>
      <c r="AF83" s="485">
        <f>+SUM(AD83:AE83)</f>
        <v>40</v>
      </c>
      <c r="AG83" s="479"/>
      <c r="AH83" s="479"/>
      <c r="AI83" s="512"/>
      <c r="AJ83" s="479"/>
      <c r="AK83" s="479"/>
      <c r="AL83" s="485"/>
      <c r="AM83" s="479"/>
      <c r="AN83" s="479"/>
      <c r="AO83" s="485"/>
      <c r="AP83" s="479"/>
      <c r="AQ83" s="479"/>
      <c r="AR83" s="485"/>
      <c r="AS83" s="479"/>
      <c r="AT83" s="479"/>
      <c r="AU83" s="485"/>
      <c r="AV83" s="479"/>
      <c r="AW83" s="479"/>
      <c r="AX83" s="485"/>
      <c r="AY83" s="479"/>
      <c r="AZ83" s="479"/>
      <c r="BA83" s="485"/>
      <c r="BB83" s="479"/>
      <c r="BC83" s="479"/>
      <c r="BD83" s="485"/>
      <c r="BE83" s="479"/>
      <c r="BF83" s="479"/>
      <c r="BG83" s="485"/>
    </row>
    <row r="84" spans="1:89">
      <c r="B84" s="350" t="s">
        <v>510</v>
      </c>
      <c r="E84" s="485"/>
      <c r="F84" s="479"/>
      <c r="G84" s="479"/>
      <c r="H84" s="485"/>
      <c r="I84" s="479"/>
      <c r="J84" s="479"/>
      <c r="K84" s="485"/>
      <c r="L84" s="479"/>
      <c r="M84" s="479"/>
      <c r="N84" s="485"/>
      <c r="O84" s="479"/>
      <c r="P84" s="479"/>
      <c r="Q84" s="485"/>
      <c r="R84" s="376"/>
      <c r="S84" s="479"/>
      <c r="T84" s="485"/>
      <c r="U84" s="363">
        <f t="shared" si="434"/>
        <v>1.308578313253012</v>
      </c>
      <c r="V84" s="479">
        <f t="shared" si="416"/>
        <v>1.8548819277108433</v>
      </c>
      <c r="W84" s="362">
        <f t="shared" si="434"/>
        <v>3.1634602409638553</v>
      </c>
      <c r="X84" s="376">
        <v>2.3940000000000001</v>
      </c>
      <c r="Y84" s="479">
        <f t="shared" si="433"/>
        <v>3.2610216867469886</v>
      </c>
      <c r="Z84" s="362">
        <f t="shared" si="435"/>
        <v>5.6550216867469887</v>
      </c>
      <c r="AA84" s="376">
        <v>6.2670000000000003</v>
      </c>
      <c r="AB84" s="479">
        <f>+AA84</f>
        <v>6.2670000000000003</v>
      </c>
      <c r="AC84" s="485">
        <f>+SUM(AA84:AB84)</f>
        <v>12.534000000000001</v>
      </c>
      <c r="AD84" s="363">
        <v>5</v>
      </c>
      <c r="AE84" s="479">
        <f>+AD84</f>
        <v>5</v>
      </c>
      <c r="AF84" s="485">
        <f>+SUM(AD84:AE84)</f>
        <v>10</v>
      </c>
      <c r="AG84" s="479"/>
      <c r="AH84" s="479"/>
      <c r="AI84" s="512"/>
      <c r="AJ84" s="479"/>
      <c r="AK84" s="479"/>
      <c r="AL84" s="485"/>
      <c r="AM84" s="479"/>
      <c r="AN84" s="479"/>
      <c r="AO84" s="485"/>
      <c r="AP84" s="479"/>
      <c r="AQ84" s="479"/>
      <c r="AR84" s="485"/>
      <c r="AS84" s="479"/>
      <c r="AT84" s="479"/>
      <c r="AU84" s="485"/>
      <c r="AV84" s="479"/>
      <c r="AW84" s="479"/>
      <c r="AX84" s="485"/>
      <c r="AY84" s="479"/>
      <c r="AZ84" s="479"/>
      <c r="BA84" s="485"/>
      <c r="BB84" s="479"/>
      <c r="BC84" s="479"/>
      <c r="BD84" s="485"/>
      <c r="BE84" s="479"/>
      <c r="BF84" s="479"/>
      <c r="BG84" s="485"/>
    </row>
    <row r="85" spans="1:89">
      <c r="B85" s="350" t="s">
        <v>506</v>
      </c>
      <c r="E85" s="485"/>
      <c r="F85" s="479"/>
      <c r="G85" s="479"/>
      <c r="H85" s="485"/>
      <c r="I85" s="479"/>
      <c r="J85" s="479"/>
      <c r="K85" s="485"/>
      <c r="L85" s="479"/>
      <c r="M85" s="479"/>
      <c r="N85" s="485"/>
      <c r="O85" s="479"/>
      <c r="P85" s="479"/>
      <c r="Q85" s="485"/>
      <c r="R85" s="376"/>
      <c r="S85" s="479"/>
      <c r="T85" s="485"/>
      <c r="U85" s="363">
        <f t="shared" si="434"/>
        <v>2.006049461001902</v>
      </c>
      <c r="V85" s="479">
        <f t="shared" si="416"/>
        <v>2.8435324455717601</v>
      </c>
      <c r="W85" s="362">
        <f t="shared" si="434"/>
        <v>4.8495819065736621</v>
      </c>
      <c r="X85" s="376">
        <v>3.67</v>
      </c>
      <c r="Y85" s="479">
        <f t="shared" si="433"/>
        <v>4.9991435214542381</v>
      </c>
      <c r="Z85" s="362">
        <f t="shared" si="435"/>
        <v>8.6691435214542381</v>
      </c>
      <c r="AA85" s="376">
        <v>5.0990000000000002</v>
      </c>
      <c r="AB85" s="479">
        <f>+AA85</f>
        <v>5.0990000000000002</v>
      </c>
      <c r="AC85" s="485">
        <f>+SUM(AA85:AB85)</f>
        <v>10.198</v>
      </c>
      <c r="AD85" s="363">
        <v>5</v>
      </c>
      <c r="AE85" s="479">
        <f>+AD85</f>
        <v>5</v>
      </c>
      <c r="AF85" s="485">
        <f>+SUM(AD85:AE85)</f>
        <v>10</v>
      </c>
      <c r="AG85" s="479"/>
      <c r="AH85" s="479"/>
      <c r="AI85" s="512"/>
      <c r="AJ85" s="479"/>
      <c r="AK85" s="479"/>
      <c r="AL85" s="485"/>
      <c r="AM85" s="479"/>
      <c r="AN85" s="479"/>
      <c r="AO85" s="485"/>
      <c r="AP85" s="479"/>
      <c r="AQ85" s="479"/>
      <c r="AR85" s="485"/>
      <c r="AS85" s="479"/>
      <c r="AT85" s="479"/>
      <c r="AU85" s="485"/>
      <c r="AV85" s="479"/>
      <c r="AW85" s="479"/>
      <c r="AX85" s="485"/>
      <c r="AY85" s="479"/>
      <c r="AZ85" s="479"/>
      <c r="BA85" s="485"/>
      <c r="BB85" s="479"/>
      <c r="BC85" s="479"/>
      <c r="BD85" s="485"/>
      <c r="BE85" s="479"/>
      <c r="BF85" s="479"/>
      <c r="BG85" s="485"/>
    </row>
    <row r="86" spans="1:89">
      <c r="A86" s="51" t="s">
        <v>511</v>
      </c>
      <c r="B86" s="386" t="s">
        <v>117</v>
      </c>
      <c r="C86" s="52"/>
      <c r="D86" s="52"/>
      <c r="E86" s="346"/>
      <c r="F86" s="347"/>
      <c r="G86" s="347"/>
      <c r="H86" s="346"/>
      <c r="I86" s="347"/>
      <c r="J86" s="347"/>
      <c r="K86" s="346"/>
      <c r="L86" s="347"/>
      <c r="M86" s="347"/>
      <c r="N86" s="346"/>
      <c r="O86" s="347"/>
      <c r="P86" s="347"/>
      <c r="Q86" s="346"/>
      <c r="R86" s="348">
        <v>24.843</v>
      </c>
      <c r="S86" s="347">
        <f>T86-R86</f>
        <v>4.8369866846392746</v>
      </c>
      <c r="T86" s="346">
        <f>+W86/W$77*T$77</f>
        <v>29.679986684639275</v>
      </c>
      <c r="U86" s="348">
        <v>12.93</v>
      </c>
      <c r="V86" s="347">
        <f>W86-U86</f>
        <v>18.327999999999999</v>
      </c>
      <c r="W86" s="349">
        <v>31.257999999999999</v>
      </c>
      <c r="X86" s="347">
        <f>+SUM(X82:X85)</f>
        <v>23.655000000000001</v>
      </c>
      <c r="Y86" s="347">
        <f>Z86-X86</f>
        <v>32.222000000000001</v>
      </c>
      <c r="Z86" s="349">
        <v>55.877000000000002</v>
      </c>
      <c r="AA86" s="347">
        <f>+SUM(AA82:AA85)</f>
        <v>43.867999999999995</v>
      </c>
      <c r="AB86" s="347">
        <f t="shared" ref="AB86" si="436">+SUM(AB82:AB85)</f>
        <v>50.366</v>
      </c>
      <c r="AC86" s="346">
        <f t="shared" si="422"/>
        <v>94.233999999999995</v>
      </c>
      <c r="AD86" s="347">
        <f>+SUM(AD82:AD85)</f>
        <v>55</v>
      </c>
      <c r="AE86" s="347">
        <f t="shared" ref="AE86" si="437">+SUM(AE82:AE85)</f>
        <v>60</v>
      </c>
      <c r="AF86" s="346">
        <f t="shared" ref="AF86" si="438">+SUM(AD86:AE86)</f>
        <v>115</v>
      </c>
      <c r="AG86" s="347">
        <f>+AG$77*AG97</f>
        <v>65.56638577207238</v>
      </c>
      <c r="AH86" s="347">
        <f>+AH$77*AH97</f>
        <v>67.617893956646768</v>
      </c>
      <c r="AI86" s="346">
        <f t="shared" si="424"/>
        <v>133.18427972871916</v>
      </c>
      <c r="AJ86" s="347">
        <f>+AJ$77*AJ97</f>
        <v>74.13397984097459</v>
      </c>
      <c r="AK86" s="347">
        <f>+AK$77*AK97</f>
        <v>76.501049374279674</v>
      </c>
      <c r="AL86" s="346">
        <f t="shared" si="425"/>
        <v>150.63502921525426</v>
      </c>
      <c r="AM86" s="347">
        <f>+AM$77*AM97</f>
        <v>95.773405307242214</v>
      </c>
      <c r="AN86" s="347">
        <f>+AN$77*AN97</f>
        <v>98.987583226823531</v>
      </c>
      <c r="AO86" s="346">
        <f t="shared" si="426"/>
        <v>194.76098853406575</v>
      </c>
      <c r="AP86" s="347">
        <f>+AP$77*AP97</f>
        <v>103.77652148511585</v>
      </c>
      <c r="AQ86" s="347">
        <f>+AQ$77*AQ97</f>
        <v>111.07255388461445</v>
      </c>
      <c r="AR86" s="346">
        <f t="shared" si="427"/>
        <v>214.84907536973031</v>
      </c>
      <c r="AS86" s="347">
        <f>+AS$77*AS97</f>
        <v>113.18928721846008</v>
      </c>
      <c r="AT86" s="347">
        <f>+AT$77*AT97</f>
        <v>121.27233987527624</v>
      </c>
      <c r="AU86" s="346">
        <f t="shared" si="428"/>
        <v>234.46162709373633</v>
      </c>
      <c r="AV86" s="347">
        <f>+AV$77*AV97</f>
        <v>126.25032997470539</v>
      </c>
      <c r="AW86" s="347">
        <f>+AW$77*AW97</f>
        <v>135.36835910477478</v>
      </c>
      <c r="AX86" s="346">
        <f t="shared" si="429"/>
        <v>261.61868907948019</v>
      </c>
      <c r="AY86" s="347">
        <f>+AY$77*AY97</f>
        <v>138.78142825002499</v>
      </c>
      <c r="AZ86" s="347">
        <f>+AZ$77*AZ97</f>
        <v>148.88820952262191</v>
      </c>
      <c r="BA86" s="346">
        <f t="shared" si="430"/>
        <v>287.66963777264687</v>
      </c>
      <c r="BB86" s="347">
        <f>+BB$77*BB97</f>
        <v>150.72542531324515</v>
      </c>
      <c r="BC86" s="347">
        <f>+BC$77*BC97</f>
        <v>161.76989253512141</v>
      </c>
      <c r="BD86" s="346">
        <f t="shared" si="431"/>
        <v>312.49531784836654</v>
      </c>
      <c r="BE86" s="347">
        <f>+BE$77*BE97</f>
        <v>161.24886287769741</v>
      </c>
      <c r="BF86" s="347">
        <f>+BF$77*BF97</f>
        <v>173.1104131498241</v>
      </c>
      <c r="BG86" s="346">
        <f t="shared" si="432"/>
        <v>334.3592760275215</v>
      </c>
    </row>
    <row r="87" spans="1:89">
      <c r="A87" s="51" t="s">
        <v>512</v>
      </c>
      <c r="B87" s="500" t="s">
        <v>138</v>
      </c>
      <c r="E87" s="485"/>
      <c r="F87" s="479"/>
      <c r="G87" s="479"/>
      <c r="H87" s="485"/>
      <c r="I87" s="479"/>
      <c r="J87" s="479"/>
      <c r="K87" s="485"/>
      <c r="L87" s="479"/>
      <c r="M87" s="479"/>
      <c r="N87" s="485"/>
      <c r="O87" s="479"/>
      <c r="P87" s="479"/>
      <c r="Q87" s="485"/>
      <c r="R87" s="376">
        <v>0</v>
      </c>
      <c r="S87" s="479">
        <f>T87-R87</f>
        <v>0.36841240110179918</v>
      </c>
      <c r="T87" s="485">
        <f>+W87/W$77*T$77</f>
        <v>0.36841240110179918</v>
      </c>
      <c r="U87" s="479">
        <v>0.187</v>
      </c>
      <c r="V87" s="479">
        <f>W87-U87</f>
        <v>0.20100000000000001</v>
      </c>
      <c r="W87" s="377">
        <v>0.38800000000000001</v>
      </c>
      <c r="X87" s="479">
        <v>0.01</v>
      </c>
      <c r="Y87" s="479">
        <f>Z87-X87</f>
        <v>0.41499999999999998</v>
      </c>
      <c r="Z87" s="377">
        <v>0.42499999999999999</v>
      </c>
      <c r="AA87" s="363">
        <f>2.664-3.065</f>
        <v>-0.4009999999999998</v>
      </c>
      <c r="AB87" s="479">
        <f>+AA87</f>
        <v>-0.4009999999999998</v>
      </c>
      <c r="AC87" s="485">
        <f>+SUM(AA87:AB87)</f>
        <v>-0.8019999999999996</v>
      </c>
      <c r="AD87" s="363">
        <v>0</v>
      </c>
      <c r="AE87" s="479">
        <f>+AD87</f>
        <v>0</v>
      </c>
      <c r="AF87" s="485">
        <f>+SUM(AD87:AE87)</f>
        <v>0</v>
      </c>
      <c r="AG87" s="513">
        <f>+AG$77*AG98</f>
        <v>0</v>
      </c>
      <c r="AH87" s="513">
        <f>+AH$77*AH98</f>
        <v>0</v>
      </c>
      <c r="AI87" s="514">
        <f t="shared" si="424"/>
        <v>0</v>
      </c>
      <c r="AJ87" s="513">
        <f>+AJ$77*AJ98</f>
        <v>0</v>
      </c>
      <c r="AK87" s="513">
        <f>+AK$77*AK98</f>
        <v>0</v>
      </c>
      <c r="AL87" s="514">
        <f t="shared" si="425"/>
        <v>0</v>
      </c>
      <c r="AM87" s="513">
        <f>+AM$77*AM98</f>
        <v>0</v>
      </c>
      <c r="AN87" s="513">
        <f>+AN$77*AN98</f>
        <v>0</v>
      </c>
      <c r="AO87" s="514">
        <f t="shared" si="426"/>
        <v>0</v>
      </c>
      <c r="AP87" s="513">
        <f>+AP$77*AP98</f>
        <v>0</v>
      </c>
      <c r="AQ87" s="513">
        <f>+AQ$77*AQ98</f>
        <v>0</v>
      </c>
      <c r="AR87" s="514">
        <f t="shared" si="427"/>
        <v>0</v>
      </c>
      <c r="AS87" s="513">
        <f>+AS$77*AS98</f>
        <v>0</v>
      </c>
      <c r="AT87" s="513">
        <f>+AT$77*AT98</f>
        <v>0</v>
      </c>
      <c r="AU87" s="514">
        <f t="shared" si="428"/>
        <v>0</v>
      </c>
      <c r="AV87" s="513">
        <f>+AV$77*AV98</f>
        <v>0</v>
      </c>
      <c r="AW87" s="513">
        <f>+AW$77*AW98</f>
        <v>0</v>
      </c>
      <c r="AX87" s="514">
        <f t="shared" si="429"/>
        <v>0</v>
      </c>
      <c r="AY87" s="513">
        <f>+AY$77*AY98</f>
        <v>0</v>
      </c>
      <c r="AZ87" s="513">
        <f>+AZ$77*AZ98</f>
        <v>0</v>
      </c>
      <c r="BA87" s="514">
        <f t="shared" si="430"/>
        <v>0</v>
      </c>
      <c r="BB87" s="513">
        <f>+BB$77*BB98</f>
        <v>0</v>
      </c>
      <c r="BC87" s="513">
        <f>+BC$77*BC98</f>
        <v>0</v>
      </c>
      <c r="BD87" s="514">
        <f t="shared" si="431"/>
        <v>0</v>
      </c>
      <c r="BE87" s="513">
        <f>+BE$77*BE98</f>
        <v>0</v>
      </c>
      <c r="BF87" s="513">
        <f>+BF$77*BF98</f>
        <v>0</v>
      </c>
      <c r="BG87" s="514">
        <f t="shared" si="432"/>
        <v>0</v>
      </c>
    </row>
    <row r="88" spans="1:89">
      <c r="B88" s="52"/>
      <c r="E88" s="346"/>
      <c r="F88" s="347"/>
      <c r="G88" s="347"/>
      <c r="H88" s="346"/>
      <c r="I88" s="347"/>
      <c r="J88" s="347"/>
      <c r="K88" s="346"/>
      <c r="L88" s="347"/>
      <c r="M88" s="347"/>
      <c r="N88" s="346"/>
      <c r="O88" s="347"/>
      <c r="P88" s="347"/>
      <c r="Q88" s="346"/>
      <c r="R88" s="347"/>
      <c r="S88" s="347"/>
      <c r="T88" s="390">
        <f>+T77-SUM(T81:T87)</f>
        <v>0</v>
      </c>
      <c r="U88" s="391">
        <f>+U77-SUM(U81,U86:U87)</f>
        <v>0</v>
      </c>
      <c r="V88" s="391">
        <f t="shared" ref="V88:BG88" si="439">+V77-SUM(V81,V86:V87)</f>
        <v>0</v>
      </c>
      <c r="W88" s="390">
        <f t="shared" si="439"/>
        <v>0</v>
      </c>
      <c r="X88" s="391">
        <f t="shared" si="439"/>
        <v>0</v>
      </c>
      <c r="Y88" s="391">
        <f t="shared" si="439"/>
        <v>0</v>
      </c>
      <c r="Z88" s="390">
        <f t="shared" si="439"/>
        <v>0</v>
      </c>
      <c r="AA88" s="391">
        <f t="shared" si="439"/>
        <v>0</v>
      </c>
      <c r="AB88" s="391">
        <f t="shared" si="439"/>
        <v>0</v>
      </c>
      <c r="AC88" s="390">
        <f t="shared" si="439"/>
        <v>0</v>
      </c>
      <c r="AD88" s="391">
        <f t="shared" si="439"/>
        <v>0</v>
      </c>
      <c r="AE88" s="391">
        <f t="shared" si="439"/>
        <v>0</v>
      </c>
      <c r="AF88" s="390">
        <f t="shared" si="439"/>
        <v>0</v>
      </c>
      <c r="AG88" s="391">
        <f t="shared" si="439"/>
        <v>0</v>
      </c>
      <c r="AH88" s="391">
        <f t="shared" si="439"/>
        <v>0</v>
      </c>
      <c r="AI88" s="390">
        <f t="shared" si="439"/>
        <v>0</v>
      </c>
      <c r="AJ88" s="391">
        <f t="shared" si="439"/>
        <v>0</v>
      </c>
      <c r="AK88" s="391">
        <f t="shared" si="439"/>
        <v>0</v>
      </c>
      <c r="AL88" s="390">
        <f t="shared" si="439"/>
        <v>0</v>
      </c>
      <c r="AM88" s="391">
        <f t="shared" si="439"/>
        <v>0</v>
      </c>
      <c r="AN88" s="391">
        <f t="shared" si="439"/>
        <v>0</v>
      </c>
      <c r="AO88" s="390">
        <f t="shared" si="439"/>
        <v>0</v>
      </c>
      <c r="AP88" s="391">
        <f t="shared" si="439"/>
        <v>0</v>
      </c>
      <c r="AQ88" s="391">
        <f t="shared" si="439"/>
        <v>0</v>
      </c>
      <c r="AR88" s="390">
        <f t="shared" si="439"/>
        <v>0</v>
      </c>
      <c r="AS88" s="391">
        <f t="shared" si="439"/>
        <v>0</v>
      </c>
      <c r="AT88" s="391">
        <f t="shared" si="439"/>
        <v>0</v>
      </c>
      <c r="AU88" s="390">
        <f t="shared" si="439"/>
        <v>0</v>
      </c>
      <c r="AV88" s="391">
        <f t="shared" si="439"/>
        <v>0</v>
      </c>
      <c r="AW88" s="391">
        <f t="shared" si="439"/>
        <v>0</v>
      </c>
      <c r="AX88" s="390">
        <f t="shared" si="439"/>
        <v>0</v>
      </c>
      <c r="AY88" s="391">
        <f t="shared" si="439"/>
        <v>0</v>
      </c>
      <c r="AZ88" s="391">
        <f t="shared" si="439"/>
        <v>0</v>
      </c>
      <c r="BA88" s="390">
        <f t="shared" si="439"/>
        <v>0</v>
      </c>
      <c r="BB88" s="391">
        <f t="shared" si="439"/>
        <v>0</v>
      </c>
      <c r="BC88" s="391">
        <f t="shared" si="439"/>
        <v>0</v>
      </c>
      <c r="BD88" s="390">
        <f t="shared" si="439"/>
        <v>0</v>
      </c>
      <c r="BE88" s="391">
        <f t="shared" si="439"/>
        <v>0</v>
      </c>
      <c r="BF88" s="391">
        <f t="shared" si="439"/>
        <v>0</v>
      </c>
      <c r="BG88" s="390">
        <f t="shared" si="439"/>
        <v>0</v>
      </c>
    </row>
    <row r="89" spans="1:89">
      <c r="B89" s="515"/>
      <c r="E89" s="485"/>
      <c r="F89" s="479"/>
      <c r="G89" s="479"/>
      <c r="H89" s="351"/>
      <c r="I89" s="479"/>
      <c r="J89" s="479"/>
      <c r="K89" s="351"/>
      <c r="L89" s="479"/>
      <c r="M89" s="479"/>
      <c r="N89" s="351"/>
      <c r="O89" s="479"/>
      <c r="P89" s="479"/>
      <c r="Q89" s="351"/>
      <c r="R89" s="352"/>
      <c r="S89" s="352"/>
      <c r="T89" s="486"/>
      <c r="U89" s="352"/>
      <c r="V89" s="352"/>
      <c r="W89" s="486"/>
      <c r="X89" s="352"/>
      <c r="Y89" s="352"/>
      <c r="Z89" s="486"/>
      <c r="AA89" s="352"/>
      <c r="AB89" s="352"/>
      <c r="AC89" s="490"/>
      <c r="AD89" s="352"/>
      <c r="AE89" s="352"/>
      <c r="AF89" s="490"/>
      <c r="AG89" s="352"/>
      <c r="AH89" s="352"/>
      <c r="AI89" s="490"/>
      <c r="AJ89" s="352"/>
      <c r="AK89" s="352"/>
      <c r="AL89" s="490"/>
      <c r="AM89" s="352"/>
      <c r="AN89" s="352"/>
      <c r="AO89" s="490"/>
      <c r="AP89" s="352"/>
      <c r="AQ89" s="352"/>
      <c r="AR89" s="490"/>
      <c r="AS89" s="352"/>
      <c r="AT89" s="352"/>
      <c r="AU89" s="490"/>
      <c r="AV89" s="352"/>
      <c r="AW89" s="352"/>
      <c r="AX89" s="490"/>
      <c r="AY89" s="352"/>
      <c r="AZ89" s="352"/>
      <c r="BA89" s="490"/>
      <c r="BB89" s="352"/>
      <c r="BC89" s="352"/>
      <c r="BD89" s="490"/>
      <c r="BE89" s="352"/>
      <c r="BF89" s="352"/>
      <c r="BG89" s="490"/>
    </row>
    <row r="90" spans="1:89">
      <c r="B90" s="52" t="s">
        <v>513</v>
      </c>
      <c r="E90" s="485"/>
      <c r="F90" s="479"/>
      <c r="G90" s="479"/>
      <c r="H90" s="351"/>
      <c r="I90" s="479"/>
      <c r="J90" s="479"/>
      <c r="K90" s="351"/>
      <c r="L90" s="479"/>
      <c r="M90" s="479"/>
      <c r="N90" s="351"/>
      <c r="O90" s="479"/>
      <c r="P90" s="479"/>
      <c r="Q90" s="351"/>
      <c r="R90" s="352"/>
      <c r="S90" s="352"/>
      <c r="T90" s="486"/>
      <c r="U90" s="352">
        <f t="shared" ref="U90:V90" si="440">+U77/R77-1</f>
        <v>0.31795676850621901</v>
      </c>
      <c r="V90" s="352">
        <f t="shared" si="440"/>
        <v>-6.3954420012463209E-2</v>
      </c>
      <c r="W90" s="486">
        <f>+W77/T77-1</f>
        <v>5.3167588386332287E-2</v>
      </c>
      <c r="X90" s="352">
        <f t="shared" ref="X90:BG90" si="441">+X77/U77-1</f>
        <v>0.69317695925722322</v>
      </c>
      <c r="Y90" s="352">
        <f t="shared" si="441"/>
        <v>0.3788826964411387</v>
      </c>
      <c r="Z90" s="486">
        <f t="shared" si="441"/>
        <v>0.49950184609974801</v>
      </c>
      <c r="AA90" s="352">
        <f t="shared" si="441"/>
        <v>0.47160792236372173</v>
      </c>
      <c r="AB90" s="352">
        <f t="shared" si="441"/>
        <v>8.2436682668432626E-2</v>
      </c>
      <c r="AC90" s="490">
        <f t="shared" si="441"/>
        <v>0.25108262330962239</v>
      </c>
      <c r="AD90" s="352">
        <f t="shared" si="441"/>
        <v>6.0269909172254055E-2</v>
      </c>
      <c r="AE90" s="352">
        <f t="shared" si="441"/>
        <v>0.16608044043431702</v>
      </c>
      <c r="AF90" s="490">
        <f t="shared" si="441"/>
        <v>0.11214550362072107</v>
      </c>
      <c r="AG90" s="352">
        <f t="shared" si="441"/>
        <v>0.16614292169092715</v>
      </c>
      <c r="AH90" s="352">
        <f t="shared" si="441"/>
        <v>0.1369128870390377</v>
      </c>
      <c r="AI90" s="490">
        <f t="shared" si="441"/>
        <v>0.15111737017043336</v>
      </c>
      <c r="AJ90" s="352">
        <f t="shared" si="441"/>
        <v>0.13067052527015344</v>
      </c>
      <c r="AK90" s="352">
        <f t="shared" si="441"/>
        <v>0.13137284966799379</v>
      </c>
      <c r="AL90" s="490">
        <f t="shared" si="441"/>
        <v>0.13102709660689871</v>
      </c>
      <c r="AM90" s="352">
        <f t="shared" si="441"/>
        <v>0.29189617922424427</v>
      </c>
      <c r="AN90" s="352">
        <f t="shared" si="441"/>
        <v>0.29393758695425198</v>
      </c>
      <c r="AO90" s="490">
        <f t="shared" si="441"/>
        <v>0.29293292236665902</v>
      </c>
      <c r="AP90" s="352">
        <f t="shared" si="441"/>
        <v>0.12690555377338342</v>
      </c>
      <c r="AQ90" s="352">
        <f t="shared" si="441"/>
        <v>0.16696915183092176</v>
      </c>
      <c r="AR90" s="490">
        <f t="shared" si="441"/>
        <v>0.14726794142060418</v>
      </c>
      <c r="AS90" s="352">
        <f t="shared" si="441"/>
        <v>0.13614819452336202</v>
      </c>
      <c r="AT90" s="352">
        <f t="shared" si="441"/>
        <v>0.13732285446480974</v>
      </c>
      <c r="AU90" s="490">
        <f t="shared" si="441"/>
        <v>0.13675546955779261</v>
      </c>
      <c r="AV90" s="352">
        <f t="shared" si="441"/>
        <v>0.11539115650615384</v>
      </c>
      <c r="AW90" s="352">
        <f t="shared" si="441"/>
        <v>0.11623441292545134</v>
      </c>
      <c r="AX90" s="490">
        <f t="shared" si="441"/>
        <v>0.1158273203268636</v>
      </c>
      <c r="AY90" s="352">
        <f t="shared" si="441"/>
        <v>9.9255964541480779E-2</v>
      </c>
      <c r="AZ90" s="352">
        <f t="shared" si="441"/>
        <v>9.9874523908373591E-2</v>
      </c>
      <c r="BA90" s="490">
        <f t="shared" si="441"/>
        <v>9.9576023352262899E-2</v>
      </c>
      <c r="BB90" s="352">
        <f t="shared" si="441"/>
        <v>8.6063367511264977E-2</v>
      </c>
      <c r="BC90" s="352">
        <f t="shared" si="441"/>
        <v>8.6519161280814938E-2</v>
      </c>
      <c r="BD90" s="490">
        <f t="shared" si="441"/>
        <v>8.6299271163750912E-2</v>
      </c>
      <c r="BE90" s="352">
        <f t="shared" si="441"/>
        <v>6.981859591758921E-2</v>
      </c>
      <c r="BF90" s="352">
        <f t="shared" si="441"/>
        <v>7.0102788825433526E-2</v>
      </c>
      <c r="BG90" s="490">
        <f t="shared" si="441"/>
        <v>6.9965714461565298E-2</v>
      </c>
    </row>
    <row r="91" spans="1:89">
      <c r="B91" s="515"/>
      <c r="E91" s="485"/>
      <c r="F91" s="479"/>
      <c r="G91" s="479"/>
      <c r="H91" s="351"/>
      <c r="I91" s="479"/>
      <c r="J91" s="479"/>
      <c r="K91" s="351"/>
      <c r="L91" s="479"/>
      <c r="M91" s="479"/>
      <c r="N91" s="351"/>
      <c r="O91" s="479"/>
      <c r="P91" s="479"/>
      <c r="Q91" s="351"/>
      <c r="R91" s="352"/>
      <c r="S91" s="352"/>
      <c r="T91" s="486"/>
      <c r="U91" s="352"/>
      <c r="V91" s="352"/>
      <c r="W91" s="486"/>
      <c r="X91" s="352"/>
      <c r="Y91" s="352"/>
      <c r="Z91" s="490"/>
      <c r="AA91" s="352"/>
      <c r="AB91" s="352"/>
      <c r="AC91" s="490"/>
      <c r="AD91" s="352"/>
      <c r="AE91" s="352"/>
      <c r="AF91" s="490"/>
      <c r="AG91" s="352"/>
      <c r="AH91" s="352"/>
      <c r="AI91" s="490"/>
      <c r="AJ91" s="352"/>
      <c r="AK91" s="352"/>
      <c r="AL91" s="490"/>
      <c r="AM91" s="352"/>
      <c r="AN91" s="352"/>
      <c r="AO91" s="490"/>
      <c r="AP91" s="352"/>
      <c r="AQ91" s="352"/>
      <c r="AR91" s="490"/>
      <c r="AS91" s="352"/>
      <c r="AT91" s="352"/>
      <c r="AU91" s="490"/>
      <c r="AV91" s="352"/>
      <c r="AW91" s="352"/>
      <c r="AX91" s="490"/>
      <c r="AY91" s="352"/>
      <c r="AZ91" s="352"/>
      <c r="BA91" s="490"/>
      <c r="BB91" s="352"/>
      <c r="BC91" s="352"/>
      <c r="BD91" s="490"/>
      <c r="BE91" s="352"/>
      <c r="BF91" s="352"/>
      <c r="BG91" s="490"/>
    </row>
    <row r="92" spans="1:89" s="52" customFormat="1">
      <c r="A92" s="51"/>
      <c r="B92" s="52" t="s">
        <v>488</v>
      </c>
      <c r="C92" s="53"/>
      <c r="D92" s="53"/>
      <c r="E92" s="485"/>
      <c r="F92" s="479"/>
      <c r="G92" s="479"/>
      <c r="H92" s="351"/>
      <c r="I92" s="479"/>
      <c r="J92" s="479"/>
      <c r="K92" s="351"/>
      <c r="L92" s="479"/>
      <c r="M92" s="479"/>
      <c r="N92" s="351"/>
      <c r="O92" s="479"/>
      <c r="P92" s="479"/>
      <c r="Q92" s="351"/>
      <c r="R92" s="352"/>
      <c r="S92" s="352"/>
      <c r="T92" s="486"/>
      <c r="U92" s="352"/>
      <c r="V92" s="352"/>
      <c r="W92" s="486"/>
      <c r="X92" s="352"/>
      <c r="Y92" s="352"/>
      <c r="Z92" s="486"/>
      <c r="AA92" s="352"/>
      <c r="AB92" s="352"/>
      <c r="AC92" s="490"/>
      <c r="AD92" s="352"/>
      <c r="AE92" s="352"/>
      <c r="AF92" s="490"/>
      <c r="AG92" s="352"/>
      <c r="AH92" s="352"/>
      <c r="AI92" s="490"/>
      <c r="AJ92" s="352"/>
      <c r="AK92" s="352"/>
      <c r="AL92" s="490"/>
      <c r="AM92" s="352"/>
      <c r="AN92" s="352"/>
      <c r="AO92" s="490"/>
      <c r="AP92" s="352"/>
      <c r="AQ92" s="352"/>
      <c r="AR92" s="490"/>
      <c r="AS92" s="352"/>
      <c r="AT92" s="352"/>
      <c r="AU92" s="490"/>
      <c r="AV92" s="352"/>
      <c r="AW92" s="352"/>
      <c r="AX92" s="490"/>
      <c r="AY92" s="352"/>
      <c r="AZ92" s="352"/>
      <c r="BA92" s="490"/>
      <c r="BB92" s="352"/>
      <c r="BC92" s="352"/>
      <c r="BD92" s="490"/>
      <c r="BE92" s="352"/>
      <c r="BF92" s="352"/>
      <c r="BG92" s="490"/>
      <c r="BJ92" s="53"/>
      <c r="BK92" s="53"/>
      <c r="BL92" s="53"/>
      <c r="BM92" s="53"/>
      <c r="BN92" s="53"/>
      <c r="BO92" s="53"/>
      <c r="BP92" s="53"/>
      <c r="BQ92" s="53"/>
      <c r="BR92" s="53"/>
      <c r="BS92" s="53"/>
      <c r="BT92" s="53"/>
      <c r="BU92" s="53"/>
      <c r="BV92" s="53"/>
      <c r="BW92" s="53"/>
      <c r="BX92" s="53"/>
      <c r="BY92" s="53"/>
      <c r="BZ92" s="53"/>
      <c r="CA92" s="53"/>
      <c r="CB92" s="53"/>
      <c r="CC92" s="53"/>
      <c r="CD92" s="53"/>
      <c r="CE92" s="53"/>
      <c r="CF92" s="53"/>
      <c r="CG92" s="53"/>
      <c r="CH92" s="53"/>
      <c r="CI92" s="53"/>
      <c r="CJ92" s="53"/>
      <c r="CK92" s="53"/>
    </row>
    <row r="93" spans="1:89">
      <c r="A93" s="408"/>
      <c r="B93" s="52" t="s">
        <v>463</v>
      </c>
      <c r="C93" s="52"/>
      <c r="D93" s="52"/>
      <c r="E93" s="405"/>
      <c r="F93" s="406"/>
      <c r="G93" s="406"/>
      <c r="H93" s="405"/>
      <c r="I93" s="406"/>
      <c r="J93" s="406"/>
      <c r="K93" s="405"/>
      <c r="L93" s="406"/>
      <c r="M93" s="406"/>
      <c r="N93" s="405"/>
      <c r="O93" s="406"/>
      <c r="P93" s="406"/>
      <c r="Q93" s="405"/>
      <c r="R93" s="406"/>
      <c r="S93" s="406"/>
      <c r="T93" s="405"/>
      <c r="U93" s="401">
        <f t="shared" ref="U93:Z93" si="442">IFERROR(U77/U$17,"NA")</f>
        <v>0.22006546446838682</v>
      </c>
      <c r="V93" s="401">
        <f t="shared" si="442"/>
        <v>0.28542034257173104</v>
      </c>
      <c r="W93" s="400">
        <f t="shared" si="442"/>
        <v>0.25621812852500769</v>
      </c>
      <c r="X93" s="401">
        <f t="shared" si="442"/>
        <v>0.23136667348327078</v>
      </c>
      <c r="Y93" s="401">
        <f t="shared" si="442"/>
        <v>0.26176067018126664</v>
      </c>
      <c r="Z93" s="400">
        <f t="shared" si="442"/>
        <v>0.24766189592121587</v>
      </c>
      <c r="AA93" s="541">
        <f t="shared" ref="AA93" si="443">IFERROR(AA77/AA$17,"NA")</f>
        <v>0.20899479709703117</v>
      </c>
      <c r="AB93" s="541">
        <f t="shared" ref="AB93:AF93" si="444">+AB77/AB17</f>
        <v>0.18951704170958675</v>
      </c>
      <c r="AC93" s="539">
        <f t="shared" si="444"/>
        <v>0.19896919040481392</v>
      </c>
      <c r="AD93" s="541">
        <f t="shared" si="444"/>
        <v>0.19518517821966422</v>
      </c>
      <c r="AE93" s="541">
        <f t="shared" si="444"/>
        <v>0.19702756164228419</v>
      </c>
      <c r="AF93" s="539">
        <f t="shared" si="444"/>
        <v>0.19612792173270177</v>
      </c>
      <c r="AG93" s="409">
        <v>0.2</v>
      </c>
      <c r="AH93" s="401">
        <f>+AG93</f>
        <v>0.2</v>
      </c>
      <c r="AI93" s="400">
        <f t="shared" ref="AI93:BG93" si="445">+AH93</f>
        <v>0.2</v>
      </c>
      <c r="AJ93" s="401">
        <f>+AH93</f>
        <v>0.2</v>
      </c>
      <c r="AK93" s="401">
        <f t="shared" si="445"/>
        <v>0.2</v>
      </c>
      <c r="AL93" s="400">
        <f t="shared" si="445"/>
        <v>0.2</v>
      </c>
      <c r="AM93" s="401">
        <f>+AL93+AM94</f>
        <v>0.2</v>
      </c>
      <c r="AN93" s="401">
        <f t="shared" si="445"/>
        <v>0.2</v>
      </c>
      <c r="AO93" s="400">
        <f t="shared" si="445"/>
        <v>0.2</v>
      </c>
      <c r="AP93" s="401">
        <f>+AO93+AP94</f>
        <v>0.19750000000000001</v>
      </c>
      <c r="AQ93" s="401">
        <f t="shared" si="445"/>
        <v>0.19750000000000001</v>
      </c>
      <c r="AR93" s="400">
        <f t="shared" si="445"/>
        <v>0.19750000000000001</v>
      </c>
      <c r="AS93" s="401">
        <f>+AR93+AS94</f>
        <v>0.19500000000000001</v>
      </c>
      <c r="AT93" s="401">
        <f t="shared" si="445"/>
        <v>0.19500000000000001</v>
      </c>
      <c r="AU93" s="400">
        <f t="shared" si="445"/>
        <v>0.19500000000000001</v>
      </c>
      <c r="AV93" s="401">
        <f>+AU93+AV94</f>
        <v>0.1925</v>
      </c>
      <c r="AW93" s="401">
        <f t="shared" si="445"/>
        <v>0.1925</v>
      </c>
      <c r="AX93" s="400">
        <f t="shared" si="445"/>
        <v>0.1925</v>
      </c>
      <c r="AY93" s="401">
        <f>+AX93+AY94</f>
        <v>0.19</v>
      </c>
      <c r="AZ93" s="401">
        <f t="shared" si="445"/>
        <v>0.19</v>
      </c>
      <c r="BA93" s="400">
        <f t="shared" si="445"/>
        <v>0.19</v>
      </c>
      <c r="BB93" s="401">
        <f>+BA93+BB94</f>
        <v>0.1875</v>
      </c>
      <c r="BC93" s="401">
        <f t="shared" si="445"/>
        <v>0.1875</v>
      </c>
      <c r="BD93" s="400">
        <f t="shared" si="445"/>
        <v>0.1875</v>
      </c>
      <c r="BE93" s="401">
        <f>+BD93+BE94</f>
        <v>0.185</v>
      </c>
      <c r="BF93" s="401">
        <f t="shared" si="445"/>
        <v>0.185</v>
      </c>
      <c r="BG93" s="400">
        <f t="shared" si="445"/>
        <v>0.185</v>
      </c>
    </row>
    <row r="94" spans="1:89">
      <c r="B94" s="53" t="s">
        <v>514</v>
      </c>
      <c r="E94" s="351"/>
      <c r="F94" s="352"/>
      <c r="G94" s="352"/>
      <c r="H94" s="351"/>
      <c r="I94" s="352"/>
      <c r="J94" s="352"/>
      <c r="K94" s="351"/>
      <c r="L94" s="352"/>
      <c r="M94" s="352"/>
      <c r="N94" s="351"/>
      <c r="O94" s="352"/>
      <c r="P94" s="352"/>
      <c r="Q94" s="351"/>
      <c r="R94" s="352"/>
      <c r="S94" s="352"/>
      <c r="T94" s="351"/>
      <c r="U94" s="352"/>
      <c r="V94" s="352"/>
      <c r="W94" s="351"/>
      <c r="X94" s="352"/>
      <c r="Y94" s="352"/>
      <c r="Z94" s="351"/>
      <c r="AA94" s="352"/>
      <c r="AB94" s="352"/>
      <c r="AC94" s="351"/>
      <c r="AD94" s="352"/>
      <c r="AE94" s="352"/>
      <c r="AF94" s="351"/>
      <c r="AG94" s="354"/>
      <c r="AH94" s="352"/>
      <c r="AI94" s="351"/>
      <c r="AJ94" s="403"/>
      <c r="AK94" s="352"/>
      <c r="AL94" s="351"/>
      <c r="AM94" s="403"/>
      <c r="AN94" s="352"/>
      <c r="AO94" s="351"/>
      <c r="AP94" s="403">
        <v>-2.5000000000000001E-3</v>
      </c>
      <c r="AQ94" s="352"/>
      <c r="AR94" s="351"/>
      <c r="AS94" s="353">
        <f>+AP94</f>
        <v>-2.5000000000000001E-3</v>
      </c>
      <c r="AT94" s="352"/>
      <c r="AU94" s="351"/>
      <c r="AV94" s="353">
        <f>+AS94</f>
        <v>-2.5000000000000001E-3</v>
      </c>
      <c r="AW94" s="352"/>
      <c r="AX94" s="351"/>
      <c r="AY94" s="353">
        <f>+AV94</f>
        <v>-2.5000000000000001E-3</v>
      </c>
      <c r="AZ94" s="352"/>
      <c r="BA94" s="351"/>
      <c r="BB94" s="353">
        <f>+AY94</f>
        <v>-2.5000000000000001E-3</v>
      </c>
      <c r="BC94" s="352"/>
      <c r="BD94" s="351"/>
      <c r="BE94" s="353">
        <f>+BB94</f>
        <v>-2.5000000000000001E-3</v>
      </c>
      <c r="BF94" s="352"/>
      <c r="BG94" s="351"/>
    </row>
    <row r="95" spans="1:89">
      <c r="B95" s="52" t="s">
        <v>515</v>
      </c>
      <c r="E95" s="346"/>
      <c r="F95" s="347"/>
      <c r="G95" s="347"/>
      <c r="H95" s="346"/>
      <c r="I95" s="347"/>
      <c r="J95" s="347"/>
      <c r="K95" s="346"/>
      <c r="L95" s="347"/>
      <c r="M95" s="347"/>
      <c r="N95" s="485"/>
      <c r="O95" s="347"/>
      <c r="P95" s="347"/>
      <c r="Q95" s="485"/>
      <c r="R95" s="479"/>
      <c r="T95" s="516"/>
      <c r="U95" s="352"/>
      <c r="V95" s="352"/>
      <c r="W95" s="351"/>
      <c r="X95" s="352"/>
      <c r="Y95" s="352"/>
      <c r="Z95" s="351"/>
      <c r="AA95" s="352"/>
      <c r="AB95" s="352"/>
      <c r="AC95" s="490"/>
      <c r="AD95" s="352"/>
      <c r="AE95" s="352"/>
      <c r="AF95" s="490"/>
      <c r="AG95" s="352"/>
      <c r="AH95" s="352"/>
      <c r="AI95" s="490"/>
      <c r="AJ95" s="352"/>
      <c r="AK95" s="352"/>
      <c r="AL95" s="490"/>
      <c r="AM95" s="352"/>
      <c r="AN95" s="352"/>
      <c r="AO95" s="490"/>
      <c r="AP95" s="352"/>
      <c r="AQ95" s="352"/>
      <c r="AR95" s="490"/>
      <c r="AS95" s="352"/>
      <c r="AT95" s="352"/>
      <c r="AU95" s="490"/>
      <c r="AV95" s="352"/>
      <c r="AW95" s="352"/>
      <c r="AX95" s="490"/>
      <c r="AY95" s="352"/>
      <c r="AZ95" s="352"/>
      <c r="BA95" s="490"/>
      <c r="BB95" s="352"/>
      <c r="BC95" s="352"/>
      <c r="BD95" s="490"/>
      <c r="BE95" s="352"/>
      <c r="BF95" s="352"/>
      <c r="BG95" s="490"/>
    </row>
    <row r="96" spans="1:89">
      <c r="B96" s="350" t="s">
        <v>99</v>
      </c>
      <c r="E96" s="346"/>
      <c r="F96" s="347"/>
      <c r="G96" s="347"/>
      <c r="H96" s="346"/>
      <c r="I96" s="347"/>
      <c r="J96" s="347"/>
      <c r="K96" s="346"/>
      <c r="L96" s="347"/>
      <c r="M96" s="347"/>
      <c r="N96" s="485"/>
      <c r="O96" s="347"/>
      <c r="P96" s="347"/>
      <c r="Q96" s="485"/>
      <c r="R96" s="479"/>
      <c r="T96" s="516"/>
      <c r="U96" s="352">
        <f t="shared" ref="U96:AF96" si="446">+U81/U$77</f>
        <v>0.59938305540284653</v>
      </c>
      <c r="V96" s="352">
        <f t="shared" si="446"/>
        <v>0.64755673064120356</v>
      </c>
      <c r="W96" s="351">
        <f t="shared" si="446"/>
        <v>0.62906874523823475</v>
      </c>
      <c r="X96" s="352">
        <f t="shared" si="446"/>
        <v>0.57312673617374366</v>
      </c>
      <c r="Y96" s="352">
        <f t="shared" si="446"/>
        <v>0.54978480384042394</v>
      </c>
      <c r="Z96" s="351">
        <f t="shared" si="446"/>
        <v>0.55989994528257647</v>
      </c>
      <c r="AA96" s="352">
        <f t="shared" ref="AA96" si="447">+AA81/AA$77</f>
        <v>0.46720517754924434</v>
      </c>
      <c r="AB96" s="352">
        <f t="shared" si="446"/>
        <v>0.3632436152316868</v>
      </c>
      <c r="AC96" s="351">
        <f t="shared" si="446"/>
        <v>0.41623607475117308</v>
      </c>
      <c r="AD96" s="352">
        <f t="shared" si="446"/>
        <v>0.36416184971098264</v>
      </c>
      <c r="AE96" s="352">
        <f t="shared" si="446"/>
        <v>0.34426229508196721</v>
      </c>
      <c r="AF96" s="351">
        <f t="shared" si="446"/>
        <v>0.3539325842696629</v>
      </c>
      <c r="AG96" s="396">
        <v>0.35</v>
      </c>
      <c r="AH96" s="396">
        <f t="shared" ref="AH96:AW98" si="448">+AG96</f>
        <v>0.35</v>
      </c>
      <c r="AI96" s="505">
        <f>+AI81/AI$77</f>
        <v>0.34999999999999992</v>
      </c>
      <c r="AJ96" s="396">
        <f t="shared" ref="AJ96:AJ98" si="449">+AH96</f>
        <v>0.35</v>
      </c>
      <c r="AK96" s="396">
        <f t="shared" ref="AK96" si="450">+AJ96</f>
        <v>0.35</v>
      </c>
      <c r="AL96" s="505">
        <f>+AL81/AL$77</f>
        <v>0.35</v>
      </c>
      <c r="AM96" s="396">
        <f t="shared" ref="AM96:AM98" si="451">+AK96</f>
        <v>0.35</v>
      </c>
      <c r="AN96" s="396">
        <f t="shared" ref="AN96" si="452">+AM96</f>
        <v>0.35</v>
      </c>
      <c r="AO96" s="505">
        <f>+AO81/AO$77</f>
        <v>0.34999999999999992</v>
      </c>
      <c r="AP96" s="396">
        <f>1-AP97</f>
        <v>0.375</v>
      </c>
      <c r="AQ96" s="396">
        <f t="shared" ref="AQ96" si="453">+AP96</f>
        <v>0.375</v>
      </c>
      <c r="AR96" s="505">
        <f>+AR81/AR$77</f>
        <v>0.37499999999999994</v>
      </c>
      <c r="AS96" s="396">
        <f>1-AS97</f>
        <v>0.4</v>
      </c>
      <c r="AT96" s="396">
        <f t="shared" ref="AT96" si="454">+AS96</f>
        <v>0.4</v>
      </c>
      <c r="AU96" s="505">
        <f>+AU81/AU$77</f>
        <v>0.4</v>
      </c>
      <c r="AV96" s="396">
        <f>1-AV97</f>
        <v>0.4</v>
      </c>
      <c r="AW96" s="396">
        <f t="shared" ref="AW96" si="455">+AV96</f>
        <v>0.4</v>
      </c>
      <c r="AX96" s="505">
        <f>+AX81/AX$77</f>
        <v>0.39999999999999997</v>
      </c>
      <c r="AY96" s="396">
        <f t="shared" ref="AY96:AY98" si="456">+AW96</f>
        <v>0.4</v>
      </c>
      <c r="AZ96" s="396">
        <f t="shared" ref="AZ96:BF98" si="457">+AY96</f>
        <v>0.4</v>
      </c>
      <c r="BA96" s="505">
        <f>+BA81/BA$77</f>
        <v>0.4</v>
      </c>
      <c r="BB96" s="396">
        <f t="shared" ref="BB96:BB98" si="458">+AZ96</f>
        <v>0.4</v>
      </c>
      <c r="BC96" s="396">
        <f t="shared" ref="BC96" si="459">+BB96</f>
        <v>0.4</v>
      </c>
      <c r="BD96" s="505">
        <f>+BD81/BD$77</f>
        <v>0.4</v>
      </c>
      <c r="BE96" s="396">
        <f t="shared" ref="BE96:BE98" si="460">+BC96</f>
        <v>0.4</v>
      </c>
      <c r="BF96" s="396">
        <f t="shared" ref="BF96" si="461">+BE96</f>
        <v>0.4</v>
      </c>
      <c r="BG96" s="505">
        <f>+BG81/BG$77</f>
        <v>0.4</v>
      </c>
    </row>
    <row r="97" spans="1:89">
      <c r="B97" s="350" t="s">
        <v>117</v>
      </c>
      <c r="E97" s="346"/>
      <c r="F97" s="347"/>
      <c r="G97" s="347"/>
      <c r="H97" s="346"/>
      <c r="I97" s="347"/>
      <c r="J97" s="347"/>
      <c r="K97" s="346"/>
      <c r="L97" s="347"/>
      <c r="M97" s="347"/>
      <c r="N97" s="485"/>
      <c r="O97" s="347"/>
      <c r="P97" s="347"/>
      <c r="Q97" s="485"/>
      <c r="R97" s="479"/>
      <c r="S97" s="352"/>
      <c r="T97" s="351"/>
      <c r="U97" s="352">
        <f t="shared" ref="U97:AF98" si="462">+U86/U$77</f>
        <v>0.39490562580172256</v>
      </c>
      <c r="V97" s="352">
        <f t="shared" si="462"/>
        <v>0.34862001407566623</v>
      </c>
      <c r="W97" s="351">
        <f t="shared" si="462"/>
        <v>0.36638340268417041</v>
      </c>
      <c r="X97" s="352">
        <f t="shared" si="462"/>
        <v>0.42669288213860534</v>
      </c>
      <c r="Y97" s="352">
        <f t="shared" si="462"/>
        <v>0.44449042652982407</v>
      </c>
      <c r="Z97" s="351">
        <f t="shared" si="462"/>
        <v>0.43677792542796845</v>
      </c>
      <c r="AA97" s="352">
        <f t="shared" ref="AA97" si="463">+AA86/AA$77</f>
        <v>0.53771006214529982</v>
      </c>
      <c r="AB97" s="352">
        <f t="shared" si="462"/>
        <v>0.64186674822857726</v>
      </c>
      <c r="AC97" s="351">
        <f t="shared" si="462"/>
        <v>0.58877482802356751</v>
      </c>
      <c r="AD97" s="352">
        <f t="shared" si="462"/>
        <v>0.63583815028901736</v>
      </c>
      <c r="AE97" s="352">
        <f t="shared" si="462"/>
        <v>0.65573770491803274</v>
      </c>
      <c r="AF97" s="351">
        <f t="shared" si="462"/>
        <v>0.6460674157303371</v>
      </c>
      <c r="AG97" s="396">
        <v>0.65</v>
      </c>
      <c r="AH97" s="396">
        <f t="shared" si="448"/>
        <v>0.65</v>
      </c>
      <c r="AI97" s="505">
        <f>+AI86/AI$77</f>
        <v>0.65</v>
      </c>
      <c r="AJ97" s="396">
        <f t="shared" si="449"/>
        <v>0.65</v>
      </c>
      <c r="AK97" s="396">
        <f t="shared" si="448"/>
        <v>0.65</v>
      </c>
      <c r="AL97" s="505">
        <f>+AL86/AL$77</f>
        <v>0.65</v>
      </c>
      <c r="AM97" s="396">
        <f t="shared" si="451"/>
        <v>0.65</v>
      </c>
      <c r="AN97" s="396">
        <f t="shared" si="448"/>
        <v>0.65</v>
      </c>
      <c r="AO97" s="505">
        <f>+AO86/AO$77</f>
        <v>0.65</v>
      </c>
      <c r="AP97" s="395">
        <v>0.625</v>
      </c>
      <c r="AQ97" s="396">
        <f t="shared" si="448"/>
        <v>0.625</v>
      </c>
      <c r="AR97" s="505">
        <f>+AR86/AR$77</f>
        <v>0.62500000000000011</v>
      </c>
      <c r="AS97" s="395">
        <v>0.6</v>
      </c>
      <c r="AT97" s="396">
        <f t="shared" si="448"/>
        <v>0.6</v>
      </c>
      <c r="AU97" s="505">
        <f>+AU86/AU$77</f>
        <v>0.6</v>
      </c>
      <c r="AV97" s="395">
        <v>0.6</v>
      </c>
      <c r="AW97" s="396">
        <f t="shared" si="448"/>
        <v>0.6</v>
      </c>
      <c r="AX97" s="505">
        <f>+AX86/AX$77</f>
        <v>0.6</v>
      </c>
      <c r="AY97" s="396">
        <f t="shared" si="456"/>
        <v>0.6</v>
      </c>
      <c r="AZ97" s="396">
        <f t="shared" si="457"/>
        <v>0.6</v>
      </c>
      <c r="BA97" s="505">
        <f>+BA86/BA$77</f>
        <v>0.59999999999999987</v>
      </c>
      <c r="BB97" s="396">
        <f t="shared" si="458"/>
        <v>0.6</v>
      </c>
      <c r="BC97" s="396">
        <f t="shared" si="457"/>
        <v>0.6</v>
      </c>
      <c r="BD97" s="505">
        <f>+BD86/BD$77</f>
        <v>0.59999999999999987</v>
      </c>
      <c r="BE97" s="396">
        <f t="shared" si="460"/>
        <v>0.6</v>
      </c>
      <c r="BF97" s="396">
        <f t="shared" si="457"/>
        <v>0.6</v>
      </c>
      <c r="BG97" s="505">
        <f>+BG86/BG$77</f>
        <v>0.6</v>
      </c>
    </row>
    <row r="98" spans="1:89">
      <c r="B98" s="350" t="s">
        <v>138</v>
      </c>
      <c r="E98" s="346"/>
      <c r="F98" s="347"/>
      <c r="G98" s="347"/>
      <c r="H98" s="346"/>
      <c r="I98" s="347"/>
      <c r="J98" s="347"/>
      <c r="K98" s="346"/>
      <c r="L98" s="347"/>
      <c r="M98" s="347"/>
      <c r="N98" s="485"/>
      <c r="O98" s="347"/>
      <c r="P98" s="347"/>
      <c r="Q98" s="485"/>
      <c r="R98" s="479"/>
      <c r="S98" s="352"/>
      <c r="T98" s="351"/>
      <c r="U98" s="352">
        <f t="shared" si="462"/>
        <v>5.711318795430945E-3</v>
      </c>
      <c r="V98" s="352">
        <f t="shared" si="462"/>
        <v>3.8232552831301242E-3</v>
      </c>
      <c r="W98" s="351">
        <f t="shared" si="462"/>
        <v>4.5478520775947958E-3</v>
      </c>
      <c r="X98" s="352">
        <f t="shared" si="462"/>
        <v>1.8038168765106968E-4</v>
      </c>
      <c r="Y98" s="352">
        <f t="shared" si="462"/>
        <v>5.7247696297522488E-3</v>
      </c>
      <c r="Z98" s="351">
        <f t="shared" si="462"/>
        <v>3.3221292894551708E-3</v>
      </c>
      <c r="AA98" s="352">
        <f t="shared" ref="AA98" si="464">+AA87/AA$77</f>
        <v>-4.9152396945442043E-3</v>
      </c>
      <c r="AB98" s="352">
        <f t="shared" si="462"/>
        <v>-5.110363460264054E-3</v>
      </c>
      <c r="AC98" s="351">
        <f t="shared" si="462"/>
        <v>-5.0109027747405497E-3</v>
      </c>
      <c r="AD98" s="352">
        <f t="shared" si="462"/>
        <v>0</v>
      </c>
      <c r="AE98" s="352">
        <f t="shared" si="462"/>
        <v>0</v>
      </c>
      <c r="AF98" s="351">
        <f t="shared" si="462"/>
        <v>0</v>
      </c>
      <c r="AG98" s="396">
        <f t="shared" ref="AG98" si="465">+AE98</f>
        <v>0</v>
      </c>
      <c r="AH98" s="396">
        <f t="shared" si="448"/>
        <v>0</v>
      </c>
      <c r="AI98" s="505">
        <f>+AI87/AI$77</f>
        <v>0</v>
      </c>
      <c r="AJ98" s="396">
        <f t="shared" si="449"/>
        <v>0</v>
      </c>
      <c r="AK98" s="396">
        <f t="shared" si="448"/>
        <v>0</v>
      </c>
      <c r="AL98" s="505">
        <f>+AL87/AL$77</f>
        <v>0</v>
      </c>
      <c r="AM98" s="396">
        <f t="shared" si="451"/>
        <v>0</v>
      </c>
      <c r="AN98" s="396">
        <f t="shared" si="448"/>
        <v>0</v>
      </c>
      <c r="AO98" s="505">
        <f>+AO87/AO$77</f>
        <v>0</v>
      </c>
      <c r="AP98" s="396">
        <f t="shared" ref="AP98" si="466">+AN98</f>
        <v>0</v>
      </c>
      <c r="AQ98" s="396">
        <f t="shared" si="448"/>
        <v>0</v>
      </c>
      <c r="AR98" s="505">
        <f>+AR87/AR$77</f>
        <v>0</v>
      </c>
      <c r="AS98" s="396">
        <f t="shared" ref="AS98" si="467">+AQ98</f>
        <v>0</v>
      </c>
      <c r="AT98" s="396">
        <f t="shared" si="448"/>
        <v>0</v>
      </c>
      <c r="AU98" s="505">
        <f>+AU87/AU$77</f>
        <v>0</v>
      </c>
      <c r="AV98" s="396">
        <f t="shared" ref="AV98" si="468">+AT98</f>
        <v>0</v>
      </c>
      <c r="AW98" s="396">
        <f t="shared" si="448"/>
        <v>0</v>
      </c>
      <c r="AX98" s="505">
        <f>+AX87/AX$77</f>
        <v>0</v>
      </c>
      <c r="AY98" s="396">
        <f t="shared" si="456"/>
        <v>0</v>
      </c>
      <c r="AZ98" s="396">
        <f t="shared" si="457"/>
        <v>0</v>
      </c>
      <c r="BA98" s="505">
        <f>+BA87/BA$77</f>
        <v>0</v>
      </c>
      <c r="BB98" s="396">
        <f t="shared" si="458"/>
        <v>0</v>
      </c>
      <c r="BC98" s="396">
        <f t="shared" si="457"/>
        <v>0</v>
      </c>
      <c r="BD98" s="505">
        <f>+BD87/BD$77</f>
        <v>0</v>
      </c>
      <c r="BE98" s="396">
        <f t="shared" si="460"/>
        <v>0</v>
      </c>
      <c r="BF98" s="396">
        <f t="shared" si="457"/>
        <v>0</v>
      </c>
      <c r="BG98" s="505">
        <f>+BG87/BG$77</f>
        <v>0</v>
      </c>
    </row>
    <row r="99" spans="1:89">
      <c r="E99" s="346"/>
      <c r="F99" s="347"/>
      <c r="G99" s="347"/>
      <c r="H99" s="346"/>
      <c r="I99" s="347"/>
      <c r="J99" s="347"/>
      <c r="K99" s="346"/>
      <c r="L99" s="347"/>
      <c r="M99" s="347"/>
      <c r="N99" s="485"/>
      <c r="O99" s="347"/>
      <c r="P99" s="347"/>
      <c r="Q99" s="485"/>
      <c r="R99" s="347"/>
      <c r="S99" s="347"/>
      <c r="T99" s="486"/>
      <c r="U99" s="347"/>
      <c r="V99" s="347"/>
      <c r="W99" s="486"/>
      <c r="X99" s="347"/>
      <c r="Y99" s="347"/>
      <c r="Z99" s="486"/>
      <c r="AA99" s="537">
        <v>48.972999999999999</v>
      </c>
      <c r="AB99" s="537">
        <v>50.512835078936511</v>
      </c>
      <c r="AC99" s="538">
        <v>99.485835078936503</v>
      </c>
      <c r="AD99" s="537">
        <v>54.170507627782541</v>
      </c>
      <c r="AE99" s="537">
        <v>56.364135661730224</v>
      </c>
      <c r="AF99" s="538">
        <v>110.53464328951276</v>
      </c>
      <c r="AG99" s="537">
        <v>56.823163397296057</v>
      </c>
      <c r="AH99" s="537">
        <v>59.124361144701282</v>
      </c>
      <c r="AI99" s="538">
        <v>115.94752454199734</v>
      </c>
      <c r="AJ99" s="479"/>
      <c r="AK99" s="489"/>
      <c r="AL99" s="485"/>
      <c r="AM99" s="479"/>
      <c r="AN99" s="489"/>
      <c r="AO99" s="485"/>
      <c r="AP99" s="479"/>
      <c r="AQ99" s="489"/>
      <c r="AR99" s="485"/>
      <c r="AS99" s="479"/>
      <c r="AT99" s="489"/>
      <c r="AU99" s="485"/>
      <c r="AV99" s="479"/>
      <c r="AW99" s="489"/>
      <c r="AX99" s="485"/>
      <c r="AY99" s="479"/>
      <c r="AZ99" s="489"/>
      <c r="BA99" s="485"/>
      <c r="BB99" s="479"/>
      <c r="BC99" s="489"/>
      <c r="BD99" s="485"/>
      <c r="BE99" s="479"/>
      <c r="BF99" s="489"/>
      <c r="BG99" s="485"/>
    </row>
    <row r="100" spans="1:89">
      <c r="B100" s="364" t="s">
        <v>516</v>
      </c>
      <c r="C100" s="495"/>
      <c r="D100" s="495"/>
      <c r="E100" s="496"/>
      <c r="F100" s="497"/>
      <c r="G100" s="497"/>
      <c r="H100" s="496"/>
      <c r="I100" s="497"/>
      <c r="J100" s="497"/>
      <c r="K100" s="496"/>
      <c r="L100" s="497"/>
      <c r="M100" s="497"/>
      <c r="N100" s="496"/>
      <c r="O100" s="497"/>
      <c r="P100" s="497"/>
      <c r="Q100" s="496"/>
      <c r="R100" s="497"/>
      <c r="S100" s="497"/>
      <c r="T100" s="498"/>
      <c r="U100" s="497"/>
      <c r="V100" s="497"/>
      <c r="W100" s="498"/>
      <c r="X100" s="497"/>
      <c r="Y100" s="499"/>
      <c r="Z100" s="496"/>
      <c r="AA100" s="497"/>
      <c r="AB100" s="499"/>
      <c r="AC100" s="496"/>
      <c r="AD100" s="497"/>
      <c r="AE100" s="499"/>
      <c r="AF100" s="496"/>
      <c r="AG100" s="497"/>
      <c r="AH100" s="499"/>
      <c r="AI100" s="496"/>
      <c r="AJ100" s="497"/>
      <c r="AK100" s="499"/>
      <c r="AL100" s="496"/>
      <c r="AM100" s="497"/>
      <c r="AN100" s="499"/>
      <c r="AO100" s="496"/>
      <c r="AP100" s="497"/>
      <c r="AQ100" s="499"/>
      <c r="AR100" s="496"/>
      <c r="AS100" s="497"/>
      <c r="AT100" s="499"/>
      <c r="AU100" s="496"/>
      <c r="AV100" s="497"/>
      <c r="AW100" s="499"/>
      <c r="AX100" s="496"/>
      <c r="AY100" s="497"/>
      <c r="AZ100" s="499"/>
      <c r="BA100" s="496"/>
      <c r="BB100" s="497"/>
      <c r="BC100" s="499"/>
      <c r="BD100" s="496"/>
      <c r="BE100" s="497"/>
      <c r="BF100" s="499"/>
      <c r="BG100" s="496"/>
    </row>
    <row r="101" spans="1:89">
      <c r="A101" s="51" t="s">
        <v>26</v>
      </c>
      <c r="B101" s="52" t="s">
        <v>463</v>
      </c>
      <c r="E101" s="346">
        <v>-2.2812589999999999</v>
      </c>
      <c r="F101" s="347">
        <v>2.050932</v>
      </c>
      <c r="G101" s="347">
        <f t="shared" ref="G101" si="469">H101-F101</f>
        <v>2.1950680000000005</v>
      </c>
      <c r="H101" s="346">
        <v>4.2460000000000004</v>
      </c>
      <c r="I101" s="348">
        <v>1.9773419999999999</v>
      </c>
      <c r="J101" s="347">
        <f t="shared" ref="J101" si="470">K101-I101</f>
        <v>4.8486579999999995</v>
      </c>
      <c r="K101" s="349">
        <v>6.8259999999999996</v>
      </c>
      <c r="L101" s="348">
        <v>2.69</v>
      </c>
      <c r="M101" s="347">
        <f t="shared" ref="M101" si="471">N101-L101</f>
        <v>6.2249999999999996</v>
      </c>
      <c r="N101" s="349">
        <v>8.9149999999999991</v>
      </c>
      <c r="O101" s="348">
        <v>6.5190000000000001</v>
      </c>
      <c r="P101" s="347">
        <f t="shared" ref="P101" si="472">Q101-O101</f>
        <v>10.363000000000001</v>
      </c>
      <c r="Q101" s="349">
        <v>16.882000000000001</v>
      </c>
      <c r="R101" s="347">
        <f>(R102+R103+R104)</f>
        <v>22.753</v>
      </c>
      <c r="S101" s="347">
        <f>(S102+S103+S104)</f>
        <v>15.216999999999999</v>
      </c>
      <c r="T101" s="349">
        <v>37.97</v>
      </c>
      <c r="U101" s="347">
        <f t="shared" ref="U101:AB101" si="473">+SUM(U102:U104)</f>
        <v>16.330000000000002</v>
      </c>
      <c r="V101" s="347">
        <f t="shared" si="473"/>
        <v>17.144999999999996</v>
      </c>
      <c r="W101" s="346">
        <f t="shared" si="473"/>
        <v>33.463999999999999</v>
      </c>
      <c r="X101" s="347">
        <f t="shared" si="473"/>
        <v>24.641999999999999</v>
      </c>
      <c r="Y101" s="347">
        <f t="shared" si="473"/>
        <v>31.310999999999996</v>
      </c>
      <c r="Z101" s="346">
        <f t="shared" si="473"/>
        <v>55.952999999999996</v>
      </c>
      <c r="AA101" s="347">
        <f t="shared" ref="AA101" si="474">+SUM(AA102:AA104)</f>
        <v>48.972999999999999</v>
      </c>
      <c r="AB101" s="347">
        <f t="shared" si="473"/>
        <v>50.4835616440038</v>
      </c>
      <c r="AC101" s="346">
        <f>+SUM(AA101:AB101)</f>
        <v>99.456561644003799</v>
      </c>
      <c r="AD101" s="347">
        <f t="shared" ref="AD101:AE101" si="475">+SUM(AD102:AD104)</f>
        <v>54.108274977045539</v>
      </c>
      <c r="AE101" s="347">
        <f t="shared" si="475"/>
        <v>57.775337710816444</v>
      </c>
      <c r="AF101" s="346">
        <f t="shared" ref="AF101:AF103" si="476">+SUM(AD101:AE101)</f>
        <v>111.88361268786198</v>
      </c>
      <c r="AG101" s="347">
        <f t="shared" ref="AG101:AH101" si="477">+SUM(AG102:AG104)</f>
        <v>61.887520157025556</v>
      </c>
      <c r="AH101" s="347">
        <f t="shared" si="477"/>
        <v>63.939028341599951</v>
      </c>
      <c r="AI101" s="346">
        <f t="shared" ref="AI101:AI104" si="478">+SUM(AG101:AH101)</f>
        <v>125.8265484986255</v>
      </c>
      <c r="AJ101" s="347">
        <f t="shared" ref="AJ101:AK101" si="479">+SUM(AJ102:AJ104)</f>
        <v>61.108428296174111</v>
      </c>
      <c r="AK101" s="347">
        <f t="shared" si="479"/>
        <v>63.111333286662827</v>
      </c>
      <c r="AL101" s="346">
        <f t="shared" ref="AL101:AL104" si="480">+SUM(AJ101:AK101)</f>
        <v>124.21976158283694</v>
      </c>
      <c r="AM101" s="347">
        <f t="shared" ref="AM101:AN101" si="481">+SUM(AM102:AM104)</f>
        <v>75.752072123179119</v>
      </c>
      <c r="AN101" s="347">
        <f t="shared" si="481"/>
        <v>78.331320815251061</v>
      </c>
      <c r="AO101" s="346">
        <f t="shared" ref="AO101:AO104" si="482">+SUM(AM101:AN101)</f>
        <v>154.08339293843017</v>
      </c>
      <c r="AP101" s="347">
        <f t="shared" ref="AP101:AQ101" si="483">+SUM(AP102:AP104)</f>
        <v>86.936205170588735</v>
      </c>
      <c r="AQ101" s="347">
        <f t="shared" si="483"/>
        <v>93.030779626824568</v>
      </c>
      <c r="AR101" s="346">
        <f t="shared" ref="AR101:AR104" si="484">+SUM(AP101:AQ101)</f>
        <v>179.96698479741332</v>
      </c>
      <c r="AS101" s="347">
        <f t="shared" ref="AS101:AT101" si="485">+SUM(AS102:AS104)</f>
        <v>98.35957673262736</v>
      </c>
      <c r="AT101" s="347">
        <f t="shared" si="485"/>
        <v>105.34100165571721</v>
      </c>
      <c r="AU101" s="346">
        <f t="shared" ref="AU101:AU104" si="486">+SUM(AS101:AT101)</f>
        <v>203.70057838834458</v>
      </c>
      <c r="AV101" s="347">
        <f t="shared" ref="AV101:AW101" si="487">+SUM(AV102:AV104)</f>
        <v>109.74833149049292</v>
      </c>
      <c r="AW101" s="347">
        <f t="shared" si="487"/>
        <v>117.59417159714295</v>
      </c>
      <c r="AX101" s="346">
        <f t="shared" ref="AX101:AX104" si="488">+SUM(AV101:AW101)</f>
        <v>227.34250308763586</v>
      </c>
      <c r="AY101" s="347">
        <f t="shared" ref="AY101:AZ101" si="489">+SUM(AY102:AY104)</f>
        <v>120.41061235911849</v>
      </c>
      <c r="AZ101" s="347">
        <f t="shared" si="489"/>
        <v>129.18851585337919</v>
      </c>
      <c r="BA101" s="346">
        <f t="shared" ref="BA101:BA104" si="490">+SUM(AY101:AZ101)</f>
        <v>249.59912821249767</v>
      </c>
      <c r="BB101" s="347">
        <f t="shared" ref="BB101:BC101" si="491">+SUM(BB102:BB104)</f>
        <v>130.69556479043098</v>
      </c>
      <c r="BC101" s="347">
        <f t="shared" si="491"/>
        <v>140.26694301759517</v>
      </c>
      <c r="BD101" s="346">
        <f t="shared" ref="BD101:BD104" si="492">+SUM(BB101:BC101)</f>
        <v>270.96250780802615</v>
      </c>
      <c r="BE101" s="347">
        <f t="shared" ref="BE101:BF101" si="493">+SUM(BE102:BE104)</f>
        <v>139.81990727266336</v>
      </c>
      <c r="BF101" s="347">
        <f t="shared" si="493"/>
        <v>150.08478381331673</v>
      </c>
      <c r="BG101" s="346">
        <f t="shared" ref="BG101:BG104" si="494">+SUM(BE101:BF101)</f>
        <v>289.90469108598006</v>
      </c>
    </row>
    <row r="102" spans="1:89">
      <c r="A102" s="51" t="s">
        <v>517</v>
      </c>
      <c r="B102" s="350" t="s">
        <v>99</v>
      </c>
      <c r="E102" s="485"/>
      <c r="F102" s="479"/>
      <c r="G102" s="479"/>
      <c r="H102" s="485"/>
      <c r="I102" s="479"/>
      <c r="J102" s="479"/>
      <c r="K102" s="485"/>
      <c r="L102" s="479"/>
      <c r="M102" s="479"/>
      <c r="N102" s="485"/>
      <c r="O102" s="479"/>
      <c r="P102" s="479"/>
      <c r="Q102" s="485"/>
      <c r="R102" s="376">
        <v>14.39</v>
      </c>
      <c r="S102" s="479">
        <f>T102-R102</f>
        <v>23.459726870666984</v>
      </c>
      <c r="T102" s="485">
        <f>+W102/W$101*T$101</f>
        <v>37.849726870666984</v>
      </c>
      <c r="U102" s="376">
        <v>16.213000000000001</v>
      </c>
      <c r="V102" s="479">
        <f>W102-U102</f>
        <v>17.144999999999996</v>
      </c>
      <c r="W102" s="377">
        <v>33.357999999999997</v>
      </c>
      <c r="X102" s="376">
        <v>24.45</v>
      </c>
      <c r="Y102" s="479">
        <f>Z102-X102</f>
        <v>30.907999999999998</v>
      </c>
      <c r="Z102" s="377">
        <v>55.357999999999997</v>
      </c>
      <c r="AA102" s="376">
        <v>40.886000000000003</v>
      </c>
      <c r="AB102" s="479">
        <f>+AB19*AB110</f>
        <v>41.215449721991888</v>
      </c>
      <c r="AC102" s="485">
        <f>+SUM(AA102:AB102)</f>
        <v>82.101449721991884</v>
      </c>
      <c r="AD102" s="479">
        <f>+AD19*AD110</f>
        <v>44.390956515185358</v>
      </c>
      <c r="AE102" s="479">
        <f>+AE19*AE110</f>
        <v>48.058019248956263</v>
      </c>
      <c r="AF102" s="485">
        <f t="shared" si="476"/>
        <v>92.448975764141622</v>
      </c>
      <c r="AG102" s="479">
        <f>+AG19*AG110</f>
        <v>51.684335772072366</v>
      </c>
      <c r="AH102" s="479">
        <f>+AH19*AH110</f>
        <v>53.735843956646761</v>
      </c>
      <c r="AI102" s="485">
        <f t="shared" si="478"/>
        <v>105.42017972871912</v>
      </c>
      <c r="AJ102" s="479">
        <f>+AJ19*AJ110</f>
        <v>50.395084337464532</v>
      </c>
      <c r="AK102" s="479">
        <f>+AK19*AK110</f>
        <v>52.3979893134835</v>
      </c>
      <c r="AL102" s="485">
        <f t="shared" si="480"/>
        <v>102.79307365094803</v>
      </c>
      <c r="AM102" s="479">
        <f>+AM19*AM110</f>
        <v>56.340837329131645</v>
      </c>
      <c r="AN102" s="479">
        <f>+AN19*AN110</f>
        <v>58.583724238637004</v>
      </c>
      <c r="AO102" s="485">
        <f t="shared" si="482"/>
        <v>114.92456156776865</v>
      </c>
      <c r="AP102" s="479">
        <f>+AP19*AP110</f>
        <v>60.658193323967055</v>
      </c>
      <c r="AQ102" s="479">
        <f>+AQ19*AQ110</f>
        <v>65.608588078681734</v>
      </c>
      <c r="AR102" s="485">
        <f t="shared" si="484"/>
        <v>126.26678140264879</v>
      </c>
      <c r="AS102" s="479">
        <f>+AS19*AS110</f>
        <v>65.894958054098709</v>
      </c>
      <c r="AT102" s="479">
        <f>+AT19*AT110</f>
        <v>71.273491176470486</v>
      </c>
      <c r="AU102" s="485">
        <f t="shared" si="486"/>
        <v>137.16844923056919</v>
      </c>
      <c r="AV102" s="479">
        <f>+AV19*AV110</f>
        <v>70.532113184878838</v>
      </c>
      <c r="AW102" s="479">
        <f>+AW19*AW110</f>
        <v>76.282865622276461</v>
      </c>
      <c r="AX102" s="485">
        <f t="shared" si="488"/>
        <v>146.81497880715528</v>
      </c>
      <c r="AY102" s="479">
        <f>+AY19*AY110</f>
        <v>74.399742076254569</v>
      </c>
      <c r="AZ102" s="479">
        <f>+AZ19*AZ110</f>
        <v>80.501917927478203</v>
      </c>
      <c r="BA102" s="485">
        <f t="shared" si="490"/>
        <v>154.90166000373279</v>
      </c>
      <c r="BB102" s="479">
        <f>+BB19*BB110</f>
        <v>77.532070925220026</v>
      </c>
      <c r="BC102" s="479">
        <f>+BC19*BC110</f>
        <v>83.888190648196627</v>
      </c>
      <c r="BD102" s="485">
        <f t="shared" si="492"/>
        <v>161.42026157341667</v>
      </c>
      <c r="BE102" s="479">
        <f>+BE19*BE110</f>
        <v>79.650365244540623</v>
      </c>
      <c r="BF102" s="479">
        <f>+BF19*BF110</f>
        <v>86.176617053843401</v>
      </c>
      <c r="BG102" s="485">
        <f t="shared" si="494"/>
        <v>165.82698229838402</v>
      </c>
    </row>
    <row r="103" spans="1:89">
      <c r="A103" s="51" t="s">
        <v>518</v>
      </c>
      <c r="B103" s="350" t="s">
        <v>117</v>
      </c>
      <c r="E103" s="485"/>
      <c r="F103" s="479"/>
      <c r="G103" s="479"/>
      <c r="H103" s="485"/>
      <c r="I103" s="479"/>
      <c r="J103" s="479"/>
      <c r="K103" s="485"/>
      <c r="L103" s="479"/>
      <c r="M103" s="479"/>
      <c r="N103" s="485"/>
      <c r="O103" s="479"/>
      <c r="P103" s="479"/>
      <c r="Q103" s="485"/>
      <c r="R103" s="376">
        <v>1.46</v>
      </c>
      <c r="S103" s="479">
        <f>T103-R103</f>
        <v>-1.3397268706669854</v>
      </c>
      <c r="T103" s="485">
        <f>+W103/W$101*T$101</f>
        <v>0.12027312933301458</v>
      </c>
      <c r="U103" s="376">
        <v>0.11700000000000001</v>
      </c>
      <c r="V103" s="479">
        <v>0</v>
      </c>
      <c r="W103" s="377">
        <v>0.106</v>
      </c>
      <c r="X103" s="376">
        <v>8.7999999999999995E-2</v>
      </c>
      <c r="Y103" s="479">
        <f>Z103-X103</f>
        <v>0</v>
      </c>
      <c r="Z103" s="377">
        <v>8.7999999999999995E-2</v>
      </c>
      <c r="AA103" s="376">
        <v>0.46400000000000002</v>
      </c>
      <c r="AB103" s="479">
        <f>+AB29*AB111</f>
        <v>0.46469704556835251</v>
      </c>
      <c r="AC103" s="485">
        <f>+SUM(AA103:AB103)</f>
        <v>0.92869704556835253</v>
      </c>
      <c r="AD103" s="479">
        <f>+AD29*AD111</f>
        <v>0.48793189784677016</v>
      </c>
      <c r="AE103" s="479">
        <f>+AE29*AE111</f>
        <v>0.48793189784677016</v>
      </c>
      <c r="AF103" s="485">
        <f t="shared" si="476"/>
        <v>0.97586379569354031</v>
      </c>
      <c r="AG103" s="479">
        <f>+AG29*AG111</f>
        <v>0.51232849273910863</v>
      </c>
      <c r="AH103" s="479">
        <f>+AH29*AH111</f>
        <v>0.51232849273910863</v>
      </c>
      <c r="AI103" s="485">
        <f t="shared" si="478"/>
        <v>1.0246569854782173</v>
      </c>
      <c r="AJ103" s="479">
        <f>+AJ29*AJ111</f>
        <v>0.53794527188478813</v>
      </c>
      <c r="AK103" s="479">
        <f>+AK29*AK111</f>
        <v>0.53794528635453209</v>
      </c>
      <c r="AL103" s="485">
        <f t="shared" si="480"/>
        <v>1.0758905582393203</v>
      </c>
      <c r="AM103" s="479">
        <f>+AM29*AM111</f>
        <v>8.7270661728814485</v>
      </c>
      <c r="AN103" s="479">
        <f>+AN29*AN111</f>
        <v>9.0634279554480379</v>
      </c>
      <c r="AO103" s="485">
        <f t="shared" si="482"/>
        <v>17.790494128329485</v>
      </c>
      <c r="AP103" s="479">
        <f>+AP29*AP111</f>
        <v>15.059634794397352</v>
      </c>
      <c r="AQ103" s="479">
        <f>+AQ29*AQ111</f>
        <v>16.2038144959185</v>
      </c>
      <c r="AR103" s="485">
        <f t="shared" si="484"/>
        <v>31.263449290315855</v>
      </c>
      <c r="AS103" s="479">
        <f>+AS29*AS111</f>
        <v>20.685322773693105</v>
      </c>
      <c r="AT103" s="479">
        <f>+AT29*AT111</f>
        <v>22.288214574411178</v>
      </c>
      <c r="AU103" s="485">
        <f t="shared" si="486"/>
        <v>42.973537348104287</v>
      </c>
      <c r="AV103" s="479">
        <f>+AV29*AV111</f>
        <v>26.847957605536749</v>
      </c>
      <c r="AW103" s="479">
        <f>+AW29*AW111</f>
        <v>28.94304527478916</v>
      </c>
      <c r="AX103" s="485">
        <f t="shared" si="488"/>
        <v>55.791002880325905</v>
      </c>
      <c r="AY103" s="479">
        <f>+AY29*AY111</f>
        <v>33.024196547782743</v>
      </c>
      <c r="AZ103" s="479">
        <f>+AZ29*AZ111</f>
        <v>35.699924190819793</v>
      </c>
      <c r="BA103" s="485">
        <f t="shared" si="490"/>
        <v>68.724120738602537</v>
      </c>
      <c r="BB103" s="479">
        <f>+BB29*BB111</f>
        <v>39.527486443375714</v>
      </c>
      <c r="BC103" s="479">
        <f>+BC29*BC111</f>
        <v>42.742744947563295</v>
      </c>
      <c r="BD103" s="485">
        <f t="shared" si="492"/>
        <v>82.270231390939017</v>
      </c>
      <c r="BE103" s="479">
        <f>+BE29*BE111</f>
        <v>45.8517342351957</v>
      </c>
      <c r="BF103" s="479">
        <f>+BF29*BF111</f>
        <v>49.590358966546304</v>
      </c>
      <c r="BG103" s="485">
        <f t="shared" si="494"/>
        <v>95.442093201742011</v>
      </c>
    </row>
    <row r="104" spans="1:89">
      <c r="A104" s="51" t="s">
        <v>519</v>
      </c>
      <c r="B104" s="350" t="s">
        <v>138</v>
      </c>
      <c r="E104" s="485"/>
      <c r="F104" s="479"/>
      <c r="G104" s="479"/>
      <c r="H104" s="485"/>
      <c r="I104" s="479"/>
      <c r="J104" s="479"/>
      <c r="K104" s="485"/>
      <c r="L104" s="479"/>
      <c r="M104" s="479"/>
      <c r="N104" s="485"/>
      <c r="O104" s="479"/>
      <c r="P104" s="479"/>
      <c r="Q104" s="485"/>
      <c r="R104" s="376">
        <v>6.9029999999999996</v>
      </c>
      <c r="S104" s="479">
        <f>T104-R104</f>
        <v>-6.9029999999999996</v>
      </c>
      <c r="T104" s="485">
        <f>+W104/W$101*T$101</f>
        <v>0</v>
      </c>
      <c r="U104" s="376">
        <v>0</v>
      </c>
      <c r="V104" s="479">
        <f>W104-U104</f>
        <v>0</v>
      </c>
      <c r="W104" s="377">
        <v>0</v>
      </c>
      <c r="X104" s="376">
        <v>0.104</v>
      </c>
      <c r="Y104" s="479">
        <f>Z104-X104</f>
        <v>0.40300000000000002</v>
      </c>
      <c r="Z104" s="377">
        <v>0.50700000000000001</v>
      </c>
      <c r="AA104" s="376">
        <v>7.6230000000000002</v>
      </c>
      <c r="AB104" s="479">
        <f>+AB35*AB112</f>
        <v>8.8034148764435614</v>
      </c>
      <c r="AC104" s="485">
        <f t="shared" ref="AC104" si="495">+SUM(AA104:AB104)</f>
        <v>16.426414876443562</v>
      </c>
      <c r="AD104" s="479">
        <f>+AD35*AD112</f>
        <v>9.2293865640134118</v>
      </c>
      <c r="AE104" s="479">
        <f>+AE35*AE112</f>
        <v>9.2293865640134118</v>
      </c>
      <c r="AF104" s="485">
        <f t="shared" ref="AF104" si="496">+SUM(AD104:AE104)</f>
        <v>18.458773128026824</v>
      </c>
      <c r="AG104" s="479">
        <f>+AG35*AG112</f>
        <v>9.6908558922140831</v>
      </c>
      <c r="AH104" s="479">
        <f>+AH35*AH112</f>
        <v>9.6908558922140831</v>
      </c>
      <c r="AI104" s="485">
        <f t="shared" si="478"/>
        <v>19.381711784428166</v>
      </c>
      <c r="AJ104" s="479">
        <f>+AJ35*AJ112</f>
        <v>10.175398686824789</v>
      </c>
      <c r="AK104" s="479">
        <f>+AK35*AK112</f>
        <v>10.175398686824789</v>
      </c>
      <c r="AL104" s="485">
        <f t="shared" si="480"/>
        <v>20.350797373649577</v>
      </c>
      <c r="AM104" s="479">
        <f>+AM35*AM112</f>
        <v>10.684168621166027</v>
      </c>
      <c r="AN104" s="479">
        <f>+AN35*AN112</f>
        <v>10.684168621166027</v>
      </c>
      <c r="AO104" s="485">
        <f t="shared" si="482"/>
        <v>21.368337242332053</v>
      </c>
      <c r="AP104" s="479">
        <f>+AP35*AP112</f>
        <v>11.21837705222433</v>
      </c>
      <c r="AQ104" s="479">
        <f>+AQ35*AQ112</f>
        <v>11.21837705222433</v>
      </c>
      <c r="AR104" s="485">
        <f t="shared" si="484"/>
        <v>22.43675410444866</v>
      </c>
      <c r="AS104" s="479">
        <f>+AS35*AS112</f>
        <v>11.779295904835546</v>
      </c>
      <c r="AT104" s="479">
        <f>+AT35*AT112</f>
        <v>11.779295904835546</v>
      </c>
      <c r="AU104" s="485">
        <f t="shared" si="486"/>
        <v>23.558591809671093</v>
      </c>
      <c r="AV104" s="479">
        <f>+AV35*AV112</f>
        <v>12.368260700077327</v>
      </c>
      <c r="AW104" s="479">
        <f>+AW35*AW112</f>
        <v>12.368260700077327</v>
      </c>
      <c r="AX104" s="485">
        <f t="shared" si="488"/>
        <v>24.736521400154654</v>
      </c>
      <c r="AY104" s="479">
        <f>+AY35*AY112</f>
        <v>12.98667373508119</v>
      </c>
      <c r="AZ104" s="479">
        <f>+AZ35*AZ112</f>
        <v>12.98667373508119</v>
      </c>
      <c r="BA104" s="485">
        <f t="shared" si="490"/>
        <v>25.973347470162381</v>
      </c>
      <c r="BB104" s="479">
        <f>+BB35*BB112</f>
        <v>13.636007421835252</v>
      </c>
      <c r="BC104" s="479">
        <f>+BC35*BC112</f>
        <v>13.636007421835252</v>
      </c>
      <c r="BD104" s="485">
        <f t="shared" si="492"/>
        <v>27.272014843670505</v>
      </c>
      <c r="BE104" s="479">
        <f>+BE35*BE112</f>
        <v>14.317807792927015</v>
      </c>
      <c r="BF104" s="479">
        <f>+BF35*BF112</f>
        <v>14.317807792927015</v>
      </c>
      <c r="BG104" s="485">
        <f t="shared" si="494"/>
        <v>28.63561558585403</v>
      </c>
    </row>
    <row r="105" spans="1:89">
      <c r="B105" s="52"/>
      <c r="E105" s="346"/>
      <c r="F105" s="347"/>
      <c r="G105" s="347"/>
      <c r="H105" s="346"/>
      <c r="I105" s="347"/>
      <c r="J105" s="347"/>
      <c r="K105" s="346"/>
      <c r="L105" s="347"/>
      <c r="M105" s="347"/>
      <c r="N105" s="346"/>
      <c r="O105" s="347"/>
      <c r="P105" s="347"/>
      <c r="Q105" s="346"/>
      <c r="R105" s="347"/>
      <c r="S105" s="347"/>
      <c r="T105" s="390">
        <f>+T101-SUM(T102:T104)</f>
        <v>0</v>
      </c>
      <c r="U105" s="391">
        <f t="shared" ref="U105" si="497">+U101-SUM(U102:U104)</f>
        <v>0</v>
      </c>
      <c r="V105" s="391">
        <f t="shared" ref="V105:BG105" si="498">+V101-SUM(V102:V104)</f>
        <v>0</v>
      </c>
      <c r="W105" s="390">
        <f t="shared" si="498"/>
        <v>0</v>
      </c>
      <c r="X105" s="391">
        <f t="shared" si="498"/>
        <v>0</v>
      </c>
      <c r="Y105" s="391">
        <f t="shared" si="498"/>
        <v>0</v>
      </c>
      <c r="Z105" s="390">
        <f t="shared" si="498"/>
        <v>0</v>
      </c>
      <c r="AA105" s="391">
        <f t="shared" ref="AA105" si="499">+AA101-SUM(AA102:AA104)</f>
        <v>0</v>
      </c>
      <c r="AB105" s="391">
        <f t="shared" si="498"/>
        <v>0</v>
      </c>
      <c r="AC105" s="390">
        <f t="shared" si="498"/>
        <v>0</v>
      </c>
      <c r="AD105" s="391">
        <f t="shared" si="498"/>
        <v>0</v>
      </c>
      <c r="AE105" s="391">
        <f t="shared" si="498"/>
        <v>0</v>
      </c>
      <c r="AF105" s="390">
        <f t="shared" si="498"/>
        <v>0</v>
      </c>
      <c r="AG105" s="391">
        <f t="shared" si="498"/>
        <v>0</v>
      </c>
      <c r="AH105" s="391">
        <f t="shared" si="498"/>
        <v>0</v>
      </c>
      <c r="AI105" s="390">
        <f t="shared" si="498"/>
        <v>0</v>
      </c>
      <c r="AJ105" s="391">
        <f t="shared" si="498"/>
        <v>0</v>
      </c>
      <c r="AK105" s="391">
        <f t="shared" si="498"/>
        <v>0</v>
      </c>
      <c r="AL105" s="390">
        <f t="shared" si="498"/>
        <v>0</v>
      </c>
      <c r="AM105" s="391">
        <f t="shared" si="498"/>
        <v>0</v>
      </c>
      <c r="AN105" s="391">
        <f t="shared" si="498"/>
        <v>0</v>
      </c>
      <c r="AO105" s="390">
        <f t="shared" si="498"/>
        <v>0</v>
      </c>
      <c r="AP105" s="391">
        <f t="shared" si="498"/>
        <v>0</v>
      </c>
      <c r="AQ105" s="391">
        <f t="shared" si="498"/>
        <v>0</v>
      </c>
      <c r="AR105" s="390">
        <f t="shared" si="498"/>
        <v>0</v>
      </c>
      <c r="AS105" s="391">
        <f t="shared" si="498"/>
        <v>0</v>
      </c>
      <c r="AT105" s="391">
        <f t="shared" si="498"/>
        <v>0</v>
      </c>
      <c r="AU105" s="390">
        <f t="shared" si="498"/>
        <v>0</v>
      </c>
      <c r="AV105" s="391">
        <f t="shared" si="498"/>
        <v>0</v>
      </c>
      <c r="AW105" s="391">
        <f t="shared" si="498"/>
        <v>0</v>
      </c>
      <c r="AX105" s="390">
        <f t="shared" si="498"/>
        <v>0</v>
      </c>
      <c r="AY105" s="391">
        <f t="shared" si="498"/>
        <v>0</v>
      </c>
      <c r="AZ105" s="391">
        <f t="shared" si="498"/>
        <v>0</v>
      </c>
      <c r="BA105" s="390">
        <f t="shared" si="498"/>
        <v>0</v>
      </c>
      <c r="BB105" s="391">
        <f t="shared" si="498"/>
        <v>0</v>
      </c>
      <c r="BC105" s="391">
        <f t="shared" si="498"/>
        <v>0</v>
      </c>
      <c r="BD105" s="390">
        <f t="shared" si="498"/>
        <v>0</v>
      </c>
      <c r="BE105" s="391">
        <f t="shared" si="498"/>
        <v>0</v>
      </c>
      <c r="BF105" s="391">
        <f t="shared" si="498"/>
        <v>0</v>
      </c>
      <c r="BG105" s="390">
        <f t="shared" si="498"/>
        <v>0</v>
      </c>
    </row>
    <row r="106" spans="1:89">
      <c r="B106" s="52" t="s">
        <v>499</v>
      </c>
      <c r="E106" s="485"/>
      <c r="F106" s="479"/>
      <c r="G106" s="479"/>
      <c r="H106" s="393"/>
      <c r="I106" s="479"/>
      <c r="J106" s="479"/>
      <c r="K106" s="351"/>
      <c r="L106" s="479"/>
      <c r="M106" s="479"/>
      <c r="N106" s="351"/>
      <c r="O106" s="479"/>
      <c r="P106" s="479"/>
      <c r="Q106" s="351"/>
      <c r="R106" s="352"/>
      <c r="S106" s="352"/>
      <c r="T106" s="351"/>
      <c r="U106" s="352">
        <f t="shared" ref="U106:BG106" si="500">IFERROR(U101/R101-1,"NA")</f>
        <v>-0.28229244495231387</v>
      </c>
      <c r="V106" s="352">
        <f t="shared" si="500"/>
        <v>0.1267004008674506</v>
      </c>
      <c r="W106" s="351">
        <f t="shared" si="500"/>
        <v>-0.11867263629180935</v>
      </c>
      <c r="X106" s="352">
        <f t="shared" si="500"/>
        <v>0.50900183710961411</v>
      </c>
      <c r="Y106" s="352">
        <f t="shared" si="500"/>
        <v>0.82624671916010528</v>
      </c>
      <c r="Z106" s="351">
        <f t="shared" si="500"/>
        <v>0.67203562036815678</v>
      </c>
      <c r="AA106" s="352">
        <f t="shared" si="500"/>
        <v>0.98737927116305491</v>
      </c>
      <c r="AB106" s="352">
        <f t="shared" si="500"/>
        <v>0.61232671086850643</v>
      </c>
      <c r="AC106" s="490">
        <f t="shared" si="500"/>
        <v>0.77750186127649634</v>
      </c>
      <c r="AD106" s="352">
        <f t="shared" si="500"/>
        <v>0.10485930976345204</v>
      </c>
      <c r="AE106" s="352">
        <f t="shared" si="500"/>
        <v>0.14443862178806333</v>
      </c>
      <c r="AF106" s="490">
        <f t="shared" si="500"/>
        <v>0.1249495341326976</v>
      </c>
      <c r="AG106" s="352">
        <f t="shared" si="500"/>
        <v>0.14377182017501422</v>
      </c>
      <c r="AH106" s="352">
        <f t="shared" si="500"/>
        <v>0.10668376637856625</v>
      </c>
      <c r="AI106" s="490">
        <f t="shared" si="500"/>
        <v>0.12461999997856843</v>
      </c>
      <c r="AJ106" s="352">
        <f t="shared" si="500"/>
        <v>-1.2588836309399332E-2</v>
      </c>
      <c r="AK106" s="352">
        <f t="shared" si="500"/>
        <v>-1.294506776854798E-2</v>
      </c>
      <c r="AL106" s="490">
        <f t="shared" si="500"/>
        <v>-1.2769856083321818E-2</v>
      </c>
      <c r="AM106" s="352">
        <f t="shared" si="500"/>
        <v>0.23963378269249014</v>
      </c>
      <c r="AN106" s="352">
        <f t="shared" si="500"/>
        <v>0.24116092524073873</v>
      </c>
      <c r="AO106" s="490">
        <f t="shared" si="500"/>
        <v>0.24040966570104416</v>
      </c>
      <c r="AP106" s="352">
        <f t="shared" si="500"/>
        <v>0.14764128206583305</v>
      </c>
      <c r="AQ106" s="352">
        <f t="shared" si="500"/>
        <v>0.18765748692330919</v>
      </c>
      <c r="AR106" s="490">
        <f t="shared" si="500"/>
        <v>0.16798430619532057</v>
      </c>
      <c r="AS106" s="352">
        <f t="shared" si="500"/>
        <v>0.13139947320708734</v>
      </c>
      <c r="AT106" s="352">
        <f t="shared" si="500"/>
        <v>0.13232418429978532</v>
      </c>
      <c r="AU106" s="490">
        <f t="shared" si="500"/>
        <v>0.13187748640478625</v>
      </c>
      <c r="AV106" s="352">
        <f t="shared" si="500"/>
        <v>0.11578694354108321</v>
      </c>
      <c r="AW106" s="352">
        <f t="shared" si="500"/>
        <v>0.11631909464343626</v>
      </c>
      <c r="AX106" s="490">
        <f t="shared" si="500"/>
        <v>0.11606213829309397</v>
      </c>
      <c r="AY106" s="352">
        <f t="shared" si="500"/>
        <v>9.7152099934650904E-2</v>
      </c>
      <c r="AZ106" s="352">
        <f t="shared" si="500"/>
        <v>9.8596249276336811E-2</v>
      </c>
      <c r="BA106" s="490">
        <f t="shared" si="500"/>
        <v>9.7899094197455572E-2</v>
      </c>
      <c r="BB106" s="352">
        <f t="shared" si="500"/>
        <v>8.5415664199415708E-2</v>
      </c>
      <c r="BC106" s="352">
        <f t="shared" si="500"/>
        <v>8.5753962657093341E-2</v>
      </c>
      <c r="BD106" s="490">
        <f t="shared" si="500"/>
        <v>8.5590762069251536E-2</v>
      </c>
      <c r="BE106" s="352">
        <f t="shared" si="500"/>
        <v>6.9813711711358861E-2</v>
      </c>
      <c r="BF106" s="352">
        <f t="shared" si="500"/>
        <v>6.9993974235896816E-2</v>
      </c>
      <c r="BG106" s="490">
        <f t="shared" si="500"/>
        <v>6.9907026736607536E-2</v>
      </c>
    </row>
    <row r="107" spans="1:89">
      <c r="B107" s="52"/>
      <c r="E107" s="485"/>
      <c r="F107" s="479"/>
      <c r="G107" s="479"/>
      <c r="H107" s="393"/>
      <c r="I107" s="479"/>
      <c r="J107" s="479"/>
      <c r="K107" s="351"/>
      <c r="L107" s="479"/>
      <c r="M107" s="479"/>
      <c r="N107" s="351"/>
      <c r="O107" s="479"/>
      <c r="P107" s="479"/>
      <c r="Q107" s="351"/>
      <c r="R107" s="352"/>
      <c r="S107" s="352"/>
      <c r="T107" s="351"/>
      <c r="U107" s="352"/>
      <c r="V107" s="352"/>
      <c r="W107" s="351"/>
      <c r="X107" s="352"/>
      <c r="Y107" s="352"/>
      <c r="Z107" s="351"/>
      <c r="AA107" s="352"/>
      <c r="AB107" s="352"/>
      <c r="AC107" s="490"/>
      <c r="AD107" s="352"/>
      <c r="AE107" s="352"/>
      <c r="AF107" s="490"/>
      <c r="AG107" s="352"/>
      <c r="AH107" s="352"/>
      <c r="AI107" s="490"/>
      <c r="AJ107" s="352"/>
      <c r="AK107" s="352"/>
      <c r="AL107" s="490"/>
      <c r="AM107" s="352"/>
      <c r="AN107" s="352"/>
      <c r="AO107" s="490"/>
      <c r="AP107" s="352"/>
      <c r="AQ107" s="352"/>
      <c r="AR107" s="490"/>
      <c r="AS107" s="352"/>
      <c r="AT107" s="352"/>
      <c r="AU107" s="490"/>
      <c r="AV107" s="352"/>
      <c r="AW107" s="352"/>
      <c r="AX107" s="490"/>
      <c r="AY107" s="352"/>
      <c r="AZ107" s="352"/>
      <c r="BA107" s="490"/>
      <c r="BB107" s="352"/>
      <c r="BC107" s="352"/>
      <c r="BD107" s="490"/>
      <c r="BE107" s="352"/>
      <c r="BF107" s="352"/>
      <c r="BG107" s="490"/>
      <c r="CA107" s="52"/>
      <c r="CB107" s="52"/>
      <c r="CC107" s="52"/>
      <c r="CD107" s="52"/>
      <c r="CE107" s="52"/>
      <c r="CF107" s="52"/>
      <c r="CG107" s="52"/>
      <c r="CH107" s="52"/>
      <c r="CI107" s="52"/>
      <c r="CJ107" s="52"/>
      <c r="CK107" s="52"/>
    </row>
    <row r="108" spans="1:89">
      <c r="B108" s="52" t="s">
        <v>488</v>
      </c>
      <c r="E108" s="485"/>
      <c r="F108" s="479"/>
      <c r="G108" s="479"/>
      <c r="H108" s="393"/>
      <c r="I108" s="479"/>
      <c r="J108" s="479"/>
      <c r="K108" s="351"/>
      <c r="L108" s="479"/>
      <c r="M108" s="479"/>
      <c r="N108" s="351"/>
      <c r="O108" s="479"/>
      <c r="P108" s="479"/>
      <c r="Q108" s="351"/>
      <c r="R108" s="352"/>
      <c r="S108" s="352"/>
      <c r="T108" s="351"/>
      <c r="U108" s="352"/>
      <c r="V108" s="352"/>
      <c r="W108" s="351"/>
      <c r="X108" s="352"/>
      <c r="Y108" s="352"/>
      <c r="Z108" s="351"/>
      <c r="AA108" s="352"/>
      <c r="AB108" s="352"/>
      <c r="AC108" s="490"/>
      <c r="AD108" s="352"/>
      <c r="AE108" s="352"/>
      <c r="AF108" s="490"/>
      <c r="AG108" s="352"/>
      <c r="AH108" s="352"/>
      <c r="AI108" s="490"/>
      <c r="AJ108" s="352"/>
      <c r="AK108" s="352"/>
      <c r="AL108" s="490"/>
      <c r="AM108" s="352"/>
      <c r="AN108" s="352"/>
      <c r="AO108" s="490"/>
      <c r="AP108" s="352"/>
      <c r="AQ108" s="352"/>
      <c r="AR108" s="490"/>
      <c r="AS108" s="352"/>
      <c r="AT108" s="352"/>
      <c r="AU108" s="490"/>
      <c r="AV108" s="352"/>
      <c r="AW108" s="352"/>
      <c r="AX108" s="490"/>
      <c r="AY108" s="352"/>
      <c r="AZ108" s="352"/>
      <c r="BA108" s="490"/>
      <c r="BB108" s="352"/>
      <c r="BC108" s="352"/>
      <c r="BD108" s="490"/>
      <c r="BE108" s="352"/>
      <c r="BF108" s="352"/>
      <c r="BG108" s="490"/>
      <c r="BZ108" s="52"/>
    </row>
    <row r="109" spans="1:89">
      <c r="B109" s="52" t="s">
        <v>463</v>
      </c>
      <c r="E109" s="485"/>
      <c r="F109" s="479"/>
      <c r="G109" s="479"/>
      <c r="H109" s="393"/>
      <c r="I109" s="479"/>
      <c r="J109" s="479"/>
      <c r="K109" s="351"/>
      <c r="L109" s="479"/>
      <c r="M109" s="479"/>
      <c r="N109" s="351"/>
      <c r="O109" s="479"/>
      <c r="P109" s="479"/>
      <c r="Q109" s="351"/>
      <c r="R109" s="352"/>
      <c r="S109" s="352"/>
      <c r="T109" s="405">
        <f t="shared" ref="T109:AX109" si="501">IFERROR(T101/T17,"NA")</f>
        <v>0.23717019788127122</v>
      </c>
      <c r="U109" s="401">
        <f t="shared" si="501"/>
        <v>0.10975716311675393</v>
      </c>
      <c r="V109" s="401">
        <f t="shared" si="501"/>
        <v>9.3080702516354932E-2</v>
      </c>
      <c r="W109" s="400">
        <f t="shared" si="501"/>
        <v>0.10049913207479173</v>
      </c>
      <c r="X109" s="401">
        <f t="shared" si="501"/>
        <v>0.10284168923797321</v>
      </c>
      <c r="Y109" s="401">
        <f t="shared" si="501"/>
        <v>0.11306059074167689</v>
      </c>
      <c r="Z109" s="400">
        <f t="shared" si="501"/>
        <v>0.10832037882029072</v>
      </c>
      <c r="AA109" s="401">
        <f t="shared" ref="AA109" si="502">IFERROR(AA101/AA17,"NA")</f>
        <v>0.12545631072935426</v>
      </c>
      <c r="AB109" s="401">
        <f t="shared" si="501"/>
        <v>0.12192862386877658</v>
      </c>
      <c r="AC109" s="539">
        <f t="shared" si="501"/>
        <v>0.12364053677111612</v>
      </c>
      <c r="AD109" s="401">
        <f t="shared" si="501"/>
        <v>0.12209402652662696</v>
      </c>
      <c r="AE109" s="401">
        <f t="shared" si="501"/>
        <v>0.12440802089859752</v>
      </c>
      <c r="AF109" s="539">
        <f t="shared" si="501"/>
        <v>0.12327809231694896</v>
      </c>
      <c r="AG109" s="401">
        <f t="shared" si="501"/>
        <v>0.12270582747051775</v>
      </c>
      <c r="AH109" s="401">
        <f t="shared" si="501"/>
        <v>0.12292713064588026</v>
      </c>
      <c r="AI109" s="400">
        <f t="shared" si="501"/>
        <v>0.12281818348336257</v>
      </c>
      <c r="AJ109" s="401">
        <f t="shared" si="501"/>
        <v>0.10715862949140974</v>
      </c>
      <c r="AK109" s="401">
        <f t="shared" si="501"/>
        <v>0.10724654621567301</v>
      </c>
      <c r="AL109" s="400">
        <f t="shared" si="501"/>
        <v>0.10720327861252538</v>
      </c>
      <c r="AM109" s="401">
        <f t="shared" si="501"/>
        <v>0.10282363193019529</v>
      </c>
      <c r="AN109" s="401">
        <f t="shared" si="501"/>
        <v>0.10287221259507671</v>
      </c>
      <c r="AO109" s="400">
        <f t="shared" si="501"/>
        <v>0.1028483231306475</v>
      </c>
      <c r="AP109" s="401">
        <f t="shared" si="501"/>
        <v>0.10098346348034502</v>
      </c>
      <c r="AQ109" s="401">
        <f t="shared" si="501"/>
        <v>0.1010507984717426</v>
      </c>
      <c r="AR109" s="400">
        <f t="shared" si="501"/>
        <v>0.10101825991625589</v>
      </c>
      <c r="AS109" s="401">
        <f t="shared" si="501"/>
        <v>9.9329001903919453E-2</v>
      </c>
      <c r="AT109" s="401">
        <f t="shared" si="501"/>
        <v>9.9373193243023059E-2</v>
      </c>
      <c r="AU109" s="400">
        <f t="shared" si="501"/>
        <v>9.9351849949472604E-2</v>
      </c>
      <c r="AV109" s="401">
        <f t="shared" si="501"/>
        <v>9.7767406122420547E-2</v>
      </c>
      <c r="AW109" s="401">
        <f t="shared" si="501"/>
        <v>9.7793188404536699E-2</v>
      </c>
      <c r="AX109" s="400">
        <f t="shared" si="501"/>
        <v>9.7780740453427425E-2</v>
      </c>
      <c r="AY109" s="401">
        <f>+AW109</f>
        <v>9.7793188404536699E-2</v>
      </c>
      <c r="AZ109" s="401">
        <f t="shared" ref="AZ109:BG109" si="503">+AX109</f>
        <v>9.7780740453427425E-2</v>
      </c>
      <c r="BA109" s="400">
        <f>IFERROR(BA101/BA17,"NA")</f>
        <v>9.6289660292312479E-2</v>
      </c>
      <c r="BB109" s="401">
        <f t="shared" si="503"/>
        <v>9.7780740453427425E-2</v>
      </c>
      <c r="BC109" s="401">
        <f t="shared" si="503"/>
        <v>9.6289660292312479E-2</v>
      </c>
      <c r="BD109" s="400">
        <f>IFERROR(BD101/BD17,"NA")</f>
        <v>9.4878480805964074E-2</v>
      </c>
      <c r="BE109" s="401">
        <f t="shared" si="503"/>
        <v>9.6289660292312479E-2</v>
      </c>
      <c r="BF109" s="401">
        <f t="shared" si="503"/>
        <v>9.4878480805964074E-2</v>
      </c>
      <c r="BG109" s="400">
        <f t="shared" si="503"/>
        <v>9.6289660292312479E-2</v>
      </c>
    </row>
    <row r="110" spans="1:89">
      <c r="B110" s="350" t="s">
        <v>99</v>
      </c>
      <c r="E110" s="485"/>
      <c r="F110" s="479"/>
      <c r="G110" s="479"/>
      <c r="H110" s="393"/>
      <c r="I110" s="479"/>
      <c r="J110" s="479"/>
      <c r="K110" s="351"/>
      <c r="L110" s="479"/>
      <c r="M110" s="479"/>
      <c r="N110" s="351"/>
      <c r="O110" s="479"/>
      <c r="P110" s="479"/>
      <c r="Q110" s="351"/>
      <c r="R110" s="352"/>
      <c r="S110" s="352"/>
      <c r="T110" s="351">
        <f t="shared" ref="T110:Z110" si="504">IFERROR(T102/T19,"NA")</f>
        <v>0.24205390371919616</v>
      </c>
      <c r="U110" s="352">
        <f t="shared" si="504"/>
        <v>0.11011348895333438</v>
      </c>
      <c r="V110" s="352">
        <f t="shared" si="504"/>
        <v>9.4220898409592996E-2</v>
      </c>
      <c r="W110" s="351">
        <f t="shared" si="504"/>
        <v>0.10132895915918652</v>
      </c>
      <c r="X110" s="352">
        <f t="shared" si="504"/>
        <v>0.10349425384664225</v>
      </c>
      <c r="Y110" s="352">
        <f t="shared" si="504"/>
        <v>0.11352258661661702</v>
      </c>
      <c r="Z110" s="351">
        <f t="shared" si="504"/>
        <v>0.10886357736751437</v>
      </c>
      <c r="AA110" s="352">
        <f t="shared" ref="AA110" si="505">IFERROR(AA102/AA19,"NA")</f>
        <v>0.13368646492389688</v>
      </c>
      <c r="AB110" s="395">
        <v>0.13</v>
      </c>
      <c r="AC110" s="505">
        <f>+AC102/AC19</f>
        <v>0.13181006867023012</v>
      </c>
      <c r="AD110" s="395">
        <v>0.13</v>
      </c>
      <c r="AE110" s="395">
        <v>0.13250000000000001</v>
      </c>
      <c r="AF110" s="505">
        <f>+AF102/AF19</f>
        <v>0.13128769172892268</v>
      </c>
      <c r="AG110" s="395">
        <v>0.13</v>
      </c>
      <c r="AH110" s="396">
        <f t="shared" ref="AH110:AH112" si="506">+AG110</f>
        <v>0.13</v>
      </c>
      <c r="AI110" s="505">
        <f>+AI102/AI19</f>
        <v>0.12999999999999998</v>
      </c>
      <c r="AJ110" s="395">
        <v>0.11</v>
      </c>
      <c r="AK110" s="396">
        <f t="shared" ref="AK110:AK112" si="507">+AJ110</f>
        <v>0.11</v>
      </c>
      <c r="AL110" s="505">
        <f>+AL102/AL19</f>
        <v>0.11</v>
      </c>
      <c r="AM110" s="396">
        <f>+AL110-0.5%</f>
        <v>0.105</v>
      </c>
      <c r="AN110" s="396">
        <f t="shared" ref="AN110:AN112" si="508">+AM110</f>
        <v>0.105</v>
      </c>
      <c r="AO110" s="505">
        <f>+AO102/AO19</f>
        <v>0.10500000000000001</v>
      </c>
      <c r="AP110" s="396">
        <f>+AN110+AP113</f>
        <v>0.10249999999999999</v>
      </c>
      <c r="AQ110" s="396">
        <f t="shared" ref="AQ110:AQ112" si="509">+AP110</f>
        <v>0.10249999999999999</v>
      </c>
      <c r="AR110" s="505">
        <f>+AR102/AR19</f>
        <v>0.10249999999999999</v>
      </c>
      <c r="AS110" s="396">
        <f>+AQ110+AS113</f>
        <v>9.9999999999999992E-2</v>
      </c>
      <c r="AT110" s="396">
        <f t="shared" ref="AT110:AT112" si="510">+AS110</f>
        <v>9.9999999999999992E-2</v>
      </c>
      <c r="AU110" s="505">
        <f>+AU102/AU19</f>
        <v>0.1</v>
      </c>
      <c r="AV110" s="396">
        <f>+AT110+AV113</f>
        <v>9.7499999999999989E-2</v>
      </c>
      <c r="AW110" s="396">
        <f t="shared" ref="AW110:AW112" si="511">+AV110</f>
        <v>9.7499999999999989E-2</v>
      </c>
      <c r="AX110" s="505">
        <f>+AX102/AX19</f>
        <v>9.7499999999999976E-2</v>
      </c>
      <c r="AY110" s="396">
        <f>+AW110+AY113</f>
        <v>9.4999999999999987E-2</v>
      </c>
      <c r="AZ110" s="396">
        <f t="shared" ref="AZ110:AZ112" si="512">+AY110</f>
        <v>9.4999999999999987E-2</v>
      </c>
      <c r="BA110" s="505">
        <f>+BA102/BA19</f>
        <v>9.5000000000000001E-2</v>
      </c>
      <c r="BB110" s="396">
        <f>+AZ110+BB113</f>
        <v>9.2499999999999985E-2</v>
      </c>
      <c r="BC110" s="396">
        <f t="shared" ref="BC110:BC112" si="513">+BB110</f>
        <v>9.2499999999999985E-2</v>
      </c>
      <c r="BD110" s="505">
        <f>+BD102/BD19</f>
        <v>9.2499999999999999E-2</v>
      </c>
      <c r="BE110" s="396">
        <f>+BC110+BE113</f>
        <v>8.9999999999999983E-2</v>
      </c>
      <c r="BF110" s="396">
        <f t="shared" ref="BF110:BF112" si="514">+BE110</f>
        <v>8.9999999999999983E-2</v>
      </c>
      <c r="BG110" s="505">
        <f>+BG102/BG19</f>
        <v>8.9999999999999983E-2</v>
      </c>
    </row>
    <row r="111" spans="1:89">
      <c r="B111" s="350" t="s">
        <v>117</v>
      </c>
      <c r="E111" s="485"/>
      <c r="F111" s="479"/>
      <c r="G111" s="479"/>
      <c r="H111" s="393"/>
      <c r="I111" s="479"/>
      <c r="J111" s="479"/>
      <c r="K111" s="351"/>
      <c r="L111" s="479"/>
      <c r="M111" s="479"/>
      <c r="N111" s="351"/>
      <c r="O111" s="479"/>
      <c r="P111" s="479"/>
      <c r="Q111" s="351"/>
      <c r="R111" s="352"/>
      <c r="S111" s="352"/>
      <c r="T111" s="351">
        <f t="shared" ref="T111:Z111" si="515">IFERROR(T103/T29,"NA")</f>
        <v>3.227076182801572E-2</v>
      </c>
      <c r="U111" s="352">
        <f t="shared" si="515"/>
        <v>8.6092715231788089E-2</v>
      </c>
      <c r="V111" s="352">
        <f t="shared" si="515"/>
        <v>0</v>
      </c>
      <c r="W111" s="351">
        <f t="shared" si="515"/>
        <v>3.0320366132723112E-2</v>
      </c>
      <c r="X111" s="352">
        <f t="shared" si="515"/>
        <v>3.0996829869672417E-2</v>
      </c>
      <c r="Y111" s="352">
        <f t="shared" si="515"/>
        <v>0</v>
      </c>
      <c r="Z111" s="351">
        <f t="shared" si="515"/>
        <v>1.4134275618374558E-2</v>
      </c>
      <c r="AA111" s="352">
        <f t="shared" ref="AA111" si="516">IFERROR(AA103/AA29,"NA")</f>
        <v>0.11617426139208813</v>
      </c>
      <c r="AB111" s="395">
        <f>AA111</f>
        <v>0.11617426139208813</v>
      </c>
      <c r="AC111" s="505">
        <f>+AC103/AC29</f>
        <v>0.11617426139208814</v>
      </c>
      <c r="AD111" s="396">
        <f>+AB111</f>
        <v>0.11617426139208813</v>
      </c>
      <c r="AE111" s="396">
        <f>+AD111</f>
        <v>0.11617426139208813</v>
      </c>
      <c r="AF111" s="505">
        <f>+AF103/AF29</f>
        <v>0.11617426139208813</v>
      </c>
      <c r="AG111" s="396">
        <f t="shared" ref="AG111:AG112" si="517">+AE111</f>
        <v>0.11617426139208813</v>
      </c>
      <c r="AH111" s="396">
        <f t="shared" si="506"/>
        <v>0.11617426139208813</v>
      </c>
      <c r="AI111" s="505">
        <f>+AI103/AI29</f>
        <v>0.11617426139208813</v>
      </c>
      <c r="AJ111" s="396">
        <f t="shared" ref="AJ111:AJ112" si="518">+AH111</f>
        <v>0.11617426139208813</v>
      </c>
      <c r="AK111" s="396">
        <f t="shared" si="507"/>
        <v>0.11617426139208813</v>
      </c>
      <c r="AL111" s="505">
        <f>+AL103/AL29</f>
        <v>0.11617426139208813</v>
      </c>
      <c r="AM111" s="396">
        <v>0.1</v>
      </c>
      <c r="AN111" s="396">
        <f t="shared" si="508"/>
        <v>0.1</v>
      </c>
      <c r="AO111" s="505">
        <f>+AO103/AO29</f>
        <v>9.9999999999999978E-2</v>
      </c>
      <c r="AP111" s="396">
        <f t="shared" ref="AP111:AP112" si="519">+AN111</f>
        <v>0.1</v>
      </c>
      <c r="AQ111" s="396">
        <f t="shared" si="509"/>
        <v>0.1</v>
      </c>
      <c r="AR111" s="505">
        <f>+AR103/AR29</f>
        <v>0.10000000000000002</v>
      </c>
      <c r="AS111" s="396">
        <f t="shared" ref="AS111:AS112" si="520">+AQ111</f>
        <v>0.1</v>
      </c>
      <c r="AT111" s="396">
        <f t="shared" si="510"/>
        <v>0.1</v>
      </c>
      <c r="AU111" s="505">
        <f>+AU103/AU29</f>
        <v>0.10000000000000002</v>
      </c>
      <c r="AV111" s="396">
        <f t="shared" ref="AV111:AV112" si="521">+AT111</f>
        <v>0.1</v>
      </c>
      <c r="AW111" s="396">
        <f t="shared" si="511"/>
        <v>0.1</v>
      </c>
      <c r="AX111" s="505">
        <f>+AX103/AX29</f>
        <v>9.9999999999999978E-2</v>
      </c>
      <c r="AY111" s="396">
        <f t="shared" ref="AY111:AY112" si="522">+AW111</f>
        <v>0.1</v>
      </c>
      <c r="AZ111" s="396">
        <f t="shared" si="512"/>
        <v>0.1</v>
      </c>
      <c r="BA111" s="505">
        <f>+BA103/BA29</f>
        <v>0.1</v>
      </c>
      <c r="BB111" s="396">
        <f t="shared" ref="BB111:BB112" si="523">+AZ111</f>
        <v>0.1</v>
      </c>
      <c r="BC111" s="396">
        <f t="shared" si="513"/>
        <v>0.1</v>
      </c>
      <c r="BD111" s="505">
        <f>+BD103/BD29</f>
        <v>0.1</v>
      </c>
      <c r="BE111" s="396">
        <f t="shared" ref="BE111:BE112" si="524">+BC111</f>
        <v>0.1</v>
      </c>
      <c r="BF111" s="396">
        <f t="shared" si="514"/>
        <v>0.1</v>
      </c>
      <c r="BG111" s="505">
        <f>+BG103/BG29</f>
        <v>0.1</v>
      </c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</row>
    <row r="112" spans="1:89">
      <c r="B112" s="350" t="s">
        <v>138</v>
      </c>
      <c r="E112" s="485"/>
      <c r="F112" s="479"/>
      <c r="G112" s="479"/>
      <c r="H112" s="393"/>
      <c r="I112" s="479"/>
      <c r="J112" s="479"/>
      <c r="K112" s="351"/>
      <c r="L112" s="479"/>
      <c r="M112" s="479"/>
      <c r="N112" s="351"/>
      <c r="O112" s="479"/>
      <c r="P112" s="479"/>
      <c r="Q112" s="351"/>
      <c r="R112" s="352"/>
      <c r="S112" s="352"/>
      <c r="T112" s="351" t="str">
        <f t="shared" ref="T112:Z112" si="525">IFERROR(T104/T35,"NA")</f>
        <v>NA</v>
      </c>
      <c r="U112" s="352">
        <f t="shared" si="525"/>
        <v>0</v>
      </c>
      <c r="V112" s="352">
        <f t="shared" si="525"/>
        <v>0</v>
      </c>
      <c r="W112" s="351">
        <f t="shared" si="525"/>
        <v>0</v>
      </c>
      <c r="X112" s="352">
        <f t="shared" si="525"/>
        <v>0.19734345351043642</v>
      </c>
      <c r="Y112" s="352">
        <f t="shared" si="525"/>
        <v>0.31240310077519379</v>
      </c>
      <c r="Z112" s="351">
        <f t="shared" si="525"/>
        <v>0.27903137039075399</v>
      </c>
      <c r="AA112" s="352">
        <f t="shared" ref="AA112" si="526">IFERROR(AA104/AA35,"NA")</f>
        <v>9.4660375015522172E-2</v>
      </c>
      <c r="AB112" s="395">
        <f>AA112</f>
        <v>9.4660375015522172E-2</v>
      </c>
      <c r="AC112" s="505">
        <f>+AC104/AC35</f>
        <v>9.4660375015522172E-2</v>
      </c>
      <c r="AD112" s="396">
        <f>+AB112</f>
        <v>9.4660375015522172E-2</v>
      </c>
      <c r="AE112" s="396">
        <f>+AD112</f>
        <v>9.4660375015522172E-2</v>
      </c>
      <c r="AF112" s="505">
        <f>+AF104/AF35</f>
        <v>9.4660375015522172E-2</v>
      </c>
      <c r="AG112" s="396">
        <f t="shared" si="517"/>
        <v>9.4660375015522172E-2</v>
      </c>
      <c r="AH112" s="396">
        <f t="shared" si="506"/>
        <v>9.4660375015522172E-2</v>
      </c>
      <c r="AI112" s="505">
        <f>+AI104/AI35</f>
        <v>9.4660375015522172E-2</v>
      </c>
      <c r="AJ112" s="396">
        <f t="shared" si="518"/>
        <v>9.4660375015522172E-2</v>
      </c>
      <c r="AK112" s="396">
        <f t="shared" si="507"/>
        <v>9.4660375015522172E-2</v>
      </c>
      <c r="AL112" s="505">
        <f>+AL104/AL35</f>
        <v>9.4660375015522172E-2</v>
      </c>
      <c r="AM112" s="396">
        <f t="shared" ref="AM112" si="527">+AK112</f>
        <v>9.4660375015522172E-2</v>
      </c>
      <c r="AN112" s="396">
        <f t="shared" si="508"/>
        <v>9.4660375015522172E-2</v>
      </c>
      <c r="AO112" s="505">
        <f>+AO104/AO35</f>
        <v>9.4660375015522172E-2</v>
      </c>
      <c r="AP112" s="396">
        <f t="shared" si="519"/>
        <v>9.4660375015522172E-2</v>
      </c>
      <c r="AQ112" s="396">
        <f t="shared" si="509"/>
        <v>9.4660375015522172E-2</v>
      </c>
      <c r="AR112" s="505">
        <f>+AR104/AR35</f>
        <v>9.4660375015522172E-2</v>
      </c>
      <c r="AS112" s="396">
        <f t="shared" si="520"/>
        <v>9.4660375015522172E-2</v>
      </c>
      <c r="AT112" s="396">
        <f t="shared" si="510"/>
        <v>9.4660375015522172E-2</v>
      </c>
      <c r="AU112" s="505">
        <f>+AU104/AU35</f>
        <v>9.4660375015522172E-2</v>
      </c>
      <c r="AV112" s="396">
        <f t="shared" si="521"/>
        <v>9.4660375015522172E-2</v>
      </c>
      <c r="AW112" s="396">
        <f t="shared" si="511"/>
        <v>9.4660375015522172E-2</v>
      </c>
      <c r="AX112" s="505">
        <f>+AX104/AX35</f>
        <v>9.4660375015522172E-2</v>
      </c>
      <c r="AY112" s="396">
        <f t="shared" si="522"/>
        <v>9.4660375015522172E-2</v>
      </c>
      <c r="AZ112" s="396">
        <f t="shared" si="512"/>
        <v>9.4660375015522172E-2</v>
      </c>
      <c r="BA112" s="505">
        <f>+BA104/BA35</f>
        <v>9.4660375015522172E-2</v>
      </c>
      <c r="BB112" s="396">
        <f t="shared" si="523"/>
        <v>9.4660375015522172E-2</v>
      </c>
      <c r="BC112" s="396">
        <f t="shared" si="513"/>
        <v>9.4660375015522172E-2</v>
      </c>
      <c r="BD112" s="505">
        <f>+BD104/BD35</f>
        <v>9.4660375015522172E-2</v>
      </c>
      <c r="BE112" s="396">
        <f t="shared" si="524"/>
        <v>9.4660375015522172E-2</v>
      </c>
      <c r="BF112" s="396">
        <f t="shared" si="514"/>
        <v>9.4660375015522172E-2</v>
      </c>
      <c r="BG112" s="505">
        <f>+BG104/BG35</f>
        <v>9.4660375015522172E-2</v>
      </c>
    </row>
    <row r="113" spans="1:59">
      <c r="B113" s="350"/>
      <c r="E113" s="485"/>
      <c r="F113" s="479"/>
      <c r="G113" s="479"/>
      <c r="H113" s="393"/>
      <c r="I113" s="479"/>
      <c r="J113" s="479"/>
      <c r="K113" s="351"/>
      <c r="L113" s="479"/>
      <c r="M113" s="479"/>
      <c r="N113" s="351"/>
      <c r="O113" s="479"/>
      <c r="P113" s="479"/>
      <c r="Q113" s="351"/>
      <c r="R113" s="352"/>
      <c r="S113" s="352"/>
      <c r="T113" s="351"/>
      <c r="U113" s="352"/>
      <c r="V113" s="352"/>
      <c r="W113" s="351"/>
      <c r="X113" s="352"/>
      <c r="Y113" s="352"/>
      <c r="Z113" s="351"/>
      <c r="AA113" s="352"/>
      <c r="AB113" s="352"/>
      <c r="AC113" s="490"/>
      <c r="AD113" s="352"/>
      <c r="AE113" s="352"/>
      <c r="AF113" s="490"/>
      <c r="AG113" s="352"/>
      <c r="AH113" s="352"/>
      <c r="AI113" s="490"/>
      <c r="AJ113" s="352"/>
      <c r="AK113" s="352"/>
      <c r="AL113" s="490"/>
      <c r="AM113" s="352"/>
      <c r="AN113" s="352"/>
      <c r="AO113" s="490"/>
      <c r="AP113" s="403">
        <v>-2.5000000000000001E-3</v>
      </c>
      <c r="AQ113" s="352"/>
      <c r="AR113" s="351"/>
      <c r="AS113" s="353">
        <f>+AP113</f>
        <v>-2.5000000000000001E-3</v>
      </c>
      <c r="AT113" s="352"/>
      <c r="AU113" s="351"/>
      <c r="AV113" s="353">
        <f>+AS113</f>
        <v>-2.5000000000000001E-3</v>
      </c>
      <c r="AW113" s="352"/>
      <c r="AX113" s="351"/>
      <c r="AY113" s="353">
        <f>+AV113</f>
        <v>-2.5000000000000001E-3</v>
      </c>
      <c r="AZ113" s="352"/>
      <c r="BA113" s="351"/>
      <c r="BB113" s="353">
        <f>+AY113</f>
        <v>-2.5000000000000001E-3</v>
      </c>
      <c r="BC113" s="352"/>
      <c r="BD113" s="351"/>
      <c r="BE113" s="353">
        <f>+BB113</f>
        <v>-2.5000000000000001E-3</v>
      </c>
      <c r="BF113" s="352"/>
      <c r="BG113" s="490"/>
    </row>
    <row r="114" spans="1:59">
      <c r="E114" s="346"/>
      <c r="F114" s="347"/>
      <c r="G114" s="347"/>
      <c r="H114" s="346"/>
      <c r="I114" s="347"/>
      <c r="J114" s="347"/>
      <c r="K114" s="346"/>
      <c r="L114" s="347"/>
      <c r="M114" s="347"/>
      <c r="N114" s="485"/>
      <c r="O114" s="347"/>
      <c r="P114" s="347"/>
      <c r="Q114" s="485"/>
      <c r="R114" s="347"/>
      <c r="S114" s="347"/>
      <c r="T114" s="486"/>
      <c r="U114" s="347"/>
      <c r="V114" s="347"/>
      <c r="W114" s="486"/>
      <c r="X114" s="347"/>
      <c r="Y114" s="347"/>
      <c r="Z114" s="486"/>
      <c r="AA114" s="347"/>
      <c r="AB114" s="410"/>
      <c r="AC114" s="411"/>
      <c r="AD114" s="410"/>
      <c r="AE114" s="410"/>
      <c r="AF114" s="411"/>
      <c r="AG114" s="410"/>
      <c r="AH114" s="410"/>
      <c r="AI114" s="411"/>
      <c r="AJ114" s="410"/>
      <c r="AK114" s="410"/>
      <c r="AL114" s="411"/>
      <c r="AM114" s="410"/>
      <c r="AN114" s="410"/>
      <c r="AO114" s="411"/>
      <c r="AP114" s="410"/>
      <c r="AQ114" s="410"/>
      <c r="AR114" s="411"/>
      <c r="AS114" s="410"/>
      <c r="AT114" s="410"/>
      <c r="AU114" s="411"/>
      <c r="AV114" s="410"/>
      <c r="AW114" s="410"/>
      <c r="AX114" s="411"/>
      <c r="AY114" s="410"/>
      <c r="AZ114" s="410"/>
      <c r="BA114" s="411"/>
      <c r="BB114" s="410"/>
      <c r="BC114" s="410"/>
      <c r="BD114" s="411"/>
      <c r="BE114" s="410"/>
      <c r="BF114" s="410"/>
      <c r="BG114" s="411"/>
    </row>
    <row r="115" spans="1:59">
      <c r="B115" s="364" t="s">
        <v>609</v>
      </c>
      <c r="C115" s="495"/>
      <c r="D115" s="495"/>
      <c r="E115" s="496"/>
      <c r="F115" s="497"/>
      <c r="G115" s="497"/>
      <c r="H115" s="496"/>
      <c r="I115" s="497"/>
      <c r="J115" s="497"/>
      <c r="K115" s="496"/>
      <c r="L115" s="497"/>
      <c r="M115" s="497"/>
      <c r="N115" s="496"/>
      <c r="O115" s="497"/>
      <c r="P115" s="497"/>
      <c r="Q115" s="496"/>
      <c r="R115" s="497"/>
      <c r="S115" s="497"/>
      <c r="T115" s="498"/>
      <c r="U115" s="497"/>
      <c r="V115" s="497"/>
      <c r="W115" s="498"/>
      <c r="X115" s="497"/>
      <c r="Y115" s="499"/>
      <c r="Z115" s="496"/>
      <c r="AA115" s="497"/>
      <c r="AB115" s="499"/>
      <c r="AC115" s="496"/>
      <c r="AD115" s="497"/>
      <c r="AE115" s="499"/>
      <c r="AF115" s="496"/>
      <c r="AG115" s="497"/>
      <c r="AH115" s="499"/>
      <c r="AI115" s="496"/>
      <c r="AJ115" s="497"/>
      <c r="AK115" s="499"/>
      <c r="AL115" s="496"/>
      <c r="AM115" s="497"/>
      <c r="AN115" s="499"/>
      <c r="AO115" s="496"/>
      <c r="AP115" s="497"/>
      <c r="AQ115" s="499"/>
      <c r="AR115" s="496"/>
      <c r="AS115" s="497"/>
      <c r="AT115" s="499"/>
      <c r="AU115" s="496"/>
      <c r="AV115" s="497"/>
      <c r="AW115" s="499"/>
      <c r="AX115" s="496"/>
      <c r="AY115" s="497"/>
      <c r="AZ115" s="499"/>
      <c r="BA115" s="496"/>
      <c r="BB115" s="497"/>
      <c r="BC115" s="499"/>
      <c r="BD115" s="496"/>
      <c r="BE115" s="497"/>
      <c r="BF115" s="499"/>
      <c r="BG115" s="496"/>
    </row>
    <row r="116" spans="1:59">
      <c r="A116" s="51" t="s">
        <v>29</v>
      </c>
      <c r="B116" s="52" t="s">
        <v>463</v>
      </c>
      <c r="E116" s="346">
        <v>-1.26101</v>
      </c>
      <c r="F116" s="347">
        <v>1.952232</v>
      </c>
      <c r="G116" s="347">
        <f t="shared" ref="G116" si="528">H116-F116</f>
        <v>2.9447680000000003</v>
      </c>
      <c r="H116" s="346">
        <v>4.8970000000000002</v>
      </c>
      <c r="I116" s="348">
        <v>5.1328550000000002</v>
      </c>
      <c r="J116" s="347">
        <f t="shared" ref="J116" si="529">K116-I116</f>
        <v>3.841145</v>
      </c>
      <c r="K116" s="349">
        <v>8.9740000000000002</v>
      </c>
      <c r="L116" s="348">
        <v>7.1689999999999996</v>
      </c>
      <c r="M116" s="347">
        <f t="shared" ref="M116" si="530">N116-L116</f>
        <v>8.3910000000000018</v>
      </c>
      <c r="N116" s="349">
        <v>15.56</v>
      </c>
      <c r="O116" s="348">
        <v>10.631</v>
      </c>
      <c r="P116" s="347">
        <f t="shared" ref="P116" si="531">Q116-O116</f>
        <v>19.472999999999999</v>
      </c>
      <c r="Q116" s="349">
        <v>30.103999999999999</v>
      </c>
      <c r="R116" s="347">
        <f>(R117+R118+R119)</f>
        <v>0</v>
      </c>
      <c r="S116" s="347">
        <f>(S117+S118+S119)</f>
        <v>0</v>
      </c>
      <c r="T116" s="346">
        <v>0</v>
      </c>
      <c r="U116" s="347">
        <f>+SUM(U117:U119)</f>
        <v>2.7460000000000004</v>
      </c>
      <c r="V116" s="347">
        <f t="shared" ref="V116:Z116" si="532">+SUM(V117:V119)</f>
        <v>3.5049999999999999</v>
      </c>
      <c r="W116" s="346">
        <f t="shared" si="532"/>
        <v>6.2509999999999994</v>
      </c>
      <c r="X116" s="347">
        <f t="shared" si="532"/>
        <v>8.4169999999999998</v>
      </c>
      <c r="Y116" s="347">
        <f t="shared" si="532"/>
        <v>8.2530000000000001</v>
      </c>
      <c r="Z116" s="346">
        <f t="shared" si="532"/>
        <v>16.670000000000002</v>
      </c>
      <c r="AA116" s="347">
        <f t="shared" ref="AA116" si="533">+SUM(AA117:AA119)</f>
        <v>18.849</v>
      </c>
      <c r="AB116" s="347">
        <f>+AB$17*AB121</f>
        <v>20.702096046919959</v>
      </c>
      <c r="AC116" s="346">
        <f>+SUM(AA116:AB116)</f>
        <v>39.551096046919959</v>
      </c>
      <c r="AD116" s="347">
        <f>+AD$17*AD121</f>
        <v>22.158444813532832</v>
      </c>
      <c r="AE116" s="347">
        <f>+AE$17*AE121</f>
        <v>23.220101603379721</v>
      </c>
      <c r="AF116" s="346">
        <f t="shared" ref="AF116:AF119" si="534">+SUM(AD116:AE116)</f>
        <v>45.378546416912556</v>
      </c>
      <c r="AG116" s="347">
        <f>+AG$17*AG121</f>
        <v>25.217840681566297</v>
      </c>
      <c r="AH116" s="347">
        <f>+AH$17*AH121</f>
        <v>26.006882291017988</v>
      </c>
      <c r="AI116" s="346">
        <f t="shared" ref="AI116:AI119" si="535">+SUM(AG116:AH116)</f>
        <v>51.224722972584289</v>
      </c>
      <c r="AJ116" s="347">
        <f>+AJ$17*AJ121</f>
        <v>27.372546402821385</v>
      </c>
      <c r="AK116" s="347">
        <f>+AK$17*AK121</f>
        <v>28.246541307426341</v>
      </c>
      <c r="AL116" s="346">
        <f t="shared" ref="AL116:AL119" si="536">+SUM(AJ116:AK116)</f>
        <v>55.619087710247726</v>
      </c>
      <c r="AM116" s="347">
        <f>+AM$17*AM121</f>
        <v>33.889051108716473</v>
      </c>
      <c r="AN116" s="347">
        <f>+AN$17*AN121</f>
        <v>35.026375603337549</v>
      </c>
      <c r="AO116" s="346">
        <f t="shared" ref="AO116:AO119" si="537">+SUM(AM116:AN116)</f>
        <v>68.915426712054028</v>
      </c>
      <c r="AP116" s="347">
        <f>+AP$17*AP121</f>
        <v>37.87940020744508</v>
      </c>
      <c r="AQ116" s="347">
        <f>+AQ$17*AQ121</f>
        <v>40.50788678057728</v>
      </c>
      <c r="AR116" s="346">
        <f t="shared" ref="AR116:AR119" si="538">+SUM(AP116:AQ116)</f>
        <v>78.387286988022367</v>
      </c>
      <c r="AS116" s="347">
        <f>+AS$17*AS121</f>
        <v>41.590090946110053</v>
      </c>
      <c r="AT116" s="347">
        <f>+AT$17*AT121</f>
        <v>44.522289413807798</v>
      </c>
      <c r="AU116" s="346">
        <f t="shared" ref="AU116:AU119" si="539">+SUM(AS116:AT116)</f>
        <v>86.11238035991785</v>
      </c>
      <c r="AV116" s="347">
        <f>+AV$17*AV121</f>
        <v>44.901807603679408</v>
      </c>
      <c r="AW116" s="347">
        <f>+AW$17*AW121</f>
        <v>48.099125722620428</v>
      </c>
      <c r="AX116" s="346">
        <f t="shared" ref="AX116:AX119" si="540">+SUM(AV116:AW116)</f>
        <v>93.000933326299844</v>
      </c>
      <c r="AY116" s="347">
        <f>+AY$17*AY121</f>
        <v>47.522398584600673</v>
      </c>
      <c r="AZ116" s="347">
        <f>+AZ$17*AZ121</f>
        <v>50.98004542944421</v>
      </c>
      <c r="BA116" s="346">
        <f t="shared" ref="BA116:BA119" si="541">+SUM(AY116:AZ116)</f>
        <v>98.502444014044883</v>
      </c>
      <c r="BB116" s="347">
        <f>+BB$17*BB121</f>
        <v>49.59040754685995</v>
      </c>
      <c r="BC116" s="347">
        <f>+BC$17*BC121</f>
        <v>53.221633689742156</v>
      </c>
      <c r="BD116" s="346">
        <f t="shared" ref="BD116:BD119" si="542">+SUM(BB116:BC116)</f>
        <v>102.81204123660211</v>
      </c>
      <c r="BE116" s="347">
        <f>+BE$17*BE121</f>
        <v>50.82238065720621</v>
      </c>
      <c r="BF116" s="347">
        <f>+BF$17*BF121</f>
        <v>54.55898597160202</v>
      </c>
      <c r="BG116" s="346">
        <f t="shared" ref="BG116:BG119" si="543">+SUM(BE116:BF116)</f>
        <v>105.38136662880822</v>
      </c>
    </row>
    <row r="117" spans="1:59">
      <c r="A117" s="51" t="s">
        <v>520</v>
      </c>
      <c r="B117" s="350" t="s">
        <v>99</v>
      </c>
      <c r="E117" s="485"/>
      <c r="F117" s="479"/>
      <c r="G117" s="479"/>
      <c r="H117" s="485"/>
      <c r="I117" s="479"/>
      <c r="J117" s="479"/>
      <c r="K117" s="485"/>
      <c r="L117" s="479"/>
      <c r="M117" s="479"/>
      <c r="N117" s="485"/>
      <c r="O117" s="479"/>
      <c r="P117" s="479"/>
      <c r="Q117" s="485"/>
      <c r="R117" s="376"/>
      <c r="S117" s="479"/>
      <c r="T117" s="377"/>
      <c r="U117" s="376">
        <v>2.0880000000000001</v>
      </c>
      <c r="V117" s="479">
        <f>W117-U117</f>
        <v>2.71</v>
      </c>
      <c r="W117" s="377">
        <v>4.798</v>
      </c>
      <c r="X117" s="376">
        <v>3.423</v>
      </c>
      <c r="Y117" s="479">
        <f>Z117-X117</f>
        <v>1.8280000000000003</v>
      </c>
      <c r="Z117" s="377">
        <v>5.2510000000000003</v>
      </c>
      <c r="AA117" s="376">
        <v>4.1050000000000004</v>
      </c>
      <c r="AB117" s="479">
        <f t="shared" ref="AB117:AB119" si="544">+AB$116*AB124</f>
        <v>4.5085736257948135</v>
      </c>
      <c r="AC117" s="485">
        <f>+SUM(AA117:AB117)</f>
        <v>8.6135736257948139</v>
      </c>
      <c r="AD117" s="479">
        <f t="shared" ref="AD117:AE119" si="545">+AD$116*AD124</f>
        <v>3.3237667220299247</v>
      </c>
      <c r="AE117" s="479">
        <f t="shared" si="545"/>
        <v>3.4830152405069579</v>
      </c>
      <c r="AF117" s="485">
        <f t="shared" si="534"/>
        <v>6.8067819625368831</v>
      </c>
      <c r="AG117" s="479">
        <f t="shared" ref="AG117:AH119" si="546">+AG$116*AG124</f>
        <v>3.7826761022349444</v>
      </c>
      <c r="AH117" s="479">
        <f t="shared" si="546"/>
        <v>3.9010323436526981</v>
      </c>
      <c r="AI117" s="485">
        <f t="shared" si="535"/>
        <v>7.6837084458876426</v>
      </c>
      <c r="AJ117" s="479">
        <f t="shared" ref="AJ117:AK119" si="547">+AJ$116*AJ124</f>
        <v>5.474509280564277</v>
      </c>
      <c r="AK117" s="479">
        <f t="shared" si="547"/>
        <v>5.6493082614852685</v>
      </c>
      <c r="AL117" s="485">
        <f t="shared" si="536"/>
        <v>11.123817542049546</v>
      </c>
      <c r="AM117" s="479">
        <f t="shared" ref="AM117:AN119" si="548">+AM$116*AM124</f>
        <v>6.7778102217432945</v>
      </c>
      <c r="AN117" s="479">
        <f t="shared" si="548"/>
        <v>7.0052751206675099</v>
      </c>
      <c r="AO117" s="485">
        <f t="shared" si="537"/>
        <v>13.783085342410804</v>
      </c>
      <c r="AP117" s="479">
        <f t="shared" ref="AP117:AQ119" si="549">+AP$116*AP124</f>
        <v>7.5758800414890164</v>
      </c>
      <c r="AQ117" s="479">
        <f t="shared" si="549"/>
        <v>8.101577356115456</v>
      </c>
      <c r="AR117" s="485">
        <f t="shared" si="538"/>
        <v>15.677457397604472</v>
      </c>
      <c r="AS117" s="479">
        <f t="shared" ref="AS117:AT119" si="550">+AS$116*AS124</f>
        <v>8.7339190986831117</v>
      </c>
      <c r="AT117" s="479">
        <f t="shared" si="550"/>
        <v>9.3496807768996391</v>
      </c>
      <c r="AU117" s="485">
        <f t="shared" si="539"/>
        <v>18.083599875582749</v>
      </c>
      <c r="AV117" s="479">
        <f t="shared" ref="AV117:AW119" si="551">+AV$116*AV124</f>
        <v>9.8783976728094718</v>
      </c>
      <c r="AW117" s="479">
        <f t="shared" si="551"/>
        <v>10.581807658976496</v>
      </c>
      <c r="AX117" s="485">
        <f t="shared" si="540"/>
        <v>20.460205331785968</v>
      </c>
      <c r="AY117" s="479">
        <f t="shared" ref="AY117:AZ119" si="552">+AY$116*AY124</f>
        <v>10.930151674458157</v>
      </c>
      <c r="AZ117" s="479">
        <f t="shared" si="552"/>
        <v>11.72541044877217</v>
      </c>
      <c r="BA117" s="485">
        <f t="shared" si="541"/>
        <v>22.655562123230325</v>
      </c>
      <c r="BB117" s="479">
        <f t="shared" ref="BB117:BC119" si="553">+BB$116*BB124</f>
        <v>11.90169781124639</v>
      </c>
      <c r="BC117" s="479">
        <f t="shared" si="553"/>
        <v>12.77319208553812</v>
      </c>
      <c r="BD117" s="485">
        <f t="shared" si="542"/>
        <v>24.67488989678451</v>
      </c>
      <c r="BE117" s="479">
        <f t="shared" ref="BE117:BF119" si="554">+BE$116*BE124</f>
        <v>12.705595164301556</v>
      </c>
      <c r="BF117" s="479">
        <f t="shared" si="554"/>
        <v>13.639746492900509</v>
      </c>
      <c r="BG117" s="485">
        <f t="shared" si="543"/>
        <v>26.345341657202063</v>
      </c>
    </row>
    <row r="118" spans="1:59">
      <c r="A118" s="51" t="s">
        <v>521</v>
      </c>
      <c r="B118" s="350" t="s">
        <v>117</v>
      </c>
      <c r="E118" s="485"/>
      <c r="F118" s="479"/>
      <c r="G118" s="479"/>
      <c r="H118" s="485"/>
      <c r="I118" s="479"/>
      <c r="J118" s="479"/>
      <c r="K118" s="485"/>
      <c r="L118" s="479"/>
      <c r="M118" s="479"/>
      <c r="N118" s="485"/>
      <c r="O118" s="479"/>
      <c r="P118" s="479"/>
      <c r="Q118" s="485"/>
      <c r="R118" s="376"/>
      <c r="S118" s="479"/>
      <c r="T118" s="377"/>
      <c r="U118" s="376">
        <v>7.0000000000000001E-3</v>
      </c>
      <c r="V118" s="479">
        <f>W118-U118</f>
        <v>6.2000000000000006E-2</v>
      </c>
      <c r="W118" s="377">
        <v>6.9000000000000006E-2</v>
      </c>
      <c r="X118" s="376">
        <v>2.1000000000000001E-2</v>
      </c>
      <c r="Y118" s="479">
        <f>Z118-X118</f>
        <v>9.9999999999999742E-4</v>
      </c>
      <c r="Z118" s="377">
        <v>2.1999999999999999E-2</v>
      </c>
      <c r="AA118" s="376">
        <v>1.71</v>
      </c>
      <c r="AB118" s="479">
        <f t="shared" si="544"/>
        <v>0</v>
      </c>
      <c r="AC118" s="485">
        <f t="shared" ref="AC118:AC119" si="555">+SUM(AA118:AB118)</f>
        <v>1.71</v>
      </c>
      <c r="AD118" s="479">
        <f t="shared" si="545"/>
        <v>0</v>
      </c>
      <c r="AE118" s="479">
        <f t="shared" si="545"/>
        <v>0</v>
      </c>
      <c r="AF118" s="485">
        <f t="shared" si="534"/>
        <v>0</v>
      </c>
      <c r="AG118" s="479">
        <f t="shared" si="546"/>
        <v>0</v>
      </c>
      <c r="AH118" s="479">
        <f t="shared" si="546"/>
        <v>0</v>
      </c>
      <c r="AI118" s="485">
        <f t="shared" si="535"/>
        <v>0</v>
      </c>
      <c r="AJ118" s="479">
        <f t="shared" si="547"/>
        <v>0</v>
      </c>
      <c r="AK118" s="479">
        <f t="shared" si="547"/>
        <v>0</v>
      </c>
      <c r="AL118" s="485">
        <f t="shared" si="536"/>
        <v>0</v>
      </c>
      <c r="AM118" s="479">
        <f t="shared" si="548"/>
        <v>4.2361313885895591</v>
      </c>
      <c r="AN118" s="479">
        <f t="shared" si="548"/>
        <v>4.3782969504171936</v>
      </c>
      <c r="AO118" s="485">
        <f t="shared" si="537"/>
        <v>8.6144283390067535</v>
      </c>
      <c r="AP118" s="479">
        <f t="shared" si="549"/>
        <v>6.6288950363028887</v>
      </c>
      <c r="AQ118" s="479">
        <f t="shared" si="549"/>
        <v>7.0888801866010231</v>
      </c>
      <c r="AR118" s="485">
        <f t="shared" si="538"/>
        <v>13.717775222903912</v>
      </c>
      <c r="AS118" s="479">
        <f t="shared" si="550"/>
        <v>7.6941668250303596</v>
      </c>
      <c r="AT118" s="479">
        <f t="shared" si="550"/>
        <v>8.236623541554442</v>
      </c>
      <c r="AU118" s="485">
        <f t="shared" si="539"/>
        <v>15.930790366584802</v>
      </c>
      <c r="AV118" s="479">
        <f t="shared" si="551"/>
        <v>8.7558524827174846</v>
      </c>
      <c r="AW118" s="479">
        <f t="shared" si="551"/>
        <v>9.3793295159109835</v>
      </c>
      <c r="AX118" s="485">
        <f t="shared" si="540"/>
        <v>18.135181998628468</v>
      </c>
      <c r="AY118" s="479">
        <f t="shared" si="552"/>
        <v>9.7420917098431392</v>
      </c>
      <c r="AZ118" s="479">
        <f t="shared" si="552"/>
        <v>10.450909313036064</v>
      </c>
      <c r="BA118" s="485">
        <f t="shared" si="541"/>
        <v>20.193001022879201</v>
      </c>
      <c r="BB118" s="479">
        <f t="shared" si="553"/>
        <v>10.661937622574891</v>
      </c>
      <c r="BC118" s="479">
        <f t="shared" si="553"/>
        <v>11.442651243294565</v>
      </c>
      <c r="BD118" s="485">
        <f t="shared" si="542"/>
        <v>22.104588865869456</v>
      </c>
      <c r="BE118" s="479">
        <f t="shared" si="554"/>
        <v>11.435035647871398</v>
      </c>
      <c r="BF118" s="479">
        <f t="shared" si="554"/>
        <v>12.275771843610457</v>
      </c>
      <c r="BG118" s="485">
        <f t="shared" si="543"/>
        <v>23.710807491481855</v>
      </c>
    </row>
    <row r="119" spans="1:59">
      <c r="A119" s="51" t="s">
        <v>522</v>
      </c>
      <c r="B119" s="350" t="s">
        <v>138</v>
      </c>
      <c r="E119" s="485"/>
      <c r="F119" s="479"/>
      <c r="G119" s="479"/>
      <c r="H119" s="485"/>
      <c r="I119" s="479"/>
      <c r="J119" s="479"/>
      <c r="K119" s="485"/>
      <c r="L119" s="479"/>
      <c r="M119" s="479"/>
      <c r="N119" s="485"/>
      <c r="O119" s="479"/>
      <c r="P119" s="479"/>
      <c r="Q119" s="485"/>
      <c r="R119" s="376"/>
      <c r="S119" s="479"/>
      <c r="T119" s="377"/>
      <c r="U119" s="376">
        <v>0.65100000000000002</v>
      </c>
      <c r="V119" s="479">
        <f>W119-U119</f>
        <v>0.73299999999999987</v>
      </c>
      <c r="W119" s="377">
        <v>1.3839999999999999</v>
      </c>
      <c r="X119" s="376">
        <v>4.9729999999999999</v>
      </c>
      <c r="Y119" s="479">
        <f>Z119-X119</f>
        <v>6.4240000000000004</v>
      </c>
      <c r="Z119" s="377">
        <v>11.397</v>
      </c>
      <c r="AA119" s="376">
        <v>13.034000000000001</v>
      </c>
      <c r="AB119" s="479">
        <f t="shared" si="544"/>
        <v>16.193522421125145</v>
      </c>
      <c r="AC119" s="485">
        <f t="shared" si="555"/>
        <v>29.227522421125144</v>
      </c>
      <c r="AD119" s="479">
        <f t="shared" si="545"/>
        <v>18.834678091502905</v>
      </c>
      <c r="AE119" s="479">
        <f t="shared" si="545"/>
        <v>19.737086362872763</v>
      </c>
      <c r="AF119" s="485">
        <f t="shared" si="534"/>
        <v>38.571764454375668</v>
      </c>
      <c r="AG119" s="479">
        <f t="shared" si="546"/>
        <v>21.435164579331353</v>
      </c>
      <c r="AH119" s="479">
        <f t="shared" si="546"/>
        <v>22.105849947365289</v>
      </c>
      <c r="AI119" s="485">
        <f t="shared" si="535"/>
        <v>43.541014526696642</v>
      </c>
      <c r="AJ119" s="479">
        <f t="shared" si="547"/>
        <v>21.898037122257108</v>
      </c>
      <c r="AK119" s="479">
        <f t="shared" si="547"/>
        <v>22.597233045941074</v>
      </c>
      <c r="AL119" s="485">
        <f t="shared" si="536"/>
        <v>44.495270168198182</v>
      </c>
      <c r="AM119" s="479">
        <f t="shared" si="548"/>
        <v>22.875109498383619</v>
      </c>
      <c r="AN119" s="479">
        <f t="shared" si="548"/>
        <v>23.642803532252845</v>
      </c>
      <c r="AO119" s="485">
        <f t="shared" si="537"/>
        <v>46.517913030636464</v>
      </c>
      <c r="AP119" s="479">
        <f t="shared" si="549"/>
        <v>23.674625129653176</v>
      </c>
      <c r="AQ119" s="479">
        <f t="shared" si="549"/>
        <v>25.3174292378608</v>
      </c>
      <c r="AR119" s="485">
        <f t="shared" si="538"/>
        <v>48.992054367513973</v>
      </c>
      <c r="AS119" s="479">
        <f t="shared" si="550"/>
        <v>25.162005022396581</v>
      </c>
      <c r="AT119" s="479">
        <f t="shared" si="550"/>
        <v>26.935985095353718</v>
      </c>
      <c r="AU119" s="485">
        <f t="shared" si="539"/>
        <v>52.0979901177503</v>
      </c>
      <c r="AV119" s="479">
        <f t="shared" si="551"/>
        <v>26.267557448152452</v>
      </c>
      <c r="AW119" s="479">
        <f t="shared" si="551"/>
        <v>28.137988547732949</v>
      </c>
      <c r="AX119" s="485">
        <f t="shared" si="540"/>
        <v>54.405545995885404</v>
      </c>
      <c r="AY119" s="479">
        <f t="shared" si="552"/>
        <v>26.850155200299376</v>
      </c>
      <c r="AZ119" s="479">
        <f t="shared" si="552"/>
        <v>28.803725667635977</v>
      </c>
      <c r="BA119" s="485">
        <f t="shared" si="541"/>
        <v>55.653880867935356</v>
      </c>
      <c r="BB119" s="479">
        <f t="shared" si="553"/>
        <v>27.026772113038668</v>
      </c>
      <c r="BC119" s="479">
        <f t="shared" si="553"/>
        <v>29.005790360909472</v>
      </c>
      <c r="BD119" s="485">
        <f t="shared" si="542"/>
        <v>56.03256247394814</v>
      </c>
      <c r="BE119" s="479">
        <f t="shared" si="554"/>
        <v>26.681749845033256</v>
      </c>
      <c r="BF119" s="479">
        <f t="shared" si="554"/>
        <v>28.643467635091056</v>
      </c>
      <c r="BG119" s="485">
        <f t="shared" si="543"/>
        <v>55.325217480124309</v>
      </c>
    </row>
    <row r="120" spans="1:59">
      <c r="B120" s="52"/>
      <c r="E120" s="346"/>
      <c r="F120" s="347"/>
      <c r="G120" s="347"/>
      <c r="H120" s="346"/>
      <c r="I120" s="347"/>
      <c r="J120" s="347"/>
      <c r="K120" s="346"/>
      <c r="L120" s="347"/>
      <c r="M120" s="347"/>
      <c r="N120" s="346"/>
      <c r="O120" s="347"/>
      <c r="P120" s="347"/>
      <c r="Q120" s="346"/>
      <c r="R120" s="347"/>
      <c r="S120" s="347"/>
      <c r="T120" s="390"/>
      <c r="U120" s="391">
        <f t="shared" ref="U120" si="556">+U116-SUM(U117:U119)</f>
        <v>0</v>
      </c>
      <c r="V120" s="391">
        <f t="shared" ref="V120" si="557">+V116-SUM(V117:V119)</f>
        <v>0</v>
      </c>
      <c r="W120" s="390">
        <f t="shared" ref="W120:BG120" si="558">+W116-SUM(W117:W119)</f>
        <v>0</v>
      </c>
      <c r="X120" s="391">
        <f t="shared" si="558"/>
        <v>0</v>
      </c>
      <c r="Y120" s="391">
        <f t="shared" si="558"/>
        <v>0</v>
      </c>
      <c r="Z120" s="390">
        <f t="shared" si="558"/>
        <v>0</v>
      </c>
      <c r="AA120" s="391">
        <f t="shared" ref="AA120" si="559">+AA116-SUM(AA117:AA119)</f>
        <v>0</v>
      </c>
      <c r="AB120" s="391">
        <f t="shared" si="558"/>
        <v>0</v>
      </c>
      <c r="AC120" s="390">
        <f t="shared" si="558"/>
        <v>0</v>
      </c>
      <c r="AD120" s="391">
        <f t="shared" si="558"/>
        <v>0</v>
      </c>
      <c r="AE120" s="391">
        <f t="shared" si="558"/>
        <v>0</v>
      </c>
      <c r="AF120" s="390">
        <f t="shared" si="558"/>
        <v>0</v>
      </c>
      <c r="AG120" s="391">
        <f t="shared" si="558"/>
        <v>0</v>
      </c>
      <c r="AH120" s="391">
        <f t="shared" si="558"/>
        <v>0</v>
      </c>
      <c r="AI120" s="390">
        <f t="shared" si="558"/>
        <v>0</v>
      </c>
      <c r="AJ120" s="391">
        <f t="shared" si="558"/>
        <v>0</v>
      </c>
      <c r="AK120" s="391">
        <f t="shared" si="558"/>
        <v>0</v>
      </c>
      <c r="AL120" s="390">
        <f t="shared" si="558"/>
        <v>0</v>
      </c>
      <c r="AM120" s="391">
        <f t="shared" si="558"/>
        <v>0</v>
      </c>
      <c r="AN120" s="391">
        <f t="shared" si="558"/>
        <v>0</v>
      </c>
      <c r="AO120" s="390">
        <f t="shared" si="558"/>
        <v>0</v>
      </c>
      <c r="AP120" s="391">
        <f t="shared" si="558"/>
        <v>0</v>
      </c>
      <c r="AQ120" s="391">
        <f t="shared" si="558"/>
        <v>0</v>
      </c>
      <c r="AR120" s="390">
        <f t="shared" si="558"/>
        <v>0</v>
      </c>
      <c r="AS120" s="391">
        <f t="shared" si="558"/>
        <v>0</v>
      </c>
      <c r="AT120" s="391">
        <f t="shared" si="558"/>
        <v>0</v>
      </c>
      <c r="AU120" s="390">
        <f t="shared" si="558"/>
        <v>0</v>
      </c>
      <c r="AV120" s="391">
        <f t="shared" si="558"/>
        <v>0</v>
      </c>
      <c r="AW120" s="391">
        <f t="shared" si="558"/>
        <v>0</v>
      </c>
      <c r="AX120" s="390">
        <f t="shared" si="558"/>
        <v>0</v>
      </c>
      <c r="AY120" s="391">
        <f t="shared" si="558"/>
        <v>0</v>
      </c>
      <c r="AZ120" s="391">
        <f t="shared" si="558"/>
        <v>0</v>
      </c>
      <c r="BA120" s="390">
        <f t="shared" si="558"/>
        <v>0</v>
      </c>
      <c r="BB120" s="391">
        <f t="shared" si="558"/>
        <v>0</v>
      </c>
      <c r="BC120" s="391">
        <f t="shared" si="558"/>
        <v>0</v>
      </c>
      <c r="BD120" s="390">
        <f t="shared" si="558"/>
        <v>0</v>
      </c>
      <c r="BE120" s="391">
        <f t="shared" si="558"/>
        <v>0</v>
      </c>
      <c r="BF120" s="391">
        <f t="shared" si="558"/>
        <v>0</v>
      </c>
      <c r="BG120" s="390">
        <f t="shared" si="558"/>
        <v>0</v>
      </c>
    </row>
    <row r="121" spans="1:59">
      <c r="B121" s="52" t="s">
        <v>523</v>
      </c>
      <c r="E121" s="485"/>
      <c r="F121" s="479"/>
      <c r="G121" s="479"/>
      <c r="H121" s="351"/>
      <c r="I121" s="479"/>
      <c r="J121" s="479"/>
      <c r="K121" s="351"/>
      <c r="L121" s="479"/>
      <c r="M121" s="479"/>
      <c r="N121" s="351"/>
      <c r="O121" s="479"/>
      <c r="P121" s="479"/>
      <c r="Q121" s="351"/>
      <c r="R121" s="352"/>
      <c r="S121" s="352"/>
      <c r="T121" s="351"/>
      <c r="U121" s="352">
        <f t="shared" ref="U121:Z121" si="560">IFERROR(U116/U17,"NA")</f>
        <v>1.8456409670459663E-2</v>
      </c>
      <c r="V121" s="352">
        <f t="shared" si="560"/>
        <v>1.9028746708651158E-2</v>
      </c>
      <c r="W121" s="351">
        <f t="shared" si="560"/>
        <v>1.8773012030824859E-2</v>
      </c>
      <c r="X121" s="352">
        <f t="shared" si="560"/>
        <v>3.5127769593215674E-2</v>
      </c>
      <c r="Y121" s="352">
        <f t="shared" si="560"/>
        <v>2.9800678847403769E-2</v>
      </c>
      <c r="Z121" s="351">
        <f t="shared" si="560"/>
        <v>3.2271740834883683E-2</v>
      </c>
      <c r="AA121" s="352">
        <f t="shared" ref="AA121" si="561">IFERROR(AA116/AA17,"NA")</f>
        <v>4.8286321053184374E-2</v>
      </c>
      <c r="AB121" s="395">
        <v>0.05</v>
      </c>
      <c r="AC121" s="505">
        <f t="shared" ref="AC121:BG121" si="562">+AB121</f>
        <v>0.05</v>
      </c>
      <c r="AD121" s="396">
        <f t="shared" si="562"/>
        <v>0.05</v>
      </c>
      <c r="AE121" s="396">
        <f t="shared" si="562"/>
        <v>0.05</v>
      </c>
      <c r="AF121" s="505">
        <f t="shared" si="562"/>
        <v>0.05</v>
      </c>
      <c r="AG121" s="396">
        <f>AF121</f>
        <v>0.05</v>
      </c>
      <c r="AH121" s="396">
        <f t="shared" si="562"/>
        <v>0.05</v>
      </c>
      <c r="AI121" s="505">
        <f t="shared" si="562"/>
        <v>0.05</v>
      </c>
      <c r="AJ121" s="396">
        <f>+AH121+AJ122</f>
        <v>4.8000000000000001E-2</v>
      </c>
      <c r="AK121" s="396">
        <f t="shared" si="562"/>
        <v>4.8000000000000001E-2</v>
      </c>
      <c r="AL121" s="505">
        <f t="shared" si="562"/>
        <v>4.8000000000000001E-2</v>
      </c>
      <c r="AM121" s="396">
        <f>+AK121+AM122</f>
        <v>4.5999999999999999E-2</v>
      </c>
      <c r="AN121" s="396">
        <f t="shared" si="562"/>
        <v>4.5999999999999999E-2</v>
      </c>
      <c r="AO121" s="505">
        <f t="shared" si="562"/>
        <v>4.5999999999999999E-2</v>
      </c>
      <c r="AP121" s="396">
        <f>+AN121+AP122</f>
        <v>4.3999999999999997E-2</v>
      </c>
      <c r="AQ121" s="396">
        <f t="shared" si="562"/>
        <v>4.3999999999999997E-2</v>
      </c>
      <c r="AR121" s="505">
        <f t="shared" si="562"/>
        <v>4.3999999999999997E-2</v>
      </c>
      <c r="AS121" s="396">
        <f>+AQ121+AS122</f>
        <v>4.1999999999999996E-2</v>
      </c>
      <c r="AT121" s="396">
        <f t="shared" si="562"/>
        <v>4.1999999999999996E-2</v>
      </c>
      <c r="AU121" s="505">
        <f t="shared" si="562"/>
        <v>4.1999999999999996E-2</v>
      </c>
      <c r="AV121" s="396">
        <f>+AT121+AV122</f>
        <v>3.9999999999999994E-2</v>
      </c>
      <c r="AW121" s="396">
        <f t="shared" si="562"/>
        <v>3.9999999999999994E-2</v>
      </c>
      <c r="AX121" s="505">
        <f t="shared" si="562"/>
        <v>3.9999999999999994E-2</v>
      </c>
      <c r="AY121" s="396">
        <f>+AW121+AY122</f>
        <v>3.7999999999999992E-2</v>
      </c>
      <c r="AZ121" s="396">
        <f t="shared" si="562"/>
        <v>3.7999999999999992E-2</v>
      </c>
      <c r="BA121" s="505">
        <f t="shared" si="562"/>
        <v>3.7999999999999992E-2</v>
      </c>
      <c r="BB121" s="396">
        <f>+AZ121+BB122</f>
        <v>3.599999999999999E-2</v>
      </c>
      <c r="BC121" s="396">
        <f t="shared" si="562"/>
        <v>3.599999999999999E-2</v>
      </c>
      <c r="BD121" s="505">
        <f t="shared" si="562"/>
        <v>3.599999999999999E-2</v>
      </c>
      <c r="BE121" s="396">
        <f>+BC121+BE122</f>
        <v>3.3999999999999989E-2</v>
      </c>
      <c r="BF121" s="396">
        <f t="shared" si="562"/>
        <v>3.3999999999999989E-2</v>
      </c>
      <c r="BG121" s="505">
        <f t="shared" si="562"/>
        <v>3.3999999999999989E-2</v>
      </c>
    </row>
    <row r="122" spans="1:59">
      <c r="B122" s="52"/>
      <c r="E122" s="485"/>
      <c r="F122" s="479"/>
      <c r="G122" s="479"/>
      <c r="H122" s="351"/>
      <c r="I122" s="479"/>
      <c r="J122" s="479"/>
      <c r="K122" s="351"/>
      <c r="L122" s="479"/>
      <c r="M122" s="479"/>
      <c r="N122" s="351"/>
      <c r="O122" s="479"/>
      <c r="P122" s="479"/>
      <c r="Q122" s="351"/>
      <c r="R122" s="352"/>
      <c r="S122" s="352"/>
      <c r="T122" s="351"/>
      <c r="U122" s="352"/>
      <c r="V122" s="352"/>
      <c r="W122" s="351"/>
      <c r="X122" s="352"/>
      <c r="Y122" s="352"/>
      <c r="Z122" s="351"/>
      <c r="AA122" s="352"/>
      <c r="AB122" s="352"/>
      <c r="AC122" s="351"/>
      <c r="AD122" s="352"/>
      <c r="AE122" s="352"/>
      <c r="AF122" s="351"/>
      <c r="AG122" s="352"/>
      <c r="AH122" s="352"/>
      <c r="AI122" s="351"/>
      <c r="AJ122" s="403">
        <v>-2E-3</v>
      </c>
      <c r="AK122" s="352"/>
      <c r="AL122" s="351"/>
      <c r="AM122" s="353">
        <f>+AJ122</f>
        <v>-2E-3</v>
      </c>
      <c r="AN122" s="352"/>
      <c r="AO122" s="351"/>
      <c r="AP122" s="353">
        <f>+AM122</f>
        <v>-2E-3</v>
      </c>
      <c r="AQ122" s="352"/>
      <c r="AR122" s="351"/>
      <c r="AS122" s="353">
        <f>+AP122</f>
        <v>-2E-3</v>
      </c>
      <c r="AT122" s="352"/>
      <c r="AU122" s="351"/>
      <c r="AV122" s="353">
        <f>+AS122</f>
        <v>-2E-3</v>
      </c>
      <c r="AW122" s="352"/>
      <c r="AX122" s="351"/>
      <c r="AY122" s="353">
        <f>+AV122</f>
        <v>-2E-3</v>
      </c>
      <c r="AZ122" s="352"/>
      <c r="BA122" s="351"/>
      <c r="BB122" s="353">
        <f>+AY122</f>
        <v>-2E-3</v>
      </c>
      <c r="BC122" s="352"/>
      <c r="BD122" s="351"/>
      <c r="BE122" s="353">
        <f>+BB122</f>
        <v>-2E-3</v>
      </c>
      <c r="BF122" s="352"/>
      <c r="BG122" s="351"/>
    </row>
    <row r="123" spans="1:59">
      <c r="B123" s="52" t="s">
        <v>515</v>
      </c>
      <c r="E123" s="485"/>
      <c r="F123" s="479"/>
      <c r="G123" s="479"/>
      <c r="H123" s="351"/>
      <c r="I123" s="479"/>
      <c r="J123" s="479"/>
      <c r="K123" s="351"/>
      <c r="L123" s="479"/>
      <c r="M123" s="479"/>
      <c r="N123" s="351"/>
      <c r="O123" s="479"/>
      <c r="P123" s="479"/>
      <c r="Q123" s="351"/>
      <c r="R123" s="352"/>
      <c r="S123" s="352"/>
      <c r="T123" s="351"/>
      <c r="U123" s="352"/>
      <c r="V123" s="352"/>
      <c r="W123" s="351"/>
      <c r="X123" s="352"/>
      <c r="Y123" s="352"/>
      <c r="Z123" s="351"/>
      <c r="AA123" s="352"/>
      <c r="AB123" s="352"/>
      <c r="AC123" s="351"/>
      <c r="AD123" s="352"/>
      <c r="AE123" s="352"/>
      <c r="AF123" s="351"/>
      <c r="AG123" s="352"/>
      <c r="AH123" s="352"/>
      <c r="AI123" s="351"/>
      <c r="AJ123" s="352"/>
      <c r="AK123" s="352"/>
      <c r="AL123" s="351"/>
      <c r="AM123" s="352"/>
      <c r="AN123" s="352"/>
      <c r="AO123" s="351"/>
      <c r="AP123" s="352"/>
      <c r="AQ123" s="352"/>
      <c r="AR123" s="351"/>
      <c r="AS123" s="352"/>
      <c r="AT123" s="352"/>
      <c r="AU123" s="351"/>
      <c r="AV123" s="352"/>
      <c r="AW123" s="352"/>
      <c r="AX123" s="351"/>
      <c r="AY123" s="352"/>
      <c r="AZ123" s="352"/>
      <c r="BA123" s="351"/>
      <c r="BB123" s="352"/>
      <c r="BC123" s="352"/>
      <c r="BD123" s="351"/>
      <c r="BE123" s="352"/>
      <c r="BF123" s="352"/>
      <c r="BG123" s="351"/>
    </row>
    <row r="124" spans="1:59">
      <c r="B124" s="350" t="s">
        <v>99</v>
      </c>
      <c r="E124" s="346"/>
      <c r="F124" s="347"/>
      <c r="G124" s="347"/>
      <c r="H124" s="346"/>
      <c r="I124" s="347"/>
      <c r="J124" s="347"/>
      <c r="K124" s="346"/>
      <c r="L124" s="347"/>
      <c r="M124" s="347"/>
      <c r="N124" s="485"/>
      <c r="O124" s="347"/>
      <c r="P124" s="347"/>
      <c r="Q124" s="485"/>
      <c r="R124" s="352"/>
      <c r="S124" s="352"/>
      <c r="T124" s="351"/>
      <c r="U124" s="352">
        <f t="shared" ref="U124:Z126" si="563">+U117/U$116</f>
        <v>0.76037873270211209</v>
      </c>
      <c r="V124" s="352">
        <f t="shared" si="563"/>
        <v>0.77318116975748929</v>
      </c>
      <c r="W124" s="351">
        <f t="shared" si="563"/>
        <v>0.76755719084946417</v>
      </c>
      <c r="X124" s="352">
        <f t="shared" si="563"/>
        <v>0.40667696328858266</v>
      </c>
      <c r="Y124" s="352">
        <f t="shared" si="563"/>
        <v>0.2214952138616261</v>
      </c>
      <c r="Z124" s="351">
        <f t="shared" si="563"/>
        <v>0.31499700059988001</v>
      </c>
      <c r="AA124" s="352">
        <f t="shared" ref="AA124" si="564">+AA117/AA$116</f>
        <v>0.21778343678709747</v>
      </c>
      <c r="AB124" s="395">
        <f>AA124</f>
        <v>0.21778343678709747</v>
      </c>
      <c r="AC124" s="505">
        <f t="shared" ref="AC124:AR125" si="565">+AB124</f>
        <v>0.21778343678709747</v>
      </c>
      <c r="AD124" s="396">
        <v>0.15</v>
      </c>
      <c r="AE124" s="396">
        <f t="shared" si="565"/>
        <v>0.15</v>
      </c>
      <c r="AF124" s="505">
        <f t="shared" si="565"/>
        <v>0.15</v>
      </c>
      <c r="AG124" s="396">
        <v>0.15</v>
      </c>
      <c r="AH124" s="396">
        <f t="shared" si="565"/>
        <v>0.15</v>
      </c>
      <c r="AI124" s="505">
        <f t="shared" si="565"/>
        <v>0.15</v>
      </c>
      <c r="AJ124" s="396">
        <v>0.2</v>
      </c>
      <c r="AK124" s="396">
        <f t="shared" si="565"/>
        <v>0.2</v>
      </c>
      <c r="AL124" s="505">
        <f t="shared" si="565"/>
        <v>0.2</v>
      </c>
      <c r="AM124" s="396">
        <f t="shared" si="565"/>
        <v>0.2</v>
      </c>
      <c r="AN124" s="396">
        <f t="shared" si="565"/>
        <v>0.2</v>
      </c>
      <c r="AO124" s="505">
        <f t="shared" si="565"/>
        <v>0.2</v>
      </c>
      <c r="AP124" s="396">
        <f t="shared" si="565"/>
        <v>0.2</v>
      </c>
      <c r="AQ124" s="396">
        <f t="shared" si="565"/>
        <v>0.2</v>
      </c>
      <c r="AR124" s="505">
        <f t="shared" si="565"/>
        <v>0.2</v>
      </c>
      <c r="AS124" s="396">
        <f>+AP124+1%</f>
        <v>0.21000000000000002</v>
      </c>
      <c r="AT124" s="396">
        <f t="shared" ref="AT124:BG125" si="566">+AS124</f>
        <v>0.21000000000000002</v>
      </c>
      <c r="AU124" s="505">
        <f t="shared" si="566"/>
        <v>0.21000000000000002</v>
      </c>
      <c r="AV124" s="396">
        <f>+AS124+1%</f>
        <v>0.22000000000000003</v>
      </c>
      <c r="AW124" s="396">
        <f t="shared" ref="AW124:AX124" si="567">+AV124</f>
        <v>0.22000000000000003</v>
      </c>
      <c r="AX124" s="505">
        <f t="shared" si="567"/>
        <v>0.22000000000000003</v>
      </c>
      <c r="AY124" s="396">
        <f>+AV124+1%</f>
        <v>0.23000000000000004</v>
      </c>
      <c r="AZ124" s="396">
        <f t="shared" ref="AZ124:BA124" si="568">+AY124</f>
        <v>0.23000000000000004</v>
      </c>
      <c r="BA124" s="505">
        <f t="shared" si="568"/>
        <v>0.23000000000000004</v>
      </c>
      <c r="BB124" s="396">
        <f>+AY124+1%</f>
        <v>0.24000000000000005</v>
      </c>
      <c r="BC124" s="396">
        <f t="shared" ref="BC124:BD124" si="569">+BB124</f>
        <v>0.24000000000000005</v>
      </c>
      <c r="BD124" s="505">
        <f t="shared" si="569"/>
        <v>0.24000000000000005</v>
      </c>
      <c r="BE124" s="396">
        <f>+BB124+1%</f>
        <v>0.25000000000000006</v>
      </c>
      <c r="BF124" s="396">
        <f t="shared" ref="BF124:BG124" si="570">+BE124</f>
        <v>0.25000000000000006</v>
      </c>
      <c r="BG124" s="505">
        <f t="shared" si="570"/>
        <v>0.25000000000000006</v>
      </c>
    </row>
    <row r="125" spans="1:59">
      <c r="B125" s="350" t="s">
        <v>117</v>
      </c>
      <c r="E125" s="346"/>
      <c r="F125" s="347"/>
      <c r="G125" s="347"/>
      <c r="H125" s="346"/>
      <c r="I125" s="347"/>
      <c r="J125" s="347"/>
      <c r="K125" s="346"/>
      <c r="L125" s="347"/>
      <c r="M125" s="347"/>
      <c r="N125" s="485"/>
      <c r="O125" s="347"/>
      <c r="P125" s="347"/>
      <c r="Q125" s="485"/>
      <c r="R125" s="352"/>
      <c r="S125" s="352"/>
      <c r="T125" s="351"/>
      <c r="U125" s="352">
        <f t="shared" si="563"/>
        <v>2.5491624180626364E-3</v>
      </c>
      <c r="V125" s="352">
        <f t="shared" si="563"/>
        <v>1.7689015691868763E-2</v>
      </c>
      <c r="W125" s="351">
        <f t="shared" si="563"/>
        <v>1.1038233882578789E-2</v>
      </c>
      <c r="X125" s="352">
        <f t="shared" si="563"/>
        <v>2.4949506950219793E-3</v>
      </c>
      <c r="Y125" s="352">
        <f t="shared" si="563"/>
        <v>1.211680600993575E-4</v>
      </c>
      <c r="Z125" s="351">
        <f t="shared" si="563"/>
        <v>1.3197360527894418E-3</v>
      </c>
      <c r="AA125" s="352">
        <f t="shared" ref="AA125" si="571">+AA118/AA$116</f>
        <v>9.0720993156135604E-2</v>
      </c>
      <c r="AB125" s="395">
        <v>0</v>
      </c>
      <c r="AC125" s="505">
        <f t="shared" si="565"/>
        <v>0</v>
      </c>
      <c r="AD125" s="396">
        <f t="shared" si="565"/>
        <v>0</v>
      </c>
      <c r="AE125" s="396">
        <f t="shared" si="565"/>
        <v>0</v>
      </c>
      <c r="AF125" s="505">
        <f t="shared" si="565"/>
        <v>0</v>
      </c>
      <c r="AG125" s="396">
        <f t="shared" si="565"/>
        <v>0</v>
      </c>
      <c r="AH125" s="396">
        <f t="shared" si="565"/>
        <v>0</v>
      </c>
      <c r="AI125" s="505">
        <f t="shared" si="565"/>
        <v>0</v>
      </c>
      <c r="AJ125" s="396">
        <f t="shared" si="565"/>
        <v>0</v>
      </c>
      <c r="AK125" s="396">
        <f t="shared" si="565"/>
        <v>0</v>
      </c>
      <c r="AL125" s="505">
        <f t="shared" si="565"/>
        <v>0</v>
      </c>
      <c r="AM125" s="396">
        <v>0.125</v>
      </c>
      <c r="AN125" s="396">
        <f t="shared" si="565"/>
        <v>0.125</v>
      </c>
      <c r="AO125" s="505">
        <f t="shared" si="565"/>
        <v>0.125</v>
      </c>
      <c r="AP125" s="396">
        <v>0.17499999999999999</v>
      </c>
      <c r="AQ125" s="396">
        <f t="shared" si="565"/>
        <v>0.17499999999999999</v>
      </c>
      <c r="AR125" s="505">
        <f t="shared" si="565"/>
        <v>0.17499999999999999</v>
      </c>
      <c r="AS125" s="396">
        <f>+AP125+1%</f>
        <v>0.185</v>
      </c>
      <c r="AT125" s="396">
        <f t="shared" si="566"/>
        <v>0.185</v>
      </c>
      <c r="AU125" s="505">
        <f t="shared" si="566"/>
        <v>0.185</v>
      </c>
      <c r="AV125" s="396">
        <f>+AS125+1%</f>
        <v>0.19500000000000001</v>
      </c>
      <c r="AW125" s="396">
        <f t="shared" si="566"/>
        <v>0.19500000000000001</v>
      </c>
      <c r="AX125" s="505">
        <f t="shared" si="566"/>
        <v>0.19500000000000001</v>
      </c>
      <c r="AY125" s="396">
        <f>+AV125+1%</f>
        <v>0.20500000000000002</v>
      </c>
      <c r="AZ125" s="396">
        <f t="shared" si="566"/>
        <v>0.20500000000000002</v>
      </c>
      <c r="BA125" s="505">
        <f t="shared" si="566"/>
        <v>0.20500000000000002</v>
      </c>
      <c r="BB125" s="396">
        <f>+AY125+1%</f>
        <v>0.21500000000000002</v>
      </c>
      <c r="BC125" s="396">
        <f t="shared" si="566"/>
        <v>0.21500000000000002</v>
      </c>
      <c r="BD125" s="505">
        <f t="shared" si="566"/>
        <v>0.21500000000000002</v>
      </c>
      <c r="BE125" s="396">
        <f>+BB125+1%</f>
        <v>0.22500000000000003</v>
      </c>
      <c r="BF125" s="396">
        <f t="shared" si="566"/>
        <v>0.22500000000000003</v>
      </c>
      <c r="BG125" s="505">
        <f t="shared" si="566"/>
        <v>0.22500000000000003</v>
      </c>
    </row>
    <row r="126" spans="1:59">
      <c r="B126" s="350" t="s">
        <v>138</v>
      </c>
      <c r="E126" s="346"/>
      <c r="F126" s="347"/>
      <c r="G126" s="347"/>
      <c r="H126" s="346"/>
      <c r="I126" s="347"/>
      <c r="J126" s="347"/>
      <c r="K126" s="346"/>
      <c r="L126" s="347"/>
      <c r="M126" s="347"/>
      <c r="N126" s="485"/>
      <c r="O126" s="347"/>
      <c r="P126" s="347"/>
      <c r="Q126" s="485"/>
      <c r="R126" s="352"/>
      <c r="S126" s="352"/>
      <c r="T126" s="351"/>
      <c r="U126" s="352">
        <f t="shared" si="563"/>
        <v>0.23707210487982516</v>
      </c>
      <c r="V126" s="352">
        <f t="shared" si="563"/>
        <v>0.20912981455064192</v>
      </c>
      <c r="W126" s="351">
        <f t="shared" si="563"/>
        <v>0.22140457526795712</v>
      </c>
      <c r="X126" s="352">
        <f t="shared" si="563"/>
        <v>0.59082808601639536</v>
      </c>
      <c r="Y126" s="352">
        <f t="shared" si="563"/>
        <v>0.77838361807827461</v>
      </c>
      <c r="Z126" s="351">
        <f t="shared" si="563"/>
        <v>0.68368326334733043</v>
      </c>
      <c r="AA126" s="352">
        <f t="shared" ref="AA126" si="572">+AA119/AA$116</f>
        <v>0.69149557005676698</v>
      </c>
      <c r="AB126" s="396">
        <f t="shared" ref="AB126:BG126" si="573">1-SUM(AB124:AB125)</f>
        <v>0.78221656321290256</v>
      </c>
      <c r="AC126" s="505">
        <f t="shared" si="573"/>
        <v>0.78221656321290256</v>
      </c>
      <c r="AD126" s="396">
        <f t="shared" si="573"/>
        <v>0.85</v>
      </c>
      <c r="AE126" s="396">
        <f t="shared" si="573"/>
        <v>0.85</v>
      </c>
      <c r="AF126" s="505">
        <f t="shared" si="573"/>
        <v>0.85</v>
      </c>
      <c r="AG126" s="396">
        <f t="shared" si="573"/>
        <v>0.85</v>
      </c>
      <c r="AH126" s="396">
        <f t="shared" si="573"/>
        <v>0.85</v>
      </c>
      <c r="AI126" s="505">
        <f t="shared" si="573"/>
        <v>0.85</v>
      </c>
      <c r="AJ126" s="396">
        <f t="shared" si="573"/>
        <v>0.8</v>
      </c>
      <c r="AK126" s="396">
        <f t="shared" si="573"/>
        <v>0.8</v>
      </c>
      <c r="AL126" s="505">
        <f t="shared" si="573"/>
        <v>0.8</v>
      </c>
      <c r="AM126" s="396">
        <f t="shared" si="573"/>
        <v>0.67500000000000004</v>
      </c>
      <c r="AN126" s="396">
        <f t="shared" si="573"/>
        <v>0.67500000000000004</v>
      </c>
      <c r="AO126" s="505">
        <f t="shared" si="573"/>
        <v>0.67500000000000004</v>
      </c>
      <c r="AP126" s="396">
        <f t="shared" si="573"/>
        <v>0.625</v>
      </c>
      <c r="AQ126" s="396">
        <f t="shared" si="573"/>
        <v>0.625</v>
      </c>
      <c r="AR126" s="505">
        <f t="shared" si="573"/>
        <v>0.625</v>
      </c>
      <c r="AS126" s="396">
        <f t="shared" si="573"/>
        <v>0.60499999999999998</v>
      </c>
      <c r="AT126" s="396">
        <f t="shared" si="573"/>
        <v>0.60499999999999998</v>
      </c>
      <c r="AU126" s="505">
        <f t="shared" si="573"/>
        <v>0.60499999999999998</v>
      </c>
      <c r="AV126" s="396">
        <f t="shared" si="573"/>
        <v>0.58499999999999996</v>
      </c>
      <c r="AW126" s="396">
        <f t="shared" si="573"/>
        <v>0.58499999999999996</v>
      </c>
      <c r="AX126" s="505">
        <f t="shared" si="573"/>
        <v>0.58499999999999996</v>
      </c>
      <c r="AY126" s="396">
        <f t="shared" si="573"/>
        <v>0.56499999999999995</v>
      </c>
      <c r="AZ126" s="396">
        <f t="shared" si="573"/>
        <v>0.56499999999999995</v>
      </c>
      <c r="BA126" s="505">
        <f t="shared" si="573"/>
        <v>0.56499999999999995</v>
      </c>
      <c r="BB126" s="396">
        <f t="shared" si="573"/>
        <v>0.54499999999999993</v>
      </c>
      <c r="BC126" s="396">
        <f t="shared" si="573"/>
        <v>0.54499999999999993</v>
      </c>
      <c r="BD126" s="505">
        <f t="shared" si="573"/>
        <v>0.54499999999999993</v>
      </c>
      <c r="BE126" s="396">
        <f t="shared" si="573"/>
        <v>0.52499999999999991</v>
      </c>
      <c r="BF126" s="396">
        <f t="shared" si="573"/>
        <v>0.52499999999999991</v>
      </c>
      <c r="BG126" s="505">
        <f t="shared" si="573"/>
        <v>0.52499999999999991</v>
      </c>
    </row>
    <row r="127" spans="1:59">
      <c r="B127" s="515"/>
      <c r="E127" s="346"/>
      <c r="F127" s="347"/>
      <c r="G127" s="347"/>
      <c r="H127" s="346"/>
      <c r="I127" s="347"/>
      <c r="J127" s="347"/>
      <c r="K127" s="346"/>
      <c r="L127" s="347"/>
      <c r="M127" s="347"/>
      <c r="N127" s="485"/>
      <c r="O127" s="347"/>
      <c r="P127" s="347"/>
      <c r="Q127" s="485"/>
      <c r="R127" s="352"/>
      <c r="S127" s="352"/>
      <c r="T127" s="351"/>
      <c r="U127" s="352"/>
      <c r="V127" s="352"/>
      <c r="W127" s="351"/>
      <c r="X127" s="352"/>
      <c r="Y127" s="352"/>
      <c r="Z127" s="351"/>
      <c r="AA127" s="352"/>
      <c r="AB127" s="489"/>
      <c r="AC127" s="485"/>
      <c r="AD127" s="479"/>
      <c r="AE127" s="489"/>
      <c r="AF127" s="485"/>
      <c r="AG127" s="479"/>
      <c r="AH127" s="489"/>
      <c r="AI127" s="485"/>
      <c r="AJ127" s="479"/>
      <c r="AK127" s="489"/>
      <c r="AL127" s="485"/>
      <c r="AM127" s="479"/>
      <c r="AN127" s="489"/>
      <c r="AO127" s="485"/>
      <c r="AP127" s="479"/>
      <c r="AQ127" s="489"/>
      <c r="AR127" s="485"/>
      <c r="AS127" s="479"/>
      <c r="AT127" s="489"/>
      <c r="AU127" s="485"/>
      <c r="AV127" s="479"/>
      <c r="AW127" s="489"/>
      <c r="AX127" s="485"/>
      <c r="AY127" s="479"/>
      <c r="AZ127" s="489"/>
      <c r="BA127" s="485"/>
      <c r="BB127" s="479"/>
      <c r="BC127" s="489"/>
      <c r="BD127" s="485"/>
      <c r="BE127" s="479"/>
      <c r="BF127" s="489"/>
      <c r="BG127" s="485"/>
    </row>
    <row r="128" spans="1:59">
      <c r="B128" s="364" t="s">
        <v>524</v>
      </c>
      <c r="C128" s="495"/>
      <c r="D128" s="495"/>
      <c r="E128" s="496"/>
      <c r="F128" s="497"/>
      <c r="G128" s="497"/>
      <c r="H128" s="496"/>
      <c r="I128" s="497"/>
      <c r="J128" s="497"/>
      <c r="K128" s="496"/>
      <c r="L128" s="497"/>
      <c r="M128" s="497"/>
      <c r="N128" s="496"/>
      <c r="O128" s="497"/>
      <c r="P128" s="497"/>
      <c r="Q128" s="496"/>
      <c r="R128" s="497"/>
      <c r="S128" s="497"/>
      <c r="T128" s="498"/>
      <c r="U128" s="497"/>
      <c r="V128" s="497"/>
      <c r="W128" s="498"/>
      <c r="X128" s="497"/>
      <c r="Y128" s="499"/>
      <c r="Z128" s="496"/>
      <c r="AA128" s="497"/>
      <c r="AB128" s="499"/>
      <c r="AC128" s="496"/>
      <c r="AD128" s="497"/>
      <c r="AE128" s="499"/>
      <c r="AF128" s="496"/>
      <c r="AG128" s="497"/>
      <c r="AH128" s="499"/>
      <c r="AI128" s="496"/>
      <c r="AJ128" s="497"/>
      <c r="AK128" s="499"/>
      <c r="AL128" s="496"/>
      <c r="AM128" s="497"/>
      <c r="AN128" s="499"/>
      <c r="AO128" s="496"/>
      <c r="AP128" s="497"/>
      <c r="AQ128" s="499"/>
      <c r="AR128" s="496"/>
      <c r="AS128" s="497"/>
      <c r="AT128" s="499"/>
      <c r="AU128" s="496"/>
      <c r="AV128" s="497"/>
      <c r="AW128" s="499"/>
      <c r="AX128" s="496"/>
      <c r="AY128" s="497"/>
      <c r="AZ128" s="499"/>
      <c r="BA128" s="496"/>
      <c r="BB128" s="497"/>
      <c r="BC128" s="499"/>
      <c r="BD128" s="496"/>
      <c r="BE128" s="497"/>
      <c r="BF128" s="499"/>
      <c r="BG128" s="496"/>
    </row>
    <row r="129" spans="1:89">
      <c r="A129" s="51" t="s">
        <v>32</v>
      </c>
      <c r="B129" s="52" t="s">
        <v>463</v>
      </c>
      <c r="E129" s="346">
        <f t="shared" ref="E129:Q129" si="574">+SUM(E131,E132,E133,E134,E144)</f>
        <v>0</v>
      </c>
      <c r="F129" s="347">
        <f t="shared" si="574"/>
        <v>0</v>
      </c>
      <c r="G129" s="347">
        <f t="shared" si="574"/>
        <v>0</v>
      </c>
      <c r="H129" s="346">
        <f t="shared" si="574"/>
        <v>0</v>
      </c>
      <c r="I129" s="347">
        <f t="shared" si="574"/>
        <v>0</v>
      </c>
      <c r="J129" s="347">
        <f t="shared" si="574"/>
        <v>0</v>
      </c>
      <c r="K129" s="346">
        <f t="shared" si="574"/>
        <v>0</v>
      </c>
      <c r="L129" s="347">
        <f t="shared" si="574"/>
        <v>0</v>
      </c>
      <c r="M129" s="347">
        <f t="shared" si="574"/>
        <v>0</v>
      </c>
      <c r="N129" s="346">
        <f t="shared" si="574"/>
        <v>0</v>
      </c>
      <c r="O129" s="347">
        <f t="shared" si="574"/>
        <v>0</v>
      </c>
      <c r="P129" s="347">
        <f t="shared" si="574"/>
        <v>0</v>
      </c>
      <c r="Q129" s="346">
        <f t="shared" si="574"/>
        <v>0</v>
      </c>
      <c r="R129" s="347">
        <v>26.638000000000002</v>
      </c>
      <c r="S129" s="347">
        <f>+SUM(S131,S132,S133,S134,S144)</f>
        <v>22.490000000000009</v>
      </c>
      <c r="T129" s="349">
        <v>49.128</v>
      </c>
      <c r="U129" s="347">
        <f t="shared" ref="U129:Z129" si="575">+SUM(U131,U132,U133,U134,U144)</f>
        <v>20.315999999999999</v>
      </c>
      <c r="V129" s="347">
        <f t="shared" si="575"/>
        <v>28.783000000000005</v>
      </c>
      <c r="W129" s="346">
        <f t="shared" si="575"/>
        <v>49.098999999999997</v>
      </c>
      <c r="X129" s="347">
        <f t="shared" si="575"/>
        <v>33.686999999999998</v>
      </c>
      <c r="Y129" s="347">
        <f t="shared" si="575"/>
        <v>39.094999999999999</v>
      </c>
      <c r="Z129" s="346">
        <f t="shared" si="575"/>
        <v>72.781999999999996</v>
      </c>
      <c r="AA129" s="347">
        <f t="shared" ref="AA129" si="576">+SUM(AA131,AA132,AA133,AA134,AA144)</f>
        <v>47.722999999999999</v>
      </c>
      <c r="AB129" s="347">
        <f>+AB130+AB134</f>
        <v>55.735659326683887</v>
      </c>
      <c r="AC129" s="346">
        <f>+SUM(AA129:AB129)</f>
        <v>103.45865932668389</v>
      </c>
      <c r="AD129" s="347">
        <f t="shared" ref="AD129:AE129" si="577">+AD130+AD134</f>
        <v>53.765612033832078</v>
      </c>
      <c r="AE129" s="347">
        <f t="shared" si="577"/>
        <v>56.419754008449303</v>
      </c>
      <c r="AF129" s="346">
        <f t="shared" ref="AF129:AF131" si="578">+SUM(AD129:AE129)</f>
        <v>110.18536604228137</v>
      </c>
      <c r="AG129" s="347">
        <f t="shared" ref="AG129:AH129" si="579">+AG130+AG134</f>
        <v>61.332576703915741</v>
      </c>
      <c r="AH129" s="347">
        <f t="shared" si="579"/>
        <v>63.305180727544958</v>
      </c>
      <c r="AI129" s="346">
        <f t="shared" ref="AI129:AI134" si="580">+SUM(AG129:AH129)</f>
        <v>124.6377574314607</v>
      </c>
      <c r="AJ129" s="347">
        <f t="shared" ref="AJ129:AK129" si="581">+AJ130+AJ134</f>
        <v>69.485046551953005</v>
      </c>
      <c r="AK129" s="347">
        <f t="shared" si="581"/>
        <v>71.761074944379658</v>
      </c>
      <c r="AL129" s="346">
        <f t="shared" ref="AL129:AL134" si="582">+SUM(AJ129:AK129)</f>
        <v>141.24612149633265</v>
      </c>
      <c r="AM129" s="347">
        <f t="shared" ref="AM129:AN129" si="583">+AM130+AM134</f>
        <v>86.905959763772614</v>
      </c>
      <c r="AN129" s="347">
        <f t="shared" si="583"/>
        <v>89.861970742651081</v>
      </c>
      <c r="AO129" s="346">
        <f t="shared" ref="AO129:AO134" si="584">+SUM(AM129:AN129)</f>
        <v>176.76793050642368</v>
      </c>
      <c r="AP129" s="347">
        <f t="shared" ref="AP129:AQ129" si="585">+AP130+AP134</f>
        <v>97.36188230254271</v>
      </c>
      <c r="AQ129" s="347">
        <f t="shared" si="585"/>
        <v>104.22215599485909</v>
      </c>
      <c r="AR129" s="346">
        <f t="shared" ref="AR129:AR134" si="586">+SUM(AP129:AQ129)</f>
        <v>201.5840382974018</v>
      </c>
      <c r="AS129" s="347">
        <f t="shared" ref="AS129:AT129" si="587">+AS130+AS134</f>
        <v>108.06595311824793</v>
      </c>
      <c r="AT129" s="347">
        <f t="shared" si="587"/>
        <v>115.80250630566854</v>
      </c>
      <c r="AU129" s="346">
        <f t="shared" ref="AU129:AU134" si="588">+SUM(AS129:AT129)</f>
        <v>223.86845942391648</v>
      </c>
      <c r="AV129" s="347">
        <f t="shared" ref="AV129:AW129" si="589">+AV130+AV134</f>
        <v>118.22004198197249</v>
      </c>
      <c r="AW129" s="347">
        <f t="shared" si="589"/>
        <v>126.77412888866077</v>
      </c>
      <c r="AX129" s="346">
        <f t="shared" ref="AX129:AX134" si="590">+SUM(AV129:AW129)</f>
        <v>244.99417087063324</v>
      </c>
      <c r="AY129" s="347">
        <f t="shared" ref="AY129:AZ129" si="591">+AY130+AY134</f>
        <v>127.17829929090118</v>
      </c>
      <c r="AZ129" s="347">
        <f t="shared" si="591"/>
        <v>136.57193947466021</v>
      </c>
      <c r="BA129" s="346">
        <f t="shared" ref="BA129:BA134" si="592">+SUM(AY129:AZ129)</f>
        <v>263.75023876556139</v>
      </c>
      <c r="BB129" s="347">
        <f t="shared" ref="BB129:BC129" si="593">+BB130+BB134</f>
        <v>135.19760159792767</v>
      </c>
      <c r="BC129" s="347">
        <f t="shared" si="593"/>
        <v>145.25907989275953</v>
      </c>
      <c r="BD129" s="346">
        <f t="shared" ref="BD129:BD134" si="594">+SUM(BB129:BC129)</f>
        <v>280.45668149068717</v>
      </c>
      <c r="BE129" s="347">
        <f t="shared" ref="BE129:BF129" si="595">+BE130+BE134</f>
        <v>141.54702045926354</v>
      </c>
      <c r="BF129" s="347">
        <f t="shared" si="595"/>
        <v>152.14058776035679</v>
      </c>
      <c r="BG129" s="346">
        <f t="shared" ref="BG129:BG134" si="596">+SUM(BE129:BF129)</f>
        <v>293.6876082196203</v>
      </c>
    </row>
    <row r="130" spans="1:89">
      <c r="B130" s="52" t="s">
        <v>525</v>
      </c>
      <c r="E130" s="346"/>
      <c r="F130" s="347"/>
      <c r="G130" s="347"/>
      <c r="H130" s="346"/>
      <c r="I130" s="347"/>
      <c r="J130" s="347"/>
      <c r="K130" s="346"/>
      <c r="L130" s="347"/>
      <c r="M130" s="347"/>
      <c r="N130" s="346"/>
      <c r="O130" s="347"/>
      <c r="P130" s="347"/>
      <c r="Q130" s="346"/>
      <c r="R130" s="347"/>
      <c r="S130" s="347"/>
      <c r="T130" s="346"/>
      <c r="U130" s="347">
        <f>+SUM(U131:U133)</f>
        <v>10.626999999999999</v>
      </c>
      <c r="V130" s="347">
        <f t="shared" ref="V130:Z130" si="597">+SUM(V131:V133)</f>
        <v>12.741000000000001</v>
      </c>
      <c r="W130" s="346">
        <f t="shared" si="597"/>
        <v>23.367999999999999</v>
      </c>
      <c r="X130" s="347">
        <f t="shared" si="597"/>
        <v>13.085999999999999</v>
      </c>
      <c r="Y130" s="347">
        <f t="shared" si="597"/>
        <v>18.805000000000003</v>
      </c>
      <c r="Z130" s="346">
        <f t="shared" si="597"/>
        <v>31.891000000000002</v>
      </c>
      <c r="AA130" s="347">
        <f t="shared" ref="AA130" si="598">+SUM(AA131:AA133)</f>
        <v>20.434999999999999</v>
      </c>
      <c r="AB130" s="347">
        <f t="shared" ref="AB130" si="599">+SUM(AB131:AB133)</f>
        <v>20.542096046919958</v>
      </c>
      <c r="AC130" s="346">
        <f>+SUM(AA130:AB130)</f>
        <v>40.977096046919954</v>
      </c>
      <c r="AD130" s="347">
        <f t="shared" ref="AD130:AE130" si="600">+SUM(AD131:AD133)</f>
        <v>20.527944813532834</v>
      </c>
      <c r="AE130" s="347">
        <f t="shared" si="600"/>
        <v>21.589601603379723</v>
      </c>
      <c r="AF130" s="346">
        <f t="shared" si="578"/>
        <v>42.11754641691256</v>
      </c>
      <c r="AG130" s="347">
        <f t="shared" ref="AG130:AH130" si="601">+SUM(AG131:AG133)</f>
        <v>23.505815681566297</v>
      </c>
      <c r="AH130" s="347">
        <f t="shared" si="601"/>
        <v>24.294857291017983</v>
      </c>
      <c r="AI130" s="346">
        <f t="shared" si="580"/>
        <v>47.80067297258428</v>
      </c>
      <c r="AJ130" s="347">
        <f t="shared" ref="AJ130:AK130" si="602">+SUM(AJ131:AJ133)</f>
        <v>26.71544279754459</v>
      </c>
      <c r="AK130" s="347">
        <f t="shared" si="602"/>
        <v>27.625854151526006</v>
      </c>
      <c r="AL130" s="346">
        <f t="shared" si="582"/>
        <v>54.341296949070596</v>
      </c>
      <c r="AM130" s="347">
        <f t="shared" ref="AM130:AN130" si="603">+SUM(AM131:AM133)</f>
        <v>31.652072086517499</v>
      </c>
      <c r="AN130" s="347">
        <f t="shared" si="603"/>
        <v>32.753749650252907</v>
      </c>
      <c r="AO130" s="346">
        <f t="shared" si="584"/>
        <v>64.405821736770406</v>
      </c>
      <c r="AP130" s="347">
        <f t="shared" ref="AP130:AQ130" si="604">+SUM(AP131:AP133)</f>
        <v>34.946961506184337</v>
      </c>
      <c r="AQ130" s="347">
        <f t="shared" si="604"/>
        <v>37.476206185953366</v>
      </c>
      <c r="AR130" s="346">
        <f t="shared" si="586"/>
        <v>72.423167692137696</v>
      </c>
      <c r="AS130" s="347">
        <f t="shared" ref="AS130:AT130" si="605">+SUM(AS131:AS133)</f>
        <v>38.749134874731162</v>
      </c>
      <c r="AT130" s="347">
        <f t="shared" si="605"/>
        <v>41.598690615988872</v>
      </c>
      <c r="AU130" s="346">
        <f t="shared" si="588"/>
        <v>80.347825490720027</v>
      </c>
      <c r="AV130" s="347">
        <f t="shared" ref="AV130:AW130" si="606">+SUM(AV131:AV133)</f>
        <v>42.448241650763485</v>
      </c>
      <c r="AW130" s="347">
        <f t="shared" si="606"/>
        <v>45.606854231738794</v>
      </c>
      <c r="AX130" s="346">
        <f t="shared" si="590"/>
        <v>88.055095882502286</v>
      </c>
      <c r="AY130" s="347">
        <f t="shared" ref="AY130:AZ130" si="607">+SUM(AY131:AY133)</f>
        <v>45.889985922505296</v>
      </c>
      <c r="AZ130" s="347">
        <f t="shared" si="607"/>
        <v>49.36923018745302</v>
      </c>
      <c r="BA130" s="346">
        <f t="shared" si="592"/>
        <v>95.259216109958317</v>
      </c>
      <c r="BB130" s="347">
        <f t="shared" ref="BB130:BC130" si="608">+SUM(BB131:BB133)</f>
        <v>49.1031440512958</v>
      </c>
      <c r="BC130" s="347">
        <f t="shared" si="608"/>
        <v>52.860410292512718</v>
      </c>
      <c r="BD130" s="346">
        <f t="shared" si="594"/>
        <v>101.96355434380851</v>
      </c>
      <c r="BE130" s="347">
        <f t="shared" ref="BE130:BF130" si="609">+SUM(BE131:BE133)</f>
        <v>51.860466358311371</v>
      </c>
      <c r="BF130" s="347">
        <f t="shared" si="609"/>
        <v>55.86002428105909</v>
      </c>
      <c r="BG130" s="346">
        <f t="shared" si="596"/>
        <v>107.72049063937047</v>
      </c>
    </row>
    <row r="131" spans="1:89">
      <c r="A131" s="51" t="s">
        <v>526</v>
      </c>
      <c r="B131" s="350" t="s">
        <v>99</v>
      </c>
      <c r="E131" s="485"/>
      <c r="F131" s="479"/>
      <c r="G131" s="479"/>
      <c r="H131" s="485"/>
      <c r="I131" s="479"/>
      <c r="J131" s="479"/>
      <c r="K131" s="485"/>
      <c r="L131" s="479"/>
      <c r="M131" s="479"/>
      <c r="N131" s="485"/>
      <c r="O131" s="479"/>
      <c r="P131" s="479"/>
      <c r="Q131" s="485"/>
      <c r="R131" s="376">
        <v>11.65</v>
      </c>
      <c r="S131" s="479">
        <f>T131-R131</f>
        <v>31.883614173228352</v>
      </c>
      <c r="T131" s="485">
        <f>+W131/W$130*T$129</f>
        <v>43.533614173228351</v>
      </c>
      <c r="U131" s="376">
        <v>9.4209999999999994</v>
      </c>
      <c r="V131" s="479">
        <f>W131-U131</f>
        <v>11.286000000000001</v>
      </c>
      <c r="W131" s="377">
        <v>20.707000000000001</v>
      </c>
      <c r="X131" s="376">
        <v>11.577999999999999</v>
      </c>
      <c r="Y131" s="479">
        <f>Z131-X131</f>
        <v>16.199000000000002</v>
      </c>
      <c r="Z131" s="377">
        <v>27.777000000000001</v>
      </c>
      <c r="AA131" s="376">
        <v>11.317</v>
      </c>
      <c r="AB131" s="479">
        <f>+AB19*AB139</f>
        <v>15.852096046919957</v>
      </c>
      <c r="AC131" s="485">
        <f>+SUM(AA131:AB131)</f>
        <v>27.169096046919957</v>
      </c>
      <c r="AD131" s="479">
        <f>+AD19*AD139</f>
        <v>17.073444813532831</v>
      </c>
      <c r="AE131" s="479">
        <f>+AE19*AE139</f>
        <v>18.13510160337972</v>
      </c>
      <c r="AF131" s="485">
        <f t="shared" si="578"/>
        <v>35.208546416912554</v>
      </c>
      <c r="AG131" s="479">
        <f>+AG19*AG139</f>
        <v>19.878590681566294</v>
      </c>
      <c r="AH131" s="479">
        <f>+AH19*AH139</f>
        <v>20.667632291017984</v>
      </c>
      <c r="AI131" s="485">
        <f t="shared" si="580"/>
        <v>40.546222972584275</v>
      </c>
      <c r="AJ131" s="479">
        <f>+AJ19*AJ139</f>
        <v>22.906856517029333</v>
      </c>
      <c r="AK131" s="479">
        <f>+AK19*AK139</f>
        <v>23.817267869765228</v>
      </c>
      <c r="AL131" s="485">
        <f t="shared" si="582"/>
        <v>46.724124386794557</v>
      </c>
      <c r="AM131" s="479">
        <f>+AM19*AM139</f>
        <v>26.828970156729355</v>
      </c>
      <c r="AN131" s="479">
        <f>+AN19*AN139</f>
        <v>27.897011542208102</v>
      </c>
      <c r="AO131" s="485">
        <f t="shared" si="584"/>
        <v>54.72598169893746</v>
      </c>
      <c r="AP131" s="479">
        <f>+AP19*AP139</f>
        <v>29.589362597057104</v>
      </c>
      <c r="AQ131" s="479">
        <f>+AQ19*AQ139</f>
        <v>32.004189306674014</v>
      </c>
      <c r="AR131" s="485">
        <f t="shared" si="586"/>
        <v>61.593551903731118</v>
      </c>
      <c r="AS131" s="479">
        <f>+AS19*AS139</f>
        <v>32.947479027049354</v>
      </c>
      <c r="AT131" s="479">
        <f>+AT19*AT139</f>
        <v>35.63674558823525</v>
      </c>
      <c r="AU131" s="485">
        <f t="shared" si="588"/>
        <v>68.584224615284597</v>
      </c>
      <c r="AV131" s="479">
        <f>+AV19*AV139</f>
        <v>36.170314453784023</v>
      </c>
      <c r="AW131" s="479">
        <f>+AW19*AW139</f>
        <v>39.119418267834092</v>
      </c>
      <c r="AX131" s="485">
        <f t="shared" si="590"/>
        <v>75.289732721618122</v>
      </c>
      <c r="AY131" s="479">
        <f>+AY19*AY139</f>
        <v>39.157758987502412</v>
      </c>
      <c r="AZ131" s="479">
        <f>+AZ19*AZ139</f>
        <v>42.369430488146435</v>
      </c>
      <c r="BA131" s="485">
        <f t="shared" si="592"/>
        <v>81.527189475648839</v>
      </c>
      <c r="BB131" s="479">
        <f>+BB19*BB139</f>
        <v>41.909227527145973</v>
      </c>
      <c r="BC131" s="479">
        <f>+BC19*BC139</f>
        <v>45.344967917944132</v>
      </c>
      <c r="BD131" s="485">
        <f t="shared" si="594"/>
        <v>87.254195445090104</v>
      </c>
      <c r="BE131" s="479">
        <f>+BE19*BE139</f>
        <v>44.250202913633693</v>
      </c>
      <c r="BF131" s="479">
        <f>+BF19*BF139</f>
        <v>47.87589836324635</v>
      </c>
      <c r="BG131" s="485">
        <f t="shared" si="596"/>
        <v>92.126101276880036</v>
      </c>
    </row>
    <row r="132" spans="1:89">
      <c r="A132" s="51" t="s">
        <v>527</v>
      </c>
      <c r="B132" s="350" t="s">
        <v>117</v>
      </c>
      <c r="E132" s="485"/>
      <c r="F132" s="479"/>
      <c r="G132" s="479"/>
      <c r="H132" s="485"/>
      <c r="I132" s="479"/>
      <c r="J132" s="479"/>
      <c r="K132" s="485"/>
      <c r="L132" s="479"/>
      <c r="M132" s="479"/>
      <c r="N132" s="485"/>
      <c r="O132" s="479"/>
      <c r="P132" s="479"/>
      <c r="Q132" s="485"/>
      <c r="R132" s="376">
        <v>7.968</v>
      </c>
      <c r="S132" s="479">
        <f>T132-R132</f>
        <v>-7.5790629921259844</v>
      </c>
      <c r="T132" s="485">
        <f>+W132/W$130*T$129</f>
        <v>0.38893700787401575</v>
      </c>
      <c r="U132" s="376">
        <v>2.8000000000000001E-2</v>
      </c>
      <c r="V132" s="479">
        <f>W132-U132</f>
        <v>0.157</v>
      </c>
      <c r="W132" s="377">
        <v>0.185</v>
      </c>
      <c r="X132" s="376">
        <v>2.9000000000000001E-2</v>
      </c>
      <c r="Y132" s="479">
        <f>Z132-X132</f>
        <v>0.10800000000000001</v>
      </c>
      <c r="Z132" s="377">
        <v>0.13700000000000001</v>
      </c>
      <c r="AA132" s="376">
        <v>2.0019999999999998</v>
      </c>
      <c r="AB132" s="479">
        <f>+AB29*AB140</f>
        <v>0.04</v>
      </c>
      <c r="AC132" s="485">
        <f t="shared" ref="AC132:AC134" si="610">+SUM(AA132:AB132)</f>
        <v>2.0419999999999998</v>
      </c>
      <c r="AD132" s="479">
        <f>+AD29*AD140</f>
        <v>4.2000000000000003E-2</v>
      </c>
      <c r="AE132" s="479">
        <f>+AE29*AE140</f>
        <v>4.2000000000000003E-2</v>
      </c>
      <c r="AF132" s="485">
        <f t="shared" ref="AF132:AF134" si="611">+SUM(AD132:AE132)</f>
        <v>8.4000000000000005E-2</v>
      </c>
      <c r="AG132" s="479">
        <f>+AG29*AG140</f>
        <v>4.41E-2</v>
      </c>
      <c r="AH132" s="479">
        <f>+AH29*AH140</f>
        <v>4.41E-2</v>
      </c>
      <c r="AI132" s="485">
        <f t="shared" si="580"/>
        <v>8.8200000000000001E-2</v>
      </c>
      <c r="AJ132" s="479">
        <f>+AJ29*AJ140</f>
        <v>4.6305030515255259E-2</v>
      </c>
      <c r="AK132" s="479">
        <f>+AK29*AK140</f>
        <v>4.630503176077589E-2</v>
      </c>
      <c r="AL132" s="485">
        <f t="shared" si="582"/>
        <v>9.2610062276031149E-2</v>
      </c>
      <c r="AM132" s="479">
        <f>+AM29*AM140</f>
        <v>0.87270661728814491</v>
      </c>
      <c r="AN132" s="479">
        <f>+AN29*AN140</f>
        <v>0.90634279554480379</v>
      </c>
      <c r="AO132" s="485">
        <f t="shared" si="584"/>
        <v>1.7790494128329488</v>
      </c>
      <c r="AP132" s="479">
        <f>+AP29*AP140</f>
        <v>1.5059634794397352</v>
      </c>
      <c r="AQ132" s="479">
        <f>+AQ29*AQ140</f>
        <v>1.62038144959185</v>
      </c>
      <c r="AR132" s="485">
        <f t="shared" si="586"/>
        <v>3.1263449290315855</v>
      </c>
      <c r="AS132" s="479">
        <f>+AS29*AS140</f>
        <v>2.0685322773693104</v>
      </c>
      <c r="AT132" s="479">
        <f>+AT29*AT140</f>
        <v>2.2288214574411178</v>
      </c>
      <c r="AU132" s="485">
        <f t="shared" si="588"/>
        <v>4.2973537348104287</v>
      </c>
      <c r="AV132" s="479">
        <f>+AV29*AV140</f>
        <v>2.684795760553675</v>
      </c>
      <c r="AW132" s="479">
        <f>+AW29*AW140</f>
        <v>2.8943045274789161</v>
      </c>
      <c r="AX132" s="485">
        <f t="shared" si="590"/>
        <v>5.5791002880325911</v>
      </c>
      <c r="AY132" s="479">
        <f>+AY29*AY140</f>
        <v>3.3024196547782743</v>
      </c>
      <c r="AZ132" s="479">
        <f>+AZ29*AZ140</f>
        <v>3.5699924190819794</v>
      </c>
      <c r="BA132" s="485">
        <f t="shared" si="592"/>
        <v>6.8724120738602537</v>
      </c>
      <c r="BB132" s="479">
        <f>+BB29*BB140</f>
        <v>3.952748644337571</v>
      </c>
      <c r="BC132" s="479">
        <f>+BC29*BC140</f>
        <v>4.2742744947563294</v>
      </c>
      <c r="BD132" s="485">
        <f t="shared" si="594"/>
        <v>8.2270231390938999</v>
      </c>
      <c r="BE132" s="479">
        <f>+BE29*BE140</f>
        <v>4.5851734235195698</v>
      </c>
      <c r="BF132" s="479">
        <f>+BF29*BF140</f>
        <v>4.9590358966546306</v>
      </c>
      <c r="BG132" s="485">
        <f t="shared" si="596"/>
        <v>9.5442093201742004</v>
      </c>
    </row>
    <row r="133" spans="1:89">
      <c r="A133" s="51" t="s">
        <v>528</v>
      </c>
      <c r="B133" s="350" t="s">
        <v>138</v>
      </c>
      <c r="E133" s="485"/>
      <c r="F133" s="479"/>
      <c r="G133" s="479"/>
      <c r="H133" s="485"/>
      <c r="I133" s="479"/>
      <c r="J133" s="479"/>
      <c r="K133" s="485"/>
      <c r="L133" s="479"/>
      <c r="M133" s="479"/>
      <c r="N133" s="485"/>
      <c r="O133" s="479"/>
      <c r="P133" s="479"/>
      <c r="Q133" s="485"/>
      <c r="R133" s="376">
        <v>7.02</v>
      </c>
      <c r="S133" s="479">
        <f>T133-R133</f>
        <v>-1.8145511811023614</v>
      </c>
      <c r="T133" s="485">
        <f>+W133/W$130*T$129</f>
        <v>5.2054488188976382</v>
      </c>
      <c r="U133" s="376">
        <v>1.1779999999999999</v>
      </c>
      <c r="V133" s="479">
        <f>W133-U133</f>
        <v>1.298</v>
      </c>
      <c r="W133" s="377">
        <v>2.476</v>
      </c>
      <c r="X133" s="376">
        <v>1.4790000000000001</v>
      </c>
      <c r="Y133" s="479">
        <f>Z133-X133</f>
        <v>2.4979999999999998</v>
      </c>
      <c r="Z133" s="377">
        <v>3.9769999999999999</v>
      </c>
      <c r="AA133" s="376">
        <v>7.1159999999999997</v>
      </c>
      <c r="AB133" s="479">
        <f>+AB35*AB141</f>
        <v>4.6500000000000004</v>
      </c>
      <c r="AC133" s="485">
        <f t="shared" si="610"/>
        <v>11.766</v>
      </c>
      <c r="AD133" s="479">
        <f>+AD35*AD141</f>
        <v>3.4125000000000005</v>
      </c>
      <c r="AE133" s="479">
        <f>+AE35*AE141</f>
        <v>3.4125000000000005</v>
      </c>
      <c r="AF133" s="485">
        <f t="shared" si="611"/>
        <v>6.8250000000000011</v>
      </c>
      <c r="AG133" s="479">
        <f>+AG35*AG141</f>
        <v>3.5831250000000008</v>
      </c>
      <c r="AH133" s="479">
        <f>+AH35*AH141</f>
        <v>3.5831250000000008</v>
      </c>
      <c r="AI133" s="485">
        <f t="shared" si="580"/>
        <v>7.1662500000000016</v>
      </c>
      <c r="AJ133" s="479">
        <f>+AJ35*AJ141</f>
        <v>3.7622812500000009</v>
      </c>
      <c r="AK133" s="479">
        <f>+AK35*AK141</f>
        <v>3.7622812500000009</v>
      </c>
      <c r="AL133" s="485">
        <f t="shared" si="582"/>
        <v>7.5245625000000018</v>
      </c>
      <c r="AM133" s="479">
        <f>+AM35*AM141</f>
        <v>3.9503953125000009</v>
      </c>
      <c r="AN133" s="479">
        <f>+AN35*AN141</f>
        <v>3.9503953125000009</v>
      </c>
      <c r="AO133" s="485">
        <f t="shared" si="584"/>
        <v>7.9007906250000017</v>
      </c>
      <c r="AP133" s="479">
        <f>+AP35*AP141</f>
        <v>3.8516354296875011</v>
      </c>
      <c r="AQ133" s="479">
        <f>+AQ35*AQ141</f>
        <v>3.8516354296875011</v>
      </c>
      <c r="AR133" s="485">
        <f t="shared" si="586"/>
        <v>7.7032708593750021</v>
      </c>
      <c r="AS133" s="479">
        <f>+AS35*AS141</f>
        <v>3.7331235703125016</v>
      </c>
      <c r="AT133" s="479">
        <f>+AT35*AT141</f>
        <v>3.7331235703125016</v>
      </c>
      <c r="AU133" s="485">
        <f t="shared" si="588"/>
        <v>7.4662471406250033</v>
      </c>
      <c r="AV133" s="479">
        <f>+AV35*AV141</f>
        <v>3.5931314364257836</v>
      </c>
      <c r="AW133" s="479">
        <f>+AW35*AW141</f>
        <v>3.5931314364257836</v>
      </c>
      <c r="AX133" s="485">
        <f t="shared" si="590"/>
        <v>7.1862628728515672</v>
      </c>
      <c r="AY133" s="479">
        <f>+AY35*AY141</f>
        <v>3.4298072802246109</v>
      </c>
      <c r="AZ133" s="479">
        <f>+AZ35*AZ141</f>
        <v>3.4298072802246109</v>
      </c>
      <c r="BA133" s="485">
        <f t="shared" si="592"/>
        <v>6.8596145604492218</v>
      </c>
      <c r="BB133" s="479">
        <f>+BB35*BB141</f>
        <v>3.2411678798122581</v>
      </c>
      <c r="BC133" s="479">
        <f>+BC35*BC141</f>
        <v>3.2411678798122581</v>
      </c>
      <c r="BD133" s="485">
        <f t="shared" si="594"/>
        <v>6.4823357596245161</v>
      </c>
      <c r="BE133" s="479">
        <f>+BE35*BE141</f>
        <v>3.0250900211581082</v>
      </c>
      <c r="BF133" s="479">
        <f>+BF35*BF141</f>
        <v>3.0250900211581082</v>
      </c>
      <c r="BG133" s="485">
        <f t="shared" si="596"/>
        <v>6.0501800423162164</v>
      </c>
    </row>
    <row r="134" spans="1:89">
      <c r="A134" s="51" t="s">
        <v>145</v>
      </c>
      <c r="B134" s="500" t="s">
        <v>529</v>
      </c>
      <c r="E134" s="485"/>
      <c r="F134" s="479"/>
      <c r="G134" s="479"/>
      <c r="H134" s="485"/>
      <c r="I134" s="479"/>
      <c r="J134" s="479"/>
      <c r="K134" s="485"/>
      <c r="L134" s="479"/>
      <c r="M134" s="479"/>
      <c r="N134" s="485"/>
      <c r="O134" s="479"/>
      <c r="P134" s="479"/>
      <c r="Q134" s="485"/>
      <c r="R134" s="352"/>
      <c r="S134" s="352"/>
      <c r="T134" s="351"/>
      <c r="U134" s="412">
        <v>9.9600000000000009</v>
      </c>
      <c r="V134" s="413">
        <f>+W134-U134</f>
        <v>16.34</v>
      </c>
      <c r="W134" s="377">
        <v>26.3</v>
      </c>
      <c r="X134" s="376">
        <v>26.056000000000001</v>
      </c>
      <c r="Y134" s="413">
        <f>+Z134-X134</f>
        <v>27.370999999999999</v>
      </c>
      <c r="Z134" s="377">
        <v>53.427</v>
      </c>
      <c r="AA134" s="376">
        <v>27.288</v>
      </c>
      <c r="AB134" s="479">
        <f>+AB17*AB142</f>
        <v>35.193563279763929</v>
      </c>
      <c r="AC134" s="485">
        <f t="shared" si="610"/>
        <v>62.481563279763932</v>
      </c>
      <c r="AD134" s="479">
        <f>+AD17*AD142</f>
        <v>33.237667220299244</v>
      </c>
      <c r="AE134" s="479">
        <f>+AE17*AE142</f>
        <v>34.830152405069576</v>
      </c>
      <c r="AF134" s="485">
        <f t="shared" si="611"/>
        <v>68.067819625368827</v>
      </c>
      <c r="AG134" s="479">
        <f>+AG17*AG142</f>
        <v>37.826761022349444</v>
      </c>
      <c r="AH134" s="479">
        <f>+AH17*AH142</f>
        <v>39.010323436526974</v>
      </c>
      <c r="AI134" s="485">
        <f t="shared" si="580"/>
        <v>76.837084458876419</v>
      </c>
      <c r="AJ134" s="479">
        <f>+AJ17*AJ142</f>
        <v>42.769603754408415</v>
      </c>
      <c r="AK134" s="479">
        <f>+AK17*AK142</f>
        <v>44.135220792853652</v>
      </c>
      <c r="AL134" s="485">
        <f t="shared" si="582"/>
        <v>86.904824547262066</v>
      </c>
      <c r="AM134" s="479">
        <f>+AM17*AM142</f>
        <v>55.253887677255122</v>
      </c>
      <c r="AN134" s="479">
        <f>+AN17*AN142</f>
        <v>57.108221092398175</v>
      </c>
      <c r="AO134" s="485">
        <f t="shared" si="584"/>
        <v>112.3621087696533</v>
      </c>
      <c r="AP134" s="479">
        <f>+AP17*AP142</f>
        <v>62.414920796358373</v>
      </c>
      <c r="AQ134" s="479">
        <f>+AQ17*AQ142</f>
        <v>66.745949808905735</v>
      </c>
      <c r="AR134" s="485">
        <f t="shared" si="586"/>
        <v>129.16087060526411</v>
      </c>
      <c r="AS134" s="479">
        <f>+AS17*AS142</f>
        <v>69.316818243516764</v>
      </c>
      <c r="AT134" s="479">
        <f>+AT17*AT142</f>
        <v>74.203815689679672</v>
      </c>
      <c r="AU134" s="485">
        <f t="shared" si="588"/>
        <v>143.52063393319645</v>
      </c>
      <c r="AV134" s="479">
        <f>+AV17*AV142</f>
        <v>75.771800331209008</v>
      </c>
      <c r="AW134" s="479">
        <f>+AW17*AW142</f>
        <v>81.167274656921975</v>
      </c>
      <c r="AX134" s="485">
        <f t="shared" si="590"/>
        <v>156.93907498813098</v>
      </c>
      <c r="AY134" s="479">
        <f>+AY17*AY142</f>
        <v>81.28831336839589</v>
      </c>
      <c r="AZ134" s="479">
        <f>+AZ17*AZ142</f>
        <v>87.202709287207199</v>
      </c>
      <c r="BA134" s="485">
        <f t="shared" si="592"/>
        <v>168.4910226556031</v>
      </c>
      <c r="BB134" s="479">
        <f>+BB17*BB142</f>
        <v>86.094457546631872</v>
      </c>
      <c r="BC134" s="479">
        <f>+BC17*BC142</f>
        <v>92.398669600246805</v>
      </c>
      <c r="BD134" s="485">
        <f t="shared" si="594"/>
        <v>178.49312714687869</v>
      </c>
      <c r="BE134" s="479">
        <f>+BE17*BE142</f>
        <v>89.686554100952151</v>
      </c>
      <c r="BF134" s="479">
        <f>+BF17*BF142</f>
        <v>96.280563479297697</v>
      </c>
      <c r="BG134" s="485">
        <f t="shared" si="596"/>
        <v>185.96711758024986</v>
      </c>
    </row>
    <row r="135" spans="1:89">
      <c r="B135" s="52"/>
      <c r="E135" s="346"/>
      <c r="F135" s="347"/>
      <c r="G135" s="347"/>
      <c r="H135" s="346"/>
      <c r="I135" s="347"/>
      <c r="J135" s="347"/>
      <c r="K135" s="346"/>
      <c r="L135" s="347"/>
      <c r="M135" s="347"/>
      <c r="N135" s="346"/>
      <c r="O135" s="347"/>
      <c r="P135" s="347"/>
      <c r="Q135" s="346"/>
      <c r="R135" s="347"/>
      <c r="S135" s="347"/>
      <c r="T135" s="346"/>
      <c r="U135" s="348"/>
      <c r="V135" s="347"/>
      <c r="W135" s="346"/>
      <c r="X135" s="348"/>
      <c r="Y135" s="347"/>
      <c r="Z135" s="346"/>
      <c r="AA135" s="348"/>
      <c r="AB135" s="347"/>
      <c r="AC135" s="346"/>
      <c r="AD135" s="347"/>
      <c r="AE135" s="347"/>
      <c r="AF135" s="346"/>
      <c r="AG135" s="347"/>
      <c r="AH135" s="347"/>
      <c r="AI135" s="346"/>
      <c r="AJ135" s="347"/>
      <c r="AK135" s="347"/>
      <c r="AL135" s="346"/>
      <c r="AM135" s="347"/>
      <c r="AN135" s="347"/>
      <c r="AO135" s="346"/>
      <c r="AP135" s="347"/>
      <c r="AQ135" s="347"/>
      <c r="AR135" s="346"/>
      <c r="AS135" s="347"/>
      <c r="AT135" s="347"/>
      <c r="AU135" s="346"/>
      <c r="AV135" s="347"/>
      <c r="AW135" s="347"/>
      <c r="AX135" s="346"/>
      <c r="AY135" s="347"/>
      <c r="AZ135" s="347"/>
      <c r="BA135" s="346"/>
      <c r="BB135" s="347"/>
      <c r="BC135" s="347"/>
      <c r="BD135" s="346"/>
      <c r="BE135" s="347"/>
      <c r="BF135" s="347"/>
      <c r="BG135" s="346"/>
    </row>
    <row r="136" spans="1:89" s="52" customFormat="1">
      <c r="A136" s="51"/>
      <c r="B136" s="52" t="s">
        <v>488</v>
      </c>
      <c r="C136" s="53"/>
      <c r="D136" s="53"/>
      <c r="E136" s="346"/>
      <c r="F136" s="347"/>
      <c r="G136" s="347"/>
      <c r="H136" s="346"/>
      <c r="I136" s="347"/>
      <c r="J136" s="347"/>
      <c r="K136" s="346"/>
      <c r="L136" s="347"/>
      <c r="M136" s="347"/>
      <c r="N136" s="346"/>
      <c r="O136" s="347"/>
      <c r="P136" s="347"/>
      <c r="Q136" s="346"/>
      <c r="R136" s="347"/>
      <c r="S136" s="347"/>
      <c r="T136" s="346"/>
      <c r="U136" s="348"/>
      <c r="V136" s="347"/>
      <c r="W136" s="346"/>
      <c r="X136" s="348"/>
      <c r="Y136" s="347"/>
      <c r="Z136" s="346"/>
      <c r="AA136" s="348"/>
      <c r="AB136" s="347"/>
      <c r="AC136" s="346"/>
      <c r="AD136" s="347"/>
      <c r="AE136" s="347"/>
      <c r="AF136" s="346"/>
      <c r="AG136" s="347"/>
      <c r="AH136" s="347"/>
      <c r="AI136" s="346"/>
      <c r="AJ136" s="347"/>
      <c r="AK136" s="347"/>
      <c r="AL136" s="346"/>
      <c r="AM136" s="347"/>
      <c r="AN136" s="347"/>
      <c r="AO136" s="346"/>
      <c r="AP136" s="347"/>
      <c r="AQ136" s="347"/>
      <c r="AR136" s="346"/>
      <c r="AS136" s="347"/>
      <c r="AT136" s="347"/>
      <c r="AU136" s="346"/>
      <c r="AV136" s="347"/>
      <c r="AW136" s="347"/>
      <c r="AX136" s="346"/>
      <c r="AY136" s="347"/>
      <c r="AZ136" s="347"/>
      <c r="BA136" s="346"/>
      <c r="BB136" s="347"/>
      <c r="BC136" s="347"/>
      <c r="BD136" s="346"/>
      <c r="BE136" s="347"/>
      <c r="BF136" s="347"/>
      <c r="BG136" s="346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53"/>
      <c r="CH136" s="53"/>
      <c r="CI136" s="53"/>
      <c r="CJ136" s="53"/>
      <c r="CK136" s="53"/>
    </row>
    <row r="137" spans="1:89" s="52" customFormat="1">
      <c r="A137" s="408"/>
      <c r="B137" s="52" t="s">
        <v>463</v>
      </c>
      <c r="E137" s="346"/>
      <c r="F137" s="347"/>
      <c r="G137" s="347"/>
      <c r="H137" s="346"/>
      <c r="I137" s="347"/>
      <c r="J137" s="347"/>
      <c r="K137" s="346"/>
      <c r="L137" s="347"/>
      <c r="M137" s="347"/>
      <c r="N137" s="346"/>
      <c r="O137" s="347"/>
      <c r="P137" s="347"/>
      <c r="Q137" s="346"/>
      <c r="R137" s="347"/>
      <c r="S137" s="347"/>
      <c r="T137" s="405"/>
      <c r="U137" s="352">
        <f t="shared" ref="U137:Z138" si="612">+U129/U$17</f>
        <v>0.13654785829026164</v>
      </c>
      <c r="V137" s="352">
        <f t="shared" si="612"/>
        <v>0.15626374222970224</v>
      </c>
      <c r="W137" s="351">
        <f t="shared" si="612"/>
        <v>0.14745418616244918</v>
      </c>
      <c r="X137" s="352">
        <f t="shared" si="612"/>
        <v>0.14059037356381801</v>
      </c>
      <c r="Y137" s="352">
        <f t="shared" si="612"/>
        <v>0.14116776197010183</v>
      </c>
      <c r="Z137" s="351">
        <f t="shared" si="612"/>
        <v>0.14089993050057012</v>
      </c>
      <c r="AA137" s="352">
        <f t="shared" ref="AA137" si="613">+AA129/AA$17</f>
        <v>0.12225413017248224</v>
      </c>
      <c r="AB137" s="352">
        <f>+AB129/AB17</f>
        <v>0.13461356569973068</v>
      </c>
      <c r="AC137" s="351">
        <f t="shared" ref="AC137:BG137" si="614">+AC129/AC17</f>
        <v>0.1286157892584098</v>
      </c>
      <c r="AD137" s="352">
        <f t="shared" si="614"/>
        <v>0.12132081580246055</v>
      </c>
      <c r="AE137" s="352">
        <f t="shared" si="614"/>
        <v>0.12148903345073504</v>
      </c>
      <c r="AF137" s="351">
        <f t="shared" si="614"/>
        <v>0.12140689240016661</v>
      </c>
      <c r="AG137" s="352">
        <f t="shared" si="614"/>
        <v>0.12160552816234689</v>
      </c>
      <c r="AH137" s="352">
        <f t="shared" si="614"/>
        <v>0.12170851549823931</v>
      </c>
      <c r="AI137" s="351">
        <f t="shared" si="614"/>
        <v>0.12165781501460478</v>
      </c>
      <c r="AJ137" s="352">
        <f t="shared" si="614"/>
        <v>0.12184771505766687</v>
      </c>
      <c r="AK137" s="352">
        <f t="shared" si="614"/>
        <v>0.12194525198115554</v>
      </c>
      <c r="AL137" s="351">
        <f t="shared" si="614"/>
        <v>0.12189724986400303</v>
      </c>
      <c r="AM137" s="352">
        <f t="shared" si="614"/>
        <v>0.11796359055049829</v>
      </c>
      <c r="AN137" s="352">
        <f t="shared" si="614"/>
        <v>0.11801536935977092</v>
      </c>
      <c r="AO137" s="351">
        <f t="shared" si="614"/>
        <v>0.117989907212941</v>
      </c>
      <c r="AP137" s="352">
        <f t="shared" si="614"/>
        <v>0.11309373426852432</v>
      </c>
      <c r="AQ137" s="352">
        <f t="shared" si="614"/>
        <v>0.11320696358746088</v>
      </c>
      <c r="AR137" s="351">
        <f t="shared" si="614"/>
        <v>0.11315224733369042</v>
      </c>
      <c r="AS137" s="352">
        <f t="shared" si="614"/>
        <v>0.10913104366247908</v>
      </c>
      <c r="AT137" s="352">
        <f t="shared" si="614"/>
        <v>0.10924202975352131</v>
      </c>
      <c r="AU137" s="351">
        <f t="shared" si="614"/>
        <v>0.10918842629254499</v>
      </c>
      <c r="AV137" s="352">
        <f t="shared" si="614"/>
        <v>0.10531428313570619</v>
      </c>
      <c r="AW137" s="352">
        <f t="shared" si="614"/>
        <v>0.10542738728329146</v>
      </c>
      <c r="AX137" s="351">
        <f t="shared" si="614"/>
        <v>0.10537277943697841</v>
      </c>
      <c r="AY137" s="352">
        <f t="shared" si="614"/>
        <v>0.10169468539031769</v>
      </c>
      <c r="AZ137" s="352">
        <f t="shared" si="614"/>
        <v>0.10179931493430343</v>
      </c>
      <c r="BA137" s="351">
        <f t="shared" si="614"/>
        <v>0.10174883652290172</v>
      </c>
      <c r="BB137" s="352">
        <f t="shared" si="614"/>
        <v>9.8146272601737847E-2</v>
      </c>
      <c r="BC137" s="352">
        <f t="shared" si="614"/>
        <v>9.825566247409713E-2</v>
      </c>
      <c r="BD137" s="351">
        <f t="shared" si="614"/>
        <v>9.8202899312442624E-2</v>
      </c>
      <c r="BE137" s="352">
        <f t="shared" si="614"/>
        <v>9.4694475807334505E-2</v>
      </c>
      <c r="BF137" s="352">
        <f t="shared" si="614"/>
        <v>9.4810779411196602E-2</v>
      </c>
      <c r="BG137" s="351">
        <f t="shared" si="614"/>
        <v>9.475468955189438E-2</v>
      </c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53"/>
      <c r="CH137" s="53"/>
      <c r="CI137" s="53"/>
      <c r="CJ137" s="53"/>
      <c r="CK137" s="53"/>
    </row>
    <row r="138" spans="1:89">
      <c r="A138" s="408"/>
      <c r="B138" s="52" t="s">
        <v>525</v>
      </c>
      <c r="C138" s="52"/>
      <c r="D138" s="52"/>
      <c r="E138" s="346"/>
      <c r="F138" s="347"/>
      <c r="G138" s="347"/>
      <c r="H138" s="346"/>
      <c r="I138" s="347"/>
      <c r="J138" s="347"/>
      <c r="K138" s="346"/>
      <c r="L138" s="347"/>
      <c r="M138" s="347"/>
      <c r="N138" s="346"/>
      <c r="O138" s="347"/>
      <c r="P138" s="347"/>
      <c r="Q138" s="346"/>
      <c r="R138" s="347"/>
      <c r="S138" s="347"/>
      <c r="T138" s="346"/>
      <c r="U138" s="352">
        <f t="shared" si="612"/>
        <v>7.1426171000719157E-2</v>
      </c>
      <c r="V138" s="352">
        <f t="shared" si="612"/>
        <v>6.9171258720377868E-2</v>
      </c>
      <c r="W138" s="351">
        <f t="shared" si="612"/>
        <v>7.0178810612112522E-2</v>
      </c>
      <c r="X138" s="352">
        <f t="shared" si="612"/>
        <v>5.4613519412714771E-2</v>
      </c>
      <c r="Y138" s="352">
        <f t="shared" si="612"/>
        <v>6.7902794829204888E-2</v>
      </c>
      <c r="Z138" s="351">
        <f t="shared" si="612"/>
        <v>6.1738337550406447E-2</v>
      </c>
      <c r="AA138" s="352">
        <f t="shared" ref="AA138" si="615">+AA130/AA$17</f>
        <v>5.2349247743743568E-2</v>
      </c>
      <c r="AB138" s="352">
        <f t="shared" ref="AB138:BG138" si="616">+AB130/AB17</f>
        <v>4.9613565699730675E-2</v>
      </c>
      <c r="AC138" s="351">
        <f t="shared" si="616"/>
        <v>5.0941135173138342E-2</v>
      </c>
      <c r="AD138" s="352">
        <f t="shared" si="616"/>
        <v>4.6320815802460558E-2</v>
      </c>
      <c r="AE138" s="352">
        <f t="shared" si="616"/>
        <v>4.6489033450735039E-2</v>
      </c>
      <c r="AF138" s="351">
        <f t="shared" si="616"/>
        <v>4.6406892400166634E-2</v>
      </c>
      <c r="AG138" s="352">
        <f t="shared" si="616"/>
        <v>4.6605528162346879E-2</v>
      </c>
      <c r="AH138" s="352">
        <f t="shared" si="616"/>
        <v>4.6708515498239317E-2</v>
      </c>
      <c r="AI138" s="351">
        <f t="shared" si="616"/>
        <v>4.6657815014604788E-2</v>
      </c>
      <c r="AJ138" s="352">
        <f t="shared" si="616"/>
        <v>4.6847715057666862E-2</v>
      </c>
      <c r="AK138" s="352">
        <f t="shared" si="616"/>
        <v>4.6945251981155546E-2</v>
      </c>
      <c r="AL138" s="351">
        <f t="shared" si="616"/>
        <v>4.6897249864003045E-2</v>
      </c>
      <c r="AM138" s="352">
        <f t="shared" si="616"/>
        <v>4.2963590550498296E-2</v>
      </c>
      <c r="AN138" s="352">
        <f t="shared" si="616"/>
        <v>4.3015369359770919E-2</v>
      </c>
      <c r="AO138" s="351">
        <f t="shared" si="616"/>
        <v>4.2989907212941013E-2</v>
      </c>
      <c r="AP138" s="352">
        <f t="shared" si="616"/>
        <v>4.059373426852432E-2</v>
      </c>
      <c r="AQ138" s="352">
        <f t="shared" si="616"/>
        <v>4.0706963587460898E-2</v>
      </c>
      <c r="AR138" s="351">
        <f t="shared" si="616"/>
        <v>4.0652247333690432E-2</v>
      </c>
      <c r="AS138" s="352">
        <f t="shared" si="616"/>
        <v>3.9131043662479083E-2</v>
      </c>
      <c r="AT138" s="352">
        <f t="shared" si="616"/>
        <v>3.9242029753521306E-2</v>
      </c>
      <c r="AU138" s="351">
        <f t="shared" si="616"/>
        <v>3.9188426292545001E-2</v>
      </c>
      <c r="AV138" s="352">
        <f t="shared" si="616"/>
        <v>3.7814283135706207E-2</v>
      </c>
      <c r="AW138" s="352">
        <f t="shared" si="616"/>
        <v>3.7927387283291467E-2</v>
      </c>
      <c r="AX138" s="351">
        <f t="shared" si="616"/>
        <v>3.7872779436978435E-2</v>
      </c>
      <c r="AY138" s="352">
        <f t="shared" si="616"/>
        <v>3.6694685390317699E-2</v>
      </c>
      <c r="AZ138" s="352">
        <f t="shared" si="616"/>
        <v>3.6799314934303447E-2</v>
      </c>
      <c r="BA138" s="351">
        <f t="shared" si="616"/>
        <v>3.6748836522901729E-2</v>
      </c>
      <c r="BB138" s="352">
        <f t="shared" si="616"/>
        <v>3.5646272601737861E-2</v>
      </c>
      <c r="BC138" s="352">
        <f t="shared" si="616"/>
        <v>3.5755662474097137E-2</v>
      </c>
      <c r="BD138" s="351">
        <f t="shared" si="616"/>
        <v>3.5702899312442637E-2</v>
      </c>
      <c r="BE138" s="352">
        <f t="shared" si="616"/>
        <v>3.4694475807334507E-2</v>
      </c>
      <c r="BF138" s="352">
        <f t="shared" si="616"/>
        <v>3.4810779411196612E-2</v>
      </c>
      <c r="BG138" s="351">
        <f t="shared" si="616"/>
        <v>3.4754689551894397E-2</v>
      </c>
    </row>
    <row r="139" spans="1:89">
      <c r="B139" s="350" t="s">
        <v>99</v>
      </c>
      <c r="E139" s="346"/>
      <c r="F139" s="347"/>
      <c r="G139" s="347"/>
      <c r="H139" s="346"/>
      <c r="I139" s="347"/>
      <c r="J139" s="347"/>
      <c r="K139" s="346"/>
      <c r="L139" s="347"/>
      <c r="M139" s="347"/>
      <c r="N139" s="346"/>
      <c r="O139" s="347"/>
      <c r="P139" s="347"/>
      <c r="Q139" s="346"/>
      <c r="R139" s="347"/>
      <c r="S139" s="347"/>
      <c r="T139" s="346"/>
      <c r="U139" s="414">
        <f t="shared" ref="U139:Z139" si="617">+U131/U19</f>
        <v>6.398440630539462E-2</v>
      </c>
      <c r="V139" s="352">
        <f t="shared" si="617"/>
        <v>6.202257564599982E-2</v>
      </c>
      <c r="W139" s="351">
        <f t="shared" si="617"/>
        <v>6.2900016706915154E-2</v>
      </c>
      <c r="X139" s="414">
        <f t="shared" si="617"/>
        <v>4.9008444623166628E-2</v>
      </c>
      <c r="Y139" s="352">
        <f t="shared" si="617"/>
        <v>5.9497618111899166E-2</v>
      </c>
      <c r="Z139" s="351">
        <f t="shared" si="617"/>
        <v>5.4624509348918805E-2</v>
      </c>
      <c r="AA139" s="414">
        <f t="shared" ref="AA139" si="618">+AA131/AA19</f>
        <v>3.7003613059329379E-2</v>
      </c>
      <c r="AB139" s="395">
        <v>0.05</v>
      </c>
      <c r="AC139" s="505">
        <f t="shared" ref="AC139:AR142" si="619">+AB139</f>
        <v>0.05</v>
      </c>
      <c r="AD139" s="396">
        <f t="shared" si="619"/>
        <v>0.05</v>
      </c>
      <c r="AE139" s="396">
        <f t="shared" si="619"/>
        <v>0.05</v>
      </c>
      <c r="AF139" s="505">
        <f t="shared" si="619"/>
        <v>0.05</v>
      </c>
      <c r="AG139" s="396">
        <f t="shared" si="619"/>
        <v>0.05</v>
      </c>
      <c r="AH139" s="396">
        <f t="shared" si="619"/>
        <v>0.05</v>
      </c>
      <c r="AI139" s="505">
        <f t="shared" si="619"/>
        <v>0.05</v>
      </c>
      <c r="AJ139" s="396">
        <f t="shared" si="619"/>
        <v>0.05</v>
      </c>
      <c r="AK139" s="396">
        <f t="shared" si="619"/>
        <v>0.05</v>
      </c>
      <c r="AL139" s="505">
        <f t="shared" si="619"/>
        <v>0.05</v>
      </c>
      <c r="AM139" s="396">
        <f t="shared" si="619"/>
        <v>0.05</v>
      </c>
      <c r="AN139" s="396">
        <f t="shared" si="619"/>
        <v>0.05</v>
      </c>
      <c r="AO139" s="505">
        <f t="shared" si="619"/>
        <v>0.05</v>
      </c>
      <c r="AP139" s="396">
        <f t="shared" si="619"/>
        <v>0.05</v>
      </c>
      <c r="AQ139" s="396">
        <f t="shared" si="619"/>
        <v>0.05</v>
      </c>
      <c r="AR139" s="505">
        <f t="shared" si="619"/>
        <v>0.05</v>
      </c>
      <c r="AS139" s="396">
        <f t="shared" ref="AS139" si="620">+AR139</f>
        <v>0.05</v>
      </c>
      <c r="AT139" s="396">
        <f t="shared" ref="AT139" si="621">+AS139</f>
        <v>0.05</v>
      </c>
      <c r="AU139" s="505">
        <f t="shared" ref="AU139" si="622">+AT139</f>
        <v>0.05</v>
      </c>
      <c r="AV139" s="396">
        <f t="shared" ref="AV139" si="623">+AU139</f>
        <v>0.05</v>
      </c>
      <c r="AW139" s="396">
        <f t="shared" ref="AW139" si="624">+AV139</f>
        <v>0.05</v>
      </c>
      <c r="AX139" s="505">
        <f t="shared" ref="AX139" si="625">+AW139</f>
        <v>0.05</v>
      </c>
      <c r="AY139" s="396">
        <f t="shared" ref="AY139" si="626">+AX139</f>
        <v>0.05</v>
      </c>
      <c r="AZ139" s="396">
        <f t="shared" ref="AZ139" si="627">+AY139</f>
        <v>0.05</v>
      </c>
      <c r="BA139" s="505">
        <f t="shared" ref="BA139" si="628">+AZ139</f>
        <v>0.05</v>
      </c>
      <c r="BB139" s="396">
        <f t="shared" ref="BB139" si="629">+BA139</f>
        <v>0.05</v>
      </c>
      <c r="BC139" s="396">
        <f t="shared" ref="BC139" si="630">+BB139</f>
        <v>0.05</v>
      </c>
      <c r="BD139" s="505">
        <f t="shared" ref="BD139" si="631">+BC139</f>
        <v>0.05</v>
      </c>
      <c r="BE139" s="396">
        <f t="shared" ref="BE139" si="632">+BD139</f>
        <v>0.05</v>
      </c>
      <c r="BF139" s="396">
        <f t="shared" ref="BF139" si="633">+BE139</f>
        <v>0.05</v>
      </c>
      <c r="BG139" s="505">
        <f t="shared" ref="BG139" si="634">+BF139</f>
        <v>0.05</v>
      </c>
      <c r="BM139" s="53" t="s">
        <v>24</v>
      </c>
      <c r="BN139" s="53">
        <v>100</v>
      </c>
    </row>
    <row r="140" spans="1:89">
      <c r="B140" s="350" t="s">
        <v>117</v>
      </c>
      <c r="E140" s="346"/>
      <c r="F140" s="347"/>
      <c r="G140" s="347"/>
      <c r="H140" s="346"/>
      <c r="I140" s="347"/>
      <c r="J140" s="347"/>
      <c r="K140" s="346"/>
      <c r="L140" s="347"/>
      <c r="M140" s="347"/>
      <c r="N140" s="346"/>
      <c r="O140" s="347"/>
      <c r="P140" s="347"/>
      <c r="Q140" s="346"/>
      <c r="R140" s="347"/>
      <c r="S140" s="347"/>
      <c r="T140" s="346"/>
      <c r="U140" s="414">
        <f t="shared" ref="U140:Z140" si="635">+U132/U29</f>
        <v>2.0603384841795438E-2</v>
      </c>
      <c r="V140" s="352">
        <f t="shared" si="635"/>
        <v>7.346747777257838E-2</v>
      </c>
      <c r="W140" s="351">
        <f t="shared" si="635"/>
        <v>5.2917620137299767E-2</v>
      </c>
      <c r="X140" s="414">
        <f t="shared" si="635"/>
        <v>1.0214864388869321E-2</v>
      </c>
      <c r="Y140" s="352">
        <f t="shared" si="635"/>
        <v>3.1886625332152349E-2</v>
      </c>
      <c r="Z140" s="351">
        <f t="shared" si="635"/>
        <v>2.2004497269514939E-2</v>
      </c>
      <c r="AA140" s="414">
        <f t="shared" ref="AA140" si="636">+AA132/AA29</f>
        <v>0.50125187781672498</v>
      </c>
      <c r="AB140" s="395">
        <v>0.01</v>
      </c>
      <c r="AC140" s="505">
        <f t="shared" si="619"/>
        <v>0.01</v>
      </c>
      <c r="AD140" s="396">
        <f t="shared" si="619"/>
        <v>0.01</v>
      </c>
      <c r="AE140" s="396">
        <f t="shared" si="619"/>
        <v>0.01</v>
      </c>
      <c r="AF140" s="505">
        <f t="shared" si="619"/>
        <v>0.01</v>
      </c>
      <c r="AG140" s="396">
        <f t="shared" si="619"/>
        <v>0.01</v>
      </c>
      <c r="AH140" s="396">
        <f t="shared" si="619"/>
        <v>0.01</v>
      </c>
      <c r="AI140" s="505">
        <f t="shared" si="619"/>
        <v>0.01</v>
      </c>
      <c r="AJ140" s="396">
        <f t="shared" si="619"/>
        <v>0.01</v>
      </c>
      <c r="AK140" s="396">
        <f t="shared" si="619"/>
        <v>0.01</v>
      </c>
      <c r="AL140" s="505">
        <f t="shared" si="619"/>
        <v>0.01</v>
      </c>
      <c r="AM140" s="396">
        <f t="shared" si="619"/>
        <v>0.01</v>
      </c>
      <c r="AN140" s="396">
        <f t="shared" si="619"/>
        <v>0.01</v>
      </c>
      <c r="AO140" s="505">
        <f t="shared" si="619"/>
        <v>0.01</v>
      </c>
      <c r="AP140" s="396">
        <f t="shared" si="619"/>
        <v>0.01</v>
      </c>
      <c r="AQ140" s="396">
        <f t="shared" si="619"/>
        <v>0.01</v>
      </c>
      <c r="AR140" s="505">
        <f t="shared" si="619"/>
        <v>0.01</v>
      </c>
      <c r="AS140" s="396">
        <f t="shared" ref="AS140:BG142" si="637">+AR140</f>
        <v>0.01</v>
      </c>
      <c r="AT140" s="396">
        <f t="shared" si="637"/>
        <v>0.01</v>
      </c>
      <c r="AU140" s="505">
        <f t="shared" si="637"/>
        <v>0.01</v>
      </c>
      <c r="AV140" s="396">
        <f t="shared" si="637"/>
        <v>0.01</v>
      </c>
      <c r="AW140" s="396">
        <f t="shared" si="637"/>
        <v>0.01</v>
      </c>
      <c r="AX140" s="505">
        <f t="shared" si="637"/>
        <v>0.01</v>
      </c>
      <c r="AY140" s="396">
        <f t="shared" si="637"/>
        <v>0.01</v>
      </c>
      <c r="AZ140" s="396">
        <f t="shared" si="637"/>
        <v>0.01</v>
      </c>
      <c r="BA140" s="505">
        <f t="shared" si="637"/>
        <v>0.01</v>
      </c>
      <c r="BB140" s="396">
        <f t="shared" si="637"/>
        <v>0.01</v>
      </c>
      <c r="BC140" s="396">
        <f t="shared" si="637"/>
        <v>0.01</v>
      </c>
      <c r="BD140" s="505">
        <f t="shared" si="637"/>
        <v>0.01</v>
      </c>
      <c r="BE140" s="396">
        <f t="shared" si="637"/>
        <v>0.01</v>
      </c>
      <c r="BF140" s="396">
        <f t="shared" si="637"/>
        <v>0.01</v>
      </c>
      <c r="BG140" s="505">
        <f t="shared" si="637"/>
        <v>0.01</v>
      </c>
      <c r="BM140" s="53" t="s">
        <v>369</v>
      </c>
      <c r="BN140" s="59">
        <v>0.15</v>
      </c>
      <c r="BO140" s="53" t="s">
        <v>530</v>
      </c>
    </row>
    <row r="141" spans="1:89">
      <c r="B141" s="350" t="s">
        <v>138</v>
      </c>
      <c r="E141" s="346"/>
      <c r="F141" s="347"/>
      <c r="G141" s="347"/>
      <c r="H141" s="346"/>
      <c r="I141" s="347"/>
      <c r="J141" s="347"/>
      <c r="K141" s="346"/>
      <c r="L141" s="347"/>
      <c r="M141" s="347"/>
      <c r="N141" s="346"/>
      <c r="O141" s="347"/>
      <c r="P141" s="347"/>
      <c r="Q141" s="346"/>
      <c r="R141" s="347"/>
      <c r="S141" s="347"/>
      <c r="T141" s="346"/>
      <c r="U141" s="414">
        <f t="shared" ref="U141:Z141" si="638">+U133/U35</f>
        <v>6.3675675675675674</v>
      </c>
      <c r="V141" s="352">
        <f t="shared" si="638"/>
        <v>14.108695652173909</v>
      </c>
      <c r="W141" s="351">
        <f t="shared" si="638"/>
        <v>8.9386281588447645</v>
      </c>
      <c r="X141" s="414">
        <f t="shared" si="638"/>
        <v>2.806451612903226</v>
      </c>
      <c r="Y141" s="352">
        <f t="shared" si="638"/>
        <v>1.9364341085271315</v>
      </c>
      <c r="Z141" s="351">
        <f t="shared" si="638"/>
        <v>2.1887727022564665</v>
      </c>
      <c r="AA141" s="414">
        <f t="shared" ref="AA141" si="639">+AA133/AA35</f>
        <v>8.8364584626847126E-2</v>
      </c>
      <c r="AB141" s="395">
        <v>0.05</v>
      </c>
      <c r="AC141" s="505">
        <f t="shared" si="619"/>
        <v>0.05</v>
      </c>
      <c r="AD141" s="396">
        <v>3.5000000000000003E-2</v>
      </c>
      <c r="AE141" s="396">
        <f t="shared" si="619"/>
        <v>3.5000000000000003E-2</v>
      </c>
      <c r="AF141" s="505">
        <f t="shared" si="619"/>
        <v>3.5000000000000003E-2</v>
      </c>
      <c r="AG141" s="396">
        <f>+AE141</f>
        <v>3.5000000000000003E-2</v>
      </c>
      <c r="AH141" s="396">
        <f t="shared" si="619"/>
        <v>3.5000000000000003E-2</v>
      </c>
      <c r="AI141" s="505">
        <f t="shared" si="619"/>
        <v>3.5000000000000003E-2</v>
      </c>
      <c r="AJ141" s="396">
        <f t="shared" ref="AJ141" si="640">+AH141</f>
        <v>3.5000000000000003E-2</v>
      </c>
      <c r="AK141" s="396">
        <f t="shared" si="619"/>
        <v>3.5000000000000003E-2</v>
      </c>
      <c r="AL141" s="505">
        <f t="shared" si="619"/>
        <v>3.5000000000000003E-2</v>
      </c>
      <c r="AM141" s="396">
        <f t="shared" ref="AM141" si="641">+AK141</f>
        <v>3.5000000000000003E-2</v>
      </c>
      <c r="AN141" s="396">
        <f t="shared" si="619"/>
        <v>3.5000000000000003E-2</v>
      </c>
      <c r="AO141" s="505">
        <f t="shared" si="619"/>
        <v>3.5000000000000003E-2</v>
      </c>
      <c r="AP141" s="396">
        <f>+AN141+AP143</f>
        <v>3.2500000000000001E-2</v>
      </c>
      <c r="AQ141" s="396">
        <f t="shared" si="619"/>
        <v>3.2500000000000001E-2</v>
      </c>
      <c r="AR141" s="505">
        <f t="shared" si="619"/>
        <v>3.2500000000000001E-2</v>
      </c>
      <c r="AS141" s="396">
        <f>+AQ141+AS143</f>
        <v>3.0000000000000002E-2</v>
      </c>
      <c r="AT141" s="396">
        <f t="shared" si="637"/>
        <v>3.0000000000000002E-2</v>
      </c>
      <c r="AU141" s="505">
        <f t="shared" si="637"/>
        <v>3.0000000000000002E-2</v>
      </c>
      <c r="AV141" s="396">
        <f>+AT141+AV143</f>
        <v>2.7500000000000004E-2</v>
      </c>
      <c r="AW141" s="396">
        <f t="shared" si="637"/>
        <v>2.7500000000000004E-2</v>
      </c>
      <c r="AX141" s="505">
        <f t="shared" si="637"/>
        <v>2.7500000000000004E-2</v>
      </c>
      <c r="AY141" s="396">
        <f>+AW141+AY143</f>
        <v>2.5000000000000005E-2</v>
      </c>
      <c r="AZ141" s="396">
        <f t="shared" si="637"/>
        <v>2.5000000000000005E-2</v>
      </c>
      <c r="BA141" s="505">
        <f t="shared" si="637"/>
        <v>2.5000000000000005E-2</v>
      </c>
      <c r="BB141" s="396">
        <f>+AZ141+BB143</f>
        <v>2.2500000000000006E-2</v>
      </c>
      <c r="BC141" s="396">
        <f t="shared" si="637"/>
        <v>2.2500000000000006E-2</v>
      </c>
      <c r="BD141" s="505">
        <f t="shared" si="637"/>
        <v>2.2500000000000006E-2</v>
      </c>
      <c r="BE141" s="396">
        <f>+BC141+BE143</f>
        <v>2.0000000000000007E-2</v>
      </c>
      <c r="BF141" s="396">
        <f t="shared" si="637"/>
        <v>2.0000000000000007E-2</v>
      </c>
      <c r="BG141" s="505">
        <f t="shared" si="637"/>
        <v>2.0000000000000007E-2</v>
      </c>
      <c r="BM141" s="53" t="s">
        <v>18</v>
      </c>
      <c r="BN141" s="53">
        <f>+BN139*BN140</f>
        <v>15</v>
      </c>
    </row>
    <row r="142" spans="1:89">
      <c r="B142" s="500" t="s">
        <v>529</v>
      </c>
      <c r="E142" s="346"/>
      <c r="F142" s="347"/>
      <c r="G142" s="347"/>
      <c r="H142" s="346"/>
      <c r="I142" s="347"/>
      <c r="J142" s="347"/>
      <c r="K142" s="346"/>
      <c r="L142" s="347"/>
      <c r="M142" s="347"/>
      <c r="N142" s="346"/>
      <c r="O142" s="347"/>
      <c r="P142" s="347"/>
      <c r="Q142" s="346"/>
      <c r="R142" s="347"/>
      <c r="S142" s="347"/>
      <c r="T142" s="346"/>
      <c r="U142" s="414">
        <f t="shared" ref="U142:Z142" si="642">+U134/U17</f>
        <v>6.6943131943837664E-2</v>
      </c>
      <c r="V142" s="352">
        <f t="shared" si="642"/>
        <v>8.871033415673607E-2</v>
      </c>
      <c r="W142" s="351">
        <f t="shared" si="642"/>
        <v>7.8984197154166352E-2</v>
      </c>
      <c r="X142" s="414">
        <f t="shared" si="642"/>
        <v>0.10874292081749169</v>
      </c>
      <c r="Y142" s="352">
        <f t="shared" si="642"/>
        <v>9.8833682386076399E-2</v>
      </c>
      <c r="Z142" s="351">
        <f t="shared" si="642"/>
        <v>0.10343025180475886</v>
      </c>
      <c r="AA142" s="414">
        <f t="shared" ref="AA142" si="643">+AA134/AA17</f>
        <v>6.9904882428738671E-2</v>
      </c>
      <c r="AB142" s="395">
        <v>8.5000000000000006E-2</v>
      </c>
      <c r="AC142" s="505">
        <f t="shared" si="619"/>
        <v>8.5000000000000006E-2</v>
      </c>
      <c r="AD142" s="396">
        <v>7.4999999999999997E-2</v>
      </c>
      <c r="AE142" s="396">
        <f t="shared" si="619"/>
        <v>7.4999999999999997E-2</v>
      </c>
      <c r="AF142" s="505">
        <f t="shared" si="619"/>
        <v>7.4999999999999997E-2</v>
      </c>
      <c r="AG142" s="396">
        <f>+AE142</f>
        <v>7.4999999999999997E-2</v>
      </c>
      <c r="AH142" s="396">
        <f>+AG142</f>
        <v>7.4999999999999997E-2</v>
      </c>
      <c r="AI142" s="505">
        <f t="shared" si="619"/>
        <v>7.4999999999999997E-2</v>
      </c>
      <c r="AJ142" s="396">
        <f t="shared" si="619"/>
        <v>7.4999999999999997E-2</v>
      </c>
      <c r="AK142" s="396">
        <f t="shared" si="619"/>
        <v>7.4999999999999997E-2</v>
      </c>
      <c r="AL142" s="505">
        <f t="shared" si="619"/>
        <v>7.4999999999999997E-2</v>
      </c>
      <c r="AM142" s="396">
        <f t="shared" si="619"/>
        <v>7.4999999999999997E-2</v>
      </c>
      <c r="AN142" s="396">
        <f t="shared" si="619"/>
        <v>7.4999999999999997E-2</v>
      </c>
      <c r="AO142" s="505">
        <f t="shared" si="619"/>
        <v>7.4999999999999997E-2</v>
      </c>
      <c r="AP142" s="396">
        <f>+AN142+AP143</f>
        <v>7.2499999999999995E-2</v>
      </c>
      <c r="AQ142" s="396">
        <f t="shared" si="619"/>
        <v>7.2499999999999995E-2</v>
      </c>
      <c r="AR142" s="505">
        <f t="shared" si="619"/>
        <v>7.2499999999999995E-2</v>
      </c>
      <c r="AS142" s="396">
        <f>+AQ142+AS143</f>
        <v>6.9999999999999993E-2</v>
      </c>
      <c r="AT142" s="396">
        <f t="shared" si="637"/>
        <v>6.9999999999999993E-2</v>
      </c>
      <c r="AU142" s="505">
        <f t="shared" si="637"/>
        <v>6.9999999999999993E-2</v>
      </c>
      <c r="AV142" s="396">
        <f>+AT142+AV143</f>
        <v>6.7499999999999991E-2</v>
      </c>
      <c r="AW142" s="396">
        <f t="shared" si="637"/>
        <v>6.7499999999999991E-2</v>
      </c>
      <c r="AX142" s="505">
        <f t="shared" si="637"/>
        <v>6.7499999999999991E-2</v>
      </c>
      <c r="AY142" s="396">
        <f>+AW142+AY143</f>
        <v>6.4999999999999988E-2</v>
      </c>
      <c r="AZ142" s="396">
        <f t="shared" si="637"/>
        <v>6.4999999999999988E-2</v>
      </c>
      <c r="BA142" s="505">
        <f t="shared" si="637"/>
        <v>6.4999999999999988E-2</v>
      </c>
      <c r="BB142" s="396">
        <f>+AZ142+BB143</f>
        <v>6.2499999999999986E-2</v>
      </c>
      <c r="BC142" s="396">
        <f t="shared" si="637"/>
        <v>6.2499999999999986E-2</v>
      </c>
      <c r="BD142" s="505">
        <f t="shared" si="637"/>
        <v>6.2499999999999986E-2</v>
      </c>
      <c r="BE142" s="396">
        <f>+BC142+BE143</f>
        <v>5.9999999999999984E-2</v>
      </c>
      <c r="BF142" s="396">
        <f t="shared" si="637"/>
        <v>5.9999999999999984E-2</v>
      </c>
      <c r="BG142" s="505">
        <f t="shared" si="637"/>
        <v>5.9999999999999984E-2</v>
      </c>
      <c r="BM142" s="53" t="s">
        <v>531</v>
      </c>
      <c r="BN142" s="59">
        <v>0.35</v>
      </c>
    </row>
    <row r="143" spans="1:89">
      <c r="B143" s="52"/>
      <c r="E143" s="346"/>
      <c r="F143" s="347"/>
      <c r="G143" s="347"/>
      <c r="H143" s="346"/>
      <c r="I143" s="347"/>
      <c r="J143" s="347"/>
      <c r="K143" s="346"/>
      <c r="L143" s="347"/>
      <c r="M143" s="347"/>
      <c r="N143" s="346"/>
      <c r="O143" s="347"/>
      <c r="P143" s="347"/>
      <c r="Q143" s="346"/>
      <c r="R143" s="347"/>
      <c r="S143" s="347"/>
      <c r="T143" s="346"/>
      <c r="U143" s="348"/>
      <c r="V143" s="347"/>
      <c r="W143" s="346"/>
      <c r="X143" s="348"/>
      <c r="Y143" s="347"/>
      <c r="Z143" s="346"/>
      <c r="AA143" s="348"/>
      <c r="AB143" s="347"/>
      <c r="AC143" s="346"/>
      <c r="AD143" s="347"/>
      <c r="AE143" s="347"/>
      <c r="AF143" s="346"/>
      <c r="AG143" s="347"/>
      <c r="AH143" s="347"/>
      <c r="AI143" s="346"/>
      <c r="AJ143" s="347"/>
      <c r="AK143" s="347"/>
      <c r="AL143" s="346"/>
      <c r="AM143" s="347"/>
      <c r="AN143" s="347"/>
      <c r="AO143" s="346"/>
      <c r="AP143" s="403">
        <v>-2.5000000000000001E-3</v>
      </c>
      <c r="AQ143" s="352"/>
      <c r="AR143" s="351"/>
      <c r="AS143" s="353">
        <f>+AP143</f>
        <v>-2.5000000000000001E-3</v>
      </c>
      <c r="AT143" s="352"/>
      <c r="AU143" s="351"/>
      <c r="AV143" s="353">
        <f>+AS143</f>
        <v>-2.5000000000000001E-3</v>
      </c>
      <c r="AW143" s="352"/>
      <c r="AX143" s="351"/>
      <c r="AY143" s="353">
        <f>+AV143</f>
        <v>-2.5000000000000001E-3</v>
      </c>
      <c r="AZ143" s="352"/>
      <c r="BA143" s="351"/>
      <c r="BB143" s="353">
        <f>+AY143</f>
        <v>-2.5000000000000001E-3</v>
      </c>
      <c r="BC143" s="352"/>
      <c r="BD143" s="351"/>
      <c r="BE143" s="353">
        <f>+BB143</f>
        <v>-2.5000000000000001E-3</v>
      </c>
      <c r="BF143" s="347"/>
      <c r="BG143" s="346"/>
      <c r="BM143" s="53" t="s">
        <v>103</v>
      </c>
      <c r="BN143" s="53">
        <f>+BN141/BN142</f>
        <v>42.857142857142861</v>
      </c>
    </row>
    <row r="144" spans="1:89">
      <c r="A144" s="51" t="s">
        <v>146</v>
      </c>
      <c r="B144" s="294" t="s">
        <v>532</v>
      </c>
      <c r="C144" s="52"/>
      <c r="D144" s="52"/>
      <c r="E144" s="346"/>
      <c r="F144" s="347"/>
      <c r="G144" s="347"/>
      <c r="H144" s="346"/>
      <c r="I144" s="347"/>
      <c r="J144" s="347"/>
      <c r="K144" s="346"/>
      <c r="L144" s="347"/>
      <c r="M144" s="347"/>
      <c r="N144" s="346"/>
      <c r="O144" s="347"/>
      <c r="P144" s="347"/>
      <c r="Q144" s="346"/>
      <c r="R144" s="406"/>
      <c r="S144" s="406"/>
      <c r="T144" s="405"/>
      <c r="U144" s="415">
        <f t="shared" ref="U144:Y144" si="644">+SUM(U145:U147)</f>
        <v>-0.27100000000000002</v>
      </c>
      <c r="V144" s="415">
        <f t="shared" si="644"/>
        <v>-0.29799999999999993</v>
      </c>
      <c r="W144" s="416">
        <f t="shared" si="644"/>
        <v>-0.56899999999999995</v>
      </c>
      <c r="X144" s="347">
        <f t="shared" si="644"/>
        <v>-5.4550000000000001</v>
      </c>
      <c r="Y144" s="415">
        <f t="shared" si="644"/>
        <v>-7.0809999999999995</v>
      </c>
      <c r="Z144" s="416">
        <f>+SUM(Z145:Z147)</f>
        <v>-12.536</v>
      </c>
      <c r="AA144" s="347">
        <f t="shared" ref="AA144" si="645">+SUM(AA145:AA147)</f>
        <v>0</v>
      </c>
      <c r="AB144" s="489"/>
      <c r="AC144" s="485"/>
      <c r="AD144" s="479"/>
      <c r="AE144" s="489"/>
      <c r="AF144" s="485"/>
      <c r="AG144" s="479"/>
      <c r="AH144" s="489"/>
      <c r="AI144" s="485"/>
      <c r="AJ144" s="479"/>
      <c r="AK144" s="489"/>
      <c r="AL144" s="485"/>
      <c r="AM144" s="479"/>
      <c r="AN144" s="489"/>
      <c r="AO144" s="485"/>
      <c r="AP144" s="479"/>
      <c r="AQ144" s="489"/>
      <c r="AR144" s="485"/>
      <c r="AS144" s="479"/>
      <c r="AT144" s="489"/>
      <c r="AU144" s="485"/>
      <c r="AV144" s="479"/>
      <c r="AW144" s="489"/>
      <c r="AX144" s="485"/>
      <c r="AY144" s="479"/>
      <c r="AZ144" s="489"/>
      <c r="BA144" s="485"/>
      <c r="BB144" s="479"/>
      <c r="BC144" s="489"/>
      <c r="BD144" s="485"/>
      <c r="BE144" s="479"/>
      <c r="BF144" s="489"/>
      <c r="BG144" s="485"/>
      <c r="BM144" s="53" t="s">
        <v>533</v>
      </c>
      <c r="BN144" s="53">
        <f>+BN143*BO144</f>
        <v>21.428571428571431</v>
      </c>
      <c r="BO144" s="59">
        <v>0.5</v>
      </c>
    </row>
    <row r="145" spans="1:89">
      <c r="B145" s="515" t="s">
        <v>534</v>
      </c>
      <c r="E145" s="346"/>
      <c r="F145" s="347"/>
      <c r="G145" s="347"/>
      <c r="H145" s="346"/>
      <c r="I145" s="347"/>
      <c r="J145" s="347"/>
      <c r="K145" s="346"/>
      <c r="L145" s="347"/>
      <c r="M145" s="347"/>
      <c r="N145" s="485"/>
      <c r="O145" s="347"/>
      <c r="P145" s="347"/>
      <c r="Q145" s="485"/>
      <c r="R145" s="352"/>
      <c r="S145" s="352"/>
      <c r="T145" s="351"/>
      <c r="U145" s="412">
        <v>0</v>
      </c>
      <c r="V145" s="413">
        <f>+W145-U145</f>
        <v>0</v>
      </c>
      <c r="W145" s="417">
        <v>0</v>
      </c>
      <c r="X145" s="376">
        <v>-5.0670000000000002</v>
      </c>
      <c r="Y145" s="413">
        <f>+Z145-X145</f>
        <v>-0.95899999999999963</v>
      </c>
      <c r="Z145" s="377">
        <v>-6.0259999999999998</v>
      </c>
      <c r="AA145" s="376">
        <v>0</v>
      </c>
      <c r="AB145" s="489"/>
      <c r="AC145" s="485"/>
      <c r="AD145" s="479"/>
      <c r="AE145" s="489"/>
      <c r="AF145" s="485"/>
      <c r="AG145" s="479"/>
      <c r="AH145" s="489"/>
      <c r="AI145" s="485"/>
      <c r="AJ145" s="479"/>
      <c r="AK145" s="489"/>
      <c r="AL145" s="485"/>
      <c r="AM145" s="479"/>
      <c r="AN145" s="489"/>
      <c r="AO145" s="485"/>
      <c r="AP145" s="479"/>
      <c r="AQ145" s="489"/>
      <c r="AR145" s="485"/>
      <c r="AS145" s="479"/>
      <c r="AT145" s="489"/>
      <c r="AU145" s="485"/>
      <c r="AV145" s="479"/>
      <c r="AW145" s="489"/>
      <c r="AX145" s="485"/>
      <c r="AY145" s="479"/>
      <c r="AZ145" s="489"/>
      <c r="BA145" s="485"/>
      <c r="BB145" s="479"/>
      <c r="BC145" s="489"/>
      <c r="BD145" s="485"/>
      <c r="BE145" s="479"/>
      <c r="BF145" s="489"/>
      <c r="BG145" s="485"/>
    </row>
    <row r="146" spans="1:89">
      <c r="B146" s="515" t="s">
        <v>535</v>
      </c>
      <c r="E146" s="346"/>
      <c r="F146" s="347"/>
      <c r="G146" s="347"/>
      <c r="H146" s="346"/>
      <c r="I146" s="347"/>
      <c r="J146" s="347"/>
      <c r="K146" s="346"/>
      <c r="L146" s="347"/>
      <c r="M146" s="347"/>
      <c r="N146" s="485"/>
      <c r="O146" s="347"/>
      <c r="P146" s="347"/>
      <c r="Q146" s="485"/>
      <c r="R146" s="352"/>
      <c r="S146" s="352"/>
      <c r="T146" s="351"/>
      <c r="U146" s="412">
        <v>0</v>
      </c>
      <c r="V146" s="413">
        <f>+W146-U146</f>
        <v>0</v>
      </c>
      <c r="W146" s="417">
        <v>0</v>
      </c>
      <c r="X146" s="376">
        <v>0</v>
      </c>
      <c r="Y146" s="413">
        <f>+Z146-X146</f>
        <v>-5.75</v>
      </c>
      <c r="Z146" s="377">
        <v>-5.75</v>
      </c>
      <c r="AA146" s="376">
        <v>0</v>
      </c>
      <c r="AB146" s="489"/>
      <c r="AC146" s="485"/>
      <c r="AD146" s="479"/>
      <c r="AE146" s="489"/>
      <c r="AF146" s="485"/>
      <c r="AG146" s="479"/>
      <c r="AH146" s="489"/>
      <c r="AI146" s="485"/>
      <c r="AJ146" s="479"/>
      <c r="AK146" s="489"/>
      <c r="AL146" s="485"/>
      <c r="AM146" s="479"/>
      <c r="AN146" s="489"/>
      <c r="AO146" s="485"/>
      <c r="AP146" s="479"/>
      <c r="AQ146" s="489"/>
      <c r="AR146" s="485"/>
      <c r="AS146" s="479"/>
      <c r="AT146" s="489"/>
      <c r="AU146" s="485"/>
      <c r="AV146" s="479"/>
      <c r="AW146" s="489"/>
      <c r="AX146" s="485"/>
      <c r="AY146" s="479"/>
      <c r="AZ146" s="489"/>
      <c r="BA146" s="485"/>
      <c r="BB146" s="479"/>
      <c r="BC146" s="489"/>
      <c r="BD146" s="485"/>
      <c r="BE146" s="479"/>
      <c r="BF146" s="489"/>
      <c r="BG146" s="485"/>
    </row>
    <row r="147" spans="1:89">
      <c r="B147" s="515" t="s">
        <v>42</v>
      </c>
      <c r="E147" s="346"/>
      <c r="F147" s="347"/>
      <c r="G147" s="347"/>
      <c r="H147" s="346"/>
      <c r="I147" s="347"/>
      <c r="J147" s="347"/>
      <c r="K147" s="346"/>
      <c r="L147" s="347"/>
      <c r="M147" s="347"/>
      <c r="N147" s="485"/>
      <c r="O147" s="347"/>
      <c r="P147" s="347"/>
      <c r="Q147" s="485"/>
      <c r="R147" s="352"/>
      <c r="S147" s="352"/>
      <c r="T147" s="351"/>
      <c r="U147" s="412">
        <v>-0.27100000000000002</v>
      </c>
      <c r="V147" s="413">
        <f>+W147-U147</f>
        <v>-0.29799999999999993</v>
      </c>
      <c r="W147" s="417">
        <v>-0.56899999999999995</v>
      </c>
      <c r="X147" s="376">
        <v>-0.38800000000000001</v>
      </c>
      <c r="Y147" s="413">
        <f>+Z147-X147</f>
        <v>-0.372</v>
      </c>
      <c r="Z147" s="377">
        <v>-0.76</v>
      </c>
      <c r="AA147" s="363">
        <v>0</v>
      </c>
      <c r="AB147" s="489"/>
      <c r="AC147" s="485"/>
      <c r="AD147" s="479"/>
      <c r="AE147" s="489"/>
      <c r="AF147" s="485"/>
      <c r="AG147" s="479"/>
      <c r="AH147" s="489"/>
      <c r="AI147" s="485"/>
      <c r="AJ147" s="479"/>
      <c r="AK147" s="489"/>
      <c r="AL147" s="485"/>
      <c r="AM147" s="479"/>
      <c r="AN147" s="489"/>
      <c r="AO147" s="485"/>
      <c r="AP147" s="479"/>
      <c r="AQ147" s="489"/>
      <c r="AR147" s="485"/>
      <c r="AS147" s="479"/>
      <c r="AT147" s="489"/>
      <c r="AU147" s="485"/>
      <c r="AV147" s="479"/>
      <c r="AW147" s="489"/>
      <c r="AX147" s="485"/>
      <c r="AY147" s="479"/>
      <c r="AZ147" s="489"/>
      <c r="BA147" s="485"/>
      <c r="BB147" s="479"/>
      <c r="BC147" s="489"/>
      <c r="BD147" s="485"/>
      <c r="BE147" s="479"/>
      <c r="BF147" s="489"/>
      <c r="BG147" s="485"/>
    </row>
    <row r="148" spans="1:89">
      <c r="B148" s="515"/>
      <c r="E148" s="346"/>
      <c r="F148" s="347"/>
      <c r="G148" s="347"/>
      <c r="H148" s="346"/>
      <c r="I148" s="347"/>
      <c r="J148" s="347"/>
      <c r="K148" s="346"/>
      <c r="L148" s="347"/>
      <c r="M148" s="347"/>
      <c r="N148" s="485"/>
      <c r="O148" s="347"/>
      <c r="P148" s="347"/>
      <c r="Q148" s="485"/>
      <c r="R148" s="352"/>
      <c r="S148" s="352"/>
      <c r="T148" s="351"/>
      <c r="U148" s="352"/>
      <c r="V148" s="352"/>
      <c r="W148" s="351"/>
      <c r="X148" s="479"/>
      <c r="Y148" s="489"/>
      <c r="Z148" s="485"/>
      <c r="AA148" s="479"/>
      <c r="AB148" s="517"/>
      <c r="AC148" s="518"/>
      <c r="AD148" s="517"/>
      <c r="AE148" s="517"/>
      <c r="AF148" s="518"/>
      <c r="AG148" s="517"/>
      <c r="AH148" s="517"/>
      <c r="AI148" s="418"/>
      <c r="AJ148" s="517"/>
      <c r="AK148" s="517"/>
      <c r="AL148" s="518"/>
      <c r="AM148" s="517"/>
      <c r="AN148" s="517"/>
      <c r="AO148" s="518"/>
      <c r="AP148" s="517"/>
      <c r="AQ148" s="517"/>
      <c r="AR148" s="518"/>
      <c r="AS148" s="517"/>
      <c r="AT148" s="517"/>
      <c r="AU148" s="518"/>
      <c r="AV148" s="517"/>
      <c r="AW148" s="517"/>
      <c r="AX148" s="518"/>
      <c r="AY148" s="517"/>
      <c r="AZ148" s="517"/>
      <c r="BA148" s="518"/>
      <c r="BB148" s="517"/>
      <c r="BC148" s="517"/>
      <c r="BD148" s="518"/>
      <c r="BE148" s="517"/>
      <c r="BF148" s="517"/>
      <c r="BG148" s="518"/>
    </row>
    <row r="149" spans="1:89">
      <c r="B149" s="364" t="s">
        <v>536</v>
      </c>
      <c r="C149" s="495"/>
      <c r="D149" s="495"/>
      <c r="E149" s="496"/>
      <c r="F149" s="497"/>
      <c r="G149" s="497"/>
      <c r="H149" s="496"/>
      <c r="I149" s="497"/>
      <c r="J149" s="497"/>
      <c r="K149" s="496"/>
      <c r="L149" s="497"/>
      <c r="M149" s="497"/>
      <c r="N149" s="496"/>
      <c r="O149" s="497"/>
      <c r="P149" s="497"/>
      <c r="Q149" s="496"/>
      <c r="R149" s="497"/>
      <c r="S149" s="497"/>
      <c r="T149" s="498"/>
      <c r="U149" s="497"/>
      <c r="V149" s="497"/>
      <c r="W149" s="498"/>
      <c r="X149" s="497"/>
      <c r="Y149" s="499"/>
      <c r="Z149" s="496"/>
      <c r="AA149" s="497"/>
      <c r="AB149" s="499"/>
      <c r="AC149" s="496"/>
      <c r="AD149" s="497"/>
      <c r="AE149" s="499"/>
      <c r="AF149" s="496"/>
      <c r="AG149" s="497"/>
      <c r="AH149" s="499"/>
      <c r="AI149" s="496"/>
      <c r="AJ149" s="497"/>
      <c r="AK149" s="499"/>
      <c r="AL149" s="496"/>
      <c r="AM149" s="497"/>
      <c r="AN149" s="499"/>
      <c r="AO149" s="496"/>
      <c r="AP149" s="497"/>
      <c r="AQ149" s="499"/>
      <c r="AR149" s="496"/>
      <c r="AS149" s="497"/>
      <c r="AT149" s="499"/>
      <c r="AU149" s="496"/>
      <c r="AV149" s="497"/>
      <c r="AW149" s="499"/>
      <c r="AX149" s="496"/>
      <c r="AY149" s="497"/>
      <c r="AZ149" s="499"/>
      <c r="BA149" s="496"/>
      <c r="BB149" s="497"/>
      <c r="BC149" s="499"/>
      <c r="BD149" s="496"/>
      <c r="BE149" s="497"/>
      <c r="BF149" s="499"/>
      <c r="BG149" s="496"/>
    </row>
    <row r="150" spans="1:89">
      <c r="A150" s="51" t="s">
        <v>19</v>
      </c>
      <c r="B150" s="52" t="s">
        <v>463</v>
      </c>
      <c r="E150" s="346">
        <f t="shared" ref="E150:Q150" si="646">+E17-SUM(E48,E77,E101,E116,E129)</f>
        <v>6.5193310000000002</v>
      </c>
      <c r="F150" s="347">
        <f t="shared" si="646"/>
        <v>-10.457007000000001</v>
      </c>
      <c r="G150" s="347">
        <f t="shared" si="646"/>
        <v>-17.182993000000003</v>
      </c>
      <c r="H150" s="346">
        <f t="shared" si="646"/>
        <v>-27.64</v>
      </c>
      <c r="I150" s="347">
        <f t="shared" si="646"/>
        <v>-13.861403000000001</v>
      </c>
      <c r="J150" s="347">
        <f t="shared" si="646"/>
        <v>-22.158597</v>
      </c>
      <c r="K150" s="346">
        <f t="shared" si="646"/>
        <v>-36.019999999999996</v>
      </c>
      <c r="L150" s="347">
        <f t="shared" si="646"/>
        <v>-17.774000000000001</v>
      </c>
      <c r="M150" s="347">
        <f t="shared" si="646"/>
        <v>-26.597000000000001</v>
      </c>
      <c r="N150" s="346">
        <f t="shared" si="646"/>
        <v>-44.371000000000002</v>
      </c>
      <c r="O150" s="347">
        <f t="shared" si="646"/>
        <v>-28.785</v>
      </c>
      <c r="P150" s="347">
        <f t="shared" si="646"/>
        <v>-47.287999999999997</v>
      </c>
      <c r="Q150" s="346">
        <f t="shared" si="646"/>
        <v>-76.072999999999993</v>
      </c>
      <c r="R150" s="347">
        <f>+R17-SUM(R48,R77,R101,R116,R129)-R168</f>
        <v>-57.19700000000001</v>
      </c>
      <c r="S150" s="347">
        <f>+S17-SUM(S48,S77,S101,S116,S129)-S168</f>
        <v>-21.361999999999984</v>
      </c>
      <c r="T150" s="346">
        <f t="shared" ref="T150:BG150" si="647">+T17-SUM(T48,T77,T101,T116,T129)</f>
        <v>-73.180000000000007</v>
      </c>
      <c r="U150" s="347">
        <f t="shared" si="647"/>
        <v>21.630000000000024</v>
      </c>
      <c r="V150" s="347">
        <f t="shared" si="647"/>
        <v>13.800999999999988</v>
      </c>
      <c r="W150" s="346">
        <f t="shared" si="647"/>
        <v>35.44199999999995</v>
      </c>
      <c r="X150" s="347">
        <f>+X17-SUM(X48,X77,X101,X116,X129)</f>
        <v>35.012</v>
      </c>
      <c r="Y150" s="347">
        <f t="shared" si="647"/>
        <v>27.816000000000003</v>
      </c>
      <c r="Z150" s="346">
        <f t="shared" si="647"/>
        <v>62.828000000000088</v>
      </c>
      <c r="AA150" s="347">
        <f>+AA17-SUM(AA48,AA77,AA101,AA116,AA129)</f>
        <v>11.495000000000061</v>
      </c>
      <c r="AB150" s="347">
        <f t="shared" si="647"/>
        <v>12.560903459738824</v>
      </c>
      <c r="AC150" s="346">
        <f t="shared" si="647"/>
        <v>24.055903459738715</v>
      </c>
      <c r="AD150" s="347">
        <f t="shared" si="647"/>
        <v>15.580014365489262</v>
      </c>
      <c r="AE150" s="347">
        <f t="shared" si="647"/>
        <v>16.786359777294479</v>
      </c>
      <c r="AF150" s="346">
        <f t="shared" si="647"/>
        <v>32.366374142783911</v>
      </c>
      <c r="AG150" s="347">
        <f t="shared" si="647"/>
        <v>23.363243797102484</v>
      </c>
      <c r="AH150" s="347">
        <f t="shared" si="647"/>
        <v>25.651464464512458</v>
      </c>
      <c r="AI150" s="346">
        <f t="shared" si="647"/>
        <v>49.014708261615056</v>
      </c>
      <c r="AJ150" s="347">
        <f t="shared" si="647"/>
        <v>44.157993849849504</v>
      </c>
      <c r="AK150" s="347">
        <f t="shared" si="647"/>
        <v>47.380850076003071</v>
      </c>
      <c r="AL150" s="346">
        <f t="shared" si="647"/>
        <v>91.538843925852689</v>
      </c>
      <c r="AM150" s="347">
        <f t="shared" si="647"/>
        <v>86.554172786168579</v>
      </c>
      <c r="AN150" s="347">
        <f t="shared" si="647"/>
        <v>91.557559171117532</v>
      </c>
      <c r="AO150" s="346">
        <f t="shared" si="647"/>
        <v>178.11173195728588</v>
      </c>
      <c r="AP150" s="347">
        <f t="shared" si="647"/>
        <v>131.00343406220509</v>
      </c>
      <c r="AQ150" s="347">
        <f t="shared" si="647"/>
        <v>144.50219948571271</v>
      </c>
      <c r="AR150" s="346">
        <f t="shared" si="647"/>
        <v>275.5056335479178</v>
      </c>
      <c r="AS150" s="347">
        <f t="shared" si="647"/>
        <v>175.24624690092332</v>
      </c>
      <c r="AT150" s="347">
        <f t="shared" si="647"/>
        <v>192.34246550003661</v>
      </c>
      <c r="AU150" s="346">
        <f t="shared" si="647"/>
        <v>367.58871240096028</v>
      </c>
      <c r="AV150" s="347">
        <f t="shared" si="647"/>
        <v>224.91832780304526</v>
      </c>
      <c r="AW150" s="347">
        <f t="shared" si="647"/>
        <v>245.96468961344044</v>
      </c>
      <c r="AX150" s="346">
        <f t="shared" si="647"/>
        <v>470.8830174164857</v>
      </c>
      <c r="AY150" s="347">
        <f t="shared" si="647"/>
        <v>276.34969138269776</v>
      </c>
      <c r="AZ150" s="347">
        <f t="shared" si="647"/>
        <v>302.15770066565028</v>
      </c>
      <c r="BA150" s="346">
        <f t="shared" si="647"/>
        <v>578.50739204834827</v>
      </c>
      <c r="BB150" s="347">
        <f t="shared" si="647"/>
        <v>331.25020416831808</v>
      </c>
      <c r="BC150" s="347">
        <f t="shared" si="647"/>
        <v>361.5665728950346</v>
      </c>
      <c r="BD150" s="346">
        <f t="shared" si="647"/>
        <v>692.81677706335222</v>
      </c>
      <c r="BE150" s="347">
        <f t="shared" si="647"/>
        <v>386.4359889585935</v>
      </c>
      <c r="BF150" s="347">
        <f t="shared" si="647"/>
        <v>421.267559458096</v>
      </c>
      <c r="BG150" s="346">
        <f t="shared" si="647"/>
        <v>807.70354841668905</v>
      </c>
    </row>
    <row r="151" spans="1:89">
      <c r="B151" s="386" t="s">
        <v>537</v>
      </c>
      <c r="E151" s="351"/>
      <c r="F151" s="352"/>
      <c r="G151" s="352"/>
      <c r="H151" s="351"/>
      <c r="I151" s="352"/>
      <c r="J151" s="352"/>
      <c r="K151" s="351"/>
      <c r="L151" s="352"/>
      <c r="M151" s="352"/>
      <c r="N151" s="351"/>
      <c r="O151" s="352"/>
      <c r="P151" s="352"/>
      <c r="Q151" s="351"/>
      <c r="R151" s="352"/>
      <c r="S151" s="352"/>
      <c r="T151" s="346">
        <f>+SUM(T152:T154)</f>
        <v>-73.180000000000021</v>
      </c>
      <c r="U151" s="347">
        <f t="shared" ref="U151:BG151" si="648">+SUM(U152:U154)</f>
        <v>31.31900000000002</v>
      </c>
      <c r="V151" s="347">
        <f t="shared" si="648"/>
        <v>29.843</v>
      </c>
      <c r="W151" s="346">
        <f t="shared" si="648"/>
        <v>61.172999999999995</v>
      </c>
      <c r="X151" s="347">
        <f t="shared" si="648"/>
        <v>55.612999999999985</v>
      </c>
      <c r="Y151" s="347">
        <f t="shared" si="648"/>
        <v>48.10599999999998</v>
      </c>
      <c r="Z151" s="346">
        <f t="shared" si="648"/>
        <v>103.71899999999999</v>
      </c>
      <c r="AA151" s="347">
        <f t="shared" ref="AA151" si="649">+SUM(AA152:AA154)</f>
        <v>38.782999999999994</v>
      </c>
      <c r="AB151" s="347">
        <f t="shared" si="648"/>
        <v>47.754466739502732</v>
      </c>
      <c r="AC151" s="346">
        <f t="shared" si="648"/>
        <v>86.537466739502619</v>
      </c>
      <c r="AD151" s="347">
        <f t="shared" si="648"/>
        <v>48.817681585788534</v>
      </c>
      <c r="AE151" s="347">
        <f t="shared" si="648"/>
        <v>51.616512182364076</v>
      </c>
      <c r="AF151" s="346">
        <f t="shared" si="648"/>
        <v>100.43419376815268</v>
      </c>
      <c r="AG151" s="347">
        <f t="shared" si="648"/>
        <v>61.190004819451929</v>
      </c>
      <c r="AH151" s="347">
        <f t="shared" si="648"/>
        <v>64.661787901039347</v>
      </c>
      <c r="AI151" s="346">
        <f t="shared" si="648"/>
        <v>125.85179272049132</v>
      </c>
      <c r="AJ151" s="347">
        <f t="shared" si="648"/>
        <v>86.927597604257883</v>
      </c>
      <c r="AK151" s="347">
        <f t="shared" si="648"/>
        <v>91.516070868856744</v>
      </c>
      <c r="AL151" s="346">
        <f t="shared" si="648"/>
        <v>178.4436684731146</v>
      </c>
      <c r="AM151" s="347">
        <f t="shared" si="648"/>
        <v>141.80806046342349</v>
      </c>
      <c r="AN151" s="347">
        <f t="shared" si="648"/>
        <v>148.66578026351573</v>
      </c>
      <c r="AO151" s="346">
        <f t="shared" si="648"/>
        <v>290.47384072693922</v>
      </c>
      <c r="AP151" s="347">
        <f t="shared" si="648"/>
        <v>193.41835485856345</v>
      </c>
      <c r="AQ151" s="347">
        <f t="shared" si="648"/>
        <v>211.24814929461834</v>
      </c>
      <c r="AR151" s="346">
        <f t="shared" si="648"/>
        <v>404.66650415318168</v>
      </c>
      <c r="AS151" s="347">
        <f t="shared" si="648"/>
        <v>244.56306514444026</v>
      </c>
      <c r="AT151" s="347">
        <f t="shared" si="648"/>
        <v>266.5462811897163</v>
      </c>
      <c r="AU151" s="346">
        <f t="shared" si="648"/>
        <v>511.10934633415644</v>
      </c>
      <c r="AV151" s="347">
        <f t="shared" si="648"/>
        <v>300.69012813425434</v>
      </c>
      <c r="AW151" s="347">
        <f t="shared" si="648"/>
        <v>327.13196427036246</v>
      </c>
      <c r="AX151" s="346">
        <f t="shared" si="648"/>
        <v>627.82209240461702</v>
      </c>
      <c r="AY151" s="347">
        <f t="shared" si="648"/>
        <v>357.6380047510936</v>
      </c>
      <c r="AZ151" s="347">
        <f t="shared" si="648"/>
        <v>389.36040995285748</v>
      </c>
      <c r="BA151" s="346">
        <f t="shared" si="648"/>
        <v>746.99841470395086</v>
      </c>
      <c r="BB151" s="347">
        <f t="shared" si="648"/>
        <v>417.34466171494989</v>
      </c>
      <c r="BC151" s="347">
        <f t="shared" si="648"/>
        <v>453.9652424952813</v>
      </c>
      <c r="BD151" s="346">
        <f t="shared" si="648"/>
        <v>871.30990421023102</v>
      </c>
      <c r="BE151" s="347">
        <f t="shared" si="648"/>
        <v>476.12254305954548</v>
      </c>
      <c r="BF151" s="347">
        <f t="shared" si="648"/>
        <v>517.54812293739337</v>
      </c>
      <c r="BG151" s="346">
        <f t="shared" si="648"/>
        <v>993.67066599693896</v>
      </c>
      <c r="CA151" s="52"/>
      <c r="CB151" s="52"/>
      <c r="CC151" s="52"/>
      <c r="CD151" s="52"/>
      <c r="CE151" s="52"/>
      <c r="CF151" s="52"/>
      <c r="CG151" s="52"/>
      <c r="CH151" s="52"/>
      <c r="CI151" s="52"/>
      <c r="CJ151" s="52"/>
      <c r="CK151" s="52"/>
    </row>
    <row r="152" spans="1:89">
      <c r="A152" s="51" t="s">
        <v>538</v>
      </c>
      <c r="B152" s="350" t="s">
        <v>99</v>
      </c>
      <c r="E152" s="485"/>
      <c r="F152" s="479"/>
      <c r="G152" s="479"/>
      <c r="H152" s="485"/>
      <c r="I152" s="479"/>
      <c r="J152" s="479"/>
      <c r="K152" s="485"/>
      <c r="L152" s="479"/>
      <c r="M152" s="479"/>
      <c r="N152" s="485"/>
      <c r="O152" s="479"/>
      <c r="P152" s="479"/>
      <c r="Q152" s="485"/>
      <c r="R152" s="479">
        <f t="shared" ref="R152:BG152" si="650">+R19-SUM(R49,R81,R102,R117,R131)</f>
        <v>-14.095999999999997</v>
      </c>
      <c r="S152" s="479">
        <f t="shared" si="650"/>
        <v>-27.047941958154269</v>
      </c>
      <c r="T152" s="485">
        <f t="shared" si="650"/>
        <v>-41.143941958154272</v>
      </c>
      <c r="U152" s="479">
        <f t="shared" si="650"/>
        <v>44.873000000000019</v>
      </c>
      <c r="V152" s="479">
        <f t="shared" si="650"/>
        <v>48.393000000000001</v>
      </c>
      <c r="W152" s="485">
        <f t="shared" si="650"/>
        <v>93.265999999999991</v>
      </c>
      <c r="X152" s="479">
        <f t="shared" si="650"/>
        <v>82.605999999999995</v>
      </c>
      <c r="Y152" s="479">
        <f t="shared" si="650"/>
        <v>87.624999999999972</v>
      </c>
      <c r="Z152" s="485">
        <f t="shared" si="650"/>
        <v>170.23099999999999</v>
      </c>
      <c r="AA152" s="479">
        <f t="shared" ref="AA152" si="651">+AA19-SUM(AA49,AA81,AA102,AA117,AA131)</f>
        <v>102.572</v>
      </c>
      <c r="AB152" s="479">
        <f t="shared" si="650"/>
        <v>114.13553967695248</v>
      </c>
      <c r="AC152" s="485">
        <f t="shared" si="650"/>
        <v>216.70753967695236</v>
      </c>
      <c r="AD152" s="479">
        <f t="shared" si="650"/>
        <v>122.25192556247211</v>
      </c>
      <c r="AE152" s="479">
        <f t="shared" si="650"/>
        <v>130.9531644304175</v>
      </c>
      <c r="AF152" s="485">
        <f t="shared" si="650"/>
        <v>253.20508999288967</v>
      </c>
      <c r="AG152" s="479">
        <f t="shared" si="650"/>
        <v>147.7710993502954</v>
      </c>
      <c r="AH152" s="479">
        <f t="shared" si="650"/>
        <v>153.96507598449114</v>
      </c>
      <c r="AI152" s="485">
        <f t="shared" si="650"/>
        <v>301.73617533478659</v>
      </c>
      <c r="AJ152" s="479">
        <f t="shared" si="650"/>
        <v>183.67575905228114</v>
      </c>
      <c r="AK152" s="479">
        <f t="shared" si="650"/>
        <v>191.33049769617026</v>
      </c>
      <c r="AL152" s="485">
        <f t="shared" si="650"/>
        <v>375.00625674845139</v>
      </c>
      <c r="AM152" s="479">
        <f t="shared" si="650"/>
        <v>212.62449319578502</v>
      </c>
      <c r="AN152" s="479">
        <f t="shared" si="650"/>
        <v>221.45353510272929</v>
      </c>
      <c r="AO152" s="485">
        <f t="shared" si="650"/>
        <v>434.07802829851425</v>
      </c>
      <c r="AP152" s="479">
        <f t="shared" si="650"/>
        <v>233.4491736872767</v>
      </c>
      <c r="AQ152" s="479">
        <f t="shared" si="650"/>
        <v>253.29783070652456</v>
      </c>
      <c r="AR152" s="485">
        <f t="shared" si="650"/>
        <v>486.74700439380126</v>
      </c>
      <c r="AS152" s="479">
        <f t="shared" si="650"/>
        <v>258.46033797032351</v>
      </c>
      <c r="AT152" s="479">
        <f t="shared" si="650"/>
        <v>280.42424675722947</v>
      </c>
      <c r="AU152" s="485">
        <f t="shared" si="650"/>
        <v>538.88458472755281</v>
      </c>
      <c r="AV152" s="479">
        <f t="shared" si="650"/>
        <v>287.55153316480835</v>
      </c>
      <c r="AW152" s="479">
        <f t="shared" si="650"/>
        <v>311.88248233015662</v>
      </c>
      <c r="AX152" s="485">
        <f t="shared" si="650"/>
        <v>599.43401549496502</v>
      </c>
      <c r="AY152" s="479">
        <f t="shared" si="650"/>
        <v>315.53691732513425</v>
      </c>
      <c r="AZ152" s="479">
        <f t="shared" si="650"/>
        <v>342.36868942598005</v>
      </c>
      <c r="BA152" s="485">
        <f t="shared" si="650"/>
        <v>657.90560675111419</v>
      </c>
      <c r="BB152" s="479">
        <f t="shared" si="650"/>
        <v>342.32980398279062</v>
      </c>
      <c r="BC152" s="479">
        <f t="shared" si="650"/>
        <v>371.37311480074129</v>
      </c>
      <c r="BD152" s="485">
        <f t="shared" si="650"/>
        <v>713.70291878353169</v>
      </c>
      <c r="BE152" s="479">
        <f t="shared" si="650"/>
        <v>366.54739496720413</v>
      </c>
      <c r="BF152" s="479">
        <f t="shared" si="650"/>
        <v>397.58819340292655</v>
      </c>
      <c r="BG152" s="485">
        <f t="shared" si="650"/>
        <v>764.13558837013079</v>
      </c>
      <c r="BZ152" s="52"/>
      <c r="CA152" s="52"/>
      <c r="CB152" s="52"/>
      <c r="CC152" s="52"/>
      <c r="CD152" s="52"/>
      <c r="CE152" s="52"/>
      <c r="CF152" s="52"/>
      <c r="CG152" s="52"/>
      <c r="CH152" s="52"/>
      <c r="CI152" s="52"/>
      <c r="CJ152" s="52"/>
      <c r="CK152" s="52"/>
    </row>
    <row r="153" spans="1:89">
      <c r="A153" s="51" t="s">
        <v>539</v>
      </c>
      <c r="B153" s="350" t="s">
        <v>117</v>
      </c>
      <c r="E153" s="485"/>
      <c r="F153" s="479"/>
      <c r="G153" s="479"/>
      <c r="H153" s="485"/>
      <c r="I153" s="479"/>
      <c r="J153" s="479"/>
      <c r="K153" s="485"/>
      <c r="L153" s="479"/>
      <c r="M153" s="479"/>
      <c r="N153" s="485"/>
      <c r="O153" s="479"/>
      <c r="P153" s="479"/>
      <c r="Q153" s="485"/>
      <c r="R153" s="479">
        <f t="shared" ref="R153:BG153" si="652">+R29-SUM(R50,R86,R103,R118,R132)</f>
        <v>-32.736000000000004</v>
      </c>
      <c r="S153" s="479">
        <f t="shared" si="652"/>
        <v>6.2738031781536954</v>
      </c>
      <c r="T153" s="485">
        <f t="shared" si="652"/>
        <v>-26.462196821846305</v>
      </c>
      <c r="U153" s="479">
        <f t="shared" si="652"/>
        <v>-11.723000000000001</v>
      </c>
      <c r="V153" s="479">
        <f t="shared" si="652"/>
        <v>-16.41</v>
      </c>
      <c r="W153" s="485">
        <f t="shared" si="652"/>
        <v>-28.122</v>
      </c>
      <c r="X153" s="479">
        <f t="shared" si="652"/>
        <v>-20.954000000000004</v>
      </c>
      <c r="Y153" s="479">
        <f t="shared" si="652"/>
        <v>-28.943999999999996</v>
      </c>
      <c r="Z153" s="485">
        <f t="shared" si="652"/>
        <v>-49.898000000000003</v>
      </c>
      <c r="AA153" s="479">
        <f t="shared" ref="AA153" si="653">+AA29-SUM(AA50,AA86,AA103,AA118,AA132)</f>
        <v>-44.157999999999994</v>
      </c>
      <c r="AB153" s="479">
        <f t="shared" si="652"/>
        <v>-46.978697045568346</v>
      </c>
      <c r="AC153" s="485">
        <f t="shared" si="652"/>
        <v>-91.13669704556834</v>
      </c>
      <c r="AD153" s="479">
        <f t="shared" si="652"/>
        <v>-51.32993189784677</v>
      </c>
      <c r="AE153" s="479">
        <f t="shared" si="652"/>
        <v>-56.32993189784677</v>
      </c>
      <c r="AF153" s="485">
        <f t="shared" si="652"/>
        <v>-107.65986379569354</v>
      </c>
      <c r="AG153" s="479">
        <f t="shared" si="652"/>
        <v>-61.712814264811499</v>
      </c>
      <c r="AH153" s="479">
        <f t="shared" si="652"/>
        <v>-63.764322449385887</v>
      </c>
      <c r="AI153" s="485">
        <f>+AI29-SUM(AI50,AI86,AI103,AI118,AI132)</f>
        <v>-125.4771367141974</v>
      </c>
      <c r="AJ153" s="479">
        <f t="shared" si="652"/>
        <v>-71.245352854730498</v>
      </c>
      <c r="AK153" s="479">
        <f t="shared" si="652"/>
        <v>-73.612422310336797</v>
      </c>
      <c r="AL153" s="485">
        <f t="shared" si="652"/>
        <v>-144.8577751650673</v>
      </c>
      <c r="AM153" s="479">
        <f t="shared" si="652"/>
        <v>-44.156313189390502</v>
      </c>
      <c r="AN153" s="479">
        <f t="shared" si="652"/>
        <v>-45.359941262373297</v>
      </c>
      <c r="AO153" s="485">
        <f t="shared" si="652"/>
        <v>-89.516254451763757</v>
      </c>
      <c r="AP153" s="479">
        <f t="shared" si="652"/>
        <v>-13.270772097555806</v>
      </c>
      <c r="AQ153" s="479">
        <f t="shared" si="652"/>
        <v>-13.646830572541148</v>
      </c>
      <c r="AR153" s="485">
        <f t="shared" si="652"/>
        <v>-26.91760267009704</v>
      </c>
      <c r="AS153" s="479">
        <f t="shared" si="652"/>
        <v>13.571143985514738</v>
      </c>
      <c r="AT153" s="479">
        <f t="shared" si="652"/>
        <v>15.364431316841973</v>
      </c>
      <c r="AU153" s="485">
        <f t="shared" si="652"/>
        <v>28.93557530235671</v>
      </c>
      <c r="AV153" s="479">
        <f t="shared" si="652"/>
        <v>40.847939858842835</v>
      </c>
      <c r="AW153" s="479">
        <f t="shared" si="652"/>
        <v>44.829257929183228</v>
      </c>
      <c r="AX153" s="485">
        <f t="shared" si="652"/>
        <v>85.677197788026149</v>
      </c>
      <c r="AY153" s="479">
        <f t="shared" si="652"/>
        <v>69.436177255498023</v>
      </c>
      <c r="AZ153" s="479">
        <f t="shared" si="652"/>
        <v>76.280380823752694</v>
      </c>
      <c r="BA153" s="485">
        <f t="shared" si="652"/>
        <v>145.7165580792506</v>
      </c>
      <c r="BB153" s="479">
        <f t="shared" si="652"/>
        <v>101.47042191262841</v>
      </c>
      <c r="BC153" s="479">
        <f t="shared" si="652"/>
        <v>111.02671012287993</v>
      </c>
      <c r="BD153" s="485">
        <f t="shared" si="652"/>
        <v>212.49713203550846</v>
      </c>
      <c r="BE153" s="479">
        <f t="shared" si="652"/>
        <v>134.52272085024237</v>
      </c>
      <c r="BF153" s="479">
        <f t="shared" si="652"/>
        <v>146.86922008242561</v>
      </c>
      <c r="BG153" s="485">
        <f t="shared" si="652"/>
        <v>281.39194093266792</v>
      </c>
      <c r="BZ153" s="52"/>
    </row>
    <row r="154" spans="1:89">
      <c r="A154" s="51" t="s">
        <v>540</v>
      </c>
      <c r="B154" s="350" t="s">
        <v>138</v>
      </c>
      <c r="E154" s="485"/>
      <c r="F154" s="479"/>
      <c r="G154" s="479"/>
      <c r="H154" s="485"/>
      <c r="I154" s="479"/>
      <c r="J154" s="479"/>
      <c r="K154" s="485"/>
      <c r="L154" s="479"/>
      <c r="M154" s="479"/>
      <c r="N154" s="485"/>
      <c r="O154" s="479"/>
      <c r="P154" s="479"/>
      <c r="Q154" s="485"/>
      <c r="R154" s="479">
        <f t="shared" ref="R154:BG154" si="654">+R35-SUM(R51,R87,R104,R119,R133)</f>
        <v>-13.922999999999998</v>
      </c>
      <c r="S154" s="479">
        <f t="shared" si="654"/>
        <v>8.3491387800005619</v>
      </c>
      <c r="T154" s="485">
        <f t="shared" si="654"/>
        <v>-5.5738612199994373</v>
      </c>
      <c r="U154" s="479">
        <f t="shared" si="654"/>
        <v>-1.831</v>
      </c>
      <c r="V154" s="479">
        <f t="shared" si="654"/>
        <v>-2.14</v>
      </c>
      <c r="W154" s="485">
        <f t="shared" si="654"/>
        <v>-3.9709999999999992</v>
      </c>
      <c r="X154" s="479">
        <f t="shared" si="654"/>
        <v>-6.0389999999999997</v>
      </c>
      <c r="Y154" s="479">
        <f t="shared" si="654"/>
        <v>-10.574999999999999</v>
      </c>
      <c r="Z154" s="485">
        <f t="shared" si="654"/>
        <v>-16.614000000000001</v>
      </c>
      <c r="AA154" s="479">
        <f t="shared" ref="AA154" si="655">+AA35-SUM(AA51,AA87,AA104,AA119,AA133)</f>
        <v>-19.631000000000014</v>
      </c>
      <c r="AB154" s="479">
        <f t="shared" si="654"/>
        <v>-19.402375891881405</v>
      </c>
      <c r="AC154" s="485">
        <f>+AC35-SUM(AC51,AC87,AC104,AC119,AC133)</f>
        <v>-39.033375891881406</v>
      </c>
      <c r="AD154" s="479">
        <f t="shared" si="654"/>
        <v>-22.104312078836813</v>
      </c>
      <c r="AE154" s="479">
        <f t="shared" si="654"/>
        <v>-23.006720350206663</v>
      </c>
      <c r="AF154" s="485">
        <f>+AF35-SUM(AF51,AF87,AF104,AF119,AF133)</f>
        <v>-45.111032429043462</v>
      </c>
      <c r="AG154" s="479">
        <f t="shared" si="654"/>
        <v>-24.868280266031974</v>
      </c>
      <c r="AH154" s="479">
        <f t="shared" si="654"/>
        <v>-25.538965634065903</v>
      </c>
      <c r="AI154" s="485">
        <f t="shared" si="654"/>
        <v>-50.407245900097877</v>
      </c>
      <c r="AJ154" s="479">
        <f t="shared" si="654"/>
        <v>-25.502808593292755</v>
      </c>
      <c r="AK154" s="479">
        <f t="shared" si="654"/>
        <v>-26.202004516976714</v>
      </c>
      <c r="AL154" s="485">
        <f t="shared" si="654"/>
        <v>-51.704813110269498</v>
      </c>
      <c r="AM154" s="479">
        <f t="shared" si="654"/>
        <v>-26.660119542971032</v>
      </c>
      <c r="AN154" s="479">
        <f t="shared" si="654"/>
        <v>-27.427813576840279</v>
      </c>
      <c r="AO154" s="485">
        <f t="shared" si="654"/>
        <v>-54.087933119811311</v>
      </c>
      <c r="AP154" s="479">
        <f t="shared" si="654"/>
        <v>-26.760046731157445</v>
      </c>
      <c r="AQ154" s="479">
        <f t="shared" si="654"/>
        <v>-28.402850839365072</v>
      </c>
      <c r="AR154" s="485">
        <f t="shared" si="654"/>
        <v>-55.162897570522546</v>
      </c>
      <c r="AS154" s="479">
        <f t="shared" si="654"/>
        <v>-27.468416811397958</v>
      </c>
      <c r="AT154" s="479">
        <f t="shared" si="654"/>
        <v>-29.242396884355117</v>
      </c>
      <c r="AU154" s="485">
        <f t="shared" si="654"/>
        <v>-56.710813695753075</v>
      </c>
      <c r="AV154" s="479">
        <f t="shared" si="654"/>
        <v>-27.709344889396874</v>
      </c>
      <c r="AW154" s="479">
        <f t="shared" si="654"/>
        <v>-29.579775988977389</v>
      </c>
      <c r="AX154" s="485">
        <f t="shared" si="654"/>
        <v>-57.289120878374263</v>
      </c>
      <c r="AY154" s="479">
        <f t="shared" si="654"/>
        <v>-27.335089829538646</v>
      </c>
      <c r="AZ154" s="479">
        <f t="shared" si="654"/>
        <v>-29.288660296875236</v>
      </c>
      <c r="BA154" s="485">
        <f t="shared" si="654"/>
        <v>-56.623750126413881</v>
      </c>
      <c r="BB154" s="479">
        <f t="shared" si="654"/>
        <v>-26.455564180469139</v>
      </c>
      <c r="BC154" s="479">
        <f t="shared" si="654"/>
        <v>-28.434582428339922</v>
      </c>
      <c r="BD154" s="485">
        <f t="shared" si="654"/>
        <v>-54.890146608809061</v>
      </c>
      <c r="BE154" s="479">
        <f t="shared" si="654"/>
        <v>-24.947572757900986</v>
      </c>
      <c r="BF154" s="479">
        <f t="shared" si="654"/>
        <v>-26.909290547958761</v>
      </c>
      <c r="BG154" s="485">
        <f t="shared" si="654"/>
        <v>-51.856863305859747</v>
      </c>
      <c r="BJ154" s="52"/>
      <c r="BK154" s="419">
        <v>5.8000000000000003E-2</v>
      </c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</row>
    <row r="155" spans="1:89">
      <c r="B155" s="52"/>
      <c r="E155" s="346"/>
      <c r="F155" s="347"/>
      <c r="G155" s="347"/>
      <c r="H155" s="346"/>
      <c r="I155" s="347"/>
      <c r="J155" s="347"/>
      <c r="K155" s="346"/>
      <c r="L155" s="347"/>
      <c r="M155" s="347"/>
      <c r="N155" s="346"/>
      <c r="O155" s="347"/>
      <c r="P155" s="347"/>
      <c r="Q155" s="346"/>
      <c r="R155" s="347"/>
      <c r="S155" s="347"/>
      <c r="T155" s="390">
        <f>+T151-SUM(T152:T154)</f>
        <v>0</v>
      </c>
      <c r="U155" s="391">
        <f t="shared" ref="U155" si="656">+U151-SUM(U152:U154)</f>
        <v>0</v>
      </c>
      <c r="V155" s="391">
        <f t="shared" ref="V155:BG155" si="657">+V151-SUM(V152:V154)</f>
        <v>0</v>
      </c>
      <c r="W155" s="390">
        <f t="shared" si="657"/>
        <v>0</v>
      </c>
      <c r="X155" s="391">
        <f t="shared" si="657"/>
        <v>0</v>
      </c>
      <c r="Y155" s="391">
        <f t="shared" si="657"/>
        <v>0</v>
      </c>
      <c r="Z155" s="390">
        <f t="shared" si="657"/>
        <v>0</v>
      </c>
      <c r="AA155" s="391">
        <f t="shared" ref="AA155" si="658">+AA151-SUM(AA152:AA154)</f>
        <v>0</v>
      </c>
      <c r="AB155" s="391">
        <f t="shared" si="657"/>
        <v>0</v>
      </c>
      <c r="AC155" s="390">
        <f t="shared" si="657"/>
        <v>0</v>
      </c>
      <c r="AD155" s="391">
        <f t="shared" si="657"/>
        <v>0</v>
      </c>
      <c r="AE155" s="391">
        <f t="shared" si="657"/>
        <v>0</v>
      </c>
      <c r="AF155" s="390">
        <f t="shared" si="657"/>
        <v>0</v>
      </c>
      <c r="AG155" s="391">
        <f t="shared" si="657"/>
        <v>0</v>
      </c>
      <c r="AH155" s="391">
        <f t="shared" si="657"/>
        <v>0</v>
      </c>
      <c r="AI155" s="390">
        <f t="shared" si="657"/>
        <v>0</v>
      </c>
      <c r="AJ155" s="391">
        <f t="shared" si="657"/>
        <v>0</v>
      </c>
      <c r="AK155" s="391">
        <f t="shared" si="657"/>
        <v>0</v>
      </c>
      <c r="AL155" s="390">
        <f t="shared" si="657"/>
        <v>0</v>
      </c>
      <c r="AM155" s="391">
        <f t="shared" si="657"/>
        <v>0</v>
      </c>
      <c r="AN155" s="391">
        <f t="shared" si="657"/>
        <v>0</v>
      </c>
      <c r="AO155" s="390">
        <f t="shared" si="657"/>
        <v>0</v>
      </c>
      <c r="AP155" s="391">
        <f t="shared" si="657"/>
        <v>0</v>
      </c>
      <c r="AQ155" s="391">
        <f t="shared" si="657"/>
        <v>0</v>
      </c>
      <c r="AR155" s="390">
        <f t="shared" si="657"/>
        <v>0</v>
      </c>
      <c r="AS155" s="391">
        <f t="shared" si="657"/>
        <v>0</v>
      </c>
      <c r="AT155" s="391">
        <f t="shared" si="657"/>
        <v>0</v>
      </c>
      <c r="AU155" s="390">
        <f t="shared" si="657"/>
        <v>0</v>
      </c>
      <c r="AV155" s="391">
        <f t="shared" si="657"/>
        <v>0</v>
      </c>
      <c r="AW155" s="391">
        <f t="shared" si="657"/>
        <v>0</v>
      </c>
      <c r="AX155" s="390">
        <f t="shared" si="657"/>
        <v>0</v>
      </c>
      <c r="AY155" s="391">
        <f t="shared" si="657"/>
        <v>0</v>
      </c>
      <c r="AZ155" s="391">
        <f t="shared" si="657"/>
        <v>0</v>
      </c>
      <c r="BA155" s="390">
        <f t="shared" si="657"/>
        <v>0</v>
      </c>
      <c r="BB155" s="391">
        <f t="shared" si="657"/>
        <v>0</v>
      </c>
      <c r="BC155" s="391">
        <f t="shared" si="657"/>
        <v>0</v>
      </c>
      <c r="BD155" s="390">
        <f t="shared" si="657"/>
        <v>0</v>
      </c>
      <c r="BE155" s="391">
        <f t="shared" si="657"/>
        <v>0</v>
      </c>
      <c r="BF155" s="391">
        <f t="shared" si="657"/>
        <v>0</v>
      </c>
      <c r="BG155" s="390">
        <f t="shared" si="657"/>
        <v>0</v>
      </c>
      <c r="BJ155" s="52" t="s">
        <v>541</v>
      </c>
      <c r="BK155" s="420">
        <v>650000</v>
      </c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</row>
    <row r="156" spans="1:89">
      <c r="B156" s="52" t="s">
        <v>488</v>
      </c>
      <c r="E156" s="346"/>
      <c r="F156" s="347"/>
      <c r="G156" s="347"/>
      <c r="H156" s="346"/>
      <c r="I156" s="347"/>
      <c r="J156" s="347"/>
      <c r="K156" s="346"/>
      <c r="L156" s="347"/>
      <c r="M156" s="347"/>
      <c r="N156" s="346"/>
      <c r="O156" s="347"/>
      <c r="P156" s="347"/>
      <c r="Q156" s="346"/>
      <c r="R156" s="347"/>
      <c r="S156" s="347"/>
      <c r="T156" s="346"/>
      <c r="U156" s="347"/>
      <c r="V156" s="347"/>
      <c r="W156" s="346"/>
      <c r="X156" s="347"/>
      <c r="Y156" s="347"/>
      <c r="Z156" s="346"/>
      <c r="AA156" s="347"/>
      <c r="AB156" s="347"/>
      <c r="AC156" s="346"/>
      <c r="AD156" s="347"/>
      <c r="AE156" s="347"/>
      <c r="AF156" s="346"/>
      <c r="AG156" s="347"/>
      <c r="AH156" s="347"/>
      <c r="AI156" s="346"/>
      <c r="AJ156" s="347"/>
      <c r="AK156" s="347"/>
      <c r="AL156" s="346"/>
      <c r="AM156" s="347"/>
      <c r="AN156" s="347"/>
      <c r="AO156" s="346"/>
      <c r="AP156" s="347"/>
      <c r="AQ156" s="347"/>
      <c r="AR156" s="346"/>
      <c r="AS156" s="347"/>
      <c r="AT156" s="347"/>
      <c r="AU156" s="346"/>
      <c r="AV156" s="347"/>
      <c r="AW156" s="347"/>
      <c r="AX156" s="346"/>
      <c r="AY156" s="347"/>
      <c r="AZ156" s="347"/>
      <c r="BA156" s="346"/>
      <c r="BB156" s="347"/>
      <c r="BC156" s="347"/>
      <c r="BD156" s="346"/>
      <c r="BE156" s="347"/>
      <c r="BF156" s="347"/>
      <c r="BG156" s="346"/>
      <c r="BK156" s="59">
        <v>2.375E-2</v>
      </c>
    </row>
    <row r="157" spans="1:89">
      <c r="B157" s="52" t="s">
        <v>463</v>
      </c>
      <c r="C157" s="52"/>
      <c r="D157" s="52"/>
      <c r="E157" s="346"/>
      <c r="F157" s="347"/>
      <c r="G157" s="347"/>
      <c r="H157" s="346"/>
      <c r="I157" s="347"/>
      <c r="J157" s="347"/>
      <c r="K157" s="346"/>
      <c r="L157" s="347"/>
      <c r="M157" s="347"/>
      <c r="N157" s="346"/>
      <c r="O157" s="347"/>
      <c r="P157" s="347"/>
      <c r="Q157" s="346"/>
      <c r="R157" s="347"/>
      <c r="S157" s="347"/>
      <c r="T157" s="405"/>
      <c r="U157" s="406">
        <f t="shared" ref="U157:BG158" si="659">IFERROR(U150/U$17,"NA")</f>
        <v>0.14537951244429823</v>
      </c>
      <c r="V157" s="406">
        <f t="shared" si="659"/>
        <v>7.4926029479627509E-2</v>
      </c>
      <c r="W157" s="405">
        <f t="shared" si="659"/>
        <v>0.10643946446912396</v>
      </c>
      <c r="X157" s="406">
        <f t="shared" si="659"/>
        <v>0.14612016977517728</v>
      </c>
      <c r="Y157" s="406">
        <f t="shared" si="659"/>
        <v>0.10044052863436125</v>
      </c>
      <c r="Z157" s="405">
        <f t="shared" si="659"/>
        <v>0.12162981002843878</v>
      </c>
      <c r="AA157" s="406">
        <f t="shared" ref="AA157" si="660">IFERROR(AA150/AA$17,"NA")</f>
        <v>2.9447252400995137E-2</v>
      </c>
      <c r="AB157" s="406">
        <f t="shared" si="659"/>
        <v>3.0337274620092461E-2</v>
      </c>
      <c r="AC157" s="405">
        <f t="shared" si="659"/>
        <v>2.9905365388785916E-2</v>
      </c>
      <c r="AD157" s="406">
        <f t="shared" si="659"/>
        <v>3.5155929255409835E-2</v>
      </c>
      <c r="AE157" s="406">
        <f t="shared" si="659"/>
        <v>3.6146180718802712E-2</v>
      </c>
      <c r="AF157" s="405">
        <f t="shared" si="659"/>
        <v>3.5662638733973399E-2</v>
      </c>
      <c r="AG157" s="406">
        <f t="shared" si="659"/>
        <v>4.6322847566763553E-2</v>
      </c>
      <c r="AH157" s="406">
        <f t="shared" si="659"/>
        <v>4.9316685055654903E-2</v>
      </c>
      <c r="AI157" s="405">
        <f t="shared" si="659"/>
        <v>4.7842824145528283E-2</v>
      </c>
      <c r="AJ157" s="406">
        <f t="shared" si="659"/>
        <v>7.7434655643667236E-2</v>
      </c>
      <c r="AK157" s="406">
        <f t="shared" si="659"/>
        <v>8.0515372798942039E-2</v>
      </c>
      <c r="AL157" s="405">
        <f t="shared" si="659"/>
        <v>7.89992193207327E-2</v>
      </c>
      <c r="AM157" s="406">
        <f t="shared" si="659"/>
        <v>0.11748608526662731</v>
      </c>
      <c r="AN157" s="406">
        <f t="shared" si="659"/>
        <v>0.12024217891017226</v>
      </c>
      <c r="AO157" s="405">
        <f t="shared" si="659"/>
        <v>0.11888687425920104</v>
      </c>
      <c r="AP157" s="406">
        <f t="shared" si="659"/>
        <v>0.15217112908783853</v>
      </c>
      <c r="AQ157" s="406">
        <f t="shared" si="659"/>
        <v>0.15695947833101823</v>
      </c>
      <c r="AR157" s="405">
        <f t="shared" si="659"/>
        <v>0.15464558529702235</v>
      </c>
      <c r="AS157" s="406">
        <f t="shared" si="659"/>
        <v>0.17697346176462728</v>
      </c>
      <c r="AT157" s="406">
        <f t="shared" si="659"/>
        <v>0.18144582539136384</v>
      </c>
      <c r="AU157" s="405">
        <f t="shared" si="659"/>
        <v>0.17928578743628004</v>
      </c>
      <c r="AV157" s="406">
        <f t="shared" si="659"/>
        <v>0.2003646087375909</v>
      </c>
      <c r="AW157" s="406">
        <f t="shared" si="659"/>
        <v>0.20454815834439685</v>
      </c>
      <c r="AX157" s="405">
        <f t="shared" si="659"/>
        <v>0.20252829754486951</v>
      </c>
      <c r="AY157" s="406">
        <f t="shared" si="659"/>
        <v>0.22097555227242649</v>
      </c>
      <c r="AZ157" s="406">
        <f t="shared" si="659"/>
        <v>0.2252252332961463</v>
      </c>
      <c r="BA157" s="405">
        <f t="shared" si="659"/>
        <v>0.22317497923912186</v>
      </c>
      <c r="BB157" s="406">
        <f t="shared" si="659"/>
        <v>0.24047004128350896</v>
      </c>
      <c r="BC157" s="406">
        <f t="shared" si="659"/>
        <v>0.24456965564230698</v>
      </c>
      <c r="BD157" s="405">
        <f t="shared" si="659"/>
        <v>0.24259224575536673</v>
      </c>
      <c r="BE157" s="406">
        <f t="shared" si="659"/>
        <v>0.25852436376825244</v>
      </c>
      <c r="BF157" s="406">
        <f t="shared" si="659"/>
        <v>0.26252498587547868</v>
      </c>
      <c r="BG157" s="405">
        <f t="shared" si="659"/>
        <v>0.26059560171484925</v>
      </c>
      <c r="BJ157" s="53">
        <v>1</v>
      </c>
      <c r="BK157" s="53">
        <f>+BK155*BK156</f>
        <v>15437.5</v>
      </c>
      <c r="BM157" s="53">
        <f>1/(1+13.5%)^1</f>
        <v>0.88105726872246692</v>
      </c>
      <c r="BN157" s="53">
        <f>+BK157*BM157</f>
        <v>13601.321585903082</v>
      </c>
    </row>
    <row r="158" spans="1:89">
      <c r="B158" s="386" t="s">
        <v>537</v>
      </c>
      <c r="C158" s="52"/>
      <c r="D158" s="52"/>
      <c r="E158" s="346"/>
      <c r="F158" s="347"/>
      <c r="G158" s="347"/>
      <c r="H158" s="405"/>
      <c r="I158" s="347"/>
      <c r="J158" s="347"/>
      <c r="K158" s="405"/>
      <c r="L158" s="347"/>
      <c r="M158" s="347"/>
      <c r="N158" s="405"/>
      <c r="O158" s="347"/>
      <c r="P158" s="347"/>
      <c r="Q158" s="405"/>
      <c r="R158" s="406"/>
      <c r="S158" s="406"/>
      <c r="T158" s="405"/>
      <c r="U158" s="406">
        <f t="shared" si="659"/>
        <v>0.21050119973384068</v>
      </c>
      <c r="V158" s="406">
        <f t="shared" si="659"/>
        <v>0.16201851298895192</v>
      </c>
      <c r="W158" s="405">
        <f t="shared" si="659"/>
        <v>0.18371484001946076</v>
      </c>
      <c r="X158" s="406">
        <f t="shared" si="659"/>
        <v>0.23209702392628045</v>
      </c>
      <c r="Y158" s="406">
        <f t="shared" si="659"/>
        <v>0.1737054957752581</v>
      </c>
      <c r="Z158" s="405">
        <f t="shared" si="659"/>
        <v>0.20079140297860229</v>
      </c>
      <c r="AA158" s="406">
        <f t="shared" ref="AA158" si="661">IFERROR(AA151/AA$17,"NA")</f>
        <v>9.9352134829733638E-2</v>
      </c>
      <c r="AB158" s="406">
        <f t="shared" si="659"/>
        <v>0.11533727462009241</v>
      </c>
      <c r="AC158" s="405">
        <f t="shared" si="659"/>
        <v>0.10758001947405733</v>
      </c>
      <c r="AD158" s="406">
        <f t="shared" si="659"/>
        <v>0.11015592925540989</v>
      </c>
      <c r="AE158" s="406">
        <f t="shared" si="659"/>
        <v>0.11114618071880275</v>
      </c>
      <c r="AF158" s="405">
        <f t="shared" si="659"/>
        <v>0.11066263873397333</v>
      </c>
      <c r="AG158" s="406">
        <f t="shared" si="659"/>
        <v>0.12132284756676355</v>
      </c>
      <c r="AH158" s="406">
        <f t="shared" si="659"/>
        <v>0.12431668505565474</v>
      </c>
      <c r="AI158" s="405">
        <f t="shared" si="659"/>
        <v>0.12284282414552812</v>
      </c>
      <c r="AJ158" s="406">
        <f t="shared" si="659"/>
        <v>0.15243465564366718</v>
      </c>
      <c r="AK158" s="406">
        <f t="shared" si="659"/>
        <v>0.15551537279894206</v>
      </c>
      <c r="AL158" s="405">
        <f t="shared" si="659"/>
        <v>0.15399921932073257</v>
      </c>
      <c r="AM158" s="406">
        <f t="shared" si="659"/>
        <v>0.19248608526662703</v>
      </c>
      <c r="AN158" s="406">
        <f t="shared" si="659"/>
        <v>0.19524217891017229</v>
      </c>
      <c r="AO158" s="405">
        <f t="shared" si="659"/>
        <v>0.19388687425920106</v>
      </c>
      <c r="AP158" s="406">
        <f t="shared" si="659"/>
        <v>0.22467112908783851</v>
      </c>
      <c r="AQ158" s="406">
        <f t="shared" si="659"/>
        <v>0.2294594783310181</v>
      </c>
      <c r="AR158" s="405">
        <f t="shared" si="659"/>
        <v>0.22714558529702222</v>
      </c>
      <c r="AS158" s="406">
        <f t="shared" si="659"/>
        <v>0.24697346176462745</v>
      </c>
      <c r="AT158" s="406">
        <f t="shared" si="659"/>
        <v>0.25144582539136384</v>
      </c>
      <c r="AU158" s="405">
        <f t="shared" si="659"/>
        <v>0.24928578743627991</v>
      </c>
      <c r="AV158" s="406">
        <f t="shared" si="659"/>
        <v>0.26786460873759094</v>
      </c>
      <c r="AW158" s="406">
        <f t="shared" si="659"/>
        <v>0.27204815834439688</v>
      </c>
      <c r="AX158" s="405">
        <f t="shared" si="659"/>
        <v>0.27002829754486962</v>
      </c>
      <c r="AY158" s="406">
        <f t="shared" si="659"/>
        <v>0.28597555227242644</v>
      </c>
      <c r="AZ158" s="406">
        <f t="shared" si="659"/>
        <v>0.2902252332961463</v>
      </c>
      <c r="BA158" s="405">
        <f t="shared" si="659"/>
        <v>0.28817497923912166</v>
      </c>
      <c r="BB158" s="406">
        <f t="shared" si="659"/>
        <v>0.30297004128350891</v>
      </c>
      <c r="BC158" s="406">
        <f t="shared" si="659"/>
        <v>0.30706965564230687</v>
      </c>
      <c r="BD158" s="405">
        <f t="shared" si="659"/>
        <v>0.30509224575536675</v>
      </c>
      <c r="BE158" s="406">
        <f t="shared" si="659"/>
        <v>0.31852436376825227</v>
      </c>
      <c r="BF158" s="406">
        <f t="shared" si="659"/>
        <v>0.32252498587547845</v>
      </c>
      <c r="BG158" s="405">
        <f t="shared" si="659"/>
        <v>0.3205956017148493</v>
      </c>
      <c r="BJ158" s="53">
        <f>+BJ157+1</f>
        <v>2</v>
      </c>
      <c r="BK158" s="53">
        <f>+BK157</f>
        <v>15437.5</v>
      </c>
      <c r="BM158" s="53">
        <f>1/(1+13.5%)^2</f>
        <v>0.77626191076869333</v>
      </c>
      <c r="BN158" s="53">
        <f t="shared" ref="BN158:BN160" si="662">+BK158*BM158</f>
        <v>11983.543247491703</v>
      </c>
    </row>
    <row r="159" spans="1:89">
      <c r="B159" s="350" t="s">
        <v>99</v>
      </c>
      <c r="E159" s="351"/>
      <c r="F159" s="352"/>
      <c r="G159" s="352"/>
      <c r="H159" s="351"/>
      <c r="I159" s="352"/>
      <c r="J159" s="352"/>
      <c r="K159" s="351"/>
      <c r="L159" s="352"/>
      <c r="M159" s="352"/>
      <c r="N159" s="351"/>
      <c r="O159" s="352"/>
      <c r="P159" s="352"/>
      <c r="Q159" s="351"/>
      <c r="R159" s="352"/>
      <c r="S159" s="352"/>
      <c r="T159" s="351"/>
      <c r="U159" s="352">
        <f t="shared" ref="U159:BG159" si="663">U152/U19</f>
        <v>0.30476300436704962</v>
      </c>
      <c r="V159" s="352">
        <f t="shared" si="663"/>
        <v>0.26594528648209009</v>
      </c>
      <c r="W159" s="351">
        <f t="shared" si="663"/>
        <v>0.28330675415014961</v>
      </c>
      <c r="X159" s="352">
        <f t="shared" si="663"/>
        <v>0.34966242671802578</v>
      </c>
      <c r="Y159" s="352">
        <f t="shared" si="663"/>
        <v>0.32183954485185273</v>
      </c>
      <c r="Z159" s="351">
        <f t="shared" si="663"/>
        <v>0.3347656280727147</v>
      </c>
      <c r="AA159" s="352">
        <f t="shared" ref="AA159" si="664">AA152/AA19</f>
        <v>0.33538345840077172</v>
      </c>
      <c r="AB159" s="352">
        <f t="shared" si="663"/>
        <v>0.3600014135011782</v>
      </c>
      <c r="AC159" s="351">
        <f t="shared" si="663"/>
        <v>0.34791390143412326</v>
      </c>
      <c r="AD159" s="352">
        <f t="shared" si="663"/>
        <v>0.35801774890083177</v>
      </c>
      <c r="AE159" s="352">
        <f t="shared" si="663"/>
        <v>0.36104888545541042</v>
      </c>
      <c r="AF159" s="351">
        <f t="shared" si="663"/>
        <v>0.35957901668905828</v>
      </c>
      <c r="AG159" s="352">
        <f t="shared" si="663"/>
        <v>0.3716840436966331</v>
      </c>
      <c r="AH159" s="352">
        <f t="shared" si="663"/>
        <v>0.37247874796815345</v>
      </c>
      <c r="AI159" s="351">
        <f t="shared" si="663"/>
        <v>0.37208912842363689</v>
      </c>
      <c r="AJ159" s="352">
        <f t="shared" si="663"/>
        <v>0.4009187356539593</v>
      </c>
      <c r="AK159" s="352">
        <f t="shared" si="663"/>
        <v>0.4016634039268927</v>
      </c>
      <c r="AL159" s="351">
        <f t="shared" si="663"/>
        <v>0.40129832465564386</v>
      </c>
      <c r="AM159" s="352">
        <f t="shared" si="663"/>
        <v>0.39625914068575169</v>
      </c>
      <c r="AN159" s="352">
        <f t="shared" si="663"/>
        <v>0.39691264916973407</v>
      </c>
      <c r="AO159" s="351">
        <f t="shared" si="663"/>
        <v>0.39659227191802232</v>
      </c>
      <c r="AP159" s="352">
        <f t="shared" si="663"/>
        <v>0.394481585944158</v>
      </c>
      <c r="AQ159" s="352">
        <f t="shared" si="663"/>
        <v>0.39572605367276548</v>
      </c>
      <c r="AR159" s="351">
        <f t="shared" si="663"/>
        <v>0.39512821500745099</v>
      </c>
      <c r="AS159" s="352">
        <f t="shared" si="663"/>
        <v>0.39223082554833966</v>
      </c>
      <c r="AT159" s="352">
        <f t="shared" si="663"/>
        <v>0.39344817003969895</v>
      </c>
      <c r="AU159" s="351">
        <f t="shared" si="663"/>
        <v>0.39286336453489457</v>
      </c>
      <c r="AV159" s="352">
        <f t="shared" si="663"/>
        <v>0.39749659010045685</v>
      </c>
      <c r="AW159" s="352">
        <f t="shared" si="663"/>
        <v>0.39862873240449198</v>
      </c>
      <c r="AX159" s="351">
        <f t="shared" si="663"/>
        <v>0.39808483429696662</v>
      </c>
      <c r="AY159" s="352">
        <f t="shared" si="663"/>
        <v>0.40290471860997079</v>
      </c>
      <c r="AZ159" s="352">
        <f t="shared" si="663"/>
        <v>0.40402795775336597</v>
      </c>
      <c r="BA159" s="351">
        <f t="shared" si="663"/>
        <v>0.40348846255004439</v>
      </c>
      <c r="BB159" s="352">
        <f t="shared" si="663"/>
        <v>0.40841817444744416</v>
      </c>
      <c r="BC159" s="352">
        <f t="shared" si="663"/>
        <v>0.40949760453329126</v>
      </c>
      <c r="BD159" s="351">
        <f t="shared" si="663"/>
        <v>0.40897914142860431</v>
      </c>
      <c r="BE159" s="352">
        <f t="shared" si="663"/>
        <v>0.41417594816753844</v>
      </c>
      <c r="BF159" s="352">
        <f t="shared" si="663"/>
        <v>0.41522791947038368</v>
      </c>
      <c r="BG159" s="351">
        <f t="shared" si="663"/>
        <v>0.41472263439954027</v>
      </c>
      <c r="BJ159" s="53">
        <f t="shared" ref="BJ159:BJ160" si="665">+BJ158+1</f>
        <v>3</v>
      </c>
      <c r="BK159" s="53">
        <f>+BK158</f>
        <v>15437.5</v>
      </c>
      <c r="BM159" s="53">
        <f>1/(1+13.5%)^3</f>
        <v>0.68393119891514842</v>
      </c>
      <c r="BN159" s="53">
        <f t="shared" si="662"/>
        <v>10558.187883252604</v>
      </c>
    </row>
    <row r="160" spans="1:89">
      <c r="E160" s="346"/>
      <c r="F160" s="347"/>
      <c r="G160" s="347"/>
      <c r="H160" s="346"/>
      <c r="I160" s="347"/>
      <c r="J160" s="347"/>
      <c r="K160" s="346"/>
      <c r="L160" s="347"/>
      <c r="M160" s="347"/>
      <c r="N160" s="485"/>
      <c r="O160" s="347"/>
      <c r="P160" s="347"/>
      <c r="Q160" s="485"/>
      <c r="R160" s="347"/>
      <c r="S160" s="347"/>
      <c r="T160" s="486"/>
      <c r="U160" s="347"/>
      <c r="V160" s="347"/>
      <c r="W160" s="486"/>
      <c r="X160" s="479"/>
      <c r="Y160" s="489"/>
      <c r="Z160" s="485"/>
      <c r="AA160" s="479"/>
      <c r="AB160" s="489"/>
      <c r="AC160" s="485"/>
      <c r="AD160" s="479"/>
      <c r="AE160" s="489"/>
      <c r="AF160" s="485"/>
      <c r="AG160" s="479"/>
      <c r="AH160" s="489"/>
      <c r="AI160" s="485"/>
      <c r="AJ160" s="479"/>
      <c r="AK160" s="489"/>
      <c r="AL160" s="485"/>
      <c r="AM160" s="479"/>
      <c r="AN160" s="489"/>
      <c r="AO160" s="485"/>
      <c r="AP160" s="479"/>
      <c r="AQ160" s="489"/>
      <c r="AR160" s="485"/>
      <c r="AS160" s="479"/>
      <c r="AT160" s="489"/>
      <c r="AU160" s="485"/>
      <c r="AV160" s="479"/>
      <c r="AW160" s="489"/>
      <c r="AX160" s="485"/>
      <c r="AY160" s="479"/>
      <c r="AZ160" s="489"/>
      <c r="BA160" s="485"/>
      <c r="BB160" s="479"/>
      <c r="BC160" s="489"/>
      <c r="BD160" s="485"/>
      <c r="BE160" s="479"/>
      <c r="BF160" s="489"/>
      <c r="BG160" s="485"/>
      <c r="BJ160" s="53">
        <f t="shared" si="665"/>
        <v>4</v>
      </c>
      <c r="BK160" s="53">
        <f>+BK159</f>
        <v>15437.5</v>
      </c>
      <c r="BM160" s="53">
        <f>1/(1+13.5%)^4</f>
        <v>0.60258255411026285</v>
      </c>
      <c r="BN160" s="53">
        <f t="shared" si="662"/>
        <v>9302.3681790771825</v>
      </c>
    </row>
    <row r="161" spans="1:68">
      <c r="B161" s="52" t="s">
        <v>542</v>
      </c>
      <c r="E161" s="346"/>
      <c r="G161" s="347"/>
      <c r="H161" s="346"/>
      <c r="J161" s="347"/>
      <c r="K161" s="346"/>
      <c r="M161" s="347"/>
      <c r="N161" s="485"/>
      <c r="P161" s="347"/>
      <c r="Q161" s="485"/>
      <c r="R161" s="347"/>
      <c r="S161" s="347"/>
      <c r="T161" s="486"/>
      <c r="U161" s="347"/>
      <c r="V161" s="347"/>
      <c r="W161" s="421"/>
      <c r="X161" s="479"/>
      <c r="Y161" s="489"/>
      <c r="Z161" s="399"/>
      <c r="AA161" s="479"/>
      <c r="AB161" s="489"/>
      <c r="AC161" s="485"/>
      <c r="AD161" s="479"/>
      <c r="AE161" s="489"/>
      <c r="AF161" s="485"/>
      <c r="AG161" s="479"/>
      <c r="AH161" s="489"/>
      <c r="AI161" s="485"/>
      <c r="AJ161" s="479"/>
      <c r="AK161" s="489"/>
      <c r="AL161" s="485"/>
      <c r="AM161" s="479"/>
      <c r="AN161" s="489"/>
      <c r="AO161" s="485"/>
      <c r="AP161" s="479"/>
      <c r="AQ161" s="489"/>
      <c r="AR161" s="485"/>
      <c r="AS161" s="479"/>
      <c r="AT161" s="489"/>
      <c r="AU161" s="485"/>
      <c r="AV161" s="479"/>
      <c r="AW161" s="489"/>
      <c r="AX161" s="485"/>
      <c r="AY161" s="479"/>
      <c r="AZ161" s="489"/>
      <c r="BA161" s="485"/>
      <c r="BB161" s="479"/>
      <c r="BC161" s="489"/>
      <c r="BD161" s="485"/>
      <c r="BE161" s="479"/>
      <c r="BF161" s="489"/>
      <c r="BG161" s="485"/>
      <c r="BJ161" s="53">
        <v>5</v>
      </c>
      <c r="BK161" s="519">
        <f>+BK155+BK160</f>
        <v>665437.5</v>
      </c>
    </row>
    <row r="162" spans="1:68">
      <c r="B162" s="52" t="s">
        <v>543</v>
      </c>
      <c r="D162" s="52"/>
      <c r="E162" s="485">
        <v>2.5300000000000002E-4</v>
      </c>
      <c r="F162" s="479">
        <v>0</v>
      </c>
      <c r="G162" s="479">
        <v>0</v>
      </c>
      <c r="H162" s="485">
        <v>0</v>
      </c>
      <c r="I162" s="479">
        <v>0</v>
      </c>
      <c r="J162" s="479">
        <v>0.29211999999999999</v>
      </c>
      <c r="K162" s="485">
        <v>0.32300000000000001</v>
      </c>
      <c r="L162" s="479">
        <v>0.33400000000000002</v>
      </c>
      <c r="M162" s="479">
        <v>0.44299999999999995</v>
      </c>
      <c r="N162" s="485">
        <v>0.77699999999999991</v>
      </c>
      <c r="O162" s="479">
        <v>0.45700000000000002</v>
      </c>
      <c r="P162" s="479">
        <v>0.53800000000000003</v>
      </c>
      <c r="Q162" s="485">
        <v>0.995</v>
      </c>
      <c r="R162" s="479">
        <v>0.63300000000000001</v>
      </c>
      <c r="S162" s="479">
        <v>0.64800000000000002</v>
      </c>
      <c r="T162" s="346">
        <v>1.2809999999999999</v>
      </c>
      <c r="U162" s="363">
        <f>+U166*0.45</f>
        <v>0.96300000000000008</v>
      </c>
      <c r="V162" s="479">
        <f>W162-U162</f>
        <v>1.05525</v>
      </c>
      <c r="W162" s="422">
        <f>+W166*0.45</f>
        <v>2.0182500000000001</v>
      </c>
      <c r="X162" s="363">
        <f>+X166*0.45</f>
        <v>1.0984499999999999</v>
      </c>
      <c r="Y162" s="479">
        <f>Z162-X162</f>
        <v>1.2843000000000002</v>
      </c>
      <c r="Z162" s="422">
        <f>+Z166*0.45</f>
        <v>2.3827500000000001</v>
      </c>
      <c r="AA162" s="363">
        <f>+AA166*0.45</f>
        <v>4.3132500000000009</v>
      </c>
      <c r="AB162" s="479">
        <f>AB163*AB17</f>
        <v>4.5544611303223901</v>
      </c>
      <c r="AC162" s="346">
        <f>+SUM(AA162:AB162)</f>
        <v>8.867711130322391</v>
      </c>
      <c r="AD162" s="479">
        <f>AD163*AD17</f>
        <v>4.8748578589772222</v>
      </c>
      <c r="AE162" s="479">
        <f>AE163*AE17</f>
        <v>5.1084223527435384</v>
      </c>
      <c r="AF162" s="346">
        <f>+SUM(AD162:AE162)</f>
        <v>9.9832802117207606</v>
      </c>
      <c r="AG162" s="479">
        <f>AG163*AG17</f>
        <v>5.5479249499445844</v>
      </c>
      <c r="AH162" s="479">
        <f>AH163*AH17</f>
        <v>5.7215141040239565</v>
      </c>
      <c r="AI162" s="346">
        <f t="shared" ref="AI162" si="666">+SUM(AG162:AH162)</f>
        <v>11.26943905396854</v>
      </c>
      <c r="AJ162" s="479">
        <f>AJ163*AJ17</f>
        <v>6.2728752173132341</v>
      </c>
      <c r="AK162" s="479">
        <f>AK163*AK17</f>
        <v>6.4731657162852025</v>
      </c>
      <c r="AL162" s="346">
        <f t="shared" ref="AL162" si="667">+SUM(AJ162:AK162)</f>
        <v>12.746040933598437</v>
      </c>
      <c r="AM162" s="479">
        <f>AM163*AM17</f>
        <v>8.103903525997417</v>
      </c>
      <c r="AN162" s="479">
        <f>AN163*AN17</f>
        <v>8.3758724268850653</v>
      </c>
      <c r="AO162" s="346">
        <f t="shared" ref="AO162" si="668">+SUM(AM162:AN162)</f>
        <v>16.479775952882484</v>
      </c>
      <c r="AP162" s="479">
        <f>AP163*AP17</f>
        <v>9.46985005186127</v>
      </c>
      <c r="AQ162" s="479">
        <f>AQ163*AQ17</f>
        <v>10.12697169514432</v>
      </c>
      <c r="AR162" s="346">
        <f t="shared" ref="AR162" si="669">+SUM(AP162:AQ162)</f>
        <v>19.596821747005592</v>
      </c>
      <c r="AS162" s="479">
        <f>AS163*AS17</f>
        <v>10.892642866838349</v>
      </c>
      <c r="AT162" s="479">
        <f>AT163*AT17</f>
        <v>11.660599608378234</v>
      </c>
      <c r="AU162" s="346">
        <f t="shared" ref="AU162" si="670">+SUM(AS162:AT162)</f>
        <v>22.553242475216585</v>
      </c>
      <c r="AV162" s="479">
        <f>AV163*AV17</f>
        <v>12.347997091011839</v>
      </c>
      <c r="AW162" s="479">
        <f>AW163*AW17</f>
        <v>13.22725957372062</v>
      </c>
      <c r="AX162" s="346">
        <f t="shared" ref="AX162" si="671">+SUM(AV162:AW162)</f>
        <v>25.575256664732457</v>
      </c>
      <c r="AY162" s="479">
        <f>AY163*AY17</f>
        <v>13.75648380080546</v>
      </c>
      <c r="AZ162" s="479">
        <f>AZ163*AZ17</f>
        <v>14.75738157168122</v>
      </c>
      <c r="BA162" s="346">
        <f t="shared" ref="BA162" si="672">+SUM(AY162:AZ162)</f>
        <v>28.513865372486681</v>
      </c>
      <c r="BB162" s="479">
        <f>BB163*BB17</f>
        <v>15.152624528207211</v>
      </c>
      <c r="BC162" s="479">
        <f>BC163*BC17</f>
        <v>16.262165849643438</v>
      </c>
      <c r="BD162" s="346">
        <f t="shared" ref="BD162" si="673">+SUM(BB162:BC162)</f>
        <v>31.41479037785065</v>
      </c>
      <c r="BE162" s="479">
        <f>BE163*BE17</f>
        <v>16.442534918507896</v>
      </c>
      <c r="BF162" s="479">
        <f>BF163*BF17</f>
        <v>17.651436637871246</v>
      </c>
      <c r="BG162" s="346">
        <f t="shared" ref="BG162" si="674">+SUM(BE162:BF162)</f>
        <v>34.093971556379145</v>
      </c>
      <c r="BJ162" s="53" t="s">
        <v>544</v>
      </c>
      <c r="BK162" s="520">
        <f>+NPV(BK154,BK157:BK161)</f>
        <v>555709.81361326203</v>
      </c>
    </row>
    <row r="163" spans="1:68">
      <c r="B163" s="350" t="s">
        <v>545</v>
      </c>
      <c r="C163" s="500"/>
      <c r="E163" s="224" t="str">
        <f t="shared" ref="E163:AA163" si="675">IFERROR(E162/E17,"NA")</f>
        <v>NA</v>
      </c>
      <c r="F163" s="353" t="str">
        <f t="shared" si="675"/>
        <v>NA</v>
      </c>
      <c r="G163" s="353">
        <f t="shared" si="675"/>
        <v>0</v>
      </c>
      <c r="H163" s="224">
        <f t="shared" si="675"/>
        <v>0</v>
      </c>
      <c r="I163" s="353">
        <f t="shared" si="675"/>
        <v>0</v>
      </c>
      <c r="J163" s="353">
        <f t="shared" si="675"/>
        <v>0.17518461791258522</v>
      </c>
      <c r="K163" s="224">
        <f t="shared" si="675"/>
        <v>9.2682926829268292E-2</v>
      </c>
      <c r="L163" s="353">
        <f t="shared" si="675"/>
        <v>0.20784069695084009</v>
      </c>
      <c r="M163" s="353">
        <f t="shared" si="675"/>
        <v>0.12285080421519688</v>
      </c>
      <c r="N163" s="224">
        <f t="shared" si="675"/>
        <v>0.1490504507960867</v>
      </c>
      <c r="O163" s="353">
        <f t="shared" si="675"/>
        <v>0.1570446735395189</v>
      </c>
      <c r="P163" s="353">
        <f t="shared" si="675"/>
        <v>0.11481007255655144</v>
      </c>
      <c r="Q163" s="224">
        <f t="shared" si="675"/>
        <v>0.13098999473407055</v>
      </c>
      <c r="R163" s="353">
        <f t="shared" si="675"/>
        <v>2.6323449910591757E-2</v>
      </c>
      <c r="S163" s="353">
        <f t="shared" si="675"/>
        <v>4.7629898051437351E-3</v>
      </c>
      <c r="T163" s="224">
        <f t="shared" si="675"/>
        <v>8.0014491305216862E-3</v>
      </c>
      <c r="U163" s="353">
        <f t="shared" si="675"/>
        <v>6.4725136608349068E-3</v>
      </c>
      <c r="V163" s="353">
        <f t="shared" si="675"/>
        <v>5.728982871413448E-3</v>
      </c>
      <c r="W163" s="224">
        <f t="shared" si="675"/>
        <v>6.0612112511937736E-3</v>
      </c>
      <c r="X163" s="353">
        <f t="shared" si="675"/>
        <v>4.5843053949943865E-3</v>
      </c>
      <c r="Y163" s="353">
        <f t="shared" si="675"/>
        <v>4.6374665992633792E-3</v>
      </c>
      <c r="Z163" s="224">
        <f t="shared" si="675"/>
        <v>4.6128068670857284E-3</v>
      </c>
      <c r="AA163" s="353">
        <f t="shared" si="675"/>
        <v>1.104944422954255E-2</v>
      </c>
      <c r="AB163" s="423">
        <v>1.0999999999999999E-2</v>
      </c>
      <c r="AC163" s="425">
        <f>+AC162/AC17</f>
        <v>1.1023994253981565E-2</v>
      </c>
      <c r="AD163" s="424">
        <f>+AB163</f>
        <v>1.0999999999999999E-2</v>
      </c>
      <c r="AE163" s="424">
        <f>+AD163</f>
        <v>1.0999999999999999E-2</v>
      </c>
      <c r="AF163" s="425">
        <f>+AF162/AF17</f>
        <v>1.0999999999999999E-2</v>
      </c>
      <c r="AG163" s="424">
        <f t="shared" ref="AG163" si="676">+AE163</f>
        <v>1.0999999999999999E-2</v>
      </c>
      <c r="AH163" s="424">
        <f t="shared" ref="AH163" si="677">+AG163</f>
        <v>1.0999999999999999E-2</v>
      </c>
      <c r="AI163" s="425">
        <f>+AI162/AI17</f>
        <v>1.0999999999999996E-2</v>
      </c>
      <c r="AJ163" s="424">
        <f t="shared" ref="AJ163" si="678">+AH163</f>
        <v>1.0999999999999999E-2</v>
      </c>
      <c r="AK163" s="424">
        <f t="shared" ref="AK163" si="679">+AJ163</f>
        <v>1.0999999999999999E-2</v>
      </c>
      <c r="AL163" s="425">
        <f>+AL162/AL17</f>
        <v>1.0999999999999999E-2</v>
      </c>
      <c r="AM163" s="424">
        <f t="shared" ref="AM163" si="680">+AK163</f>
        <v>1.0999999999999999E-2</v>
      </c>
      <c r="AN163" s="424">
        <f t="shared" ref="AN163" si="681">+AM163</f>
        <v>1.0999999999999999E-2</v>
      </c>
      <c r="AO163" s="425">
        <f>+AO162/AO17</f>
        <v>1.1000000000000001E-2</v>
      </c>
      <c r="AP163" s="424">
        <f t="shared" ref="AP163" si="682">+AN163</f>
        <v>1.0999999999999999E-2</v>
      </c>
      <c r="AQ163" s="424">
        <f t="shared" ref="AQ163" si="683">+AP163</f>
        <v>1.0999999999999999E-2</v>
      </c>
      <c r="AR163" s="425">
        <f>+AR162/AR17</f>
        <v>1.1000000000000001E-2</v>
      </c>
      <c r="AS163" s="424">
        <f t="shared" ref="AS163" si="684">+AQ163</f>
        <v>1.0999999999999999E-2</v>
      </c>
      <c r="AT163" s="424">
        <f t="shared" ref="AT163" si="685">+AS163</f>
        <v>1.0999999999999999E-2</v>
      </c>
      <c r="AU163" s="425">
        <f>+AU162/AU17</f>
        <v>1.0999999999999999E-2</v>
      </c>
      <c r="AV163" s="424">
        <f t="shared" ref="AV163" si="686">+AT163</f>
        <v>1.0999999999999999E-2</v>
      </c>
      <c r="AW163" s="424">
        <f t="shared" ref="AW163" si="687">+AV163</f>
        <v>1.0999999999999999E-2</v>
      </c>
      <c r="AX163" s="425">
        <f>+AX162/AX17</f>
        <v>1.0999999999999999E-2</v>
      </c>
      <c r="AY163" s="424">
        <f t="shared" ref="AY163" si="688">+AW163</f>
        <v>1.0999999999999999E-2</v>
      </c>
      <c r="AZ163" s="424">
        <f t="shared" ref="AZ163" si="689">+AY163</f>
        <v>1.0999999999999999E-2</v>
      </c>
      <c r="BA163" s="425">
        <f>+BA162/BA17</f>
        <v>1.0999999999999999E-2</v>
      </c>
      <c r="BB163" s="424">
        <f t="shared" ref="BB163" si="690">+AZ163</f>
        <v>1.0999999999999999E-2</v>
      </c>
      <c r="BC163" s="424">
        <f t="shared" ref="BC163" si="691">+BB163</f>
        <v>1.0999999999999999E-2</v>
      </c>
      <c r="BD163" s="425">
        <f>+BD162/BD17</f>
        <v>1.0999999999999999E-2</v>
      </c>
      <c r="BE163" s="424">
        <f t="shared" ref="BE163" si="692">+BC163</f>
        <v>1.0999999999999999E-2</v>
      </c>
      <c r="BF163" s="424">
        <f t="shared" ref="BF163" si="693">+BE163</f>
        <v>1.0999999999999999E-2</v>
      </c>
      <c r="BG163" s="425">
        <f>+BG162/BG17</f>
        <v>1.0999999999999999E-2</v>
      </c>
      <c r="BJ163" s="53" t="s">
        <v>150</v>
      </c>
      <c r="BK163" s="520">
        <f>+BK155-BK162</f>
        <v>94290.186386737972</v>
      </c>
    </row>
    <row r="164" spans="1:68">
      <c r="B164" s="52" t="s">
        <v>546</v>
      </c>
      <c r="D164" s="52"/>
      <c r="E164" s="485">
        <v>3.5400000000000002E-3</v>
      </c>
      <c r="F164" s="479">
        <v>1.7700000000000001E-3</v>
      </c>
      <c r="G164" s="479">
        <v>5.2300000000000003E-3</v>
      </c>
      <c r="H164" s="485">
        <v>7.0000000000000001E-3</v>
      </c>
      <c r="I164" s="479">
        <v>2.3233419999999998</v>
      </c>
      <c r="J164" s="479">
        <v>1.753546</v>
      </c>
      <c r="K164" s="485">
        <v>3.9140000000000001</v>
      </c>
      <c r="L164" s="479">
        <v>2.0009999999999999</v>
      </c>
      <c r="M164" s="479">
        <v>2.1039999999999996</v>
      </c>
      <c r="N164" s="485">
        <v>4.1049999999999995</v>
      </c>
      <c r="O164" s="479">
        <v>2.089</v>
      </c>
      <c r="P164" s="479">
        <v>2.09</v>
      </c>
      <c r="Q164" s="485">
        <v>4.1789999999999994</v>
      </c>
      <c r="R164" s="479">
        <v>2.0880000000000001</v>
      </c>
      <c r="S164" s="479">
        <v>2.0099999999999998</v>
      </c>
      <c r="T164" s="346">
        <v>4.0979999999999999</v>
      </c>
      <c r="U164" s="479">
        <f t="shared" ref="U164:X164" si="694">+U166-U162</f>
        <v>1.177</v>
      </c>
      <c r="V164" s="479">
        <f>+W164-U164</f>
        <v>1.2897500000000002</v>
      </c>
      <c r="W164" s="346">
        <f t="shared" si="694"/>
        <v>2.4667500000000002</v>
      </c>
      <c r="X164" s="479">
        <f t="shared" si="694"/>
        <v>1.3425499999999999</v>
      </c>
      <c r="Y164" s="479">
        <f>+Z164-X164</f>
        <v>1.5696999999999999</v>
      </c>
      <c r="Z164" s="346">
        <f>+Z166-Z162</f>
        <v>2.9122499999999998</v>
      </c>
      <c r="AA164" s="479">
        <f t="shared" ref="AA164" si="695">+AA166-AA162</f>
        <v>5.2717499999999999</v>
      </c>
      <c r="AB164" s="479">
        <f>AB165*AB17</f>
        <v>5.7965868931375883</v>
      </c>
      <c r="AC164" s="346">
        <f>+SUM(AA164:AB164)</f>
        <v>11.068336893137587</v>
      </c>
      <c r="AD164" s="479">
        <f>AD165*AD17</f>
        <v>6.2043645477891927</v>
      </c>
      <c r="AE164" s="479">
        <f>AE165*AE17</f>
        <v>6.5016284489463221</v>
      </c>
      <c r="AF164" s="346">
        <f t="shared" ref="AF164" si="696">+SUM(AD164:AE164)</f>
        <v>12.705992996735514</v>
      </c>
      <c r="AG164" s="479">
        <f>AG165*AG17</f>
        <v>7.0609953908385625</v>
      </c>
      <c r="AH164" s="479">
        <f>AH165*AH17</f>
        <v>7.2819270414850354</v>
      </c>
      <c r="AI164" s="346">
        <f t="shared" ref="AI164" si="697">+SUM(AG164:AH164)</f>
        <v>14.342922432323597</v>
      </c>
      <c r="AJ164" s="479">
        <f>AJ165*AJ17</f>
        <v>7.9836593674895706</v>
      </c>
      <c r="AK164" s="479">
        <f>AK165*AK17</f>
        <v>8.2385745479993489</v>
      </c>
      <c r="AL164" s="346">
        <f t="shared" ref="AL164" si="698">+SUM(AJ164:AK164)</f>
        <v>16.222233915488921</v>
      </c>
      <c r="AM164" s="479">
        <f>AM165*AM17</f>
        <v>10.314059033087624</v>
      </c>
      <c r="AN164" s="479">
        <f>AN165*AN17</f>
        <v>10.660201270580993</v>
      </c>
      <c r="AO164" s="346">
        <f t="shared" ref="AO164" si="699">+SUM(AM164:AN164)</f>
        <v>20.974260303668615</v>
      </c>
      <c r="AP164" s="479">
        <f>AP165*AP17</f>
        <v>12.052536429641618</v>
      </c>
      <c r="AQ164" s="479">
        <f>AQ165*AQ17</f>
        <v>12.888873066547317</v>
      </c>
      <c r="AR164" s="346">
        <f t="shared" ref="AR164" si="700">+SUM(AP164:AQ164)</f>
        <v>24.941409496188935</v>
      </c>
      <c r="AS164" s="479">
        <f>AS165*AS17</f>
        <v>13.863363648703354</v>
      </c>
      <c r="AT164" s="479">
        <f>AT165*AT17</f>
        <v>14.840763137935935</v>
      </c>
      <c r="AU164" s="346">
        <f t="shared" ref="AU164" si="701">+SUM(AS164:AT164)</f>
        <v>28.704126786639289</v>
      </c>
      <c r="AV164" s="479">
        <f>AV165*AV17</f>
        <v>15.715632661287797</v>
      </c>
      <c r="AW164" s="479">
        <f>AW165*AW17</f>
        <v>16.834694002917153</v>
      </c>
      <c r="AX164" s="346">
        <f t="shared" ref="AX164" si="702">+SUM(AV164:AW164)</f>
        <v>32.550326664204952</v>
      </c>
      <c r="AY164" s="479">
        <f>AY165*AY17</f>
        <v>17.508252110116043</v>
      </c>
      <c r="AZ164" s="479">
        <f>AZ165*AZ17</f>
        <v>18.782122000321554</v>
      </c>
      <c r="BA164" s="346">
        <f t="shared" ref="BA164" si="703">+SUM(AY164:AZ164)</f>
        <v>36.290374110437597</v>
      </c>
      <c r="BB164" s="479">
        <f>BB165*BB17</f>
        <v>19.285158490445543</v>
      </c>
      <c r="BC164" s="479">
        <f>BC165*BC17</f>
        <v>20.697301990455287</v>
      </c>
      <c r="BD164" s="346">
        <f t="shared" ref="BD164" si="704">+SUM(BB164:BC164)</f>
        <v>39.982460480900826</v>
      </c>
      <c r="BE164" s="479">
        <f>BE165*BE17</f>
        <v>20.926862623555508</v>
      </c>
      <c r="BF164" s="479">
        <f>BF165*BF17</f>
        <v>22.465464811836135</v>
      </c>
      <c r="BG164" s="346">
        <f t="shared" ref="BG164" si="705">+SUM(BE164:BF164)</f>
        <v>43.392327435391643</v>
      </c>
    </row>
    <row r="165" spans="1:68">
      <c r="B165" s="350" t="s">
        <v>545</v>
      </c>
      <c r="C165" s="500"/>
      <c r="E165" s="224" t="str">
        <f t="shared" ref="E165:AA165" si="706">IFERROR(E164/E17,"NA")</f>
        <v>NA</v>
      </c>
      <c r="F165" s="353" t="str">
        <f t="shared" si="706"/>
        <v>NA</v>
      </c>
      <c r="G165" s="353">
        <f t="shared" si="706"/>
        <v>2.6820512820512822E-2</v>
      </c>
      <c r="H165" s="224">
        <f t="shared" si="706"/>
        <v>3.5897435897435895E-2</v>
      </c>
      <c r="I165" s="353">
        <f t="shared" si="706"/>
        <v>1.2783160623757222</v>
      </c>
      <c r="J165" s="353">
        <f t="shared" si="706"/>
        <v>1.0516030603934758</v>
      </c>
      <c r="K165" s="224">
        <f t="shared" si="706"/>
        <v>1.1230989956958395</v>
      </c>
      <c r="L165" s="353">
        <f t="shared" si="706"/>
        <v>1.2451773490976976</v>
      </c>
      <c r="M165" s="353">
        <f t="shared" si="706"/>
        <v>0.5834719911259012</v>
      </c>
      <c r="N165" s="224">
        <f t="shared" si="706"/>
        <v>0.78745444082102423</v>
      </c>
      <c r="O165" s="353">
        <f t="shared" si="706"/>
        <v>0.71786941580756014</v>
      </c>
      <c r="P165" s="353">
        <f t="shared" si="706"/>
        <v>0.4460093896713615</v>
      </c>
      <c r="Q165" s="224">
        <f t="shared" si="706"/>
        <v>0.55015797788309628</v>
      </c>
      <c r="R165" s="353">
        <f t="shared" si="706"/>
        <v>8.682995799891878E-2</v>
      </c>
      <c r="S165" s="353">
        <f t="shared" si="706"/>
        <v>1.4774088747436583E-2</v>
      </c>
      <c r="T165" s="224">
        <f t="shared" si="706"/>
        <v>2.5597141714971017E-2</v>
      </c>
      <c r="U165" s="353">
        <f t="shared" si="706"/>
        <v>7.9108500299093307E-3</v>
      </c>
      <c r="V165" s="353">
        <f t="shared" si="706"/>
        <v>7.0020901761719927E-3</v>
      </c>
      <c r="W165" s="224">
        <f t="shared" si="706"/>
        <v>7.4081470847923905E-3</v>
      </c>
      <c r="X165" s="353">
        <f t="shared" si="706"/>
        <v>5.6030399272153615E-3</v>
      </c>
      <c r="Y165" s="353">
        <f t="shared" si="706"/>
        <v>5.6680147324330177E-3</v>
      </c>
      <c r="Z165" s="224">
        <f t="shared" si="706"/>
        <v>5.6378750597714444E-3</v>
      </c>
      <c r="AA165" s="353">
        <f t="shared" si="706"/>
        <v>1.3504876280552002E-2</v>
      </c>
      <c r="AB165" s="423">
        <v>1.4E-2</v>
      </c>
      <c r="AC165" s="425">
        <f>+AC164/AC17</f>
        <v>1.3759726779309841E-2</v>
      </c>
      <c r="AD165" s="424">
        <f>+AB165</f>
        <v>1.4E-2</v>
      </c>
      <c r="AE165" s="424">
        <f>+AD165</f>
        <v>1.4E-2</v>
      </c>
      <c r="AF165" s="425">
        <f>+AF164/AF17</f>
        <v>1.3999999999999999E-2</v>
      </c>
      <c r="AG165" s="424">
        <f t="shared" ref="AG165" si="707">+AE165</f>
        <v>1.4E-2</v>
      </c>
      <c r="AH165" s="424">
        <f t="shared" ref="AH165" si="708">+AG165</f>
        <v>1.4E-2</v>
      </c>
      <c r="AI165" s="425">
        <f>+AI164/AI17</f>
        <v>1.3999999999999997E-2</v>
      </c>
      <c r="AJ165" s="424">
        <f t="shared" ref="AJ165" si="709">+AH165</f>
        <v>1.4E-2</v>
      </c>
      <c r="AK165" s="424">
        <f t="shared" ref="AK165" si="710">+AJ165</f>
        <v>1.4E-2</v>
      </c>
      <c r="AL165" s="425">
        <f>+AL164/AL17</f>
        <v>1.4000000000000002E-2</v>
      </c>
      <c r="AM165" s="424">
        <f t="shared" ref="AM165" si="711">+AK165</f>
        <v>1.4E-2</v>
      </c>
      <c r="AN165" s="424">
        <f t="shared" ref="AN165" si="712">+AM165</f>
        <v>1.4E-2</v>
      </c>
      <c r="AO165" s="425">
        <f>+AO164/AO17</f>
        <v>1.4E-2</v>
      </c>
      <c r="AP165" s="424">
        <f t="shared" ref="AP165" si="713">+AN165</f>
        <v>1.4E-2</v>
      </c>
      <c r="AQ165" s="424">
        <f t="shared" ref="AQ165" si="714">+AP165</f>
        <v>1.4E-2</v>
      </c>
      <c r="AR165" s="425">
        <f>+AR164/AR17</f>
        <v>1.4E-2</v>
      </c>
      <c r="AS165" s="424">
        <f t="shared" ref="AS165" si="715">+AQ165</f>
        <v>1.4E-2</v>
      </c>
      <c r="AT165" s="424">
        <f t="shared" ref="AT165" si="716">+AS165</f>
        <v>1.4E-2</v>
      </c>
      <c r="AU165" s="425">
        <f>+AU164/AU17</f>
        <v>1.3999999999999999E-2</v>
      </c>
      <c r="AV165" s="424">
        <f t="shared" ref="AV165" si="717">+AT165</f>
        <v>1.4E-2</v>
      </c>
      <c r="AW165" s="424">
        <f t="shared" ref="AW165" si="718">+AV165</f>
        <v>1.4E-2</v>
      </c>
      <c r="AX165" s="425">
        <f>+AX164/AX17</f>
        <v>1.4000000000000002E-2</v>
      </c>
      <c r="AY165" s="424">
        <f t="shared" ref="AY165" si="719">+AW165</f>
        <v>1.4E-2</v>
      </c>
      <c r="AZ165" s="424">
        <f t="shared" ref="AZ165" si="720">+AY165</f>
        <v>1.4E-2</v>
      </c>
      <c r="BA165" s="425">
        <f>+BA164/BA17</f>
        <v>1.4E-2</v>
      </c>
      <c r="BB165" s="424">
        <f t="shared" ref="BB165" si="721">+AZ165</f>
        <v>1.4E-2</v>
      </c>
      <c r="BC165" s="424">
        <f t="shared" ref="BC165" si="722">+BB165</f>
        <v>1.4E-2</v>
      </c>
      <c r="BD165" s="425">
        <f>+BD164/BD17</f>
        <v>1.4E-2</v>
      </c>
      <c r="BE165" s="424">
        <f t="shared" ref="BE165" si="723">+BC165</f>
        <v>1.4E-2</v>
      </c>
      <c r="BF165" s="424">
        <f t="shared" ref="BF165" si="724">+BE165</f>
        <v>1.4E-2</v>
      </c>
      <c r="BG165" s="425">
        <f>+BG164/BG17</f>
        <v>1.4E-2</v>
      </c>
      <c r="BK165" s="53" t="s">
        <v>547</v>
      </c>
      <c r="BL165" s="53" t="s">
        <v>548</v>
      </c>
      <c r="BM165" s="53" t="s">
        <v>549</v>
      </c>
      <c r="BN165" s="53" t="s">
        <v>550</v>
      </c>
    </row>
    <row r="166" spans="1:68">
      <c r="A166" s="51" t="s">
        <v>41</v>
      </c>
      <c r="B166" s="52" t="s">
        <v>551</v>
      </c>
      <c r="D166" s="52"/>
      <c r="E166" s="346">
        <f t="shared" ref="E166:BG166" si="725">E162+E164</f>
        <v>3.7930000000000004E-3</v>
      </c>
      <c r="F166" s="347">
        <f t="shared" si="725"/>
        <v>1.7700000000000001E-3</v>
      </c>
      <c r="G166" s="347">
        <f t="shared" si="725"/>
        <v>5.2300000000000003E-3</v>
      </c>
      <c r="H166" s="346">
        <f t="shared" si="725"/>
        <v>7.0000000000000001E-3</v>
      </c>
      <c r="I166" s="388">
        <f t="shared" si="725"/>
        <v>2.3233419999999998</v>
      </c>
      <c r="J166" s="347">
        <f t="shared" si="725"/>
        <v>2.0456660000000002</v>
      </c>
      <c r="K166" s="346">
        <f t="shared" si="725"/>
        <v>4.2370000000000001</v>
      </c>
      <c r="L166" s="347">
        <f t="shared" si="725"/>
        <v>2.335</v>
      </c>
      <c r="M166" s="347">
        <f t="shared" si="725"/>
        <v>2.5469999999999997</v>
      </c>
      <c r="N166" s="346">
        <f t="shared" si="725"/>
        <v>4.8819999999999997</v>
      </c>
      <c r="O166" s="347">
        <f t="shared" si="725"/>
        <v>2.5459999999999998</v>
      </c>
      <c r="P166" s="347">
        <f t="shared" si="725"/>
        <v>2.6280000000000001</v>
      </c>
      <c r="Q166" s="389">
        <f t="shared" si="725"/>
        <v>5.1739999999999995</v>
      </c>
      <c r="R166" s="347">
        <f t="shared" si="725"/>
        <v>2.7210000000000001</v>
      </c>
      <c r="S166" s="347">
        <f t="shared" si="725"/>
        <v>2.6579999999999999</v>
      </c>
      <c r="T166" s="346">
        <f t="shared" si="725"/>
        <v>5.3789999999999996</v>
      </c>
      <c r="U166" s="348">
        <v>2.14</v>
      </c>
      <c r="V166" s="347">
        <f t="shared" si="725"/>
        <v>2.3450000000000002</v>
      </c>
      <c r="W166" s="349">
        <v>4.4850000000000003</v>
      </c>
      <c r="X166" s="348">
        <v>2.4409999999999998</v>
      </c>
      <c r="Y166" s="347">
        <f t="shared" si="725"/>
        <v>2.8540000000000001</v>
      </c>
      <c r="Z166" s="349">
        <v>5.2949999999999999</v>
      </c>
      <c r="AA166" s="348">
        <v>9.5850000000000009</v>
      </c>
      <c r="AB166" s="347">
        <f t="shared" si="725"/>
        <v>10.351048023459978</v>
      </c>
      <c r="AC166" s="346">
        <f t="shared" si="725"/>
        <v>19.936048023459978</v>
      </c>
      <c r="AD166" s="347">
        <f t="shared" si="725"/>
        <v>11.079222406766416</v>
      </c>
      <c r="AE166" s="347">
        <f t="shared" si="725"/>
        <v>11.61005080168986</v>
      </c>
      <c r="AF166" s="346">
        <f t="shared" si="725"/>
        <v>22.689273208456274</v>
      </c>
      <c r="AG166" s="347">
        <f t="shared" si="725"/>
        <v>12.608920340783147</v>
      </c>
      <c r="AH166" s="347">
        <f t="shared" si="725"/>
        <v>13.003441145508992</v>
      </c>
      <c r="AI166" s="346">
        <f t="shared" si="725"/>
        <v>25.612361486292137</v>
      </c>
      <c r="AJ166" s="347">
        <f t="shared" si="725"/>
        <v>14.256534584802804</v>
      </c>
      <c r="AK166" s="347">
        <f t="shared" si="725"/>
        <v>14.711740264284551</v>
      </c>
      <c r="AL166" s="346">
        <f t="shared" si="725"/>
        <v>28.968274849087358</v>
      </c>
      <c r="AM166" s="347">
        <f t="shared" si="725"/>
        <v>18.417962559085041</v>
      </c>
      <c r="AN166" s="347">
        <f t="shared" si="725"/>
        <v>19.036073697466058</v>
      </c>
      <c r="AO166" s="346">
        <f t="shared" si="725"/>
        <v>37.454036256551099</v>
      </c>
      <c r="AP166" s="347">
        <f t="shared" si="725"/>
        <v>21.522386481502888</v>
      </c>
      <c r="AQ166" s="347">
        <f t="shared" si="725"/>
        <v>23.015844761691639</v>
      </c>
      <c r="AR166" s="346">
        <f t="shared" si="725"/>
        <v>44.538231243194531</v>
      </c>
      <c r="AS166" s="347">
        <f t="shared" si="725"/>
        <v>24.756006515541703</v>
      </c>
      <c r="AT166" s="347">
        <f t="shared" si="725"/>
        <v>26.501362746314172</v>
      </c>
      <c r="AU166" s="346">
        <f t="shared" si="725"/>
        <v>51.257369261855871</v>
      </c>
      <c r="AV166" s="347">
        <f t="shared" si="725"/>
        <v>28.063629752299637</v>
      </c>
      <c r="AW166" s="347">
        <f t="shared" si="725"/>
        <v>30.061953576637773</v>
      </c>
      <c r="AX166" s="346">
        <f t="shared" si="725"/>
        <v>58.12558332893741</v>
      </c>
      <c r="AY166" s="347">
        <f t="shared" si="725"/>
        <v>31.264735910921502</v>
      </c>
      <c r="AZ166" s="347">
        <f t="shared" si="725"/>
        <v>33.539503572002772</v>
      </c>
      <c r="BA166" s="346">
        <f t="shared" si="725"/>
        <v>64.804239482924274</v>
      </c>
      <c r="BB166" s="347">
        <f t="shared" si="725"/>
        <v>34.437783018652752</v>
      </c>
      <c r="BC166" s="347">
        <f t="shared" si="725"/>
        <v>36.959467840098725</v>
      </c>
      <c r="BD166" s="346">
        <f t="shared" si="725"/>
        <v>71.397250858751477</v>
      </c>
      <c r="BE166" s="347">
        <f t="shared" si="725"/>
        <v>37.369397542063403</v>
      </c>
      <c r="BF166" s="347">
        <f t="shared" si="725"/>
        <v>40.116901449707385</v>
      </c>
      <c r="BG166" s="346">
        <f t="shared" si="725"/>
        <v>77.486298991770781</v>
      </c>
      <c r="BJ166" s="53">
        <v>1</v>
      </c>
      <c r="BK166" s="54">
        <f>+BK162</f>
        <v>555709.81361326203</v>
      </c>
      <c r="BL166" s="54">
        <f>BK$154*BK166</f>
        <v>32231.169189569198</v>
      </c>
      <c r="BM166" s="54">
        <f>-BK157</f>
        <v>-15437.5</v>
      </c>
      <c r="BN166" s="54">
        <f>+SUM(BK166:BM166)</f>
        <v>572503.48280283122</v>
      </c>
      <c r="BP166" s="53">
        <f>113062-80000</f>
        <v>33062</v>
      </c>
    </row>
    <row r="167" spans="1:68">
      <c r="B167" s="52"/>
      <c r="E167" s="346"/>
      <c r="G167" s="347"/>
      <c r="H167" s="346"/>
      <c r="J167" s="347"/>
      <c r="K167" s="346"/>
      <c r="M167" s="347"/>
      <c r="N167" s="485"/>
      <c r="P167" s="347"/>
      <c r="Q167" s="485"/>
      <c r="R167" s="347"/>
      <c r="S167" s="347"/>
      <c r="T167" s="486"/>
      <c r="U167" s="347"/>
      <c r="V167" s="347"/>
      <c r="W167" s="421"/>
      <c r="X167" s="501"/>
      <c r="Y167" s="489"/>
      <c r="Z167" s="485"/>
      <c r="AA167" s="479"/>
      <c r="AB167" s="489"/>
      <c r="AC167" s="485"/>
      <c r="AD167" s="479"/>
      <c r="AE167" s="489"/>
      <c r="AF167" s="485"/>
      <c r="AG167" s="479"/>
      <c r="AH167" s="489"/>
      <c r="AI167" s="485"/>
      <c r="AJ167" s="479"/>
      <c r="AK167" s="489"/>
      <c r="AL167" s="485"/>
      <c r="AM167" s="479"/>
      <c r="AN167" s="489"/>
      <c r="AO167" s="485"/>
      <c r="AP167" s="479"/>
      <c r="AQ167" s="489"/>
      <c r="AR167" s="485"/>
      <c r="AS167" s="479"/>
      <c r="AT167" s="489"/>
      <c r="AU167" s="485"/>
      <c r="AV167" s="479"/>
      <c r="AW167" s="489"/>
      <c r="AX167" s="485"/>
      <c r="AY167" s="479"/>
      <c r="AZ167" s="489"/>
      <c r="BA167" s="485"/>
      <c r="BB167" s="479"/>
      <c r="BC167" s="489"/>
      <c r="BD167" s="485"/>
      <c r="BE167" s="479"/>
      <c r="BF167" s="489"/>
      <c r="BG167" s="485"/>
      <c r="BJ167" s="53">
        <f>+BJ166+1</f>
        <v>2</v>
      </c>
      <c r="BK167" s="54">
        <f>+BN166</f>
        <v>572503.48280283122</v>
      </c>
      <c r="BL167" s="54">
        <f t="shared" ref="BL167:BL170" si="726">BK$154*BK167</f>
        <v>33205.202002564212</v>
      </c>
      <c r="BM167" s="54">
        <f>+BM166</f>
        <v>-15437.5</v>
      </c>
      <c r="BN167" s="54">
        <f t="shared" ref="BN167:BN169" si="727">+SUM(BK167:BM167)</f>
        <v>590271.18480539543</v>
      </c>
    </row>
    <row r="168" spans="1:68">
      <c r="A168" s="51" t="s">
        <v>141</v>
      </c>
      <c r="B168" s="52" t="s">
        <v>463</v>
      </c>
      <c r="E168" s="346">
        <v>0</v>
      </c>
      <c r="F168" s="347">
        <v>-1.9300000000000001E-3</v>
      </c>
      <c r="G168" s="347">
        <f>H168-F168</f>
        <v>-5.0699999999999999E-3</v>
      </c>
      <c r="H168" s="346">
        <v>-7.0000000000000001E-3</v>
      </c>
      <c r="I168" s="348">
        <v>2.323</v>
      </c>
      <c r="J168" s="347">
        <f>K168-I168</f>
        <v>1.9129999999999998</v>
      </c>
      <c r="K168" s="349">
        <v>4.2359999999999998</v>
      </c>
      <c r="L168" s="348">
        <v>2.335</v>
      </c>
      <c r="M168" s="347">
        <f t="shared" ref="M168" si="728">N168-L168</f>
        <v>2.5469999999999997</v>
      </c>
      <c r="N168" s="349">
        <v>4.8819999999999997</v>
      </c>
      <c r="O168" s="348">
        <v>2.5459999999999998</v>
      </c>
      <c r="P168" s="347">
        <f t="shared" ref="P168" si="729">Q168-O168</f>
        <v>2.6280000000000006</v>
      </c>
      <c r="Q168" s="349">
        <v>5.1740000000000004</v>
      </c>
      <c r="R168" s="347">
        <f t="shared" ref="R168:T168" si="730">(R169+R170+R171)</f>
        <v>-3.5580000000000003</v>
      </c>
      <c r="S168" s="347">
        <f t="shared" si="730"/>
        <v>8.9370000000000012</v>
      </c>
      <c r="T168" s="346">
        <f t="shared" si="730"/>
        <v>5.3790000000000004</v>
      </c>
      <c r="U168" s="347">
        <f>+SUM(U169:U171)</f>
        <v>1.869</v>
      </c>
      <c r="V168" s="347">
        <f t="shared" ref="V168:Z168" si="731">+SUM(V169:V171)</f>
        <v>2.0470000000000002</v>
      </c>
      <c r="W168" s="346">
        <f t="shared" si="731"/>
        <v>3.9159999999999999</v>
      </c>
      <c r="X168" s="347">
        <f t="shared" si="731"/>
        <v>2.0529999999999999</v>
      </c>
      <c r="Y168" s="347">
        <f t="shared" si="731"/>
        <v>2.4819999999999998</v>
      </c>
      <c r="Z168" s="346">
        <f t="shared" si="731"/>
        <v>4.5350000000000001</v>
      </c>
      <c r="AA168" s="347">
        <f t="shared" ref="AA168" si="732">+SUM(AA169:AA171)</f>
        <v>9.16</v>
      </c>
      <c r="AB168" s="347">
        <f t="shared" ref="AB168:BG168" si="733">+AB166</f>
        <v>10.351048023459978</v>
      </c>
      <c r="AC168" s="346">
        <f t="shared" si="733"/>
        <v>19.936048023459978</v>
      </c>
      <c r="AD168" s="347">
        <f t="shared" si="733"/>
        <v>11.079222406766416</v>
      </c>
      <c r="AE168" s="347">
        <f t="shared" si="733"/>
        <v>11.61005080168986</v>
      </c>
      <c r="AF168" s="346">
        <f t="shared" si="733"/>
        <v>22.689273208456274</v>
      </c>
      <c r="AG168" s="347">
        <f t="shared" si="733"/>
        <v>12.608920340783147</v>
      </c>
      <c r="AH168" s="347">
        <f t="shared" si="733"/>
        <v>13.003441145508992</v>
      </c>
      <c r="AI168" s="346">
        <f t="shared" si="733"/>
        <v>25.612361486292137</v>
      </c>
      <c r="AJ168" s="347">
        <f t="shared" si="733"/>
        <v>14.256534584802804</v>
      </c>
      <c r="AK168" s="347">
        <f t="shared" si="733"/>
        <v>14.711740264284551</v>
      </c>
      <c r="AL168" s="346">
        <f t="shared" si="733"/>
        <v>28.968274849087358</v>
      </c>
      <c r="AM168" s="347">
        <f t="shared" si="733"/>
        <v>18.417962559085041</v>
      </c>
      <c r="AN168" s="347">
        <f t="shared" si="733"/>
        <v>19.036073697466058</v>
      </c>
      <c r="AO168" s="346">
        <f t="shared" si="733"/>
        <v>37.454036256551099</v>
      </c>
      <c r="AP168" s="347">
        <f t="shared" si="733"/>
        <v>21.522386481502888</v>
      </c>
      <c r="AQ168" s="347">
        <f t="shared" si="733"/>
        <v>23.015844761691639</v>
      </c>
      <c r="AR168" s="346">
        <f t="shared" si="733"/>
        <v>44.538231243194531</v>
      </c>
      <c r="AS168" s="347">
        <f t="shared" si="733"/>
        <v>24.756006515541703</v>
      </c>
      <c r="AT168" s="347">
        <f t="shared" si="733"/>
        <v>26.501362746314172</v>
      </c>
      <c r="AU168" s="346">
        <f t="shared" si="733"/>
        <v>51.257369261855871</v>
      </c>
      <c r="AV168" s="347">
        <f t="shared" si="733"/>
        <v>28.063629752299637</v>
      </c>
      <c r="AW168" s="347">
        <f t="shared" si="733"/>
        <v>30.061953576637773</v>
      </c>
      <c r="AX168" s="346">
        <f t="shared" si="733"/>
        <v>58.12558332893741</v>
      </c>
      <c r="AY168" s="347">
        <f t="shared" si="733"/>
        <v>31.264735910921502</v>
      </c>
      <c r="AZ168" s="347">
        <f t="shared" si="733"/>
        <v>33.539503572002772</v>
      </c>
      <c r="BA168" s="346">
        <f t="shared" si="733"/>
        <v>64.804239482924274</v>
      </c>
      <c r="BB168" s="347">
        <f t="shared" si="733"/>
        <v>34.437783018652752</v>
      </c>
      <c r="BC168" s="347">
        <f t="shared" si="733"/>
        <v>36.959467840098725</v>
      </c>
      <c r="BD168" s="346">
        <f t="shared" si="733"/>
        <v>71.397250858751477</v>
      </c>
      <c r="BE168" s="347">
        <f t="shared" si="733"/>
        <v>37.369397542063403</v>
      </c>
      <c r="BF168" s="347">
        <f t="shared" si="733"/>
        <v>40.116901449707385</v>
      </c>
      <c r="BG168" s="346">
        <f t="shared" si="733"/>
        <v>77.486298991770781</v>
      </c>
      <c r="BJ168" s="53">
        <f t="shared" ref="BJ168:BJ170" si="734">+BJ167+1</f>
        <v>3</v>
      </c>
      <c r="BK168" s="54">
        <f t="shared" ref="BK168:BK170" si="735">+BN167</f>
        <v>590271.18480539543</v>
      </c>
      <c r="BL168" s="54">
        <f t="shared" si="726"/>
        <v>34235.728718712933</v>
      </c>
      <c r="BM168" s="54">
        <f t="shared" ref="BM168:BM170" si="736">+BM167</f>
        <v>-15437.5</v>
      </c>
      <c r="BN168" s="54">
        <f t="shared" si="727"/>
        <v>609069.41352410836</v>
      </c>
    </row>
    <row r="169" spans="1:68">
      <c r="A169" s="51" t="s">
        <v>552</v>
      </c>
      <c r="B169" s="350" t="s">
        <v>99</v>
      </c>
      <c r="E169" s="485"/>
      <c r="F169" s="479"/>
      <c r="G169" s="479"/>
      <c r="H169" s="485"/>
      <c r="I169" s="479"/>
      <c r="J169" s="479"/>
      <c r="K169" s="485"/>
      <c r="L169" s="479"/>
      <c r="M169" s="479"/>
      <c r="N169" s="485"/>
      <c r="O169" s="479"/>
      <c r="P169" s="479"/>
      <c r="Q169" s="485"/>
      <c r="R169" s="376">
        <f>-2.363</f>
        <v>-2.363</v>
      </c>
      <c r="S169" s="479">
        <f>T169-R169</f>
        <v>6.9730000000000008</v>
      </c>
      <c r="T169" s="377">
        <v>4.6100000000000003</v>
      </c>
      <c r="U169" s="376">
        <v>1.796</v>
      </c>
      <c r="V169" s="479">
        <f>W169-U169</f>
        <v>1.9330000000000001</v>
      </c>
      <c r="W169" s="377">
        <v>3.7290000000000001</v>
      </c>
      <c r="X169" s="376">
        <v>1.8240000000000001</v>
      </c>
      <c r="Y169" s="479">
        <f>Z169-X169</f>
        <v>1.8549999999999998</v>
      </c>
      <c r="Z169" s="377">
        <v>3.6789999999999998</v>
      </c>
      <c r="AA169" s="376">
        <v>2.0739999999999998</v>
      </c>
      <c r="AB169" s="479">
        <f t="shared" ref="AB169:AB171" si="737">+AB$168*AB174</f>
        <v>8.3843488990025818</v>
      </c>
      <c r="AC169" s="485">
        <f>+SUM(AA169:AB169)</f>
        <v>10.458348899002582</v>
      </c>
      <c r="AD169" s="479">
        <f t="shared" ref="AD169:AE171" si="738">+AD$168*AD174</f>
        <v>8.9741701494807966</v>
      </c>
      <c r="AE169" s="479">
        <f t="shared" si="738"/>
        <v>9.4041411493687868</v>
      </c>
      <c r="AF169" s="485">
        <f t="shared" ref="AF169:AF171" si="739">+SUM(AD169:AE169)</f>
        <v>18.378311298849582</v>
      </c>
      <c r="AG169" s="479">
        <f t="shared" ref="AG169:AH171" si="740">+AG$168*AG174</f>
        <v>10.213225476034349</v>
      </c>
      <c r="AH169" s="479">
        <f t="shared" si="740"/>
        <v>10.532787327862284</v>
      </c>
      <c r="AI169" s="485">
        <f t="shared" ref="AI169:AI171" si="741">+SUM(AG169:AH169)</f>
        <v>20.746012803896633</v>
      </c>
      <c r="AJ169" s="479">
        <f t="shared" ref="AJ169:AK171" si="742">+AJ$168*AJ174</f>
        <v>11.547793013690272</v>
      </c>
      <c r="AK169" s="479">
        <f t="shared" si="742"/>
        <v>11.916509614070486</v>
      </c>
      <c r="AL169" s="485">
        <f t="shared" ref="AL169:AL171" si="743">+SUM(AJ169:AK169)</f>
        <v>23.464302627760759</v>
      </c>
      <c r="AM169" s="479">
        <f t="shared" ref="AM169:AN171" si="744">+AM$168*AM174</f>
        <v>14.918549672858884</v>
      </c>
      <c r="AN169" s="479">
        <f t="shared" si="744"/>
        <v>15.419219694947508</v>
      </c>
      <c r="AO169" s="485">
        <f t="shared" ref="AO169:AO171" si="745">+SUM(AM169:AN169)</f>
        <v>30.337769367806391</v>
      </c>
      <c r="AP169" s="479">
        <f t="shared" ref="AP169:AQ171" si="746">+AP$168*AP174</f>
        <v>17.433133050017339</v>
      </c>
      <c r="AQ169" s="479">
        <f t="shared" si="746"/>
        <v>18.642834256970229</v>
      </c>
      <c r="AR169" s="485">
        <f t="shared" ref="AR169:AR171" si="747">+SUM(AP169:AQ169)</f>
        <v>36.075967306987565</v>
      </c>
      <c r="AS169" s="479">
        <f t="shared" ref="AS169:AT171" si="748">+AS$168*AS174</f>
        <v>20.05236527758878</v>
      </c>
      <c r="AT169" s="479">
        <f t="shared" si="748"/>
        <v>21.46610382451448</v>
      </c>
      <c r="AU169" s="485">
        <f t="shared" ref="AU169:AU171" si="749">+SUM(AS169:AT169)</f>
        <v>41.518469102103261</v>
      </c>
      <c r="AV169" s="479">
        <f t="shared" ref="AV169:AW171" si="750">+AV$168*AV174</f>
        <v>22.731540099362707</v>
      </c>
      <c r="AW169" s="479">
        <f t="shared" si="750"/>
        <v>24.350182397076598</v>
      </c>
      <c r="AX169" s="485">
        <f t="shared" ref="AX169:AX171" si="751">+SUM(AV169:AW169)</f>
        <v>47.081722496439305</v>
      </c>
      <c r="AY169" s="479">
        <f t="shared" ref="AY169:AZ171" si="752">+AY$168*AY174</f>
        <v>25.324436087846419</v>
      </c>
      <c r="AZ169" s="479">
        <f t="shared" si="752"/>
        <v>27.166997893322247</v>
      </c>
      <c r="BA169" s="485">
        <f t="shared" ref="BA169:BA171" si="753">+SUM(AY169:AZ169)</f>
        <v>52.491433981168669</v>
      </c>
      <c r="BB169" s="479">
        <f t="shared" ref="BB169:BC171" si="754">+BB$168*BB174</f>
        <v>27.894604245108731</v>
      </c>
      <c r="BC169" s="479">
        <f t="shared" si="754"/>
        <v>29.937168950479968</v>
      </c>
      <c r="BD169" s="485">
        <f t="shared" ref="BD169:BD171" si="755">+SUM(BB169:BC169)</f>
        <v>57.831773195588696</v>
      </c>
      <c r="BE169" s="479">
        <f t="shared" ref="BE169:BF171" si="756">+BE$168*BE174</f>
        <v>30.26921200907136</v>
      </c>
      <c r="BF169" s="479">
        <f t="shared" si="756"/>
        <v>32.494690174262985</v>
      </c>
      <c r="BG169" s="485">
        <f t="shared" ref="BG169:BG171" si="757">+SUM(BE169:BF169)</f>
        <v>62.763902183334345</v>
      </c>
      <c r="BJ169" s="53">
        <f t="shared" si="734"/>
        <v>4</v>
      </c>
      <c r="BK169" s="54">
        <f t="shared" si="735"/>
        <v>609069.41352410836</v>
      </c>
      <c r="BL169" s="54">
        <f t="shared" si="726"/>
        <v>35326.025984398286</v>
      </c>
      <c r="BM169" s="54">
        <f t="shared" si="736"/>
        <v>-15437.5</v>
      </c>
      <c r="BN169" s="54">
        <f t="shared" si="727"/>
        <v>628957.93950850668</v>
      </c>
    </row>
    <row r="170" spans="1:68">
      <c r="A170" s="51" t="s">
        <v>553</v>
      </c>
      <c r="B170" s="350" t="s">
        <v>117</v>
      </c>
      <c r="E170" s="485"/>
      <c r="F170" s="479"/>
      <c r="G170" s="479"/>
      <c r="H170" s="485"/>
      <c r="I170" s="479"/>
      <c r="J170" s="479"/>
      <c r="K170" s="485"/>
      <c r="L170" s="479"/>
      <c r="M170" s="479"/>
      <c r="N170" s="485"/>
      <c r="O170" s="479"/>
      <c r="P170" s="479"/>
      <c r="Q170" s="485"/>
      <c r="R170" s="376">
        <v>-0.26500000000000001</v>
      </c>
      <c r="S170" s="479">
        <f>T170-R170</f>
        <v>0.84299999999999997</v>
      </c>
      <c r="T170" s="377">
        <v>0.57799999999999996</v>
      </c>
      <c r="U170" s="376">
        <v>8.9999999999999993E-3</v>
      </c>
      <c r="V170" s="479">
        <f>W170-U170</f>
        <v>2.0999999999999998E-2</v>
      </c>
      <c r="W170" s="377">
        <v>0.03</v>
      </c>
      <c r="X170" s="376">
        <v>0.01</v>
      </c>
      <c r="Y170" s="479">
        <f>Z170-X170</f>
        <v>-0.01</v>
      </c>
      <c r="Z170" s="377">
        <v>0</v>
      </c>
      <c r="AA170" s="376">
        <v>0.11700000000000001</v>
      </c>
      <c r="AB170" s="479">
        <f t="shared" si="737"/>
        <v>0</v>
      </c>
      <c r="AC170" s="485">
        <f t="shared" ref="AC170:AC171" si="758">+SUM(AA170:AB170)</f>
        <v>0.11700000000000001</v>
      </c>
      <c r="AD170" s="479">
        <f t="shared" si="738"/>
        <v>0</v>
      </c>
      <c r="AE170" s="479">
        <f t="shared" si="738"/>
        <v>0</v>
      </c>
      <c r="AF170" s="485">
        <f t="shared" si="739"/>
        <v>0</v>
      </c>
      <c r="AG170" s="479">
        <f t="shared" si="740"/>
        <v>0</v>
      </c>
      <c r="AH170" s="479">
        <f t="shared" si="740"/>
        <v>0</v>
      </c>
      <c r="AI170" s="485">
        <f t="shared" si="741"/>
        <v>0</v>
      </c>
      <c r="AJ170" s="479">
        <f t="shared" si="742"/>
        <v>0</v>
      </c>
      <c r="AK170" s="479">
        <f t="shared" si="742"/>
        <v>0</v>
      </c>
      <c r="AL170" s="485">
        <f t="shared" si="743"/>
        <v>0</v>
      </c>
      <c r="AM170" s="479">
        <f t="shared" si="744"/>
        <v>0</v>
      </c>
      <c r="AN170" s="479">
        <f t="shared" si="744"/>
        <v>0</v>
      </c>
      <c r="AO170" s="485">
        <f t="shared" si="745"/>
        <v>0</v>
      </c>
      <c r="AP170" s="479">
        <f t="shared" si="746"/>
        <v>0</v>
      </c>
      <c r="AQ170" s="479">
        <f t="shared" si="746"/>
        <v>0</v>
      </c>
      <c r="AR170" s="485">
        <f t="shared" si="747"/>
        <v>0</v>
      </c>
      <c r="AS170" s="479">
        <f t="shared" si="748"/>
        <v>0</v>
      </c>
      <c r="AT170" s="479">
        <f t="shared" si="748"/>
        <v>0</v>
      </c>
      <c r="AU170" s="485">
        <f t="shared" si="749"/>
        <v>0</v>
      </c>
      <c r="AV170" s="479">
        <f t="shared" si="750"/>
        <v>0</v>
      </c>
      <c r="AW170" s="479">
        <f t="shared" si="750"/>
        <v>0</v>
      </c>
      <c r="AX170" s="485">
        <f t="shared" si="751"/>
        <v>0</v>
      </c>
      <c r="AY170" s="479">
        <f t="shared" si="752"/>
        <v>0</v>
      </c>
      <c r="AZ170" s="479">
        <f t="shared" si="752"/>
        <v>0</v>
      </c>
      <c r="BA170" s="485">
        <f t="shared" si="753"/>
        <v>0</v>
      </c>
      <c r="BB170" s="479">
        <f t="shared" si="754"/>
        <v>0</v>
      </c>
      <c r="BC170" s="479">
        <f t="shared" si="754"/>
        <v>0</v>
      </c>
      <c r="BD170" s="485">
        <f t="shared" si="755"/>
        <v>0</v>
      </c>
      <c r="BE170" s="479">
        <f t="shared" si="756"/>
        <v>0</v>
      </c>
      <c r="BF170" s="479">
        <f t="shared" si="756"/>
        <v>0</v>
      </c>
      <c r="BG170" s="485">
        <f t="shared" si="757"/>
        <v>0</v>
      </c>
      <c r="BJ170" s="53">
        <f t="shared" si="734"/>
        <v>5</v>
      </c>
      <c r="BK170" s="54">
        <f t="shared" si="735"/>
        <v>628957.93950850668</v>
      </c>
      <c r="BL170" s="54">
        <f t="shared" si="726"/>
        <v>36479.560491493387</v>
      </c>
      <c r="BM170" s="54">
        <f t="shared" si="736"/>
        <v>-15437.5</v>
      </c>
      <c r="BN170" s="54">
        <f t="shared" ref="BN170" si="759">+SUM(BK170:BM170)</f>
        <v>650000.00000000012</v>
      </c>
    </row>
    <row r="171" spans="1:68">
      <c r="A171" s="51" t="s">
        <v>554</v>
      </c>
      <c r="B171" s="350" t="s">
        <v>138</v>
      </c>
      <c r="E171" s="485"/>
      <c r="F171" s="479"/>
      <c r="G171" s="479"/>
      <c r="H171" s="485"/>
      <c r="I171" s="479"/>
      <c r="J171" s="479"/>
      <c r="K171" s="485"/>
      <c r="L171" s="479"/>
      <c r="M171" s="479"/>
      <c r="N171" s="485"/>
      <c r="O171" s="479"/>
      <c r="P171" s="479"/>
      <c r="Q171" s="485"/>
      <c r="R171" s="376">
        <f>-0.93</f>
        <v>-0.93</v>
      </c>
      <c r="S171" s="479">
        <f>T171-R171</f>
        <v>1.121</v>
      </c>
      <c r="T171" s="377">
        <v>0.191</v>
      </c>
      <c r="U171" s="376">
        <v>6.4000000000000001E-2</v>
      </c>
      <c r="V171" s="479">
        <f>W171-U171</f>
        <v>9.2999999999999999E-2</v>
      </c>
      <c r="W171" s="377">
        <v>0.157</v>
      </c>
      <c r="X171" s="376">
        <v>0.219</v>
      </c>
      <c r="Y171" s="479">
        <f>Z171-X171</f>
        <v>0.63700000000000001</v>
      </c>
      <c r="Z171" s="377">
        <v>0.85599999999999998</v>
      </c>
      <c r="AA171" s="376">
        <v>6.9690000000000003</v>
      </c>
      <c r="AB171" s="479">
        <f t="shared" si="737"/>
        <v>1.9666991244573957</v>
      </c>
      <c r="AC171" s="485">
        <f t="shared" si="758"/>
        <v>8.9356991244573969</v>
      </c>
      <c r="AD171" s="479">
        <f t="shared" si="738"/>
        <v>2.1050522572856192</v>
      </c>
      <c r="AE171" s="479">
        <f t="shared" si="738"/>
        <v>2.2059096523210737</v>
      </c>
      <c r="AF171" s="485">
        <f t="shared" si="739"/>
        <v>4.3109619096066929</v>
      </c>
      <c r="AG171" s="479">
        <f t="shared" si="740"/>
        <v>2.3956948647487981</v>
      </c>
      <c r="AH171" s="479">
        <f t="shared" si="740"/>
        <v>2.4706538176467085</v>
      </c>
      <c r="AI171" s="485">
        <f t="shared" si="741"/>
        <v>4.8663486823955067</v>
      </c>
      <c r="AJ171" s="479">
        <f t="shared" si="742"/>
        <v>2.7087415711125327</v>
      </c>
      <c r="AK171" s="479">
        <f t="shared" si="742"/>
        <v>2.7952306502140645</v>
      </c>
      <c r="AL171" s="485">
        <f t="shared" si="743"/>
        <v>5.5039722213265971</v>
      </c>
      <c r="AM171" s="479">
        <f t="shared" si="744"/>
        <v>3.4994128862261578</v>
      </c>
      <c r="AN171" s="479">
        <f t="shared" si="744"/>
        <v>3.6168540025185512</v>
      </c>
      <c r="AO171" s="485">
        <f t="shared" si="745"/>
        <v>7.1162668887447094</v>
      </c>
      <c r="AP171" s="479">
        <f t="shared" si="746"/>
        <v>4.0892534314855489</v>
      </c>
      <c r="AQ171" s="479">
        <f t="shared" si="746"/>
        <v>4.3730105047214112</v>
      </c>
      <c r="AR171" s="485">
        <f t="shared" si="747"/>
        <v>8.4622639362069592</v>
      </c>
      <c r="AS171" s="479">
        <f t="shared" si="748"/>
        <v>4.7036412379529233</v>
      </c>
      <c r="AT171" s="479">
        <f t="shared" si="748"/>
        <v>5.0352589217996924</v>
      </c>
      <c r="AU171" s="485">
        <f t="shared" si="749"/>
        <v>9.7389001597526157</v>
      </c>
      <c r="AV171" s="479">
        <f t="shared" si="750"/>
        <v>5.332089652936931</v>
      </c>
      <c r="AW171" s="479">
        <f t="shared" si="750"/>
        <v>5.7117711795611772</v>
      </c>
      <c r="AX171" s="485">
        <f t="shared" si="751"/>
        <v>11.043860832498108</v>
      </c>
      <c r="AY171" s="479">
        <f t="shared" si="752"/>
        <v>5.940299823075085</v>
      </c>
      <c r="AZ171" s="479">
        <f t="shared" si="752"/>
        <v>6.3725056786805272</v>
      </c>
      <c r="BA171" s="485">
        <f t="shared" si="753"/>
        <v>12.312805501755612</v>
      </c>
      <c r="BB171" s="479">
        <f t="shared" si="754"/>
        <v>6.5431787735440228</v>
      </c>
      <c r="BC171" s="479">
        <f t="shared" si="754"/>
        <v>7.0222988896187575</v>
      </c>
      <c r="BD171" s="485">
        <f t="shared" si="755"/>
        <v>13.565477663162781</v>
      </c>
      <c r="BE171" s="479">
        <f t="shared" si="756"/>
        <v>7.1001855329920467</v>
      </c>
      <c r="BF171" s="479">
        <f t="shared" si="756"/>
        <v>7.6222112754444034</v>
      </c>
      <c r="BG171" s="485">
        <f t="shared" si="757"/>
        <v>14.72239680843645</v>
      </c>
    </row>
    <row r="172" spans="1:68">
      <c r="B172" s="52"/>
      <c r="E172" s="346"/>
      <c r="F172" s="347"/>
      <c r="G172" s="347"/>
      <c r="H172" s="346"/>
      <c r="I172" s="347"/>
      <c r="J172" s="347"/>
      <c r="K172" s="346"/>
      <c r="L172" s="347"/>
      <c r="M172" s="347"/>
      <c r="N172" s="346"/>
      <c r="O172" s="347"/>
      <c r="P172" s="347"/>
      <c r="Q172" s="346"/>
      <c r="R172" s="391">
        <f t="shared" ref="R172" si="760">+R168-SUM(R169:R171)</f>
        <v>0</v>
      </c>
      <c r="S172" s="391">
        <f t="shared" ref="S172" si="761">+S168-SUM(S169:S171)</f>
        <v>0</v>
      </c>
      <c r="T172" s="390">
        <f t="shared" ref="T172:BG172" si="762">+T168-SUM(T169:T171)</f>
        <v>0</v>
      </c>
      <c r="U172" s="391">
        <f t="shared" si="762"/>
        <v>0</v>
      </c>
      <c r="V172" s="391">
        <f t="shared" si="762"/>
        <v>0</v>
      </c>
      <c r="W172" s="390">
        <f t="shared" si="762"/>
        <v>0</v>
      </c>
      <c r="X172" s="391">
        <f t="shared" si="762"/>
        <v>0</v>
      </c>
      <c r="Y172" s="391">
        <f t="shared" si="762"/>
        <v>0</v>
      </c>
      <c r="Z172" s="390">
        <f t="shared" si="762"/>
        <v>0</v>
      </c>
      <c r="AA172" s="391">
        <f t="shared" ref="AA172" si="763">+AA168-SUM(AA169:AA171)</f>
        <v>0</v>
      </c>
      <c r="AB172" s="391">
        <f t="shared" si="762"/>
        <v>0</v>
      </c>
      <c r="AC172" s="390">
        <f t="shared" si="762"/>
        <v>0.42500000000000071</v>
      </c>
      <c r="AD172" s="391">
        <f t="shared" si="762"/>
        <v>0</v>
      </c>
      <c r="AE172" s="391">
        <f t="shared" si="762"/>
        <v>0</v>
      </c>
      <c r="AF172" s="390">
        <f t="shared" si="762"/>
        <v>0</v>
      </c>
      <c r="AG172" s="391">
        <f t="shared" si="762"/>
        <v>0</v>
      </c>
      <c r="AH172" s="391">
        <f t="shared" si="762"/>
        <v>0</v>
      </c>
      <c r="AI172" s="390">
        <f t="shared" si="762"/>
        <v>0</v>
      </c>
      <c r="AJ172" s="391">
        <f t="shared" si="762"/>
        <v>0</v>
      </c>
      <c r="AK172" s="391">
        <f t="shared" si="762"/>
        <v>0</v>
      </c>
      <c r="AL172" s="390">
        <f t="shared" si="762"/>
        <v>0</v>
      </c>
      <c r="AM172" s="391">
        <f t="shared" si="762"/>
        <v>0</v>
      </c>
      <c r="AN172" s="391">
        <f t="shared" si="762"/>
        <v>0</v>
      </c>
      <c r="AO172" s="390">
        <f t="shared" si="762"/>
        <v>0</v>
      </c>
      <c r="AP172" s="391">
        <f t="shared" si="762"/>
        <v>0</v>
      </c>
      <c r="AQ172" s="391">
        <f t="shared" si="762"/>
        <v>0</v>
      </c>
      <c r="AR172" s="390">
        <f t="shared" si="762"/>
        <v>0</v>
      </c>
      <c r="AS172" s="391">
        <f t="shared" si="762"/>
        <v>0</v>
      </c>
      <c r="AT172" s="391">
        <f t="shared" si="762"/>
        <v>0</v>
      </c>
      <c r="AU172" s="390">
        <f t="shared" si="762"/>
        <v>0</v>
      </c>
      <c r="AV172" s="391">
        <f t="shared" si="762"/>
        <v>0</v>
      </c>
      <c r="AW172" s="391">
        <f t="shared" si="762"/>
        <v>0</v>
      </c>
      <c r="AX172" s="390">
        <f t="shared" si="762"/>
        <v>0</v>
      </c>
      <c r="AY172" s="391">
        <f t="shared" si="762"/>
        <v>0</v>
      </c>
      <c r="AZ172" s="391">
        <f t="shared" si="762"/>
        <v>0</v>
      </c>
      <c r="BA172" s="390">
        <f t="shared" si="762"/>
        <v>0</v>
      </c>
      <c r="BB172" s="391">
        <f t="shared" si="762"/>
        <v>0</v>
      </c>
      <c r="BC172" s="391">
        <f t="shared" si="762"/>
        <v>0</v>
      </c>
      <c r="BD172" s="390">
        <f t="shared" si="762"/>
        <v>0</v>
      </c>
      <c r="BE172" s="391">
        <f t="shared" si="762"/>
        <v>0</v>
      </c>
      <c r="BF172" s="391">
        <f t="shared" si="762"/>
        <v>0</v>
      </c>
      <c r="BG172" s="390">
        <f t="shared" si="762"/>
        <v>0</v>
      </c>
      <c r="BM172" s="54">
        <f>+BL166+BM166</f>
        <v>16793.669189569198</v>
      </c>
      <c r="BN172" s="54">
        <f>+BM172*0.65</f>
        <v>10915.88497321998</v>
      </c>
    </row>
    <row r="173" spans="1:68">
      <c r="B173" s="52" t="s">
        <v>515</v>
      </c>
      <c r="E173" s="346"/>
      <c r="F173" s="347"/>
      <c r="G173" s="347"/>
      <c r="H173" s="346"/>
      <c r="I173" s="347"/>
      <c r="J173" s="347"/>
      <c r="K173" s="346"/>
      <c r="L173" s="347"/>
      <c r="M173" s="347"/>
      <c r="N173" s="346"/>
      <c r="O173" s="347"/>
      <c r="P173" s="347"/>
      <c r="Q173" s="346"/>
      <c r="R173" s="347"/>
      <c r="S173" s="347"/>
      <c r="T173" s="346"/>
      <c r="U173" s="347"/>
      <c r="V173" s="347"/>
      <c r="W173" s="346"/>
      <c r="X173" s="347"/>
      <c r="Y173" s="347"/>
      <c r="Z173" s="346"/>
      <c r="AA173" s="347"/>
      <c r="AB173" s="347"/>
      <c r="AC173" s="346"/>
      <c r="AD173" s="347"/>
      <c r="AE173" s="347"/>
      <c r="AF173" s="346"/>
      <c r="AG173" s="347"/>
      <c r="AH173" s="347"/>
      <c r="AI173" s="346"/>
      <c r="AJ173" s="347"/>
      <c r="AK173" s="347"/>
      <c r="AL173" s="346"/>
      <c r="AM173" s="347"/>
      <c r="AN173" s="347"/>
      <c r="AO173" s="346"/>
      <c r="AP173" s="347"/>
      <c r="AQ173" s="347"/>
      <c r="AR173" s="346"/>
      <c r="AS173" s="347"/>
      <c r="AT173" s="347"/>
      <c r="AU173" s="346"/>
      <c r="AV173" s="347"/>
      <c r="AW173" s="347"/>
      <c r="AX173" s="346"/>
      <c r="AY173" s="347"/>
      <c r="AZ173" s="347"/>
      <c r="BA173" s="346"/>
      <c r="BB173" s="347"/>
      <c r="BC173" s="347"/>
      <c r="BD173" s="346"/>
      <c r="BE173" s="347"/>
      <c r="BF173" s="347"/>
      <c r="BG173" s="346"/>
      <c r="BM173" s="54">
        <f>+BL167+BM167</f>
        <v>17767.702002564212</v>
      </c>
      <c r="BN173" s="54">
        <f t="shared" ref="BN173:BN176" si="764">+BM173*0.65</f>
        <v>11549.006301666739</v>
      </c>
    </row>
    <row r="174" spans="1:68">
      <c r="B174" s="350" t="s">
        <v>99</v>
      </c>
      <c r="E174" s="346"/>
      <c r="F174" s="347"/>
      <c r="G174" s="347"/>
      <c r="H174" s="346"/>
      <c r="I174" s="347"/>
      <c r="J174" s="347"/>
      <c r="K174" s="346"/>
      <c r="L174" s="347"/>
      <c r="M174" s="347"/>
      <c r="N174" s="346"/>
      <c r="O174" s="347"/>
      <c r="P174" s="347"/>
      <c r="Q174" s="346"/>
      <c r="R174" s="347"/>
      <c r="S174" s="347"/>
      <c r="T174" s="351"/>
      <c r="U174" s="352">
        <f t="shared" ref="U174:Z176" si="765">+U169/U$168</f>
        <v>0.96094168004280367</v>
      </c>
      <c r="V174" s="352">
        <f t="shared" si="765"/>
        <v>0.94430874450415236</v>
      </c>
      <c r="W174" s="351">
        <f t="shared" si="765"/>
        <v>0.952247191011236</v>
      </c>
      <c r="X174" s="352">
        <f t="shared" si="765"/>
        <v>0.88845591816853386</v>
      </c>
      <c r="Y174" s="352">
        <f t="shared" si="765"/>
        <v>0.74738114423851731</v>
      </c>
      <c r="Z174" s="351">
        <f t="shared" si="765"/>
        <v>0.81124586549062838</v>
      </c>
      <c r="AA174" s="352">
        <f t="shared" ref="AA174" si="766">+AA169/AA$168</f>
        <v>0.2264192139737991</v>
      </c>
      <c r="AB174" s="395">
        <v>0.81</v>
      </c>
      <c r="AC174" s="505">
        <f t="shared" ref="AC174:AR176" si="767">+AB174</f>
        <v>0.81</v>
      </c>
      <c r="AD174" s="396">
        <f t="shared" si="767"/>
        <v>0.81</v>
      </c>
      <c r="AE174" s="396">
        <f t="shared" si="767"/>
        <v>0.81</v>
      </c>
      <c r="AF174" s="505">
        <f t="shared" si="767"/>
        <v>0.81</v>
      </c>
      <c r="AG174" s="396">
        <f t="shared" si="767"/>
        <v>0.81</v>
      </c>
      <c r="AH174" s="396">
        <f t="shared" si="767"/>
        <v>0.81</v>
      </c>
      <c r="AI174" s="505">
        <f t="shared" si="767"/>
        <v>0.81</v>
      </c>
      <c r="AJ174" s="396">
        <f t="shared" si="767"/>
        <v>0.81</v>
      </c>
      <c r="AK174" s="396">
        <f t="shared" si="767"/>
        <v>0.81</v>
      </c>
      <c r="AL174" s="505">
        <f t="shared" si="767"/>
        <v>0.81</v>
      </c>
      <c r="AM174" s="396">
        <f t="shared" si="767"/>
        <v>0.81</v>
      </c>
      <c r="AN174" s="396">
        <f t="shared" si="767"/>
        <v>0.81</v>
      </c>
      <c r="AO174" s="505">
        <f t="shared" si="767"/>
        <v>0.81</v>
      </c>
      <c r="AP174" s="396">
        <f t="shared" si="767"/>
        <v>0.81</v>
      </c>
      <c r="AQ174" s="396">
        <f t="shared" si="767"/>
        <v>0.81</v>
      </c>
      <c r="AR174" s="505">
        <f t="shared" si="767"/>
        <v>0.81</v>
      </c>
      <c r="AS174" s="396">
        <f t="shared" ref="AS174:BG176" si="768">+AR174</f>
        <v>0.81</v>
      </c>
      <c r="AT174" s="396">
        <f t="shared" si="768"/>
        <v>0.81</v>
      </c>
      <c r="AU174" s="505">
        <f t="shared" si="768"/>
        <v>0.81</v>
      </c>
      <c r="AV174" s="396">
        <f t="shared" si="768"/>
        <v>0.81</v>
      </c>
      <c r="AW174" s="396">
        <f t="shared" si="768"/>
        <v>0.81</v>
      </c>
      <c r="AX174" s="505">
        <f t="shared" si="768"/>
        <v>0.81</v>
      </c>
      <c r="AY174" s="396">
        <f t="shared" si="768"/>
        <v>0.81</v>
      </c>
      <c r="AZ174" s="396">
        <f t="shared" si="768"/>
        <v>0.81</v>
      </c>
      <c r="BA174" s="505">
        <f t="shared" si="768"/>
        <v>0.81</v>
      </c>
      <c r="BB174" s="396">
        <f t="shared" si="768"/>
        <v>0.81</v>
      </c>
      <c r="BC174" s="396">
        <f t="shared" si="768"/>
        <v>0.81</v>
      </c>
      <c r="BD174" s="505">
        <f t="shared" si="768"/>
        <v>0.81</v>
      </c>
      <c r="BE174" s="396">
        <f t="shared" si="768"/>
        <v>0.81</v>
      </c>
      <c r="BF174" s="396">
        <f t="shared" si="768"/>
        <v>0.81</v>
      </c>
      <c r="BG174" s="505">
        <f t="shared" si="768"/>
        <v>0.81</v>
      </c>
      <c r="BL174" s="295"/>
      <c r="BM174" s="54">
        <f>+BL168+BM168</f>
        <v>18798.228718712933</v>
      </c>
      <c r="BN174" s="54">
        <f t="shared" si="764"/>
        <v>12218.848667163407</v>
      </c>
    </row>
    <row r="175" spans="1:68">
      <c r="B175" s="350" t="s">
        <v>117</v>
      </c>
      <c r="E175" s="346"/>
      <c r="F175" s="347"/>
      <c r="G175" s="347"/>
      <c r="H175" s="346"/>
      <c r="I175" s="347"/>
      <c r="J175" s="347"/>
      <c r="K175" s="346"/>
      <c r="L175" s="347"/>
      <c r="M175" s="347"/>
      <c r="N175" s="485"/>
      <c r="O175" s="347"/>
      <c r="P175" s="347"/>
      <c r="Q175" s="485"/>
      <c r="R175" s="352"/>
      <c r="S175" s="352"/>
      <c r="T175" s="351"/>
      <c r="U175" s="352">
        <f t="shared" si="765"/>
        <v>4.815409309791332E-3</v>
      </c>
      <c r="V175" s="352">
        <f t="shared" si="765"/>
        <v>1.0258915486077184E-2</v>
      </c>
      <c r="W175" s="351">
        <f t="shared" si="765"/>
        <v>7.6608784473953008E-3</v>
      </c>
      <c r="X175" s="352">
        <f t="shared" si="765"/>
        <v>4.870920603994155E-3</v>
      </c>
      <c r="Y175" s="352">
        <f t="shared" si="765"/>
        <v>-4.0290088638195009E-3</v>
      </c>
      <c r="Z175" s="351">
        <f t="shared" si="765"/>
        <v>0</v>
      </c>
      <c r="AA175" s="352">
        <f t="shared" ref="AA175" si="769">+AA170/AA$168</f>
        <v>1.2772925764192141E-2</v>
      </c>
      <c r="AB175" s="395">
        <v>0</v>
      </c>
      <c r="AC175" s="505">
        <f t="shared" si="767"/>
        <v>0</v>
      </c>
      <c r="AD175" s="396">
        <f t="shared" si="767"/>
        <v>0</v>
      </c>
      <c r="AE175" s="396">
        <f t="shared" si="767"/>
        <v>0</v>
      </c>
      <c r="AF175" s="505">
        <f t="shared" si="767"/>
        <v>0</v>
      </c>
      <c r="AG175" s="396">
        <f t="shared" si="767"/>
        <v>0</v>
      </c>
      <c r="AH175" s="396">
        <f t="shared" si="767"/>
        <v>0</v>
      </c>
      <c r="AI175" s="505">
        <f t="shared" si="767"/>
        <v>0</v>
      </c>
      <c r="AJ175" s="396">
        <f t="shared" si="767"/>
        <v>0</v>
      </c>
      <c r="AK175" s="396">
        <f t="shared" si="767"/>
        <v>0</v>
      </c>
      <c r="AL175" s="505">
        <f t="shared" si="767"/>
        <v>0</v>
      </c>
      <c r="AM175" s="396">
        <f t="shared" si="767"/>
        <v>0</v>
      </c>
      <c r="AN175" s="396">
        <f t="shared" si="767"/>
        <v>0</v>
      </c>
      <c r="AO175" s="505">
        <f t="shared" si="767"/>
        <v>0</v>
      </c>
      <c r="AP175" s="396">
        <f t="shared" si="767"/>
        <v>0</v>
      </c>
      <c r="AQ175" s="396">
        <f t="shared" si="767"/>
        <v>0</v>
      </c>
      <c r="AR175" s="505">
        <f t="shared" si="767"/>
        <v>0</v>
      </c>
      <c r="AS175" s="396">
        <f t="shared" si="768"/>
        <v>0</v>
      </c>
      <c r="AT175" s="396">
        <f t="shared" si="768"/>
        <v>0</v>
      </c>
      <c r="AU175" s="505">
        <f t="shared" si="768"/>
        <v>0</v>
      </c>
      <c r="AV175" s="396">
        <f t="shared" si="768"/>
        <v>0</v>
      </c>
      <c r="AW175" s="396">
        <f t="shared" si="768"/>
        <v>0</v>
      </c>
      <c r="AX175" s="505">
        <f t="shared" si="768"/>
        <v>0</v>
      </c>
      <c r="AY175" s="396">
        <f t="shared" si="768"/>
        <v>0</v>
      </c>
      <c r="AZ175" s="396">
        <f t="shared" si="768"/>
        <v>0</v>
      </c>
      <c r="BA175" s="505">
        <f t="shared" si="768"/>
        <v>0</v>
      </c>
      <c r="BB175" s="396">
        <f t="shared" si="768"/>
        <v>0</v>
      </c>
      <c r="BC175" s="396">
        <f t="shared" si="768"/>
        <v>0</v>
      </c>
      <c r="BD175" s="505">
        <f t="shared" si="768"/>
        <v>0</v>
      </c>
      <c r="BE175" s="396">
        <f t="shared" si="768"/>
        <v>0</v>
      </c>
      <c r="BF175" s="396">
        <f t="shared" si="768"/>
        <v>0</v>
      </c>
      <c r="BG175" s="505">
        <f t="shared" si="768"/>
        <v>0</v>
      </c>
      <c r="BL175" s="59"/>
      <c r="BM175" s="54">
        <f>+BL169+BM169</f>
        <v>19888.525984398286</v>
      </c>
      <c r="BN175" s="54">
        <f t="shared" si="764"/>
        <v>12927.541889858887</v>
      </c>
    </row>
    <row r="176" spans="1:68">
      <c r="B176" s="350" t="s">
        <v>138</v>
      </c>
      <c r="E176" s="346"/>
      <c r="F176" s="347"/>
      <c r="G176" s="347"/>
      <c r="H176" s="346"/>
      <c r="I176" s="347"/>
      <c r="J176" s="347"/>
      <c r="K176" s="346"/>
      <c r="L176" s="347"/>
      <c r="M176" s="347"/>
      <c r="N176" s="485"/>
      <c r="O176" s="347"/>
      <c r="P176" s="347"/>
      <c r="Q176" s="485"/>
      <c r="R176" s="352"/>
      <c r="S176" s="352"/>
      <c r="T176" s="351"/>
      <c r="U176" s="352">
        <f t="shared" si="765"/>
        <v>3.4242910647405027E-2</v>
      </c>
      <c r="V176" s="352">
        <f t="shared" si="765"/>
        <v>4.5432340009770394E-2</v>
      </c>
      <c r="W176" s="351">
        <f t="shared" si="765"/>
        <v>4.0091930541368746E-2</v>
      </c>
      <c r="X176" s="352">
        <f t="shared" si="765"/>
        <v>0.106673161227472</v>
      </c>
      <c r="Y176" s="352">
        <f t="shared" si="765"/>
        <v>0.2566478646253022</v>
      </c>
      <c r="Z176" s="351">
        <f t="shared" si="765"/>
        <v>0.18875413450937154</v>
      </c>
      <c r="AA176" s="352">
        <f t="shared" ref="AA176" si="770">+AA171/AA$168</f>
        <v>0.76080786026200875</v>
      </c>
      <c r="AB176" s="395">
        <v>0.19</v>
      </c>
      <c r="AC176" s="505">
        <f t="shared" si="767"/>
        <v>0.19</v>
      </c>
      <c r="AD176" s="396">
        <f t="shared" si="767"/>
        <v>0.19</v>
      </c>
      <c r="AE176" s="396">
        <f t="shared" si="767"/>
        <v>0.19</v>
      </c>
      <c r="AF176" s="505">
        <f t="shared" si="767"/>
        <v>0.19</v>
      </c>
      <c r="AG176" s="396">
        <f t="shared" si="767"/>
        <v>0.19</v>
      </c>
      <c r="AH176" s="396">
        <f t="shared" si="767"/>
        <v>0.19</v>
      </c>
      <c r="AI176" s="505">
        <f t="shared" si="767"/>
        <v>0.19</v>
      </c>
      <c r="AJ176" s="396">
        <f t="shared" si="767"/>
        <v>0.19</v>
      </c>
      <c r="AK176" s="396">
        <f t="shared" si="767"/>
        <v>0.19</v>
      </c>
      <c r="AL176" s="505">
        <f t="shared" si="767"/>
        <v>0.19</v>
      </c>
      <c r="AM176" s="396">
        <f t="shared" si="767"/>
        <v>0.19</v>
      </c>
      <c r="AN176" s="396">
        <f t="shared" si="767"/>
        <v>0.19</v>
      </c>
      <c r="AO176" s="505">
        <f t="shared" si="767"/>
        <v>0.19</v>
      </c>
      <c r="AP176" s="396">
        <f t="shared" si="767"/>
        <v>0.19</v>
      </c>
      <c r="AQ176" s="396">
        <f t="shared" si="767"/>
        <v>0.19</v>
      </c>
      <c r="AR176" s="505">
        <f t="shared" si="767"/>
        <v>0.19</v>
      </c>
      <c r="AS176" s="396">
        <f t="shared" si="768"/>
        <v>0.19</v>
      </c>
      <c r="AT176" s="396">
        <f t="shared" si="768"/>
        <v>0.19</v>
      </c>
      <c r="AU176" s="505">
        <f t="shared" si="768"/>
        <v>0.19</v>
      </c>
      <c r="AV176" s="396">
        <f t="shared" si="768"/>
        <v>0.19</v>
      </c>
      <c r="AW176" s="396">
        <f t="shared" si="768"/>
        <v>0.19</v>
      </c>
      <c r="AX176" s="505">
        <f t="shared" si="768"/>
        <v>0.19</v>
      </c>
      <c r="AY176" s="396">
        <f t="shared" si="768"/>
        <v>0.19</v>
      </c>
      <c r="AZ176" s="396">
        <f t="shared" si="768"/>
        <v>0.19</v>
      </c>
      <c r="BA176" s="505">
        <f t="shared" si="768"/>
        <v>0.19</v>
      </c>
      <c r="BB176" s="396">
        <f t="shared" si="768"/>
        <v>0.19</v>
      </c>
      <c r="BC176" s="396">
        <f t="shared" si="768"/>
        <v>0.19</v>
      </c>
      <c r="BD176" s="505">
        <f t="shared" si="768"/>
        <v>0.19</v>
      </c>
      <c r="BE176" s="396">
        <f t="shared" si="768"/>
        <v>0.19</v>
      </c>
      <c r="BF176" s="396">
        <f t="shared" si="768"/>
        <v>0.19</v>
      </c>
      <c r="BG176" s="505">
        <f t="shared" si="768"/>
        <v>0.19</v>
      </c>
      <c r="BM176" s="54">
        <f>+BL170+BM170</f>
        <v>21042.060491493387</v>
      </c>
      <c r="BN176" s="54">
        <f t="shared" si="764"/>
        <v>13677.339319470702</v>
      </c>
    </row>
    <row r="177" spans="1:64">
      <c r="E177" s="346"/>
      <c r="F177" s="347"/>
      <c r="G177" s="347"/>
      <c r="H177" s="346"/>
      <c r="I177" s="347"/>
      <c r="J177" s="347"/>
      <c r="K177" s="346"/>
      <c r="L177" s="347"/>
      <c r="M177" s="347"/>
      <c r="N177" s="485"/>
      <c r="O177" s="347"/>
      <c r="P177" s="347"/>
      <c r="Q177" s="485"/>
      <c r="R177" s="479"/>
      <c r="S177" s="347"/>
      <c r="T177" s="486"/>
      <c r="U177" s="479"/>
      <c r="V177" s="347"/>
      <c r="W177" s="486"/>
      <c r="X177" s="479"/>
      <c r="Y177" s="489"/>
      <c r="Z177" s="485"/>
      <c r="AA177" s="521"/>
      <c r="AB177" s="489"/>
      <c r="AC177" s="485"/>
      <c r="AD177" s="479"/>
      <c r="AE177" s="489"/>
      <c r="AF177" s="485"/>
      <c r="AG177" s="479"/>
      <c r="AH177" s="489"/>
      <c r="AI177" s="485"/>
      <c r="AJ177" s="479"/>
      <c r="AK177" s="489"/>
      <c r="AL177" s="485"/>
      <c r="AM177" s="479"/>
      <c r="AN177" s="489"/>
      <c r="AO177" s="485"/>
      <c r="AP177" s="479"/>
      <c r="AQ177" s="489"/>
      <c r="AR177" s="485"/>
      <c r="AS177" s="479"/>
      <c r="AT177" s="489"/>
      <c r="AU177" s="485"/>
      <c r="AV177" s="479"/>
      <c r="AW177" s="489"/>
      <c r="AX177" s="485"/>
      <c r="AY177" s="479"/>
      <c r="AZ177" s="489"/>
      <c r="BA177" s="485"/>
      <c r="BB177" s="479"/>
      <c r="BC177" s="489"/>
      <c r="BD177" s="485"/>
      <c r="BE177" s="479"/>
      <c r="BF177" s="489"/>
      <c r="BG177" s="485"/>
      <c r="BL177" s="54"/>
    </row>
    <row r="178" spans="1:64">
      <c r="B178" s="364" t="s">
        <v>38</v>
      </c>
      <c r="C178" s="495"/>
      <c r="D178" s="495"/>
      <c r="E178" s="496"/>
      <c r="F178" s="497"/>
      <c r="G178" s="497"/>
      <c r="H178" s="496"/>
      <c r="I178" s="497"/>
      <c r="J178" s="497"/>
      <c r="K178" s="496"/>
      <c r="L178" s="497"/>
      <c r="M178" s="497"/>
      <c r="N178" s="496"/>
      <c r="O178" s="497"/>
      <c r="P178" s="497"/>
      <c r="Q178" s="496"/>
      <c r="R178" s="497"/>
      <c r="S178" s="497"/>
      <c r="T178" s="498"/>
      <c r="U178" s="497"/>
      <c r="V178" s="497"/>
      <c r="W178" s="498"/>
      <c r="X178" s="497"/>
      <c r="Y178" s="499"/>
      <c r="Z178" s="496"/>
      <c r="AA178" s="497"/>
      <c r="AB178" s="499"/>
      <c r="AC178" s="496"/>
      <c r="AD178" s="497"/>
      <c r="AE178" s="499"/>
      <c r="AF178" s="496"/>
      <c r="AG178" s="497"/>
      <c r="AH178" s="499"/>
      <c r="AI178" s="496"/>
      <c r="AJ178" s="497"/>
      <c r="AK178" s="499"/>
      <c r="AL178" s="496"/>
      <c r="AM178" s="497"/>
      <c r="AN178" s="499"/>
      <c r="AO178" s="496"/>
      <c r="AP178" s="497"/>
      <c r="AQ178" s="499"/>
      <c r="AR178" s="496"/>
      <c r="AS178" s="497"/>
      <c r="AT178" s="499"/>
      <c r="AU178" s="496"/>
      <c r="AV178" s="497"/>
      <c r="AW178" s="499"/>
      <c r="AX178" s="496"/>
      <c r="AY178" s="497"/>
      <c r="AZ178" s="499"/>
      <c r="BA178" s="496"/>
      <c r="BB178" s="497"/>
      <c r="BC178" s="499"/>
      <c r="BD178" s="496"/>
      <c r="BE178" s="497"/>
      <c r="BF178" s="499"/>
      <c r="BG178" s="496"/>
    </row>
    <row r="179" spans="1:64">
      <c r="A179" s="51" t="s">
        <v>496</v>
      </c>
      <c r="B179" s="52" t="s">
        <v>463</v>
      </c>
      <c r="E179" s="346">
        <f t="shared" ref="E179:P179" si="771">+E150</f>
        <v>6.5193310000000002</v>
      </c>
      <c r="F179" s="347">
        <f t="shared" si="771"/>
        <v>-10.457007000000001</v>
      </c>
      <c r="G179" s="347">
        <f t="shared" si="771"/>
        <v>-17.182993000000003</v>
      </c>
      <c r="H179" s="346">
        <f t="shared" si="771"/>
        <v>-27.64</v>
      </c>
      <c r="I179" s="347">
        <f t="shared" si="771"/>
        <v>-13.861403000000001</v>
      </c>
      <c r="J179" s="347">
        <f t="shared" si="771"/>
        <v>-22.158597</v>
      </c>
      <c r="K179" s="346">
        <f t="shared" si="771"/>
        <v>-36.019999999999996</v>
      </c>
      <c r="L179" s="347">
        <f t="shared" si="771"/>
        <v>-17.774000000000001</v>
      </c>
      <c r="M179" s="347">
        <f t="shared" si="771"/>
        <v>-26.597000000000001</v>
      </c>
      <c r="N179" s="346">
        <f t="shared" si="771"/>
        <v>-44.371000000000002</v>
      </c>
      <c r="O179" s="347">
        <f t="shared" si="771"/>
        <v>-28.785</v>
      </c>
      <c r="P179" s="347">
        <f t="shared" si="771"/>
        <v>-47.287999999999997</v>
      </c>
      <c r="Q179" s="346">
        <f>+Q150</f>
        <v>-76.072999999999993</v>
      </c>
      <c r="R179" s="347">
        <f t="shared" ref="R179:BG179" si="772">+R150+R168</f>
        <v>-60.75500000000001</v>
      </c>
      <c r="S179" s="347">
        <f t="shared" si="772"/>
        <v>-12.424999999999983</v>
      </c>
      <c r="T179" s="346">
        <f t="shared" si="772"/>
        <v>-67.801000000000002</v>
      </c>
      <c r="U179" s="347">
        <f t="shared" si="772"/>
        <v>23.499000000000024</v>
      </c>
      <c r="V179" s="347">
        <f t="shared" si="772"/>
        <v>15.847999999999988</v>
      </c>
      <c r="W179" s="346">
        <f t="shared" si="772"/>
        <v>39.357999999999947</v>
      </c>
      <c r="X179" s="347">
        <f>+X150+X168</f>
        <v>37.064999999999998</v>
      </c>
      <c r="Y179" s="347">
        <f t="shared" si="772"/>
        <v>30.298000000000002</v>
      </c>
      <c r="Z179" s="346">
        <f t="shared" si="772"/>
        <v>67.363000000000085</v>
      </c>
      <c r="AA179" s="347">
        <f>+AA150+AA166</f>
        <v>21.080000000000062</v>
      </c>
      <c r="AB179" s="347">
        <f t="shared" si="772"/>
        <v>22.911951483198802</v>
      </c>
      <c r="AC179" s="346">
        <f t="shared" si="772"/>
        <v>43.99195148319869</v>
      </c>
      <c r="AD179" s="347">
        <f t="shared" si="772"/>
        <v>26.659236772255678</v>
      </c>
      <c r="AE179" s="347">
        <f t="shared" si="772"/>
        <v>28.396410578984337</v>
      </c>
      <c r="AF179" s="346">
        <f t="shared" si="772"/>
        <v>55.055647351240182</v>
      </c>
      <c r="AG179" s="347">
        <f t="shared" si="772"/>
        <v>35.972164137885628</v>
      </c>
      <c r="AH179" s="347">
        <f t="shared" si="772"/>
        <v>38.654905610021451</v>
      </c>
      <c r="AI179" s="346">
        <f t="shared" si="772"/>
        <v>74.6270697479072</v>
      </c>
      <c r="AJ179" s="347">
        <f t="shared" si="772"/>
        <v>58.414528434652311</v>
      </c>
      <c r="AK179" s="347">
        <f t="shared" si="772"/>
        <v>62.092590340287622</v>
      </c>
      <c r="AL179" s="346">
        <f t="shared" si="772"/>
        <v>120.50711877494004</v>
      </c>
      <c r="AM179" s="347">
        <f t="shared" si="772"/>
        <v>104.97213534525362</v>
      </c>
      <c r="AN179" s="347">
        <f t="shared" si="772"/>
        <v>110.5936328685836</v>
      </c>
      <c r="AO179" s="346">
        <f t="shared" si="772"/>
        <v>215.56576821383698</v>
      </c>
      <c r="AP179" s="347">
        <f t="shared" si="772"/>
        <v>152.52582054370797</v>
      </c>
      <c r="AQ179" s="347">
        <f t="shared" si="772"/>
        <v>167.51804424740436</v>
      </c>
      <c r="AR179" s="346">
        <f t="shared" si="772"/>
        <v>320.04386479111236</v>
      </c>
      <c r="AS179" s="347">
        <f t="shared" si="772"/>
        <v>200.00225341646504</v>
      </c>
      <c r="AT179" s="347">
        <f t="shared" si="772"/>
        <v>218.84382824635077</v>
      </c>
      <c r="AU179" s="346">
        <f t="shared" si="772"/>
        <v>418.84608166281612</v>
      </c>
      <c r="AV179" s="347">
        <f t="shared" si="772"/>
        <v>252.98195755534491</v>
      </c>
      <c r="AW179" s="347">
        <f t="shared" si="772"/>
        <v>276.02664319007823</v>
      </c>
      <c r="AX179" s="346">
        <f t="shared" si="772"/>
        <v>529.00860074542311</v>
      </c>
      <c r="AY179" s="347">
        <f t="shared" si="772"/>
        <v>307.61442729361926</v>
      </c>
      <c r="AZ179" s="347">
        <f t="shared" si="772"/>
        <v>335.69720423765307</v>
      </c>
      <c r="BA179" s="346">
        <f t="shared" si="772"/>
        <v>643.3116315312725</v>
      </c>
      <c r="BB179" s="347">
        <f t="shared" si="772"/>
        <v>365.68798718697082</v>
      </c>
      <c r="BC179" s="347">
        <f t="shared" si="772"/>
        <v>398.52604073513334</v>
      </c>
      <c r="BD179" s="346">
        <f t="shared" si="772"/>
        <v>764.2140279221037</v>
      </c>
      <c r="BE179" s="347">
        <f t="shared" si="772"/>
        <v>423.80538650065688</v>
      </c>
      <c r="BF179" s="347">
        <f t="shared" si="772"/>
        <v>461.38446090780337</v>
      </c>
      <c r="BG179" s="346">
        <f t="shared" si="772"/>
        <v>885.18984740845985</v>
      </c>
    </row>
    <row r="180" spans="1:64">
      <c r="B180" s="386" t="s">
        <v>537</v>
      </c>
      <c r="E180" s="351"/>
      <c r="F180" s="347"/>
      <c r="G180" s="347"/>
      <c r="H180" s="346"/>
      <c r="I180" s="347"/>
      <c r="J180" s="347"/>
      <c r="K180" s="346"/>
      <c r="L180" s="347"/>
      <c r="M180" s="347"/>
      <c r="N180" s="346"/>
      <c r="O180" s="347"/>
      <c r="P180" s="347"/>
      <c r="Q180" s="346"/>
      <c r="R180" s="347">
        <f t="shared" ref="R180:BG180" si="773">+SUM(R181,R182,R183)</f>
        <v>-64.313000000000002</v>
      </c>
      <c r="S180" s="347">
        <f t="shared" si="773"/>
        <v>-3.488000000000012</v>
      </c>
      <c r="T180" s="346">
        <f t="shared" si="773"/>
        <v>-67.801000000000016</v>
      </c>
      <c r="U180" s="426">
        <f t="shared" si="773"/>
        <v>33.188000000000017</v>
      </c>
      <c r="V180" s="426">
        <f t="shared" si="773"/>
        <v>31.889999999999997</v>
      </c>
      <c r="W180" s="427">
        <f t="shared" si="773"/>
        <v>65.088999999999999</v>
      </c>
      <c r="X180" s="426">
        <f t="shared" si="773"/>
        <v>57.66599999999999</v>
      </c>
      <c r="Y180" s="426">
        <f t="shared" si="773"/>
        <v>50.58799999999998</v>
      </c>
      <c r="Z180" s="427">
        <f t="shared" si="773"/>
        <v>108.254</v>
      </c>
      <c r="AA180" s="426">
        <f t="shared" ref="AA180" si="774">+SUM(AA181,AA182,AA183)</f>
        <v>47.942999999999991</v>
      </c>
      <c r="AB180" s="347">
        <f t="shared" si="773"/>
        <v>58.105514762962713</v>
      </c>
      <c r="AC180" s="346">
        <f t="shared" si="773"/>
        <v>106.0485147629626</v>
      </c>
      <c r="AD180" s="347">
        <f t="shared" si="773"/>
        <v>59.89690399255494</v>
      </c>
      <c r="AE180" s="347">
        <f t="shared" si="773"/>
        <v>63.226562984053949</v>
      </c>
      <c r="AF180" s="346">
        <f t="shared" si="773"/>
        <v>123.12346697660898</v>
      </c>
      <c r="AG180" s="347">
        <f t="shared" si="773"/>
        <v>73.798925160235086</v>
      </c>
      <c r="AH180" s="347">
        <f t="shared" si="773"/>
        <v>77.665229046548333</v>
      </c>
      <c r="AI180" s="346">
        <f t="shared" si="773"/>
        <v>151.46415420678346</v>
      </c>
      <c r="AJ180" s="347">
        <f t="shared" si="773"/>
        <v>101.18413218906068</v>
      </c>
      <c r="AK180" s="347">
        <f t="shared" si="773"/>
        <v>106.2278111331413</v>
      </c>
      <c r="AL180" s="346">
        <f t="shared" si="773"/>
        <v>207.41194332220192</v>
      </c>
      <c r="AM180" s="347">
        <f t="shared" si="773"/>
        <v>160.22602302250851</v>
      </c>
      <c r="AN180" s="347">
        <f t="shared" si="773"/>
        <v>167.70185396098179</v>
      </c>
      <c r="AO180" s="346">
        <f t="shared" si="773"/>
        <v>327.92787698349031</v>
      </c>
      <c r="AP180" s="347">
        <f t="shared" si="773"/>
        <v>214.94074134006635</v>
      </c>
      <c r="AQ180" s="347">
        <f t="shared" si="773"/>
        <v>234.26399405630997</v>
      </c>
      <c r="AR180" s="346">
        <f t="shared" si="773"/>
        <v>449.20473539637618</v>
      </c>
      <c r="AS180" s="347">
        <f t="shared" si="773"/>
        <v>269.319071659982</v>
      </c>
      <c r="AT180" s="347">
        <f t="shared" si="773"/>
        <v>293.04764393603057</v>
      </c>
      <c r="AU180" s="346">
        <f t="shared" si="773"/>
        <v>562.36671559601234</v>
      </c>
      <c r="AV180" s="347">
        <f t="shared" si="773"/>
        <v>328.7537578865539</v>
      </c>
      <c r="AW180" s="347">
        <f t="shared" si="773"/>
        <v>357.19391784700019</v>
      </c>
      <c r="AX180" s="346">
        <f t="shared" si="773"/>
        <v>685.94767573355421</v>
      </c>
      <c r="AY180" s="347">
        <f t="shared" si="773"/>
        <v>388.90274066201516</v>
      </c>
      <c r="AZ180" s="347">
        <f t="shared" si="773"/>
        <v>422.89991352486027</v>
      </c>
      <c r="BA180" s="346">
        <f t="shared" si="773"/>
        <v>811.8026541868752</v>
      </c>
      <c r="BB180" s="347">
        <f t="shared" si="773"/>
        <v>451.78244473360263</v>
      </c>
      <c r="BC180" s="347">
        <f t="shared" si="773"/>
        <v>490.92471033537998</v>
      </c>
      <c r="BD180" s="346">
        <f t="shared" si="773"/>
        <v>942.7071550689825</v>
      </c>
      <c r="BE180" s="347">
        <f t="shared" si="773"/>
        <v>513.4919406016088</v>
      </c>
      <c r="BF180" s="347">
        <f t="shared" si="773"/>
        <v>557.66502438710086</v>
      </c>
      <c r="BG180" s="346">
        <f t="shared" si="773"/>
        <v>1071.1569649887099</v>
      </c>
    </row>
    <row r="181" spans="1:64">
      <c r="A181" s="51" t="s">
        <v>108</v>
      </c>
      <c r="B181" s="350" t="s">
        <v>99</v>
      </c>
      <c r="E181" s="485"/>
      <c r="F181" s="479"/>
      <c r="G181" s="479"/>
      <c r="H181" s="485"/>
      <c r="I181" s="479"/>
      <c r="J181" s="479"/>
      <c r="K181" s="485"/>
      <c r="L181" s="479"/>
      <c r="M181" s="479"/>
      <c r="N181" s="485"/>
      <c r="O181" s="479"/>
      <c r="P181" s="479"/>
      <c r="Q181" s="485"/>
      <c r="R181" s="479">
        <f t="shared" ref="R181:BG183" si="775">+R152+R169</f>
        <v>-16.458999999999996</v>
      </c>
      <c r="S181" s="479">
        <f t="shared" si="775"/>
        <v>-20.07494195815427</v>
      </c>
      <c r="T181" s="485">
        <f t="shared" si="775"/>
        <v>-36.533941958154273</v>
      </c>
      <c r="U181" s="479">
        <f t="shared" si="775"/>
        <v>46.669000000000018</v>
      </c>
      <c r="V181" s="479">
        <f t="shared" si="775"/>
        <v>50.326000000000001</v>
      </c>
      <c r="W181" s="485">
        <f t="shared" si="775"/>
        <v>96.99499999999999</v>
      </c>
      <c r="X181" s="479">
        <f t="shared" si="775"/>
        <v>84.429999999999993</v>
      </c>
      <c r="Y181" s="479">
        <f t="shared" si="775"/>
        <v>89.479999999999976</v>
      </c>
      <c r="Z181" s="485">
        <f t="shared" si="775"/>
        <v>173.91</v>
      </c>
      <c r="AA181" s="479">
        <f t="shared" ref="AA181" si="776">+AA152+AA169</f>
        <v>104.646</v>
      </c>
      <c r="AB181" s="479">
        <f t="shared" si="775"/>
        <v>122.51988857595506</v>
      </c>
      <c r="AC181" s="485">
        <f t="shared" si="775"/>
        <v>227.16588857595494</v>
      </c>
      <c r="AD181" s="479">
        <f t="shared" si="775"/>
        <v>131.22609571195289</v>
      </c>
      <c r="AE181" s="479">
        <f t="shared" si="775"/>
        <v>140.3573055797863</v>
      </c>
      <c r="AF181" s="485">
        <f t="shared" si="775"/>
        <v>271.58340129173928</v>
      </c>
      <c r="AG181" s="479">
        <f t="shared" si="775"/>
        <v>157.98432482632975</v>
      </c>
      <c r="AH181" s="479">
        <f t="shared" si="775"/>
        <v>164.49786331235342</v>
      </c>
      <c r="AI181" s="485">
        <f t="shared" si="775"/>
        <v>322.48218813868323</v>
      </c>
      <c r="AJ181" s="479">
        <f t="shared" si="775"/>
        <v>195.2235520659714</v>
      </c>
      <c r="AK181" s="479">
        <f t="shared" si="775"/>
        <v>203.24700731024075</v>
      </c>
      <c r="AL181" s="485">
        <f t="shared" si="775"/>
        <v>398.47055937621212</v>
      </c>
      <c r="AM181" s="479">
        <f t="shared" si="775"/>
        <v>227.54304286864391</v>
      </c>
      <c r="AN181" s="479">
        <f t="shared" si="775"/>
        <v>236.87275479767681</v>
      </c>
      <c r="AO181" s="485">
        <f t="shared" si="775"/>
        <v>464.41579766632066</v>
      </c>
      <c r="AP181" s="479">
        <f t="shared" si="775"/>
        <v>250.88230673729404</v>
      </c>
      <c r="AQ181" s="479">
        <f t="shared" si="775"/>
        <v>271.94066496349478</v>
      </c>
      <c r="AR181" s="485">
        <f t="shared" si="775"/>
        <v>522.8229717007888</v>
      </c>
      <c r="AS181" s="479">
        <f t="shared" si="775"/>
        <v>278.51270324791227</v>
      </c>
      <c r="AT181" s="479">
        <f t="shared" si="775"/>
        <v>301.89035058174397</v>
      </c>
      <c r="AU181" s="485">
        <f t="shared" si="775"/>
        <v>580.40305382965607</v>
      </c>
      <c r="AV181" s="479">
        <f t="shared" si="775"/>
        <v>310.28307326417104</v>
      </c>
      <c r="AW181" s="479">
        <f t="shared" si="775"/>
        <v>336.23266472723321</v>
      </c>
      <c r="AX181" s="485">
        <f t="shared" si="775"/>
        <v>646.51573799140431</v>
      </c>
      <c r="AY181" s="479">
        <f t="shared" si="775"/>
        <v>340.86135341298069</v>
      </c>
      <c r="AZ181" s="479">
        <f t="shared" si="775"/>
        <v>369.53568731930227</v>
      </c>
      <c r="BA181" s="485">
        <f t="shared" si="775"/>
        <v>710.3970407322829</v>
      </c>
      <c r="BB181" s="479">
        <f t="shared" si="775"/>
        <v>370.22440822789935</v>
      </c>
      <c r="BC181" s="479">
        <f t="shared" si="775"/>
        <v>401.31028375122128</v>
      </c>
      <c r="BD181" s="485">
        <f t="shared" si="775"/>
        <v>771.53469197912034</v>
      </c>
      <c r="BE181" s="479">
        <f t="shared" si="775"/>
        <v>396.81660697627547</v>
      </c>
      <c r="BF181" s="479">
        <f t="shared" si="775"/>
        <v>430.08288357718953</v>
      </c>
      <c r="BG181" s="485">
        <f t="shared" si="775"/>
        <v>826.89949055346517</v>
      </c>
    </row>
    <row r="182" spans="1:64">
      <c r="A182" s="51" t="s">
        <v>125</v>
      </c>
      <c r="B182" s="350" t="s">
        <v>117</v>
      </c>
      <c r="E182" s="485"/>
      <c r="F182" s="479"/>
      <c r="G182" s="479"/>
      <c r="H182" s="485"/>
      <c r="I182" s="479"/>
      <c r="J182" s="479"/>
      <c r="K182" s="485"/>
      <c r="L182" s="479"/>
      <c r="M182" s="479"/>
      <c r="N182" s="485"/>
      <c r="O182" s="479"/>
      <c r="P182" s="479"/>
      <c r="Q182" s="485"/>
      <c r="R182" s="479">
        <f t="shared" si="775"/>
        <v>-33.001000000000005</v>
      </c>
      <c r="S182" s="479">
        <f t="shared" si="775"/>
        <v>7.1168031781536953</v>
      </c>
      <c r="T182" s="485">
        <f t="shared" si="775"/>
        <v>-25.884196821846306</v>
      </c>
      <c r="U182" s="479">
        <f t="shared" si="775"/>
        <v>-11.714</v>
      </c>
      <c r="V182" s="479">
        <f t="shared" si="775"/>
        <v>-16.388999999999999</v>
      </c>
      <c r="W182" s="485">
        <f t="shared" si="775"/>
        <v>-28.091999999999999</v>
      </c>
      <c r="X182" s="479">
        <f t="shared" si="775"/>
        <v>-20.944000000000003</v>
      </c>
      <c r="Y182" s="479">
        <f t="shared" si="775"/>
        <v>-28.953999999999997</v>
      </c>
      <c r="Z182" s="485">
        <f t="shared" si="775"/>
        <v>-49.898000000000003</v>
      </c>
      <c r="AA182" s="479">
        <f t="shared" ref="AA182" si="777">+AA153+AA170</f>
        <v>-44.040999999999997</v>
      </c>
      <c r="AB182" s="479">
        <f t="shared" si="775"/>
        <v>-46.978697045568346</v>
      </c>
      <c r="AC182" s="485">
        <f t="shared" si="775"/>
        <v>-91.019697045568336</v>
      </c>
      <c r="AD182" s="479">
        <f t="shared" si="775"/>
        <v>-51.32993189784677</v>
      </c>
      <c r="AE182" s="479">
        <f t="shared" si="775"/>
        <v>-56.32993189784677</v>
      </c>
      <c r="AF182" s="485">
        <f t="shared" si="775"/>
        <v>-107.65986379569354</v>
      </c>
      <c r="AG182" s="479">
        <f t="shared" si="775"/>
        <v>-61.712814264811499</v>
      </c>
      <c r="AH182" s="479">
        <f t="shared" si="775"/>
        <v>-63.764322449385887</v>
      </c>
      <c r="AI182" s="485">
        <f t="shared" si="775"/>
        <v>-125.4771367141974</v>
      </c>
      <c r="AJ182" s="479">
        <f t="shared" si="775"/>
        <v>-71.245352854730498</v>
      </c>
      <c r="AK182" s="479">
        <f t="shared" si="775"/>
        <v>-73.612422310336797</v>
      </c>
      <c r="AL182" s="485">
        <f t="shared" si="775"/>
        <v>-144.8577751650673</v>
      </c>
      <c r="AM182" s="479">
        <f t="shared" si="775"/>
        <v>-44.156313189390502</v>
      </c>
      <c r="AN182" s="479">
        <f t="shared" si="775"/>
        <v>-45.359941262373297</v>
      </c>
      <c r="AO182" s="485">
        <f t="shared" si="775"/>
        <v>-89.516254451763757</v>
      </c>
      <c r="AP182" s="479">
        <f t="shared" si="775"/>
        <v>-13.270772097555806</v>
      </c>
      <c r="AQ182" s="479">
        <f t="shared" si="775"/>
        <v>-13.646830572541148</v>
      </c>
      <c r="AR182" s="485">
        <f t="shared" si="775"/>
        <v>-26.91760267009704</v>
      </c>
      <c r="AS182" s="479">
        <f t="shared" si="775"/>
        <v>13.571143985514738</v>
      </c>
      <c r="AT182" s="479">
        <f t="shared" si="775"/>
        <v>15.364431316841973</v>
      </c>
      <c r="AU182" s="485">
        <f t="shared" si="775"/>
        <v>28.93557530235671</v>
      </c>
      <c r="AV182" s="479">
        <f t="shared" si="775"/>
        <v>40.847939858842835</v>
      </c>
      <c r="AW182" s="479">
        <f t="shared" si="775"/>
        <v>44.829257929183228</v>
      </c>
      <c r="AX182" s="485">
        <f t="shared" si="775"/>
        <v>85.677197788026149</v>
      </c>
      <c r="AY182" s="479">
        <f t="shared" si="775"/>
        <v>69.436177255498023</v>
      </c>
      <c r="AZ182" s="479">
        <f t="shared" si="775"/>
        <v>76.280380823752694</v>
      </c>
      <c r="BA182" s="485">
        <f t="shared" si="775"/>
        <v>145.7165580792506</v>
      </c>
      <c r="BB182" s="479">
        <f t="shared" si="775"/>
        <v>101.47042191262841</v>
      </c>
      <c r="BC182" s="479">
        <f t="shared" si="775"/>
        <v>111.02671012287993</v>
      </c>
      <c r="BD182" s="485">
        <f t="shared" si="775"/>
        <v>212.49713203550846</v>
      </c>
      <c r="BE182" s="479">
        <f t="shared" si="775"/>
        <v>134.52272085024237</v>
      </c>
      <c r="BF182" s="479">
        <f t="shared" si="775"/>
        <v>146.86922008242561</v>
      </c>
      <c r="BG182" s="485">
        <f t="shared" si="775"/>
        <v>281.39194093266792</v>
      </c>
    </row>
    <row r="183" spans="1:64">
      <c r="A183" s="51" t="s">
        <v>143</v>
      </c>
      <c r="B183" s="350" t="s">
        <v>138</v>
      </c>
      <c r="E183" s="485"/>
      <c r="F183" s="479"/>
      <c r="G183" s="479"/>
      <c r="H183" s="485"/>
      <c r="I183" s="479"/>
      <c r="J183" s="479"/>
      <c r="K183" s="485"/>
      <c r="L183" s="479"/>
      <c r="M183" s="479"/>
      <c r="N183" s="485"/>
      <c r="O183" s="479"/>
      <c r="P183" s="479"/>
      <c r="Q183" s="485"/>
      <c r="R183" s="479">
        <f t="shared" si="775"/>
        <v>-14.852999999999998</v>
      </c>
      <c r="S183" s="479">
        <f t="shared" si="775"/>
        <v>9.4701387800005623</v>
      </c>
      <c r="T183" s="485">
        <f t="shared" si="775"/>
        <v>-5.3828612199994375</v>
      </c>
      <c r="U183" s="479">
        <f t="shared" si="775"/>
        <v>-1.7669999999999999</v>
      </c>
      <c r="V183" s="479">
        <f t="shared" si="775"/>
        <v>-2.0470000000000002</v>
      </c>
      <c r="W183" s="485">
        <f t="shared" si="775"/>
        <v>-3.8139999999999992</v>
      </c>
      <c r="X183" s="479">
        <f t="shared" si="775"/>
        <v>-5.8199999999999994</v>
      </c>
      <c r="Y183" s="479">
        <f t="shared" si="775"/>
        <v>-9.9379999999999988</v>
      </c>
      <c r="Z183" s="485">
        <f>+Z154+Z171</f>
        <v>-15.758000000000001</v>
      </c>
      <c r="AA183" s="479">
        <f t="shared" ref="AA183" si="778">+AA154+AA171</f>
        <v>-12.662000000000013</v>
      </c>
      <c r="AB183" s="479">
        <f t="shared" si="775"/>
        <v>-17.43567676742401</v>
      </c>
      <c r="AC183" s="485">
        <f>+AC154+AC171</f>
        <v>-30.097676767424009</v>
      </c>
      <c r="AD183" s="479">
        <f t="shared" si="775"/>
        <v>-19.999259821551192</v>
      </c>
      <c r="AE183" s="479">
        <f t="shared" si="775"/>
        <v>-20.800810697885588</v>
      </c>
      <c r="AF183" s="485">
        <f t="shared" si="775"/>
        <v>-40.800070519436773</v>
      </c>
      <c r="AG183" s="479">
        <f t="shared" si="775"/>
        <v>-22.472585401283176</v>
      </c>
      <c r="AH183" s="479">
        <f t="shared" si="775"/>
        <v>-23.068311816419193</v>
      </c>
      <c r="AI183" s="485">
        <f t="shared" si="775"/>
        <v>-45.540897217702373</v>
      </c>
      <c r="AJ183" s="479">
        <f t="shared" si="775"/>
        <v>-22.794067022180222</v>
      </c>
      <c r="AK183" s="479">
        <f t="shared" si="775"/>
        <v>-23.406773866762649</v>
      </c>
      <c r="AL183" s="485">
        <f t="shared" si="775"/>
        <v>-46.200840888942899</v>
      </c>
      <c r="AM183" s="479">
        <f t="shared" si="775"/>
        <v>-23.160706656744875</v>
      </c>
      <c r="AN183" s="479">
        <f t="shared" si="775"/>
        <v>-23.810959574321728</v>
      </c>
      <c r="AO183" s="485">
        <f t="shared" si="775"/>
        <v>-46.9716662310666</v>
      </c>
      <c r="AP183" s="479">
        <f t="shared" si="775"/>
        <v>-22.670793299671896</v>
      </c>
      <c r="AQ183" s="479">
        <f t="shared" si="775"/>
        <v>-24.029840334643662</v>
      </c>
      <c r="AR183" s="485">
        <f t="shared" si="775"/>
        <v>-46.700633634315587</v>
      </c>
      <c r="AS183" s="479">
        <f t="shared" si="775"/>
        <v>-22.764775573445036</v>
      </c>
      <c r="AT183" s="479">
        <f t="shared" si="775"/>
        <v>-24.207137962555425</v>
      </c>
      <c r="AU183" s="485">
        <f t="shared" si="775"/>
        <v>-46.971913536000457</v>
      </c>
      <c r="AV183" s="479">
        <f t="shared" si="775"/>
        <v>-22.377255236459945</v>
      </c>
      <c r="AW183" s="479">
        <f t="shared" si="775"/>
        <v>-23.868004809416213</v>
      </c>
      <c r="AX183" s="485">
        <f t="shared" si="775"/>
        <v>-46.245260045876151</v>
      </c>
      <c r="AY183" s="479">
        <f t="shared" si="775"/>
        <v>-21.394790006463559</v>
      </c>
      <c r="AZ183" s="479">
        <f t="shared" si="775"/>
        <v>-22.91615461819471</v>
      </c>
      <c r="BA183" s="485">
        <f t="shared" si="775"/>
        <v>-44.310944624658269</v>
      </c>
      <c r="BB183" s="479">
        <f t="shared" si="775"/>
        <v>-19.912385406925118</v>
      </c>
      <c r="BC183" s="479">
        <f t="shared" si="775"/>
        <v>-21.412283538721166</v>
      </c>
      <c r="BD183" s="485">
        <f t="shared" si="775"/>
        <v>-41.32466894564628</v>
      </c>
      <c r="BE183" s="479">
        <f t="shared" si="775"/>
        <v>-17.847387224908939</v>
      </c>
      <c r="BF183" s="479">
        <f t="shared" si="775"/>
        <v>-19.287079272514358</v>
      </c>
      <c r="BG183" s="485">
        <f t="shared" si="775"/>
        <v>-37.134466497423297</v>
      </c>
    </row>
    <row r="184" spans="1:64">
      <c r="B184" s="52"/>
      <c r="E184" s="346"/>
      <c r="F184" s="391"/>
      <c r="G184" s="391"/>
      <c r="H184" s="390"/>
      <c r="I184" s="391"/>
      <c r="J184" s="391"/>
      <c r="K184" s="390"/>
      <c r="L184" s="391"/>
      <c r="M184" s="391"/>
      <c r="N184" s="390"/>
      <c r="O184" s="391"/>
      <c r="P184" s="391"/>
      <c r="Q184" s="390"/>
      <c r="R184" s="391">
        <f t="shared" ref="R184:S184" si="779">+R180-SUM(R181:R183)</f>
        <v>0</v>
      </c>
      <c r="S184" s="391">
        <f t="shared" si="779"/>
        <v>0</v>
      </c>
      <c r="T184" s="390">
        <f>+T180-SUM(T181:T183)</f>
        <v>0</v>
      </c>
      <c r="U184" s="391">
        <f t="shared" ref="U184:BG184" si="780">+U180-SUM(U181:U183)</f>
        <v>0</v>
      </c>
      <c r="V184" s="391">
        <f t="shared" si="780"/>
        <v>0</v>
      </c>
      <c r="W184" s="390">
        <f t="shared" si="780"/>
        <v>0</v>
      </c>
      <c r="X184" s="391">
        <f t="shared" si="780"/>
        <v>0</v>
      </c>
      <c r="Y184" s="391">
        <f t="shared" si="780"/>
        <v>0</v>
      </c>
      <c r="Z184" s="390">
        <f t="shared" si="780"/>
        <v>0</v>
      </c>
      <c r="AA184" s="391">
        <f t="shared" ref="AA184" si="781">+AA180-SUM(AA181:AA183)</f>
        <v>0</v>
      </c>
      <c r="AB184" s="391">
        <f t="shared" si="780"/>
        <v>0</v>
      </c>
      <c r="AC184" s="390">
        <f t="shared" si="780"/>
        <v>0</v>
      </c>
      <c r="AD184" s="391">
        <f t="shared" si="780"/>
        <v>0</v>
      </c>
      <c r="AE184" s="391">
        <f t="shared" si="780"/>
        <v>0</v>
      </c>
      <c r="AF184" s="390">
        <f t="shared" si="780"/>
        <v>0</v>
      </c>
      <c r="AG184" s="391">
        <f t="shared" si="780"/>
        <v>0</v>
      </c>
      <c r="AH184" s="391">
        <f t="shared" si="780"/>
        <v>0</v>
      </c>
      <c r="AI184" s="390">
        <f t="shared" si="780"/>
        <v>0</v>
      </c>
      <c r="AJ184" s="391">
        <f t="shared" si="780"/>
        <v>0</v>
      </c>
      <c r="AK184" s="391">
        <f t="shared" si="780"/>
        <v>0</v>
      </c>
      <c r="AL184" s="390">
        <f t="shared" si="780"/>
        <v>0</v>
      </c>
      <c r="AM184" s="391">
        <f t="shared" si="780"/>
        <v>0</v>
      </c>
      <c r="AN184" s="391">
        <f t="shared" si="780"/>
        <v>0</v>
      </c>
      <c r="AO184" s="390">
        <f t="shared" si="780"/>
        <v>0</v>
      </c>
      <c r="AP184" s="391">
        <f t="shared" si="780"/>
        <v>0</v>
      </c>
      <c r="AQ184" s="391">
        <f t="shared" si="780"/>
        <v>0</v>
      </c>
      <c r="AR184" s="390">
        <f t="shared" si="780"/>
        <v>0</v>
      </c>
      <c r="AS184" s="391">
        <f t="shared" si="780"/>
        <v>0</v>
      </c>
      <c r="AT184" s="391">
        <f t="shared" si="780"/>
        <v>0</v>
      </c>
      <c r="AU184" s="390">
        <f t="shared" si="780"/>
        <v>0</v>
      </c>
      <c r="AV184" s="391">
        <f t="shared" si="780"/>
        <v>0</v>
      </c>
      <c r="AW184" s="391">
        <f t="shared" si="780"/>
        <v>0</v>
      </c>
      <c r="AX184" s="390">
        <f t="shared" si="780"/>
        <v>0</v>
      </c>
      <c r="AY184" s="391">
        <f t="shared" si="780"/>
        <v>0</v>
      </c>
      <c r="AZ184" s="391">
        <f t="shared" si="780"/>
        <v>0</v>
      </c>
      <c r="BA184" s="390">
        <f t="shared" si="780"/>
        <v>0</v>
      </c>
      <c r="BB184" s="391">
        <f t="shared" si="780"/>
        <v>0</v>
      </c>
      <c r="BC184" s="391">
        <f t="shared" si="780"/>
        <v>0</v>
      </c>
      <c r="BD184" s="390">
        <f t="shared" si="780"/>
        <v>0</v>
      </c>
      <c r="BE184" s="391">
        <f t="shared" si="780"/>
        <v>0</v>
      </c>
      <c r="BF184" s="391">
        <f t="shared" si="780"/>
        <v>0</v>
      </c>
      <c r="BG184" s="390">
        <f t="shared" si="780"/>
        <v>0</v>
      </c>
    </row>
    <row r="185" spans="1:64">
      <c r="B185" s="52" t="s">
        <v>488</v>
      </c>
      <c r="E185" s="346"/>
      <c r="F185" s="347"/>
      <c r="G185" s="347"/>
      <c r="H185" s="346"/>
      <c r="I185" s="347"/>
      <c r="J185" s="347"/>
      <c r="K185" s="346"/>
      <c r="L185" s="347"/>
      <c r="M185" s="347"/>
      <c r="N185" s="346"/>
      <c r="O185" s="347"/>
      <c r="P185" s="347"/>
      <c r="Q185" s="346"/>
      <c r="R185" s="347"/>
      <c r="S185" s="347"/>
      <c r="T185" s="346"/>
      <c r="U185" s="347"/>
      <c r="V185" s="347"/>
      <c r="W185" s="346"/>
      <c r="X185" s="347"/>
      <c r="Y185" s="347"/>
      <c r="Z185" s="346"/>
      <c r="AA185" s="347"/>
      <c r="AB185" s="347"/>
      <c r="AC185" s="346"/>
      <c r="AD185" s="347"/>
      <c r="AE185" s="347"/>
      <c r="AF185" s="346"/>
      <c r="AG185" s="347"/>
      <c r="AH185" s="347"/>
      <c r="AI185" s="346"/>
      <c r="AJ185" s="347"/>
      <c r="AK185" s="347"/>
      <c r="AL185" s="346"/>
      <c r="AM185" s="347"/>
      <c r="AN185" s="347"/>
      <c r="AO185" s="346"/>
      <c r="AP185" s="347"/>
      <c r="AQ185" s="347"/>
      <c r="AR185" s="346"/>
      <c r="AS185" s="347"/>
      <c r="AT185" s="347"/>
      <c r="AU185" s="346"/>
      <c r="AV185" s="347"/>
      <c r="AW185" s="347"/>
      <c r="AX185" s="346"/>
      <c r="AY185" s="347"/>
      <c r="AZ185" s="347"/>
      <c r="BA185" s="346"/>
      <c r="BB185" s="347"/>
      <c r="BC185" s="347"/>
      <c r="BD185" s="346"/>
      <c r="BE185" s="347"/>
      <c r="BF185" s="347"/>
      <c r="BG185" s="346"/>
    </row>
    <row r="186" spans="1:64">
      <c r="B186" s="52" t="s">
        <v>463</v>
      </c>
      <c r="E186" s="346"/>
      <c r="F186" s="347"/>
      <c r="G186" s="347"/>
      <c r="H186" s="346"/>
      <c r="I186" s="347"/>
      <c r="J186" s="347"/>
      <c r="K186" s="346"/>
      <c r="L186" s="347"/>
      <c r="M186" s="347"/>
      <c r="N186" s="346"/>
      <c r="O186" s="347"/>
      <c r="P186" s="347"/>
      <c r="Q186" s="346"/>
      <c r="R186" s="347"/>
      <c r="S186" s="347"/>
      <c r="T186" s="351"/>
      <c r="U186" s="406">
        <f t="shared" ref="U186:BG187" si="782">IFERROR(U179/U$17,"NA")</f>
        <v>0.15794143148074727</v>
      </c>
      <c r="V186" s="406">
        <f t="shared" si="782"/>
        <v>8.6039251879801243E-2</v>
      </c>
      <c r="W186" s="405">
        <f t="shared" si="782"/>
        <v>0.11820000120128042</v>
      </c>
      <c r="X186" s="406">
        <f t="shared" si="782"/>
        <v>0.15468822382945691</v>
      </c>
      <c r="Y186" s="406">
        <f t="shared" si="782"/>
        <v>0.10940275872030043</v>
      </c>
      <c r="Z186" s="405">
        <f t="shared" si="782"/>
        <v>0.13040919483264979</v>
      </c>
      <c r="AA186" s="406">
        <f t="shared" ref="AA186" si="783">IFERROR(AA179/AA$17,"NA")</f>
        <v>5.4001572911089687E-2</v>
      </c>
      <c r="AB186" s="406">
        <f t="shared" si="782"/>
        <v>5.5337274620092455E-2</v>
      </c>
      <c r="AC186" s="405">
        <f t="shared" si="782"/>
        <v>5.4689086422077315E-2</v>
      </c>
      <c r="AD186" s="406">
        <f t="shared" si="782"/>
        <v>6.0155929255409836E-2</v>
      </c>
      <c r="AE186" s="406">
        <f t="shared" si="782"/>
        <v>6.1146180718802706E-2</v>
      </c>
      <c r="AF186" s="405">
        <f t="shared" si="782"/>
        <v>6.0662638733973394E-2</v>
      </c>
      <c r="AG186" s="406">
        <f t="shared" si="782"/>
        <v>7.1322847566763548E-2</v>
      </c>
      <c r="AH186" s="406">
        <f t="shared" si="782"/>
        <v>7.4316685055654905E-2</v>
      </c>
      <c r="AI186" s="405">
        <f t="shared" si="782"/>
        <v>7.2842824145528284E-2</v>
      </c>
      <c r="AJ186" s="406">
        <f t="shared" si="782"/>
        <v>0.10243465564366724</v>
      </c>
      <c r="AK186" s="406">
        <f t="shared" si="782"/>
        <v>0.10551537279894203</v>
      </c>
      <c r="AL186" s="405">
        <f t="shared" si="782"/>
        <v>0.10399921932073271</v>
      </c>
      <c r="AM186" s="406">
        <f t="shared" si="782"/>
        <v>0.14248608526662732</v>
      </c>
      <c r="AN186" s="406">
        <f t="shared" si="782"/>
        <v>0.14524217891017227</v>
      </c>
      <c r="AO186" s="405">
        <f t="shared" si="782"/>
        <v>0.14388687425920105</v>
      </c>
      <c r="AP186" s="406">
        <f t="shared" si="782"/>
        <v>0.17717112908783852</v>
      </c>
      <c r="AQ186" s="406">
        <f t="shared" si="782"/>
        <v>0.18195947833101825</v>
      </c>
      <c r="AR186" s="405">
        <f t="shared" si="782"/>
        <v>0.17964558529702238</v>
      </c>
      <c r="AS186" s="406">
        <f t="shared" si="782"/>
        <v>0.2019734617646273</v>
      </c>
      <c r="AT186" s="406">
        <f t="shared" si="782"/>
        <v>0.20644582539136383</v>
      </c>
      <c r="AU186" s="405">
        <f t="shared" si="782"/>
        <v>0.20428578743628001</v>
      </c>
      <c r="AV186" s="406">
        <f t="shared" si="782"/>
        <v>0.2253646087375909</v>
      </c>
      <c r="AW186" s="406">
        <f t="shared" si="782"/>
        <v>0.22954815834439687</v>
      </c>
      <c r="AX186" s="405">
        <f t="shared" si="782"/>
        <v>0.2275282975448695</v>
      </c>
      <c r="AY186" s="406">
        <f t="shared" si="782"/>
        <v>0.24597555227242648</v>
      </c>
      <c r="AZ186" s="406">
        <f t="shared" si="782"/>
        <v>0.25022523329614632</v>
      </c>
      <c r="BA186" s="405">
        <f t="shared" si="782"/>
        <v>0.24817497923912185</v>
      </c>
      <c r="BB186" s="406">
        <f t="shared" si="782"/>
        <v>0.26547004128350893</v>
      </c>
      <c r="BC186" s="406">
        <f t="shared" si="782"/>
        <v>0.269569655642307</v>
      </c>
      <c r="BD186" s="405">
        <f t="shared" si="782"/>
        <v>0.26759224575536672</v>
      </c>
      <c r="BE186" s="406">
        <f t="shared" si="782"/>
        <v>0.28352436376825241</v>
      </c>
      <c r="BF186" s="406">
        <f t="shared" si="782"/>
        <v>0.28752498587547864</v>
      </c>
      <c r="BG186" s="405">
        <f t="shared" si="782"/>
        <v>0.28559560171484927</v>
      </c>
    </row>
    <row r="187" spans="1:64">
      <c r="B187" s="386" t="s">
        <v>537</v>
      </c>
      <c r="E187" s="346"/>
      <c r="F187" s="347"/>
      <c r="G187" s="347"/>
      <c r="H187" s="346"/>
      <c r="I187" s="347"/>
      <c r="J187" s="347"/>
      <c r="K187" s="346"/>
      <c r="L187" s="347"/>
      <c r="M187" s="347"/>
      <c r="N187" s="346"/>
      <c r="O187" s="347"/>
      <c r="P187" s="347"/>
      <c r="Q187" s="346"/>
      <c r="R187" s="347"/>
      <c r="S187" s="347"/>
      <c r="T187" s="351"/>
      <c r="U187" s="406">
        <f t="shared" si="782"/>
        <v>0.2230631187702897</v>
      </c>
      <c r="V187" s="406">
        <f t="shared" si="782"/>
        <v>0.17313173538912566</v>
      </c>
      <c r="W187" s="405">
        <f t="shared" si="782"/>
        <v>0.19547537675161725</v>
      </c>
      <c r="X187" s="406">
        <f t="shared" si="782"/>
        <v>0.24066507798056014</v>
      </c>
      <c r="Y187" s="406">
        <f t="shared" si="782"/>
        <v>0.18266772586119731</v>
      </c>
      <c r="Z187" s="405">
        <f t="shared" si="782"/>
        <v>0.20957078778281329</v>
      </c>
      <c r="AA187" s="406">
        <f t="shared" ref="AA187" si="784">IFERROR(AA180/AA$17,"NA")</f>
        <v>0.12281771395049169</v>
      </c>
      <c r="AB187" s="406">
        <f t="shared" si="782"/>
        <v>0.14033727462009243</v>
      </c>
      <c r="AC187" s="405">
        <f t="shared" si="782"/>
        <v>0.13183539700482738</v>
      </c>
      <c r="AD187" s="406">
        <f t="shared" si="782"/>
        <v>0.13515592925540987</v>
      </c>
      <c r="AE187" s="406">
        <f t="shared" si="782"/>
        <v>0.13614618071880277</v>
      </c>
      <c r="AF187" s="405">
        <f t="shared" si="782"/>
        <v>0.13566263873397336</v>
      </c>
      <c r="AG187" s="406">
        <f t="shared" si="782"/>
        <v>0.14632284756676359</v>
      </c>
      <c r="AH187" s="406">
        <f t="shared" si="782"/>
        <v>0.14931668505565474</v>
      </c>
      <c r="AI187" s="405">
        <f t="shared" si="782"/>
        <v>0.1478428241455281</v>
      </c>
      <c r="AJ187" s="406">
        <f t="shared" si="782"/>
        <v>0.17743465564366714</v>
      </c>
      <c r="AK187" s="406">
        <f t="shared" si="782"/>
        <v>0.18051537279894209</v>
      </c>
      <c r="AL187" s="405">
        <f t="shared" si="782"/>
        <v>0.17899921932073254</v>
      </c>
      <c r="AM187" s="406">
        <f t="shared" si="782"/>
        <v>0.21748608526662699</v>
      </c>
      <c r="AN187" s="406">
        <f t="shared" si="782"/>
        <v>0.22024217891017228</v>
      </c>
      <c r="AO187" s="405">
        <f t="shared" si="782"/>
        <v>0.21888687425920106</v>
      </c>
      <c r="AP187" s="406">
        <f t="shared" si="782"/>
        <v>0.24967112908783853</v>
      </c>
      <c r="AQ187" s="406">
        <f t="shared" si="782"/>
        <v>0.25445947833101812</v>
      </c>
      <c r="AR187" s="405">
        <f t="shared" si="782"/>
        <v>0.25214558529702219</v>
      </c>
      <c r="AS187" s="406">
        <f t="shared" si="782"/>
        <v>0.2719734617646275</v>
      </c>
      <c r="AT187" s="406">
        <f t="shared" si="782"/>
        <v>0.27644582539136398</v>
      </c>
      <c r="AU187" s="405">
        <f t="shared" si="782"/>
        <v>0.2742857874362799</v>
      </c>
      <c r="AV187" s="406">
        <f t="shared" si="782"/>
        <v>0.2928646087375909</v>
      </c>
      <c r="AW187" s="406">
        <f t="shared" si="782"/>
        <v>0.29704815834439685</v>
      </c>
      <c r="AX187" s="405">
        <f t="shared" si="782"/>
        <v>0.29502829754486953</v>
      </c>
      <c r="AY187" s="406">
        <f t="shared" si="782"/>
        <v>0.31097555227242651</v>
      </c>
      <c r="AZ187" s="406">
        <f t="shared" si="782"/>
        <v>0.31522523329614627</v>
      </c>
      <c r="BA187" s="405">
        <f t="shared" si="782"/>
        <v>0.31317497923912169</v>
      </c>
      <c r="BB187" s="406">
        <f t="shared" si="782"/>
        <v>0.32797004128350893</v>
      </c>
      <c r="BC187" s="406">
        <f t="shared" si="782"/>
        <v>0.33206965564230684</v>
      </c>
      <c r="BD187" s="405">
        <f t="shared" si="782"/>
        <v>0.33009224575536678</v>
      </c>
      <c r="BE187" s="406">
        <f t="shared" si="782"/>
        <v>0.34352436376825224</v>
      </c>
      <c r="BF187" s="406">
        <f t="shared" si="782"/>
        <v>0.34752498587547853</v>
      </c>
      <c r="BG187" s="405">
        <f t="shared" si="782"/>
        <v>0.34559560171484932</v>
      </c>
    </row>
    <row r="188" spans="1:64">
      <c r="B188" s="350" t="s">
        <v>99</v>
      </c>
      <c r="E188" s="346"/>
      <c r="F188" s="347"/>
      <c r="G188" s="347"/>
      <c r="H188" s="346"/>
      <c r="I188" s="347"/>
      <c r="J188" s="347"/>
      <c r="K188" s="346"/>
      <c r="L188" s="347"/>
      <c r="M188" s="347"/>
      <c r="N188" s="346"/>
      <c r="O188" s="347"/>
      <c r="P188" s="347"/>
      <c r="Q188" s="346"/>
      <c r="R188" s="347"/>
      <c r="S188" s="347"/>
      <c r="T188" s="346"/>
      <c r="U188" s="352">
        <f t="shared" ref="U188:BG188" si="785">U181/U$19</f>
        <v>0.31696085955487346</v>
      </c>
      <c r="V188" s="352">
        <f t="shared" si="785"/>
        <v>0.27656815009397362</v>
      </c>
      <c r="W188" s="351">
        <f t="shared" si="785"/>
        <v>0.29463404261782172</v>
      </c>
      <c r="X188" s="352">
        <f t="shared" si="785"/>
        <v>0.35738322504179981</v>
      </c>
      <c r="Y188" s="352">
        <f t="shared" si="785"/>
        <v>0.32865280996683349</v>
      </c>
      <c r="Z188" s="351">
        <f t="shared" si="785"/>
        <v>0.34200051916587348</v>
      </c>
      <c r="AA188" s="352">
        <f t="shared" ref="AA188" si="786">AA181/AA$19</f>
        <v>0.34216489283437151</v>
      </c>
      <c r="AB188" s="352">
        <f t="shared" si="785"/>
        <v>0.38644696642423049</v>
      </c>
      <c r="AC188" s="351">
        <f t="shared" si="785"/>
        <v>0.36470429540673427</v>
      </c>
      <c r="AD188" s="352">
        <f t="shared" si="785"/>
        <v>0.38429882529605236</v>
      </c>
      <c r="AE188" s="352">
        <f t="shared" si="785"/>
        <v>0.38697689334596508</v>
      </c>
      <c r="AF188" s="351">
        <f t="shared" si="785"/>
        <v>0.38567823572699839</v>
      </c>
      <c r="AG188" s="352">
        <f t="shared" si="785"/>
        <v>0.39737305163396447</v>
      </c>
      <c r="AH188" s="352">
        <f t="shared" si="785"/>
        <v>0.39796010737002296</v>
      </c>
      <c r="AI188" s="351">
        <f t="shared" si="785"/>
        <v>0.39767229164197693</v>
      </c>
      <c r="AJ188" s="352">
        <f t="shared" si="785"/>
        <v>0.42612471056611156</v>
      </c>
      <c r="AK188" s="352">
        <f t="shared" si="785"/>
        <v>0.42667993747564176</v>
      </c>
      <c r="AL188" s="351">
        <f t="shared" si="785"/>
        <v>0.42640773327025705</v>
      </c>
      <c r="AM188" s="352">
        <f t="shared" si="785"/>
        <v>0.42406220130587197</v>
      </c>
      <c r="AN188" s="352">
        <f t="shared" si="785"/>
        <v>0.42454861955247247</v>
      </c>
      <c r="AO188" s="351">
        <f t="shared" si="785"/>
        <v>0.4243101569389825</v>
      </c>
      <c r="AP188" s="352">
        <f t="shared" si="785"/>
        <v>0.42394003235853128</v>
      </c>
      <c r="AQ188" s="352">
        <f t="shared" si="785"/>
        <v>0.4248516691950473</v>
      </c>
      <c r="AR188" s="351">
        <f t="shared" si="785"/>
        <v>0.42441372151905238</v>
      </c>
      <c r="AS188" s="352">
        <f t="shared" si="785"/>
        <v>0.42266162916327799</v>
      </c>
      <c r="AT188" s="352">
        <f t="shared" si="785"/>
        <v>0.42356610515159804</v>
      </c>
      <c r="AU188" s="351">
        <f t="shared" si="785"/>
        <v>0.42313159993085941</v>
      </c>
      <c r="AV188" s="352">
        <f t="shared" si="785"/>
        <v>0.4289195130728401</v>
      </c>
      <c r="AW188" s="352">
        <f t="shared" si="785"/>
        <v>0.42975161648006949</v>
      </c>
      <c r="AX188" s="351">
        <f t="shared" si="785"/>
        <v>0.42935186154922345</v>
      </c>
      <c r="AY188" s="352">
        <f t="shared" si="785"/>
        <v>0.43524114023196525</v>
      </c>
      <c r="AZ188" s="352">
        <f t="shared" si="785"/>
        <v>0.43608762622226677</v>
      </c>
      <c r="BA188" s="351">
        <f t="shared" si="785"/>
        <v>0.43568105640662969</v>
      </c>
      <c r="BB188" s="352">
        <f t="shared" si="785"/>
        <v>0.44169796256456045</v>
      </c>
      <c r="BC188" s="352">
        <f t="shared" si="785"/>
        <v>0.44250806889689392</v>
      </c>
      <c r="BD188" s="351">
        <f t="shared" si="785"/>
        <v>0.44211896519328664</v>
      </c>
      <c r="BE188" s="352">
        <f t="shared" si="785"/>
        <v>0.44837829077391017</v>
      </c>
      <c r="BF188" s="352">
        <f t="shared" si="785"/>
        <v>0.44916429589899676</v>
      </c>
      <c r="BG188" s="351">
        <f t="shared" si="785"/>
        <v>0.44878676026257924</v>
      </c>
    </row>
    <row r="189" spans="1:64">
      <c r="B189" s="52"/>
      <c r="E189" s="346"/>
      <c r="F189" s="347"/>
      <c r="G189" s="347"/>
      <c r="H189" s="346"/>
      <c r="I189" s="347"/>
      <c r="J189" s="347"/>
      <c r="K189" s="346"/>
      <c r="L189" s="347"/>
      <c r="M189" s="347"/>
      <c r="N189" s="346"/>
      <c r="O189" s="347"/>
      <c r="P189" s="347"/>
      <c r="Q189" s="346"/>
      <c r="R189" s="347"/>
      <c r="S189" s="347"/>
      <c r="T189" s="346"/>
      <c r="U189" s="347"/>
      <c r="V189" s="347"/>
      <c r="W189" s="346"/>
      <c r="X189" s="347"/>
      <c r="Y189" s="347"/>
      <c r="Z189" s="346"/>
      <c r="AA189" s="347"/>
      <c r="AB189" s="347"/>
      <c r="AC189" s="346"/>
      <c r="AD189" s="347"/>
      <c r="AE189" s="347"/>
      <c r="AF189" s="346"/>
      <c r="AG189" s="347"/>
      <c r="AH189" s="347"/>
      <c r="AI189" s="346"/>
      <c r="AJ189" s="347"/>
      <c r="AK189" s="347"/>
      <c r="AL189" s="346"/>
      <c r="AM189" s="347"/>
      <c r="AN189" s="347"/>
      <c r="AO189" s="346"/>
      <c r="AP189" s="347"/>
      <c r="AQ189" s="347"/>
      <c r="AR189" s="346"/>
      <c r="AS189" s="347"/>
      <c r="AT189" s="347"/>
      <c r="AU189" s="346"/>
      <c r="AV189" s="347"/>
      <c r="AW189" s="347"/>
      <c r="AX189" s="346"/>
      <c r="AY189" s="347"/>
      <c r="AZ189" s="347"/>
      <c r="BA189" s="346"/>
      <c r="BB189" s="347"/>
      <c r="BC189" s="347"/>
      <c r="BD189" s="346"/>
      <c r="BE189" s="347"/>
      <c r="BF189" s="347"/>
      <c r="BG189" s="346"/>
    </row>
    <row r="190" spans="1:64">
      <c r="B190" s="428" t="s">
        <v>463</v>
      </c>
      <c r="C190" s="429"/>
      <c r="D190" s="429"/>
      <c r="E190" s="430" t="str">
        <f t="shared" ref="E190:BG190" si="787">E$2</f>
        <v>2017</v>
      </c>
      <c r="F190" s="431" t="str">
        <f t="shared" si="787"/>
        <v>1H18</v>
      </c>
      <c r="G190" s="431" t="str">
        <f t="shared" si="787"/>
        <v>2H18</v>
      </c>
      <c r="H190" s="430" t="str">
        <f t="shared" si="787"/>
        <v>2018</v>
      </c>
      <c r="I190" s="431" t="str">
        <f t="shared" si="787"/>
        <v>1H19</v>
      </c>
      <c r="J190" s="431" t="str">
        <f t="shared" si="787"/>
        <v>2H19</v>
      </c>
      <c r="K190" s="430" t="str">
        <f t="shared" si="787"/>
        <v>2019</v>
      </c>
      <c r="L190" s="431" t="str">
        <f t="shared" si="787"/>
        <v>1H20</v>
      </c>
      <c r="M190" s="431" t="str">
        <f t="shared" si="787"/>
        <v>2H20E</v>
      </c>
      <c r="N190" s="430" t="str">
        <f t="shared" si="787"/>
        <v>2020E</v>
      </c>
      <c r="O190" s="431" t="str">
        <f t="shared" si="787"/>
        <v>1H21</v>
      </c>
      <c r="P190" s="431" t="str">
        <f t="shared" si="787"/>
        <v>2H21</v>
      </c>
      <c r="Q190" s="430" t="str">
        <f t="shared" si="787"/>
        <v>2021</v>
      </c>
      <c r="R190" s="431" t="str">
        <f t="shared" si="787"/>
        <v>1H22</v>
      </c>
      <c r="S190" s="431" t="str">
        <f t="shared" si="787"/>
        <v>2H22</v>
      </c>
      <c r="T190" s="430" t="str">
        <f t="shared" si="787"/>
        <v>2022</v>
      </c>
      <c r="U190" s="431" t="str">
        <f t="shared" si="787"/>
        <v>1H23</v>
      </c>
      <c r="V190" s="431" t="str">
        <f t="shared" si="787"/>
        <v>2H23</v>
      </c>
      <c r="W190" s="430" t="str">
        <f t="shared" si="787"/>
        <v>2023</v>
      </c>
      <c r="X190" s="431" t="str">
        <f t="shared" si="787"/>
        <v>1H24</v>
      </c>
      <c r="Y190" s="431" t="str">
        <f t="shared" si="787"/>
        <v>2H24</v>
      </c>
      <c r="Z190" s="430" t="str">
        <f t="shared" si="787"/>
        <v>2024</v>
      </c>
      <c r="AA190" s="431" t="str">
        <f t="shared" si="787"/>
        <v>1H25</v>
      </c>
      <c r="AB190" s="431" t="str">
        <f t="shared" si="787"/>
        <v>2H25E</v>
      </c>
      <c r="AC190" s="430" t="str">
        <f t="shared" si="787"/>
        <v>2025E</v>
      </c>
      <c r="AD190" s="431" t="str">
        <f t="shared" si="787"/>
        <v>1H26E</v>
      </c>
      <c r="AE190" s="431" t="str">
        <f t="shared" si="787"/>
        <v>2H26E</v>
      </c>
      <c r="AF190" s="430" t="str">
        <f t="shared" si="787"/>
        <v>2026E</v>
      </c>
      <c r="AG190" s="431" t="str">
        <f t="shared" si="787"/>
        <v>1H27E</v>
      </c>
      <c r="AH190" s="431" t="str">
        <f t="shared" si="787"/>
        <v>2H27E</v>
      </c>
      <c r="AI190" s="430" t="str">
        <f t="shared" si="787"/>
        <v>2027E</v>
      </c>
      <c r="AJ190" s="431" t="str">
        <f t="shared" si="787"/>
        <v>1H28E</v>
      </c>
      <c r="AK190" s="431" t="str">
        <f t="shared" si="787"/>
        <v>2H28E</v>
      </c>
      <c r="AL190" s="430" t="str">
        <f t="shared" si="787"/>
        <v>2028E</v>
      </c>
      <c r="AM190" s="431" t="str">
        <f t="shared" si="787"/>
        <v>1H29E</v>
      </c>
      <c r="AN190" s="431" t="str">
        <f t="shared" si="787"/>
        <v>2H29E</v>
      </c>
      <c r="AO190" s="430" t="str">
        <f t="shared" si="787"/>
        <v>2029E</v>
      </c>
      <c r="AP190" s="431" t="str">
        <f t="shared" si="787"/>
        <v>1H30E</v>
      </c>
      <c r="AQ190" s="431" t="str">
        <f t="shared" si="787"/>
        <v>2H30E</v>
      </c>
      <c r="AR190" s="430" t="str">
        <f t="shared" si="787"/>
        <v>2030E</v>
      </c>
      <c r="AS190" s="431" t="str">
        <f t="shared" si="787"/>
        <v>1H31E</v>
      </c>
      <c r="AT190" s="431" t="str">
        <f t="shared" si="787"/>
        <v>2H31E</v>
      </c>
      <c r="AU190" s="430" t="str">
        <f t="shared" si="787"/>
        <v>2031E</v>
      </c>
      <c r="AV190" s="431" t="str">
        <f t="shared" si="787"/>
        <v>1H32E</v>
      </c>
      <c r="AW190" s="431" t="str">
        <f t="shared" si="787"/>
        <v>2H32E</v>
      </c>
      <c r="AX190" s="430" t="str">
        <f t="shared" si="787"/>
        <v>2032E</v>
      </c>
      <c r="AY190" s="431" t="str">
        <f t="shared" si="787"/>
        <v>1H33E</v>
      </c>
      <c r="AZ190" s="431" t="str">
        <f t="shared" si="787"/>
        <v>2H33E</v>
      </c>
      <c r="BA190" s="430" t="str">
        <f t="shared" si="787"/>
        <v>2033E</v>
      </c>
      <c r="BB190" s="431" t="str">
        <f t="shared" si="787"/>
        <v>1H34E</v>
      </c>
      <c r="BC190" s="431" t="str">
        <f t="shared" si="787"/>
        <v>2H34E</v>
      </c>
      <c r="BD190" s="430" t="str">
        <f t="shared" si="787"/>
        <v>2034E</v>
      </c>
      <c r="BE190" s="431" t="str">
        <f t="shared" si="787"/>
        <v>1H35E</v>
      </c>
      <c r="BF190" s="431" t="str">
        <f t="shared" si="787"/>
        <v>2H35E</v>
      </c>
      <c r="BG190" s="430" t="str">
        <f t="shared" si="787"/>
        <v>2035E</v>
      </c>
    </row>
    <row r="191" spans="1:64">
      <c r="B191" s="500" t="s">
        <v>16</v>
      </c>
      <c r="C191" s="504"/>
      <c r="D191" s="504"/>
      <c r="E191" s="485">
        <f t="shared" ref="E191:BG191" si="788">+E17-E48</f>
        <v>0</v>
      </c>
      <c r="F191" s="479">
        <f t="shared" si="788"/>
        <v>0</v>
      </c>
      <c r="G191" s="479">
        <f t="shared" si="788"/>
        <v>0.19500000000000001</v>
      </c>
      <c r="H191" s="485">
        <f t="shared" si="788"/>
        <v>0.19500000000000001</v>
      </c>
      <c r="I191" s="479">
        <f t="shared" si="788"/>
        <v>1.0885020000000001</v>
      </c>
      <c r="J191" s="479">
        <f t="shared" si="788"/>
        <v>-0.14650200000000013</v>
      </c>
      <c r="K191" s="485">
        <f t="shared" si="788"/>
        <v>0.94199999999999973</v>
      </c>
      <c r="L191" s="479">
        <f t="shared" si="788"/>
        <v>0.69</v>
      </c>
      <c r="M191" s="479">
        <f t="shared" si="788"/>
        <v>2.4989999999999997</v>
      </c>
      <c r="N191" s="485">
        <f t="shared" si="788"/>
        <v>3.1890000000000001</v>
      </c>
      <c r="O191" s="479">
        <f t="shared" si="788"/>
        <v>2.0350000000000001</v>
      </c>
      <c r="P191" s="479">
        <f t="shared" si="788"/>
        <v>3.0129999999999999</v>
      </c>
      <c r="Q191" s="485">
        <f t="shared" si="788"/>
        <v>5.048</v>
      </c>
      <c r="R191" s="479">
        <f t="shared" si="788"/>
        <v>13.479000000000001</v>
      </c>
      <c r="S191" s="479">
        <f t="shared" si="788"/>
        <v>81.447000000000003</v>
      </c>
      <c r="T191" s="485">
        <f t="shared" si="788"/>
        <v>94.926000000000002</v>
      </c>
      <c r="U191" s="479">
        <f t="shared" si="788"/>
        <v>93.76400000000001</v>
      </c>
      <c r="V191" s="479">
        <f t="shared" si="788"/>
        <v>115.80699999999999</v>
      </c>
      <c r="W191" s="485">
        <f t="shared" si="788"/>
        <v>209.57099999999997</v>
      </c>
      <c r="X191" s="479">
        <f t="shared" si="788"/>
        <v>157.19599999999997</v>
      </c>
      <c r="Y191" s="479">
        <f t="shared" si="788"/>
        <v>178.96699999999998</v>
      </c>
      <c r="Z191" s="485">
        <f t="shared" si="788"/>
        <v>336.16300000000001</v>
      </c>
      <c r="AA191" s="479">
        <f t="shared" ref="AA191" si="789">+AA17-AA48</f>
        <v>208.62300000000005</v>
      </c>
      <c r="AB191" s="479">
        <f t="shared" si="788"/>
        <v>217.95022047734645</v>
      </c>
      <c r="AC191" s="485">
        <f t="shared" si="788"/>
        <v>426.57322047734635</v>
      </c>
      <c r="AD191" s="479">
        <f t="shared" si="788"/>
        <v>232.11234618989971</v>
      </c>
      <c r="AE191" s="479">
        <f t="shared" si="788"/>
        <v>245.70155309993993</v>
      </c>
      <c r="AF191" s="485">
        <f t="shared" si="788"/>
        <v>477.8138992898397</v>
      </c>
      <c r="AG191" s="479">
        <f t="shared" si="788"/>
        <v>272.67254406587529</v>
      </c>
      <c r="AH191" s="479">
        <f t="shared" si="788"/>
        <v>282.9300849887473</v>
      </c>
      <c r="AI191" s="485">
        <f t="shared" si="788"/>
        <v>555.60262905462275</v>
      </c>
      <c r="AJ191" s="479">
        <f t="shared" si="788"/>
        <v>316.17629177922043</v>
      </c>
      <c r="AK191" s="479">
        <f t="shared" si="788"/>
        <v>328.1937217287483</v>
      </c>
      <c r="AL191" s="485">
        <f t="shared" si="788"/>
        <v>644.37001350796868</v>
      </c>
      <c r="AM191" s="479">
        <f t="shared" si="788"/>
        <v>430.44495625451697</v>
      </c>
      <c r="AN191" s="479">
        <f t="shared" si="788"/>
        <v>447.06581591208578</v>
      </c>
      <c r="AO191" s="485">
        <f t="shared" si="788"/>
        <v>877.51077216660269</v>
      </c>
      <c r="AP191" s="479">
        <f t="shared" si="788"/>
        <v>519.22335611896699</v>
      </c>
      <c r="AQ191" s="479">
        <f t="shared" si="788"/>
        <v>559.97910810335679</v>
      </c>
      <c r="AR191" s="485">
        <f t="shared" si="788"/>
        <v>1079.2024642223237</v>
      </c>
      <c r="AS191" s="479">
        <f t="shared" si="788"/>
        <v>611.91067972867552</v>
      </c>
      <c r="AT191" s="479">
        <f t="shared" si="788"/>
        <v>660.12882933402398</v>
      </c>
      <c r="AU191" s="485">
        <f t="shared" si="788"/>
        <v>1272.0395090626996</v>
      </c>
      <c r="AV191" s="479">
        <f t="shared" si="788"/>
        <v>708.20572550369911</v>
      </c>
      <c r="AW191" s="479">
        <f t="shared" si="788"/>
        <v>764.04604766315595</v>
      </c>
      <c r="AX191" s="485">
        <f t="shared" si="788"/>
        <v>1472.2517731668549</v>
      </c>
      <c r="AY191" s="479">
        <f t="shared" si="788"/>
        <v>802.76338203402645</v>
      </c>
      <c r="AZ191" s="479">
        <f t="shared" si="788"/>
        <v>867.04521729417047</v>
      </c>
      <c r="BA191" s="485">
        <f t="shared" si="788"/>
        <v>1669.808599328197</v>
      </c>
      <c r="BB191" s="479">
        <f t="shared" si="788"/>
        <v>897.94282029227861</v>
      </c>
      <c r="BC191" s="479">
        <f t="shared" si="788"/>
        <v>969.93071705366708</v>
      </c>
      <c r="BD191" s="485">
        <f t="shared" si="788"/>
        <v>1867.8735373459454</v>
      </c>
      <c r="BE191" s="479">
        <f t="shared" si="788"/>
        <v>987.37340214388894</v>
      </c>
      <c r="BF191" s="479">
        <f t="shared" si="788"/>
        <v>1066.5692722530782</v>
      </c>
      <c r="BG191" s="485">
        <f t="shared" si="788"/>
        <v>2053.942674396967</v>
      </c>
    </row>
    <row r="192" spans="1:64">
      <c r="B192" s="500" t="s">
        <v>144</v>
      </c>
      <c r="C192" s="504"/>
      <c r="D192" s="504"/>
      <c r="E192" s="485"/>
      <c r="F192" s="479"/>
      <c r="G192" s="479"/>
      <c r="H192" s="485"/>
      <c r="I192" s="479"/>
      <c r="J192" s="479"/>
      <c r="K192" s="485"/>
      <c r="L192" s="479"/>
      <c r="M192" s="479"/>
      <c r="N192" s="485"/>
      <c r="O192" s="479"/>
      <c r="P192" s="479"/>
      <c r="Q192" s="485"/>
      <c r="R192" s="479">
        <f t="shared" ref="R192:BG192" si="790">+SUM(R181,R182,R183)</f>
        <v>-64.313000000000002</v>
      </c>
      <c r="S192" s="479">
        <f t="shared" si="790"/>
        <v>-3.488000000000012</v>
      </c>
      <c r="T192" s="485">
        <f t="shared" si="790"/>
        <v>-67.801000000000016</v>
      </c>
      <c r="U192" s="522">
        <f t="shared" si="790"/>
        <v>33.188000000000017</v>
      </c>
      <c r="V192" s="479">
        <f t="shared" si="790"/>
        <v>31.889999999999997</v>
      </c>
      <c r="W192" s="485">
        <f t="shared" si="790"/>
        <v>65.088999999999999</v>
      </c>
      <c r="X192" s="522">
        <f t="shared" si="790"/>
        <v>57.66599999999999</v>
      </c>
      <c r="Y192" s="479">
        <f t="shared" si="790"/>
        <v>50.58799999999998</v>
      </c>
      <c r="Z192" s="485">
        <f t="shared" si="790"/>
        <v>108.254</v>
      </c>
      <c r="AA192" s="522">
        <f t="shared" ref="AA192" si="791">+SUM(AA181,AA182,AA183)</f>
        <v>47.942999999999991</v>
      </c>
      <c r="AB192" s="479">
        <f t="shared" si="790"/>
        <v>58.105514762962713</v>
      </c>
      <c r="AC192" s="485">
        <f t="shared" si="790"/>
        <v>106.0485147629626</v>
      </c>
      <c r="AD192" s="479">
        <f t="shared" si="790"/>
        <v>59.89690399255494</v>
      </c>
      <c r="AE192" s="479">
        <f t="shared" si="790"/>
        <v>63.226562984053949</v>
      </c>
      <c r="AF192" s="485">
        <f t="shared" si="790"/>
        <v>123.12346697660898</v>
      </c>
      <c r="AG192" s="479">
        <f t="shared" si="790"/>
        <v>73.798925160235086</v>
      </c>
      <c r="AH192" s="479">
        <f t="shared" si="790"/>
        <v>77.665229046548333</v>
      </c>
      <c r="AI192" s="485">
        <f t="shared" si="790"/>
        <v>151.46415420678346</v>
      </c>
      <c r="AJ192" s="479">
        <f t="shared" si="790"/>
        <v>101.18413218906068</v>
      </c>
      <c r="AK192" s="479">
        <f t="shared" si="790"/>
        <v>106.2278111331413</v>
      </c>
      <c r="AL192" s="485">
        <f t="shared" si="790"/>
        <v>207.41194332220192</v>
      </c>
      <c r="AM192" s="479">
        <f t="shared" si="790"/>
        <v>160.22602302250851</v>
      </c>
      <c r="AN192" s="479">
        <f t="shared" si="790"/>
        <v>167.70185396098179</v>
      </c>
      <c r="AO192" s="485">
        <f t="shared" si="790"/>
        <v>327.92787698349031</v>
      </c>
      <c r="AP192" s="479">
        <f t="shared" si="790"/>
        <v>214.94074134006635</v>
      </c>
      <c r="AQ192" s="479">
        <f t="shared" si="790"/>
        <v>234.26399405630997</v>
      </c>
      <c r="AR192" s="485">
        <f t="shared" si="790"/>
        <v>449.20473539637618</v>
      </c>
      <c r="AS192" s="479">
        <f t="shared" si="790"/>
        <v>269.319071659982</v>
      </c>
      <c r="AT192" s="479">
        <f t="shared" si="790"/>
        <v>293.04764393603057</v>
      </c>
      <c r="AU192" s="485">
        <f t="shared" si="790"/>
        <v>562.36671559601234</v>
      </c>
      <c r="AV192" s="479">
        <f t="shared" si="790"/>
        <v>328.7537578865539</v>
      </c>
      <c r="AW192" s="479">
        <f t="shared" si="790"/>
        <v>357.19391784700019</v>
      </c>
      <c r="AX192" s="485">
        <f t="shared" si="790"/>
        <v>685.94767573355421</v>
      </c>
      <c r="AY192" s="479">
        <f t="shared" si="790"/>
        <v>388.90274066201516</v>
      </c>
      <c r="AZ192" s="479">
        <f t="shared" si="790"/>
        <v>422.89991352486027</v>
      </c>
      <c r="BA192" s="485">
        <f t="shared" si="790"/>
        <v>811.8026541868752</v>
      </c>
      <c r="BB192" s="479">
        <f t="shared" si="790"/>
        <v>451.78244473360263</v>
      </c>
      <c r="BC192" s="479">
        <f t="shared" si="790"/>
        <v>490.92471033537998</v>
      </c>
      <c r="BD192" s="485">
        <f t="shared" si="790"/>
        <v>942.7071550689825</v>
      </c>
      <c r="BE192" s="479">
        <f t="shared" si="790"/>
        <v>513.4919406016088</v>
      </c>
      <c r="BF192" s="479">
        <f t="shared" si="790"/>
        <v>557.66502438710086</v>
      </c>
      <c r="BG192" s="485">
        <f t="shared" si="790"/>
        <v>1071.1569649887099</v>
      </c>
    </row>
    <row r="193" spans="1:59" ht="12" customHeight="1">
      <c r="A193" s="51" t="s">
        <v>37</v>
      </c>
      <c r="B193" s="523" t="s">
        <v>555</v>
      </c>
      <c r="C193" s="523"/>
      <c r="D193" s="523"/>
      <c r="E193" s="524">
        <f t="shared" ref="E193:BG193" si="792">+E179</f>
        <v>6.5193310000000002</v>
      </c>
      <c r="F193" s="525">
        <f t="shared" si="792"/>
        <v>-10.457007000000001</v>
      </c>
      <c r="G193" s="525">
        <f t="shared" si="792"/>
        <v>-17.182993000000003</v>
      </c>
      <c r="H193" s="524">
        <f t="shared" si="792"/>
        <v>-27.64</v>
      </c>
      <c r="I193" s="525">
        <f t="shared" si="792"/>
        <v>-13.861403000000001</v>
      </c>
      <c r="J193" s="525">
        <f t="shared" si="792"/>
        <v>-22.158597</v>
      </c>
      <c r="K193" s="524">
        <f t="shared" si="792"/>
        <v>-36.019999999999996</v>
      </c>
      <c r="L193" s="525">
        <f t="shared" si="792"/>
        <v>-17.774000000000001</v>
      </c>
      <c r="M193" s="525">
        <f t="shared" si="792"/>
        <v>-26.597000000000001</v>
      </c>
      <c r="N193" s="524">
        <f t="shared" si="792"/>
        <v>-44.371000000000002</v>
      </c>
      <c r="O193" s="525">
        <f t="shared" si="792"/>
        <v>-28.785</v>
      </c>
      <c r="P193" s="525">
        <f t="shared" si="792"/>
        <v>-47.287999999999997</v>
      </c>
      <c r="Q193" s="524">
        <f t="shared" si="792"/>
        <v>-76.072999999999993</v>
      </c>
      <c r="R193" s="525">
        <f t="shared" si="792"/>
        <v>-60.75500000000001</v>
      </c>
      <c r="S193" s="525">
        <f t="shared" si="792"/>
        <v>-12.424999999999983</v>
      </c>
      <c r="T193" s="524">
        <f t="shared" si="792"/>
        <v>-67.801000000000002</v>
      </c>
      <c r="U193" s="525">
        <f t="shared" si="792"/>
        <v>23.499000000000024</v>
      </c>
      <c r="V193" s="525">
        <f t="shared" si="792"/>
        <v>15.847999999999988</v>
      </c>
      <c r="W193" s="524">
        <f t="shared" si="792"/>
        <v>39.357999999999947</v>
      </c>
      <c r="X193" s="525">
        <f t="shared" si="792"/>
        <v>37.064999999999998</v>
      </c>
      <c r="Y193" s="525">
        <f t="shared" si="792"/>
        <v>30.298000000000002</v>
      </c>
      <c r="Z193" s="524">
        <f t="shared" si="792"/>
        <v>67.363000000000085</v>
      </c>
      <c r="AA193" s="525">
        <f t="shared" ref="AA193" si="793">+AA179</f>
        <v>21.080000000000062</v>
      </c>
      <c r="AB193" s="525">
        <f t="shared" si="792"/>
        <v>22.911951483198802</v>
      </c>
      <c r="AC193" s="524">
        <f t="shared" si="792"/>
        <v>43.99195148319869</v>
      </c>
      <c r="AD193" s="525">
        <f t="shared" si="792"/>
        <v>26.659236772255678</v>
      </c>
      <c r="AE193" s="525">
        <f t="shared" si="792"/>
        <v>28.396410578984337</v>
      </c>
      <c r="AF193" s="524">
        <f t="shared" si="792"/>
        <v>55.055647351240182</v>
      </c>
      <c r="AG193" s="525">
        <f t="shared" si="792"/>
        <v>35.972164137885628</v>
      </c>
      <c r="AH193" s="525">
        <f t="shared" si="792"/>
        <v>38.654905610021451</v>
      </c>
      <c r="AI193" s="524">
        <f t="shared" si="792"/>
        <v>74.6270697479072</v>
      </c>
      <c r="AJ193" s="525">
        <f t="shared" si="792"/>
        <v>58.414528434652311</v>
      </c>
      <c r="AK193" s="525">
        <f t="shared" si="792"/>
        <v>62.092590340287622</v>
      </c>
      <c r="AL193" s="524">
        <f t="shared" si="792"/>
        <v>120.50711877494004</v>
      </c>
      <c r="AM193" s="525">
        <f t="shared" si="792"/>
        <v>104.97213534525362</v>
      </c>
      <c r="AN193" s="525">
        <f t="shared" si="792"/>
        <v>110.5936328685836</v>
      </c>
      <c r="AO193" s="524">
        <f t="shared" si="792"/>
        <v>215.56576821383698</v>
      </c>
      <c r="AP193" s="525">
        <f t="shared" si="792"/>
        <v>152.52582054370797</v>
      </c>
      <c r="AQ193" s="525">
        <f t="shared" si="792"/>
        <v>167.51804424740436</v>
      </c>
      <c r="AR193" s="524">
        <f t="shared" si="792"/>
        <v>320.04386479111236</v>
      </c>
      <c r="AS193" s="525">
        <f t="shared" si="792"/>
        <v>200.00225341646504</v>
      </c>
      <c r="AT193" s="525">
        <f t="shared" si="792"/>
        <v>218.84382824635077</v>
      </c>
      <c r="AU193" s="524">
        <f t="shared" si="792"/>
        <v>418.84608166281612</v>
      </c>
      <c r="AV193" s="525">
        <f t="shared" si="792"/>
        <v>252.98195755534491</v>
      </c>
      <c r="AW193" s="525">
        <f t="shared" si="792"/>
        <v>276.02664319007823</v>
      </c>
      <c r="AX193" s="524">
        <f t="shared" si="792"/>
        <v>529.00860074542311</v>
      </c>
      <c r="AY193" s="525">
        <f t="shared" si="792"/>
        <v>307.61442729361926</v>
      </c>
      <c r="AZ193" s="525">
        <f t="shared" si="792"/>
        <v>335.69720423765307</v>
      </c>
      <c r="BA193" s="524">
        <f t="shared" si="792"/>
        <v>643.3116315312725</v>
      </c>
      <c r="BB193" s="525">
        <f t="shared" si="792"/>
        <v>365.68798718697082</v>
      </c>
      <c r="BC193" s="525">
        <f t="shared" si="792"/>
        <v>398.52604073513334</v>
      </c>
      <c r="BD193" s="524">
        <f t="shared" si="792"/>
        <v>764.2140279221037</v>
      </c>
      <c r="BE193" s="525">
        <f t="shared" si="792"/>
        <v>423.80538650065688</v>
      </c>
      <c r="BF193" s="525">
        <f t="shared" si="792"/>
        <v>461.38446090780337</v>
      </c>
      <c r="BG193" s="524">
        <f t="shared" si="792"/>
        <v>885.18984740845985</v>
      </c>
    </row>
    <row r="194" spans="1:59">
      <c r="E194" s="285"/>
      <c r="H194" s="285"/>
      <c r="K194" s="285"/>
      <c r="N194" s="285"/>
      <c r="Q194" s="285"/>
      <c r="T194" s="285"/>
      <c r="U194" s="479"/>
      <c r="W194" s="285"/>
      <c r="X194" s="479"/>
      <c r="Z194" s="346"/>
      <c r="AA194" s="479">
        <f>+AA192-27.288</f>
        <v>20.65499999999999</v>
      </c>
      <c r="AC194" s="285"/>
      <c r="AF194" s="285"/>
      <c r="AI194" s="285"/>
      <c r="AL194" s="285"/>
      <c r="AO194" s="285"/>
      <c r="AR194" s="285"/>
      <c r="AU194" s="285"/>
      <c r="AX194" s="285"/>
      <c r="BA194" s="285"/>
      <c r="BD194" s="285"/>
      <c r="BG194" s="285"/>
    </row>
    <row r="195" spans="1:59">
      <c r="C195" s="500"/>
      <c r="E195" s="526"/>
      <c r="F195" s="527"/>
      <c r="G195" s="527"/>
      <c r="H195" s="526"/>
      <c r="I195" s="527"/>
      <c r="J195" s="527"/>
      <c r="K195" s="526"/>
      <c r="L195" s="527"/>
      <c r="M195" s="527"/>
      <c r="N195" s="526"/>
      <c r="O195" s="527"/>
      <c r="P195" s="527"/>
      <c r="Q195" s="526"/>
      <c r="R195" s="527"/>
      <c r="S195" s="432"/>
      <c r="T195" s="433"/>
      <c r="U195" s="527"/>
      <c r="V195" s="527"/>
      <c r="W195" s="526"/>
      <c r="X195" s="527"/>
      <c r="Y195" s="527"/>
      <c r="Z195" s="526"/>
      <c r="AA195" s="527"/>
      <c r="AB195" s="479"/>
      <c r="AC195" s="485"/>
      <c r="AD195" s="347"/>
      <c r="AE195" s="347"/>
      <c r="AF195" s="485"/>
      <c r="AG195" s="479"/>
      <c r="AH195" s="347"/>
      <c r="AI195" s="485"/>
      <c r="AJ195" s="479"/>
      <c r="AK195" s="479"/>
      <c r="AL195" s="485"/>
      <c r="AM195" s="347"/>
      <c r="AN195" s="479"/>
      <c r="AO195" s="485"/>
      <c r="AP195" s="347"/>
      <c r="AQ195" s="347"/>
      <c r="AR195" s="485"/>
      <c r="AS195" s="479"/>
      <c r="AT195" s="347"/>
      <c r="AU195" s="485"/>
      <c r="AV195" s="479"/>
      <c r="AW195" s="479"/>
      <c r="AX195" s="485"/>
      <c r="AY195" s="479"/>
      <c r="AZ195" s="479"/>
      <c r="BA195" s="485"/>
      <c r="BB195" s="479"/>
      <c r="BC195" s="479"/>
      <c r="BD195" s="485"/>
      <c r="BE195" s="479"/>
      <c r="BF195" s="479"/>
      <c r="BG195" s="485"/>
    </row>
    <row r="196" spans="1:59">
      <c r="A196" s="51" t="s">
        <v>34</v>
      </c>
      <c r="B196" s="58" t="s">
        <v>556</v>
      </c>
      <c r="C196" s="528"/>
      <c r="D196" s="523"/>
      <c r="E196" s="434">
        <f t="shared" ref="E196:BG196" si="794">+E193-E166</f>
        <v>6.5155380000000003</v>
      </c>
      <c r="F196" s="435">
        <f t="shared" si="794"/>
        <v>-10.458777000000001</v>
      </c>
      <c r="G196" s="435">
        <f t="shared" si="794"/>
        <v>-17.188223000000004</v>
      </c>
      <c r="H196" s="434">
        <f t="shared" si="794"/>
        <v>-27.647000000000002</v>
      </c>
      <c r="I196" s="435">
        <f t="shared" si="794"/>
        <v>-16.184744999999999</v>
      </c>
      <c r="J196" s="435">
        <f t="shared" si="794"/>
        <v>-24.204263000000001</v>
      </c>
      <c r="K196" s="434">
        <f t="shared" si="794"/>
        <v>-40.256999999999998</v>
      </c>
      <c r="L196" s="435">
        <f t="shared" si="794"/>
        <v>-20.109000000000002</v>
      </c>
      <c r="M196" s="435">
        <f t="shared" si="794"/>
        <v>-29.144000000000002</v>
      </c>
      <c r="N196" s="434">
        <f t="shared" si="794"/>
        <v>-49.253</v>
      </c>
      <c r="O196" s="435">
        <f t="shared" si="794"/>
        <v>-31.331</v>
      </c>
      <c r="P196" s="435">
        <f t="shared" si="794"/>
        <v>-49.915999999999997</v>
      </c>
      <c r="Q196" s="434">
        <f t="shared" si="794"/>
        <v>-81.246999999999986</v>
      </c>
      <c r="R196" s="435">
        <f t="shared" si="794"/>
        <v>-63.476000000000013</v>
      </c>
      <c r="S196" s="435">
        <f t="shared" si="794"/>
        <v>-15.082999999999982</v>
      </c>
      <c r="T196" s="434">
        <f t="shared" si="794"/>
        <v>-73.180000000000007</v>
      </c>
      <c r="U196" s="435">
        <f t="shared" si="794"/>
        <v>21.359000000000023</v>
      </c>
      <c r="V196" s="435">
        <f t="shared" si="794"/>
        <v>13.502999999999988</v>
      </c>
      <c r="W196" s="434">
        <f t="shared" si="794"/>
        <v>34.872999999999948</v>
      </c>
      <c r="X196" s="476">
        <f t="shared" si="794"/>
        <v>34.623999999999995</v>
      </c>
      <c r="Y196" s="435">
        <f t="shared" si="794"/>
        <v>27.444000000000003</v>
      </c>
      <c r="Z196" s="434">
        <f t="shared" si="794"/>
        <v>62.068000000000083</v>
      </c>
      <c r="AA196" s="435">
        <f t="shared" ref="AA196" si="795">+AA193-AA166</f>
        <v>11.495000000000061</v>
      </c>
      <c r="AB196" s="435">
        <f t="shared" si="794"/>
        <v>12.560903459738824</v>
      </c>
      <c r="AC196" s="434">
        <f t="shared" si="794"/>
        <v>24.055903459738712</v>
      </c>
      <c r="AD196" s="435">
        <f t="shared" si="794"/>
        <v>15.580014365489262</v>
      </c>
      <c r="AE196" s="435">
        <f t="shared" si="794"/>
        <v>16.786359777294479</v>
      </c>
      <c r="AF196" s="434">
        <f t="shared" si="794"/>
        <v>32.366374142783911</v>
      </c>
      <c r="AG196" s="435">
        <f t="shared" si="794"/>
        <v>23.363243797102481</v>
      </c>
      <c r="AH196" s="435">
        <f t="shared" si="794"/>
        <v>25.651464464512458</v>
      </c>
      <c r="AI196" s="434">
        <f t="shared" si="794"/>
        <v>49.014708261615063</v>
      </c>
      <c r="AJ196" s="435">
        <f t="shared" si="794"/>
        <v>44.157993849849504</v>
      </c>
      <c r="AK196" s="435">
        <f t="shared" si="794"/>
        <v>47.380850076003071</v>
      </c>
      <c r="AL196" s="434">
        <f t="shared" si="794"/>
        <v>91.538843925852689</v>
      </c>
      <c r="AM196" s="435">
        <f t="shared" si="794"/>
        <v>86.554172786168579</v>
      </c>
      <c r="AN196" s="435">
        <f t="shared" si="794"/>
        <v>91.557559171117532</v>
      </c>
      <c r="AO196" s="434">
        <f t="shared" si="794"/>
        <v>178.11173195728588</v>
      </c>
      <c r="AP196" s="435">
        <f t="shared" si="794"/>
        <v>131.00343406220509</v>
      </c>
      <c r="AQ196" s="435">
        <f t="shared" si="794"/>
        <v>144.50219948571271</v>
      </c>
      <c r="AR196" s="434">
        <f t="shared" si="794"/>
        <v>275.5056335479178</v>
      </c>
      <c r="AS196" s="435">
        <f t="shared" si="794"/>
        <v>175.24624690092332</v>
      </c>
      <c r="AT196" s="435">
        <f t="shared" si="794"/>
        <v>192.34246550003661</v>
      </c>
      <c r="AU196" s="434">
        <f t="shared" si="794"/>
        <v>367.58871240096028</v>
      </c>
      <c r="AV196" s="435">
        <f t="shared" si="794"/>
        <v>224.91832780304526</v>
      </c>
      <c r="AW196" s="435">
        <f t="shared" si="794"/>
        <v>245.96468961344047</v>
      </c>
      <c r="AX196" s="434">
        <f t="shared" si="794"/>
        <v>470.8830174164857</v>
      </c>
      <c r="AY196" s="435">
        <f t="shared" si="794"/>
        <v>276.34969138269776</v>
      </c>
      <c r="AZ196" s="435">
        <f t="shared" si="794"/>
        <v>302.15770066565028</v>
      </c>
      <c r="BA196" s="434">
        <f t="shared" si="794"/>
        <v>578.50739204834827</v>
      </c>
      <c r="BB196" s="435">
        <f t="shared" si="794"/>
        <v>331.25020416831808</v>
      </c>
      <c r="BC196" s="435">
        <f t="shared" si="794"/>
        <v>361.5665728950346</v>
      </c>
      <c r="BD196" s="434">
        <f t="shared" si="794"/>
        <v>692.81677706335222</v>
      </c>
      <c r="BE196" s="435">
        <f t="shared" si="794"/>
        <v>386.4359889585935</v>
      </c>
      <c r="BF196" s="435">
        <f t="shared" si="794"/>
        <v>421.267559458096</v>
      </c>
      <c r="BG196" s="434">
        <f t="shared" si="794"/>
        <v>807.70354841668905</v>
      </c>
    </row>
    <row r="197" spans="1:59">
      <c r="A197" s="51" t="s">
        <v>44</v>
      </c>
      <c r="B197" s="53" t="s">
        <v>557</v>
      </c>
      <c r="C197" s="500"/>
      <c r="E197" s="526"/>
      <c r="F197" s="436">
        <v>5.284249</v>
      </c>
      <c r="G197" s="527">
        <f>+H197-F197</f>
        <v>6.6777509999999998</v>
      </c>
      <c r="H197" s="529">
        <v>11.962</v>
      </c>
      <c r="I197" s="436">
        <v>5.6543970000000003</v>
      </c>
      <c r="J197" s="530">
        <f>+K197-I197</f>
        <v>5.8876029999999995</v>
      </c>
      <c r="K197" s="437">
        <v>11.542</v>
      </c>
      <c r="L197" s="436">
        <f>-5.652+6.75</f>
        <v>1.0979999999999999</v>
      </c>
      <c r="M197" s="530">
        <f>+N197-L197</f>
        <v>1.9590000000000005</v>
      </c>
      <c r="N197" s="437">
        <f>-6.727+9.784</f>
        <v>3.0570000000000004</v>
      </c>
      <c r="O197" s="436">
        <f>-3.394+4.782</f>
        <v>1.3879999999999999</v>
      </c>
      <c r="P197" s="530">
        <f>+Q197-O197</f>
        <v>4.6120000000000001</v>
      </c>
      <c r="Q197" s="437">
        <f>-14.855+20.855</f>
        <v>6</v>
      </c>
      <c r="R197" s="436">
        <f>-5.718+1.808</f>
        <v>-3.91</v>
      </c>
      <c r="S197" s="530">
        <f>+T197-R197</f>
        <v>-14.838999999999999</v>
      </c>
      <c r="T197" s="529">
        <f>-17.724-1.025</f>
        <v>-18.748999999999999</v>
      </c>
      <c r="U197" s="376">
        <v>-25.372</v>
      </c>
      <c r="V197" s="479">
        <f>+W197-U197</f>
        <v>1.5449999999999982</v>
      </c>
      <c r="W197" s="377">
        <v>-23.827000000000002</v>
      </c>
      <c r="X197" s="376">
        <f>-5.067-1.848</f>
        <v>-6.915</v>
      </c>
      <c r="Y197" s="479">
        <f>+Z197-X197</f>
        <v>2.4000000000000021E-2</v>
      </c>
      <c r="Z197" s="377">
        <f>-11.776+4.885</f>
        <v>-6.891</v>
      </c>
      <c r="AA197" s="376">
        <f>-1.105</f>
        <v>-1.105</v>
      </c>
      <c r="AB197" s="479"/>
      <c r="AC197" s="485"/>
      <c r="AD197" s="347"/>
      <c r="AE197" s="347"/>
      <c r="AF197" s="485"/>
      <c r="AG197" s="479"/>
      <c r="AH197" s="347"/>
      <c r="AI197" s="485"/>
      <c r="AJ197" s="479"/>
      <c r="AK197" s="479"/>
      <c r="AL197" s="485"/>
      <c r="AM197" s="347"/>
      <c r="AN197" s="479"/>
      <c r="AO197" s="485"/>
      <c r="AP197" s="347"/>
      <c r="AQ197" s="347"/>
      <c r="AR197" s="485"/>
      <c r="AS197" s="479"/>
      <c r="AT197" s="347"/>
      <c r="AU197" s="485"/>
      <c r="AV197" s="479"/>
      <c r="AW197" s="479"/>
      <c r="AX197" s="485"/>
      <c r="AY197" s="479"/>
      <c r="AZ197" s="479"/>
      <c r="BA197" s="485"/>
      <c r="BB197" s="479"/>
      <c r="BC197" s="479"/>
      <c r="BD197" s="485"/>
      <c r="BE197" s="479"/>
      <c r="BF197" s="479"/>
      <c r="BG197" s="485"/>
    </row>
    <row r="198" spans="1:59">
      <c r="B198" s="53" t="s">
        <v>558</v>
      </c>
      <c r="C198" s="500"/>
      <c r="E198" s="485">
        <f t="shared" ref="E198:V198" si="796">+E196+E197</f>
        <v>6.5155380000000003</v>
      </c>
      <c r="F198" s="479">
        <f t="shared" si="796"/>
        <v>-5.1745280000000013</v>
      </c>
      <c r="G198" s="479">
        <f t="shared" si="796"/>
        <v>-10.510472000000004</v>
      </c>
      <c r="H198" s="485">
        <f t="shared" si="796"/>
        <v>-15.685000000000002</v>
      </c>
      <c r="I198" s="479">
        <f t="shared" si="796"/>
        <v>-10.530348</v>
      </c>
      <c r="J198" s="479">
        <f t="shared" si="796"/>
        <v>-18.316660000000002</v>
      </c>
      <c r="K198" s="485">
        <f t="shared" si="796"/>
        <v>-28.714999999999996</v>
      </c>
      <c r="L198" s="479">
        <f t="shared" si="796"/>
        <v>-19.011000000000003</v>
      </c>
      <c r="M198" s="479">
        <f t="shared" si="796"/>
        <v>-27.185000000000002</v>
      </c>
      <c r="N198" s="485">
        <f t="shared" si="796"/>
        <v>-46.195999999999998</v>
      </c>
      <c r="O198" s="479">
        <f t="shared" si="796"/>
        <v>-29.942999999999998</v>
      </c>
      <c r="P198" s="479">
        <f t="shared" si="796"/>
        <v>-45.303999999999995</v>
      </c>
      <c r="Q198" s="485">
        <f t="shared" si="796"/>
        <v>-75.246999999999986</v>
      </c>
      <c r="R198" s="479">
        <f t="shared" si="796"/>
        <v>-67.38600000000001</v>
      </c>
      <c r="S198" s="479">
        <f t="shared" si="796"/>
        <v>-29.921999999999983</v>
      </c>
      <c r="T198" s="485">
        <f t="shared" si="796"/>
        <v>-91.929000000000002</v>
      </c>
      <c r="U198" s="479">
        <f t="shared" si="796"/>
        <v>-4.0129999999999768</v>
      </c>
      <c r="V198" s="479">
        <f t="shared" si="796"/>
        <v>15.047999999999986</v>
      </c>
      <c r="W198" s="485">
        <f>+W196+W197</f>
        <v>11.045999999999946</v>
      </c>
      <c r="X198" s="479">
        <f t="shared" ref="X198:BG198" si="797">+X196+X197</f>
        <v>27.708999999999996</v>
      </c>
      <c r="Y198" s="479">
        <f t="shared" si="797"/>
        <v>27.468000000000004</v>
      </c>
      <c r="Z198" s="485">
        <f t="shared" si="797"/>
        <v>55.177000000000085</v>
      </c>
      <c r="AA198" s="479">
        <f t="shared" ref="AA198" si="798">+AA196+AA197</f>
        <v>10.390000000000061</v>
      </c>
      <c r="AB198" s="479">
        <f t="shared" si="797"/>
        <v>12.560903459738824</v>
      </c>
      <c r="AC198" s="485">
        <f t="shared" si="797"/>
        <v>24.055903459738712</v>
      </c>
      <c r="AD198" s="479">
        <f t="shared" si="797"/>
        <v>15.580014365489262</v>
      </c>
      <c r="AE198" s="479">
        <f t="shared" si="797"/>
        <v>16.786359777294479</v>
      </c>
      <c r="AF198" s="485">
        <f t="shared" si="797"/>
        <v>32.366374142783911</v>
      </c>
      <c r="AG198" s="479">
        <f t="shared" si="797"/>
        <v>23.363243797102481</v>
      </c>
      <c r="AH198" s="479">
        <f t="shared" si="797"/>
        <v>25.651464464512458</v>
      </c>
      <c r="AI198" s="485">
        <f t="shared" si="797"/>
        <v>49.014708261615063</v>
      </c>
      <c r="AJ198" s="479">
        <f t="shared" si="797"/>
        <v>44.157993849849504</v>
      </c>
      <c r="AK198" s="479">
        <f t="shared" si="797"/>
        <v>47.380850076003071</v>
      </c>
      <c r="AL198" s="485">
        <f t="shared" si="797"/>
        <v>91.538843925852689</v>
      </c>
      <c r="AM198" s="479">
        <f t="shared" si="797"/>
        <v>86.554172786168579</v>
      </c>
      <c r="AN198" s="479">
        <f t="shared" si="797"/>
        <v>91.557559171117532</v>
      </c>
      <c r="AO198" s="485">
        <f t="shared" si="797"/>
        <v>178.11173195728588</v>
      </c>
      <c r="AP198" s="479">
        <f t="shared" si="797"/>
        <v>131.00343406220509</v>
      </c>
      <c r="AQ198" s="479">
        <f t="shared" si="797"/>
        <v>144.50219948571271</v>
      </c>
      <c r="AR198" s="485">
        <f t="shared" si="797"/>
        <v>275.5056335479178</v>
      </c>
      <c r="AS198" s="479">
        <f t="shared" si="797"/>
        <v>175.24624690092332</v>
      </c>
      <c r="AT198" s="479">
        <f t="shared" si="797"/>
        <v>192.34246550003661</v>
      </c>
      <c r="AU198" s="485">
        <f t="shared" si="797"/>
        <v>367.58871240096028</v>
      </c>
      <c r="AV198" s="479">
        <f t="shared" si="797"/>
        <v>224.91832780304526</v>
      </c>
      <c r="AW198" s="479">
        <f t="shared" si="797"/>
        <v>245.96468961344047</v>
      </c>
      <c r="AX198" s="485">
        <f t="shared" si="797"/>
        <v>470.8830174164857</v>
      </c>
      <c r="AY198" s="479">
        <f t="shared" si="797"/>
        <v>276.34969138269776</v>
      </c>
      <c r="AZ198" s="479">
        <f t="shared" si="797"/>
        <v>302.15770066565028</v>
      </c>
      <c r="BA198" s="485">
        <f t="shared" si="797"/>
        <v>578.50739204834827</v>
      </c>
      <c r="BB198" s="479">
        <f t="shared" si="797"/>
        <v>331.25020416831808</v>
      </c>
      <c r="BC198" s="479">
        <f t="shared" si="797"/>
        <v>361.5665728950346</v>
      </c>
      <c r="BD198" s="485">
        <f t="shared" si="797"/>
        <v>692.81677706335222</v>
      </c>
      <c r="BE198" s="479">
        <f t="shared" si="797"/>
        <v>386.4359889585935</v>
      </c>
      <c r="BF198" s="479">
        <f t="shared" si="797"/>
        <v>421.267559458096</v>
      </c>
      <c r="BG198" s="485">
        <f t="shared" si="797"/>
        <v>807.70354841668905</v>
      </c>
    </row>
    <row r="199" spans="1:59" ht="13.35" customHeight="1">
      <c r="C199" s="500"/>
      <c r="E199" s="526"/>
      <c r="F199" s="527"/>
      <c r="G199" s="527"/>
      <c r="H199" s="526"/>
      <c r="I199" s="527"/>
      <c r="J199" s="527"/>
      <c r="K199" s="526"/>
      <c r="L199" s="527"/>
      <c r="M199" s="527"/>
      <c r="N199" s="526"/>
      <c r="O199" s="527"/>
      <c r="P199" s="527"/>
      <c r="Q199" s="526"/>
      <c r="R199" s="527"/>
      <c r="S199" s="432"/>
      <c r="T199" s="433"/>
      <c r="U199" s="527"/>
      <c r="V199" s="527"/>
      <c r="W199" s="526"/>
      <c r="X199" s="527"/>
      <c r="Y199" s="527"/>
      <c r="Z199" s="526"/>
      <c r="AA199" s="527"/>
      <c r="AB199" s="479"/>
      <c r="AC199" s="485"/>
      <c r="AD199" s="347"/>
      <c r="AE199" s="347"/>
      <c r="AF199" s="485"/>
      <c r="AG199" s="347"/>
      <c r="AH199" s="347"/>
      <c r="AI199" s="485"/>
      <c r="AJ199" s="347"/>
      <c r="AK199" s="347"/>
      <c r="AL199" s="485"/>
      <c r="AM199" s="347"/>
      <c r="AN199" s="347"/>
      <c r="AO199" s="485"/>
      <c r="AP199" s="347"/>
      <c r="AQ199" s="347"/>
      <c r="AR199" s="485"/>
      <c r="AS199" s="347"/>
      <c r="AT199" s="347"/>
      <c r="AU199" s="485"/>
      <c r="AV199" s="347"/>
      <c r="AW199" s="347"/>
      <c r="AX199" s="485"/>
      <c r="AY199" s="347"/>
      <c r="AZ199" s="347"/>
      <c r="BA199" s="485"/>
      <c r="BB199" s="347"/>
      <c r="BC199" s="347"/>
      <c r="BD199" s="485"/>
      <c r="BE199" s="347"/>
      <c r="BF199" s="347"/>
      <c r="BG199" s="485"/>
    </row>
    <row r="200" spans="1:59" ht="13.35" customHeight="1">
      <c r="A200" s="438"/>
      <c r="B200" s="438" t="s">
        <v>559</v>
      </c>
      <c r="C200" s="438"/>
      <c r="D200" s="438"/>
      <c r="E200" s="439">
        <v>3.8980000000000001E-2</v>
      </c>
      <c r="F200" s="440">
        <v>0</v>
      </c>
      <c r="G200" s="441">
        <f>H200-F200</f>
        <v>0</v>
      </c>
      <c r="H200" s="442">
        <v>0</v>
      </c>
      <c r="I200" s="440">
        <v>0</v>
      </c>
      <c r="J200" s="441">
        <f>K200-I200</f>
        <v>0</v>
      </c>
      <c r="K200" s="439">
        <v>0</v>
      </c>
      <c r="L200" s="440">
        <v>0</v>
      </c>
      <c r="M200" s="441">
        <f>N200-L200</f>
        <v>0</v>
      </c>
      <c r="N200" s="442">
        <v>0</v>
      </c>
      <c r="O200" s="440">
        <v>0</v>
      </c>
      <c r="P200" s="441">
        <f>Q200-O200</f>
        <v>0</v>
      </c>
      <c r="Q200" s="442">
        <v>0</v>
      </c>
      <c r="R200" s="440">
        <v>1E-3</v>
      </c>
      <c r="S200" s="441">
        <f>T200-R200</f>
        <v>0</v>
      </c>
      <c r="T200" s="442">
        <v>1E-3</v>
      </c>
      <c r="U200" s="440">
        <v>0.30299999999999999</v>
      </c>
      <c r="V200" s="441">
        <f>+W200-U200</f>
        <v>0.36800000000000005</v>
      </c>
      <c r="W200" s="442">
        <v>0.67100000000000004</v>
      </c>
      <c r="X200" s="440">
        <v>0.89500000000000002</v>
      </c>
      <c r="Y200" s="441">
        <f>+Z200-X200</f>
        <v>6.2850000000000001</v>
      </c>
      <c r="Z200" s="442">
        <v>7.18</v>
      </c>
      <c r="AA200" s="440">
        <v>3.6160000000000001</v>
      </c>
      <c r="AB200" s="441">
        <f t="shared" ref="AB200" si="799">+AB218*AB219/2</f>
        <v>2.0715600000000003</v>
      </c>
      <c r="AC200" s="443">
        <f>+SUM(AA200:AB200)</f>
        <v>5.6875600000000004</v>
      </c>
      <c r="AD200" s="441">
        <f t="shared" ref="AD200:BF200" si="800">+AD218*AD219/2</f>
        <v>1.2551718762604156</v>
      </c>
      <c r="AE200" s="441">
        <f t="shared" si="800"/>
        <v>0.9059199671521565</v>
      </c>
      <c r="AF200" s="443">
        <f t="shared" ref="AF200" si="801">+SUM(AD200:AE200)</f>
        <v>2.1610918434125721</v>
      </c>
      <c r="AG200" s="441">
        <f t="shared" ref="AG200" si="802">+AG218*AG219/2</f>
        <v>0.66142668543743788</v>
      </c>
      <c r="AH200" s="441">
        <f t="shared" si="800"/>
        <v>0.65758803093763174</v>
      </c>
      <c r="AI200" s="443">
        <f t="shared" ref="AI200" si="803">+SUM(AG200:AH200)</f>
        <v>1.3190147163750696</v>
      </c>
      <c r="AJ200" s="441">
        <f t="shared" ref="AJ200" si="804">+AJ218*AJ219/2</f>
        <v>0.6995234689750649</v>
      </c>
      <c r="AK200" s="441">
        <f t="shared" si="800"/>
        <v>0.8393201591874313</v>
      </c>
      <c r="AL200" s="443">
        <f t="shared" ref="AL200" si="805">+SUM(AJ200:AK200)</f>
        <v>1.5388436281624962</v>
      </c>
      <c r="AM200" s="441">
        <f t="shared" ref="AM200" si="806">+AM218*AM219/2</f>
        <v>1.0372573495457151</v>
      </c>
      <c r="AN200" s="441">
        <f t="shared" si="800"/>
        <v>1.4138445253595879</v>
      </c>
      <c r="AO200" s="443">
        <f t="shared" ref="AO200" si="807">+SUM(AM200:AN200)</f>
        <v>2.4511018749053033</v>
      </c>
      <c r="AP200" s="441">
        <f t="shared" ref="AP200" si="808">+AP218*AP219/2</f>
        <v>1.9306096021895929</v>
      </c>
      <c r="AQ200" s="441">
        <f t="shared" si="800"/>
        <v>2.7767139434058343</v>
      </c>
      <c r="AR200" s="443">
        <f t="shared" ref="AR200:AR201" si="809">+SUM(AP200:AQ200)</f>
        <v>4.7073235455954272</v>
      </c>
      <c r="AS200" s="441">
        <f t="shared" ref="AS200" si="810">+AS218*AS219/2</f>
        <v>3.7839446031691835</v>
      </c>
      <c r="AT200" s="441">
        <f t="shared" si="800"/>
        <v>4.97838736408288</v>
      </c>
      <c r="AU200" s="443">
        <f t="shared" ref="AU200:AU201" si="811">+SUM(AS200:AT200)</f>
        <v>8.762331967252063</v>
      </c>
      <c r="AV200" s="441">
        <f t="shared" ref="AV200" si="812">+AV218*AV219/2</f>
        <v>6.350970217277327</v>
      </c>
      <c r="AW200" s="441">
        <f t="shared" si="800"/>
        <v>7.9332661317251887</v>
      </c>
      <c r="AX200" s="443">
        <f t="shared" ref="AX200:AX201" si="813">+SUM(AV200:AW200)</f>
        <v>14.284236349002516</v>
      </c>
      <c r="AY200" s="441">
        <f t="shared" ref="AY200" si="814">+AY218*AY219/2</f>
        <v>9.7208799123284209</v>
      </c>
      <c r="AZ200" s="441">
        <f t="shared" si="800"/>
        <v>11.716125167191008</v>
      </c>
      <c r="BA200" s="443">
        <f t="shared" ref="BA200:BA201" si="815">+SUM(AY200:AZ200)</f>
        <v>21.43700507951943</v>
      </c>
      <c r="BB200" s="441">
        <f t="shared" ref="BB200" si="816">+BB218*BB219/2</f>
        <v>13.944773940269098</v>
      </c>
      <c r="BC200" s="441">
        <f t="shared" si="800"/>
        <v>16.38428458596384</v>
      </c>
      <c r="BD200" s="443">
        <f t="shared" ref="BD200:BD201" si="817">+SUM(BB200:BC200)</f>
        <v>30.329058526232938</v>
      </c>
      <c r="BE200" s="441">
        <f t="shared" ref="BE200" si="818">+BE218*BE219/2</f>
        <v>19.085985953832836</v>
      </c>
      <c r="BF200" s="441">
        <f t="shared" si="800"/>
        <v>21.985488619589386</v>
      </c>
      <c r="BG200" s="443">
        <f t="shared" ref="BG200:BG201" si="819">+SUM(BE200:BF200)</f>
        <v>41.071474573422222</v>
      </c>
    </row>
    <row r="201" spans="1:59" ht="13.35" customHeight="1">
      <c r="A201" s="438"/>
      <c r="B201" s="438" t="s">
        <v>560</v>
      </c>
      <c r="C201" s="438"/>
      <c r="D201" s="444"/>
      <c r="E201" s="439">
        <v>9.4009999999999996E-3</v>
      </c>
      <c r="F201" s="440">
        <v>1.5318999999999999E-2</v>
      </c>
      <c r="G201" s="441">
        <f>IF(AND(H201&lt;&gt;"",F201&lt;&gt;""),H201-F201,"")</f>
        <v>1.3681000000000002E-2</v>
      </c>
      <c r="H201" s="442">
        <v>2.9000000000000001E-2</v>
      </c>
      <c r="I201" s="440">
        <v>1.0649189999999999</v>
      </c>
      <c r="J201" s="441">
        <f>IF(AND(K201&lt;&gt;"",I201&lt;&gt;""),K201-I201,"")</f>
        <v>1.343081</v>
      </c>
      <c r="K201" s="439">
        <v>2.4079999999999999</v>
      </c>
      <c r="L201" s="440">
        <v>0.23499999999999999</v>
      </c>
      <c r="M201" s="441">
        <f>IF(AND(N201&lt;&gt;"",L201&lt;&gt;""),N201-L201,"")</f>
        <v>1.504</v>
      </c>
      <c r="N201" s="442">
        <v>1.7390000000000001</v>
      </c>
      <c r="O201" s="440">
        <v>2.5049999999999999</v>
      </c>
      <c r="P201" s="441">
        <f>IF(AND(Q201&lt;&gt;"",O201&lt;&gt;""),Q201-O201,"")</f>
        <v>2.7130000000000001</v>
      </c>
      <c r="Q201" s="442">
        <v>5.218</v>
      </c>
      <c r="R201" s="440">
        <v>3.3170000000000002</v>
      </c>
      <c r="S201" s="441">
        <f>IF(AND(T201&lt;&gt;"",R201&lt;&gt;""),T201-R201,"")</f>
        <v>3.3759999999999994</v>
      </c>
      <c r="T201" s="442">
        <v>6.6929999999999996</v>
      </c>
      <c r="U201" s="440">
        <v>4.0960000000000001</v>
      </c>
      <c r="V201" s="441">
        <f>+W201-U201</f>
        <v>4.9890000000000008</v>
      </c>
      <c r="W201" s="442">
        <v>9.0850000000000009</v>
      </c>
      <c r="X201" s="440">
        <v>5.7309999999999999</v>
      </c>
      <c r="Y201" s="441">
        <f>+Z201-X201</f>
        <v>18.710999999999999</v>
      </c>
      <c r="Z201" s="442">
        <v>24.442</v>
      </c>
      <c r="AA201" s="440">
        <v>18.841999999999999</v>
      </c>
      <c r="AB201" s="441">
        <f>+AC201-AA201</f>
        <v>21.716501291598355</v>
      </c>
      <c r="AC201" s="443">
        <f>+AC229</f>
        <v>40.558501291598354</v>
      </c>
      <c r="AD201" s="445">
        <f>+AF201/2</f>
        <v>15.292353803089135</v>
      </c>
      <c r="AE201" s="441">
        <f>+AF201-AD201</f>
        <v>15.292353803089135</v>
      </c>
      <c r="AF201" s="443">
        <f>+AF229</f>
        <v>30.58470760617827</v>
      </c>
      <c r="AG201" s="445">
        <f>+AI201/2</f>
        <v>13.306112118243592</v>
      </c>
      <c r="AH201" s="441">
        <f>+AI201-AG201</f>
        <v>13.306112118243592</v>
      </c>
      <c r="AI201" s="443">
        <f>+AI229</f>
        <v>26.612224236487183</v>
      </c>
      <c r="AJ201" s="445">
        <f>+AL201/2</f>
        <v>13.820558349155771</v>
      </c>
      <c r="AK201" s="441">
        <f>+AL201-AJ201</f>
        <v>13.820558349155771</v>
      </c>
      <c r="AL201" s="443">
        <f>+AL229</f>
        <v>27.641116698311542</v>
      </c>
      <c r="AM201" s="445">
        <f>+AO201/2</f>
        <v>14.335726891613561</v>
      </c>
      <c r="AN201" s="441">
        <f>+AO201-AM201</f>
        <v>14.335726891613561</v>
      </c>
      <c r="AO201" s="443">
        <f>+AO229</f>
        <v>28.671453783227122</v>
      </c>
      <c r="AP201" s="441">
        <f t="shared" ref="AP201:BF201" si="820">+AP222*AP223/2</f>
        <v>0.84722000000000064</v>
      </c>
      <c r="AQ201" s="441">
        <f t="shared" si="820"/>
        <v>0.84722000000000064</v>
      </c>
      <c r="AR201" s="443">
        <f t="shared" si="809"/>
        <v>1.6944400000000013</v>
      </c>
      <c r="AS201" s="441">
        <f t="shared" ref="AS201" si="821">+AS222*AS223/2</f>
        <v>0.84722000000000064</v>
      </c>
      <c r="AT201" s="441">
        <f t="shared" si="820"/>
        <v>0.84722000000000064</v>
      </c>
      <c r="AU201" s="443">
        <f t="shared" si="811"/>
        <v>1.6944400000000013</v>
      </c>
      <c r="AV201" s="441">
        <f t="shared" ref="AV201" si="822">+AV222*AV223/2</f>
        <v>0.84722000000000064</v>
      </c>
      <c r="AW201" s="441">
        <f t="shared" si="820"/>
        <v>0.84722000000000064</v>
      </c>
      <c r="AX201" s="443">
        <f t="shared" si="813"/>
        <v>1.6944400000000013</v>
      </c>
      <c r="AY201" s="441">
        <f t="shared" ref="AY201" si="823">+AY222*AY223/2</f>
        <v>0.84722000000000064</v>
      </c>
      <c r="AZ201" s="441">
        <f t="shared" si="820"/>
        <v>0.84722000000000064</v>
      </c>
      <c r="BA201" s="443">
        <f t="shared" si="815"/>
        <v>1.6944400000000013</v>
      </c>
      <c r="BB201" s="441">
        <f t="shared" ref="BB201" si="824">+BB222*BB223/2</f>
        <v>0.84722000000000064</v>
      </c>
      <c r="BC201" s="441">
        <f t="shared" si="820"/>
        <v>0.84722000000000064</v>
      </c>
      <c r="BD201" s="443">
        <f t="shared" si="817"/>
        <v>1.6944400000000013</v>
      </c>
      <c r="BE201" s="441">
        <f t="shared" ref="BE201" si="825">+BE222*BE223/2</f>
        <v>0.84722000000000064</v>
      </c>
      <c r="BF201" s="441">
        <f t="shared" si="820"/>
        <v>0.84722000000000064</v>
      </c>
      <c r="BG201" s="443">
        <f t="shared" si="819"/>
        <v>1.6944400000000013</v>
      </c>
    </row>
    <row r="202" spans="1:59">
      <c r="A202" s="60" t="s">
        <v>47</v>
      </c>
      <c r="B202" s="446" t="s">
        <v>48</v>
      </c>
      <c r="C202" s="447"/>
      <c r="D202" s="447"/>
      <c r="E202" s="448">
        <f>+E201-Segment!E200</f>
        <v>-2.9579000000000001E-2</v>
      </c>
      <c r="F202" s="449">
        <f>+F201-Segment!F200</f>
        <v>1.5318999999999999E-2</v>
      </c>
      <c r="G202" s="449">
        <f>+G201-Segment!G200</f>
        <v>1.3681000000000002E-2</v>
      </c>
      <c r="H202" s="448">
        <f>+H201-Segment!H200</f>
        <v>2.9000000000000001E-2</v>
      </c>
      <c r="I202" s="449">
        <f>+I201-Segment!I200</f>
        <v>1.0649189999999999</v>
      </c>
      <c r="J202" s="449">
        <f>+J201-Segment!J200</f>
        <v>1.343081</v>
      </c>
      <c r="K202" s="448">
        <f>+K201-Segment!K200</f>
        <v>2.4079999999999999</v>
      </c>
      <c r="L202" s="449">
        <f>+L201-Segment!L200</f>
        <v>0.23499999999999999</v>
      </c>
      <c r="M202" s="449">
        <f>+M201-Segment!M200</f>
        <v>1.504</v>
      </c>
      <c r="N202" s="450">
        <f>+N201-Segment!N200</f>
        <v>1.7390000000000001</v>
      </c>
      <c r="O202" s="449">
        <f>+O201-Segment!O200</f>
        <v>2.5049999999999999</v>
      </c>
      <c r="P202" s="449">
        <f>+P201-Segment!P200</f>
        <v>2.7130000000000001</v>
      </c>
      <c r="Q202" s="448">
        <f>+Q201-Segment!Q200</f>
        <v>5.218</v>
      </c>
      <c r="R202" s="449">
        <f>+R201-Segment!R200</f>
        <v>3.3160000000000003</v>
      </c>
      <c r="S202" s="449">
        <f>+S201-Segment!S200</f>
        <v>3.3759999999999994</v>
      </c>
      <c r="T202" s="448">
        <f>+T201-Segment!T200</f>
        <v>6.6919999999999993</v>
      </c>
      <c r="U202" s="449">
        <f t="shared" ref="U202:BG202" si="826">+U201-U200</f>
        <v>3.7930000000000001</v>
      </c>
      <c r="V202" s="449">
        <f t="shared" si="826"/>
        <v>4.6210000000000004</v>
      </c>
      <c r="W202" s="448">
        <f t="shared" si="826"/>
        <v>8.4140000000000015</v>
      </c>
      <c r="X202" s="449">
        <f t="shared" si="826"/>
        <v>4.8360000000000003</v>
      </c>
      <c r="Y202" s="449">
        <f t="shared" si="826"/>
        <v>12.425999999999998</v>
      </c>
      <c r="Z202" s="448">
        <f t="shared" si="826"/>
        <v>17.262</v>
      </c>
      <c r="AA202" s="449">
        <f t="shared" ref="AA202" si="827">+AA201-AA200</f>
        <v>15.225999999999999</v>
      </c>
      <c r="AB202" s="449">
        <f t="shared" si="826"/>
        <v>19.644941291598354</v>
      </c>
      <c r="AC202" s="448">
        <f t="shared" si="826"/>
        <v>34.870941291598356</v>
      </c>
      <c r="AD202" s="449">
        <f t="shared" si="826"/>
        <v>14.037181926828719</v>
      </c>
      <c r="AE202" s="449">
        <f t="shared" si="826"/>
        <v>14.386433835936979</v>
      </c>
      <c r="AF202" s="448">
        <f t="shared" si="826"/>
        <v>28.423615762765699</v>
      </c>
      <c r="AG202" s="449">
        <f t="shared" si="826"/>
        <v>12.644685432806154</v>
      </c>
      <c r="AH202" s="449">
        <f t="shared" si="826"/>
        <v>12.64852408730596</v>
      </c>
      <c r="AI202" s="448">
        <f t="shared" si="826"/>
        <v>25.293209520112114</v>
      </c>
      <c r="AJ202" s="449">
        <f t="shared" si="826"/>
        <v>13.121034880180707</v>
      </c>
      <c r="AK202" s="449">
        <f t="shared" si="826"/>
        <v>12.981238189968339</v>
      </c>
      <c r="AL202" s="448">
        <f t="shared" si="826"/>
        <v>26.102273070149046</v>
      </c>
      <c r="AM202" s="449">
        <f t="shared" si="826"/>
        <v>13.298469542067846</v>
      </c>
      <c r="AN202" s="449">
        <f t="shared" si="826"/>
        <v>12.921882366253973</v>
      </c>
      <c r="AO202" s="448">
        <f t="shared" si="826"/>
        <v>26.220351908321817</v>
      </c>
      <c r="AP202" s="449">
        <f t="shared" si="826"/>
        <v>-1.0833896021895923</v>
      </c>
      <c r="AQ202" s="449">
        <f t="shared" si="826"/>
        <v>-1.9294939434058338</v>
      </c>
      <c r="AR202" s="448">
        <f t="shared" si="826"/>
        <v>-3.0128835455954261</v>
      </c>
      <c r="AS202" s="449">
        <f t="shared" si="826"/>
        <v>-2.9367246031691829</v>
      </c>
      <c r="AT202" s="449">
        <f t="shared" si="826"/>
        <v>-4.131167364082879</v>
      </c>
      <c r="AU202" s="448">
        <f t="shared" si="826"/>
        <v>-7.0678919672520619</v>
      </c>
      <c r="AV202" s="449">
        <f t="shared" si="826"/>
        <v>-5.5037502172773261</v>
      </c>
      <c r="AW202" s="449">
        <f t="shared" si="826"/>
        <v>-7.0860461317251877</v>
      </c>
      <c r="AX202" s="448">
        <f t="shared" si="826"/>
        <v>-12.589796349002514</v>
      </c>
      <c r="AY202" s="449">
        <f t="shared" si="826"/>
        <v>-8.8736599123284208</v>
      </c>
      <c r="AZ202" s="449">
        <f t="shared" si="826"/>
        <v>-10.868905167191008</v>
      </c>
      <c r="BA202" s="448">
        <f t="shared" si="826"/>
        <v>-19.74256507951943</v>
      </c>
      <c r="BB202" s="449">
        <f t="shared" si="826"/>
        <v>-13.097553940269098</v>
      </c>
      <c r="BC202" s="449">
        <f t="shared" si="826"/>
        <v>-15.53706458596384</v>
      </c>
      <c r="BD202" s="448">
        <f t="shared" si="826"/>
        <v>-28.634618526232938</v>
      </c>
      <c r="BE202" s="449">
        <f t="shared" si="826"/>
        <v>-18.238765953832836</v>
      </c>
      <c r="BF202" s="449">
        <f t="shared" si="826"/>
        <v>-21.138268619589386</v>
      </c>
      <c r="BG202" s="448">
        <f t="shared" si="826"/>
        <v>-39.377034573422222</v>
      </c>
    </row>
    <row r="203" spans="1:59">
      <c r="C203" s="500"/>
      <c r="E203" s="526"/>
      <c r="F203" s="527"/>
      <c r="G203" s="527"/>
      <c r="H203" s="526"/>
      <c r="I203" s="527"/>
      <c r="J203" s="527"/>
      <c r="K203" s="526"/>
      <c r="L203" s="527"/>
      <c r="M203" s="527"/>
      <c r="N203" s="526"/>
      <c r="O203" s="527"/>
      <c r="P203" s="527"/>
      <c r="Q203" s="526"/>
      <c r="R203" s="527"/>
      <c r="S203" s="432"/>
      <c r="T203" s="433"/>
      <c r="U203" s="527"/>
      <c r="V203" s="527"/>
      <c r="W203" s="526"/>
      <c r="X203" s="527"/>
      <c r="Y203" s="527"/>
      <c r="Z203" s="526"/>
      <c r="AA203" s="527"/>
      <c r="AB203" s="479"/>
      <c r="AC203" s="485"/>
      <c r="AD203" s="347"/>
      <c r="AE203" s="347"/>
      <c r="AF203" s="485"/>
      <c r="AG203" s="347"/>
      <c r="AH203" s="347"/>
      <c r="AI203" s="485"/>
      <c r="AJ203" s="347"/>
      <c r="AK203" s="347"/>
      <c r="AL203" s="485"/>
      <c r="AM203" s="347"/>
      <c r="AN203" s="347"/>
      <c r="AO203" s="485"/>
      <c r="AP203" s="347"/>
      <c r="AQ203" s="347"/>
      <c r="AR203" s="485"/>
      <c r="AS203" s="347"/>
      <c r="AT203" s="347"/>
      <c r="AU203" s="485"/>
      <c r="AV203" s="347"/>
      <c r="AW203" s="347"/>
      <c r="AX203" s="485"/>
      <c r="AY203" s="347"/>
      <c r="AZ203" s="347"/>
      <c r="BA203" s="485"/>
      <c r="BB203" s="347"/>
      <c r="BC203" s="347"/>
      <c r="BD203" s="485"/>
      <c r="BE203" s="347"/>
      <c r="BF203" s="347"/>
      <c r="BG203" s="485"/>
    </row>
    <row r="204" spans="1:59">
      <c r="B204" s="58" t="s">
        <v>51</v>
      </c>
      <c r="C204" s="451"/>
      <c r="D204" s="58"/>
      <c r="E204" s="452">
        <f t="shared" ref="E204:Y204" si="828">+E198-E202</f>
        <v>6.5451170000000003</v>
      </c>
      <c r="F204" s="453">
        <f t="shared" si="828"/>
        <v>-5.1898470000000012</v>
      </c>
      <c r="G204" s="453">
        <f t="shared" si="828"/>
        <v>-10.524153000000004</v>
      </c>
      <c r="H204" s="452">
        <f t="shared" si="828"/>
        <v>-15.714000000000002</v>
      </c>
      <c r="I204" s="453">
        <f t="shared" si="828"/>
        <v>-11.595267</v>
      </c>
      <c r="J204" s="453">
        <f t="shared" si="828"/>
        <v>-19.659741000000004</v>
      </c>
      <c r="K204" s="452">
        <f t="shared" si="828"/>
        <v>-31.122999999999998</v>
      </c>
      <c r="L204" s="453">
        <f t="shared" si="828"/>
        <v>-19.246000000000002</v>
      </c>
      <c r="M204" s="453">
        <f t="shared" si="828"/>
        <v>-28.689000000000004</v>
      </c>
      <c r="N204" s="452">
        <f t="shared" si="828"/>
        <v>-47.934999999999995</v>
      </c>
      <c r="O204" s="453">
        <f t="shared" si="828"/>
        <v>-32.448</v>
      </c>
      <c r="P204" s="453">
        <f t="shared" si="828"/>
        <v>-48.016999999999996</v>
      </c>
      <c r="Q204" s="452">
        <f t="shared" si="828"/>
        <v>-80.464999999999989</v>
      </c>
      <c r="R204" s="453">
        <f t="shared" si="828"/>
        <v>-70.702000000000012</v>
      </c>
      <c r="S204" s="453">
        <f t="shared" si="828"/>
        <v>-33.297999999999981</v>
      </c>
      <c r="T204" s="452">
        <f t="shared" si="828"/>
        <v>-98.620999999999995</v>
      </c>
      <c r="U204" s="453">
        <f t="shared" si="828"/>
        <v>-7.805999999999977</v>
      </c>
      <c r="V204" s="453">
        <f t="shared" si="828"/>
        <v>10.426999999999985</v>
      </c>
      <c r="W204" s="452">
        <f t="shared" si="828"/>
        <v>2.6319999999999446</v>
      </c>
      <c r="X204" s="453">
        <f t="shared" si="828"/>
        <v>22.872999999999998</v>
      </c>
      <c r="Y204" s="453">
        <f t="shared" si="828"/>
        <v>15.042000000000005</v>
      </c>
      <c r="Z204" s="452">
        <f>+Z198-Z202</f>
        <v>37.915000000000084</v>
      </c>
      <c r="AA204" s="453">
        <f t="shared" ref="AA204" si="829">+AA198-AA202</f>
        <v>-4.8359999999999381</v>
      </c>
      <c r="AB204" s="435">
        <f t="shared" ref="AB204:BG204" si="830">+AB198-AB202</f>
        <v>-7.0840378318595292</v>
      </c>
      <c r="AC204" s="434">
        <f t="shared" si="830"/>
        <v>-10.815037831859645</v>
      </c>
      <c r="AD204" s="435">
        <f t="shared" si="830"/>
        <v>1.5428324386605432</v>
      </c>
      <c r="AE204" s="435">
        <f t="shared" si="830"/>
        <v>2.3999259413575</v>
      </c>
      <c r="AF204" s="434">
        <f t="shared" si="830"/>
        <v>3.942758380018212</v>
      </c>
      <c r="AG204" s="435">
        <f t="shared" si="830"/>
        <v>10.718558364296326</v>
      </c>
      <c r="AH204" s="435">
        <f t="shared" si="830"/>
        <v>13.002940377206498</v>
      </c>
      <c r="AI204" s="434">
        <f t="shared" si="830"/>
        <v>23.721498741502948</v>
      </c>
      <c r="AJ204" s="435">
        <f t="shared" si="830"/>
        <v>31.036958969668795</v>
      </c>
      <c r="AK204" s="435">
        <f t="shared" si="830"/>
        <v>34.399611886034734</v>
      </c>
      <c r="AL204" s="434">
        <f t="shared" si="830"/>
        <v>65.43657085570365</v>
      </c>
      <c r="AM204" s="435">
        <f t="shared" si="830"/>
        <v>73.255703244100729</v>
      </c>
      <c r="AN204" s="435">
        <f t="shared" si="830"/>
        <v>78.635676804863564</v>
      </c>
      <c r="AO204" s="434">
        <f t="shared" si="830"/>
        <v>151.89138004896407</v>
      </c>
      <c r="AP204" s="435">
        <f t="shared" si="830"/>
        <v>132.08682366439467</v>
      </c>
      <c r="AQ204" s="435">
        <f t="shared" si="830"/>
        <v>146.43169342911855</v>
      </c>
      <c r="AR204" s="434">
        <f t="shared" si="830"/>
        <v>278.5185170935132</v>
      </c>
      <c r="AS204" s="435">
        <f t="shared" si="830"/>
        <v>178.18297150409251</v>
      </c>
      <c r="AT204" s="435">
        <f t="shared" si="830"/>
        <v>196.47363286411948</v>
      </c>
      <c r="AU204" s="434">
        <f t="shared" si="830"/>
        <v>374.65660436821236</v>
      </c>
      <c r="AV204" s="435">
        <f t="shared" si="830"/>
        <v>230.42207802032257</v>
      </c>
      <c r="AW204" s="435">
        <f t="shared" si="830"/>
        <v>253.05073574516567</v>
      </c>
      <c r="AX204" s="434">
        <f t="shared" si="830"/>
        <v>483.47281376548824</v>
      </c>
      <c r="AY204" s="435">
        <f t="shared" si="830"/>
        <v>285.22335129502619</v>
      </c>
      <c r="AZ204" s="435">
        <f t="shared" si="830"/>
        <v>313.02660583284131</v>
      </c>
      <c r="BA204" s="434">
        <f t="shared" si="830"/>
        <v>598.24995712786767</v>
      </c>
      <c r="BB204" s="435">
        <f t="shared" si="830"/>
        <v>344.34775810858719</v>
      </c>
      <c r="BC204" s="435">
        <f t="shared" si="830"/>
        <v>377.10363748099843</v>
      </c>
      <c r="BD204" s="434">
        <f t="shared" si="830"/>
        <v>721.4513955895851</v>
      </c>
      <c r="BE204" s="435">
        <f t="shared" si="830"/>
        <v>404.67475491242635</v>
      </c>
      <c r="BF204" s="435">
        <f t="shared" si="830"/>
        <v>442.40582807768538</v>
      </c>
      <c r="BG204" s="434">
        <f t="shared" si="830"/>
        <v>847.08058299011122</v>
      </c>
    </row>
    <row r="205" spans="1:59" ht="13.35" customHeight="1">
      <c r="C205" s="500"/>
      <c r="E205" s="526"/>
      <c r="F205" s="527"/>
      <c r="G205" s="527"/>
      <c r="H205" s="526"/>
      <c r="I205" s="527"/>
      <c r="J205" s="527"/>
      <c r="K205" s="526"/>
      <c r="L205" s="527"/>
      <c r="M205" s="527"/>
      <c r="N205" s="526"/>
      <c r="O205" s="527"/>
      <c r="P205" s="527"/>
      <c r="Q205" s="526"/>
      <c r="R205" s="527"/>
      <c r="S205" s="432"/>
      <c r="T205" s="433"/>
      <c r="U205" s="527"/>
      <c r="V205" s="527"/>
      <c r="W205" s="526"/>
      <c r="X205" s="527"/>
      <c r="Y205" s="527"/>
      <c r="Z205" s="526"/>
      <c r="AA205" s="527"/>
      <c r="AB205" s="479"/>
      <c r="AC205" s="485"/>
      <c r="AD205" s="347"/>
      <c r="AE205" s="347"/>
      <c r="AF205" s="485"/>
      <c r="AG205" s="347"/>
      <c r="AH205" s="347"/>
      <c r="AI205" s="485"/>
      <c r="AJ205" s="347"/>
      <c r="AK205" s="347"/>
      <c r="AL205" s="485"/>
      <c r="AM205" s="347"/>
      <c r="AN205" s="347"/>
      <c r="AO205" s="485"/>
      <c r="AP205" s="347"/>
      <c r="AQ205" s="347"/>
      <c r="AR205" s="485"/>
      <c r="AS205" s="347"/>
      <c r="AT205" s="347"/>
      <c r="AU205" s="485"/>
      <c r="AV205" s="347"/>
      <c r="AW205" s="347"/>
      <c r="AX205" s="485"/>
      <c r="AY205" s="347"/>
      <c r="AZ205" s="347"/>
      <c r="BA205" s="485"/>
      <c r="BB205" s="347"/>
      <c r="BC205" s="347"/>
      <c r="BD205" s="485"/>
      <c r="BE205" s="347"/>
      <c r="BF205" s="347"/>
      <c r="BG205" s="485"/>
    </row>
    <row r="206" spans="1:59">
      <c r="A206" s="60" t="s">
        <v>53</v>
      </c>
      <c r="B206" s="446" t="s">
        <v>561</v>
      </c>
      <c r="C206" s="444"/>
      <c r="D206" s="444"/>
      <c r="E206" s="454"/>
      <c r="F206" s="455">
        <v>0</v>
      </c>
      <c r="G206" s="441">
        <f>+H206-F206</f>
        <v>-1.8839999999999999</v>
      </c>
      <c r="H206" s="456">
        <v>-1.8839999999999999</v>
      </c>
      <c r="I206" s="455">
        <v>-1.225903</v>
      </c>
      <c r="J206" s="441">
        <f>+K206-I206</f>
        <v>-2.0290970000000002</v>
      </c>
      <c r="K206" s="456">
        <v>-3.2549999999999999</v>
      </c>
      <c r="L206" s="440">
        <v>-0.94499999999999995</v>
      </c>
      <c r="M206" s="441">
        <f>+N206-L206</f>
        <v>-2.1030000000000002</v>
      </c>
      <c r="N206" s="442">
        <v>-3.048</v>
      </c>
      <c r="O206" s="440">
        <v>6.6000000000000003E-2</v>
      </c>
      <c r="P206" s="441">
        <f>+Q206-O206</f>
        <v>-2.1000000000000005E-2</v>
      </c>
      <c r="Q206" s="442">
        <v>4.4999999999999998E-2</v>
      </c>
      <c r="R206" s="440">
        <v>0.188</v>
      </c>
      <c r="S206" s="441">
        <f>+T206-R206</f>
        <v>5.2690000000000001</v>
      </c>
      <c r="T206" s="442">
        <v>5.4569999999999999</v>
      </c>
      <c r="U206" s="440">
        <v>1.327</v>
      </c>
      <c r="V206" s="441">
        <f>+W206-U206</f>
        <v>-2.9409999999999998</v>
      </c>
      <c r="W206" s="442">
        <v>-1.6140000000000001</v>
      </c>
      <c r="X206" s="440">
        <v>3.282</v>
      </c>
      <c r="Y206" s="441">
        <f>+Z206-X206</f>
        <v>0.9480000000000004</v>
      </c>
      <c r="Z206" s="442">
        <v>4.2300000000000004</v>
      </c>
      <c r="AA206" s="440">
        <v>-2.544</v>
      </c>
      <c r="AB206" s="441">
        <f>+AB204*AB231</f>
        <v>-1.6647488904869892</v>
      </c>
      <c r="AC206" s="443">
        <f>+SUM(AA206:AB206)</f>
        <v>-4.208748890486989</v>
      </c>
      <c r="AD206" s="441">
        <f>+AD204*AD231</f>
        <v>0.36256562308522761</v>
      </c>
      <c r="AE206" s="441">
        <f>+AE204*AE231</f>
        <v>0.56398259621901248</v>
      </c>
      <c r="AF206" s="443">
        <f t="shared" ref="AF206" si="831">+SUM(AD206:AE206)</f>
        <v>0.92654821930424003</v>
      </c>
      <c r="AG206" s="441">
        <f>+AG204*AG231</f>
        <v>2.5188612156096366</v>
      </c>
      <c r="AH206" s="441">
        <f>+AH204*AH231</f>
        <v>3.0556909886435268</v>
      </c>
      <c r="AI206" s="443">
        <f t="shared" ref="AI206" si="832">+SUM(AG206:AH206)</f>
        <v>5.5745522042531634</v>
      </c>
      <c r="AJ206" s="441">
        <f>+AJ204*AJ231</f>
        <v>7.2936853578721665</v>
      </c>
      <c r="AK206" s="441">
        <f>+AK204*AK231</f>
        <v>8.0839087932181624</v>
      </c>
      <c r="AL206" s="443">
        <f t="shared" ref="AL206" si="833">+SUM(AJ206:AK206)</f>
        <v>15.377594151090328</v>
      </c>
      <c r="AM206" s="441">
        <f>+AM204*AM231</f>
        <v>17.21509026236367</v>
      </c>
      <c r="AN206" s="441">
        <f>+AN204*AN231</f>
        <v>18.479384049142936</v>
      </c>
      <c r="AO206" s="443">
        <f t="shared" ref="AO206" si="834">+SUM(AM206:AN206)</f>
        <v>35.69447431150661</v>
      </c>
      <c r="AP206" s="441">
        <f>+AP204*AP231</f>
        <v>31.040403561132745</v>
      </c>
      <c r="AQ206" s="441">
        <f>+AQ204*AQ231</f>
        <v>34.41144795584286</v>
      </c>
      <c r="AR206" s="443">
        <f t="shared" ref="AR206" si="835">+SUM(AP206:AQ206)</f>
        <v>65.451851516975609</v>
      </c>
      <c r="AS206" s="441">
        <f>+AS204*AS231</f>
        <v>41.872998303461735</v>
      </c>
      <c r="AT206" s="441">
        <f>+AT204*AT231</f>
        <v>46.171303723068078</v>
      </c>
      <c r="AU206" s="443">
        <f t="shared" ref="AU206" si="836">+SUM(AS206:AT206)</f>
        <v>88.044302026529806</v>
      </c>
      <c r="AV206" s="441">
        <f>+AV204*AV231</f>
        <v>54.149188334775801</v>
      </c>
      <c r="AW206" s="441">
        <f>+AW204*AW231</f>
        <v>59.466922900113929</v>
      </c>
      <c r="AX206" s="443">
        <f t="shared" ref="AX206" si="837">+SUM(AV206:AW206)</f>
        <v>113.61611123488973</v>
      </c>
      <c r="AY206" s="441">
        <f>+AY204*AY231</f>
        <v>67.027487554331145</v>
      </c>
      <c r="AZ206" s="441">
        <f>+AZ204*AZ231</f>
        <v>73.56125237071771</v>
      </c>
      <c r="BA206" s="443">
        <f t="shared" ref="BA206" si="838">+SUM(AY206:AZ206)</f>
        <v>140.58873992504886</v>
      </c>
      <c r="BB206" s="441">
        <f>+BB204*BB231</f>
        <v>80.921723155517981</v>
      </c>
      <c r="BC206" s="441">
        <f>+BC204*BC231</f>
        <v>88.619354808034629</v>
      </c>
      <c r="BD206" s="443">
        <f t="shared" ref="BD206" si="839">+SUM(BB206:BC206)</f>
        <v>169.5410779635526</v>
      </c>
      <c r="BE206" s="441">
        <f>+BE204*BE231</f>
        <v>95.098567404420194</v>
      </c>
      <c r="BF206" s="441">
        <f>+BF204*BF231</f>
        <v>103.96536959825606</v>
      </c>
      <c r="BG206" s="443">
        <f t="shared" ref="BG206" si="840">+SUM(BE206:BF206)</f>
        <v>199.06393700267625</v>
      </c>
    </row>
    <row r="207" spans="1:59">
      <c r="C207" s="500"/>
      <c r="E207" s="526"/>
      <c r="F207" s="527"/>
      <c r="G207" s="527"/>
      <c r="H207" s="526"/>
      <c r="I207" s="527"/>
      <c r="J207" s="527"/>
      <c r="K207" s="526"/>
      <c r="L207" s="527"/>
      <c r="M207" s="527"/>
      <c r="N207" s="526"/>
      <c r="O207" s="527"/>
      <c r="P207" s="527"/>
      <c r="Q207" s="526"/>
      <c r="R207" s="527"/>
      <c r="S207" s="432"/>
      <c r="T207" s="433"/>
      <c r="U207" s="527"/>
      <c r="V207" s="527"/>
      <c r="W207" s="526"/>
      <c r="X207" s="527"/>
      <c r="Y207" s="527"/>
      <c r="Z207" s="526"/>
      <c r="AA207" s="527"/>
      <c r="AB207" s="479"/>
      <c r="AC207" s="485"/>
      <c r="AD207" s="347"/>
      <c r="AE207" s="347"/>
      <c r="AF207" s="485"/>
      <c r="AG207" s="347"/>
      <c r="AH207" s="347"/>
      <c r="AI207" s="485"/>
      <c r="AJ207" s="347"/>
      <c r="AK207" s="347"/>
      <c r="AL207" s="485"/>
      <c r="AM207" s="347"/>
      <c r="AN207" s="347"/>
      <c r="AO207" s="485"/>
      <c r="AP207" s="347"/>
      <c r="AQ207" s="347"/>
      <c r="AR207" s="485"/>
      <c r="AS207" s="347"/>
      <c r="AT207" s="347"/>
      <c r="AU207" s="485"/>
      <c r="AV207" s="347"/>
      <c r="AW207" s="347"/>
      <c r="AX207" s="485"/>
      <c r="AY207" s="347"/>
      <c r="AZ207" s="347"/>
      <c r="BA207" s="485"/>
      <c r="BB207" s="347"/>
      <c r="BC207" s="347"/>
      <c r="BD207" s="485"/>
      <c r="BE207" s="347"/>
      <c r="BF207" s="347"/>
      <c r="BG207" s="485"/>
    </row>
    <row r="208" spans="1:59">
      <c r="A208" s="51" t="s">
        <v>22</v>
      </c>
      <c r="B208" s="58" t="s">
        <v>21</v>
      </c>
      <c r="C208" s="451"/>
      <c r="D208" s="58"/>
      <c r="E208" s="452">
        <f t="shared" ref="E208:Y208" si="841">+E204-E206</f>
        <v>6.5451170000000003</v>
      </c>
      <c r="F208" s="453">
        <f t="shared" si="841"/>
        <v>-5.1898470000000012</v>
      </c>
      <c r="G208" s="453">
        <f t="shared" si="841"/>
        <v>-8.6401530000000033</v>
      </c>
      <c r="H208" s="452">
        <f t="shared" si="841"/>
        <v>-13.830000000000002</v>
      </c>
      <c r="I208" s="453">
        <f t="shared" si="841"/>
        <v>-10.369363999999999</v>
      </c>
      <c r="J208" s="453">
        <f t="shared" si="841"/>
        <v>-17.630644000000004</v>
      </c>
      <c r="K208" s="452">
        <f t="shared" si="841"/>
        <v>-27.867999999999999</v>
      </c>
      <c r="L208" s="453">
        <f t="shared" si="841"/>
        <v>-18.301000000000002</v>
      </c>
      <c r="M208" s="453">
        <f t="shared" si="841"/>
        <v>-26.586000000000002</v>
      </c>
      <c r="N208" s="452">
        <f t="shared" si="841"/>
        <v>-44.886999999999993</v>
      </c>
      <c r="O208" s="453">
        <f t="shared" si="841"/>
        <v>-32.514000000000003</v>
      </c>
      <c r="P208" s="453">
        <f t="shared" si="841"/>
        <v>-47.995999999999995</v>
      </c>
      <c r="Q208" s="452">
        <f t="shared" si="841"/>
        <v>-80.509999999999991</v>
      </c>
      <c r="R208" s="453">
        <f t="shared" si="841"/>
        <v>-70.890000000000015</v>
      </c>
      <c r="S208" s="453">
        <f t="shared" si="841"/>
        <v>-38.566999999999979</v>
      </c>
      <c r="T208" s="452">
        <f t="shared" si="841"/>
        <v>-104.07799999999999</v>
      </c>
      <c r="U208" s="453">
        <f t="shared" si="841"/>
        <v>-9.1329999999999778</v>
      </c>
      <c r="V208" s="453">
        <f t="shared" si="841"/>
        <v>13.367999999999984</v>
      </c>
      <c r="W208" s="452">
        <f t="shared" si="841"/>
        <v>4.2459999999999445</v>
      </c>
      <c r="X208" s="453">
        <f t="shared" si="841"/>
        <v>19.590999999999998</v>
      </c>
      <c r="Y208" s="453">
        <f t="shared" si="841"/>
        <v>14.094000000000005</v>
      </c>
      <c r="Z208" s="452">
        <f>+Z204-Z206</f>
        <v>33.685000000000088</v>
      </c>
      <c r="AA208" s="453">
        <f t="shared" ref="AA208" si="842">+AA204-AA206</f>
        <v>-2.2919999999999381</v>
      </c>
      <c r="AB208" s="435">
        <f t="shared" ref="AB208:BG208" si="843">+AB204-AB206</f>
        <v>-5.4192889413725398</v>
      </c>
      <c r="AC208" s="434">
        <f t="shared" si="843"/>
        <v>-6.6062889413726555</v>
      </c>
      <c r="AD208" s="435">
        <f t="shared" si="843"/>
        <v>1.1802668155753155</v>
      </c>
      <c r="AE208" s="435">
        <f t="shared" si="843"/>
        <v>1.8359433451384874</v>
      </c>
      <c r="AF208" s="434">
        <f t="shared" si="843"/>
        <v>3.016210160713972</v>
      </c>
      <c r="AG208" s="435">
        <f t="shared" si="843"/>
        <v>8.1996971486866901</v>
      </c>
      <c r="AH208" s="435">
        <f t="shared" si="843"/>
        <v>9.9472493885629714</v>
      </c>
      <c r="AI208" s="434">
        <f t="shared" si="843"/>
        <v>18.146946537249786</v>
      </c>
      <c r="AJ208" s="435">
        <f t="shared" si="843"/>
        <v>23.743273611796628</v>
      </c>
      <c r="AK208" s="435">
        <f t="shared" si="843"/>
        <v>26.31570309281657</v>
      </c>
      <c r="AL208" s="434">
        <f t="shared" si="843"/>
        <v>50.058976704613322</v>
      </c>
      <c r="AM208" s="435">
        <f t="shared" si="843"/>
        <v>56.040612981737056</v>
      </c>
      <c r="AN208" s="435">
        <f t="shared" si="843"/>
        <v>60.156292755720628</v>
      </c>
      <c r="AO208" s="434">
        <f t="shared" si="843"/>
        <v>116.19690573745746</v>
      </c>
      <c r="AP208" s="435">
        <f t="shared" si="843"/>
        <v>101.04642010326192</v>
      </c>
      <c r="AQ208" s="435">
        <f t="shared" si="843"/>
        <v>112.02024547327569</v>
      </c>
      <c r="AR208" s="434">
        <f t="shared" si="843"/>
        <v>213.06666557653759</v>
      </c>
      <c r="AS208" s="435">
        <f t="shared" si="843"/>
        <v>136.30997320063076</v>
      </c>
      <c r="AT208" s="435">
        <f t="shared" si="843"/>
        <v>150.30232914105142</v>
      </c>
      <c r="AU208" s="434">
        <f t="shared" si="843"/>
        <v>286.61230234168255</v>
      </c>
      <c r="AV208" s="435">
        <f t="shared" si="843"/>
        <v>176.27288968554677</v>
      </c>
      <c r="AW208" s="435">
        <f t="shared" si="843"/>
        <v>193.58381284505174</v>
      </c>
      <c r="AX208" s="434">
        <f t="shared" si="843"/>
        <v>369.85670253059851</v>
      </c>
      <c r="AY208" s="435">
        <f t="shared" si="843"/>
        <v>218.19586374069505</v>
      </c>
      <c r="AZ208" s="435">
        <f t="shared" si="843"/>
        <v>239.4653534621236</v>
      </c>
      <c r="BA208" s="434">
        <f t="shared" si="843"/>
        <v>457.66121720281882</v>
      </c>
      <c r="BB208" s="435">
        <f t="shared" si="843"/>
        <v>263.42603495306923</v>
      </c>
      <c r="BC208" s="435">
        <f t="shared" si="843"/>
        <v>288.48428267296379</v>
      </c>
      <c r="BD208" s="434">
        <f t="shared" si="843"/>
        <v>551.91031762603257</v>
      </c>
      <c r="BE208" s="435">
        <f t="shared" si="843"/>
        <v>309.57618750800617</v>
      </c>
      <c r="BF208" s="435">
        <f t="shared" si="843"/>
        <v>338.44045847942931</v>
      </c>
      <c r="BG208" s="434">
        <f t="shared" si="843"/>
        <v>648.01664598743491</v>
      </c>
    </row>
    <row r="209" spans="1:59">
      <c r="C209" s="500"/>
      <c r="E209" s="526"/>
      <c r="F209" s="527"/>
      <c r="G209" s="527"/>
      <c r="H209" s="526"/>
      <c r="I209" s="527"/>
      <c r="J209" s="527"/>
      <c r="K209" s="526"/>
      <c r="L209" s="527"/>
      <c r="M209" s="527"/>
      <c r="N209" s="526"/>
      <c r="O209" s="527"/>
      <c r="P209" s="527"/>
      <c r="Q209" s="526"/>
      <c r="R209" s="527"/>
      <c r="S209" s="432"/>
      <c r="T209" s="433"/>
      <c r="U209" s="527"/>
      <c r="V209" s="527"/>
      <c r="W209" s="526"/>
      <c r="X209" s="527"/>
      <c r="Y209" s="527"/>
      <c r="Z209" s="526"/>
      <c r="AA209" s="527"/>
      <c r="AB209" s="530"/>
      <c r="AC209" s="529"/>
      <c r="AD209" s="432"/>
      <c r="AE209" s="432"/>
      <c r="AF209" s="529"/>
      <c r="AG209" s="432"/>
      <c r="AH209" s="432"/>
      <c r="AI209" s="529"/>
      <c r="AJ209" s="432"/>
      <c r="AK209" s="432"/>
      <c r="AL209" s="529"/>
      <c r="AM209" s="432"/>
      <c r="AN209" s="432"/>
      <c r="AO209" s="529"/>
      <c r="AP209" s="432"/>
      <c r="AQ209" s="432"/>
      <c r="AR209" s="529"/>
      <c r="AS209" s="432"/>
      <c r="AT209" s="432"/>
      <c r="AU209" s="529"/>
      <c r="AV209" s="432"/>
      <c r="AW209" s="432"/>
      <c r="AX209" s="529"/>
      <c r="AY209" s="432"/>
      <c r="AZ209" s="432"/>
      <c r="BA209" s="529"/>
      <c r="BB209" s="432"/>
      <c r="BC209" s="432"/>
      <c r="BD209" s="529"/>
      <c r="BE209" s="432"/>
      <c r="BF209" s="432"/>
      <c r="BG209" s="529"/>
    </row>
    <row r="210" spans="1:59">
      <c r="B210" s="457" t="s">
        <v>562</v>
      </c>
      <c r="C210" s="531"/>
      <c r="D210" s="531"/>
      <c r="E210" s="532"/>
      <c r="F210" s="532"/>
      <c r="G210" s="532"/>
      <c r="H210" s="532"/>
      <c r="I210" s="532"/>
      <c r="J210" s="532"/>
      <c r="K210" s="532"/>
      <c r="L210" s="532"/>
      <c r="M210" s="532"/>
      <c r="N210" s="532"/>
      <c r="O210" s="532"/>
      <c r="P210" s="532"/>
      <c r="Q210" s="532"/>
      <c r="R210" s="532"/>
      <c r="S210" s="532"/>
      <c r="T210" s="533"/>
      <c r="U210" s="532"/>
      <c r="V210" s="532"/>
      <c r="W210" s="533"/>
      <c r="X210" s="532"/>
      <c r="Y210" s="532"/>
      <c r="Z210" s="533"/>
      <c r="AA210" s="532"/>
      <c r="AB210" s="532"/>
      <c r="AC210" s="533"/>
      <c r="AD210" s="532"/>
      <c r="AE210" s="532"/>
      <c r="AF210" s="533"/>
      <c r="AG210" s="532"/>
      <c r="AH210" s="532"/>
      <c r="AI210" s="533"/>
      <c r="AJ210" s="532"/>
      <c r="AK210" s="532"/>
      <c r="AL210" s="533"/>
      <c r="AM210" s="532"/>
      <c r="AN210" s="532"/>
      <c r="AO210" s="533"/>
      <c r="AP210" s="532"/>
      <c r="AQ210" s="532"/>
      <c r="AR210" s="533"/>
      <c r="AS210" s="532"/>
      <c r="AT210" s="532"/>
      <c r="AU210" s="533"/>
      <c r="AV210" s="532"/>
      <c r="AW210" s="532"/>
      <c r="AX210" s="533"/>
      <c r="AY210" s="532"/>
      <c r="AZ210" s="532"/>
      <c r="BA210" s="533"/>
      <c r="BB210" s="532"/>
      <c r="BC210" s="532"/>
      <c r="BD210" s="533"/>
      <c r="BE210" s="532"/>
      <c r="BF210" s="532"/>
      <c r="BG210" s="533"/>
    </row>
    <row r="211" spans="1:59">
      <c r="A211" s="458"/>
      <c r="B211" s="459" t="s">
        <v>563</v>
      </c>
      <c r="C211" s="459"/>
      <c r="D211" s="52"/>
      <c r="E211" s="224" t="str">
        <f t="shared" ref="E211:Z211" si="844">IFERROR(-E212/E17,"NA")</f>
        <v>NA</v>
      </c>
      <c r="F211" s="225" t="str">
        <f t="shared" si="844"/>
        <v>NA</v>
      </c>
      <c r="G211" s="225">
        <f t="shared" si="844"/>
        <v>-0.36162051282051283</v>
      </c>
      <c r="H211" s="224">
        <f t="shared" si="844"/>
        <v>0</v>
      </c>
      <c r="I211" s="225">
        <f t="shared" si="844"/>
        <v>3.3028299281101202E-2</v>
      </c>
      <c r="J211" s="225">
        <f t="shared" si="844"/>
        <v>0.2056800068126019</v>
      </c>
      <c r="K211" s="224">
        <f t="shared" si="844"/>
        <v>0.11563845050215209</v>
      </c>
      <c r="L211" s="225">
        <f t="shared" si="844"/>
        <v>0.12445550715619166</v>
      </c>
      <c r="M211" s="225">
        <f t="shared" si="844"/>
        <v>1.3311148086522459E-2</v>
      </c>
      <c r="N211" s="224">
        <f t="shared" si="844"/>
        <v>4.7573374256666023E-2</v>
      </c>
      <c r="O211" s="225">
        <f t="shared" si="844"/>
        <v>0.11305841924398626</v>
      </c>
      <c r="P211" s="225">
        <f t="shared" si="844"/>
        <v>0.21553563807084936</v>
      </c>
      <c r="Q211" s="224">
        <f t="shared" si="844"/>
        <v>0.1762769878883623</v>
      </c>
      <c r="R211" s="225">
        <f t="shared" si="844"/>
        <v>9.8723333471950767E-2</v>
      </c>
      <c r="S211" s="225">
        <f t="shared" si="844"/>
        <v>3.4281766128380214E-2</v>
      </c>
      <c r="T211" s="224">
        <f t="shared" si="844"/>
        <v>4.3961123326004395E-2</v>
      </c>
      <c r="U211" s="225">
        <f t="shared" si="844"/>
        <v>1.39128798317012E-2</v>
      </c>
      <c r="V211" s="225">
        <f t="shared" si="844"/>
        <v>2.3002795949944355E-2</v>
      </c>
      <c r="W211" s="224">
        <f t="shared" si="844"/>
        <v>1.8941191309936396E-2</v>
      </c>
      <c r="X211" s="225">
        <f t="shared" si="844"/>
        <v>1.279991319263306E-2</v>
      </c>
      <c r="Y211" s="225">
        <f t="shared" si="844"/>
        <v>2.1845887195782482E-2</v>
      </c>
      <c r="Z211" s="224">
        <f t="shared" si="844"/>
        <v>1.7649757719954081E-2</v>
      </c>
      <c r="AA211" s="225">
        <f t="shared" ref="AA211" si="845">IFERROR(-AA212/AA17,"NA")</f>
        <v>1.7081711962578038E-2</v>
      </c>
      <c r="AB211" s="423">
        <v>2.5000000000000001E-2</v>
      </c>
      <c r="AC211" s="425">
        <f t="shared" ref="AC211:BG211" si="846">+AB211</f>
        <v>2.5000000000000001E-2</v>
      </c>
      <c r="AD211" s="424">
        <v>0.03</v>
      </c>
      <c r="AE211" s="424">
        <f t="shared" si="846"/>
        <v>0.03</v>
      </c>
      <c r="AF211" s="425">
        <f t="shared" si="846"/>
        <v>0.03</v>
      </c>
      <c r="AG211" s="423">
        <v>1.4999999999999999E-2</v>
      </c>
      <c r="AH211" s="424">
        <f t="shared" si="846"/>
        <v>1.4999999999999999E-2</v>
      </c>
      <c r="AI211" s="425">
        <f t="shared" si="846"/>
        <v>1.4999999999999999E-2</v>
      </c>
      <c r="AJ211" s="424">
        <f t="shared" si="846"/>
        <v>1.4999999999999999E-2</v>
      </c>
      <c r="AK211" s="424">
        <f t="shared" si="846"/>
        <v>1.4999999999999999E-2</v>
      </c>
      <c r="AL211" s="425">
        <f t="shared" si="846"/>
        <v>1.4999999999999999E-2</v>
      </c>
      <c r="AM211" s="424">
        <f t="shared" si="846"/>
        <v>1.4999999999999999E-2</v>
      </c>
      <c r="AN211" s="424">
        <f t="shared" si="846"/>
        <v>1.4999999999999999E-2</v>
      </c>
      <c r="AO211" s="425">
        <f t="shared" si="846"/>
        <v>1.4999999999999999E-2</v>
      </c>
      <c r="AP211" s="424">
        <f t="shared" si="846"/>
        <v>1.4999999999999999E-2</v>
      </c>
      <c r="AQ211" s="424">
        <f t="shared" si="846"/>
        <v>1.4999999999999999E-2</v>
      </c>
      <c r="AR211" s="425">
        <f t="shared" si="846"/>
        <v>1.4999999999999999E-2</v>
      </c>
      <c r="AS211" s="424">
        <f t="shared" si="846"/>
        <v>1.4999999999999999E-2</v>
      </c>
      <c r="AT211" s="424">
        <f t="shared" si="846"/>
        <v>1.4999999999999999E-2</v>
      </c>
      <c r="AU211" s="425">
        <f t="shared" si="846"/>
        <v>1.4999999999999999E-2</v>
      </c>
      <c r="AV211" s="424">
        <f t="shared" si="846"/>
        <v>1.4999999999999999E-2</v>
      </c>
      <c r="AW211" s="424">
        <f t="shared" si="846"/>
        <v>1.4999999999999999E-2</v>
      </c>
      <c r="AX211" s="425">
        <f t="shared" si="846"/>
        <v>1.4999999999999999E-2</v>
      </c>
      <c r="AY211" s="424">
        <f t="shared" si="846"/>
        <v>1.4999999999999999E-2</v>
      </c>
      <c r="AZ211" s="424">
        <f t="shared" si="846"/>
        <v>1.4999999999999999E-2</v>
      </c>
      <c r="BA211" s="425">
        <f t="shared" si="846"/>
        <v>1.4999999999999999E-2</v>
      </c>
      <c r="BB211" s="424">
        <f t="shared" si="846"/>
        <v>1.4999999999999999E-2</v>
      </c>
      <c r="BC211" s="424">
        <f t="shared" si="846"/>
        <v>1.4999999999999999E-2</v>
      </c>
      <c r="BD211" s="425">
        <f t="shared" si="846"/>
        <v>1.4999999999999999E-2</v>
      </c>
      <c r="BE211" s="424">
        <f t="shared" si="846"/>
        <v>1.4999999999999999E-2</v>
      </c>
      <c r="BF211" s="424">
        <f t="shared" si="846"/>
        <v>1.4999999999999999E-2</v>
      </c>
      <c r="BG211" s="425">
        <f t="shared" si="846"/>
        <v>1.4999999999999999E-2</v>
      </c>
    </row>
    <row r="212" spans="1:59">
      <c r="B212" s="53" t="s">
        <v>564</v>
      </c>
      <c r="E212" s="485">
        <v>-5.6420000000000003E-3</v>
      </c>
      <c r="F212" s="479">
        <v>-7.0516000000000009E-2</v>
      </c>
      <c r="G212" s="479">
        <f t="shared" ref="G212" si="847">H212-F212</f>
        <v>7.0516000000000009E-2</v>
      </c>
      <c r="H212" s="485">
        <v>0</v>
      </c>
      <c r="I212" s="479">
        <v>-6.0028999999999999E-2</v>
      </c>
      <c r="J212" s="479">
        <f t="shared" ref="J212" si="848">K212-I212</f>
        <v>-0.34297100000000003</v>
      </c>
      <c r="K212" s="485">
        <v>-0.40300000000000002</v>
      </c>
      <c r="L212" s="479">
        <v>-0.2</v>
      </c>
      <c r="M212" s="479">
        <f t="shared" ref="M212" si="849">N212-L212</f>
        <v>-4.7999999999999987E-2</v>
      </c>
      <c r="N212" s="485">
        <v>-0.248</v>
      </c>
      <c r="O212" s="479">
        <v>-0.32900000000000001</v>
      </c>
      <c r="P212" s="479">
        <f t="shared" ref="P212" si="850">Q212-O212</f>
        <v>-1.01</v>
      </c>
      <c r="Q212" s="485">
        <v>-1.339</v>
      </c>
      <c r="R212" s="479">
        <v>-2.3740000000000001</v>
      </c>
      <c r="S212" s="479">
        <f t="shared" ref="S212" si="851">T212-R212</f>
        <v>-4.6639999999999997</v>
      </c>
      <c r="T212" s="485">
        <v>-7.0380000000000003</v>
      </c>
      <c r="U212" s="479">
        <f>+Model!U129</f>
        <v>-2.0699999999999998</v>
      </c>
      <c r="V212" s="479">
        <f>+Model!V129</f>
        <v>-4.2370000000000001</v>
      </c>
      <c r="W212" s="485">
        <f>+Model!W129</f>
        <v>-6.3070000000000004</v>
      </c>
      <c r="X212" s="479">
        <f>+Model!X129</f>
        <v>-3.0670000000000002</v>
      </c>
      <c r="Y212" s="479">
        <f>+Model!Y129</f>
        <v>-6.0500000000000007</v>
      </c>
      <c r="Z212" s="485">
        <f>+Model!Z129</f>
        <v>-9.1170000000000009</v>
      </c>
      <c r="AA212" s="479">
        <f>+Model!AA129</f>
        <v>-6.6680000000000001</v>
      </c>
      <c r="AB212" s="479">
        <f>AC212-AA212</f>
        <v>-13.442023023459978</v>
      </c>
      <c r="AC212" s="485">
        <f>-AC17*AC211</f>
        <v>-20.110023023459977</v>
      </c>
      <c r="AD212" s="479">
        <f>-AD17*AD211</f>
        <v>-13.295066888119697</v>
      </c>
      <c r="AE212" s="479">
        <f>AF212-AD212</f>
        <v>-13.932060962027835</v>
      </c>
      <c r="AF212" s="485">
        <f>-AF17*AF211</f>
        <v>-27.227127850147532</v>
      </c>
      <c r="AG212" s="479">
        <f>-AG17*AG211</f>
        <v>-7.565352204469888</v>
      </c>
      <c r="AH212" s="479">
        <f>AI212-AG212</f>
        <v>-7.8020646873053972</v>
      </c>
      <c r="AI212" s="485">
        <f>-AI17*AI211</f>
        <v>-15.367416891775285</v>
      </c>
      <c r="AJ212" s="479">
        <f>-AJ17*AJ211</f>
        <v>-8.5539207508816819</v>
      </c>
      <c r="AK212" s="479">
        <f>AL212-AJ212</f>
        <v>-8.8270441585707307</v>
      </c>
      <c r="AL212" s="485">
        <f>-AL17*AL211</f>
        <v>-17.380964909452413</v>
      </c>
      <c r="AM212" s="479">
        <f>-AM17*AM211</f>
        <v>-11.050777535451024</v>
      </c>
      <c r="AN212" s="479">
        <f>AO212-AM212</f>
        <v>-11.421644218479633</v>
      </c>
      <c r="AO212" s="485">
        <f>-AO17*AO211</f>
        <v>-22.472421753930657</v>
      </c>
      <c r="AP212" s="479">
        <f>-AP17*AP211</f>
        <v>-12.913431888901734</v>
      </c>
      <c r="AQ212" s="479">
        <f>AR212-AP212</f>
        <v>-13.809506857014981</v>
      </c>
      <c r="AR212" s="485">
        <f>-AR17*AR211</f>
        <v>-26.722938745916714</v>
      </c>
      <c r="AS212" s="479">
        <f>-AS17*AS211</f>
        <v>-14.85360390932502</v>
      </c>
      <c r="AT212" s="479">
        <f>AU212-AS212</f>
        <v>-15.900817647788504</v>
      </c>
      <c r="AU212" s="485">
        <f>-AU17*AU211</f>
        <v>-30.754421557113524</v>
      </c>
      <c r="AV212" s="479">
        <f>-AV17*AV211</f>
        <v>-16.838177851379783</v>
      </c>
      <c r="AW212" s="479">
        <f>AX212-AV212</f>
        <v>-18.037172145982659</v>
      </c>
      <c r="AX212" s="485">
        <f>-AX17*AX211</f>
        <v>-34.875349997362441</v>
      </c>
      <c r="AY212" s="479">
        <f>-AY17*AY211</f>
        <v>-18.758841546552901</v>
      </c>
      <c r="AZ212" s="479">
        <f>BA212-AY212</f>
        <v>-20.123702143201662</v>
      </c>
      <c r="BA212" s="485">
        <f>-BA17*BA211</f>
        <v>-38.882543689754563</v>
      </c>
      <c r="BB212" s="479">
        <f>-BB17*BB211</f>
        <v>-20.662669811191652</v>
      </c>
      <c r="BC212" s="479">
        <f>BD212-BB212</f>
        <v>-22.175680704059236</v>
      </c>
      <c r="BD212" s="485">
        <f>-BD17*BD211</f>
        <v>-42.838350515250887</v>
      </c>
      <c r="BE212" s="479">
        <f>-BE17*BE211</f>
        <v>-22.421638525238041</v>
      </c>
      <c r="BF212" s="479">
        <f>BG212-BE212</f>
        <v>-24.070140869824431</v>
      </c>
      <c r="BG212" s="485">
        <f>-BG17*BG211</f>
        <v>-46.491779395062473</v>
      </c>
    </row>
    <row r="213" spans="1:59">
      <c r="E213" s="346"/>
      <c r="F213" s="479"/>
      <c r="G213" s="479"/>
      <c r="H213" s="346"/>
      <c r="I213" s="479"/>
      <c r="J213" s="479"/>
      <c r="K213" s="346"/>
      <c r="L213" s="479"/>
      <c r="M213" s="479"/>
      <c r="N213" s="346"/>
      <c r="O213" s="479"/>
      <c r="P213" s="479"/>
      <c r="Q213" s="346"/>
      <c r="R213" s="479"/>
      <c r="S213" s="479"/>
      <c r="T213" s="346"/>
      <c r="U213" s="479"/>
      <c r="V213" s="479"/>
      <c r="W213" s="346"/>
      <c r="X213" s="347"/>
      <c r="Y213" s="479"/>
      <c r="Z213" s="346"/>
      <c r="AA213" s="347"/>
      <c r="AB213" s="479"/>
      <c r="AC213" s="346"/>
      <c r="AD213" s="347"/>
      <c r="AE213" s="479"/>
      <c r="AF213" s="346"/>
      <c r="AG213" s="347"/>
      <c r="AH213" s="479"/>
      <c r="AI213" s="346"/>
      <c r="AJ213" s="347"/>
      <c r="AK213" s="479"/>
      <c r="AL213" s="346"/>
      <c r="AM213" s="347"/>
      <c r="AN213" s="479"/>
      <c r="AO213" s="346"/>
      <c r="AP213" s="347"/>
      <c r="AQ213" s="479"/>
      <c r="AR213" s="346"/>
      <c r="AS213" s="347"/>
      <c r="AT213" s="479"/>
      <c r="AU213" s="346"/>
      <c r="AV213" s="347"/>
      <c r="AW213" s="479"/>
      <c r="AX213" s="346"/>
      <c r="AY213" s="347"/>
      <c r="AZ213" s="479"/>
      <c r="BA213" s="346"/>
      <c r="BB213" s="347"/>
      <c r="BC213" s="479"/>
      <c r="BD213" s="346"/>
      <c r="BE213" s="347"/>
      <c r="BF213" s="479"/>
      <c r="BG213" s="346"/>
    </row>
    <row r="214" spans="1:59">
      <c r="A214" s="458"/>
      <c r="B214" s="459" t="s">
        <v>565</v>
      </c>
      <c r="C214" s="459"/>
      <c r="D214" s="52"/>
      <c r="E214" s="224" t="str">
        <f t="shared" ref="E214:Z214" si="852">IFERROR(-E215/E17,"NA")</f>
        <v>NA</v>
      </c>
      <c r="F214" s="225" t="str">
        <f t="shared" si="852"/>
        <v>NA</v>
      </c>
      <c r="G214" s="225">
        <f t="shared" si="852"/>
        <v>0</v>
      </c>
      <c r="H214" s="224">
        <f t="shared" si="852"/>
        <v>0</v>
      </c>
      <c r="I214" s="225">
        <f t="shared" si="852"/>
        <v>2.7984013222543912E-2</v>
      </c>
      <c r="J214" s="225">
        <f t="shared" si="852"/>
        <v>8.4791705897098515E-3</v>
      </c>
      <c r="K214" s="224">
        <f t="shared" si="852"/>
        <v>1.865136298421808E-2</v>
      </c>
      <c r="L214" s="225">
        <f t="shared" si="852"/>
        <v>0</v>
      </c>
      <c r="M214" s="225">
        <f t="shared" si="852"/>
        <v>2.0521353300055462E-2</v>
      </c>
      <c r="N214" s="224">
        <f t="shared" si="852"/>
        <v>1.4195281028198734E-2</v>
      </c>
      <c r="O214" s="225">
        <f t="shared" si="852"/>
        <v>1.0309278350515464E-3</v>
      </c>
      <c r="P214" s="225">
        <f t="shared" si="852"/>
        <v>-6.4020486555697821E-4</v>
      </c>
      <c r="Q214" s="224">
        <f t="shared" si="852"/>
        <v>0</v>
      </c>
      <c r="R214" s="225">
        <f t="shared" si="852"/>
        <v>0.28373601696677342</v>
      </c>
      <c r="S214" s="225">
        <f t="shared" si="852"/>
        <v>0</v>
      </c>
      <c r="T214" s="224">
        <f t="shared" si="852"/>
        <v>4.2618179092544478E-2</v>
      </c>
      <c r="U214" s="225">
        <f t="shared" si="852"/>
        <v>0</v>
      </c>
      <c r="V214" s="225">
        <f t="shared" si="852"/>
        <v>4.3540812725644026E-3</v>
      </c>
      <c r="W214" s="224">
        <f t="shared" si="852"/>
        <v>2.408567532990168E-3</v>
      </c>
      <c r="X214" s="225">
        <f t="shared" si="852"/>
        <v>3.2147939785736053E-2</v>
      </c>
      <c r="Y214" s="225">
        <f t="shared" si="852"/>
        <v>1.9368816350111936E-2</v>
      </c>
      <c r="Z214" s="224">
        <f t="shared" si="852"/>
        <v>2.5296630923180866E-2</v>
      </c>
      <c r="AA214" s="225">
        <f t="shared" ref="AA214" si="853">IFERROR(-AA215/AA17,"NA")</f>
        <v>4.3828885718018545E-2</v>
      </c>
      <c r="AB214" s="423">
        <v>0.02</v>
      </c>
      <c r="AC214" s="425">
        <f t="shared" ref="AC214:BG214" si="854">+AB214</f>
        <v>0.02</v>
      </c>
      <c r="AD214" s="424">
        <f>+AB214</f>
        <v>0.02</v>
      </c>
      <c r="AE214" s="424">
        <f t="shared" si="854"/>
        <v>0.02</v>
      </c>
      <c r="AF214" s="425">
        <f t="shared" si="854"/>
        <v>0.02</v>
      </c>
      <c r="AG214" s="424">
        <f t="shared" si="854"/>
        <v>0.02</v>
      </c>
      <c r="AH214" s="424">
        <f t="shared" si="854"/>
        <v>0.02</v>
      </c>
      <c r="AI214" s="425">
        <f t="shared" si="854"/>
        <v>0.02</v>
      </c>
      <c r="AJ214" s="424">
        <f t="shared" si="854"/>
        <v>0.02</v>
      </c>
      <c r="AK214" s="424">
        <f t="shared" si="854"/>
        <v>0.02</v>
      </c>
      <c r="AL214" s="425">
        <f t="shared" si="854"/>
        <v>0.02</v>
      </c>
      <c r="AM214" s="424">
        <f t="shared" si="854"/>
        <v>0.02</v>
      </c>
      <c r="AN214" s="424">
        <f t="shared" si="854"/>
        <v>0.02</v>
      </c>
      <c r="AO214" s="425">
        <f t="shared" si="854"/>
        <v>0.02</v>
      </c>
      <c r="AP214" s="424">
        <f>+AN214</f>
        <v>0.02</v>
      </c>
      <c r="AQ214" s="424">
        <f t="shared" si="854"/>
        <v>0.02</v>
      </c>
      <c r="AR214" s="425">
        <f t="shared" si="854"/>
        <v>0.02</v>
      </c>
      <c r="AS214" s="424">
        <f t="shared" si="854"/>
        <v>0.02</v>
      </c>
      <c r="AT214" s="424">
        <f t="shared" si="854"/>
        <v>0.02</v>
      </c>
      <c r="AU214" s="425">
        <f t="shared" si="854"/>
        <v>0.02</v>
      </c>
      <c r="AV214" s="424">
        <f t="shared" si="854"/>
        <v>0.02</v>
      </c>
      <c r="AW214" s="424">
        <f t="shared" si="854"/>
        <v>0.02</v>
      </c>
      <c r="AX214" s="425">
        <f t="shared" si="854"/>
        <v>0.02</v>
      </c>
      <c r="AY214" s="424">
        <f t="shared" si="854"/>
        <v>0.02</v>
      </c>
      <c r="AZ214" s="424">
        <f t="shared" si="854"/>
        <v>0.02</v>
      </c>
      <c r="BA214" s="425">
        <f t="shared" si="854"/>
        <v>0.02</v>
      </c>
      <c r="BB214" s="424">
        <f t="shared" si="854"/>
        <v>0.02</v>
      </c>
      <c r="BC214" s="424">
        <f t="shared" si="854"/>
        <v>0.02</v>
      </c>
      <c r="BD214" s="425">
        <f t="shared" si="854"/>
        <v>0.02</v>
      </c>
      <c r="BE214" s="424">
        <f t="shared" si="854"/>
        <v>0.02</v>
      </c>
      <c r="BF214" s="424">
        <f t="shared" si="854"/>
        <v>0.02</v>
      </c>
      <c r="BG214" s="425">
        <f t="shared" si="854"/>
        <v>0.02</v>
      </c>
    </row>
    <row r="215" spans="1:59">
      <c r="B215" s="53" t="s">
        <v>566</v>
      </c>
      <c r="E215" s="485">
        <f>Model!E131</f>
        <v>0</v>
      </c>
      <c r="F215" s="479">
        <f>Model!F131</f>
        <v>0</v>
      </c>
      <c r="G215" s="479">
        <f>Model!G131</f>
        <v>0</v>
      </c>
      <c r="H215" s="485">
        <f>Model!H131</f>
        <v>0</v>
      </c>
      <c r="I215" s="479">
        <f>Model!I131</f>
        <v>-5.0861000000000003E-2</v>
      </c>
      <c r="J215" s="479">
        <f>Model!J131</f>
        <v>-1.4138999999999999E-2</v>
      </c>
      <c r="K215" s="485">
        <f>Model!K131</f>
        <v>-6.5000000000000002E-2</v>
      </c>
      <c r="L215" s="479">
        <f>Model!L131</f>
        <v>0</v>
      </c>
      <c r="M215" s="479">
        <f>Model!M131</f>
        <v>-7.3999999999999996E-2</v>
      </c>
      <c r="N215" s="485">
        <f>Model!N131</f>
        <v>-7.3999999999999996E-2</v>
      </c>
      <c r="O215" s="479">
        <f>Model!O131</f>
        <v>-3.0000000000000001E-3</v>
      </c>
      <c r="P215" s="479">
        <f>Model!P131</f>
        <v>3.0000000000000001E-3</v>
      </c>
      <c r="Q215" s="485">
        <f>Model!Q131</f>
        <v>0</v>
      </c>
      <c r="R215" s="479">
        <f>Model!R131</f>
        <v>-6.8230000000000004</v>
      </c>
      <c r="S215" s="479">
        <f>Model!S131</f>
        <v>0</v>
      </c>
      <c r="T215" s="485">
        <f>Model!T131</f>
        <v>-6.8230000000000004</v>
      </c>
      <c r="U215" s="479">
        <f>Model!U131</f>
        <v>0</v>
      </c>
      <c r="V215" s="479">
        <f>Model!V131</f>
        <v>-0.80200000000000005</v>
      </c>
      <c r="W215" s="485">
        <f>Model!W131</f>
        <v>-0.80200000000000005</v>
      </c>
      <c r="X215" s="479">
        <f>Model!X131</f>
        <v>-7.7030000000000003</v>
      </c>
      <c r="Y215" s="479">
        <f>Model!Y131</f>
        <v>-5.3639999999999999</v>
      </c>
      <c r="Z215" s="485">
        <f>Model!Z131</f>
        <v>-13.067</v>
      </c>
      <c r="AA215" s="479">
        <f>Model!AA131</f>
        <v>-17.109000000000002</v>
      </c>
      <c r="AB215" s="479">
        <f>-AB17*AB214</f>
        <v>-8.2808384187679831</v>
      </c>
      <c r="AC215" s="485">
        <f>-AC17*AC214</f>
        <v>-16.08801841876798</v>
      </c>
      <c r="AD215" s="479">
        <f>-AD17*AD214</f>
        <v>-8.8633779254131326</v>
      </c>
      <c r="AE215" s="479">
        <f>AF215-AD215</f>
        <v>-9.2880406413518877</v>
      </c>
      <c r="AF215" s="485">
        <f>-AF17*AF214</f>
        <v>-18.15141856676502</v>
      </c>
      <c r="AG215" s="479">
        <f>-AG17*AG214</f>
        <v>-10.087136272626518</v>
      </c>
      <c r="AH215" s="479">
        <f>AI215-AG215</f>
        <v>-10.402752916407197</v>
      </c>
      <c r="AI215" s="485">
        <f>-AI17*AI214</f>
        <v>-20.489889189033715</v>
      </c>
      <c r="AJ215" s="479">
        <f>-AJ17*AJ214</f>
        <v>-11.405227667842244</v>
      </c>
      <c r="AK215" s="479">
        <f>AL215-AJ215</f>
        <v>-11.769392211427643</v>
      </c>
      <c r="AL215" s="485">
        <f>-AL17*AL214</f>
        <v>-23.174619879269887</v>
      </c>
      <c r="AM215" s="479">
        <f>-AM17*AM214</f>
        <v>-14.734370047268033</v>
      </c>
      <c r="AN215" s="479">
        <f>AO215-AM215</f>
        <v>-15.228858957972847</v>
      </c>
      <c r="AO215" s="485">
        <f>-AO17*AO214</f>
        <v>-29.96322900524088</v>
      </c>
      <c r="AP215" s="479">
        <f>-AP17*AP214</f>
        <v>-17.217909185202313</v>
      </c>
      <c r="AQ215" s="479">
        <f>AR215-AP215</f>
        <v>-18.412675809353306</v>
      </c>
      <c r="AR215" s="485">
        <f>-AR17*AR214</f>
        <v>-35.630584994555619</v>
      </c>
      <c r="AS215" s="479">
        <f>-AS17*AS214</f>
        <v>-19.804805212433362</v>
      </c>
      <c r="AT215" s="479">
        <f>AU215-AS215</f>
        <v>-21.201090197051339</v>
      </c>
      <c r="AU215" s="485">
        <f>-AU17*AU214</f>
        <v>-41.005895409484701</v>
      </c>
      <c r="AV215" s="479">
        <f>-AV17*AV214</f>
        <v>-22.450903801839708</v>
      </c>
      <c r="AW215" s="479">
        <f>AX215-AV215</f>
        <v>-24.049562861310221</v>
      </c>
      <c r="AX215" s="485">
        <f>-AX17*AX214</f>
        <v>-46.500466663149929</v>
      </c>
      <c r="AY215" s="479">
        <f>-AY17*AY214</f>
        <v>-25.011788728737201</v>
      </c>
      <c r="AZ215" s="479">
        <f>BA215-AY215</f>
        <v>-26.831602857602221</v>
      </c>
      <c r="BA215" s="485">
        <f>-BA17*BA214</f>
        <v>-51.843391586339422</v>
      </c>
      <c r="BB215" s="479">
        <f>-BB17*BB214</f>
        <v>-27.550226414922204</v>
      </c>
      <c r="BC215" s="479">
        <f>BD215-BB215</f>
        <v>-29.567574272078982</v>
      </c>
      <c r="BD215" s="485">
        <f>-BD17*BD214</f>
        <v>-57.117800687001186</v>
      </c>
      <c r="BE215" s="479">
        <f>-BE17*BE214</f>
        <v>-29.895518033650724</v>
      </c>
      <c r="BF215" s="479">
        <f>BG215-BE215</f>
        <v>-32.093521159765906</v>
      </c>
      <c r="BG215" s="485">
        <f>-BG17*BG214</f>
        <v>-61.98903919341663</v>
      </c>
    </row>
    <row r="216" spans="1:59">
      <c r="E216" s="485"/>
      <c r="F216" s="479"/>
      <c r="G216" s="479"/>
      <c r="H216" s="485"/>
      <c r="I216" s="479"/>
      <c r="J216" s="479"/>
      <c r="K216" s="485"/>
      <c r="L216" s="479"/>
      <c r="M216" s="479"/>
      <c r="N216" s="485"/>
      <c r="O216" s="479"/>
      <c r="P216" s="479"/>
      <c r="Q216" s="485"/>
      <c r="R216" s="479"/>
      <c r="S216" s="479"/>
      <c r="T216" s="485"/>
      <c r="U216" s="479"/>
      <c r="V216" s="479"/>
      <c r="W216" s="485"/>
      <c r="X216" s="479"/>
      <c r="Y216" s="479"/>
      <c r="Z216" s="485"/>
      <c r="AA216" s="479"/>
      <c r="AB216" s="479"/>
      <c r="AC216" s="485"/>
      <c r="AD216" s="479"/>
      <c r="AE216" s="479"/>
      <c r="AF216" s="485"/>
      <c r="AG216" s="479"/>
      <c r="AH216" s="479"/>
      <c r="AI216" s="485"/>
      <c r="AJ216" s="479"/>
      <c r="AK216" s="479"/>
      <c r="AL216" s="485"/>
      <c r="AM216" s="479"/>
      <c r="AN216" s="479"/>
      <c r="AO216" s="485"/>
      <c r="AP216" s="479"/>
      <c r="AQ216" s="479"/>
      <c r="AR216" s="485"/>
      <c r="AS216" s="479"/>
      <c r="AT216" s="479"/>
      <c r="AU216" s="485"/>
      <c r="AV216" s="479"/>
      <c r="AW216" s="479"/>
      <c r="AX216" s="485"/>
      <c r="AY216" s="479"/>
      <c r="AZ216" s="479"/>
      <c r="BA216" s="485"/>
      <c r="BB216" s="479"/>
      <c r="BC216" s="479"/>
      <c r="BD216" s="485"/>
      <c r="BE216" s="479"/>
      <c r="BF216" s="479"/>
      <c r="BG216" s="485"/>
    </row>
    <row r="217" spans="1:59">
      <c r="B217" s="53" t="s">
        <v>567</v>
      </c>
      <c r="E217" s="485">
        <f>+Model!E169</f>
        <v>48.758958</v>
      </c>
      <c r="F217" s="479">
        <f>+Model!F169</f>
        <v>26.374835000000001</v>
      </c>
      <c r="G217" s="479">
        <f>+Model!G169</f>
        <v>25.771055</v>
      </c>
      <c r="H217" s="485">
        <f>+Model!H169</f>
        <v>25.771055</v>
      </c>
      <c r="I217" s="479">
        <f>+Model!I169</f>
        <v>10.145303999999999</v>
      </c>
      <c r="J217" s="479">
        <f>+Model!J169</f>
        <v>44.597999999999999</v>
      </c>
      <c r="K217" s="485">
        <f>+Model!K169</f>
        <v>44.597999999999999</v>
      </c>
      <c r="L217" s="479">
        <f>+Model!L169</f>
        <v>24.378</v>
      </c>
      <c r="M217" s="479">
        <f>+Model!M169</f>
        <v>77.944999999999993</v>
      </c>
      <c r="N217" s="485">
        <f>+Model!N169</f>
        <v>77.944999999999993</v>
      </c>
      <c r="O217" s="479">
        <f>+Model!O169</f>
        <v>49.615000000000002</v>
      </c>
      <c r="P217" s="479">
        <f>+Model!P169</f>
        <v>22.036999999999999</v>
      </c>
      <c r="Q217" s="485">
        <f>+Model!Q169</f>
        <v>22.036999999999999</v>
      </c>
      <c r="R217" s="479">
        <f>+Model!R169</f>
        <v>122.608</v>
      </c>
      <c r="S217" s="479">
        <f>+Model!S169</f>
        <v>116.32899999999999</v>
      </c>
      <c r="T217" s="485">
        <f>+Model!T169</f>
        <v>116.32899999999999</v>
      </c>
      <c r="U217" s="479">
        <f>+Model!U169</f>
        <v>78.778000000000006</v>
      </c>
      <c r="V217" s="479">
        <f>+Model!V169</f>
        <v>84.295000000000002</v>
      </c>
      <c r="W217" s="485">
        <f>+Model!W169</f>
        <v>84.295000000000002</v>
      </c>
      <c r="X217" s="479">
        <f>+Model!X169</f>
        <v>56.440776737960434</v>
      </c>
      <c r="Y217" s="479">
        <f>+Model!Y169</f>
        <v>439.99900000000002</v>
      </c>
      <c r="Z217" s="485">
        <f>+Model!Z169</f>
        <v>439.99900000000002</v>
      </c>
      <c r="AA217" s="479">
        <f>+Model!AA169</f>
        <v>207.15600000000001</v>
      </c>
      <c r="AB217" s="479">
        <f>+Model!AB169</f>
        <v>125.51718762604156</v>
      </c>
      <c r="AC217" s="485">
        <f>+Model!AC169</f>
        <v>125.51718762604156</v>
      </c>
      <c r="AD217" s="479">
        <f>+Model!AD169</f>
        <v>90.591996715215643</v>
      </c>
      <c r="AE217" s="479">
        <f>+Model!AE169</f>
        <v>66.142668543743781</v>
      </c>
      <c r="AF217" s="485">
        <f>+Model!AF169</f>
        <v>66.142668543743781</v>
      </c>
      <c r="AG217" s="479">
        <f>+Model!AG169</f>
        <v>65.758803093763177</v>
      </c>
      <c r="AH217" s="479">
        <f>+Model!AH169</f>
        <v>69.952346897506487</v>
      </c>
      <c r="AI217" s="485">
        <f>+Model!AI169</f>
        <v>69.952346897506487</v>
      </c>
      <c r="AJ217" s="479">
        <f>+Model!AJ169</f>
        <v>83.932015918743133</v>
      </c>
      <c r="AK217" s="479">
        <f>+Model!AK169</f>
        <v>103.72573495457152</v>
      </c>
      <c r="AL217" s="485">
        <f>+Model!AL169</f>
        <v>103.72573495457152</v>
      </c>
      <c r="AM217" s="479">
        <f>+Model!AM169</f>
        <v>141.38445253595879</v>
      </c>
      <c r="AN217" s="479">
        <f>+Model!AN169</f>
        <v>193.06096021895928</v>
      </c>
      <c r="AO217" s="485">
        <f>+Model!AO169</f>
        <v>193.06096021895928</v>
      </c>
      <c r="AP217" s="479">
        <f>+Model!AP169</f>
        <v>277.67139434058345</v>
      </c>
      <c r="AQ217" s="479">
        <f>+Model!AQ169</f>
        <v>378.39446031691836</v>
      </c>
      <c r="AR217" s="485">
        <f>+Model!AR169</f>
        <v>378.39446031691836</v>
      </c>
      <c r="AS217" s="479">
        <f>+Model!AS169</f>
        <v>497.83873640828801</v>
      </c>
      <c r="AT217" s="479">
        <f>+Model!AT169</f>
        <v>635.09702172773268</v>
      </c>
      <c r="AU217" s="485">
        <f>+Model!AU169</f>
        <v>635.09702172773268</v>
      </c>
      <c r="AV217" s="479">
        <f>+Model!AV169</f>
        <v>793.32661317251882</v>
      </c>
      <c r="AW217" s="479">
        <f>+Model!AW169</f>
        <v>972.08799123284211</v>
      </c>
      <c r="AX217" s="485">
        <f>+Model!AX169</f>
        <v>972.08799123284211</v>
      </c>
      <c r="AY217" s="479">
        <f>+Model!AY169</f>
        <v>1171.6125167191008</v>
      </c>
      <c r="AZ217" s="479">
        <f>+Model!AZ169</f>
        <v>1394.4773940269097</v>
      </c>
      <c r="BA217" s="485">
        <f>+Model!BA169</f>
        <v>1394.4773940269097</v>
      </c>
      <c r="BB217" s="479">
        <f>+Model!BB169</f>
        <v>1638.428458596384</v>
      </c>
      <c r="BC217" s="479">
        <f>+Model!BC169</f>
        <v>1908.5985953832835</v>
      </c>
      <c r="BD217" s="485">
        <f>+Model!BD169</f>
        <v>1908.5985953832835</v>
      </c>
      <c r="BE217" s="479">
        <f>+Model!BE169</f>
        <v>2198.5488619589387</v>
      </c>
      <c r="BF217" s="479">
        <f>+Model!BF169</f>
        <v>2517.0960543877832</v>
      </c>
      <c r="BG217" s="485">
        <f>+Model!BG169</f>
        <v>2517.0960543877832</v>
      </c>
    </row>
    <row r="218" spans="1:59">
      <c r="B218" s="53" t="s">
        <v>568</v>
      </c>
      <c r="E218" s="485"/>
      <c r="F218" s="479"/>
      <c r="G218" s="479"/>
      <c r="H218" s="485"/>
      <c r="I218" s="479"/>
      <c r="J218" s="479"/>
      <c r="K218" s="485"/>
      <c r="L218" s="479"/>
      <c r="M218" s="479"/>
      <c r="N218" s="485"/>
      <c r="O218" s="479"/>
      <c r="P218" s="479"/>
      <c r="Q218" s="485"/>
      <c r="R218" s="479"/>
      <c r="S218" s="479"/>
      <c r="T218" s="485"/>
      <c r="U218" s="479">
        <f>+AVERAGE(T217:U217)</f>
        <v>97.5535</v>
      </c>
      <c r="V218" s="479">
        <f>+AVERAGE(U217:V217)</f>
        <v>81.536500000000004</v>
      </c>
      <c r="W218" s="485">
        <f>+AVERAGE(T217,W217)</f>
        <v>100.312</v>
      </c>
      <c r="X218" s="479">
        <f t="shared" ref="X218:AA218" si="855">+AVERAGE(W217:X217)</f>
        <v>70.367888368980218</v>
      </c>
      <c r="Y218" s="479">
        <f t="shared" si="855"/>
        <v>248.21988836898024</v>
      </c>
      <c r="Z218" s="485">
        <f t="shared" ref="Z218" si="856">+AVERAGE(W217,Z217)</f>
        <v>262.14699999999999</v>
      </c>
      <c r="AA218" s="479">
        <f t="shared" si="855"/>
        <v>323.57749999999999</v>
      </c>
      <c r="AB218" s="479">
        <f>+AA217</f>
        <v>207.15600000000001</v>
      </c>
      <c r="AC218" s="485">
        <f t="shared" ref="AC218" si="857">+AVERAGE(Z217,AC217)</f>
        <v>282.75809381302076</v>
      </c>
      <c r="AD218" s="479">
        <f t="shared" ref="AD218:AE218" si="858">+AC217</f>
        <v>125.51718762604156</v>
      </c>
      <c r="AE218" s="479">
        <f t="shared" si="858"/>
        <v>90.591996715215643</v>
      </c>
      <c r="AF218" s="485">
        <f t="shared" ref="AF218" si="859">+AVERAGE(AC217,AF217)</f>
        <v>95.829928084892671</v>
      </c>
      <c r="AG218" s="479">
        <f t="shared" ref="AG218:AH218" si="860">+AF217</f>
        <v>66.142668543743781</v>
      </c>
      <c r="AH218" s="479">
        <f t="shared" si="860"/>
        <v>65.758803093763177</v>
      </c>
      <c r="AI218" s="485">
        <f t="shared" ref="AI218" si="861">+AVERAGE(AF217,AI217)</f>
        <v>68.047507720625134</v>
      </c>
      <c r="AJ218" s="479">
        <f t="shared" ref="AJ218:AK218" si="862">+AI217</f>
        <v>69.952346897506487</v>
      </c>
      <c r="AK218" s="479">
        <f t="shared" si="862"/>
        <v>83.932015918743133</v>
      </c>
      <c r="AL218" s="485">
        <f t="shared" ref="AL218" si="863">+AVERAGE(AI217,AL217)</f>
        <v>86.839040926039004</v>
      </c>
      <c r="AM218" s="479">
        <f t="shared" ref="AM218:AN218" si="864">+AL217</f>
        <v>103.72573495457152</v>
      </c>
      <c r="AN218" s="479">
        <f t="shared" si="864"/>
        <v>141.38445253595879</v>
      </c>
      <c r="AO218" s="485">
        <f t="shared" ref="AO218" si="865">+AVERAGE(AL217,AO217)</f>
        <v>148.3933475867654</v>
      </c>
      <c r="AP218" s="479">
        <f t="shared" ref="AP218:AQ218" si="866">+AO217</f>
        <v>193.06096021895928</v>
      </c>
      <c r="AQ218" s="479">
        <f t="shared" si="866"/>
        <v>277.67139434058345</v>
      </c>
      <c r="AR218" s="485">
        <f t="shared" ref="AR218" si="867">+AVERAGE(AO217,AR217)</f>
        <v>285.72771026793885</v>
      </c>
      <c r="AS218" s="479">
        <f t="shared" ref="AS218:AT218" si="868">+AR217</f>
        <v>378.39446031691836</v>
      </c>
      <c r="AT218" s="479">
        <f t="shared" si="868"/>
        <v>497.83873640828801</v>
      </c>
      <c r="AU218" s="485">
        <f t="shared" ref="AU218" si="869">+AVERAGE(AR217,AU217)</f>
        <v>506.74574102232555</v>
      </c>
      <c r="AV218" s="479">
        <f t="shared" ref="AV218:AW218" si="870">+AU217</f>
        <v>635.09702172773268</v>
      </c>
      <c r="AW218" s="479">
        <f t="shared" si="870"/>
        <v>793.32661317251882</v>
      </c>
      <c r="AX218" s="485">
        <f t="shared" ref="AX218" si="871">+AVERAGE(AU217,AX217)</f>
        <v>803.5925064802874</v>
      </c>
      <c r="AY218" s="479">
        <f t="shared" ref="AY218:AZ218" si="872">+AX217</f>
        <v>972.08799123284211</v>
      </c>
      <c r="AZ218" s="479">
        <f t="shared" si="872"/>
        <v>1171.6125167191008</v>
      </c>
      <c r="BA218" s="485">
        <f t="shared" ref="BA218" si="873">+AVERAGE(AX217,BA217)</f>
        <v>1183.2826926298758</v>
      </c>
      <c r="BB218" s="479">
        <f t="shared" ref="BB218:BC218" si="874">+BA217</f>
        <v>1394.4773940269097</v>
      </c>
      <c r="BC218" s="479">
        <f t="shared" si="874"/>
        <v>1638.428458596384</v>
      </c>
      <c r="BD218" s="485">
        <f t="shared" ref="BD218" si="875">+AVERAGE(BA217,BD217)</f>
        <v>1651.5379947050965</v>
      </c>
      <c r="BE218" s="479">
        <f t="shared" ref="BE218:BF218" si="876">+BD217</f>
        <v>1908.5985953832835</v>
      </c>
      <c r="BF218" s="479">
        <f t="shared" si="876"/>
        <v>2198.5488619589387</v>
      </c>
      <c r="BG218" s="485">
        <f t="shared" ref="BG218" si="877">+AVERAGE(BD217,BG217)</f>
        <v>2212.8473248855335</v>
      </c>
    </row>
    <row r="219" spans="1:59">
      <c r="B219" s="53" t="s">
        <v>569</v>
      </c>
      <c r="E219" s="485"/>
      <c r="F219" s="479"/>
      <c r="G219" s="479"/>
      <c r="H219" s="485"/>
      <c r="I219" s="479"/>
      <c r="J219" s="479"/>
      <c r="K219" s="485"/>
      <c r="L219" s="479"/>
      <c r="M219" s="479"/>
      <c r="N219" s="485"/>
      <c r="O219" s="479"/>
      <c r="P219" s="479"/>
      <c r="Q219" s="485"/>
      <c r="R219" s="479"/>
      <c r="S219" s="479"/>
      <c r="T219" s="485"/>
      <c r="U219" s="460">
        <f>+U200*2/U218</f>
        <v>6.2119759926604371E-3</v>
      </c>
      <c r="V219" s="380">
        <f t="shared" ref="V219" si="878">+V200*2/V218</f>
        <v>9.0266322444549386E-3</v>
      </c>
      <c r="W219" s="399">
        <f>+W200/W218</f>
        <v>6.6891299146662423E-3</v>
      </c>
      <c r="X219" s="380">
        <f t="shared" ref="X219:Y219" si="879">+X200*2/X218</f>
        <v>2.5437739308219361E-2</v>
      </c>
      <c r="Y219" s="380">
        <f t="shared" si="879"/>
        <v>5.0640583567238683E-2</v>
      </c>
      <c r="Z219" s="399">
        <f t="shared" ref="Z219" si="880">+Z200/Z218</f>
        <v>2.738921292252057E-2</v>
      </c>
      <c r="AA219" s="380">
        <f t="shared" ref="AA219" si="881">+AA200*2/AA218</f>
        <v>2.2350132503032506E-2</v>
      </c>
      <c r="AB219" s="423">
        <v>0.02</v>
      </c>
      <c r="AC219" s="425">
        <f t="shared" ref="AC219:BG219" si="882">+AB219</f>
        <v>0.02</v>
      </c>
      <c r="AD219" s="424">
        <f t="shared" si="882"/>
        <v>0.02</v>
      </c>
      <c r="AE219" s="424">
        <f t="shared" si="882"/>
        <v>0.02</v>
      </c>
      <c r="AF219" s="425">
        <f t="shared" si="882"/>
        <v>0.02</v>
      </c>
      <c r="AG219" s="424">
        <f t="shared" si="882"/>
        <v>0.02</v>
      </c>
      <c r="AH219" s="424">
        <f t="shared" si="882"/>
        <v>0.02</v>
      </c>
      <c r="AI219" s="425">
        <f t="shared" si="882"/>
        <v>0.02</v>
      </c>
      <c r="AJ219" s="424">
        <f t="shared" si="882"/>
        <v>0.02</v>
      </c>
      <c r="AK219" s="424">
        <f t="shared" si="882"/>
        <v>0.02</v>
      </c>
      <c r="AL219" s="425">
        <f t="shared" si="882"/>
        <v>0.02</v>
      </c>
      <c r="AM219" s="424">
        <f t="shared" si="882"/>
        <v>0.02</v>
      </c>
      <c r="AN219" s="424">
        <f t="shared" si="882"/>
        <v>0.02</v>
      </c>
      <c r="AO219" s="425">
        <f t="shared" si="882"/>
        <v>0.02</v>
      </c>
      <c r="AP219" s="424">
        <f t="shared" si="882"/>
        <v>0.02</v>
      </c>
      <c r="AQ219" s="424">
        <f t="shared" si="882"/>
        <v>0.02</v>
      </c>
      <c r="AR219" s="425">
        <f t="shared" si="882"/>
        <v>0.02</v>
      </c>
      <c r="AS219" s="424">
        <f t="shared" si="882"/>
        <v>0.02</v>
      </c>
      <c r="AT219" s="424">
        <f t="shared" si="882"/>
        <v>0.02</v>
      </c>
      <c r="AU219" s="425">
        <f t="shared" si="882"/>
        <v>0.02</v>
      </c>
      <c r="AV219" s="424">
        <f t="shared" si="882"/>
        <v>0.02</v>
      </c>
      <c r="AW219" s="424">
        <f t="shared" si="882"/>
        <v>0.02</v>
      </c>
      <c r="AX219" s="425">
        <f t="shared" si="882"/>
        <v>0.02</v>
      </c>
      <c r="AY219" s="424">
        <f t="shared" si="882"/>
        <v>0.02</v>
      </c>
      <c r="AZ219" s="424">
        <f t="shared" si="882"/>
        <v>0.02</v>
      </c>
      <c r="BA219" s="425">
        <f t="shared" si="882"/>
        <v>0.02</v>
      </c>
      <c r="BB219" s="424">
        <f t="shared" si="882"/>
        <v>0.02</v>
      </c>
      <c r="BC219" s="424">
        <f t="shared" si="882"/>
        <v>0.02</v>
      </c>
      <c r="BD219" s="425">
        <f t="shared" si="882"/>
        <v>0.02</v>
      </c>
      <c r="BE219" s="424">
        <f t="shared" si="882"/>
        <v>0.02</v>
      </c>
      <c r="BF219" s="424">
        <f t="shared" si="882"/>
        <v>0.02</v>
      </c>
      <c r="BG219" s="425">
        <f t="shared" si="882"/>
        <v>0.02</v>
      </c>
    </row>
    <row r="220" spans="1:59">
      <c r="E220" s="485"/>
      <c r="F220" s="479"/>
      <c r="G220" s="479"/>
      <c r="H220" s="485"/>
      <c r="I220" s="479"/>
      <c r="J220" s="479"/>
      <c r="K220" s="485"/>
      <c r="L220" s="479"/>
      <c r="M220" s="479"/>
      <c r="N220" s="485"/>
      <c r="O220" s="479"/>
      <c r="P220" s="479"/>
      <c r="Q220" s="485"/>
      <c r="R220" s="479"/>
      <c r="S220" s="479"/>
      <c r="T220" s="485"/>
      <c r="U220" s="479"/>
      <c r="V220" s="479"/>
      <c r="W220" s="485"/>
      <c r="X220" s="479"/>
      <c r="Y220" s="479"/>
      <c r="Z220" s="485"/>
      <c r="AA220" s="479"/>
      <c r="AB220" s="479"/>
      <c r="AC220" s="485"/>
      <c r="AD220" s="479"/>
      <c r="AE220" s="479"/>
      <c r="AF220" s="485"/>
      <c r="AG220" s="479"/>
      <c r="AH220" s="479"/>
      <c r="AI220" s="485"/>
      <c r="AJ220" s="479"/>
      <c r="AK220" s="479"/>
      <c r="AL220" s="485"/>
      <c r="AM220" s="479"/>
      <c r="AN220" s="479"/>
      <c r="AO220" s="485"/>
      <c r="AP220" s="479"/>
      <c r="AQ220" s="479"/>
      <c r="AR220" s="485"/>
      <c r="AS220" s="479"/>
      <c r="AT220" s="479"/>
      <c r="AU220" s="485"/>
      <c r="AV220" s="479"/>
      <c r="AW220" s="479"/>
      <c r="AX220" s="485"/>
      <c r="AY220" s="479"/>
      <c r="AZ220" s="479"/>
      <c r="BA220" s="485"/>
      <c r="BB220" s="479"/>
      <c r="BC220" s="479"/>
      <c r="BD220" s="485"/>
      <c r="BE220" s="479"/>
      <c r="BF220" s="479"/>
      <c r="BG220" s="485"/>
    </row>
    <row r="221" spans="1:59">
      <c r="B221" s="53" t="s">
        <v>570</v>
      </c>
      <c r="E221" s="485">
        <f>+Model!E211+Model!E222</f>
        <v>0.34543299999999999</v>
      </c>
      <c r="F221" s="479">
        <f>+Model!F211+Model!F222</f>
        <v>0.36468499999999998</v>
      </c>
      <c r="G221" s="479">
        <f>+Model!G211+Model!G222</f>
        <v>1.729233</v>
      </c>
      <c r="H221" s="485">
        <f>+Model!H211+Model!H222</f>
        <v>1.729233</v>
      </c>
      <c r="I221" s="479">
        <f>+Model!I211+Model!I222</f>
        <v>1.4188130000000001</v>
      </c>
      <c r="J221" s="479">
        <f>+Model!J211+Model!J222</f>
        <v>0.7609999999999999</v>
      </c>
      <c r="K221" s="485">
        <f>+Model!K211+Model!K222</f>
        <v>0.7609999999999999</v>
      </c>
      <c r="L221" s="479">
        <f>+Model!L211+Model!L222</f>
        <v>1.052</v>
      </c>
      <c r="M221" s="479">
        <f>+Model!M211+Model!M222</f>
        <v>0.35899999999999999</v>
      </c>
      <c r="N221" s="485">
        <f>+Model!N211+Model!N222</f>
        <v>0.35899999999999999</v>
      </c>
      <c r="O221" s="479">
        <f>+Model!O211+Model!O222</f>
        <v>4.2999999999999997E-2</v>
      </c>
      <c r="P221" s="479">
        <f>+Model!P211+Model!P222</f>
        <v>1.9E-2</v>
      </c>
      <c r="Q221" s="485">
        <f>+Model!Q211+Model!Q222</f>
        <v>1.9E-2</v>
      </c>
      <c r="R221" s="479">
        <f>+Model!R211+Model!R222</f>
        <v>0</v>
      </c>
      <c r="S221" s="479">
        <f>+Model!S211+Model!S222</f>
        <v>3.3119999999999998</v>
      </c>
      <c r="T221" s="485">
        <f>+Model!T211+Model!T222</f>
        <v>3.3119999999999998</v>
      </c>
      <c r="U221" s="479">
        <f>+Model!U211+Model!U222</f>
        <v>6.0069999999999997</v>
      </c>
      <c r="V221" s="479">
        <f>+Model!V211+Model!V222</f>
        <v>6.6050000000000004</v>
      </c>
      <c r="W221" s="485">
        <f>+Model!W211+Model!W222</f>
        <v>6.6050000000000004</v>
      </c>
      <c r="X221" s="479">
        <f>+Model!X211+Model!X222</f>
        <v>7.9356555655532004</v>
      </c>
      <c r="Y221" s="479">
        <f>+Model!Y211+Model!Y222</f>
        <v>353.57399999999996</v>
      </c>
      <c r="Z221" s="485">
        <f>+Model!Z211+Model!Z222</f>
        <v>353.57399999999996</v>
      </c>
      <c r="AA221" s="479">
        <f>+Model!AA211+Model!AA222</f>
        <v>384.17200000000003</v>
      </c>
      <c r="AB221" s="479">
        <f>+Model!AB211+Model!AB222</f>
        <v>384.17200000000003</v>
      </c>
      <c r="AC221" s="485">
        <f>+Model!AC211+Model!AC222</f>
        <v>384.17200000000003</v>
      </c>
      <c r="AD221" s="479">
        <f>+Model!AD211+Model!AD222</f>
        <v>384.17200000000003</v>
      </c>
      <c r="AE221" s="479">
        <f>+Model!AE211+Model!AE222</f>
        <v>384.17200000000003</v>
      </c>
      <c r="AF221" s="485">
        <f>+Model!AF211+Model!AF222</f>
        <v>384.17200000000003</v>
      </c>
      <c r="AG221" s="479">
        <f>+Model!AG211+Model!AG222</f>
        <v>384.17200000000003</v>
      </c>
      <c r="AH221" s="479">
        <f>+Model!AH211+Model!AH222</f>
        <v>384.17200000000003</v>
      </c>
      <c r="AI221" s="485">
        <f>+Model!AI211+Model!AI222</f>
        <v>384.17200000000003</v>
      </c>
      <c r="AJ221" s="479">
        <f>+Model!AJ211+Model!AJ222</f>
        <v>384.17200000000003</v>
      </c>
      <c r="AK221" s="479">
        <f>+Model!AK211+Model!AK222</f>
        <v>384.17200000000003</v>
      </c>
      <c r="AL221" s="485">
        <f>+Model!AL211+Model!AL222</f>
        <v>384.17200000000003</v>
      </c>
      <c r="AM221" s="479">
        <f>+Model!AM211+Model!AM222</f>
        <v>42.361000000000033</v>
      </c>
      <c r="AN221" s="479">
        <f>+Model!AN211+Model!AN222</f>
        <v>42.361000000000033</v>
      </c>
      <c r="AO221" s="485">
        <f>+Model!AO211+Model!AO222</f>
        <v>42.361000000000033</v>
      </c>
      <c r="AP221" s="479">
        <f>+Model!AP211+Model!AP222</f>
        <v>42.361000000000033</v>
      </c>
      <c r="AQ221" s="479">
        <f>+Model!AQ211+Model!AQ222</f>
        <v>42.361000000000033</v>
      </c>
      <c r="AR221" s="485">
        <f>+Model!AR211+Model!AR222</f>
        <v>42.361000000000033</v>
      </c>
      <c r="AS221" s="479">
        <f>+Model!AS211+Model!AS222</f>
        <v>42.361000000000033</v>
      </c>
      <c r="AT221" s="479">
        <f>+Model!AT211+Model!AT222</f>
        <v>42.361000000000033</v>
      </c>
      <c r="AU221" s="485">
        <f>+Model!AU211+Model!AU222</f>
        <v>42.361000000000033</v>
      </c>
      <c r="AV221" s="479">
        <f>+Model!AV211+Model!AV222</f>
        <v>42.361000000000033</v>
      </c>
      <c r="AW221" s="479">
        <f>+Model!AW211+Model!AW222</f>
        <v>42.361000000000033</v>
      </c>
      <c r="AX221" s="485">
        <f>+Model!AX211+Model!AX222</f>
        <v>42.361000000000033</v>
      </c>
      <c r="AY221" s="479">
        <f>+Model!AY211+Model!AY222</f>
        <v>42.361000000000033</v>
      </c>
      <c r="AZ221" s="479">
        <f>+Model!AZ211+Model!AZ222</f>
        <v>42.361000000000033</v>
      </c>
      <c r="BA221" s="485">
        <f>+Model!BA211+Model!BA222</f>
        <v>42.361000000000033</v>
      </c>
      <c r="BB221" s="479">
        <f>+Model!BB211+Model!BB222</f>
        <v>42.361000000000033</v>
      </c>
      <c r="BC221" s="479">
        <f>+Model!BC211+Model!BC222</f>
        <v>42.361000000000033</v>
      </c>
      <c r="BD221" s="485">
        <f>+Model!BD211+Model!BD222</f>
        <v>42.361000000000033</v>
      </c>
      <c r="BE221" s="479">
        <f>+Model!BE211+Model!BE222</f>
        <v>42.361000000000033</v>
      </c>
      <c r="BF221" s="479">
        <f>+Model!BF211+Model!BF222</f>
        <v>42.361000000000033</v>
      </c>
      <c r="BG221" s="485">
        <f>+Model!BG211+Model!BG222</f>
        <v>42.361000000000033</v>
      </c>
    </row>
    <row r="222" spans="1:59">
      <c r="B222" s="53" t="s">
        <v>571</v>
      </c>
      <c r="E222" s="485"/>
      <c r="F222" s="479"/>
      <c r="G222" s="479"/>
      <c r="H222" s="485"/>
      <c r="I222" s="479"/>
      <c r="J222" s="479"/>
      <c r="K222" s="485"/>
      <c r="L222" s="479"/>
      <c r="M222" s="479"/>
      <c r="N222" s="485"/>
      <c r="O222" s="479"/>
      <c r="P222" s="479"/>
      <c r="Q222" s="485"/>
      <c r="R222" s="479"/>
      <c r="S222" s="479"/>
      <c r="T222" s="485"/>
      <c r="U222" s="479">
        <f>+AVERAGE(T221:U221)</f>
        <v>4.6594999999999995</v>
      </c>
      <c r="V222" s="479">
        <f>+AVERAGE(U221:V221)</f>
        <v>6.306</v>
      </c>
      <c r="W222" s="485">
        <f>+AVERAGE(T221,W221)</f>
        <v>4.9584999999999999</v>
      </c>
      <c r="X222" s="479">
        <f t="shared" ref="X222:AA222" si="883">+AVERAGE(W221:X221)</f>
        <v>7.2703277827766009</v>
      </c>
      <c r="Y222" s="479">
        <f t="shared" si="883"/>
        <v>180.75482778277657</v>
      </c>
      <c r="Z222" s="485">
        <f t="shared" ref="Z222" si="884">+AVERAGE(W221,Z221)</f>
        <v>180.08949999999999</v>
      </c>
      <c r="AA222" s="479">
        <f t="shared" si="883"/>
        <v>368.87299999999999</v>
      </c>
      <c r="AB222" s="479">
        <f t="shared" ref="AB222" si="885">+AVERAGE(AA221:AB221)</f>
        <v>384.17200000000003</v>
      </c>
      <c r="AC222" s="485">
        <f t="shared" ref="AC222" si="886">+AVERAGE(Z221,AC221)</f>
        <v>368.87299999999999</v>
      </c>
      <c r="AD222" s="479">
        <f t="shared" ref="AD222:AE222" si="887">+AVERAGE(AC221:AD221)</f>
        <v>384.17200000000003</v>
      </c>
      <c r="AE222" s="479">
        <f t="shared" si="887"/>
        <v>384.17200000000003</v>
      </c>
      <c r="AF222" s="485">
        <f t="shared" ref="AF222" si="888">+AVERAGE(AC221,AF221)</f>
        <v>384.17200000000003</v>
      </c>
      <c r="AG222" s="479">
        <f t="shared" ref="AG222:AH222" si="889">+AVERAGE(AF221:AG221)</f>
        <v>384.17200000000003</v>
      </c>
      <c r="AH222" s="479">
        <f t="shared" si="889"/>
        <v>384.17200000000003</v>
      </c>
      <c r="AI222" s="485">
        <f t="shared" ref="AI222" si="890">+AVERAGE(AF221,AI221)</f>
        <v>384.17200000000003</v>
      </c>
      <c r="AJ222" s="479">
        <f t="shared" ref="AJ222:AK222" si="891">+AVERAGE(AI221:AJ221)</f>
        <v>384.17200000000003</v>
      </c>
      <c r="AK222" s="479">
        <f t="shared" si="891"/>
        <v>384.17200000000003</v>
      </c>
      <c r="AL222" s="485">
        <f t="shared" ref="AL222" si="892">+AVERAGE(AI221,AL221)</f>
        <v>384.17200000000003</v>
      </c>
      <c r="AM222" s="479">
        <f t="shared" ref="AM222:AN222" si="893">+AVERAGE(AL221:AM221)</f>
        <v>213.26650000000004</v>
      </c>
      <c r="AN222" s="479">
        <f t="shared" si="893"/>
        <v>42.361000000000033</v>
      </c>
      <c r="AO222" s="485">
        <f t="shared" ref="AO222" si="894">+AVERAGE(AL221,AO221)</f>
        <v>213.26650000000004</v>
      </c>
      <c r="AP222" s="479">
        <f t="shared" ref="AP222:AQ222" si="895">+AVERAGE(AO221:AP221)</f>
        <v>42.361000000000033</v>
      </c>
      <c r="AQ222" s="479">
        <f t="shared" si="895"/>
        <v>42.361000000000033</v>
      </c>
      <c r="AR222" s="485">
        <f t="shared" ref="AR222" si="896">+AVERAGE(AO221,AR221)</f>
        <v>42.361000000000033</v>
      </c>
      <c r="AS222" s="479">
        <f t="shared" ref="AS222:AT222" si="897">+AVERAGE(AR221:AS221)</f>
        <v>42.361000000000033</v>
      </c>
      <c r="AT222" s="479">
        <f t="shared" si="897"/>
        <v>42.361000000000033</v>
      </c>
      <c r="AU222" s="485">
        <f t="shared" ref="AU222" si="898">+AVERAGE(AR221,AU221)</f>
        <v>42.361000000000033</v>
      </c>
      <c r="AV222" s="479">
        <f t="shared" ref="AV222:AW222" si="899">+AVERAGE(AU221:AV221)</f>
        <v>42.361000000000033</v>
      </c>
      <c r="AW222" s="479">
        <f t="shared" si="899"/>
        <v>42.361000000000033</v>
      </c>
      <c r="AX222" s="485">
        <f t="shared" ref="AX222" si="900">+AVERAGE(AU221,AX221)</f>
        <v>42.361000000000033</v>
      </c>
      <c r="AY222" s="479">
        <f t="shared" ref="AY222:AZ222" si="901">+AVERAGE(AX221:AY221)</f>
        <v>42.361000000000033</v>
      </c>
      <c r="AZ222" s="479">
        <f t="shared" si="901"/>
        <v>42.361000000000033</v>
      </c>
      <c r="BA222" s="485">
        <f t="shared" ref="BA222" si="902">+AVERAGE(AX221,BA221)</f>
        <v>42.361000000000033</v>
      </c>
      <c r="BB222" s="479">
        <f t="shared" ref="BB222:BC222" si="903">+AVERAGE(BA221:BB221)</f>
        <v>42.361000000000033</v>
      </c>
      <c r="BC222" s="479">
        <f t="shared" si="903"/>
        <v>42.361000000000033</v>
      </c>
      <c r="BD222" s="485">
        <f t="shared" ref="BD222" si="904">+AVERAGE(BA221,BD221)</f>
        <v>42.361000000000033</v>
      </c>
      <c r="BE222" s="479">
        <f t="shared" ref="BE222:BF222" si="905">+AVERAGE(BD221:BE221)</f>
        <v>42.361000000000033</v>
      </c>
      <c r="BF222" s="479">
        <f t="shared" si="905"/>
        <v>42.361000000000033</v>
      </c>
      <c r="BG222" s="485">
        <f t="shared" ref="BG222" si="906">+AVERAGE(BD221,BG221)</f>
        <v>42.361000000000033</v>
      </c>
    </row>
    <row r="223" spans="1:59">
      <c r="B223" s="53" t="s">
        <v>569</v>
      </c>
      <c r="E223" s="485"/>
      <c r="F223" s="479"/>
      <c r="G223" s="479"/>
      <c r="H223" s="485"/>
      <c r="I223" s="479"/>
      <c r="J223" s="479"/>
      <c r="K223" s="485"/>
      <c r="L223" s="479"/>
      <c r="M223" s="479"/>
      <c r="N223" s="485"/>
      <c r="O223" s="479"/>
      <c r="P223" s="479"/>
      <c r="Q223" s="485"/>
      <c r="R223" s="479"/>
      <c r="S223" s="479"/>
      <c r="T223" s="485"/>
      <c r="U223" s="380"/>
      <c r="V223" s="380"/>
      <c r="W223" s="399"/>
      <c r="X223" s="380"/>
      <c r="Y223" s="380"/>
      <c r="Z223" s="399"/>
      <c r="AA223" s="380"/>
      <c r="AB223" s="423">
        <v>0.08</v>
      </c>
      <c r="AC223" s="425">
        <f t="shared" ref="AC223:AR223" si="907">+AB223</f>
        <v>0.08</v>
      </c>
      <c r="AD223" s="424">
        <f t="shared" si="907"/>
        <v>0.08</v>
      </c>
      <c r="AE223" s="424">
        <f t="shared" si="907"/>
        <v>0.08</v>
      </c>
      <c r="AF223" s="425">
        <f t="shared" si="907"/>
        <v>0.08</v>
      </c>
      <c r="AG223" s="424">
        <f t="shared" si="907"/>
        <v>0.08</v>
      </c>
      <c r="AH223" s="424">
        <f t="shared" si="907"/>
        <v>0.08</v>
      </c>
      <c r="AI223" s="425">
        <f t="shared" si="907"/>
        <v>0.08</v>
      </c>
      <c r="AJ223" s="424">
        <f t="shared" si="907"/>
        <v>0.08</v>
      </c>
      <c r="AK223" s="424">
        <f t="shared" si="907"/>
        <v>0.08</v>
      </c>
      <c r="AL223" s="425">
        <f t="shared" si="907"/>
        <v>0.08</v>
      </c>
      <c r="AM223" s="424">
        <f t="shared" si="907"/>
        <v>0.08</v>
      </c>
      <c r="AN223" s="424">
        <v>0.04</v>
      </c>
      <c r="AO223" s="425">
        <f t="shared" si="907"/>
        <v>0.04</v>
      </c>
      <c r="AP223" s="424">
        <f t="shared" si="907"/>
        <v>0.04</v>
      </c>
      <c r="AQ223" s="424">
        <f t="shared" si="907"/>
        <v>0.04</v>
      </c>
      <c r="AR223" s="425">
        <f t="shared" si="907"/>
        <v>0.04</v>
      </c>
      <c r="AS223" s="424">
        <f t="shared" ref="AS223:BG223" si="908">+AR223</f>
        <v>0.04</v>
      </c>
      <c r="AT223" s="424">
        <f t="shared" si="908"/>
        <v>0.04</v>
      </c>
      <c r="AU223" s="425">
        <f t="shared" si="908"/>
        <v>0.04</v>
      </c>
      <c r="AV223" s="424">
        <f t="shared" si="908"/>
        <v>0.04</v>
      </c>
      <c r="AW223" s="424">
        <f t="shared" si="908"/>
        <v>0.04</v>
      </c>
      <c r="AX223" s="425">
        <f t="shared" si="908"/>
        <v>0.04</v>
      </c>
      <c r="AY223" s="424">
        <f t="shared" si="908"/>
        <v>0.04</v>
      </c>
      <c r="AZ223" s="424">
        <f t="shared" si="908"/>
        <v>0.04</v>
      </c>
      <c r="BA223" s="425">
        <f t="shared" si="908"/>
        <v>0.04</v>
      </c>
      <c r="BB223" s="424">
        <f t="shared" si="908"/>
        <v>0.04</v>
      </c>
      <c r="BC223" s="424">
        <f t="shared" si="908"/>
        <v>0.04</v>
      </c>
      <c r="BD223" s="425">
        <f t="shared" si="908"/>
        <v>0.04</v>
      </c>
      <c r="BE223" s="424">
        <f t="shared" si="908"/>
        <v>0.04</v>
      </c>
      <c r="BF223" s="424">
        <f t="shared" si="908"/>
        <v>0.04</v>
      </c>
      <c r="BG223" s="425">
        <f t="shared" si="908"/>
        <v>0.04</v>
      </c>
    </row>
    <row r="224" spans="1:59">
      <c r="E224" s="485"/>
      <c r="F224" s="479"/>
      <c r="G224" s="479"/>
      <c r="H224" s="485"/>
      <c r="I224" s="479"/>
      <c r="J224" s="479"/>
      <c r="K224" s="485"/>
      <c r="L224" s="479"/>
      <c r="M224" s="479"/>
      <c r="N224" s="485"/>
      <c r="O224" s="479"/>
      <c r="P224" s="479"/>
      <c r="Q224" s="485"/>
      <c r="R224" s="479"/>
      <c r="S224" s="479"/>
      <c r="T224" s="485"/>
      <c r="U224" s="352"/>
      <c r="V224" s="352"/>
      <c r="W224" s="351"/>
      <c r="X224" s="352"/>
      <c r="Y224" s="352"/>
      <c r="Z224" s="351"/>
      <c r="AA224" s="352"/>
      <c r="AB224" s="353"/>
      <c r="AC224" s="224"/>
      <c r="AD224" s="353"/>
      <c r="AE224" s="353"/>
      <c r="AF224" s="224"/>
      <c r="AG224" s="353"/>
      <c r="AH224" s="353"/>
      <c r="AI224" s="224"/>
      <c r="AJ224" s="353"/>
      <c r="AK224" s="353"/>
      <c r="AL224" s="224"/>
      <c r="AM224" s="353"/>
      <c r="AN224" s="353"/>
      <c r="AO224" s="224"/>
      <c r="AP224" s="353"/>
      <c r="AQ224" s="353"/>
      <c r="AR224" s="224"/>
      <c r="AS224" s="353"/>
      <c r="AT224" s="353"/>
      <c r="AU224" s="224"/>
      <c r="AV224" s="353"/>
      <c r="AW224" s="353"/>
      <c r="AX224" s="224"/>
      <c r="AY224" s="353"/>
      <c r="AZ224" s="353"/>
      <c r="BA224" s="224"/>
      <c r="BB224" s="353"/>
      <c r="BC224" s="353"/>
      <c r="BD224" s="224"/>
      <c r="BE224" s="353"/>
      <c r="BF224" s="353"/>
      <c r="BG224" s="224"/>
    </row>
    <row r="225" spans="2:59">
      <c r="B225" s="53" t="s">
        <v>572</v>
      </c>
      <c r="E225" s="485"/>
      <c r="F225" s="479"/>
      <c r="G225" s="479"/>
      <c r="H225" s="485"/>
      <c r="I225" s="479"/>
      <c r="J225" s="479"/>
      <c r="K225" s="485"/>
      <c r="L225" s="479"/>
      <c r="M225" s="479"/>
      <c r="N225" s="485"/>
      <c r="O225" s="479"/>
      <c r="P225" s="479"/>
      <c r="Q225" s="485"/>
      <c r="R225" s="479"/>
      <c r="S225" s="479"/>
      <c r="T225" s="485"/>
      <c r="U225" s="352"/>
      <c r="V225" s="352"/>
      <c r="W225" s="485">
        <f>12.774*W$3</f>
        <v>8.570169797102615</v>
      </c>
      <c r="X225" s="479"/>
      <c r="Y225" s="479"/>
      <c r="Z225" s="485">
        <f>29.245*Z$3</f>
        <v>19.594852537927533</v>
      </c>
      <c r="AA225" s="479"/>
      <c r="AB225" s="461"/>
      <c r="AC225" s="393">
        <v>30</v>
      </c>
      <c r="AD225" s="413"/>
      <c r="AE225" s="413"/>
      <c r="AF225" s="393">
        <f>15+5</f>
        <v>20</v>
      </c>
      <c r="AG225" s="413"/>
      <c r="AH225" s="413"/>
      <c r="AI225" s="393">
        <v>16</v>
      </c>
      <c r="AJ225" s="413"/>
      <c r="AK225" s="413"/>
      <c r="AL225" s="393">
        <v>17</v>
      </c>
      <c r="AM225" s="413"/>
      <c r="AN225" s="413"/>
      <c r="AO225" s="393">
        <v>18</v>
      </c>
      <c r="AP225" s="461"/>
      <c r="AQ225" s="461"/>
      <c r="AR225" s="462"/>
      <c r="AS225" s="461"/>
      <c r="AT225" s="461"/>
      <c r="AU225" s="462"/>
      <c r="AV225" s="461"/>
      <c r="AW225" s="461"/>
      <c r="AX225" s="462"/>
      <c r="AY225" s="461"/>
      <c r="AZ225" s="461"/>
      <c r="BA225" s="462"/>
      <c r="BB225" s="461"/>
      <c r="BC225" s="461"/>
      <c r="BD225" s="462"/>
      <c r="BE225" s="461"/>
      <c r="BF225" s="461"/>
      <c r="BG225" s="462"/>
    </row>
    <row r="226" spans="2:59">
      <c r="B226" s="53" t="s">
        <v>573</v>
      </c>
      <c r="E226" s="485"/>
      <c r="F226" s="479"/>
      <c r="G226" s="479"/>
      <c r="H226" s="485"/>
      <c r="I226" s="479"/>
      <c r="J226" s="479"/>
      <c r="K226" s="485"/>
      <c r="L226" s="479"/>
      <c r="M226" s="479"/>
      <c r="N226" s="485"/>
      <c r="O226" s="479"/>
      <c r="P226" s="479"/>
      <c r="Q226" s="485"/>
      <c r="R226" s="479"/>
      <c r="S226" s="479"/>
      <c r="T226" s="485"/>
      <c r="U226" s="352"/>
      <c r="V226" s="352"/>
      <c r="W226" s="485">
        <f>0.636*W$3</f>
        <v>0.42669704015635385</v>
      </c>
      <c r="X226" s="479"/>
      <c r="Y226" s="479"/>
      <c r="Z226" s="485">
        <f>0.745*Z$3</f>
        <v>0.49916789676033546</v>
      </c>
      <c r="AA226" s="479"/>
      <c r="AB226" s="461"/>
      <c r="AC226" s="393">
        <f>+Z226*1.05</f>
        <v>0.52412629159835222</v>
      </c>
      <c r="AD226" s="413"/>
      <c r="AE226" s="413"/>
      <c r="AF226" s="393">
        <f>+AC226*1.05</f>
        <v>0.55033260617826985</v>
      </c>
      <c r="AG226" s="413"/>
      <c r="AH226" s="413"/>
      <c r="AI226" s="393">
        <f>+AF226*1.05</f>
        <v>0.57784923648718334</v>
      </c>
      <c r="AJ226" s="413"/>
      <c r="AK226" s="413"/>
      <c r="AL226" s="393">
        <f>+AI226*1.05</f>
        <v>0.60674169831154257</v>
      </c>
      <c r="AM226" s="413"/>
      <c r="AN226" s="413"/>
      <c r="AO226" s="393">
        <f>+AL226*1.05</f>
        <v>0.63707878322711975</v>
      </c>
      <c r="AP226" s="461"/>
      <c r="AQ226" s="461"/>
      <c r="AR226" s="462"/>
      <c r="AS226" s="461"/>
      <c r="AT226" s="461"/>
      <c r="AU226" s="462"/>
      <c r="AV226" s="461"/>
      <c r="AW226" s="461"/>
      <c r="AX226" s="462"/>
      <c r="AY226" s="461"/>
      <c r="AZ226" s="461"/>
      <c r="BA226" s="462"/>
      <c r="BB226" s="461"/>
      <c r="BC226" s="461"/>
      <c r="BD226" s="462"/>
      <c r="BE226" s="461"/>
      <c r="BF226" s="461"/>
      <c r="BG226" s="462"/>
    </row>
    <row r="227" spans="2:59">
      <c r="B227" s="53" t="s">
        <v>574</v>
      </c>
      <c r="E227" s="485"/>
      <c r="F227" s="479"/>
      <c r="G227" s="479"/>
      <c r="H227" s="485"/>
      <c r="I227" s="479"/>
      <c r="J227" s="479"/>
      <c r="K227" s="485"/>
      <c r="L227" s="479"/>
      <c r="M227" s="479"/>
      <c r="N227" s="485"/>
      <c r="O227" s="479"/>
      <c r="P227" s="479"/>
      <c r="Q227" s="485"/>
      <c r="R227" s="479"/>
      <c r="S227" s="479"/>
      <c r="T227" s="485"/>
      <c r="U227" s="352"/>
      <c r="V227" s="352"/>
      <c r="W227" s="485">
        <v>0</v>
      </c>
      <c r="X227" s="479"/>
      <c r="Y227" s="460"/>
      <c r="Z227" s="485">
        <f>6.419*Z$3</f>
        <v>4.3008842004088494</v>
      </c>
      <c r="AA227" s="479"/>
      <c r="AB227" s="461"/>
      <c r="AC227" s="393">
        <f>650*2.375%*0.65</f>
        <v>10.034375000000001</v>
      </c>
      <c r="AD227" s="413"/>
      <c r="AE227" s="413"/>
      <c r="AF227" s="393">
        <f>+AC227</f>
        <v>10.034375000000001</v>
      </c>
      <c r="AG227" s="413"/>
      <c r="AH227" s="413"/>
      <c r="AI227" s="393">
        <f>+AF227</f>
        <v>10.034375000000001</v>
      </c>
      <c r="AJ227" s="413"/>
      <c r="AK227" s="413"/>
      <c r="AL227" s="393">
        <f>+AI227</f>
        <v>10.034375000000001</v>
      </c>
      <c r="AM227" s="413"/>
      <c r="AN227" s="413"/>
      <c r="AO227" s="393">
        <f>+AL227</f>
        <v>10.034375000000001</v>
      </c>
      <c r="AP227" s="461"/>
      <c r="AQ227" s="461"/>
      <c r="AR227" s="462"/>
      <c r="AS227" s="461"/>
      <c r="AT227" s="461"/>
      <c r="AU227" s="462"/>
      <c r="AV227" s="461"/>
      <c r="AW227" s="461"/>
      <c r="AX227" s="462"/>
      <c r="AY227" s="461"/>
      <c r="AZ227" s="461"/>
      <c r="BA227" s="462"/>
      <c r="BB227" s="461"/>
      <c r="BC227" s="461"/>
      <c r="BD227" s="462"/>
      <c r="BE227" s="461"/>
      <c r="BF227" s="461"/>
      <c r="BG227" s="462"/>
    </row>
    <row r="228" spans="2:59">
      <c r="B228" s="53" t="s">
        <v>52</v>
      </c>
      <c r="E228" s="485"/>
      <c r="F228" s="479"/>
      <c r="G228" s="479"/>
      <c r="H228" s="485"/>
      <c r="I228" s="479"/>
      <c r="J228" s="479"/>
      <c r="K228" s="485"/>
      <c r="L228" s="479"/>
      <c r="M228" s="479"/>
      <c r="N228" s="485"/>
      <c r="O228" s="479"/>
      <c r="P228" s="479"/>
      <c r="Q228" s="485"/>
      <c r="R228" s="479"/>
      <c r="S228" s="479"/>
      <c r="T228" s="485"/>
      <c r="U228" s="352"/>
      <c r="V228" s="352"/>
      <c r="W228" s="485">
        <f>+W229-SUM(W225:W227)</f>
        <v>8.8133162741032223E-2</v>
      </c>
      <c r="X228" s="479"/>
      <c r="Y228" s="479"/>
      <c r="Z228" s="485">
        <f>+Z229-SUM(Z225:Z227)</f>
        <v>4.7095364903281478E-2</v>
      </c>
      <c r="AA228" s="479"/>
      <c r="AB228" s="461"/>
      <c r="AC228" s="393"/>
      <c r="AD228" s="413"/>
      <c r="AE228" s="413"/>
      <c r="AF228" s="393"/>
      <c r="AG228" s="413"/>
      <c r="AH228" s="413"/>
      <c r="AI228" s="393"/>
      <c r="AJ228" s="413"/>
      <c r="AK228" s="413"/>
      <c r="AL228" s="393"/>
      <c r="AM228" s="413"/>
      <c r="AN228" s="413"/>
      <c r="AO228" s="393"/>
      <c r="AP228" s="461"/>
      <c r="AQ228" s="461"/>
      <c r="AR228" s="462"/>
      <c r="AS228" s="461"/>
      <c r="AT228" s="461"/>
      <c r="AU228" s="462"/>
      <c r="AV228" s="461"/>
      <c r="AW228" s="461"/>
      <c r="AX228" s="462"/>
      <c r="AY228" s="461"/>
      <c r="AZ228" s="461"/>
      <c r="BA228" s="462"/>
      <c r="BB228" s="461"/>
      <c r="BC228" s="461"/>
      <c r="BD228" s="462"/>
      <c r="BE228" s="461"/>
      <c r="BF228" s="461"/>
      <c r="BG228" s="462"/>
    </row>
    <row r="229" spans="2:59">
      <c r="B229" s="53" t="s">
        <v>500</v>
      </c>
      <c r="E229" s="485"/>
      <c r="F229" s="479"/>
      <c r="G229" s="479"/>
      <c r="H229" s="485"/>
      <c r="I229" s="479"/>
      <c r="J229" s="479"/>
      <c r="K229" s="485"/>
      <c r="L229" s="479"/>
      <c r="M229" s="479"/>
      <c r="N229" s="485"/>
      <c r="O229" s="479"/>
      <c r="P229" s="479"/>
      <c r="Q229" s="485"/>
      <c r="R229" s="479"/>
      <c r="S229" s="479"/>
      <c r="T229" s="485"/>
      <c r="U229" s="352"/>
      <c r="V229" s="352"/>
      <c r="W229" s="442">
        <f>+W201</f>
        <v>9.0850000000000009</v>
      </c>
      <c r="X229" s="352"/>
      <c r="Y229" s="352"/>
      <c r="Z229" s="442">
        <f>+Z201</f>
        <v>24.442</v>
      </c>
      <c r="AA229" s="352"/>
      <c r="AB229" s="461"/>
      <c r="AC229" s="393">
        <f>+SUM(AC225:AC228)</f>
        <v>40.558501291598354</v>
      </c>
      <c r="AD229" s="413"/>
      <c r="AE229" s="413"/>
      <c r="AF229" s="393">
        <f>+SUM(AF225:AF228)</f>
        <v>30.58470760617827</v>
      </c>
      <c r="AG229" s="413"/>
      <c r="AH229" s="413"/>
      <c r="AI229" s="393">
        <f>+SUM(AI225:AI228)</f>
        <v>26.612224236487183</v>
      </c>
      <c r="AJ229" s="413"/>
      <c r="AK229" s="413"/>
      <c r="AL229" s="393">
        <f>+SUM(AL225:AL228)</f>
        <v>27.641116698311542</v>
      </c>
      <c r="AM229" s="413"/>
      <c r="AN229" s="413"/>
      <c r="AO229" s="393">
        <f>+SUM(AO225:AO228)</f>
        <v>28.671453783227122</v>
      </c>
      <c r="AP229" s="461"/>
      <c r="AQ229" s="461"/>
      <c r="AR229" s="462"/>
      <c r="AS229" s="461"/>
      <c r="AT229" s="461"/>
      <c r="AU229" s="462"/>
      <c r="AV229" s="461"/>
      <c r="AW229" s="461"/>
      <c r="AX229" s="462"/>
      <c r="AY229" s="461"/>
      <c r="AZ229" s="461"/>
      <c r="BA229" s="462"/>
      <c r="BB229" s="461"/>
      <c r="BC229" s="461"/>
      <c r="BD229" s="462"/>
      <c r="BE229" s="461"/>
      <c r="BF229" s="461"/>
      <c r="BG229" s="462"/>
    </row>
    <row r="230" spans="2:59">
      <c r="E230" s="485"/>
      <c r="F230" s="479"/>
      <c r="G230" s="479"/>
      <c r="H230" s="485"/>
      <c r="I230" s="479"/>
      <c r="J230" s="479"/>
      <c r="K230" s="485"/>
      <c r="L230" s="479"/>
      <c r="M230" s="479"/>
      <c r="N230" s="485"/>
      <c r="O230" s="479"/>
      <c r="P230" s="479"/>
      <c r="Q230" s="485"/>
      <c r="R230" s="479"/>
      <c r="S230" s="479"/>
      <c r="T230" s="485"/>
      <c r="U230" s="380"/>
      <c r="V230" s="380"/>
      <c r="W230" s="399"/>
      <c r="X230" s="380"/>
      <c r="Y230" s="380"/>
      <c r="Z230" s="399"/>
      <c r="AA230" s="380"/>
      <c r="AB230" s="460"/>
      <c r="AC230" s="463"/>
      <c r="AD230" s="460"/>
      <c r="AE230" s="460"/>
      <c r="AF230" s="463"/>
      <c r="AG230" s="460"/>
      <c r="AH230" s="460"/>
      <c r="AI230" s="463"/>
      <c r="AJ230" s="460"/>
      <c r="AK230" s="460"/>
      <c r="AL230" s="463"/>
      <c r="AM230" s="460"/>
      <c r="AN230" s="460"/>
      <c r="AO230" s="463"/>
      <c r="AP230" s="460"/>
      <c r="AQ230" s="460"/>
      <c r="AR230" s="463"/>
      <c r="AS230" s="460"/>
      <c r="AT230" s="460"/>
      <c r="AU230" s="463"/>
      <c r="AV230" s="460"/>
      <c r="AW230" s="460"/>
      <c r="AX230" s="463"/>
      <c r="AY230" s="460"/>
      <c r="AZ230" s="460"/>
      <c r="BA230" s="463"/>
      <c r="BB230" s="460"/>
      <c r="BC230" s="460"/>
      <c r="BD230" s="463"/>
      <c r="BE230" s="460"/>
      <c r="BF230" s="460"/>
      <c r="BG230" s="463"/>
    </row>
    <row r="231" spans="2:59">
      <c r="B231" s="53" t="s">
        <v>420</v>
      </c>
      <c r="E231" s="485"/>
      <c r="F231" s="479"/>
      <c r="G231" s="479"/>
      <c r="H231" s="485"/>
      <c r="I231" s="479"/>
      <c r="J231" s="479"/>
      <c r="K231" s="485"/>
      <c r="L231" s="479"/>
      <c r="M231" s="479"/>
      <c r="N231" s="485"/>
      <c r="O231" s="479"/>
      <c r="P231" s="479"/>
      <c r="Q231" s="485"/>
      <c r="R231" s="479"/>
      <c r="S231" s="479"/>
      <c r="T231" s="485"/>
      <c r="U231" s="380">
        <f t="shared" ref="U231:Z231" si="909">+U206/U204</f>
        <v>-0.16999743786830693</v>
      </c>
      <c r="V231" s="380">
        <f t="shared" si="909"/>
        <v>-0.28205620024935302</v>
      </c>
      <c r="W231" s="399">
        <f t="shared" si="909"/>
        <v>-0.61322188449849324</v>
      </c>
      <c r="X231" s="380">
        <f t="shared" si="909"/>
        <v>0.14348795523105848</v>
      </c>
      <c r="Y231" s="380">
        <f t="shared" si="909"/>
        <v>6.3023534104507381E-2</v>
      </c>
      <c r="Z231" s="399">
        <f t="shared" si="909"/>
        <v>0.11156534353158357</v>
      </c>
      <c r="AA231" s="380">
        <f t="shared" ref="AA231" si="910">+AA206/AA204</f>
        <v>0.52605459057072634</v>
      </c>
      <c r="AB231" s="423">
        <v>0.23499999999999999</v>
      </c>
      <c r="AC231" s="425">
        <f t="shared" ref="AC231:AR231" si="911">+AB231</f>
        <v>0.23499999999999999</v>
      </c>
      <c r="AD231" s="424">
        <f t="shared" si="911"/>
        <v>0.23499999999999999</v>
      </c>
      <c r="AE231" s="424">
        <f t="shared" si="911"/>
        <v>0.23499999999999999</v>
      </c>
      <c r="AF231" s="425">
        <f t="shared" si="911"/>
        <v>0.23499999999999999</v>
      </c>
      <c r="AG231" s="424">
        <f t="shared" si="911"/>
        <v>0.23499999999999999</v>
      </c>
      <c r="AH231" s="424">
        <f t="shared" si="911"/>
        <v>0.23499999999999999</v>
      </c>
      <c r="AI231" s="425">
        <f t="shared" si="911"/>
        <v>0.23499999999999999</v>
      </c>
      <c r="AJ231" s="424">
        <f t="shared" si="911"/>
        <v>0.23499999999999999</v>
      </c>
      <c r="AK231" s="424">
        <f t="shared" si="911"/>
        <v>0.23499999999999999</v>
      </c>
      <c r="AL231" s="425">
        <f t="shared" si="911"/>
        <v>0.23499999999999999</v>
      </c>
      <c r="AM231" s="424">
        <f t="shared" si="911"/>
        <v>0.23499999999999999</v>
      </c>
      <c r="AN231" s="424">
        <f t="shared" si="911"/>
        <v>0.23499999999999999</v>
      </c>
      <c r="AO231" s="425">
        <f t="shared" si="911"/>
        <v>0.23499999999999999</v>
      </c>
      <c r="AP231" s="424">
        <f t="shared" si="911"/>
        <v>0.23499999999999999</v>
      </c>
      <c r="AQ231" s="424">
        <f t="shared" si="911"/>
        <v>0.23499999999999999</v>
      </c>
      <c r="AR231" s="425">
        <f t="shared" si="911"/>
        <v>0.23499999999999999</v>
      </c>
      <c r="AS231" s="424">
        <f t="shared" ref="AS231:BG231" si="912">+AR231</f>
        <v>0.23499999999999999</v>
      </c>
      <c r="AT231" s="424">
        <f t="shared" si="912"/>
        <v>0.23499999999999999</v>
      </c>
      <c r="AU231" s="425">
        <f t="shared" si="912"/>
        <v>0.23499999999999999</v>
      </c>
      <c r="AV231" s="424">
        <f t="shared" si="912"/>
        <v>0.23499999999999999</v>
      </c>
      <c r="AW231" s="424">
        <f t="shared" si="912"/>
        <v>0.23499999999999999</v>
      </c>
      <c r="AX231" s="425">
        <f t="shared" si="912"/>
        <v>0.23499999999999999</v>
      </c>
      <c r="AY231" s="424">
        <f t="shared" si="912"/>
        <v>0.23499999999999999</v>
      </c>
      <c r="AZ231" s="424">
        <f t="shared" si="912"/>
        <v>0.23499999999999999</v>
      </c>
      <c r="BA231" s="425">
        <f t="shared" si="912"/>
        <v>0.23499999999999999</v>
      </c>
      <c r="BB231" s="424">
        <f t="shared" si="912"/>
        <v>0.23499999999999999</v>
      </c>
      <c r="BC231" s="424">
        <f t="shared" si="912"/>
        <v>0.23499999999999999</v>
      </c>
      <c r="BD231" s="425">
        <f t="shared" si="912"/>
        <v>0.23499999999999999</v>
      </c>
      <c r="BE231" s="424">
        <f t="shared" si="912"/>
        <v>0.23499999999999999</v>
      </c>
      <c r="BF231" s="424">
        <f t="shared" si="912"/>
        <v>0.23499999999999999</v>
      </c>
      <c r="BG231" s="425">
        <f t="shared" si="912"/>
        <v>0.23499999999999999</v>
      </c>
    </row>
    <row r="232" spans="2:59">
      <c r="B232" s="438"/>
      <c r="E232" s="516"/>
      <c r="H232" s="516"/>
      <c r="I232" s="441"/>
      <c r="J232" s="441"/>
      <c r="K232" s="443"/>
      <c r="L232" s="441"/>
      <c r="M232" s="441"/>
      <c r="N232" s="443"/>
      <c r="O232" s="441"/>
      <c r="P232" s="441"/>
      <c r="Q232" s="443"/>
      <c r="R232" s="441"/>
      <c r="S232" s="441"/>
      <c r="T232" s="443"/>
      <c r="U232" s="441"/>
      <c r="V232" s="441"/>
      <c r="W232" s="443"/>
      <c r="X232" s="441"/>
      <c r="Y232" s="441"/>
      <c r="Z232" s="443"/>
      <c r="AA232" s="441"/>
      <c r="AB232" s="441"/>
      <c r="AC232" s="443"/>
      <c r="AD232" s="441"/>
      <c r="AE232" s="441"/>
      <c r="AF232" s="443"/>
      <c r="AG232" s="441"/>
      <c r="AH232" s="441"/>
      <c r="AI232" s="443"/>
      <c r="AJ232" s="441"/>
      <c r="AK232" s="441"/>
      <c r="AL232" s="443"/>
      <c r="AM232" s="441"/>
      <c r="AN232" s="441"/>
      <c r="AO232" s="443"/>
      <c r="AP232" s="441"/>
      <c r="AQ232" s="441"/>
      <c r="AR232" s="443"/>
      <c r="AS232" s="441"/>
      <c r="AT232" s="441"/>
      <c r="AU232" s="443"/>
      <c r="AV232" s="441"/>
      <c r="AW232" s="441"/>
      <c r="AX232" s="443"/>
      <c r="AY232" s="441"/>
      <c r="AZ232" s="441"/>
      <c r="BA232" s="443"/>
      <c r="BB232" s="441"/>
      <c r="BC232" s="441"/>
      <c r="BD232" s="443"/>
      <c r="BE232" s="441"/>
      <c r="BF232" s="441"/>
      <c r="BG232" s="443"/>
    </row>
    <row r="233" spans="2:59">
      <c r="B233" s="446" t="s">
        <v>575</v>
      </c>
      <c r="E233" s="516"/>
      <c r="H233" s="516"/>
      <c r="I233" s="441"/>
      <c r="J233" s="441"/>
      <c r="K233" s="443"/>
      <c r="L233" s="441"/>
      <c r="M233" s="441"/>
      <c r="N233" s="443"/>
      <c r="O233" s="441"/>
      <c r="P233" s="441"/>
      <c r="Q233" s="443"/>
      <c r="R233" s="441"/>
      <c r="S233" s="441"/>
      <c r="T233" s="443"/>
      <c r="U233" s="441"/>
      <c r="V233" s="441"/>
      <c r="W233" s="443"/>
      <c r="X233" s="441"/>
      <c r="Y233" s="441"/>
      <c r="Z233" s="443"/>
      <c r="AA233" s="441"/>
      <c r="AB233" s="441"/>
      <c r="AC233" s="443"/>
      <c r="AD233" s="441"/>
      <c r="AE233" s="441"/>
      <c r="AF233" s="443"/>
      <c r="AG233" s="441"/>
      <c r="AH233" s="441"/>
      <c r="AI233" s="443"/>
      <c r="AJ233" s="441"/>
      <c r="AK233" s="441"/>
      <c r="AL233" s="443"/>
      <c r="AM233" s="441"/>
      <c r="AN233" s="441"/>
      <c r="AO233" s="443"/>
      <c r="AP233" s="441"/>
      <c r="AQ233" s="441"/>
      <c r="AR233" s="443"/>
      <c r="AS233" s="441"/>
      <c r="AT233" s="441"/>
      <c r="AU233" s="443"/>
      <c r="AV233" s="441"/>
      <c r="AW233" s="441"/>
      <c r="AX233" s="443"/>
      <c r="AY233" s="441"/>
      <c r="AZ233" s="441"/>
      <c r="BA233" s="443"/>
      <c r="BB233" s="441"/>
      <c r="BC233" s="441"/>
      <c r="BD233" s="443"/>
      <c r="BE233" s="441"/>
      <c r="BF233" s="441"/>
      <c r="BG233" s="443"/>
    </row>
    <row r="234" spans="2:59">
      <c r="B234" s="438" t="s">
        <v>576</v>
      </c>
      <c r="E234" s="516"/>
      <c r="H234" s="516"/>
      <c r="I234" s="441">
        <f>IF(OR(ISERROR(Model!H171),ISERROR(Model!I171),Model!H171="",Model!I171=""),"",IF(I238&lt;&gt;"",-(Model!I171-Model!H171),""))</f>
        <v>-6.8602119999999989</v>
      </c>
      <c r="J234" s="441">
        <f>IF(OR(ISERROR(Model!I171),ISERROR(Model!J171),Model!I171="",Model!J171=""),"",IF(J238&lt;&gt;"",-(Model!J171-Model!I171),""))</f>
        <v>3.2250589999999999</v>
      </c>
      <c r="K234" s="443">
        <f>IF(OR(ISERROR(Model!H171),ISERROR(Model!K171),Model!H171="",Model!K171=""),"",IF(K238&lt;&gt;"",-(Model!K171-Model!H171),""))</f>
        <v>-3.635152999999999</v>
      </c>
      <c r="L234" s="441">
        <f>IF(OR(ISERROR(Model!K171),ISERROR(Model!L171),Model!K171="",Model!L171=""),"",IF(L238&lt;&gt;"",-(Model!L171-Model!K171),""))</f>
        <v>-5.35</v>
      </c>
      <c r="M234" s="441">
        <f>IF(OR(ISERROR(Model!L171),ISERROR(Model!M171),Model!L171="",Model!M171=""),"",IF(M238&lt;&gt;"",-(Model!M171-Model!L171),""))</f>
        <v>5.0220000000000002</v>
      </c>
      <c r="N234" s="443">
        <f>IF(OR(ISERROR(Model!K171),ISERROR(Model!N171),Model!K171="",Model!N171=""),"",IF(N238&lt;&gt;"",-(Model!N171-Model!K171),""))</f>
        <v>-0.3279999999999994</v>
      </c>
      <c r="O234" s="441">
        <f>IF(OR(ISERROR(Model!N171),ISERROR(Model!O171),Model!N171="",Model!O171=""),"",IF(O238&lt;&gt;"",-(Model!O171-Model!N171),""))</f>
        <v>-4.8040000000000003</v>
      </c>
      <c r="P234" s="441">
        <f>IF(OR(ISERROR(Model!O171),ISERROR(Model!P171),Model!O171="",Model!P171=""),"",IF(P238&lt;&gt;"",-(Model!P171-Model!O171),""))</f>
        <v>-2.2170000000000023</v>
      </c>
      <c r="Q234" s="443">
        <f>IF(OR(ISERROR(Model!N171),ISERROR(Model!Q171),Model!N171="",Model!Q171=""),"",IF(Q238&lt;&gt;"",-(Model!Q171-Model!N171),""))</f>
        <v>-7.0210000000000026</v>
      </c>
      <c r="R234" s="441">
        <f>IF(OR(ISERROR(Model!Q171),ISERROR(Model!R171),Model!Q171="",Model!R171=""),"",IF(R238&lt;&gt;"",-(Model!R171-Model!Q171),""))</f>
        <v>2.5100000000000016</v>
      </c>
      <c r="S234" s="441">
        <f>IF(OR(ISERROR(Model!R171),ISERROR(Model!S171),Model!R171="",Model!S171=""),"",IF(S238&lt;&gt;"",-(Model!S171-Model!R171),""))</f>
        <v>-22.443999999999999</v>
      </c>
      <c r="T234" s="443">
        <f>IF(OR(ISERROR(Model!Q171),ISERROR(Model!T171),Model!Q171="",Model!T171=""),"",IF(T238&lt;&gt;"",-(Model!T171-Model!Q171),""))</f>
        <v>-19.933999999999997</v>
      </c>
      <c r="U234" s="441">
        <f>IF(OR(ISERROR(Model!T171),ISERROR(Model!U171),Model!T171="",Model!U171=""),"",IF(U238&lt;&gt;"",-(Model!U171-Model!T171),""))</f>
        <v>-21.383000000000003</v>
      </c>
      <c r="V234" s="441">
        <f>IF(OR(ISERROR(Model!U171),ISERROR(Model!V171),Model!U171="",Model!V171=""),"",IF(V238&lt;&gt;"",-(Model!V171-Model!U171),""))</f>
        <v>16.696000000000005</v>
      </c>
      <c r="W234" s="443">
        <f>IF(OR(ISERROR(Model!T171),ISERROR(Model!W171),Model!T171="",Model!W171=""),"",IF(W238&lt;&gt;"",-(Model!W171-Model!T171),""))</f>
        <v>-4.6869999999999976</v>
      </c>
      <c r="X234" s="441">
        <f>IF(OR(ISERROR(Model!W171),ISERROR(Model!X171),Model!W171="",Model!X171=""),"",IF(X238&lt;&gt;"",-(Model!X171-Model!W171),""))</f>
        <v>14.552794906975318</v>
      </c>
      <c r="Y234" s="441">
        <f>IF(OR(ISERROR(Model!X171),ISERROR(Model!Y171),Model!X171="",Model!Y171=""),"",IF(Y238&lt;&gt;"",-(Model!Y171-Model!X171),""))</f>
        <v>-57.439794906975322</v>
      </c>
      <c r="Z234" s="443">
        <f>IF(OR(ISERROR(Model!W171),ISERROR(Model!Z171),Model!W171="",Model!Z171=""),"",IF(Z238&lt;&gt;"",-(Model!Z171-Model!W171),""))</f>
        <v>-42.887</v>
      </c>
      <c r="AA234" s="441">
        <f>IF(OR(ISERROR(Model!Z171),ISERROR(Model!AA171),Model!Z171="",Model!AA171=""),"",IF(AA238&lt;&gt;"",-(Model!AA171-Model!Z171),""))</f>
        <v>-36.701999999999998</v>
      </c>
      <c r="AB234" s="441">
        <f>IF(OR(ISERROR(Model!AA171),ISERROR(Model!AB171),Model!AA171="",Model!AB171=""),"",IF(AB238&lt;&gt;"",-(Model!AB171-Model!AA171),""))</f>
        <v>-5.0741473501438463</v>
      </c>
      <c r="AC234" s="443">
        <f>IF(OR(ISERROR(Model!Z171),ISERROR(Model!AC171),Model!Z171="",Model!AC171=""),"",IF(AC238&lt;&gt;"",-(Model!AC171-Model!Z171),""))</f>
        <v>-41.776147350143845</v>
      </c>
      <c r="AD234" s="441">
        <f>IF(OR(ISERROR(Model!AC171),ISERROR(Model!AD171),Model!AC171="",Model!AD171=""),"",IF(AD238&lt;&gt;"",-(Model!AD171-Model!AC171),""))</f>
        <v>-13.10989945646628</v>
      </c>
      <c r="AE234" s="441">
        <f>IF(OR(ISERROR(Model!AD171),ISERROR(Model!AE171),Model!AD171="",Model!AE171=""),"",IF(AE238&lt;&gt;"",-(Model!AE171-Model!AD171),""))</f>
        <v>-3.3973017275100403</v>
      </c>
      <c r="AF234" s="443">
        <f>IF(OR(ISERROR(Model!AC171),ISERROR(Model!AF171),Model!AC171="",Model!AF171=""),"",IF(AF238&lt;&gt;"",-(Model!AF171-Model!AC171),""))</f>
        <v>-16.507201183976321</v>
      </c>
      <c r="AG234" s="441">
        <f>IF(OR(ISERROR(Model!AF171),ISERROR(Model!AG171),Model!AF171="",Model!AG171=""),"",IF(AG238&lt;&gt;"",-(Model!AG171-Model!AF171),""))</f>
        <v>-16.182831827904124</v>
      </c>
      <c r="AH234" s="441">
        <f>IF(OR(ISERROR(Model!AG171),ISERROR(Model!AH171),Model!AG171="",Model!AH171=""),"",IF(AH238&lt;&gt;"",-(Model!AH171-Model!AG171),""))</f>
        <v>-2.5249331502454311</v>
      </c>
      <c r="AI234" s="443">
        <f>IF(OR(ISERROR(Model!AF171),ISERROR(Model!AI171),Model!AF171="",Model!AI171=""),"",IF(AI238&lt;&gt;"",-(Model!AI171-Model!AF171),""))</f>
        <v>-18.707764978149555</v>
      </c>
      <c r="AJ234" s="441">
        <f>IF(OR(ISERROR(Model!AI171),ISERROR(Model!AJ171),Model!AI171="",Model!AJ171=""),"",IF(AJ238&lt;&gt;"",-(Model!AJ171-Model!AI171),""))</f>
        <v>-18.564529173206182</v>
      </c>
      <c r="AK234" s="441">
        <f>IF(OR(ISERROR(Model!AJ171),ISERROR(Model!AK171),Model!AJ171="",Model!AK171=""),"",IF(AK238&lt;&gt;"",-(Model!AK171-Model!AJ171),""))</f>
        <v>-2.9133163486831961</v>
      </c>
      <c r="AL234" s="443">
        <f>IF(OR(ISERROR(Model!AI171),ISERROR(Model!AL171),Model!AI171="",Model!AL171=""),"",IF(AL238&lt;&gt;"",-(Model!AL171-Model!AI171),""))</f>
        <v>-21.477845521889378</v>
      </c>
      <c r="AM234" s="441">
        <f>IF(OR(ISERROR(Model!AL171),ISERROR(Model!AM171),Model!AL171="",Model!AM171=""),"",IF(AM238&lt;&gt;"",-(Model!AM171-Model!AL171),""))</f>
        <v>-50.352961722129436</v>
      </c>
      <c r="AN234" s="441">
        <f>IF(OR(ISERROR(Model!AM171),ISERROR(Model!AN171),Model!AM171="",Model!AN171=""),"",IF(AN238&lt;&gt;"",-(Model!AN171-Model!AM171),""))</f>
        <v>-3.955911285638507</v>
      </c>
      <c r="AO234" s="443">
        <f>IF(OR(ISERROR(Model!AL171),ISERROR(Model!AO171),Model!AL171="",Model!AO171=""),"",IF(AO238&lt;&gt;"",-(Model!AO171-Model!AL171),""))</f>
        <v>-54.308873007767943</v>
      </c>
      <c r="AP234" s="441">
        <f>IF(OR(ISERROR(Model!AO171),ISERROR(Model!AP171),Model!AO171="",Model!AP171=""),"",IF(AP238&lt;&gt;"",-(Model!AP171-Model!AO171),""))</f>
        <v>-35.780714921309965</v>
      </c>
      <c r="AQ234" s="441">
        <f>IF(OR(ISERROR(Model!AP171),ISERROR(Model!AQ171),Model!AP171="",Model!AQ171=""),"",IF(AQ238&lt;&gt;"",-(Model!AQ171-Model!AP171),""))</f>
        <v>-9.5581329932079484</v>
      </c>
      <c r="AR234" s="443">
        <f>IF(OR(ISERROR(Model!AO171),ISERROR(Model!AR171),Model!AO171="",Model!AR171=""),"",IF(AR238&lt;&gt;"",-(Model!AR171-Model!AO171),""))</f>
        <v>-45.338847914517913</v>
      </c>
      <c r="AS234" s="441">
        <f>IF(OR(ISERROR(Model!AR171),ISERROR(Model!AS171),Model!AR171="",Model!AS171=""),"",IF(AS238&lt;&gt;"",-(Model!AS171-Model!AR171),""))</f>
        <v>-31.832203442488833</v>
      </c>
      <c r="AT234" s="441">
        <f>IF(OR(ISERROR(Model!AS171),ISERROR(Model!AT171),Model!AS171="",Model!AT171=""),"",IF(AT238&lt;&gt;"",-(Model!AT171-Model!AS171),""))</f>
        <v>-11.170279876943823</v>
      </c>
      <c r="AU234" s="443">
        <f>IF(OR(ISERROR(Model!AR171),ISERROR(Model!AU171),Model!AR171="",Model!AU171=""),"",IF(AU238&lt;&gt;"",-(Model!AU171-Model!AR171),""))</f>
        <v>-43.002483319432656</v>
      </c>
      <c r="AV234" s="441">
        <f>IF(OR(ISERROR(Model!AU171),ISERROR(Model!AV171),Model!AU171="",Model!AV171=""),"",IF(AV238&lt;&gt;"",-(Model!AV171-Model!AU171),""))</f>
        <v>-31.167297553557717</v>
      </c>
      <c r="AW234" s="441">
        <f>IF(OR(ISERROR(Model!AV171),ISERROR(Model!AW171),Model!AV171="",Model!AW171=""),"",IF(AW238&lt;&gt;"",-(Model!AW171-Model!AV171),""))</f>
        <v>-12.789272475764108</v>
      </c>
      <c r="AX234" s="443">
        <f>IF(OR(ISERROR(Model!AU171),ISERROR(Model!AX171),Model!AU171="",Model!AX171=""),"",IF(AX238&lt;&gt;"",-(Model!AX171-Model!AU171),""))</f>
        <v>-43.956570029321824</v>
      </c>
      <c r="AY234" s="441">
        <f>IF(OR(ISERROR(Model!AX171),ISERROR(Model!AY171),Model!AX171="",Model!AY171=""),"",IF(AY238&lt;&gt;"",-(Model!AY171-Model!AX171),""))</f>
        <v>-28.18488635459579</v>
      </c>
      <c r="AZ234" s="441">
        <f>IF(OR(ISERROR(Model!AY171),ISERROR(Model!AZ171),Model!AY171="",Model!AZ171=""),"",IF(AZ238&lt;&gt;"",-(Model!AZ171-Model!AY171),""))</f>
        <v>-14.558513030920153</v>
      </c>
      <c r="BA234" s="443">
        <f>IF(OR(ISERROR(Model!AX171),ISERROR(Model!BA171),Model!AX171="",Model!BA171=""),"",IF(BA238&lt;&gt;"",-(Model!BA171-Model!AX171),""))</f>
        <v>-42.743399385515943</v>
      </c>
      <c r="BB234" s="441">
        <f>IF(OR(ISERROR(Model!BA171),ISERROR(Model!BB171),Model!BA171="",Model!BB171=""),"",IF(BB238&lt;&gt;"",-(Model!BB171-Model!BA171),""))</f>
        <v>-26.056489948039882</v>
      </c>
      <c r="BC234" s="441">
        <f>IF(OR(ISERROR(Model!BB171),ISERROR(Model!BC171),Model!BB171="",Model!BC171=""),"",IF(BC238&lt;&gt;"",-(Model!BC171-Model!BB171),""))</f>
        <v>-16.138782857254228</v>
      </c>
      <c r="BD234" s="443">
        <f>IF(OR(ISERROR(Model!BA171),ISERROR(Model!BD171),Model!BA171="",Model!BD171=""),"",IF(BD238&lt;&gt;"",-(Model!BD171-Model!BA171),""))</f>
        <v>-42.19527280529411</v>
      </c>
      <c r="BE234" s="441">
        <f>IF(OR(ISERROR(Model!BD171),ISERROR(Model!BE171),Model!BD171="",Model!BE171=""),"",IF(BE238&lt;&gt;"",-(Model!BE171-Model!BD171),""))</f>
        <v>-21.385883042402099</v>
      </c>
      <c r="BF234" s="441">
        <f>IF(OR(ISERROR(Model!BE171),ISERROR(Model!BF171),Model!BE171="",Model!BF171=""),"",IF(BF238&lt;&gt;"",-(Model!BF171-Model!BE171),""))</f>
        <v>-17.584025008921458</v>
      </c>
      <c r="BG234" s="443">
        <f>IF(OR(ISERROR(Model!BD171),ISERROR(Model!BG171),Model!BD171="",Model!BG171=""),"",IF(BG238&lt;&gt;"",-(Model!BG171-Model!BD171),""))</f>
        <v>-38.969908051323557</v>
      </c>
    </row>
    <row r="235" spans="2:59">
      <c r="B235" s="438" t="s">
        <v>577</v>
      </c>
      <c r="E235" s="516"/>
      <c r="H235" s="516"/>
      <c r="I235" s="441">
        <f>IF(OR(ISERROR(Model!H172),ISERROR(Model!I172),Model!H172="",Model!I172=""),"",IF(I239&lt;&gt;"",-(Model!I172-Model!H172),""))</f>
        <v>-0.34071600000000002</v>
      </c>
      <c r="J235" s="441">
        <f>IF(OR(ISERROR(Model!I172),ISERROR(Model!J172),Model!I172="",Model!J172=""),"",IF(J239&lt;&gt;"",-(Model!J172-Model!I172),""))</f>
        <v>0.44124099999999999</v>
      </c>
      <c r="K235" s="443">
        <f>IF(OR(ISERROR(Model!H172),ISERROR(Model!K172),Model!H172="",Model!K172=""),"",IF(K239&lt;&gt;"",-(Model!K172-Model!H172),""))</f>
        <v>0.10052499999999998</v>
      </c>
      <c r="L235" s="441">
        <f>IF(OR(ISERROR(Model!K172),ISERROR(Model!L172),Model!K172="",Model!L172=""),"",IF(L239&lt;&gt;"",-(Model!L172-Model!K172),""))</f>
        <v>9.5999999999999974E-2</v>
      </c>
      <c r="M235" s="441">
        <f>IF(OR(ISERROR(Model!L172),ISERROR(Model!M172),Model!L172="",Model!M172=""),"",IF(M239&lt;&gt;"",-(Model!M172-Model!L172),""))</f>
        <v>-0.18699999999999994</v>
      </c>
      <c r="N235" s="443">
        <f>IF(OR(ISERROR(Model!K172),ISERROR(Model!N172),Model!K172="",Model!N172=""),"",IF(N239&lt;&gt;"",-(Model!N172-Model!K172),""))</f>
        <v>-9.099999999999997E-2</v>
      </c>
      <c r="O235" s="441">
        <f>IF(OR(ISERROR(Model!N172),ISERROR(Model!O172),Model!N172="",Model!O172=""),"",IF(O239&lt;&gt;"",-(Model!O172-Model!N172),""))</f>
        <v>-0.25600000000000001</v>
      </c>
      <c r="P235" s="441">
        <f>IF(OR(ISERROR(Model!O172),ISERROR(Model!P172),Model!O172="",Model!P172=""),"",IF(P239&lt;&gt;"",-(Model!P172-Model!O172),""))</f>
        <v>-2.5650000000000004</v>
      </c>
      <c r="Q235" s="443">
        <f>IF(OR(ISERROR(Model!N172),ISERROR(Model!Q172),Model!N172="",Model!Q172=""),"",IF(Q239&lt;&gt;"",-(Model!Q172-Model!N172),""))</f>
        <v>-2.8210000000000002</v>
      </c>
      <c r="R235" s="441">
        <f>IF(OR(ISERROR(Model!Q172),ISERROR(Model!R172),Model!Q172="",Model!R172=""),"",IF(R239&lt;&gt;"",-(Model!R172-Model!Q172),""))</f>
        <v>-3.0790000000000002</v>
      </c>
      <c r="S235" s="441">
        <f>IF(OR(ISERROR(Model!R172),ISERROR(Model!S172),Model!R172="",Model!S172=""),"",IF(S239&lt;&gt;"",-(Model!S172-Model!R172),""))</f>
        <v>-1.944</v>
      </c>
      <c r="T235" s="443">
        <f>IF(OR(ISERROR(Model!Q172),ISERROR(Model!T172),Model!Q172="",Model!T172=""),"",IF(T239&lt;&gt;"",-(Model!T172-Model!Q172),""))</f>
        <v>-5.0229999999999997</v>
      </c>
      <c r="U235" s="441">
        <f>IF(OR(ISERROR(Model!T172),ISERROR(Model!U172),Model!T172="",Model!U172=""),"",IF(U239&lt;&gt;"",-(Model!U172-Model!T172),""))</f>
        <v>-4.125</v>
      </c>
      <c r="V235" s="441">
        <f>IF(OR(ISERROR(Model!U172),ISERROR(Model!V172),Model!U172="",Model!V172=""),"",IF(V239&lt;&gt;"",-(Model!V172-Model!U172),""))</f>
        <v>-0.13599999999999923</v>
      </c>
      <c r="W235" s="443">
        <f>IF(OR(ISERROR(Model!T172),ISERROR(Model!W172),Model!T172="",Model!W172=""),"",IF(W239&lt;&gt;"",-(Model!W172-Model!T172),""))</f>
        <v>-4.2609999999999992</v>
      </c>
      <c r="X235" s="441">
        <f>IF(OR(ISERROR(Model!W172),ISERROR(Model!X172),Model!W172="",Model!X172=""),"",IF(X239&lt;&gt;"",-(Model!X172-Model!W172),""))</f>
        <v>-7.8865358070988236</v>
      </c>
      <c r="Y235" s="441">
        <f>IF(OR(ISERROR(Model!X172),ISERROR(Model!Y172),Model!X172="",Model!Y172=""),"",IF(Y239&lt;&gt;"",-(Model!Y172-Model!X172),""))</f>
        <v>-2.9954641929011778</v>
      </c>
      <c r="Z235" s="443">
        <f>IF(OR(ISERROR(Model!W172),ISERROR(Model!Z172),Model!W172="",Model!Z172=""),"",IF(Z239&lt;&gt;"",-(Model!Z172-Model!W172),""))</f>
        <v>-10.882000000000001</v>
      </c>
      <c r="AA235" s="441">
        <f>IF(OR(ISERROR(Model!Z172),ISERROR(Model!AA172),Model!Z172="",Model!AA172=""),"",IF(AA239&lt;&gt;"",-(Model!AA172-Model!Z172),""))</f>
        <v>-11.609999999999996</v>
      </c>
      <c r="AB235" s="441">
        <f>IF(OR(ISERROR(Model!AA172),ISERROR(Model!AB172),Model!AA172="",Model!AB172=""),"",IF(AB239&lt;&gt;"",-(Model!AB172-Model!AA172),""))</f>
        <v>-0.96804144222795685</v>
      </c>
      <c r="AC235" s="443">
        <f>IF(OR(ISERROR(Model!Z172),ISERROR(Model!AC172),Model!Z172="",Model!AC172=""),"",IF(AC239&lt;&gt;"",-(Model!AC172-Model!Z172),""))</f>
        <v>-12.578041442227953</v>
      </c>
      <c r="AD235" s="441">
        <f>IF(OR(ISERROR(Model!AC172),ISERROR(Model!AD172),Model!AC172="",Model!AD172=""),"",IF(AD239&lt;&gt;"",-(Model!AD172-Model!AC172),""))</f>
        <v>-3.687159222131136</v>
      </c>
      <c r="AE235" s="441">
        <f>IF(OR(ISERROR(Model!AD172),ISERROR(Model!AE172),Model!AD172="",Model!AE172=""),"",IF(AE239&lt;&gt;"",-(Model!AE172-Model!AD172),""))</f>
        <v>-0.95549111086220506</v>
      </c>
      <c r="AF235" s="443">
        <f>IF(OR(ISERROR(Model!AC172),ISERROR(Model!AF172),Model!AC172="",Model!AF172=""),"",IF(AF239&lt;&gt;"",-(Model!AF172-Model!AC172),""))</f>
        <v>-4.6426503329933411</v>
      </c>
      <c r="AG235" s="441">
        <f>IF(OR(ISERROR(Model!AF172),ISERROR(Model!AG172),Model!AF172="",Model!AG172=""),"",IF(AG239&lt;&gt;"",-(Model!AG172-Model!AF172),""))</f>
        <v>-4.5514214515980385</v>
      </c>
      <c r="AH235" s="441">
        <f>IF(OR(ISERROR(Model!AG172),ISERROR(Model!AH172),Model!AG172="",Model!AH172=""),"",IF(AH239&lt;&gt;"",-(Model!AH172-Model!AG172),""))</f>
        <v>-0.71013744850652216</v>
      </c>
      <c r="AI235" s="443">
        <f>IF(OR(ISERROR(Model!AF172),ISERROR(Model!AI172),Model!AF172="",Model!AI172=""),"",IF(AI239&lt;&gt;"",-(Model!AI172-Model!AF172),""))</f>
        <v>-5.2615589001045606</v>
      </c>
      <c r="AJ235" s="441">
        <f>IF(OR(ISERROR(Model!AI172),ISERROR(Model!AJ172),Model!AI172="",Model!AJ172=""),"",IF(AJ239&lt;&gt;"",-(Model!AJ172-Model!AI172),""))</f>
        <v>-5.2212738299642396</v>
      </c>
      <c r="AK235" s="441">
        <f>IF(OR(ISERROR(Model!AJ172),ISERROR(Model!AK172),Model!AJ172="",Model!AK172=""),"",IF(AK239&lt;&gt;"",-(Model!AK172-Model!AJ172),""))</f>
        <v>-0.81937022306714624</v>
      </c>
      <c r="AL235" s="443">
        <f>IF(OR(ISERROR(Model!AI172),ISERROR(Model!AL172),Model!AI172="",Model!AL172=""),"",IF(AL239&lt;&gt;"",-(Model!AL172-Model!AI172),""))</f>
        <v>-6.0406440530313859</v>
      </c>
      <c r="AM235" s="441">
        <f>IF(OR(ISERROR(Model!AL172),ISERROR(Model!AM172),Model!AL172="",Model!AM172=""),"",IF(AM239&lt;&gt;"",-(Model!AM172-Model!AL172),""))</f>
        <v>-14.161770484348899</v>
      </c>
      <c r="AN235" s="441">
        <f>IF(OR(ISERROR(Model!AM172),ISERROR(Model!AN172),Model!AM172="",Model!AN172=""),"",IF(AN239&lt;&gt;"",-(Model!AN172-Model!AM172),""))</f>
        <v>-1.1126000490858274</v>
      </c>
      <c r="AO235" s="443">
        <f>IF(OR(ISERROR(Model!AL172),ISERROR(Model!AO172),Model!AL172="",Model!AO172=""),"",IF(AO239&lt;&gt;"",-(Model!AO172-Model!AL172),""))</f>
        <v>-15.274370533434727</v>
      </c>
      <c r="AP235" s="441">
        <f>IF(OR(ISERROR(Model!AO172),ISERROR(Model!AP172),Model!AO172="",Model!AP172=""),"",IF(AP239&lt;&gt;"",-(Model!AP172-Model!AO172),""))</f>
        <v>-10.063326071618434</v>
      </c>
      <c r="AQ235" s="441">
        <f>IF(OR(ISERROR(Model!AP172),ISERROR(Model!AQ172),Model!AP172="",Model!AQ172=""),"",IF(AQ239&lt;&gt;"",-(Model!AQ172-Model!AP172),""))</f>
        <v>-2.6882249043397337</v>
      </c>
      <c r="AR235" s="443">
        <f>IF(OR(ISERROR(Model!AO172),ISERROR(Model!AR172),Model!AO172="",Model!AR172=""),"",IF(AR239&lt;&gt;"",-(Model!AR172-Model!AO172),""))</f>
        <v>-12.751550975958168</v>
      </c>
      <c r="AS235" s="441">
        <f>IF(OR(ISERROR(Model!AR172),ISERROR(Model!AS172),Model!AR172="",Model!AS172=""),"",IF(AS239&lt;&gt;"",-(Model!AS172-Model!AR172),""))</f>
        <v>-8.9528072181999931</v>
      </c>
      <c r="AT235" s="441">
        <f>IF(OR(ISERROR(Model!AS172),ISERROR(Model!AT172),Model!AS172="",Model!AT172=""),"",IF(AT239&lt;&gt;"",-(Model!AT172-Model!AS172),""))</f>
        <v>-3.1416412153904503</v>
      </c>
      <c r="AU235" s="443">
        <f>IF(OR(ISERROR(Model!AR172),ISERROR(Model!AU172),Model!AR172="",Model!AU172=""),"",IF(AU239&lt;&gt;"",-(Model!AU172-Model!AR172),""))</f>
        <v>-12.094448433590443</v>
      </c>
      <c r="AV235" s="441">
        <f>IF(OR(ISERROR(Model!AU172),ISERROR(Model!AV172),Model!AU172="",Model!AV172=""),"",IF(AV239&lt;&gt;"",-(Model!AV172-Model!AU172),""))</f>
        <v>-8.7658024369381025</v>
      </c>
      <c r="AW235" s="441">
        <f>IF(OR(ISERROR(Model!AV172),ISERROR(Model!AW172),Model!AV172="",Model!AW172=""),"",IF(AW239&lt;&gt;"",-(Model!AW172-Model!AV172),""))</f>
        <v>-3.5969828838086499</v>
      </c>
      <c r="AX235" s="443">
        <f>IF(OR(ISERROR(Model!AU172),ISERROR(Model!AX172),Model!AU172="",Model!AX172=""),"",IF(AX239&lt;&gt;"",-(Model!AX172-Model!AU172),""))</f>
        <v>-12.362785320746752</v>
      </c>
      <c r="AY235" s="441">
        <f>IF(OR(ISERROR(Model!AX172),ISERROR(Model!AY172),Model!AX172="",Model!AY172=""),"",IF(AY239&lt;&gt;"",-(Model!AY172-Model!AX172),""))</f>
        <v>-7.9269992872300747</v>
      </c>
      <c r="AZ235" s="441">
        <f>IF(OR(ISERROR(Model!AY172),ISERROR(Model!AZ172),Model!AY172="",Model!AZ172=""),"",IF(AZ239&lt;&gt;"",-(Model!AZ172-Model!AY172),""))</f>
        <v>-4.0945817899462895</v>
      </c>
      <c r="BA235" s="443">
        <f>IF(OR(ISERROR(Model!AX172),ISERROR(Model!BA172),Model!AX172="",Model!BA172=""),"",IF(BA239&lt;&gt;"",-(Model!BA172-Model!AX172),""))</f>
        <v>-12.021581077176364</v>
      </c>
      <c r="BB235" s="441">
        <f>IF(OR(ISERROR(Model!BA172),ISERROR(Model!BB172),Model!BA172="",Model!BB172=""),"",IF(BB239&lt;&gt;"",-(Model!BB172-Model!BA172),""))</f>
        <v>-7.3283877978862222</v>
      </c>
      <c r="BC235" s="441">
        <f>IF(OR(ISERROR(Model!BB172),ISERROR(Model!BC172),Model!BB172="",Model!BC172=""),"",IF(BC239&lt;&gt;"",-(Model!BC172-Model!BB172),""))</f>
        <v>-4.5390326786027231</v>
      </c>
      <c r="BD235" s="443">
        <f>IF(OR(ISERROR(Model!BA172),ISERROR(Model!BD172),Model!BA172="",Model!BD172=""),"",IF(BD239&lt;&gt;"",-(Model!BD172-Model!BA172),""))</f>
        <v>-11.867420476488945</v>
      </c>
      <c r="BE235" s="441">
        <f>IF(OR(ISERROR(Model!BD172),ISERROR(Model!BE172),Model!BD172="",Model!BE172=""),"",IF(BE239&lt;&gt;"",-(Model!BE172-Model!BD172),""))</f>
        <v>-6.0147796056756135</v>
      </c>
      <c r="BF235" s="441">
        <f>IF(OR(ISERROR(Model!BE172),ISERROR(Model!BF172),Model!BE172="",Model!BF172=""),"",IF(BF239&lt;&gt;"",-(Model!BF172-Model!BE172),""))</f>
        <v>-4.9455070337591565</v>
      </c>
      <c r="BG235" s="443">
        <f>IF(OR(ISERROR(Model!BD172),ISERROR(Model!BG172),Model!BD172="",Model!BG172=""),"",IF(BG239&lt;&gt;"",-(Model!BG172-Model!BD172),""))</f>
        <v>-10.96028663943477</v>
      </c>
    </row>
    <row r="236" spans="2:59">
      <c r="B236" s="438" t="s">
        <v>578</v>
      </c>
      <c r="E236" s="516"/>
      <c r="H236" s="516"/>
      <c r="I236" s="441">
        <f>IF(OR(ISERROR(Model!H203),ISERROR(Model!I203),Model!H203="",Model!I203=""),"",IF(I240&lt;&gt;"",(Model!I203-Model!H203),""))</f>
        <v>-1.6680770000000003</v>
      </c>
      <c r="J236" s="441">
        <f>IF(OR(ISERROR(Model!I203),ISERROR(Model!J203),Model!I203="",Model!J203=""),"",IF(J240&lt;&gt;"",(Model!J203-Model!I203),""))</f>
        <v>3.9930769999999995</v>
      </c>
      <c r="K236" s="443">
        <f>IF(OR(ISERROR(Model!H203),ISERROR(Model!K203),Model!H203="",Model!K203=""),"",IF(K240&lt;&gt;"",(Model!K203-Model!H203),""))</f>
        <v>2.3249999999999993</v>
      </c>
      <c r="L236" s="441">
        <f>IF(OR(ISERROR(Model!K203),ISERROR(Model!L203),Model!K203="",Model!L203=""),"",IF(L240&lt;&gt;"",(Model!L203-Model!K203),""))</f>
        <v>-4.0549999999999997</v>
      </c>
      <c r="M236" s="441">
        <f>IF(OR(ISERROR(Model!L203),ISERROR(Model!M203),Model!L203="",Model!M203=""),"",IF(M240&lt;&gt;"",(Model!M203-Model!L203),""))</f>
        <v>5.7289999999999992</v>
      </c>
      <c r="N236" s="443">
        <f>IF(OR(ISERROR(Model!K203),ISERROR(Model!N203),Model!K203="",Model!N203=""),"",IF(N240&lt;&gt;"",(Model!N203-Model!K203),""))</f>
        <v>1.6739999999999995</v>
      </c>
      <c r="O236" s="441">
        <f>IF(OR(ISERROR(Model!N203),ISERROR(Model!O203),Model!N203="",Model!O203=""),"",IF(O240&lt;&gt;"",(Model!O203-Model!N203),""))</f>
        <v>0.25200000000000067</v>
      </c>
      <c r="P236" s="441">
        <f>IF(OR(ISERROR(Model!O203),ISERROR(Model!P203),Model!O203="",Model!P203=""),"",IF(P240&lt;&gt;"",(Model!P203-Model!O203),""))</f>
        <v>7.895999999999999</v>
      </c>
      <c r="Q236" s="443">
        <f>IF(OR(ISERROR(Model!N203),ISERROR(Model!Q203),Model!N203="",Model!Q203=""),"",IF(Q240&lt;&gt;"",(Model!Q203-Model!N203),""))</f>
        <v>8.1479999999999997</v>
      </c>
      <c r="R236" s="441">
        <f>IF(OR(ISERROR(Model!Q203),ISERROR(Model!R203),Model!Q203="",Model!R203=""),"",IF(R240&lt;&gt;"",(Model!R203-Model!Q203),""))</f>
        <v>1.1170000000000009</v>
      </c>
      <c r="S236" s="441">
        <f>IF(OR(ISERROR(Model!R203),ISERROR(Model!S203),Model!R203="",Model!S203=""),"",IF(S240&lt;&gt;"",(Model!S203-Model!R203),""))</f>
        <v>29.362000000000005</v>
      </c>
      <c r="T236" s="443">
        <f>IF(OR(ISERROR(Model!Q203),ISERROR(Model!T203),Model!Q203="",Model!T203=""),"",IF(T240&lt;&gt;"",(Model!T203-Model!Q203),""))</f>
        <v>30.479000000000006</v>
      </c>
      <c r="U236" s="441">
        <f>IF(OR(ISERROR(Model!T203),ISERROR(Model!U203),Model!T203="",Model!U203=""),"",IF(U240&lt;&gt;"",(Model!U203-Model!T203),""))</f>
        <v>9.1729999999999947</v>
      </c>
      <c r="V236" s="441">
        <f>IF(OR(ISERROR(Model!U203),ISERROR(Model!V203),Model!U203="",Model!V203=""),"",IF(V240&lt;&gt;"",(Model!V203-Model!U203),""))</f>
        <v>-4.357999999999997</v>
      </c>
      <c r="W236" s="443">
        <f>IF(OR(ISERROR(Model!T203),ISERROR(Model!W203),Model!T203="",Model!W203=""),"",IF(W240&lt;&gt;"",(Model!W203-Model!T203),""))</f>
        <v>4.8149999999999977</v>
      </c>
      <c r="X236" s="441">
        <f>IF(OR(ISERROR(Model!W203),ISERROR(Model!X203),Model!W203="",Model!X203=""),"",IF(X240&lt;&gt;"",(Model!X203-Model!W203),""))</f>
        <v>2.0947246117218228</v>
      </c>
      <c r="Y236" s="441">
        <f>IF(OR(ISERROR(Model!X203),ISERROR(Model!Y203),Model!X203="",Model!Y203=""),"",IF(Y240&lt;&gt;"",(Model!Y203-Model!X203),""))</f>
        <v>30.36127538827818</v>
      </c>
      <c r="Z236" s="443">
        <f>IF(OR(ISERROR(Model!W203),ISERROR(Model!Z203),Model!W203="",Model!Z203=""),"",IF(Z240&lt;&gt;"",(Model!Z203-Model!W203),""))</f>
        <v>32.456000000000003</v>
      </c>
      <c r="AA236" s="441">
        <f>IF(OR(ISERROR(Model!Z203),ISERROR(Model!AA203),Model!Z203="",Model!AA203=""),"",IF(AA240&lt;&gt;"",(Model!AA203-Model!Z203),""))</f>
        <v>46.774999999999991</v>
      </c>
      <c r="AB236" s="441">
        <f>IF(OR(ISERROR(Model!AA203),ISERROR(Model!AB203),Model!AA203="",Model!AB203=""),"",IF(AB240&lt;&gt;"",(Model!AB203-Model!AA203),""))</f>
        <v>3.1831565595278448</v>
      </c>
      <c r="AC236" s="443">
        <f>IF(OR(ISERROR(Model!Z203),ISERROR(Model!AC203),Model!Z203="",Model!AC203=""),"",IF(AC240&lt;&gt;"",(Model!AC203-Model!Z203),""))</f>
        <v>49.958156559527836</v>
      </c>
      <c r="AD236" s="441">
        <f>IF(OR(ISERROR(Model!AC203),ISERROR(Model!AD203),Model!AC203="",Model!AD203=""),"",IF(AD240&lt;&gt;"",(Model!AD203-Model!AC203),""))</f>
        <v>13.929268172495426</v>
      </c>
      <c r="AE236" s="441">
        <f>IF(OR(ISERROR(Model!AD203),ISERROR(Model!AE203),Model!AD203="",Model!AE203=""),"",IF(AE240&lt;&gt;"",(Model!AE203-Model!AD203),""))</f>
        <v>3.6096330854794303</v>
      </c>
      <c r="AF236" s="443">
        <f>IF(OR(ISERROR(Model!AC203),ISERROR(Model!AF203),Model!AC203="",Model!AF203=""),"",IF(AF240&lt;&gt;"",(Model!AF203-Model!AC203),""))</f>
        <v>17.538901257974857</v>
      </c>
      <c r="AG236" s="441">
        <f>IF(OR(ISERROR(Model!AF203),ISERROR(Model!AG203),Model!AF203="",Model!AG203=""),"",IF(AG240&lt;&gt;"",(Model!AG203-Model!AF203),""))</f>
        <v>17.194258817148125</v>
      </c>
      <c r="AH236" s="441">
        <f>IF(OR(ISERROR(Model!AG203),ISERROR(Model!AH203),Model!AG203="",Model!AH203=""),"",IF(AH240&lt;&gt;"",(Model!AH203-Model!AG203),""))</f>
        <v>2.6827414721357741</v>
      </c>
      <c r="AI236" s="443">
        <f>IF(OR(ISERROR(Model!AF203),ISERROR(Model!AI203),Model!AF203="",Model!AI203=""),"",IF(AI240&lt;&gt;"",(Model!AI203-Model!AF203),""))</f>
        <v>19.877000289283899</v>
      </c>
      <c r="AJ236" s="441">
        <f>IF(OR(ISERROR(Model!AI203),ISERROR(Model!AJ203),Model!AI203="",Model!AJ203=""),"",IF(AJ240&lt;&gt;"",(Model!AJ203-Model!AI203),""))</f>
        <v>19.72481224653157</v>
      </c>
      <c r="AK236" s="441">
        <f>IF(OR(ISERROR(Model!AJ203),ISERROR(Model!AK203),Model!AJ203="",Model!AK203=""),"",IF(AK240&lt;&gt;"",(Model!AK203-Model!AJ203),""))</f>
        <v>3.0953986204758621</v>
      </c>
      <c r="AL236" s="443">
        <f>IF(OR(ISERROR(Model!AI203),ISERROR(Model!AL203),Model!AI203="",Model!AL203=""),"",IF(AL240&lt;&gt;"",(Model!AL203-Model!AI203),""))</f>
        <v>22.820210867007432</v>
      </c>
      <c r="AM236" s="441">
        <f>IF(OR(ISERROR(Model!AL203),ISERROR(Model!AM203),Model!AL203="",Model!AM203=""),"",IF(AM240&lt;&gt;"",(Model!AM203-Model!AL203),""))</f>
        <v>53.500021829762545</v>
      </c>
      <c r="AN236" s="441">
        <f>IF(OR(ISERROR(Model!AM203),ISERROR(Model!AN203),Model!AM203="",Model!AN203=""),"",IF(AN240&lt;&gt;"",(Model!AN203-Model!AM203),""))</f>
        <v>4.2031557409908942</v>
      </c>
      <c r="AO236" s="443">
        <f>IF(OR(ISERROR(Model!AL203),ISERROR(Model!AO203),Model!AL203="",Model!AO203=""),"",IF(AO240&lt;&gt;"",(Model!AO203-Model!AL203),""))</f>
        <v>57.703177570753439</v>
      </c>
      <c r="AP236" s="441">
        <f>IF(OR(ISERROR(Model!AO203),ISERROR(Model!AP203),Model!AO203="",Model!AP203=""),"",IF(AP240&lt;&gt;"",(Model!AP203-Model!AO203),""))</f>
        <v>38.017009603891836</v>
      </c>
      <c r="AQ236" s="441">
        <f>IF(OR(ISERROR(Model!AP203),ISERROR(Model!AQ203),Model!AP203="",Model!AQ203=""),"",IF(AQ240&lt;&gt;"",(Model!AQ203-Model!AP203),""))</f>
        <v>10.15551630528347</v>
      </c>
      <c r="AR236" s="443">
        <f>IF(OR(ISERROR(Model!AO203),ISERROR(Model!AR203),Model!AO203="",Model!AR203=""),"",IF(AR240&lt;&gt;"",(Model!AR203-Model!AO203),""))</f>
        <v>48.172525909175306</v>
      </c>
      <c r="AS236" s="441">
        <f>IF(OR(ISERROR(Model!AR203),ISERROR(Model!AS203),Model!AR203="",Model!AS203=""),"",IF(AS240&lt;&gt;"",(Model!AS203-Model!AR203),""))</f>
        <v>33.821716157644403</v>
      </c>
      <c r="AT236" s="441">
        <f>IF(OR(ISERROR(Model!AS203),ISERROR(Model!AT203),Model!AS203="",Model!AT203=""),"",IF(AT240&lt;&gt;"",(Model!AT203-Model!AS203),""))</f>
        <v>11.868422369252812</v>
      </c>
      <c r="AU236" s="443">
        <f>IF(OR(ISERROR(Model!AR203),ISERROR(Model!AU203),Model!AR203="",Model!AU203=""),"",IF(AU240&lt;&gt;"",(Model!AU203-Model!AR203),""))</f>
        <v>45.690138526897215</v>
      </c>
      <c r="AV236" s="441">
        <f>IF(OR(ISERROR(Model!AU203),ISERROR(Model!AV203),Model!AU203="",Model!AV203=""),"",IF(AV240&lt;&gt;"",(Model!AV203-Model!AU203),""))</f>
        <v>33.115253650655063</v>
      </c>
      <c r="AW236" s="441">
        <f>IF(OR(ISERROR(Model!AV203),ISERROR(Model!AW203),Model!AV203="",Model!AW203=""),"",IF(AW240&lt;&gt;"",(Model!AW203-Model!AV203),""))</f>
        <v>13.588602005499354</v>
      </c>
      <c r="AX236" s="443">
        <f>IF(OR(ISERROR(Model!AU203),ISERROR(Model!AX203),Model!AU203="",Model!AX203=""),"",IF(AX240&lt;&gt;"",(Model!AX203-Model!AU203),""))</f>
        <v>46.703855656154417</v>
      </c>
      <c r="AY236" s="441">
        <f>IF(OR(ISERROR(Model!AX203),ISERROR(Model!AY203),Model!AX203="",Model!AY203=""),"",IF(AY240&lt;&gt;"",(Model!AY203-Model!AX203),""))</f>
        <v>29.946441751758073</v>
      </c>
      <c r="AZ236" s="441">
        <f>IF(OR(ISERROR(Model!AY203),ISERROR(Model!AZ203),Model!AY203="",Model!AZ203=""),"",IF(AZ240&lt;&gt;"",(Model!AZ203-Model!AY203),""))</f>
        <v>15.468420095352656</v>
      </c>
      <c r="BA236" s="443">
        <f>IF(OR(ISERROR(Model!AX203),ISERROR(Model!BA203),Model!AX203="",Model!BA203=""),"",IF(BA240&lt;&gt;"",(Model!BA203-Model!AX203),""))</f>
        <v>45.414861847110728</v>
      </c>
      <c r="BB236" s="441">
        <f>IF(OR(ISERROR(Model!BA203),ISERROR(Model!BB203),Model!BA203="",Model!BB203=""),"",IF(BB240&lt;&gt;"",(Model!BB203-Model!BA203),""))</f>
        <v>27.685020569792357</v>
      </c>
      <c r="BC236" s="441">
        <f>IF(OR(ISERROR(Model!BB203),ISERROR(Model!BC203),Model!BB203="",Model!BC203=""),"",IF(BC240&lt;&gt;"",(Model!BC203-Model!BB203),""))</f>
        <v>17.14745678583256</v>
      </c>
      <c r="BD236" s="443">
        <f>IF(OR(ISERROR(Model!BA203),ISERROR(Model!BD203),Model!BA203="",Model!BD203=""),"",IF(BD240&lt;&gt;"",(Model!BD203-Model!BA203),""))</f>
        <v>44.832477355624917</v>
      </c>
      <c r="BE236" s="441">
        <f>IF(OR(ISERROR(Model!BD203),ISERROR(Model!BE203),Model!BD203="",Model!BE203=""),"",IF(BE240&lt;&gt;"",(Model!BE203-Model!BD203),""))</f>
        <v>22.722500732552305</v>
      </c>
      <c r="BF236" s="441">
        <f>IF(OR(ISERROR(Model!BE203),ISERROR(Model!BF203),Model!BE203="",Model!BF203=""),"",IF(BF240&lt;&gt;"",(Model!BF203-Model!BE203),""))</f>
        <v>18.683026571978985</v>
      </c>
      <c r="BG236" s="443">
        <f>IF(OR(ISERROR(Model!BD203),ISERROR(Model!BG203),Model!BD203="",Model!BG203=""),"",IF(BG240&lt;&gt;"",(Model!BG203-Model!BD203),""))</f>
        <v>41.40552730453129</v>
      </c>
    </row>
    <row r="237" spans="2:59">
      <c r="B237" s="446" t="s">
        <v>579</v>
      </c>
      <c r="E237" s="516"/>
      <c r="H237" s="516"/>
      <c r="I237" s="464"/>
      <c r="J237" s="464"/>
      <c r="K237" s="454"/>
      <c r="L237" s="464"/>
      <c r="M237" s="464"/>
      <c r="N237" s="454"/>
      <c r="O237" s="464"/>
      <c r="P237" s="464"/>
      <c r="Q237" s="454"/>
      <c r="R237" s="464"/>
      <c r="S237" s="464"/>
      <c r="T237" s="454"/>
      <c r="U237" s="53"/>
      <c r="V237" s="464"/>
      <c r="W237" s="454"/>
      <c r="X237" s="464"/>
      <c r="Y237" s="464"/>
      <c r="Z237" s="454"/>
      <c r="AA237" s="464"/>
      <c r="AB237" s="464"/>
      <c r="AC237" s="454"/>
      <c r="AD237" s="464"/>
      <c r="AE237" s="464"/>
      <c r="AF237" s="454"/>
      <c r="AG237" s="464"/>
      <c r="AH237" s="464"/>
      <c r="AI237" s="454"/>
      <c r="AJ237" s="464"/>
      <c r="AK237" s="464"/>
      <c r="AL237" s="454"/>
      <c r="AM237" s="464"/>
      <c r="AN237" s="464"/>
      <c r="AO237" s="454"/>
      <c r="AP237" s="464"/>
      <c r="AQ237" s="464"/>
      <c r="AR237" s="454"/>
      <c r="AS237" s="464"/>
      <c r="AT237" s="464"/>
      <c r="AU237" s="454"/>
      <c r="AV237" s="464"/>
      <c r="AW237" s="464"/>
      <c r="AX237" s="454"/>
      <c r="AY237" s="464"/>
      <c r="AZ237" s="464"/>
      <c r="BA237" s="454"/>
      <c r="BB237" s="464"/>
      <c r="BC237" s="464"/>
      <c r="BD237" s="454"/>
      <c r="BE237" s="464"/>
      <c r="BF237" s="464"/>
      <c r="BG237" s="454"/>
    </row>
    <row r="238" spans="2:59">
      <c r="B238" s="438" t="s">
        <v>576</v>
      </c>
      <c r="E238" s="516"/>
      <c r="H238" s="516"/>
      <c r="I238" s="465">
        <f>(Model!I171/Model!I29)/2</f>
        <v>4.2079895923085644</v>
      </c>
      <c r="J238" s="465">
        <f>(Model!J171/Model!J29)/2</f>
        <v>3.6194945960954676</v>
      </c>
      <c r="K238" s="466">
        <f>Model!K171/Model!K29</f>
        <v>3.4637015781922527</v>
      </c>
      <c r="L238" s="465">
        <f>(Model!L171/Model!L29)/2</f>
        <v>5.4203484754200373</v>
      </c>
      <c r="M238" s="465">
        <f>(Model!M171/Model!M29)/2</f>
        <v>1.7192179700499168</v>
      </c>
      <c r="N238" s="466">
        <f>Model!N171/Model!N29</f>
        <v>2.3784768847112985</v>
      </c>
      <c r="O238" s="465">
        <f>(Model!O171/Model!O29)/2</f>
        <v>2.9558419243986251</v>
      </c>
      <c r="P238" s="465">
        <f>(Model!P171/Model!P29)/2</f>
        <v>2.0721297481860863</v>
      </c>
      <c r="Q238" s="466">
        <f>Model!Q171/Model!Q29</f>
        <v>2.5566087414428647</v>
      </c>
      <c r="R238" s="465">
        <f>(Model!R171/Model!R29)/2</f>
        <v>0.35160311057512372</v>
      </c>
      <c r="S238" s="465">
        <f>(Model!S171/Model!S29)/2</f>
        <v>0.1446317135737859</v>
      </c>
      <c r="T238" s="466">
        <f>Model!T171/Model!T29</f>
        <v>0.24581501099340394</v>
      </c>
      <c r="U238" s="465">
        <f>(Model!U171/Model!U29)/2</f>
        <v>0.20411270104783474</v>
      </c>
      <c r="V238" s="465">
        <f>(Model!V171/Model!V29)/2</f>
        <v>0.11954993349439452</v>
      </c>
      <c r="W238" s="466">
        <f>Model!W171/Model!W29</f>
        <v>0.1322639934169825</v>
      </c>
      <c r="X238" s="465">
        <f>(Model!X171/Model!X29)/2</f>
        <v>6.1533496152148023E-2</v>
      </c>
      <c r="Y238" s="465">
        <f>(Model!Y171/Model!Y29)/2</f>
        <v>0.15694374232685779</v>
      </c>
      <c r="Z238" s="466">
        <f>Model!Z171/Model!Z29</f>
        <v>0.16828541615445519</v>
      </c>
      <c r="AA238" s="465">
        <f>(Model!AA171/Model!AA29)/2</f>
        <v>0.1583542328984345</v>
      </c>
      <c r="AB238" s="467">
        <v>0.16</v>
      </c>
      <c r="AC238" s="469">
        <f t="shared" ref="AC238:BG240" si="913">+AB238</f>
        <v>0.16</v>
      </c>
      <c r="AD238" s="468">
        <f t="shared" si="913"/>
        <v>0.16</v>
      </c>
      <c r="AE238" s="468">
        <f t="shared" si="913"/>
        <v>0.16</v>
      </c>
      <c r="AF238" s="469">
        <f t="shared" si="913"/>
        <v>0.16</v>
      </c>
      <c r="AG238" s="468">
        <f t="shared" si="913"/>
        <v>0.16</v>
      </c>
      <c r="AH238" s="468">
        <f t="shared" si="913"/>
        <v>0.16</v>
      </c>
      <c r="AI238" s="469">
        <f t="shared" si="913"/>
        <v>0.16</v>
      </c>
      <c r="AJ238" s="468">
        <f t="shared" si="913"/>
        <v>0.16</v>
      </c>
      <c r="AK238" s="468">
        <f t="shared" si="913"/>
        <v>0.16</v>
      </c>
      <c r="AL238" s="469">
        <f t="shared" si="913"/>
        <v>0.16</v>
      </c>
      <c r="AM238" s="468">
        <f t="shared" si="913"/>
        <v>0.16</v>
      </c>
      <c r="AN238" s="468">
        <f t="shared" si="913"/>
        <v>0.16</v>
      </c>
      <c r="AO238" s="469">
        <f t="shared" si="913"/>
        <v>0.16</v>
      </c>
      <c r="AP238" s="468">
        <f t="shared" si="913"/>
        <v>0.16</v>
      </c>
      <c r="AQ238" s="468">
        <f t="shared" si="913"/>
        <v>0.16</v>
      </c>
      <c r="AR238" s="469">
        <f t="shared" si="913"/>
        <v>0.16</v>
      </c>
      <c r="AS238" s="468">
        <f t="shared" si="913"/>
        <v>0.16</v>
      </c>
      <c r="AT238" s="468">
        <f t="shared" si="913"/>
        <v>0.16</v>
      </c>
      <c r="AU238" s="469">
        <f t="shared" si="913"/>
        <v>0.16</v>
      </c>
      <c r="AV238" s="468">
        <f t="shared" si="913"/>
        <v>0.16</v>
      </c>
      <c r="AW238" s="468">
        <f t="shared" si="913"/>
        <v>0.16</v>
      </c>
      <c r="AX238" s="469">
        <f t="shared" si="913"/>
        <v>0.16</v>
      </c>
      <c r="AY238" s="468">
        <f t="shared" si="913"/>
        <v>0.16</v>
      </c>
      <c r="AZ238" s="468">
        <f t="shared" si="913"/>
        <v>0.16</v>
      </c>
      <c r="BA238" s="469">
        <f t="shared" si="913"/>
        <v>0.16</v>
      </c>
      <c r="BB238" s="468">
        <f t="shared" si="913"/>
        <v>0.16</v>
      </c>
      <c r="BC238" s="468">
        <f t="shared" si="913"/>
        <v>0.16</v>
      </c>
      <c r="BD238" s="469">
        <f t="shared" si="913"/>
        <v>0.16</v>
      </c>
      <c r="BE238" s="468">
        <f t="shared" si="913"/>
        <v>0.16</v>
      </c>
      <c r="BF238" s="468">
        <f t="shared" si="913"/>
        <v>0.16</v>
      </c>
      <c r="BG238" s="469">
        <f t="shared" si="913"/>
        <v>0.16</v>
      </c>
    </row>
    <row r="239" spans="2:59">
      <c r="B239" s="438" t="s">
        <v>577</v>
      </c>
      <c r="E239" s="516"/>
      <c r="H239" s="516"/>
      <c r="I239" s="465">
        <f>(Model!I172/Model!I29)/2</f>
        <v>0.27049241211288905</v>
      </c>
      <c r="J239" s="465">
        <f>(Model!J172/Model!J29)/2</f>
        <v>0.1625189355549452</v>
      </c>
      <c r="K239" s="466">
        <f>Model!K172/(Model!K29)</f>
        <v>0.15552367288378768</v>
      </c>
      <c r="L239" s="465">
        <f>(Model!L172/Model!L29)/2</f>
        <v>0.13876789047915372</v>
      </c>
      <c r="M239" s="465">
        <f>(Model!M172/Model!M29)/2</f>
        <v>8.7770382695507493E-2</v>
      </c>
      <c r="N239" s="466">
        <f>Model!N172/(Model!N29)</f>
        <v>0.12142720122769998</v>
      </c>
      <c r="O239" s="465">
        <f>(Model!O172/Model!O29)/2</f>
        <v>0.15274914089347078</v>
      </c>
      <c r="P239" s="465">
        <f>(Model!P172/Model!P29)/2</f>
        <v>0.36854460093896718</v>
      </c>
      <c r="Q239" s="466">
        <f>Model!Q172/(Model!Q29)</f>
        <v>0.45471300684570831</v>
      </c>
      <c r="R239" s="465">
        <f>(Model!R172/Model!R29)/2</f>
        <v>0.13583815028901736</v>
      </c>
      <c r="S239" s="465">
        <f>(Model!S172/Model!S29)/2</f>
        <v>3.1154216495527347E-2</v>
      </c>
      <c r="T239" s="466">
        <f>Model!T172/(Model!T29)</f>
        <v>5.2949480311812916E-2</v>
      </c>
      <c r="U239" s="465">
        <f>(Model!U172/Model!U29)/2</f>
        <v>4.2350268511859551E-2</v>
      </c>
      <c r="V239" s="465">
        <f>(Model!V172/Model!V29)/2</f>
        <v>3.4577485816661688E-2</v>
      </c>
      <c r="W239" s="466">
        <f>Model!W172/(Model!W29)</f>
        <v>3.8254779595048326E-2</v>
      </c>
      <c r="X239" s="465">
        <f>(Model!X172/Model!X29)/2</f>
        <v>4.3037539610240816E-2</v>
      </c>
      <c r="Y239" s="465">
        <f>(Model!Y172/Model!Y29)/2</f>
        <v>4.2644616162345633E-2</v>
      </c>
      <c r="Z239" s="466">
        <f>Model!Z172/(Model!Z29)</f>
        <v>4.5726365838029547E-2</v>
      </c>
      <c r="AA239" s="465">
        <f>(Model!AA172/Model!AA29)/2</f>
        <v>4.5125128407440325E-2</v>
      </c>
      <c r="AB239" s="467">
        <v>4.4999999999999998E-2</v>
      </c>
      <c r="AC239" s="469">
        <f t="shared" si="913"/>
        <v>4.4999999999999998E-2</v>
      </c>
      <c r="AD239" s="468">
        <f t="shared" si="913"/>
        <v>4.4999999999999998E-2</v>
      </c>
      <c r="AE239" s="468">
        <f t="shared" si="913"/>
        <v>4.4999999999999998E-2</v>
      </c>
      <c r="AF239" s="469">
        <f t="shared" si="913"/>
        <v>4.4999999999999998E-2</v>
      </c>
      <c r="AG239" s="468">
        <f t="shared" si="913"/>
        <v>4.4999999999999998E-2</v>
      </c>
      <c r="AH239" s="468">
        <f t="shared" si="913"/>
        <v>4.4999999999999998E-2</v>
      </c>
      <c r="AI239" s="469">
        <f t="shared" si="913"/>
        <v>4.4999999999999998E-2</v>
      </c>
      <c r="AJ239" s="468">
        <f t="shared" si="913"/>
        <v>4.4999999999999998E-2</v>
      </c>
      <c r="AK239" s="468">
        <f t="shared" si="913"/>
        <v>4.4999999999999998E-2</v>
      </c>
      <c r="AL239" s="469">
        <f t="shared" si="913"/>
        <v>4.4999999999999998E-2</v>
      </c>
      <c r="AM239" s="468">
        <f t="shared" si="913"/>
        <v>4.4999999999999998E-2</v>
      </c>
      <c r="AN239" s="468">
        <f t="shared" si="913"/>
        <v>4.4999999999999998E-2</v>
      </c>
      <c r="AO239" s="469">
        <f t="shared" si="913"/>
        <v>4.4999999999999998E-2</v>
      </c>
      <c r="AP239" s="468">
        <f t="shared" si="913"/>
        <v>4.4999999999999998E-2</v>
      </c>
      <c r="AQ239" s="468">
        <f t="shared" si="913"/>
        <v>4.4999999999999998E-2</v>
      </c>
      <c r="AR239" s="469">
        <f t="shared" si="913"/>
        <v>4.4999999999999998E-2</v>
      </c>
      <c r="AS239" s="468">
        <f t="shared" si="913"/>
        <v>4.4999999999999998E-2</v>
      </c>
      <c r="AT239" s="468">
        <f t="shared" si="913"/>
        <v>4.4999999999999998E-2</v>
      </c>
      <c r="AU239" s="469">
        <f t="shared" si="913"/>
        <v>4.4999999999999998E-2</v>
      </c>
      <c r="AV239" s="468">
        <f t="shared" si="913"/>
        <v>4.4999999999999998E-2</v>
      </c>
      <c r="AW239" s="468">
        <f t="shared" si="913"/>
        <v>4.4999999999999998E-2</v>
      </c>
      <c r="AX239" s="469">
        <f t="shared" si="913"/>
        <v>4.4999999999999998E-2</v>
      </c>
      <c r="AY239" s="468">
        <f t="shared" si="913"/>
        <v>4.4999999999999998E-2</v>
      </c>
      <c r="AZ239" s="468">
        <f t="shared" si="913"/>
        <v>4.4999999999999998E-2</v>
      </c>
      <c r="BA239" s="469">
        <f t="shared" si="913"/>
        <v>4.4999999999999998E-2</v>
      </c>
      <c r="BB239" s="468">
        <f t="shared" si="913"/>
        <v>4.4999999999999998E-2</v>
      </c>
      <c r="BC239" s="468">
        <f t="shared" si="913"/>
        <v>4.4999999999999998E-2</v>
      </c>
      <c r="BD239" s="469">
        <f t="shared" si="913"/>
        <v>4.4999999999999998E-2</v>
      </c>
      <c r="BE239" s="468">
        <f t="shared" si="913"/>
        <v>4.4999999999999998E-2</v>
      </c>
      <c r="BF239" s="468">
        <f t="shared" si="913"/>
        <v>4.4999999999999998E-2</v>
      </c>
      <c r="BG239" s="469">
        <f t="shared" si="913"/>
        <v>4.4999999999999998E-2</v>
      </c>
    </row>
    <row r="240" spans="2:59">
      <c r="B240" s="438" t="s">
        <v>578</v>
      </c>
      <c r="E240" s="516"/>
      <c r="H240" s="516"/>
      <c r="I240" s="465">
        <f>Model!I203/(2*Model!I29)</f>
        <v>1.4373912655942058</v>
      </c>
      <c r="J240" s="465">
        <f>Model!J203/(2*Model!J29)</f>
        <v>2.7640213061724812</v>
      </c>
      <c r="K240" s="466">
        <f>Model!K203/(Model!K29)</f>
        <v>2.6450502152080344</v>
      </c>
      <c r="L240" s="465">
        <f>Model!L203/(2*Model!L29)</f>
        <v>1.606409458618544</v>
      </c>
      <c r="M240" s="465">
        <f>Model!M203/(2*Model!M29)</f>
        <v>1.5102606766500277</v>
      </c>
      <c r="N240" s="466">
        <f>Model!N203/(Model!N29)</f>
        <v>2.0893919048532514</v>
      </c>
      <c r="O240" s="465">
        <f>Model!O203/(2*Model!O29)</f>
        <v>1.9147766323024054</v>
      </c>
      <c r="P240" s="465">
        <f>Model!P203/(2*Model!P29)</f>
        <v>2.0315834400341442</v>
      </c>
      <c r="Q240" s="466">
        <f>Model!Q203/(Model!Q29)</f>
        <v>2.5065824117956819</v>
      </c>
      <c r="R240" s="465">
        <f>Model!R203/(2*Model!R29)</f>
        <v>0.41911672973759717</v>
      </c>
      <c r="S240" s="465">
        <f>Model!S203/(2*Model!S29)</f>
        <v>0.18198957728465481</v>
      </c>
      <c r="T240" s="466">
        <f>Model!T203/(Model!T29)</f>
        <v>0.30930816510093945</v>
      </c>
      <c r="U240" s="465">
        <f>Model!U203/(2*Model!U29)</f>
        <v>0.19724027610681324</v>
      </c>
      <c r="V240" s="465">
        <f>Model!V203/(2*Model!V29)</f>
        <v>0.1474904313363555</v>
      </c>
      <c r="W240" s="466">
        <f>Model!W203/(Model!W29)</f>
        <v>0.16317594555796483</v>
      </c>
      <c r="X240" s="465">
        <f>Model!X203/(2*Model!X29)</f>
        <v>0.11775069719612587</v>
      </c>
      <c r="Y240" s="465">
        <f>Model!Y203/(2*Model!Y29)</f>
        <v>0.15669459088611254</v>
      </c>
      <c r="Z240" s="466">
        <f>Model!Z203/(Model!Z29)</f>
        <v>0.16801825957165895</v>
      </c>
      <c r="AA240" s="465">
        <f>Model!AA203/(2*Model!AA29)</f>
        <v>0.17107969843144386</v>
      </c>
      <c r="AB240" s="467">
        <v>0.17</v>
      </c>
      <c r="AC240" s="469">
        <f t="shared" si="913"/>
        <v>0.17</v>
      </c>
      <c r="AD240" s="468">
        <f t="shared" si="913"/>
        <v>0.17</v>
      </c>
      <c r="AE240" s="468">
        <f t="shared" si="913"/>
        <v>0.17</v>
      </c>
      <c r="AF240" s="469">
        <f t="shared" si="913"/>
        <v>0.17</v>
      </c>
      <c r="AG240" s="468">
        <f t="shared" si="913"/>
        <v>0.17</v>
      </c>
      <c r="AH240" s="468">
        <f t="shared" si="913"/>
        <v>0.17</v>
      </c>
      <c r="AI240" s="469">
        <f t="shared" si="913"/>
        <v>0.17</v>
      </c>
      <c r="AJ240" s="468">
        <f t="shared" si="913"/>
        <v>0.17</v>
      </c>
      <c r="AK240" s="468">
        <f t="shared" si="913"/>
        <v>0.17</v>
      </c>
      <c r="AL240" s="469">
        <f t="shared" si="913"/>
        <v>0.17</v>
      </c>
      <c r="AM240" s="468">
        <f t="shared" si="913"/>
        <v>0.17</v>
      </c>
      <c r="AN240" s="468">
        <f t="shared" si="913"/>
        <v>0.17</v>
      </c>
      <c r="AO240" s="469">
        <f t="shared" si="913"/>
        <v>0.17</v>
      </c>
      <c r="AP240" s="468">
        <f t="shared" si="913"/>
        <v>0.17</v>
      </c>
      <c r="AQ240" s="468">
        <f t="shared" si="913"/>
        <v>0.17</v>
      </c>
      <c r="AR240" s="469">
        <f t="shared" si="913"/>
        <v>0.17</v>
      </c>
      <c r="AS240" s="468">
        <f t="shared" si="913"/>
        <v>0.17</v>
      </c>
      <c r="AT240" s="468">
        <f t="shared" si="913"/>
        <v>0.17</v>
      </c>
      <c r="AU240" s="469">
        <f t="shared" si="913"/>
        <v>0.17</v>
      </c>
      <c r="AV240" s="468">
        <f t="shared" si="913"/>
        <v>0.17</v>
      </c>
      <c r="AW240" s="468">
        <f t="shared" si="913"/>
        <v>0.17</v>
      </c>
      <c r="AX240" s="469">
        <f t="shared" si="913"/>
        <v>0.17</v>
      </c>
      <c r="AY240" s="468">
        <f t="shared" si="913"/>
        <v>0.17</v>
      </c>
      <c r="AZ240" s="468">
        <f t="shared" si="913"/>
        <v>0.17</v>
      </c>
      <c r="BA240" s="469">
        <f t="shared" si="913"/>
        <v>0.17</v>
      </c>
      <c r="BB240" s="468">
        <f t="shared" si="913"/>
        <v>0.17</v>
      </c>
      <c r="BC240" s="468">
        <f t="shared" si="913"/>
        <v>0.17</v>
      </c>
      <c r="BD240" s="469">
        <f t="shared" si="913"/>
        <v>0.17</v>
      </c>
      <c r="BE240" s="468">
        <f t="shared" si="913"/>
        <v>0.17</v>
      </c>
      <c r="BF240" s="468">
        <f t="shared" si="913"/>
        <v>0.17</v>
      </c>
      <c r="BG240" s="469">
        <f t="shared" si="913"/>
        <v>0.17</v>
      </c>
    </row>
    <row r="241" spans="2:59">
      <c r="B241" s="446" t="s">
        <v>580</v>
      </c>
      <c r="E241" s="516"/>
      <c r="H241" s="516"/>
      <c r="I241" s="464"/>
      <c r="J241" s="464"/>
      <c r="K241" s="454"/>
      <c r="L241" s="464"/>
      <c r="M241" s="464"/>
      <c r="N241" s="454"/>
      <c r="O241" s="464"/>
      <c r="P241" s="464"/>
      <c r="Q241" s="454"/>
      <c r="R241" s="464"/>
      <c r="S241" s="464"/>
      <c r="T241" s="454"/>
      <c r="U241" s="464"/>
      <c r="V241" s="464"/>
      <c r="W241" s="454"/>
      <c r="X241" s="464"/>
      <c r="Y241" s="464"/>
      <c r="Z241" s="454"/>
      <c r="AA241" s="464"/>
      <c r="AB241" s="464"/>
      <c r="AC241" s="454"/>
      <c r="AD241" s="464"/>
      <c r="AE241" s="464"/>
      <c r="AF241" s="454"/>
      <c r="AG241" s="464"/>
      <c r="AH241" s="464"/>
      <c r="AI241" s="454"/>
      <c r="AJ241" s="464"/>
      <c r="AK241" s="464"/>
      <c r="AL241" s="454"/>
      <c r="AM241" s="464"/>
      <c r="AN241" s="464"/>
      <c r="AO241" s="454"/>
      <c r="AP241" s="464"/>
      <c r="AQ241" s="464"/>
      <c r="AR241" s="454"/>
      <c r="AS241" s="464"/>
      <c r="AT241" s="464"/>
      <c r="AU241" s="454"/>
      <c r="AV241" s="464"/>
      <c r="AW241" s="464"/>
      <c r="AX241" s="454"/>
      <c r="AY241" s="464"/>
      <c r="AZ241" s="464"/>
      <c r="BA241" s="454"/>
      <c r="BB241" s="464"/>
      <c r="BC241" s="464"/>
      <c r="BD241" s="454"/>
      <c r="BE241" s="464"/>
      <c r="BF241" s="464"/>
      <c r="BG241" s="454"/>
    </row>
    <row r="242" spans="2:59">
      <c r="B242" s="438" t="s">
        <v>581</v>
      </c>
      <c r="E242" s="516"/>
      <c r="H242" s="516"/>
      <c r="I242" s="470">
        <f>Model!I273</f>
        <v>0</v>
      </c>
      <c r="J242" s="470">
        <f>Model!J273</f>
        <v>0</v>
      </c>
      <c r="K242" s="471">
        <f>Model!K273</f>
        <v>0</v>
      </c>
      <c r="L242" s="470">
        <f>Model!L273</f>
        <v>0</v>
      </c>
      <c r="M242" s="470">
        <f>Model!M273</f>
        <v>0</v>
      </c>
      <c r="N242" s="471">
        <f>Model!N273</f>
        <v>0</v>
      </c>
      <c r="O242" s="470">
        <f>Model!O273</f>
        <v>0</v>
      </c>
      <c r="P242" s="470">
        <f>Model!P273</f>
        <v>0</v>
      </c>
      <c r="Q242" s="471">
        <f>Model!Q273</f>
        <v>0</v>
      </c>
      <c r="R242" s="470">
        <f>Model!R273</f>
        <v>0</v>
      </c>
      <c r="S242" s="470">
        <f>Model!S273</f>
        <v>0</v>
      </c>
      <c r="T242" s="471">
        <f>Model!T273</f>
        <v>0</v>
      </c>
      <c r="U242" s="470">
        <f>Model!U273</f>
        <v>0</v>
      </c>
      <c r="V242" s="470">
        <f>Model!V273</f>
        <v>0</v>
      </c>
      <c r="W242" s="471">
        <f>Model!W273</f>
        <v>0</v>
      </c>
      <c r="X242" s="470">
        <f>Model!X273</f>
        <v>0</v>
      </c>
      <c r="Y242" s="470">
        <f>Model!Y273</f>
        <v>0</v>
      </c>
      <c r="Z242" s="471">
        <f>Model!Z273</f>
        <v>0</v>
      </c>
      <c r="AA242" s="470">
        <f>Model!AA273</f>
        <v>0</v>
      </c>
      <c r="AB242" s="470">
        <f>Model!AB273</f>
        <v>0</v>
      </c>
      <c r="AC242" s="471">
        <f>Model!AC273</f>
        <v>0</v>
      </c>
      <c r="AD242" s="470">
        <f>Model!AD273</f>
        <v>0</v>
      </c>
      <c r="AE242" s="470">
        <f>Model!AE273</f>
        <v>0</v>
      </c>
      <c r="AF242" s="471">
        <f>Model!AF273</f>
        <v>0</v>
      </c>
      <c r="AG242" s="470">
        <f>Model!AG273</f>
        <v>0</v>
      </c>
      <c r="AH242" s="470">
        <f>Model!AH273</f>
        <v>0</v>
      </c>
      <c r="AI242" s="471">
        <f>Model!AI273</f>
        <v>0</v>
      </c>
      <c r="AJ242" s="470">
        <f>Model!AJ273</f>
        <v>0</v>
      </c>
      <c r="AK242" s="470">
        <f>Model!AK273</f>
        <v>0</v>
      </c>
      <c r="AL242" s="471">
        <f>Model!AL273</f>
        <v>0</v>
      </c>
      <c r="AM242" s="470">
        <f>Model!AM273</f>
        <v>0</v>
      </c>
      <c r="AN242" s="470">
        <f>Model!AN273</f>
        <v>0</v>
      </c>
      <c r="AO242" s="471">
        <f>Model!AO273</f>
        <v>0</v>
      </c>
      <c r="AP242" s="470">
        <f>Model!AP273</f>
        <v>0</v>
      </c>
      <c r="AQ242" s="470">
        <f>Model!AQ273</f>
        <v>0</v>
      </c>
      <c r="AR242" s="471">
        <f>Model!AR273</f>
        <v>0</v>
      </c>
      <c r="AS242" s="470">
        <f>Model!AS273</f>
        <v>0</v>
      </c>
      <c r="AT242" s="470">
        <f>Model!AT273</f>
        <v>0</v>
      </c>
      <c r="AU242" s="471">
        <f>Model!AU273</f>
        <v>0</v>
      </c>
      <c r="AV242" s="470">
        <f>Model!AV273</f>
        <v>0</v>
      </c>
      <c r="AW242" s="470">
        <f>Model!AW273</f>
        <v>0</v>
      </c>
      <c r="AX242" s="471">
        <f>Model!AX273</f>
        <v>0</v>
      </c>
      <c r="AY242" s="470">
        <f>Model!AY273</f>
        <v>0</v>
      </c>
      <c r="AZ242" s="470">
        <f>Model!AZ273</f>
        <v>0</v>
      </c>
      <c r="BA242" s="471">
        <f>Model!BA273</f>
        <v>0</v>
      </c>
      <c r="BB242" s="470">
        <f>Model!BB273</f>
        <v>0</v>
      </c>
      <c r="BC242" s="470">
        <f>Model!BC273</f>
        <v>0</v>
      </c>
      <c r="BD242" s="471">
        <f>Model!BD273</f>
        <v>0</v>
      </c>
      <c r="BE242" s="470">
        <f>Model!BE273</f>
        <v>0</v>
      </c>
      <c r="BF242" s="470">
        <f>Model!BF273</f>
        <v>0</v>
      </c>
      <c r="BG242" s="471">
        <f>Model!BG273</f>
        <v>0</v>
      </c>
    </row>
    <row r="243" spans="2:59">
      <c r="B243" s="438" t="s">
        <v>582</v>
      </c>
      <c r="E243" s="516"/>
      <c r="H243" s="516"/>
      <c r="I243" s="465">
        <f>I242/Model!I12</f>
        <v>0</v>
      </c>
      <c r="J243" s="465">
        <f>J242/Model!J12</f>
        <v>0</v>
      </c>
      <c r="K243" s="466">
        <f>K242/Model!K12</f>
        <v>0</v>
      </c>
      <c r="L243" s="465">
        <f>L242/Model!L12</f>
        <v>0</v>
      </c>
      <c r="M243" s="465">
        <f>M242/Model!M12</f>
        <v>0</v>
      </c>
      <c r="N243" s="466">
        <f>N242/Model!N12</f>
        <v>0</v>
      </c>
      <c r="O243" s="465">
        <f>O242/Model!O12</f>
        <v>0</v>
      </c>
      <c r="P243" s="465">
        <f>P242/Model!P12</f>
        <v>0</v>
      </c>
      <c r="Q243" s="466">
        <f>Q242/Model!Q12</f>
        <v>0</v>
      </c>
      <c r="R243" s="465">
        <f>R242/Model!R12</f>
        <v>0</v>
      </c>
      <c r="S243" s="465">
        <f>S242/Model!S12</f>
        <v>0</v>
      </c>
      <c r="T243" s="466">
        <f>T242/Model!T12</f>
        <v>0</v>
      </c>
      <c r="U243" s="465">
        <f>U242/Model!U12</f>
        <v>0</v>
      </c>
      <c r="V243" s="465">
        <f>V242/Model!V12</f>
        <v>0</v>
      </c>
      <c r="W243" s="466">
        <f>W242/Model!W12</f>
        <v>0</v>
      </c>
      <c r="X243" s="465">
        <f>X242/Model!X12</f>
        <v>0</v>
      </c>
      <c r="Y243" s="465">
        <f>Y242/Model!Y12</f>
        <v>0</v>
      </c>
      <c r="Z243" s="466">
        <f>Z242/Model!Z12</f>
        <v>0</v>
      </c>
      <c r="AA243" s="465">
        <f>AA242/Model!AA12</f>
        <v>0</v>
      </c>
      <c r="AB243" s="465">
        <f>AB242/Model!AB12</f>
        <v>0</v>
      </c>
      <c r="AC243" s="466">
        <f>AC242/Model!AC12</f>
        <v>0</v>
      </c>
      <c r="AD243" s="465">
        <f>AD242/Model!AD12</f>
        <v>0</v>
      </c>
      <c r="AE243" s="465">
        <f>AE242/Model!AE12</f>
        <v>0</v>
      </c>
      <c r="AF243" s="466">
        <f>AF242/Model!AF12</f>
        <v>0</v>
      </c>
      <c r="AG243" s="465">
        <f>AG242/Model!AG12</f>
        <v>0</v>
      </c>
      <c r="AH243" s="465">
        <f>AH242/Model!AH12</f>
        <v>0</v>
      </c>
      <c r="AI243" s="466">
        <f>AI242/Model!AI12</f>
        <v>0</v>
      </c>
      <c r="AJ243" s="465">
        <f>AJ242/Model!AJ12</f>
        <v>0</v>
      </c>
      <c r="AK243" s="465">
        <f>AK242/Model!AK12</f>
        <v>0</v>
      </c>
      <c r="AL243" s="466">
        <f>AL242/Model!AL12</f>
        <v>0</v>
      </c>
      <c r="AM243" s="465">
        <f>AM242/Model!AM12</f>
        <v>0</v>
      </c>
      <c r="AN243" s="465">
        <f>AN242/Model!AN12</f>
        <v>0</v>
      </c>
      <c r="AO243" s="466">
        <f>AO242/Model!AO12</f>
        <v>0</v>
      </c>
      <c r="AP243" s="465">
        <f>AP242/Model!AP12</f>
        <v>0</v>
      </c>
      <c r="AQ243" s="465">
        <f>AQ242/Model!AQ12</f>
        <v>0</v>
      </c>
      <c r="AR243" s="466">
        <f>AR242/Model!AR12</f>
        <v>0</v>
      </c>
      <c r="AS243" s="465">
        <f>AS242/Model!AS12</f>
        <v>0</v>
      </c>
      <c r="AT243" s="465">
        <f>AT242/Model!AT12</f>
        <v>0</v>
      </c>
      <c r="AU243" s="466">
        <f>AU242/Model!AU12</f>
        <v>0</v>
      </c>
      <c r="AV243" s="465">
        <f>AV242/Model!AV12</f>
        <v>0</v>
      </c>
      <c r="AW243" s="465">
        <f>AW242/Model!AW12</f>
        <v>0</v>
      </c>
      <c r="AX243" s="466">
        <f>AX242/Model!AX12</f>
        <v>0</v>
      </c>
      <c r="AY243" s="465">
        <f>AY242/Model!AY12</f>
        <v>0</v>
      </c>
      <c r="AZ243" s="465">
        <f>AZ242/Model!AZ12</f>
        <v>0</v>
      </c>
      <c r="BA243" s="466">
        <f>BA242/Model!BA12</f>
        <v>0</v>
      </c>
      <c r="BB243" s="465">
        <f>BB242/Model!BB12</f>
        <v>0</v>
      </c>
      <c r="BC243" s="465">
        <f>BC242/Model!BC12</f>
        <v>0</v>
      </c>
      <c r="BD243" s="466">
        <f>BD242/Model!BD12</f>
        <v>0</v>
      </c>
      <c r="BE243" s="465">
        <f>BE242/Model!BE12</f>
        <v>0</v>
      </c>
      <c r="BF243" s="465">
        <f>BF242/Model!BF12</f>
        <v>0</v>
      </c>
      <c r="BG243" s="466">
        <f>BG242/Model!BG12</f>
        <v>0</v>
      </c>
    </row>
    <row r="244" spans="2:59">
      <c r="B244" s="438" t="s">
        <v>583</v>
      </c>
      <c r="E244" s="516"/>
      <c r="H244" s="516"/>
      <c r="I244" s="441" t="str">
        <f>IF(ISERROR(Model!#REF!),"",IF(Model!#REF!&lt;&gt;"",Model!#REF!,""))</f>
        <v/>
      </c>
      <c r="J244" s="441" t="str">
        <f>IF(ISERROR(Model!#REF!),"",IF(Model!#REF!&lt;&gt;"",Model!#REF!,""))</f>
        <v/>
      </c>
      <c r="K244" s="443" t="str">
        <f>IF(ISERROR(Model!#REF!),"",IF(Model!#REF!&lt;&gt;"",Model!#REF!,""))</f>
        <v/>
      </c>
      <c r="L244" s="441" t="str">
        <f>IF(ISERROR(Model!#REF!),"",IF(Model!#REF!&lt;&gt;"",Model!#REF!,""))</f>
        <v/>
      </c>
      <c r="M244" s="441" t="str">
        <f>IF(ISERROR(Model!#REF!),"",IF(Model!#REF!&lt;&gt;"",Model!#REF!,""))</f>
        <v/>
      </c>
      <c r="N244" s="443" t="str">
        <f>IF(ISERROR(Model!#REF!),"",IF(Model!#REF!&lt;&gt;"",Model!#REF!,""))</f>
        <v/>
      </c>
      <c r="O244" s="441" t="str">
        <f>IF(ISERROR(Model!#REF!),"",IF(Model!#REF!&lt;&gt;"",Model!#REF!,""))</f>
        <v/>
      </c>
      <c r="P244" s="441" t="str">
        <f>IF(ISERROR(Model!#REF!),"",IF(Model!#REF!&lt;&gt;"",Model!#REF!,""))</f>
        <v/>
      </c>
      <c r="Q244" s="443" t="str">
        <f>IF(ISERROR(Model!#REF!),"",IF(Model!#REF!&lt;&gt;"",Model!#REF!,""))</f>
        <v/>
      </c>
      <c r="R244" s="441" t="str">
        <f>IF(ISERROR(Model!#REF!),"",IF(Model!#REF!&lt;&gt;"",Model!#REF!,""))</f>
        <v/>
      </c>
      <c r="S244" s="441" t="str">
        <f>IF(ISERROR(Model!#REF!),"",IF(Model!#REF!&lt;&gt;"",Model!#REF!,""))</f>
        <v/>
      </c>
      <c r="T244" s="443" t="str">
        <f>IF(ISERROR(Model!#REF!),"",IF(Model!#REF!&lt;&gt;"",Model!#REF!,""))</f>
        <v/>
      </c>
      <c r="U244" s="465"/>
      <c r="V244" s="441" t="str">
        <f>IF(ISERROR(Model!#REF!),"",IF(Model!#REF!&lt;&gt;"",Model!#REF!,""))</f>
        <v/>
      </c>
      <c r="W244" s="443" t="str">
        <f>IF(ISERROR(Model!#REF!),"",IF(Model!#REF!&lt;&gt;"",Model!#REF!,""))</f>
        <v/>
      </c>
      <c r="X244" s="441" t="str">
        <f>IF(ISERROR(Model!#REF!),"",IF(Model!#REF!&lt;&gt;"",Model!#REF!,""))</f>
        <v/>
      </c>
      <c r="Y244" s="441" t="str">
        <f>IF(ISERROR(Model!#REF!),"",IF(Model!#REF!&lt;&gt;"",Model!#REF!,""))</f>
        <v/>
      </c>
      <c r="Z244" s="443" t="str">
        <f>IF(ISERROR(Model!#REF!),"",IF(Model!#REF!&lt;&gt;"",Model!#REF!,""))</f>
        <v/>
      </c>
      <c r="AA244" s="441" t="str">
        <f>IF(ISERROR(Model!#REF!),"",IF(Model!#REF!&lt;&gt;"",Model!#REF!,""))</f>
        <v/>
      </c>
      <c r="AB244" s="441" t="str">
        <f>IF(ISERROR(Model!#REF!),"",IF(Model!#REF!&lt;&gt;"",Model!#REF!,""))</f>
        <v/>
      </c>
      <c r="AC244" s="443" t="str">
        <f>IF(ISERROR(Model!#REF!),"",IF(Model!#REF!&lt;&gt;"",Model!#REF!,""))</f>
        <v/>
      </c>
      <c r="AD244" s="441" t="str">
        <f>IF(ISERROR(Model!#REF!),"",IF(Model!#REF!&lt;&gt;"",Model!#REF!,""))</f>
        <v/>
      </c>
      <c r="AE244" s="441" t="str">
        <f>IF(ISERROR(Model!#REF!),"",IF(Model!#REF!&lt;&gt;"",Model!#REF!,""))</f>
        <v/>
      </c>
      <c r="AF244" s="443" t="str">
        <f>IF(ISERROR(Model!#REF!),"",IF(Model!#REF!&lt;&gt;"",Model!#REF!,""))</f>
        <v/>
      </c>
      <c r="AG244" s="441" t="str">
        <f>IF(ISERROR(Model!#REF!),"",IF(Model!#REF!&lt;&gt;"",Model!#REF!,""))</f>
        <v/>
      </c>
      <c r="AH244" s="441" t="str">
        <f>IF(ISERROR(Model!#REF!),"",IF(Model!#REF!&lt;&gt;"",Model!#REF!,""))</f>
        <v/>
      </c>
      <c r="AI244" s="443" t="str">
        <f>IF(ISERROR(Model!#REF!),"",IF(Model!#REF!&lt;&gt;"",Model!#REF!,""))</f>
        <v/>
      </c>
      <c r="AJ244" s="441" t="str">
        <f>IF(ISERROR(Model!#REF!),"",IF(Model!#REF!&lt;&gt;"",Model!#REF!,""))</f>
        <v/>
      </c>
      <c r="AK244" s="441" t="str">
        <f>IF(ISERROR(Model!#REF!),"",IF(Model!#REF!&lt;&gt;"",Model!#REF!,""))</f>
        <v/>
      </c>
      <c r="AL244" s="443" t="str">
        <f>IF(ISERROR(Model!#REF!),"",IF(Model!#REF!&lt;&gt;"",Model!#REF!,""))</f>
        <v/>
      </c>
      <c r="AM244" s="441" t="str">
        <f>IF(ISERROR(Model!#REF!),"",IF(Model!#REF!&lt;&gt;"",Model!#REF!,""))</f>
        <v/>
      </c>
      <c r="AN244" s="441" t="str">
        <f>IF(ISERROR(Model!#REF!),"",IF(Model!#REF!&lt;&gt;"",Model!#REF!,""))</f>
        <v/>
      </c>
      <c r="AO244" s="443" t="str">
        <f>IF(ISERROR(Model!#REF!),"",IF(Model!#REF!&lt;&gt;"",Model!#REF!,""))</f>
        <v/>
      </c>
      <c r="AP244" s="441" t="str">
        <f>IF(ISERROR(Model!#REF!),"",IF(Model!#REF!&lt;&gt;"",Model!#REF!,""))</f>
        <v/>
      </c>
      <c r="AQ244" s="441" t="str">
        <f>IF(ISERROR(Model!#REF!),"",IF(Model!#REF!&lt;&gt;"",Model!#REF!,""))</f>
        <v/>
      </c>
      <c r="AR244" s="443" t="str">
        <f>IF(ISERROR(Model!#REF!),"",IF(Model!#REF!&lt;&gt;"",Model!#REF!,""))</f>
        <v/>
      </c>
      <c r="AS244" s="441" t="str">
        <f>IF(ISERROR(Model!#REF!),"",IF(Model!#REF!&lt;&gt;"",Model!#REF!,""))</f>
        <v/>
      </c>
      <c r="AT244" s="441" t="str">
        <f>IF(ISERROR(Model!#REF!),"",IF(Model!#REF!&lt;&gt;"",Model!#REF!,""))</f>
        <v/>
      </c>
      <c r="AU244" s="443" t="str">
        <f>IF(ISERROR(Model!#REF!),"",IF(Model!#REF!&lt;&gt;"",Model!#REF!,""))</f>
        <v/>
      </c>
      <c r="AV244" s="441" t="str">
        <f>IF(ISERROR(Model!#REF!),"",IF(Model!#REF!&lt;&gt;"",Model!#REF!,""))</f>
        <v/>
      </c>
      <c r="AW244" s="441" t="str">
        <f>IF(ISERROR(Model!#REF!),"",IF(Model!#REF!&lt;&gt;"",Model!#REF!,""))</f>
        <v/>
      </c>
      <c r="AX244" s="443" t="str">
        <f>IF(ISERROR(Model!#REF!),"",IF(Model!#REF!&lt;&gt;"",Model!#REF!,""))</f>
        <v/>
      </c>
      <c r="AY244" s="441" t="str">
        <f>IF(ISERROR(Model!#REF!),"",IF(Model!#REF!&lt;&gt;"",Model!#REF!,""))</f>
        <v/>
      </c>
      <c r="AZ244" s="441" t="str">
        <f>IF(ISERROR(Model!#REF!),"",IF(Model!#REF!&lt;&gt;"",Model!#REF!,""))</f>
        <v/>
      </c>
      <c r="BA244" s="443" t="str">
        <f>IF(ISERROR(Model!#REF!),"",IF(Model!#REF!&lt;&gt;"",Model!#REF!,""))</f>
        <v/>
      </c>
      <c r="BB244" s="441" t="str">
        <f>IF(ISERROR(Model!#REF!),"",IF(Model!#REF!&lt;&gt;"",Model!#REF!,""))</f>
        <v/>
      </c>
      <c r="BC244" s="441" t="str">
        <f>IF(ISERROR(Model!#REF!),"",IF(Model!#REF!&lt;&gt;"",Model!#REF!,""))</f>
        <v/>
      </c>
      <c r="BD244" s="443" t="str">
        <f>IF(ISERROR(Model!#REF!),"",IF(Model!#REF!&lt;&gt;"",Model!#REF!,""))</f>
        <v/>
      </c>
      <c r="BE244" s="441" t="str">
        <f>IF(ISERROR(Model!#REF!),"",IF(Model!#REF!&lt;&gt;"",Model!#REF!,""))</f>
        <v/>
      </c>
      <c r="BF244" s="441" t="str">
        <f>IF(ISERROR(Model!#REF!),"",IF(Model!#REF!&lt;&gt;"",Model!#REF!,""))</f>
        <v/>
      </c>
      <c r="BG244" s="443" t="str">
        <f>IF(ISERROR(Model!#REF!),"",IF(Model!#REF!&lt;&gt;"",Model!#REF!,""))</f>
        <v/>
      </c>
    </row>
    <row r="245" spans="2:59">
      <c r="B245" s="438" t="s">
        <v>584</v>
      </c>
      <c r="E245" s="516"/>
      <c r="H245" s="516"/>
      <c r="I245" s="441">
        <f>IF(AND(Model!I274&lt;&gt;"",Model!I273&lt;&gt;""),Model!I274,"")</f>
        <v>0</v>
      </c>
      <c r="J245" s="441">
        <f>IF(AND(Model!J274&lt;&gt;"",K245&lt;&gt;""),Model!J274,"")</f>
        <v>0</v>
      </c>
      <c r="K245" s="443">
        <f>IF(AND(Model!K274&lt;&gt;"",Model!J273&lt;&gt;""),Model!K274,"")</f>
        <v>0</v>
      </c>
      <c r="L245" s="441">
        <f>IF(AND(Model!L274&lt;&gt;"",Model!L273&lt;&gt;""),Model!L274,"")</f>
        <v>0</v>
      </c>
      <c r="M245" s="441">
        <f>IF(AND(Model!M274&lt;&gt;"",N245&lt;&gt;""),Model!M274,"")</f>
        <v>0</v>
      </c>
      <c r="N245" s="443">
        <f>IF(AND(Model!N274&lt;&gt;"",Model!M273&lt;&gt;""),Model!N274,"")</f>
        <v>0</v>
      </c>
      <c r="O245" s="441">
        <f>IF(AND(Model!O274&lt;&gt;"",Model!O273&lt;&gt;""),Model!O274,"")</f>
        <v>0</v>
      </c>
      <c r="P245" s="441">
        <f>IF(AND(Model!P274&lt;&gt;"",Q245&lt;&gt;""),Model!P274,"")</f>
        <v>0</v>
      </c>
      <c r="Q245" s="443">
        <f>IF(AND(Model!Q274&lt;&gt;"",Model!P273&lt;&gt;""),Model!Q274,"")</f>
        <v>0</v>
      </c>
      <c r="R245" s="441">
        <f>IF(AND(Model!R274&lt;&gt;"",Model!R273&lt;&gt;""),Model!R274,"")</f>
        <v>0</v>
      </c>
      <c r="S245" s="441">
        <f>IF(AND(Model!S274&lt;&gt;"",T245&lt;&gt;""),Model!S274,"")</f>
        <v>0</v>
      </c>
      <c r="T245" s="443">
        <f>IF(AND(Model!T274&lt;&gt;"",Model!S273&lt;&gt;""),Model!T274,"")</f>
        <v>0</v>
      </c>
      <c r="U245" s="441">
        <f>IF(AND(Model!U274&lt;&gt;"",Model!U273&lt;&gt;""),Model!U274,"")</f>
        <v>0</v>
      </c>
      <c r="V245" s="441">
        <f>IF(AND(Model!V274&lt;&gt;"",W245&lt;&gt;""),Model!V274,"")</f>
        <v>0</v>
      </c>
      <c r="W245" s="443">
        <f>IF(AND(Model!W274&lt;&gt;"",Model!V273&lt;&gt;""),Model!W274,"")</f>
        <v>0</v>
      </c>
      <c r="X245" s="441">
        <f>IF(AND(Model!X274&lt;&gt;"",Model!X273&lt;&gt;""),Model!X274,"")</f>
        <v>0</v>
      </c>
      <c r="Y245" s="441">
        <f>IF(AND(Model!Y274&lt;&gt;"",Z245&lt;&gt;""),Model!Y274,"")</f>
        <v>0</v>
      </c>
      <c r="Z245" s="443">
        <f>IF(AND(Model!Z274&lt;&gt;"",Model!Y273&lt;&gt;""),Model!Z274,"")</f>
        <v>0</v>
      </c>
      <c r="AA245" s="441">
        <f>IF(AND(Model!AA274&lt;&gt;"",Model!AA273&lt;&gt;""),Model!AA274,"")</f>
        <v>0</v>
      </c>
      <c r="AB245" s="441">
        <f>IF(AND(Model!AB274&lt;&gt;"",AC245&lt;&gt;""),Model!AB274,"")</f>
        <v>0</v>
      </c>
      <c r="AC245" s="443">
        <f>IF(AND(Model!AC274&lt;&gt;"",Model!AB273&lt;&gt;""),Model!AC274,"")</f>
        <v>0</v>
      </c>
      <c r="AD245" s="441">
        <f>IF(AND(Model!AD274&lt;&gt;"",Model!AD273&lt;&gt;""),Model!AD274,"")</f>
        <v>0</v>
      </c>
      <c r="AE245" s="441">
        <f>IF(AND(Model!AE274&lt;&gt;"",AF245&lt;&gt;""),Model!AE274,"")</f>
        <v>0</v>
      </c>
      <c r="AF245" s="443">
        <f>IF(AND(Model!AF274&lt;&gt;"",Model!AE273&lt;&gt;""),Model!AF274,"")</f>
        <v>0</v>
      </c>
      <c r="AG245" s="441">
        <f>IF(AND(Model!AG274&lt;&gt;"",Model!AG273&lt;&gt;""),Model!AG274,"")</f>
        <v>0</v>
      </c>
      <c r="AH245" s="441">
        <f>IF(AND(Model!AH274&lt;&gt;"",AI245&lt;&gt;""),Model!AH274,"")</f>
        <v>0</v>
      </c>
      <c r="AI245" s="443">
        <f>IF(AND(Model!AI274&lt;&gt;"",Model!AH273&lt;&gt;""),Model!AI274,"")</f>
        <v>0</v>
      </c>
      <c r="AJ245" s="441">
        <f>IF(AND(Model!AJ274&lt;&gt;"",Model!AJ273&lt;&gt;""),Model!AJ274,"")</f>
        <v>0</v>
      </c>
      <c r="AK245" s="441">
        <f>IF(AND(Model!AK274&lt;&gt;"",AL245&lt;&gt;""),Model!AK274,"")</f>
        <v>0</v>
      </c>
      <c r="AL245" s="443">
        <f>IF(AND(Model!AL274&lt;&gt;"",Model!AK273&lt;&gt;""),Model!AL274,"")</f>
        <v>0</v>
      </c>
      <c r="AM245" s="441">
        <f>IF(AND(Model!AM274&lt;&gt;"",Model!AM273&lt;&gt;""),Model!AM274,"")</f>
        <v>0</v>
      </c>
      <c r="AN245" s="441">
        <f>IF(AND(Model!AN274&lt;&gt;"",AO245&lt;&gt;""),Model!AN274,"")</f>
        <v>0</v>
      </c>
      <c r="AO245" s="443">
        <f>IF(AND(Model!AO274&lt;&gt;"",Model!AN273&lt;&gt;""),Model!AO274,"")</f>
        <v>0</v>
      </c>
      <c r="AP245" s="441">
        <f>IF(AND(Model!AP274&lt;&gt;"",Model!AP273&lt;&gt;""),Model!AP274,"")</f>
        <v>0</v>
      </c>
      <c r="AQ245" s="441">
        <f>IF(AND(Model!AQ274&lt;&gt;"",AR245&lt;&gt;""),Model!AQ274,"")</f>
        <v>0</v>
      </c>
      <c r="AR245" s="443">
        <f>IF(AND(Model!AR274&lt;&gt;"",Model!AQ273&lt;&gt;""),Model!AR274,"")</f>
        <v>0</v>
      </c>
      <c r="AS245" s="441">
        <f>IF(AND(Model!AS274&lt;&gt;"",Model!AS273&lt;&gt;""),Model!AS274,"")</f>
        <v>0</v>
      </c>
      <c r="AT245" s="441">
        <f>IF(AND(Model!AT274&lt;&gt;"",AU245&lt;&gt;""),Model!AT274,"")</f>
        <v>0</v>
      </c>
      <c r="AU245" s="443">
        <f>IF(AND(Model!AU274&lt;&gt;"",Model!AT273&lt;&gt;""),Model!AU274,"")</f>
        <v>0</v>
      </c>
      <c r="AV245" s="441">
        <f>IF(AND(Model!AV274&lt;&gt;"",Model!AV273&lt;&gt;""),Model!AV274,"")</f>
        <v>0</v>
      </c>
      <c r="AW245" s="441">
        <f>IF(AND(Model!AW274&lt;&gt;"",AX245&lt;&gt;""),Model!AW274,"")</f>
        <v>0</v>
      </c>
      <c r="AX245" s="443">
        <f>IF(AND(Model!AX274&lt;&gt;"",Model!AW273&lt;&gt;""),Model!AX274,"")</f>
        <v>0</v>
      </c>
      <c r="AY245" s="441">
        <f>IF(AND(Model!AY274&lt;&gt;"",Model!AY273&lt;&gt;""),Model!AY274,"")</f>
        <v>0</v>
      </c>
      <c r="AZ245" s="441">
        <f>IF(AND(Model!AZ274&lt;&gt;"",BA245&lt;&gt;""),Model!AZ274,"")</f>
        <v>0</v>
      </c>
      <c r="BA245" s="443">
        <f>IF(AND(Model!BA274&lt;&gt;"",Model!AZ273&lt;&gt;""),Model!BA274,"")</f>
        <v>0</v>
      </c>
      <c r="BB245" s="441">
        <f>IF(AND(Model!BB274&lt;&gt;"",Model!BB273&lt;&gt;""),Model!BB274,"")</f>
        <v>0</v>
      </c>
      <c r="BC245" s="441">
        <f>IF(AND(Model!BC274&lt;&gt;"",BD245&lt;&gt;""),Model!BC274,"")</f>
        <v>0</v>
      </c>
      <c r="BD245" s="443">
        <f>IF(AND(Model!BD274&lt;&gt;"",Model!BC273&lt;&gt;""),Model!BD274,"")</f>
        <v>0</v>
      </c>
      <c r="BE245" s="441">
        <f>IF(AND(Model!BE274&lt;&gt;"",Model!BE273&lt;&gt;""),Model!BE274,"")</f>
        <v>0</v>
      </c>
      <c r="BF245" s="441">
        <f>IF(AND(Model!BF274&lt;&gt;"",BG245&lt;&gt;""),Model!BF274,"")</f>
        <v>0</v>
      </c>
      <c r="BG245" s="443">
        <f>IF(AND(Model!BG274&lt;&gt;"",Model!BF273&lt;&gt;""),Model!BG274,"")</f>
        <v>0</v>
      </c>
    </row>
    <row r="246" spans="2:59">
      <c r="B246" s="438"/>
      <c r="E246" s="516"/>
      <c r="H246" s="516"/>
      <c r="I246" s="441"/>
      <c r="J246" s="441"/>
      <c r="K246" s="443"/>
      <c r="L246" s="441"/>
      <c r="M246" s="441"/>
      <c r="N246" s="443"/>
      <c r="O246" s="441"/>
      <c r="P246" s="441"/>
      <c r="Q246" s="443"/>
      <c r="R246" s="441"/>
      <c r="S246" s="441"/>
      <c r="T246" s="443"/>
      <c r="U246" s="441"/>
      <c r="V246" s="441"/>
      <c r="W246" s="443"/>
      <c r="X246" s="441"/>
      <c r="Y246" s="441"/>
      <c r="Z246" s="443"/>
      <c r="AA246" s="441"/>
      <c r="AB246" s="441"/>
      <c r="AC246" s="443"/>
      <c r="AD246" s="441"/>
      <c r="AE246" s="441"/>
      <c r="AF246" s="443"/>
      <c r="AG246" s="441"/>
      <c r="AH246" s="441"/>
      <c r="AI246" s="443"/>
      <c r="AJ246" s="441"/>
      <c r="AK246" s="441"/>
      <c r="AL246" s="443"/>
      <c r="AM246" s="441"/>
      <c r="AN246" s="441"/>
      <c r="AO246" s="443"/>
      <c r="AP246" s="441"/>
      <c r="AQ246" s="441"/>
      <c r="AR246" s="443"/>
      <c r="AS246" s="441"/>
      <c r="AT246" s="441"/>
      <c r="AU246" s="443"/>
      <c r="AV246" s="441"/>
      <c r="AW246" s="441"/>
      <c r="AX246" s="443"/>
      <c r="AY246" s="441"/>
      <c r="AZ246" s="441"/>
      <c r="BA246" s="443"/>
      <c r="BB246" s="441"/>
      <c r="BC246" s="441"/>
      <c r="BD246" s="443"/>
      <c r="BE246" s="441"/>
      <c r="BF246" s="441"/>
      <c r="BG246" s="443"/>
    </row>
    <row r="247" spans="2:59">
      <c r="B247" s="438" t="s">
        <v>115</v>
      </c>
      <c r="E247" s="516"/>
      <c r="H247" s="516"/>
      <c r="I247" s="441"/>
      <c r="J247" s="441"/>
      <c r="K247" s="443"/>
      <c r="L247" s="441"/>
      <c r="M247" s="441"/>
      <c r="N247" s="443"/>
      <c r="O247" s="441"/>
      <c r="P247" s="441"/>
      <c r="Q247" s="443"/>
      <c r="R247" s="441"/>
      <c r="S247" s="441"/>
      <c r="T247" s="443"/>
      <c r="U247" s="441">
        <f>+Model!U127</f>
        <v>-8</v>
      </c>
      <c r="V247" s="441">
        <f>+Model!V127</f>
        <v>-2.9169999999999998</v>
      </c>
      <c r="W247" s="443">
        <f>+Model!W127</f>
        <v>-10.917</v>
      </c>
      <c r="X247" s="441">
        <f>+Model!X127</f>
        <v>0</v>
      </c>
      <c r="Y247" s="441">
        <f>+Model!Y127</f>
        <v>-23.902000000000001</v>
      </c>
      <c r="Z247" s="443">
        <f>+Model!Z127</f>
        <v>-23.902000000000001</v>
      </c>
      <c r="AA247" s="441">
        <f>+Model!AA127</f>
        <v>0</v>
      </c>
      <c r="AB247" s="445">
        <v>-51.7</v>
      </c>
      <c r="AC247" s="443">
        <f>+SUM(AA247:AB247)</f>
        <v>-51.7</v>
      </c>
      <c r="AD247" s="441">
        <f>-AD17*AD248</f>
        <v>-22.158444813532832</v>
      </c>
      <c r="AE247" s="441">
        <f>-AE17*AE248</f>
        <v>-13.932060962027832</v>
      </c>
      <c r="AF247" s="443">
        <f>+SUM(AD247:AE247)</f>
        <v>-36.090505775560665</v>
      </c>
      <c r="AG247" s="441">
        <f>-AG17*AG248</f>
        <v>0</v>
      </c>
      <c r="AH247" s="441">
        <f>-AH17*AH248</f>
        <v>0</v>
      </c>
      <c r="AI247" s="443">
        <f t="shared" ref="AI247" si="914">+SUM(AG247:AH247)</f>
        <v>0</v>
      </c>
      <c r="AJ247" s="441">
        <f>-AJ17*AJ248</f>
        <v>0</v>
      </c>
      <c r="AK247" s="441">
        <f>-AK17*AK248</f>
        <v>0</v>
      </c>
      <c r="AL247" s="443">
        <f t="shared" ref="AL247" si="915">+SUM(AJ247:AK247)</f>
        <v>0</v>
      </c>
      <c r="AM247" s="441">
        <f>-AM17*AM248</f>
        <v>0</v>
      </c>
      <c r="AN247" s="441">
        <f>-AN17*AN248</f>
        <v>0</v>
      </c>
      <c r="AO247" s="443">
        <f t="shared" ref="AO247" si="916">+SUM(AM247:AN247)</f>
        <v>0</v>
      </c>
      <c r="AP247" s="441">
        <f>-AP17*AP248</f>
        <v>0</v>
      </c>
      <c r="AQ247" s="441">
        <f>-AQ17*AQ248</f>
        <v>0</v>
      </c>
      <c r="AR247" s="443">
        <f t="shared" ref="AR247" si="917">+SUM(AP247:AQ247)</f>
        <v>0</v>
      </c>
      <c r="AS247" s="441">
        <f>-AS17*AS248</f>
        <v>0</v>
      </c>
      <c r="AT247" s="441">
        <f>-AT17*AT248</f>
        <v>0</v>
      </c>
      <c r="AU247" s="443">
        <f t="shared" ref="AU247" si="918">+SUM(AS247:AT247)</f>
        <v>0</v>
      </c>
      <c r="AV247" s="441">
        <f>-AV17*AV248</f>
        <v>0</v>
      </c>
      <c r="AW247" s="441">
        <f>-AW17*AW248</f>
        <v>0</v>
      </c>
      <c r="AX247" s="443">
        <f t="shared" ref="AX247" si="919">+SUM(AV247:AW247)</f>
        <v>0</v>
      </c>
      <c r="AY247" s="441">
        <f>-AY17*AY248</f>
        <v>0</v>
      </c>
      <c r="AZ247" s="441">
        <f>-AZ17*AZ248</f>
        <v>0</v>
      </c>
      <c r="BA247" s="443">
        <f t="shared" ref="BA247" si="920">+SUM(AY247:AZ247)</f>
        <v>0</v>
      </c>
      <c r="BB247" s="441">
        <f>-BB17*BB248</f>
        <v>0</v>
      </c>
      <c r="BC247" s="441">
        <f>-BC17*BC248</f>
        <v>0</v>
      </c>
      <c r="BD247" s="443">
        <f t="shared" ref="BD247" si="921">+SUM(BB247:BC247)</f>
        <v>0</v>
      </c>
      <c r="BE247" s="441">
        <f>-BE17*BE248</f>
        <v>0</v>
      </c>
      <c r="BF247" s="441">
        <f>-BF17*BF248</f>
        <v>0</v>
      </c>
      <c r="BG247" s="443">
        <f t="shared" ref="BG247" si="922">+SUM(BE247:BF247)</f>
        <v>0</v>
      </c>
    </row>
    <row r="248" spans="2:59">
      <c r="B248" s="438" t="s">
        <v>488</v>
      </c>
      <c r="E248" s="516"/>
      <c r="H248" s="516"/>
      <c r="I248" s="465"/>
      <c r="J248" s="465"/>
      <c r="K248" s="466"/>
      <c r="L248" s="465"/>
      <c r="M248" s="465"/>
      <c r="N248" s="466"/>
      <c r="O248" s="465"/>
      <c r="P248" s="465"/>
      <c r="Q248" s="466"/>
      <c r="R248" s="465"/>
      <c r="S248" s="465"/>
      <c r="T248" s="466"/>
      <c r="U248" s="465">
        <f t="shared" ref="U248:Z248" si="923">-U247/U17</f>
        <v>5.3769583890632661E-2</v>
      </c>
      <c r="V248" s="465">
        <f t="shared" si="923"/>
        <v>1.5836477645973016E-2</v>
      </c>
      <c r="W248" s="466">
        <f t="shared" si="923"/>
        <v>3.2785949822510797E-2</v>
      </c>
      <c r="X248" s="465">
        <f t="shared" si="923"/>
        <v>0</v>
      </c>
      <c r="Y248" s="465">
        <f t="shared" si="923"/>
        <v>8.6307503430345933E-2</v>
      </c>
      <c r="Z248" s="466">
        <f t="shared" si="923"/>
        <v>4.6272294507221937E-2</v>
      </c>
      <c r="AA248" s="465">
        <f t="shared" ref="AA248:AB248" si="924">-AA247/AA17</f>
        <v>0</v>
      </c>
      <c r="AB248" s="465">
        <f t="shared" si="924"/>
        <v>0.12486658327452764</v>
      </c>
      <c r="AC248" s="466">
        <f>-AC247/AC17</f>
        <v>6.4271433130245234E-2</v>
      </c>
      <c r="AD248" s="472">
        <v>0.05</v>
      </c>
      <c r="AE248" s="465">
        <v>0.03</v>
      </c>
      <c r="AF248" s="466">
        <f>-AF247/AF17</f>
        <v>3.9766044337319006E-2</v>
      </c>
      <c r="AG248" s="465">
        <v>0</v>
      </c>
      <c r="AH248" s="465">
        <f t="shared" ref="AH248" si="925">+AG248</f>
        <v>0</v>
      </c>
      <c r="AI248" s="466">
        <f>-AI247/AI17</f>
        <v>0</v>
      </c>
      <c r="AJ248" s="465">
        <f>+AH248</f>
        <v>0</v>
      </c>
      <c r="AK248" s="465">
        <f t="shared" ref="AK248" si="926">+AJ248</f>
        <v>0</v>
      </c>
      <c r="AL248" s="466">
        <f>-AL247/AL17</f>
        <v>0</v>
      </c>
      <c r="AM248" s="465">
        <f t="shared" ref="AM248" si="927">+AK248</f>
        <v>0</v>
      </c>
      <c r="AN248" s="465">
        <f t="shared" ref="AN248" si="928">+AM248</f>
        <v>0</v>
      </c>
      <c r="AO248" s="466">
        <f>-AO247/AO17</f>
        <v>0</v>
      </c>
      <c r="AP248" s="465">
        <f t="shared" ref="AP248" si="929">+AN248</f>
        <v>0</v>
      </c>
      <c r="AQ248" s="465">
        <f t="shared" ref="AQ248" si="930">+AP248</f>
        <v>0</v>
      </c>
      <c r="AR248" s="466">
        <f>-AR247/AR17</f>
        <v>0</v>
      </c>
      <c r="AS248" s="465">
        <f t="shared" ref="AS248" si="931">+AQ248</f>
        <v>0</v>
      </c>
      <c r="AT248" s="465">
        <f t="shared" ref="AT248" si="932">+AS248</f>
        <v>0</v>
      </c>
      <c r="AU248" s="466">
        <f>-AU247/AU17</f>
        <v>0</v>
      </c>
      <c r="AV248" s="465">
        <f t="shared" ref="AV248" si="933">+AT248</f>
        <v>0</v>
      </c>
      <c r="AW248" s="465">
        <f t="shared" ref="AW248" si="934">+AV248</f>
        <v>0</v>
      </c>
      <c r="AX248" s="466">
        <f>-AX247/AX17</f>
        <v>0</v>
      </c>
      <c r="AY248" s="465">
        <f t="shared" ref="AY248" si="935">+AW248</f>
        <v>0</v>
      </c>
      <c r="AZ248" s="465">
        <f t="shared" ref="AZ248" si="936">+AY248</f>
        <v>0</v>
      </c>
      <c r="BA248" s="466">
        <f>-BA247/BA17</f>
        <v>0</v>
      </c>
      <c r="BB248" s="465">
        <f t="shared" ref="BB248" si="937">+AZ248</f>
        <v>0</v>
      </c>
      <c r="BC248" s="465">
        <f t="shared" ref="BC248" si="938">+BB248</f>
        <v>0</v>
      </c>
      <c r="BD248" s="466">
        <f>-BD247/BD17</f>
        <v>0</v>
      </c>
      <c r="BE248" s="465">
        <f t="shared" ref="BE248" si="939">+BC248</f>
        <v>0</v>
      </c>
      <c r="BF248" s="465">
        <f t="shared" ref="BF248" si="940">+BE248</f>
        <v>0</v>
      </c>
      <c r="BG248" s="466">
        <f>-BG247/BG17</f>
        <v>0</v>
      </c>
    </row>
    <row r="254" spans="2:59">
      <c r="W254" s="534"/>
    </row>
  </sheetData>
  <scenarios current="0" sqref="CQ9 CS12 CQ21 CQ31 CT31 CQ74 CQ128 CQ171">
    <scenario name="EUR" locked="1" count="3" user="Chen, Patrick (Research)" comment="Created by Chen, Patrick (Research) on 2/17/2015">
      <inputCells r="BA559" undone="1" val="0.008" numFmtId="170"/>
      <inputCells r="BA556" undone="1" val="0.05" numFmtId="170"/>
      <inputCells r="BA553" undone="1" val="0.008" numFmtId="170"/>
    </scenario>
  </scenarios>
  <phoneticPr fontId="49" type="noConversion"/>
  <dataValidations disablePrompts="1" count="1">
    <dataValidation type="list" allowBlank="1" showInputMessage="1" showErrorMessage="1" sqref="C21" xr:uid="{FBE43B31-A013-4810-A6B3-2AF263B07E61}">
      <formula1>$A$1:$A$2</formula1>
    </dataValidation>
  </dataValidations>
  <printOptions gridLinesSet="0"/>
  <pageMargins left="0.75" right="0.75" top="1" bottom="1" header="0.5" footer="0.5"/>
  <pageSetup paperSize="9" scale="14" orientation="landscape" r:id="rId1"/>
  <headerFooter alignWithMargins="0">
    <oddHeader>&amp;A</oddHeader>
    <oddFooter>Page &amp;P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1D4F1-14A9-494B-83DA-2280FAC47DA6}">
  <sheetPr codeName="Sheet23"/>
  <dimension ref="B2:AC1048576"/>
  <sheetViews>
    <sheetView zoomScale="85" zoomScaleNormal="85" workbookViewId="0">
      <selection activeCell="M42" sqref="M42"/>
    </sheetView>
  </sheetViews>
  <sheetFormatPr defaultColWidth="9.140625" defaultRowHeight="12.75"/>
  <cols>
    <col min="1" max="1" width="9.140625" style="296"/>
    <col min="2" max="2" width="26.85546875" style="296" bestFit="1" customWidth="1"/>
    <col min="3" max="15" width="9.140625" style="296"/>
    <col min="16" max="18" width="27.85546875" style="296" customWidth="1"/>
    <col min="19" max="19" width="9.140625" style="296"/>
    <col min="20" max="20" width="9.7109375" style="296" bestFit="1" customWidth="1"/>
    <col min="21" max="16384" width="9.140625" style="296"/>
  </cols>
  <sheetData>
    <row r="2" spans="2:19">
      <c r="B2" s="296" t="s">
        <v>431</v>
      </c>
    </row>
    <row r="4" spans="2:19">
      <c r="B4" s="297" t="s">
        <v>415</v>
      </c>
      <c r="C4" s="298"/>
      <c r="D4" s="299"/>
      <c r="E4" s="299"/>
      <c r="F4" s="299"/>
      <c r="G4" s="299"/>
      <c r="H4" s="299"/>
      <c r="I4" s="299"/>
      <c r="J4" s="299"/>
      <c r="K4" s="299"/>
      <c r="L4" s="299"/>
      <c r="P4" s="300" t="s">
        <v>432</v>
      </c>
      <c r="Q4" s="301" t="s">
        <v>433</v>
      </c>
      <c r="R4" s="301" t="s">
        <v>434</v>
      </c>
    </row>
    <row r="5" spans="2:19">
      <c r="B5" s="302" t="s">
        <v>416</v>
      </c>
      <c r="C5" s="303">
        <v>4.2500000000000003E-2</v>
      </c>
      <c r="D5" s="299"/>
      <c r="E5" s="299"/>
      <c r="F5" s="299"/>
      <c r="G5" s="299"/>
      <c r="H5" s="299"/>
      <c r="I5" s="299"/>
      <c r="J5" s="299"/>
      <c r="K5" s="299"/>
      <c r="L5" s="299"/>
      <c r="P5" s="304" t="s">
        <v>435</v>
      </c>
      <c r="Q5" s="305">
        <v>0.15</v>
      </c>
      <c r="R5" s="306">
        <v>38</v>
      </c>
      <c r="S5" s="325">
        <f>+R5-R6</f>
        <v>11.600000000000001</v>
      </c>
    </row>
    <row r="6" spans="2:19">
      <c r="B6" s="302" t="s">
        <v>417</v>
      </c>
      <c r="C6" s="303">
        <v>0.05</v>
      </c>
      <c r="D6" s="299"/>
      <c r="E6" s="299"/>
      <c r="F6" s="299"/>
      <c r="G6" s="299"/>
      <c r="H6" s="299"/>
      <c r="I6" s="299"/>
      <c r="J6" s="299"/>
      <c r="K6" s="299"/>
      <c r="L6" s="299"/>
      <c r="P6" s="307" t="s">
        <v>436</v>
      </c>
      <c r="Q6" s="308">
        <v>0.7</v>
      </c>
      <c r="R6" s="309">
        <v>26.4</v>
      </c>
    </row>
    <row r="7" spans="2:19">
      <c r="B7" s="302" t="s">
        <v>418</v>
      </c>
      <c r="C7" s="303">
        <v>4.0000000000000008E-2</v>
      </c>
      <c r="D7" s="299"/>
      <c r="E7" s="299"/>
      <c r="F7" s="299"/>
      <c r="G7" s="299"/>
      <c r="H7" s="299"/>
      <c r="I7" s="299"/>
      <c r="J7" s="299"/>
      <c r="K7" s="299"/>
      <c r="L7" s="299"/>
      <c r="P7" s="310" t="s">
        <v>437</v>
      </c>
      <c r="Q7" s="311">
        <f>1-SUM(Q5:Q6)</f>
        <v>0.15000000000000002</v>
      </c>
      <c r="R7" s="312">
        <v>9.4</v>
      </c>
      <c r="S7" s="325">
        <f>+R7-R6</f>
        <v>-17</v>
      </c>
    </row>
    <row r="8" spans="2:19">
      <c r="B8" s="302" t="s">
        <v>419</v>
      </c>
      <c r="C8" s="303">
        <v>0.10250000000000001</v>
      </c>
      <c r="D8" s="299"/>
      <c r="E8" s="299"/>
      <c r="F8" s="299"/>
      <c r="G8" s="299"/>
      <c r="H8" s="299"/>
      <c r="I8" s="299"/>
      <c r="J8" s="299"/>
      <c r="K8" s="299"/>
      <c r="L8" s="299"/>
      <c r="P8" s="313" t="s">
        <v>438</v>
      </c>
      <c r="Q8" s="313"/>
      <c r="R8" s="314">
        <f>+ROUND(SUMPRODUCT(Q5:Q7,R5:R7),1)</f>
        <v>25.6</v>
      </c>
    </row>
    <row r="9" spans="2:19">
      <c r="B9" s="315" t="s">
        <v>363</v>
      </c>
      <c r="C9" s="316">
        <v>1.2</v>
      </c>
      <c r="D9" s="299"/>
      <c r="E9" s="299"/>
      <c r="F9" s="299"/>
      <c r="G9" s="299"/>
      <c r="H9" s="299"/>
      <c r="I9" s="299"/>
      <c r="J9" s="299"/>
      <c r="K9" s="299"/>
      <c r="L9" s="299"/>
      <c r="P9" s="304" t="s">
        <v>439</v>
      </c>
      <c r="Q9" s="304"/>
      <c r="R9" s="317">
        <v>11.49</v>
      </c>
    </row>
    <row r="10" spans="2:19">
      <c r="B10" s="318" t="s">
        <v>362</v>
      </c>
      <c r="C10" s="319">
        <v>9.0000000000000024E-2</v>
      </c>
      <c r="D10" s="299"/>
      <c r="E10" s="299"/>
      <c r="F10" s="299"/>
      <c r="G10" s="299"/>
      <c r="H10" s="299"/>
      <c r="I10" s="299"/>
      <c r="J10" s="299"/>
      <c r="K10" s="299"/>
      <c r="L10" s="299"/>
      <c r="P10" s="320" t="s">
        <v>440</v>
      </c>
      <c r="Q10" s="320"/>
      <c r="R10" s="321">
        <f>+R8/R9-1</f>
        <v>1.228024369016536</v>
      </c>
    </row>
    <row r="11" spans="2:19">
      <c r="B11" s="302" t="s">
        <v>441</v>
      </c>
      <c r="C11" s="303">
        <v>3.5000000000000003E-2</v>
      </c>
      <c r="D11" s="299"/>
      <c r="E11" s="299"/>
      <c r="F11" s="299"/>
      <c r="G11" s="299"/>
      <c r="H11" s="299"/>
      <c r="I11" s="299"/>
      <c r="J11" s="299"/>
      <c r="K11" s="299"/>
      <c r="L11" s="299"/>
    </row>
    <row r="12" spans="2:19">
      <c r="B12" s="302"/>
      <c r="C12" s="299"/>
      <c r="D12" s="299"/>
      <c r="E12" s="299"/>
      <c r="F12" s="299"/>
      <c r="G12" s="299"/>
      <c r="H12" s="299"/>
      <c r="I12" s="299"/>
      <c r="J12" s="299"/>
      <c r="K12" s="299"/>
      <c r="N12" s="53"/>
    </row>
    <row r="13" spans="2:19">
      <c r="B13" s="322" t="s">
        <v>442</v>
      </c>
      <c r="C13" s="322" t="s">
        <v>443</v>
      </c>
      <c r="D13" s="323" t="s">
        <v>6</v>
      </c>
      <c r="E13" s="323" t="s">
        <v>7</v>
      </c>
      <c r="F13" s="323" t="s">
        <v>129</v>
      </c>
      <c r="G13" s="323" t="s">
        <v>130</v>
      </c>
      <c r="H13" s="323" t="s">
        <v>131</v>
      </c>
      <c r="I13" s="323" t="s">
        <v>132</v>
      </c>
      <c r="J13" s="323" t="s">
        <v>133</v>
      </c>
      <c r="K13" s="323" t="s">
        <v>134</v>
      </c>
      <c r="L13" s="323" t="s">
        <v>135</v>
      </c>
      <c r="M13" s="323" t="s">
        <v>136</v>
      </c>
      <c r="N13" s="53"/>
      <c r="Q13" s="296">
        <v>25.4</v>
      </c>
    </row>
    <row r="14" spans="2:19">
      <c r="B14" s="302" t="s">
        <v>18</v>
      </c>
      <c r="C14" s="296" t="s">
        <v>422</v>
      </c>
      <c r="D14" s="324">
        <v>32.366374142783911</v>
      </c>
      <c r="E14" s="324">
        <v>49.014708261615063</v>
      </c>
      <c r="F14" s="324">
        <v>91.538843925852689</v>
      </c>
      <c r="G14" s="324">
        <v>178.11173195728588</v>
      </c>
      <c r="H14" s="324">
        <v>275.5056335479178</v>
      </c>
      <c r="I14" s="324">
        <v>367.58871240096028</v>
      </c>
      <c r="J14" s="324">
        <v>470.8830174164857</v>
      </c>
      <c r="K14" s="324">
        <v>578.50739204834827</v>
      </c>
      <c r="L14" s="324">
        <v>692.81677706335222</v>
      </c>
      <c r="M14" s="324">
        <v>807.70354841668905</v>
      </c>
      <c r="N14" s="53"/>
    </row>
    <row r="15" spans="2:19">
      <c r="B15" s="302" t="s">
        <v>54</v>
      </c>
      <c r="C15" s="296" t="s">
        <v>422</v>
      </c>
      <c r="D15" s="324">
        <v>-0.92654821930424003</v>
      </c>
      <c r="E15" s="324">
        <v>-5.5745522042531634</v>
      </c>
      <c r="F15" s="324">
        <v>-15.377594151090328</v>
      </c>
      <c r="G15" s="324">
        <v>-35.69447431150661</v>
      </c>
      <c r="H15" s="324">
        <v>-65.451851516975609</v>
      </c>
      <c r="I15" s="324">
        <v>-88.044302026529806</v>
      </c>
      <c r="J15" s="324">
        <v>-113.61611123488973</v>
      </c>
      <c r="K15" s="324">
        <v>-140.58873992504886</v>
      </c>
      <c r="L15" s="324">
        <v>-169.5410779635526</v>
      </c>
      <c r="M15" s="324">
        <v>-199.06393700267625</v>
      </c>
      <c r="N15" s="53"/>
    </row>
    <row r="16" spans="2:19">
      <c r="B16" s="302" t="s">
        <v>42</v>
      </c>
      <c r="C16" s="296" t="s">
        <v>422</v>
      </c>
      <c r="D16" s="324">
        <v>22.689273208456274</v>
      </c>
      <c r="E16" s="324">
        <v>25.612361486292137</v>
      </c>
      <c r="F16" s="324">
        <v>28.968274849087358</v>
      </c>
      <c r="G16" s="324">
        <v>37.454036256551099</v>
      </c>
      <c r="H16" s="324">
        <v>44.538231243194531</v>
      </c>
      <c r="I16" s="324">
        <v>51.257369261855871</v>
      </c>
      <c r="J16" s="324">
        <v>58.12558332893741</v>
      </c>
      <c r="K16" s="324">
        <v>64.804239482924274</v>
      </c>
      <c r="L16" s="324">
        <v>71.397250858751477</v>
      </c>
      <c r="M16" s="324">
        <v>77.486298991770781</v>
      </c>
      <c r="N16" s="53"/>
      <c r="P16" s="325"/>
    </row>
    <row r="17" spans="2:27">
      <c r="B17" s="302" t="s">
        <v>115</v>
      </c>
      <c r="C17" s="296" t="s">
        <v>422</v>
      </c>
      <c r="D17" s="324">
        <v>-36.090505775560665</v>
      </c>
      <c r="E17" s="324">
        <v>0</v>
      </c>
      <c r="F17" s="324">
        <v>0</v>
      </c>
      <c r="G17" s="324">
        <v>0</v>
      </c>
      <c r="H17" s="324">
        <v>0</v>
      </c>
      <c r="I17" s="324">
        <v>0</v>
      </c>
      <c r="J17" s="324">
        <v>0</v>
      </c>
      <c r="K17" s="324">
        <v>0</v>
      </c>
      <c r="L17" s="324">
        <v>0</v>
      </c>
      <c r="M17" s="324">
        <v>0</v>
      </c>
      <c r="N17" s="53"/>
      <c r="P17" s="325"/>
    </row>
    <row r="18" spans="2:27">
      <c r="B18" s="302" t="s">
        <v>444</v>
      </c>
      <c r="C18" s="296" t="s">
        <v>422</v>
      </c>
      <c r="D18" s="324">
        <v>-45.378546416912556</v>
      </c>
      <c r="E18" s="324">
        <v>-35.857306080808996</v>
      </c>
      <c r="F18" s="324">
        <v>-40.5555847887223</v>
      </c>
      <c r="G18" s="324">
        <v>-52.435650759171537</v>
      </c>
      <c r="H18" s="324">
        <v>-62.353523740472333</v>
      </c>
      <c r="I18" s="324">
        <v>-71.760316966598225</v>
      </c>
      <c r="J18" s="324">
        <v>-81.375816660512371</v>
      </c>
      <c r="K18" s="324">
        <v>-90.725935276093992</v>
      </c>
      <c r="L18" s="324">
        <v>-99.956151202252073</v>
      </c>
      <c r="M18" s="324">
        <v>-108.48081858847911</v>
      </c>
      <c r="N18" s="53"/>
      <c r="P18" s="325"/>
    </row>
    <row r="19" spans="2:27">
      <c r="B19" s="315" t="s">
        <v>423</v>
      </c>
      <c r="C19" s="326" t="s">
        <v>422</v>
      </c>
      <c r="D19" s="327">
        <v>-3.610950258994805</v>
      </c>
      <c r="E19" s="327">
        <v>-4.092323588970217</v>
      </c>
      <c r="F19" s="327">
        <v>-4.6982787079133317</v>
      </c>
      <c r="G19" s="327">
        <v>-11.880065970449238</v>
      </c>
      <c r="H19" s="327">
        <v>-9.9178729813007749</v>
      </c>
      <c r="I19" s="327">
        <v>-9.4067932261258846</v>
      </c>
      <c r="J19" s="327">
        <v>-9.6154996939141597</v>
      </c>
      <c r="K19" s="327">
        <v>-9.3501186155815788</v>
      </c>
      <c r="L19" s="327">
        <v>-9.230215926158138</v>
      </c>
      <c r="M19" s="327">
        <v>-8.524667386227037</v>
      </c>
      <c r="N19" s="53"/>
    </row>
    <row r="20" spans="2:27">
      <c r="B20" s="318" t="s">
        <v>421</v>
      </c>
      <c r="C20" s="328" t="s">
        <v>422</v>
      </c>
      <c r="D20" s="329">
        <f t="shared" ref="D20:M20" si="0">+SUM(D14:D19)</f>
        <v>-30.950903319532081</v>
      </c>
      <c r="E20" s="329">
        <f t="shared" si="0"/>
        <v>29.10288787387482</v>
      </c>
      <c r="F20" s="329">
        <f t="shared" si="0"/>
        <v>59.875661127214073</v>
      </c>
      <c r="G20" s="329">
        <f t="shared" si="0"/>
        <v>115.55557717270959</v>
      </c>
      <c r="H20" s="329">
        <f t="shared" si="0"/>
        <v>182.32061655236362</v>
      </c>
      <c r="I20" s="329">
        <f t="shared" si="0"/>
        <v>249.63466944356225</v>
      </c>
      <c r="J20" s="329">
        <f t="shared" si="0"/>
        <v>324.40117315610684</v>
      </c>
      <c r="K20" s="329">
        <f t="shared" si="0"/>
        <v>402.64683771454816</v>
      </c>
      <c r="L20" s="329">
        <f t="shared" si="0"/>
        <v>485.48658283014083</v>
      </c>
      <c r="M20" s="329">
        <f t="shared" si="0"/>
        <v>569.12042443107737</v>
      </c>
      <c r="N20" s="53"/>
    </row>
    <row r="21" spans="2:27">
      <c r="B21" s="315" t="s">
        <v>424</v>
      </c>
      <c r="C21" s="315"/>
      <c r="D21" s="330">
        <v>0.92199126686595179</v>
      </c>
      <c r="E21" s="330">
        <v>0.84586354758344207</v>
      </c>
      <c r="F21" s="330">
        <v>0.77602160328756131</v>
      </c>
      <c r="G21" s="330">
        <v>0.71194642503445993</v>
      </c>
      <c r="H21" s="330">
        <v>0.65316185782977965</v>
      </c>
      <c r="I21" s="330">
        <v>0.59923106222915556</v>
      </c>
      <c r="J21" s="330">
        <v>0.54975326810014269</v>
      </c>
      <c r="K21" s="330">
        <v>0.50436079642214926</v>
      </c>
      <c r="L21" s="330">
        <v>0.46271632699279741</v>
      </c>
      <c r="M21" s="330">
        <v>0.42451039173651134</v>
      </c>
      <c r="N21" s="53"/>
    </row>
    <row r="22" spans="2:27">
      <c r="B22" s="331" t="s">
        <v>426</v>
      </c>
      <c r="C22" s="332" t="s">
        <v>422</v>
      </c>
      <c r="D22" s="333">
        <f t="shared" ref="D22:M22" si="1">+D20*D21</f>
        <v>-28.536462562220976</v>
      </c>
      <c r="E22" s="333">
        <f t="shared" si="1"/>
        <v>24.617071981918894</v>
      </c>
      <c r="F22" s="333">
        <f t="shared" si="1"/>
        <v>46.464806545843373</v>
      </c>
      <c r="G22" s="333">
        <f t="shared" si="1"/>
        <v>82.26938006090424</v>
      </c>
      <c r="H22" s="333">
        <f t="shared" si="1"/>
        <v>119.08487262801269</v>
      </c>
      <c r="I22" s="333">
        <f t="shared" si="1"/>
        <v>149.58884813988993</v>
      </c>
      <c r="J22" s="333">
        <f t="shared" si="1"/>
        <v>178.34060511809002</v>
      </c>
      <c r="K22" s="333">
        <f t="shared" si="1"/>
        <v>203.0792797465694</v>
      </c>
      <c r="L22" s="333">
        <f t="shared" si="1"/>
        <v>224.64256841144726</v>
      </c>
      <c r="M22" s="333">
        <f t="shared" si="1"/>
        <v>241.59753432048626</v>
      </c>
      <c r="N22" s="53"/>
    </row>
    <row r="23" spans="2:27"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O23" s="53"/>
    </row>
    <row r="24" spans="2:27">
      <c r="B24" s="296" t="s">
        <v>427</v>
      </c>
      <c r="C24" s="296" t="s">
        <v>422</v>
      </c>
      <c r="D24" s="324">
        <f>+SUM(D22:M22)</f>
        <v>1241.1485043909411</v>
      </c>
      <c r="E24" s="299"/>
      <c r="F24" s="299"/>
      <c r="G24" s="299"/>
      <c r="H24" s="299"/>
      <c r="I24" s="299"/>
      <c r="J24" s="299"/>
      <c r="K24" s="299"/>
      <c r="L24" s="299"/>
      <c r="M24" s="299"/>
      <c r="O24" s="53"/>
    </row>
    <row r="25" spans="2:27">
      <c r="B25" s="296" t="s">
        <v>445</v>
      </c>
      <c r="C25" s="296" t="s">
        <v>422</v>
      </c>
      <c r="D25" s="324">
        <v>4546.426327667331</v>
      </c>
      <c r="E25" s="299"/>
      <c r="F25" s="299"/>
      <c r="G25" s="299"/>
      <c r="H25" s="299"/>
      <c r="I25" s="299"/>
      <c r="J25" s="299"/>
      <c r="K25" s="299"/>
      <c r="L25" s="299"/>
      <c r="M25" s="299"/>
    </row>
    <row r="26" spans="2:27">
      <c r="B26" s="326" t="s">
        <v>428</v>
      </c>
      <c r="C26" s="326" t="s">
        <v>422</v>
      </c>
      <c r="D26" s="327">
        <v>177.01600000000002</v>
      </c>
      <c r="E26" s="299"/>
      <c r="F26" s="299"/>
      <c r="G26" s="299"/>
      <c r="H26" s="299"/>
      <c r="I26" s="299"/>
      <c r="J26" s="299"/>
      <c r="K26" s="299"/>
      <c r="L26" s="299"/>
      <c r="M26" s="299"/>
    </row>
    <row r="27" spans="2:27">
      <c r="B27" s="332" t="s">
        <v>446</v>
      </c>
      <c r="C27" s="332" t="s">
        <v>422</v>
      </c>
      <c r="D27" s="333">
        <f>+D24+D25-D26</f>
        <v>5610.5588320582719</v>
      </c>
      <c r="E27" s="299"/>
      <c r="F27" s="299"/>
      <c r="G27" s="299"/>
      <c r="H27" s="299"/>
      <c r="I27" s="299"/>
      <c r="J27" s="299"/>
      <c r="K27" s="299"/>
      <c r="L27" s="299"/>
      <c r="M27" s="299"/>
    </row>
    <row r="28" spans="2:27">
      <c r="B28" s="326" t="s">
        <v>447</v>
      </c>
      <c r="C28" s="326" t="s">
        <v>429</v>
      </c>
      <c r="D28" s="327">
        <v>345.18799999999999</v>
      </c>
      <c r="E28" s="299"/>
      <c r="F28" s="299"/>
      <c r="G28" s="299"/>
      <c r="H28" s="299"/>
      <c r="I28" s="299"/>
      <c r="J28" s="299"/>
      <c r="K28" s="299"/>
      <c r="L28" s="299"/>
      <c r="M28" s="299"/>
    </row>
    <row r="29" spans="2:27">
      <c r="B29" s="332" t="s">
        <v>448</v>
      </c>
      <c r="C29" s="332" t="s">
        <v>449</v>
      </c>
      <c r="D29" s="334">
        <f>+ROUND(D27/D28,1)</f>
        <v>16.3</v>
      </c>
      <c r="E29" s="299"/>
      <c r="F29" s="299"/>
      <c r="G29" s="299"/>
      <c r="H29" s="299"/>
      <c r="I29" s="299"/>
      <c r="J29" s="299"/>
      <c r="K29" s="299"/>
      <c r="L29" s="299"/>
      <c r="M29" s="299"/>
    </row>
    <row r="30" spans="2:27">
      <c r="B30" s="326" t="s">
        <v>430</v>
      </c>
      <c r="C30" s="326" t="s">
        <v>163</v>
      </c>
      <c r="D30" s="316">
        <v>0.67115000000000002</v>
      </c>
      <c r="E30" s="299"/>
      <c r="F30" s="299"/>
      <c r="G30" s="299"/>
      <c r="H30" s="299"/>
      <c r="I30" s="299"/>
      <c r="J30" s="299"/>
      <c r="K30" s="299"/>
      <c r="L30" s="299"/>
      <c r="M30" s="299"/>
    </row>
    <row r="31" spans="2:27">
      <c r="B31" s="332" t="s">
        <v>448</v>
      </c>
      <c r="C31" s="332" t="s">
        <v>450</v>
      </c>
      <c r="D31" s="334">
        <f>+D29/D30</f>
        <v>24.286672129926245</v>
      </c>
      <c r="E31" s="299"/>
      <c r="F31" s="299"/>
      <c r="G31" s="299"/>
      <c r="H31" s="299"/>
      <c r="I31" s="299"/>
      <c r="J31" s="299"/>
      <c r="K31" s="299"/>
      <c r="L31" s="299"/>
      <c r="M31" s="299"/>
    </row>
    <row r="32" spans="2:27">
      <c r="B32" s="335"/>
      <c r="C32" s="336"/>
      <c r="D32" s="337"/>
      <c r="E32" s="338"/>
      <c r="F32" s="339"/>
      <c r="G32" s="339"/>
      <c r="H32" s="339"/>
      <c r="U32" s="296" t="s">
        <v>5</v>
      </c>
      <c r="X32" s="296" t="s">
        <v>6</v>
      </c>
      <c r="AA32" s="296" t="s">
        <v>7</v>
      </c>
    </row>
    <row r="33" spans="2:29">
      <c r="B33" s="340" t="s">
        <v>451</v>
      </c>
      <c r="C33" s="340" t="s">
        <v>450</v>
      </c>
      <c r="D33" s="341">
        <v>26.4</v>
      </c>
      <c r="E33" s="338"/>
      <c r="F33" s="339"/>
      <c r="G33" s="339"/>
      <c r="H33" s="339"/>
    </row>
    <row r="35" spans="2:29">
      <c r="T35" s="297"/>
      <c r="U35" s="557" t="s">
        <v>604</v>
      </c>
      <c r="V35" s="557"/>
      <c r="W35" s="557"/>
      <c r="X35" s="557" t="s">
        <v>605</v>
      </c>
      <c r="Y35" s="557"/>
      <c r="Z35" s="557"/>
      <c r="AA35" s="557" t="s">
        <v>606</v>
      </c>
      <c r="AB35" s="557"/>
      <c r="AC35" s="557"/>
    </row>
    <row r="36" spans="2:29">
      <c r="T36" s="474"/>
      <c r="U36" s="556" t="s">
        <v>601</v>
      </c>
      <c r="V36" s="556" t="s">
        <v>602</v>
      </c>
      <c r="W36" s="556" t="s">
        <v>587</v>
      </c>
      <c r="X36" s="556" t="s">
        <v>601</v>
      </c>
      <c r="Y36" s="556" t="s">
        <v>602</v>
      </c>
      <c r="Z36" s="556" t="s">
        <v>587</v>
      </c>
      <c r="AA36" s="556" t="s">
        <v>601</v>
      </c>
      <c r="AB36" s="556" t="s">
        <v>602</v>
      </c>
      <c r="AC36" s="556" t="s">
        <v>587</v>
      </c>
    </row>
    <row r="37" spans="2:29">
      <c r="S37" s="553" t="s">
        <v>13</v>
      </c>
      <c r="T37" s="296" t="s">
        <v>103</v>
      </c>
      <c r="U37" s="324">
        <v>808.71737681059744</v>
      </c>
      <c r="V37" s="542">
        <v>804.40092093839905</v>
      </c>
      <c r="W37" s="543">
        <f>V37/U37-1</f>
        <v>-5.3374095771523411E-3</v>
      </c>
      <c r="X37" s="324">
        <v>908.93942833825099</v>
      </c>
      <c r="Y37" s="542">
        <v>907.57092833825106</v>
      </c>
      <c r="Z37" s="543">
        <f>Y37/X37-1</f>
        <v>-1.5056008765093054E-3</v>
      </c>
      <c r="AA37" s="324">
        <v>1025.9498094516855</v>
      </c>
      <c r="AB37" s="324">
        <v>1024.4944594516858</v>
      </c>
      <c r="AC37" s="543">
        <f>AB37/AA37-1</f>
        <v>-1.4185391786148971E-3</v>
      </c>
    </row>
    <row r="38" spans="2:29">
      <c r="S38" s="553" t="s">
        <v>17</v>
      </c>
      <c r="T38" s="549" t="s">
        <v>603</v>
      </c>
      <c r="U38" s="544">
        <v>428.61343408275661</v>
      </c>
      <c r="V38" s="545">
        <v>426.57322047734635</v>
      </c>
      <c r="W38" s="546">
        <f>V38/U38-1</f>
        <v>-4.760031868287995E-3</v>
      </c>
      <c r="X38" s="544">
        <v>478.14586495729276</v>
      </c>
      <c r="Y38" s="545">
        <v>477.8138992898397</v>
      </c>
      <c r="Z38" s="546">
        <f>Y38/X38-1</f>
        <v>-6.9427698069235433E-4</v>
      </c>
      <c r="AA38" s="544">
        <v>555.96703850544827</v>
      </c>
      <c r="AB38" s="545">
        <v>555.60262905462275</v>
      </c>
      <c r="AC38" s="546">
        <f>AB38/AA38-1</f>
        <v>-6.5545153864721151E-4</v>
      </c>
    </row>
    <row r="39" spans="2:29">
      <c r="S39" s="553" t="s">
        <v>109</v>
      </c>
      <c r="T39" s="296" t="s">
        <v>109</v>
      </c>
      <c r="U39" s="324">
        <v>44.886411760624895</v>
      </c>
      <c r="V39" s="542">
        <v>43.99195148319869</v>
      </c>
      <c r="W39" s="543">
        <f>V39/U39-1</f>
        <v>-1.9927194942564785E-2</v>
      </c>
      <c r="X39" s="324">
        <v>55.053851393677569</v>
      </c>
      <c r="Y39" s="542">
        <v>55.055647351240069</v>
      </c>
      <c r="Z39" s="543">
        <f>Y39/X39-1</f>
        <v>3.2621833296664349E-5</v>
      </c>
      <c r="AA39" s="324">
        <v>74.345767804966499</v>
      </c>
      <c r="AB39" s="542">
        <v>74.627069747907314</v>
      </c>
      <c r="AC39" s="543">
        <f>AB39/AA39-1</f>
        <v>3.7836981343546405E-3</v>
      </c>
    </row>
    <row r="40" spans="2:29">
      <c r="S40" s="553" t="s">
        <v>21</v>
      </c>
      <c r="T40" s="549" t="s">
        <v>21</v>
      </c>
      <c r="U40" s="544">
        <v>-1.4433931976973957</v>
      </c>
      <c r="V40" s="545">
        <v>-7.0312889413726811</v>
      </c>
      <c r="W40" s="546">
        <f>(V40/U40-1)*-1</f>
        <v>-3.8713607301111699</v>
      </c>
      <c r="X40" s="544">
        <v>3.5732286081642242</v>
      </c>
      <c r="Y40" s="545">
        <v>3.0162101607139435</v>
      </c>
      <c r="Z40" s="546">
        <f>Y40/X40-1</f>
        <v>-0.15588659683782546</v>
      </c>
      <c r="AA40" s="544">
        <v>18.335904799554022</v>
      </c>
      <c r="AB40" s="545">
        <v>18.146946537249629</v>
      </c>
      <c r="AC40" s="546">
        <f>AB40/AA40-1</f>
        <v>-1.0305368857989938E-2</v>
      </c>
    </row>
    <row r="41" spans="2:29">
      <c r="S41" s="553" t="s">
        <v>148</v>
      </c>
      <c r="T41" s="326" t="s">
        <v>148</v>
      </c>
      <c r="U41" s="547">
        <v>-0.2950256665056098</v>
      </c>
      <c r="V41" s="547">
        <f>+'Fin Sum'!G23</f>
        <v>-1.9138234647127526</v>
      </c>
      <c r="W41" s="548">
        <f>(V41/U41-1)*-1</f>
        <v>-5.4869727687789567</v>
      </c>
      <c r="X41" s="547">
        <v>1.0351543530378238</v>
      </c>
      <c r="Y41" s="547">
        <f>+'Fin Sum'!H23</f>
        <v>0.87378766374090999</v>
      </c>
      <c r="Z41" s="548">
        <f>Y41/X41-1</f>
        <v>-0.15588659683781236</v>
      </c>
      <c r="AA41" s="547">
        <v>5.3118604353436414</v>
      </c>
      <c r="AB41" s="547">
        <f>+'Fin Sum'!I23</f>
        <v>5.257119754235311</v>
      </c>
      <c r="AC41" s="548">
        <f>AB41/AA41-1</f>
        <v>-1.0305368857980723E-2</v>
      </c>
    </row>
    <row r="1048576" spans="23:23">
      <c r="W1048576" s="536"/>
    </row>
  </sheetData>
  <mergeCells count="3">
    <mergeCell ref="X35:Z35"/>
    <mergeCell ref="AA35:AC35"/>
    <mergeCell ref="U35:W35"/>
  </mergeCells>
  <pageMargins left="0" right="0" top="0" bottom="0.75" header="0.3" footer="0.3"/>
  <pageSetup paperSize="9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0BBE0-04D9-45C9-9007-9B656B72C5F4}">
  <sheetPr codeName="Sheet2"/>
  <dimension ref="A1:B44"/>
  <sheetViews>
    <sheetView workbookViewId="0"/>
  </sheetViews>
  <sheetFormatPr defaultRowHeight="15"/>
  <cols>
    <col min="1" max="1" width="29" customWidth="1"/>
  </cols>
  <sheetData>
    <row r="1" spans="1:2">
      <c r="A1" s="558" t="s">
        <v>951</v>
      </c>
      <c r="B1" s="568" t="s">
        <v>952</v>
      </c>
    </row>
    <row r="2" spans="1:2">
      <c r="A2" s="558" t="s">
        <v>953</v>
      </c>
      <c r="B2" s="558" t="s">
        <v>954</v>
      </c>
    </row>
    <row r="3" spans="1:2">
      <c r="A3" s="558" t="s">
        <v>955</v>
      </c>
      <c r="B3" s="558" t="s">
        <v>956</v>
      </c>
    </row>
    <row r="4" spans="1:2">
      <c r="A4" s="558" t="s">
        <v>957</v>
      </c>
      <c r="B4" s="558" t="s">
        <v>401</v>
      </c>
    </row>
    <row r="5" spans="1:2">
      <c r="A5" s="558" t="s">
        <v>958</v>
      </c>
      <c r="B5" s="558" t="s">
        <v>959</v>
      </c>
    </row>
    <row r="6" spans="1:2">
      <c r="A6" s="558" t="s">
        <v>960</v>
      </c>
      <c r="B6" s="558"/>
    </row>
    <row r="7" spans="1:2">
      <c r="A7" s="558" t="s">
        <v>961</v>
      </c>
      <c r="B7" s="558" t="s">
        <v>599</v>
      </c>
    </row>
    <row r="8" spans="1:2">
      <c r="A8" s="558" t="s">
        <v>962</v>
      </c>
      <c r="B8" s="558" t="s">
        <v>963</v>
      </c>
    </row>
    <row r="9" spans="1:2">
      <c r="A9" s="558" t="s">
        <v>407</v>
      </c>
      <c r="B9" s="558" t="s">
        <v>964</v>
      </c>
    </row>
    <row r="10" spans="1:2">
      <c r="A10" s="558" t="s">
        <v>965</v>
      </c>
      <c r="B10" s="558"/>
    </row>
    <row r="11" spans="1:2">
      <c r="A11" s="558" t="s">
        <v>966</v>
      </c>
      <c r="B11" s="558"/>
    </row>
    <row r="12" spans="1:2">
      <c r="A12" s="558" t="s">
        <v>967</v>
      </c>
      <c r="B12" s="558"/>
    </row>
    <row r="13" spans="1:2">
      <c r="A13" s="558" t="s">
        <v>968</v>
      </c>
      <c r="B13" s="558"/>
    </row>
    <row r="14" spans="1:2">
      <c r="A14" s="558" t="s">
        <v>969</v>
      </c>
      <c r="B14" s="558"/>
    </row>
    <row r="15" spans="1:2">
      <c r="A15" s="558" t="s">
        <v>970</v>
      </c>
      <c r="B15" s="558"/>
    </row>
    <row r="16" spans="1:2">
      <c r="A16" s="558" t="s">
        <v>971</v>
      </c>
      <c r="B16" s="558"/>
    </row>
    <row r="17" spans="1:2">
      <c r="A17" s="558" t="s">
        <v>972</v>
      </c>
      <c r="B17" s="558" t="s">
        <v>973</v>
      </c>
    </row>
    <row r="18" spans="1:2">
      <c r="A18" s="558" t="s">
        <v>974</v>
      </c>
      <c r="B18" s="558" t="s">
        <v>975</v>
      </c>
    </row>
    <row r="19" spans="1:2">
      <c r="A19" s="558" t="s">
        <v>976</v>
      </c>
      <c r="B19" s="558" t="s">
        <v>151</v>
      </c>
    </row>
    <row r="20" spans="1:2">
      <c r="A20" s="558" t="s">
        <v>977</v>
      </c>
      <c r="B20" s="558"/>
    </row>
    <row r="21" spans="1:2">
      <c r="A21" s="558" t="s">
        <v>978</v>
      </c>
      <c r="B21" s="558" t="s">
        <v>151</v>
      </c>
    </row>
    <row r="22" spans="1:2">
      <c r="A22" s="558" t="s">
        <v>979</v>
      </c>
      <c r="B22" s="558" t="s">
        <v>980</v>
      </c>
    </row>
    <row r="23" spans="1:2">
      <c r="A23" s="558" t="s">
        <v>981</v>
      </c>
      <c r="B23" s="568" t="s">
        <v>982</v>
      </c>
    </row>
    <row r="24" spans="1:2">
      <c r="A24" s="558" t="s">
        <v>443</v>
      </c>
      <c r="B24" s="558" t="s">
        <v>466</v>
      </c>
    </row>
    <row r="25" spans="1:2">
      <c r="A25" s="558" t="s">
        <v>983</v>
      </c>
      <c r="B25" s="558" t="s">
        <v>984</v>
      </c>
    </row>
    <row r="26" spans="1:2">
      <c r="A26" s="558" t="s">
        <v>985</v>
      </c>
      <c r="B26" s="558" t="s">
        <v>986</v>
      </c>
    </row>
    <row r="27" spans="1:2">
      <c r="A27" s="558" t="s">
        <v>987</v>
      </c>
      <c r="B27" s="558" t="s">
        <v>988</v>
      </c>
    </row>
    <row r="28" spans="1:2">
      <c r="A28" s="558" t="s">
        <v>989</v>
      </c>
      <c r="B28" s="558" t="s">
        <v>990</v>
      </c>
    </row>
    <row r="29" spans="1:2">
      <c r="A29" s="558" t="s">
        <v>991</v>
      </c>
      <c r="B29" s="558"/>
    </row>
    <row r="30" spans="1:2">
      <c r="A30" s="558" t="s">
        <v>992</v>
      </c>
      <c r="B30" s="558"/>
    </row>
    <row r="31" spans="1:2">
      <c r="A31" s="558" t="s">
        <v>993</v>
      </c>
      <c r="B31" s="558"/>
    </row>
    <row r="32" spans="1:2">
      <c r="A32" s="558" t="s">
        <v>994</v>
      </c>
      <c r="B32" s="558"/>
    </row>
    <row r="33" spans="1:2">
      <c r="A33" s="558" t="s">
        <v>995</v>
      </c>
      <c r="B33" s="558"/>
    </row>
    <row r="34" spans="1:2">
      <c r="A34" s="558" t="s">
        <v>996</v>
      </c>
      <c r="B34" s="558"/>
    </row>
    <row r="35" spans="1:2">
      <c r="A35" s="558" t="s">
        <v>997</v>
      </c>
      <c r="B35" s="558" t="s">
        <v>998</v>
      </c>
    </row>
    <row r="36" spans="1:2">
      <c r="A36" s="558" t="s">
        <v>999</v>
      </c>
      <c r="B36" s="558" t="s">
        <v>1000</v>
      </c>
    </row>
    <row r="37" spans="1:2">
      <c r="A37" s="558" t="s">
        <v>1001</v>
      </c>
      <c r="B37" s="558" t="s">
        <v>1002</v>
      </c>
    </row>
    <row r="38" spans="1:2">
      <c r="A38" s="558" t="s">
        <v>1003</v>
      </c>
      <c r="B38" s="558" t="s">
        <v>1004</v>
      </c>
    </row>
    <row r="39" spans="1:2">
      <c r="A39" s="558" t="s">
        <v>1005</v>
      </c>
      <c r="B39" s="558" t="s">
        <v>1006</v>
      </c>
    </row>
    <row r="40" spans="1:2">
      <c r="A40" s="558" t="s">
        <v>1007</v>
      </c>
      <c r="B40" s="558" t="s">
        <v>1008</v>
      </c>
    </row>
    <row r="41" spans="1:2">
      <c r="A41" s="558" t="s">
        <v>1009</v>
      </c>
      <c r="B41" s="558" t="s">
        <v>1010</v>
      </c>
    </row>
    <row r="42" spans="1:2">
      <c r="A42" s="558" t="s">
        <v>1011</v>
      </c>
      <c r="B42" s="558"/>
    </row>
    <row r="43" spans="1:2">
      <c r="A43" s="558" t="s">
        <v>1012</v>
      </c>
      <c r="B43" s="558"/>
    </row>
    <row r="44" spans="1:2">
      <c r="A44" s="558" t="s">
        <v>1013</v>
      </c>
      <c r="B44" s="558" t="s">
        <v>1014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CA157-5D5E-4171-8C39-5C38BCD8E3FE}">
  <sheetPr codeName="Sheet4"/>
  <dimension ref="A1:A13"/>
  <sheetViews>
    <sheetView workbookViewId="0">
      <selection activeCell="Z1" sqref="Z1"/>
    </sheetView>
  </sheetViews>
  <sheetFormatPr defaultRowHeight="15"/>
  <cols>
    <col min="1" max="1" width="28.140625" bestFit="1" customWidth="1"/>
  </cols>
  <sheetData>
    <row r="1" spans="1:1">
      <c r="A1" s="558" t="s">
        <v>1015</v>
      </c>
    </row>
    <row r="2" spans="1:1">
      <c r="A2" s="558" t="s">
        <v>1016</v>
      </c>
    </row>
    <row r="3" spans="1:1">
      <c r="A3" s="558" t="s">
        <v>1017</v>
      </c>
    </row>
    <row r="4" spans="1:1">
      <c r="A4" s="558" t="s">
        <v>1018</v>
      </c>
    </row>
    <row r="5" spans="1:1">
      <c r="A5" s="558" t="s">
        <v>1019</v>
      </c>
    </row>
    <row r="6" spans="1:1">
      <c r="A6" s="558" t="s">
        <v>1020</v>
      </c>
    </row>
    <row r="7" spans="1:1">
      <c r="A7" s="558" t="s">
        <v>1021</v>
      </c>
    </row>
    <row r="8" spans="1:1">
      <c r="A8" s="558" t="s">
        <v>1022</v>
      </c>
    </row>
    <row r="9" spans="1:1">
      <c r="A9" s="558" t="s">
        <v>1023</v>
      </c>
    </row>
    <row r="10" spans="1:1">
      <c r="A10" s="558" t="s">
        <v>1024</v>
      </c>
    </row>
    <row r="11" spans="1:1">
      <c r="A11" s="558" t="s">
        <v>1025</v>
      </c>
    </row>
    <row r="12" spans="1:1">
      <c r="A12" s="558" t="s">
        <v>1026</v>
      </c>
    </row>
    <row r="13" spans="1:1">
      <c r="A13" s="558" t="s">
        <v>1027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68945771"><![CDATA[{"AUDUSD^FG_PRICE(0)":0.67115,"TLX-AU^FG_PRICE(0)":18.4,"AUSDUSD^FG_PRICE(0)":null}]]></FdsFormulaCache>
</file>

<file path=customXml/itemProps1.xml><?xml version="1.0" encoding="utf-8"?>
<ds:datastoreItem xmlns:ds="http://schemas.openxmlformats.org/officeDocument/2006/customXml" ds:itemID="{3FF9C301-3708-436C-866D-2A9897EBDE4E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295</vt:i4>
      </vt:variant>
    </vt:vector>
  </HeadingPairs>
  <TitlesOfParts>
    <vt:vector size="302" baseType="lpstr">
      <vt:lpstr>ImportantDisclosures</vt:lpstr>
      <vt:lpstr>Fin Sum</vt:lpstr>
      <vt:lpstr>Model</vt:lpstr>
      <vt:lpstr>Segment</vt:lpstr>
      <vt:lpstr>DCF Tables</vt:lpstr>
      <vt:lpstr>IndexInformation</vt:lpstr>
      <vt:lpstr>ModPubIndex</vt:lpstr>
      <vt:lpstr>B_CA_Oth_17</vt:lpstr>
      <vt:lpstr>B_CA_Oth_18</vt:lpstr>
      <vt:lpstr>B_CA_Oth_19</vt:lpstr>
      <vt:lpstr>B_CA_Oth_20</vt:lpstr>
      <vt:lpstr>B_CL_AP_17</vt:lpstr>
      <vt:lpstr>B_CL_AP_18</vt:lpstr>
      <vt:lpstr>B_CL_AP_19</vt:lpstr>
      <vt:lpstr>B_CL_Eent_17</vt:lpstr>
      <vt:lpstr>B_CL_Eent_18</vt:lpstr>
      <vt:lpstr>B_CL_Eent_19</vt:lpstr>
      <vt:lpstr>B_CL_Eent_20</vt:lpstr>
      <vt:lpstr>B_CL_IBDebt_17</vt:lpstr>
      <vt:lpstr>B_CL_IBDebt_18</vt:lpstr>
      <vt:lpstr>B_CL_IBDebt_19</vt:lpstr>
      <vt:lpstr>B_CL_IBDebt_20</vt:lpstr>
      <vt:lpstr>B_CL_OthProv_17</vt:lpstr>
      <vt:lpstr>B_CL_OthProv_18</vt:lpstr>
      <vt:lpstr>B_CL_OthProv_19</vt:lpstr>
      <vt:lpstr>B_CL_OthProv_20</vt:lpstr>
      <vt:lpstr>B_NA_17</vt:lpstr>
      <vt:lpstr>B_NA_18</vt:lpstr>
      <vt:lpstr>B_NA_19</vt:lpstr>
      <vt:lpstr>B_NA_20</vt:lpstr>
      <vt:lpstr>B_NCA_AR_17</vt:lpstr>
      <vt:lpstr>B_NCA_AR_18</vt:lpstr>
      <vt:lpstr>B_NCA_AR_19</vt:lpstr>
      <vt:lpstr>B_NCA_AR_20</vt:lpstr>
      <vt:lpstr>B_NCA_Brand_17</vt:lpstr>
      <vt:lpstr>B_NCA_Brand_18</vt:lpstr>
      <vt:lpstr>B_NCA_Brand_19</vt:lpstr>
      <vt:lpstr>B_NCA_Brand_20</vt:lpstr>
      <vt:lpstr>B_NCA_Cap_EE_17</vt:lpstr>
      <vt:lpstr>B_NCA_Cap_EE_18</vt:lpstr>
      <vt:lpstr>B_NCA_Cap_EE_19</vt:lpstr>
      <vt:lpstr>B_NCA_Cap_EE_20</vt:lpstr>
      <vt:lpstr>B_NCA_GW_17</vt:lpstr>
      <vt:lpstr>B_NCA_GW_18</vt:lpstr>
      <vt:lpstr>B_NCA_GW_19</vt:lpstr>
      <vt:lpstr>B_NCA_GW_20</vt:lpstr>
      <vt:lpstr>B_NCA_OthInt_17</vt:lpstr>
      <vt:lpstr>B_NCA_OthInt_18</vt:lpstr>
      <vt:lpstr>B_NCA_OthInt_19</vt:lpstr>
      <vt:lpstr>B_NCA_OthInt_20</vt:lpstr>
      <vt:lpstr>B_NCA_PPE_17</vt:lpstr>
      <vt:lpstr>B_NCA_PPE_18</vt:lpstr>
      <vt:lpstr>B_NCA_PPE_19</vt:lpstr>
      <vt:lpstr>B_NCL_DITL_17</vt:lpstr>
      <vt:lpstr>B_NCL_DITL_18</vt:lpstr>
      <vt:lpstr>B_NCL_DITL_19</vt:lpstr>
      <vt:lpstr>B_NCL_DITL_20</vt:lpstr>
      <vt:lpstr>B_NCL_Div_17</vt:lpstr>
      <vt:lpstr>B_NCL_Div_18</vt:lpstr>
      <vt:lpstr>B_NCL_Div_19</vt:lpstr>
      <vt:lpstr>B_NCL_Div_20</vt:lpstr>
      <vt:lpstr>B_NCL_IBDebt_17</vt:lpstr>
      <vt:lpstr>B_NCL_IBDebt_18</vt:lpstr>
      <vt:lpstr>B_NCL_IBDebt_19</vt:lpstr>
      <vt:lpstr>B_NCL_IBDebt_20</vt:lpstr>
      <vt:lpstr>B_NCL_OthProv_17</vt:lpstr>
      <vt:lpstr>B_NCL_OthProv_18</vt:lpstr>
      <vt:lpstr>B_NCL_OthProv_19</vt:lpstr>
      <vt:lpstr>B_NCL_OthProv_20</vt:lpstr>
      <vt:lpstr>B_SE_Min_17</vt:lpstr>
      <vt:lpstr>B_SE_Min_18</vt:lpstr>
      <vt:lpstr>B_SE_Min_19</vt:lpstr>
      <vt:lpstr>B_SE_Min_20</vt:lpstr>
      <vt:lpstr>B_SE_OE_17</vt:lpstr>
      <vt:lpstr>B_SE_OE_18</vt:lpstr>
      <vt:lpstr>B_SE_OE_19</vt:lpstr>
      <vt:lpstr>B_SE_OE_20</vt:lpstr>
      <vt:lpstr>B_SE_Res_17</vt:lpstr>
      <vt:lpstr>B_SE_Res_18</vt:lpstr>
      <vt:lpstr>B_SE_Res_19</vt:lpstr>
      <vt:lpstr>B_SE_Res_20</vt:lpstr>
      <vt:lpstr>B_SE_RP_17</vt:lpstr>
      <vt:lpstr>B_SE_RP_18</vt:lpstr>
      <vt:lpstr>B_SE_RP_19</vt:lpstr>
      <vt:lpstr>B_SE_RP_20</vt:lpstr>
      <vt:lpstr>B_TA_17</vt:lpstr>
      <vt:lpstr>B_TA_18</vt:lpstr>
      <vt:lpstr>B_TA_19</vt:lpstr>
      <vt:lpstr>B_TA_20</vt:lpstr>
      <vt:lpstr>B_TCA_17</vt:lpstr>
      <vt:lpstr>B_TCA_18</vt:lpstr>
      <vt:lpstr>B_TCA_19</vt:lpstr>
      <vt:lpstr>B_TCA_20</vt:lpstr>
      <vt:lpstr>B_TCL_17</vt:lpstr>
      <vt:lpstr>B_TCL_18</vt:lpstr>
      <vt:lpstr>B_TCL_19</vt:lpstr>
      <vt:lpstr>B_TCL_20</vt:lpstr>
      <vt:lpstr>B_TCP_17</vt:lpstr>
      <vt:lpstr>B_TCP_18</vt:lpstr>
      <vt:lpstr>B_TCP_19</vt:lpstr>
      <vt:lpstr>B_TCP_20</vt:lpstr>
      <vt:lpstr>B_TL_17</vt:lpstr>
      <vt:lpstr>B_TL_18</vt:lpstr>
      <vt:lpstr>B_TL_19</vt:lpstr>
      <vt:lpstr>B_TL_20</vt:lpstr>
      <vt:lpstr>B_TNCA_17</vt:lpstr>
      <vt:lpstr>B_TNCA_18</vt:lpstr>
      <vt:lpstr>B_TNCA_19</vt:lpstr>
      <vt:lpstr>B_TNCA_20</vt:lpstr>
      <vt:lpstr>B_TNCL_17</vt:lpstr>
      <vt:lpstr>B_TNCL_18</vt:lpstr>
      <vt:lpstr>B_TNCL_19</vt:lpstr>
      <vt:lpstr>B_TNCL_20</vt:lpstr>
      <vt:lpstr>B_TNCP_17</vt:lpstr>
      <vt:lpstr>B_TNCP_18</vt:lpstr>
      <vt:lpstr>B_TNCP_19</vt:lpstr>
      <vt:lpstr>B_TNCP_20</vt:lpstr>
      <vt:lpstr>B_TSHE_17</vt:lpstr>
      <vt:lpstr>B_TSHE_18</vt:lpstr>
      <vt:lpstr>B_TSHE_19</vt:lpstr>
      <vt:lpstr>B_TSHE_20</vt:lpstr>
      <vt:lpstr>C_CashBP_17</vt:lpstr>
      <vt:lpstr>C_CashBP_18</vt:lpstr>
      <vt:lpstr>C_CashBP_19</vt:lpstr>
      <vt:lpstr>C_CashBP_20</vt:lpstr>
      <vt:lpstr>C_CashEP_17</vt:lpstr>
      <vt:lpstr>C_CashEP_18</vt:lpstr>
      <vt:lpstr>C_CashEP_19</vt:lpstr>
      <vt:lpstr>C_CashEP_20</vt:lpstr>
      <vt:lpstr>C_CashTx_Pd_17</vt:lpstr>
      <vt:lpstr>C_CashTx_Pd_18</vt:lpstr>
      <vt:lpstr>C_CashTx_Pd_19</vt:lpstr>
      <vt:lpstr>C_CashTx_Pd_20</vt:lpstr>
      <vt:lpstr>C_EqtyIssue_17</vt:lpstr>
      <vt:lpstr>C_EqtyIssue_18</vt:lpstr>
      <vt:lpstr>C_EqtyIssue_19</vt:lpstr>
      <vt:lpstr>C_EqtyIssue_20</vt:lpstr>
      <vt:lpstr>C_FXAdj_17</vt:lpstr>
      <vt:lpstr>C_FXAdj_18</vt:lpstr>
      <vt:lpstr>C_FXAdj_19</vt:lpstr>
      <vt:lpstr>C_FXAdj_20</vt:lpstr>
      <vt:lpstr>C_NetChgC_17</vt:lpstr>
      <vt:lpstr>C_NetChgC_18</vt:lpstr>
      <vt:lpstr>C_NetChgC_19</vt:lpstr>
      <vt:lpstr>C_NetChgC_20</vt:lpstr>
      <vt:lpstr>C_OtherF_17</vt:lpstr>
      <vt:lpstr>C_OtherF_18</vt:lpstr>
      <vt:lpstr>C_OtherF_19</vt:lpstr>
      <vt:lpstr>C_OtherF_20</vt:lpstr>
      <vt:lpstr>C_OtherOp_17</vt:lpstr>
      <vt:lpstr>C_OtherOp_18</vt:lpstr>
      <vt:lpstr>C_OtherOp_19</vt:lpstr>
      <vt:lpstr>C_OtherOp_20</vt:lpstr>
      <vt:lpstr>C_PrefDivP_17</vt:lpstr>
      <vt:lpstr>C_PrefDivP_18</vt:lpstr>
      <vt:lpstr>C_PrefDivP_19</vt:lpstr>
      <vt:lpstr>C_PrefDivP_20</vt:lpstr>
      <vt:lpstr>C_ProcBorr_17</vt:lpstr>
      <vt:lpstr>C_ProcBorr_18</vt:lpstr>
      <vt:lpstr>C_ProcBorr_19</vt:lpstr>
      <vt:lpstr>C_ProcBorr_20</vt:lpstr>
      <vt:lpstr>C_Prov_17</vt:lpstr>
      <vt:lpstr>C_Prov_18</vt:lpstr>
      <vt:lpstr>C_Prov_19</vt:lpstr>
      <vt:lpstr>C_Prov_20</vt:lpstr>
      <vt:lpstr>C_Rborr_17</vt:lpstr>
      <vt:lpstr>C_Rborr_18</vt:lpstr>
      <vt:lpstr>C_Rborr_19</vt:lpstr>
      <vt:lpstr>C_Rborr_20</vt:lpstr>
      <vt:lpstr>C_Tot_Fin_17</vt:lpstr>
      <vt:lpstr>C_Tot_Fin_18</vt:lpstr>
      <vt:lpstr>C_Tot_Fin_19</vt:lpstr>
      <vt:lpstr>C_Tot_Fin_20</vt:lpstr>
      <vt:lpstr>C_Tot_InvAct_17</vt:lpstr>
      <vt:lpstr>C_Tot_InvAct_18</vt:lpstr>
      <vt:lpstr>C_Tot_InvAct_19</vt:lpstr>
      <vt:lpstr>C_Tot_InvAct_20</vt:lpstr>
      <vt:lpstr>C_Tot_Op_17</vt:lpstr>
      <vt:lpstr>C_Tot_Op_18</vt:lpstr>
      <vt:lpstr>C_Tot_Op_19</vt:lpstr>
      <vt:lpstr>C_Tot_Op_20</vt:lpstr>
      <vt:lpstr>C_WC_17</vt:lpstr>
      <vt:lpstr>C_WC_18</vt:lpstr>
      <vt:lpstr>C_WC_19</vt:lpstr>
      <vt:lpstr>C_WC_20</vt:lpstr>
      <vt:lpstr>CS_Adj_WAC_17</vt:lpstr>
      <vt:lpstr>CS_Adj_WAC_18</vt:lpstr>
      <vt:lpstr>CS_Adj_WAC_19</vt:lpstr>
      <vt:lpstr>CS_Adj_WAC_20</vt:lpstr>
      <vt:lpstr>Depreciation_Group</vt:lpstr>
      <vt:lpstr>EFPO_17</vt:lpstr>
      <vt:lpstr>EFPO_18</vt:lpstr>
      <vt:lpstr>EFPO_19</vt:lpstr>
      <vt:lpstr>EFPO_20</vt:lpstr>
      <vt:lpstr>EFPOWA_17</vt:lpstr>
      <vt:lpstr>EFPOWA_18</vt:lpstr>
      <vt:lpstr>EFPOWA_19</vt:lpstr>
      <vt:lpstr>EFPOWA_20</vt:lpstr>
      <vt:lpstr>Linking_15</vt:lpstr>
      <vt:lpstr>Linking_23</vt:lpstr>
      <vt:lpstr>Linking_61</vt:lpstr>
      <vt:lpstr>Linking_62</vt:lpstr>
      <vt:lpstr>Linking_63</vt:lpstr>
      <vt:lpstr>Linking_67</vt:lpstr>
      <vt:lpstr>Linking_69</vt:lpstr>
      <vt:lpstr>PL_AG_17</vt:lpstr>
      <vt:lpstr>PL_AG_18</vt:lpstr>
      <vt:lpstr>PL_AG_19</vt:lpstr>
      <vt:lpstr>PL_AG_20</vt:lpstr>
      <vt:lpstr>PL_Amort_Brand_17</vt:lpstr>
      <vt:lpstr>PL_Amort_Brand_18</vt:lpstr>
      <vt:lpstr>PL_Amort_Brand_19</vt:lpstr>
      <vt:lpstr>PL_Amort_Brand_20</vt:lpstr>
      <vt:lpstr>PL_Amort_Other_17</vt:lpstr>
      <vt:lpstr>PL_Amort_Other_18</vt:lpstr>
      <vt:lpstr>PL_Amort_Other_19</vt:lpstr>
      <vt:lpstr>PL_Amort_Other_20</vt:lpstr>
      <vt:lpstr>PL_DEPN_17</vt:lpstr>
      <vt:lpstr>PL_DEPN_18</vt:lpstr>
      <vt:lpstr>PL_DEPN_19</vt:lpstr>
      <vt:lpstr>PL_DEPN_20</vt:lpstr>
      <vt:lpstr>PL_Div_Assoc_17</vt:lpstr>
      <vt:lpstr>PL_Div_Assoc_18</vt:lpstr>
      <vt:lpstr>PL_Div_Assoc_19</vt:lpstr>
      <vt:lpstr>PL_Div_Assoc_20</vt:lpstr>
      <vt:lpstr>PL_Div_Other_17</vt:lpstr>
      <vt:lpstr>PL_Div_Other_18</vt:lpstr>
      <vt:lpstr>PL_Div_Other_19</vt:lpstr>
      <vt:lpstr>PL_Div_Other_20</vt:lpstr>
      <vt:lpstr>PL_EBIT_17</vt:lpstr>
      <vt:lpstr>PL_EBIT_18</vt:lpstr>
      <vt:lpstr>PL_EBIT_19</vt:lpstr>
      <vt:lpstr>PL_EBIT_20</vt:lpstr>
      <vt:lpstr>PL_EBITDA_17</vt:lpstr>
      <vt:lpstr>PL_EBITDA_18</vt:lpstr>
      <vt:lpstr>PL_EBITDA_19</vt:lpstr>
      <vt:lpstr>PL_EBITDA_20</vt:lpstr>
      <vt:lpstr>PL_FX_17</vt:lpstr>
      <vt:lpstr>PL_FX_18</vt:lpstr>
      <vt:lpstr>PL_FX_19</vt:lpstr>
      <vt:lpstr>PL_FX_20</vt:lpstr>
      <vt:lpstr>PL_Int_Income_17</vt:lpstr>
      <vt:lpstr>PL_Int_Income_18</vt:lpstr>
      <vt:lpstr>PL_Int_Income_19</vt:lpstr>
      <vt:lpstr>PL_Int_Income_20</vt:lpstr>
      <vt:lpstr>PL_Int_Rev_17</vt:lpstr>
      <vt:lpstr>PL_Int_Rev_18</vt:lpstr>
      <vt:lpstr>PL_Int_Rev_19</vt:lpstr>
      <vt:lpstr>PL_Int_Rev_20</vt:lpstr>
      <vt:lpstr>PL_NEPS_17</vt:lpstr>
      <vt:lpstr>PL_NEPS_18</vt:lpstr>
      <vt:lpstr>PL_NEPS_19</vt:lpstr>
      <vt:lpstr>PL_NEPS_20</vt:lpstr>
      <vt:lpstr>PL_NPAT_att_17</vt:lpstr>
      <vt:lpstr>PL_NPAT_att_18</vt:lpstr>
      <vt:lpstr>PL_NPAT_att_19</vt:lpstr>
      <vt:lpstr>PL_NPAT_att_20</vt:lpstr>
      <vt:lpstr>PL_ODPS_17</vt:lpstr>
      <vt:lpstr>PL_ODPS_18</vt:lpstr>
      <vt:lpstr>PL_ODPS_19</vt:lpstr>
      <vt:lpstr>PL_ODPS_20</vt:lpstr>
      <vt:lpstr>PL_Oth_OpRev_17</vt:lpstr>
      <vt:lpstr>PL_Oth_OpRev_18</vt:lpstr>
      <vt:lpstr>PL_Oth_OpRev_19</vt:lpstr>
      <vt:lpstr>PL_Oth_OpRev_20</vt:lpstr>
      <vt:lpstr>PL_Other_Rev_17</vt:lpstr>
      <vt:lpstr>PL_Other_Rev_18</vt:lpstr>
      <vt:lpstr>PL_Other_Rev_19</vt:lpstr>
      <vt:lpstr>PL_Other_Rev_20</vt:lpstr>
      <vt:lpstr>PL_PTP_17</vt:lpstr>
      <vt:lpstr>PL_PTP_18</vt:lpstr>
      <vt:lpstr>PL_PTP_19</vt:lpstr>
      <vt:lpstr>PL_PTP_20</vt:lpstr>
      <vt:lpstr>PL_REPS_17</vt:lpstr>
      <vt:lpstr>PL_REPS_18</vt:lpstr>
      <vt:lpstr>PL_REPS_19</vt:lpstr>
      <vt:lpstr>PL_REPS_20</vt:lpstr>
      <vt:lpstr>PL_REPS_BA_17</vt:lpstr>
      <vt:lpstr>PL_REPS_BA_18</vt:lpstr>
      <vt:lpstr>PL_REPS_BA_19</vt:lpstr>
      <vt:lpstr>PL_REPS_BA_20</vt:lpstr>
      <vt:lpstr>PL_Rev_NCA_17</vt:lpstr>
      <vt:lpstr>PL_Rev_NCA_18</vt:lpstr>
      <vt:lpstr>PL_Rev_NCA_19</vt:lpstr>
      <vt:lpstr>PL_Rev_NCA_20</vt:lpstr>
      <vt:lpstr>PL_Sales_17</vt:lpstr>
      <vt:lpstr>PL_Sales_18</vt:lpstr>
      <vt:lpstr>PL_Sales_19</vt:lpstr>
      <vt:lpstr>PL_Sales_20</vt:lpstr>
      <vt:lpstr>PL_Tot_OE_17</vt:lpstr>
      <vt:lpstr>PL_Tot_OE_18</vt:lpstr>
      <vt:lpstr>PL_Tot_OE_19</vt:lpstr>
      <vt:lpstr>PL_Tot_OE_20</vt:lpstr>
      <vt:lpstr>PL_Tot_OpRev_17</vt:lpstr>
      <vt:lpstr>PL_Tot_OpRev_18</vt:lpstr>
      <vt:lpstr>PL_Tot_OpRev_19</vt:lpstr>
      <vt:lpstr>PL_Tot_OpRev_20</vt:lpstr>
      <vt:lpstr>PL_Total_Rev_17</vt:lpstr>
      <vt:lpstr>PL_Total_Rev_18</vt:lpstr>
      <vt:lpstr>PL_Total_Rev_19</vt:lpstr>
      <vt:lpstr>PL_Total_Rev_20</vt:lpstr>
      <vt:lpstr>xbrl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Salvekar, Prajakta (IST)</dc:creator>
  <cp:lastModifiedBy>Bailey, David L (Research)</cp:lastModifiedBy>
  <cp:lastPrinted>2026-01-20T07:16:19Z</cp:lastPrinted>
  <dcterms:created xsi:type="dcterms:W3CDTF">2025-08-14T04:26:35Z</dcterms:created>
  <dcterms:modified xsi:type="dcterms:W3CDTF">2026-01-21T01:43:06Z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7f119e6-c6cd-44b0-a5ee-ac1aff68c56e_Enabled">
    <vt:lpwstr>true</vt:lpwstr>
  </property>
  <property fmtid="{D5CDD505-2E9C-101B-9397-08002B2CF9AE}" pid="3" name="MSIP_Label_07f119e6-c6cd-44b0-a5ee-ac1aff68c56e_SetDate">
    <vt:lpwstr>2025-08-14T04:27:15Z</vt:lpwstr>
  </property>
  <property fmtid="{D5CDD505-2E9C-101B-9397-08002B2CF9AE}" pid="4" name="MSIP_Label_07f119e6-c6cd-44b0-a5ee-ac1aff68c56e_Method">
    <vt:lpwstr>Standard</vt:lpwstr>
  </property>
  <property fmtid="{D5CDD505-2E9C-101B-9397-08002B2CF9AE}" pid="5" name="MSIP_Label_07f119e6-c6cd-44b0-a5ee-ac1aff68c56e_Name">
    <vt:lpwstr>Confidential v1</vt:lpwstr>
  </property>
  <property fmtid="{D5CDD505-2E9C-101B-9397-08002B2CF9AE}" pid="6" name="MSIP_Label_07f119e6-c6cd-44b0-a5ee-ac1aff68c56e_SiteId">
    <vt:lpwstr>e29b8111-49f8-418d-ac2a-935335a52614</vt:lpwstr>
  </property>
  <property fmtid="{D5CDD505-2E9C-101B-9397-08002B2CF9AE}" pid="7" name="MSIP_Label_07f119e6-c6cd-44b0-a5ee-ac1aff68c56e_ActionId">
    <vt:lpwstr>0bc3b2c3-6368-47a4-a957-1b763ff78a24</vt:lpwstr>
  </property>
  <property fmtid="{D5CDD505-2E9C-101B-9397-08002B2CF9AE}" pid="8" name="MSIP_Label_07f119e6-c6cd-44b0-a5ee-ac1aff68c56e_ContentBits">
    <vt:lpwstr>0</vt:lpwstr>
  </property>
  <property fmtid="{D5CDD505-2E9C-101B-9397-08002B2CF9AE}" pid="9" name="=fdsSearchOrder">
    <vt:i4>0</vt:i4>
  </property>
  <property fmtid="{D5CDD505-2E9C-101B-9397-08002B2CF9AE}" pid="10" name="ERModPubTicket">
    <vt:lpwstr>NA</vt:lpwstr>
  </property>
  <property fmtid="{D5CDD505-2E9C-101B-9397-08002B2CF9AE}" pid="11" name="ERModPubConfirmEmail">
    <vt:bool>false</vt:bool>
  </property>
  <property fmtid="{D5CDD505-2E9C-101B-9397-08002B2CF9AE}" pid="12" name="ERModPubUserEmail">
    <vt:lpwstr>bailedav@ms.com</vt:lpwstr>
  </property>
  <property fmtid="{D5CDD505-2E9C-101B-9397-08002B2CF9AE}" pid="13" name="ERModPubGCIMTagged">
    <vt:bool>true</vt:bool>
  </property>
  <property fmtid="{D5CDD505-2E9C-101B-9397-08002B2CF9AE}" pid="14" name="ERCompanyUploadState">
    <vt:lpwstr>P</vt:lpwstr>
  </property>
  <property fmtid="{D5CDD505-2E9C-101B-9397-08002B2CF9AE}" pid="15" name="ERModPubCurrentYear">
    <vt:i4>2025</vt:i4>
  </property>
  <property fmtid="{D5CDD505-2E9C-101B-9397-08002B2CF9AE}" pid="16" name="ModelId">
    <vt:lpwstr>9775374</vt:lpwstr>
  </property>
  <property fmtid="{D5CDD505-2E9C-101B-9397-08002B2CF9AE}" pid="17" name="ERModPubCompanyName">
    <vt:lpwstr>Telix Pharmaceuticals Ltd</vt:lpwstr>
  </property>
</Properties>
</file>