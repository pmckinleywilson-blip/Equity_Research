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ickjul\AppData\Local\Research\ModelPublishing\SubmittedModels\"/>
    </mc:Choice>
  </mc:AlternateContent>
  <xr:revisionPtr revIDLastSave="0" documentId="8_{41498F04-9AB3-4827-8F07-2B6185951539}" xr6:coauthVersionLast="47" xr6:coauthVersionMax="47" xr10:uidLastSave="{00000000-0000-0000-0000-000000000000}"/>
  <bookViews>
    <workbookView xWindow="31104" yWindow="384" windowWidth="27552" windowHeight="15816" tabRatio="769" xr2:uid="{00000000-000D-0000-FFFF-FFFF00000000}"/>
  </bookViews>
  <sheets>
    <sheet name="CircularReferenceAlert" sheetId="117" r:id="rId1"/>
    <sheet name="ImportantDisclosures" sheetId="114" r:id="rId2"/>
    <sheet name="Fin Sum" sheetId="82" r:id="rId3"/>
    <sheet name="Valuation" sheetId="83" r:id="rId4"/>
    <sheet name="BS, CF and P&amp;L" sheetId="43" r:id="rId5"/>
    <sheet name="Market Drivers" sheetId="75" r:id="rId6"/>
    <sheet name="ANZ" sheetId="79" r:id="rId7"/>
    <sheet name="USA" sheetId="78" r:id="rId8"/>
    <sheet name="IndexInformation" sheetId="115" r:id="rId9"/>
    <sheet name="ModPubIndex" sheetId="116" r:id="rId10"/>
  </sheets>
  <externalReferences>
    <externalReference r:id="rId11"/>
  </externalReferences>
  <definedNames>
    <definedName name="africa">0</definedName>
    <definedName name="africaCountries">#REF!</definedName>
    <definedName name="allRegions">#REF!</definedName>
    <definedName name="americaRegion">#REF!</definedName>
    <definedName name="americas">0.52</definedName>
    <definedName name="americasStates">#REF!</definedName>
    <definedName name="AppVersion">"GEG-1.0"</definedName>
    <definedName name="asiaPacific">0.48</definedName>
    <definedName name="asiaPacificExJapan">0.48</definedName>
    <definedName name="asiaPacificExJapanCountries">#REF!</definedName>
    <definedName name="asiaPacificRegion">#REF!</definedName>
    <definedName name="asiaPacificStates">#REF!</definedName>
    <definedName name="australasia">0.48</definedName>
    <definedName name="BRICS">0</definedName>
    <definedName name="centralEasternEurope">0</definedName>
    <definedName name="centralEasternEuropeCountries">#REF!</definedName>
    <definedName name="china">0</definedName>
    <definedName name="consumerDemandExposure">#REF!</definedName>
    <definedName name="consumersExposure">0</definedName>
    <definedName name="countryList">"Country Mapping"</definedName>
    <definedName name="developedEuropeExUK">0</definedName>
    <definedName name="developedEuropeExUKCountries">#REF!</definedName>
    <definedName name="domesticAndForeignExposure">#REF!</definedName>
    <definedName name="domesticCostExposure">#REF!</definedName>
    <definedName name="EEMEA">0</definedName>
    <definedName name="endDemandExposure">#REF!</definedName>
    <definedName name="europe">0</definedName>
    <definedName name="europeRegion">#REF!</definedName>
    <definedName name="europeStates">#REF!</definedName>
    <definedName name="india">0</definedName>
    <definedName name="instructions">#REF!</definedName>
    <definedName name="InterestExpenseCopy">'BS, CF and P&amp;L'!$C$120:$BM$120</definedName>
    <definedName name="InterestExpensePaste">'BS, CF and P&amp;L'!$C$121:$BM$121</definedName>
    <definedName name="InterestIncomeCopy">'BS, CF and P&amp;L'!$C$129:$BM$129</definedName>
    <definedName name="InterestIncomePaste">'BS, CF and P&amp;L'!$C$130:$BM$130</definedName>
    <definedName name="italy">0</definedName>
    <definedName name="japan">0</definedName>
    <definedName name="latinAmerica">0</definedName>
    <definedName name="latinAmericaCountries">#REF!</definedName>
    <definedName name="Linking_1">'Fin Sum'!$B$4:$W$77</definedName>
    <definedName name="Linking_10">Valuation!#REF!</definedName>
    <definedName name="Linking_11">Valuation!#REF!</definedName>
    <definedName name="Linking_12">Valuation!#REF!</definedName>
    <definedName name="Linking_13">Valuation!#REF!</definedName>
    <definedName name="Linking_14">Valuation!#REF!</definedName>
    <definedName name="Linking_15">Valuation!#REF!</definedName>
    <definedName name="Linking_16">Valuation!#REF!</definedName>
    <definedName name="Linking_17">#REF!</definedName>
    <definedName name="Linking_18">#REF!</definedName>
    <definedName name="Linking_19">#REF!</definedName>
    <definedName name="Linking_2">Valuation!$B$6:$D$12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Valuation!$A$36:$L$95</definedName>
    <definedName name="Linking_30">#REF!</definedName>
    <definedName name="Linking_31">#REF!</definedName>
    <definedName name="Linking_32">'Fin Sum'!$B$4:$W$78</definedName>
    <definedName name="Linking_33">#REF!</definedName>
    <definedName name="Linking_34">'Fin Sum'!$B$4:$W$71</definedName>
    <definedName name="Linking_35">#REF!</definedName>
    <definedName name="Linking_36">#REF!</definedName>
    <definedName name="Linking_37">Valuation!$B$15:$E$20</definedName>
    <definedName name="Linking_38">'Fin Sum'!$B$4:$W$72</definedName>
    <definedName name="Linking_39">#REF!</definedName>
    <definedName name="Linking_4">Valuation!$A$24:$G$35</definedName>
    <definedName name="Linking_40">Valuation!$B$15:$E$22</definedName>
    <definedName name="Linking_41">#REF!</definedName>
    <definedName name="Linking_42">'Market Drivers'!$A$79:$AM$89</definedName>
    <definedName name="Linking_43">'Market Drivers'!$A$47:$AM$71</definedName>
    <definedName name="Linking_44">Valuation!$B$15:$C$20</definedName>
    <definedName name="Linking_45">#REF!</definedName>
    <definedName name="Linking_46">'Market Drivers'!$A$73:$AM$83</definedName>
    <definedName name="Linking_47">'Market Drivers'!$A$73:$BB$83</definedName>
    <definedName name="Linking_48">'Market Drivers'!$A$47:$BB$67</definedName>
    <definedName name="Linking_49">'Fin Sum'!$B$4:$W$69</definedName>
    <definedName name="Linking_5">Valuation!#REF!</definedName>
    <definedName name="Linking_50">'Fin Sum'!$B$4:$W$70</definedName>
    <definedName name="Linking_51">'Fin Sum'!$B$4:$X$69</definedName>
    <definedName name="Linking_52">#REF!</definedName>
    <definedName name="Linking_53">#REF!</definedName>
    <definedName name="Linking_54">#REF!</definedName>
    <definedName name="Linking_55">#REF!</definedName>
    <definedName name="Linking_56">#REF!</definedName>
    <definedName name="Linking_57">#REF!</definedName>
    <definedName name="Linking_58">#REF!</definedName>
    <definedName name="Linking_59">#REF!</definedName>
    <definedName name="Linking_6">Valuation!#REF!</definedName>
    <definedName name="Linking_60">'Fin Sum'!$B$4:$Z$69</definedName>
    <definedName name="Linking_61">'Fin Sum'!$B$4:$Y$69</definedName>
    <definedName name="Linking_62">#REF!</definedName>
    <definedName name="Linking_63">#REF!</definedName>
    <definedName name="Linking_64">#REF!</definedName>
    <definedName name="Linking_65">'Fin Sum'!$B$4:$AA$69</definedName>
    <definedName name="Linking_66">'Fin Sum'!$B$4:$AB$69</definedName>
    <definedName name="Linking_67">#REF!</definedName>
    <definedName name="Linking_7">Valuation!#REF!</definedName>
    <definedName name="Linking_8">Valuation!#REF!</definedName>
    <definedName name="Linking_9">Valuation!#REF!</definedName>
    <definedName name="middleEast">0</definedName>
    <definedName name="middleEastAfrica">0</definedName>
    <definedName name="middleEastAfricaRegion">#REF!</definedName>
    <definedName name="middleEastAfricaStates">#REF!</definedName>
    <definedName name="northAmerica">0.52</definedName>
    <definedName name="northAmericaCountries">#REF!</definedName>
    <definedName name="otherAfrica">0</definedName>
    <definedName name="otherAsiaPacific">0</definedName>
    <definedName name="otherCentralEasternEurope">0</definedName>
    <definedName name="otherDevelopedEurope">0</definedName>
    <definedName name="otherLATAM">0</definedName>
    <definedName name="_xlnm.Print_Area" localSheetId="6">ANZ!$A$1:$AX$53</definedName>
    <definedName name="_xlnm.Print_Area" localSheetId="4">'BS, CF and P&amp;L'!$W$8:$AR$285</definedName>
    <definedName name="_xlnm.Print_Area" localSheetId="2">'Fin Sum'!$A$1:$AC$72</definedName>
    <definedName name="_xlnm.Print_Area" localSheetId="5">'Market Drivers'!$A$1:$AM$93</definedName>
    <definedName name="_xlnm.Print_Area" localSheetId="3">Valuation!$A$24:$L$96</definedName>
    <definedName name="_xlnm.Print_Titles" localSheetId="4">'BS, CF and P&amp;L'!$A:$B,'BS, CF and P&amp;L'!$1:$6</definedName>
    <definedName name="regionalCostExposure">#REF!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1</definedName>
    <definedName name="showVersionCheckMessage">1</definedName>
    <definedName name="socioEconomicRegion">#REF!</definedName>
    <definedName name="socioEconomicRegions">#REF!</definedName>
    <definedName name="spain">0</definedName>
    <definedName name="totalConsumerDemandExposure">0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TRNR_0ff53cf14a5d4976b0ded50755d13185_13_1" hidden="1">#REF!</definedName>
    <definedName name="TRNR_12a58ec1e3c64bda98ffc509e6af6a7b_13_1" hidden="1">#REF!</definedName>
    <definedName name="TRNR_1857d204db0145279fd5d4825f473fdc_13_1" hidden="1">#REF!</definedName>
    <definedName name="TRNR_321fa04a69994861882607796cdd9aac_13_1" hidden="1">#REF!</definedName>
    <definedName name="TRNR_3a29ecb53be545beb0b494fb056e3d82_13_1" hidden="1">#REF!</definedName>
    <definedName name="TRNR_40064d098a8b44c2bbea0de91a47d1dc_13_1" hidden="1">#REF!</definedName>
    <definedName name="TRNR_464344205c1645ad873c2305d95668bb_13_1" hidden="1">#REF!</definedName>
    <definedName name="TRNR_4a6f693b0a9a4f2cb9a97a4a6306dc9a_13_1" hidden="1">#REF!</definedName>
    <definedName name="TRNR_516ff821024a4d9abf909b2c9fb71812_13_1" hidden="1">#REF!</definedName>
    <definedName name="TRNR_57262b26878545caad46d6660524430f_13_1" hidden="1">#REF!</definedName>
    <definedName name="TRNR_5a53fdbe66b1469d8db7a7a62f6d78bc_13_1" hidden="1">#REF!</definedName>
    <definedName name="TRNR_6412b2e17b1a48edb74d1081fde1270e_13_1" hidden="1">#REF!</definedName>
    <definedName name="TRNR_67ede8f9535943f88252b934f0a34335_13_1" hidden="1">#REF!</definedName>
    <definedName name="TRNR_6ce68c2f3f3340be94ceb8684d6aa6c1_13_1" hidden="1">#REF!</definedName>
    <definedName name="TRNR_6e8442a364b946c3bc128e00282b482e_13_1" hidden="1">#REF!</definedName>
    <definedName name="TRNR_7fc351c2b6d44575a1b95c2d3da110f3_13_1" hidden="1">#REF!</definedName>
    <definedName name="TRNR_9178e5a655c24cef85b69cf91c12c0b6_13_1" hidden="1">#REF!</definedName>
    <definedName name="TRNR_97d34fdc22d44417b9f1cef987c3227d_13_1" hidden="1">#REF!</definedName>
    <definedName name="TRNR_9b2b00bf25854c0082ff9872c0ad0aa3_13_1" hidden="1">#REF!</definedName>
    <definedName name="TRNR_cd708296256f44548a351de2bee4cb4b_13_1" hidden="1">#REF!</definedName>
    <definedName name="TRNR_e0db8083a8c74912914218e74b9bc738_13_1" hidden="1">#REF!</definedName>
    <definedName name="TRNR_ee7f9cc802164960a0c3338d6a86ff24_13_1" hidden="1">#REF!</definedName>
    <definedName name="uk">0</definedName>
    <definedName name="ValidDateTable">#REF!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29" i="82" l="1"/>
  <c r="AJ29" i="82"/>
  <c r="BA1" i="43"/>
  <c r="E28" i="83"/>
  <c r="E30" i="83"/>
  <c r="E32" i="83" s="1"/>
  <c r="AK28" i="82" a="1"/>
  <c r="AJ28" i="82" a="1"/>
  <c r="AI28" i="82" a="1"/>
  <c r="AK28" i="82" l="1"/>
  <c r="AJ28" i="82"/>
  <c r="AI28" i="82"/>
  <c r="AI29" i="82" s="1"/>
  <c r="C38" i="83"/>
  <c r="F21" i="83"/>
  <c r="AB25" i="82"/>
  <c r="AB30" i="82"/>
  <c r="AB38" i="82"/>
  <c r="AB43" i="82"/>
  <c r="AB50" i="82"/>
  <c r="AB54" i="82"/>
  <c r="AB57" i="82"/>
  <c r="AB59" i="82"/>
  <c r="AB60" i="82"/>
  <c r="AB63" i="82"/>
  <c r="AB65" i="82"/>
  <c r="AB67" i="82"/>
  <c r="N22" i="82"/>
  <c r="N41" i="82"/>
  <c r="C89" i="83"/>
  <c r="AX47" i="43"/>
  <c r="AW47" i="43" s="1"/>
  <c r="AX10" i="78"/>
  <c r="AX15" i="79"/>
  <c r="AX94" i="43"/>
  <c r="AX97" i="43" s="1"/>
  <c r="AX87" i="43"/>
  <c r="AX90" i="43" s="1"/>
  <c r="AX78" i="43"/>
  <c r="AW3" i="78"/>
  <c r="AX4" i="78"/>
  <c r="AX6" i="78"/>
  <c r="AX14" i="78" s="1"/>
  <c r="AX9" i="78"/>
  <c r="AW13" i="78"/>
  <c r="AW26" i="43" s="1"/>
  <c r="AW19" i="78"/>
  <c r="AX20" i="78"/>
  <c r="AW21" i="78"/>
  <c r="AX22" i="78"/>
  <c r="AX23" i="78" s="1"/>
  <c r="AW28" i="78"/>
  <c r="AW32" i="78"/>
  <c r="AW58" i="43" s="1"/>
  <c r="AX32" i="78"/>
  <c r="AX58" i="43" s="1"/>
  <c r="AW34" i="78"/>
  <c r="AX35" i="78"/>
  <c r="AW41" i="78"/>
  <c r="AX41" i="78"/>
  <c r="AW42" i="78"/>
  <c r="AX42" i="78"/>
  <c r="AW44" i="78"/>
  <c r="AX44" i="78"/>
  <c r="AW45" i="78"/>
  <c r="AX45" i="78"/>
  <c r="AW56" i="78"/>
  <c r="AX56" i="78"/>
  <c r="AW57" i="78"/>
  <c r="AX57" i="78"/>
  <c r="AW58" i="78"/>
  <c r="AX58" i="78"/>
  <c r="AW3" i="79"/>
  <c r="AX7" i="79"/>
  <c r="AX14" i="79"/>
  <c r="AW18" i="79"/>
  <c r="AW25" i="43" s="1"/>
  <c r="AX26" i="79"/>
  <c r="AW27" i="79"/>
  <c r="AX28" i="79"/>
  <c r="AW29" i="79"/>
  <c r="AX30" i="79"/>
  <c r="AX31" i="79" s="1"/>
  <c r="AW34" i="79"/>
  <c r="AX34" i="79"/>
  <c r="AW35" i="79"/>
  <c r="AX35" i="79"/>
  <c r="AW37" i="79"/>
  <c r="AX37" i="79"/>
  <c r="AW38" i="79"/>
  <c r="AX38" i="79"/>
  <c r="AW40" i="79"/>
  <c r="AX40" i="79"/>
  <c r="AW41" i="79"/>
  <c r="AX41" i="79"/>
  <c r="AW43" i="79"/>
  <c r="AX43" i="79"/>
  <c r="AW44" i="79"/>
  <c r="AX44" i="79"/>
  <c r="AV14" i="79"/>
  <c r="AV21" i="43" s="1"/>
  <c r="AV15" i="79"/>
  <c r="AY15" i="79" s="1"/>
  <c r="AW6" i="43"/>
  <c r="AW1" i="78" s="1"/>
  <c r="AX6" i="43"/>
  <c r="AX1" i="78" s="1"/>
  <c r="AW13" i="43"/>
  <c r="AX26" i="43"/>
  <c r="AX31" i="43"/>
  <c r="AW36" i="43"/>
  <c r="AW37" i="43"/>
  <c r="AX38" i="43"/>
  <c r="AW39" i="43"/>
  <c r="AW120" i="43" s="1"/>
  <c r="AX45" i="43"/>
  <c r="AW79" i="43"/>
  <c r="AW88" i="43"/>
  <c r="AW89" i="43"/>
  <c r="AW95" i="43"/>
  <c r="AW96" i="43"/>
  <c r="AW99" i="43"/>
  <c r="AX101" i="43"/>
  <c r="AX106" i="43"/>
  <c r="AW106" i="43" s="1"/>
  <c r="AW126" i="43" s="1"/>
  <c r="AX107" i="43"/>
  <c r="AX116" i="43" s="1"/>
  <c r="AX120" i="43"/>
  <c r="AX122" i="43" s="1"/>
  <c r="AW125" i="43"/>
  <c r="AX125" i="43"/>
  <c r="AX126" i="43"/>
  <c r="AX140" i="43"/>
  <c r="AW151" i="43"/>
  <c r="AW152" i="43"/>
  <c r="AW153" i="43"/>
  <c r="AW154" i="43"/>
  <c r="AX155" i="43"/>
  <c r="AW157" i="43"/>
  <c r="AW158" i="43"/>
  <c r="AW159" i="43"/>
  <c r="AW160" i="43"/>
  <c r="AW161" i="43"/>
  <c r="AX162" i="43"/>
  <c r="AW165" i="43"/>
  <c r="AW166" i="43"/>
  <c r="AW167" i="43"/>
  <c r="AW168" i="43"/>
  <c r="AW169" i="43"/>
  <c r="AW170" i="43"/>
  <c r="AX171" i="43"/>
  <c r="AW173" i="43"/>
  <c r="AW174" i="43"/>
  <c r="AW175" i="43"/>
  <c r="AW176" i="43"/>
  <c r="AW177" i="43"/>
  <c r="AW178" i="43"/>
  <c r="AX179" i="43"/>
  <c r="AW183" i="43"/>
  <c r="AW276" i="43" s="1"/>
  <c r="AW184" i="43"/>
  <c r="AW185" i="43"/>
  <c r="AW186" i="43"/>
  <c r="AX187" i="43"/>
  <c r="AX202" i="43"/>
  <c r="AX203" i="43"/>
  <c r="AX204" i="43"/>
  <c r="AX217" i="43"/>
  <c r="AX221" i="43"/>
  <c r="AX223" i="43"/>
  <c r="AW223" i="43" s="1"/>
  <c r="AW225" i="43"/>
  <c r="AX226" i="43"/>
  <c r="AW231" i="43"/>
  <c r="AW93" i="43" s="1"/>
  <c r="AX231" i="43"/>
  <c r="AX234" i="43"/>
  <c r="AX235" i="43"/>
  <c r="AX244" i="43"/>
  <c r="AX246" i="43" s="1"/>
  <c r="AW246" i="43"/>
  <c r="AX257" i="43"/>
  <c r="AX259" i="43" s="1"/>
  <c r="AW259" i="43"/>
  <c r="AX267" i="43"/>
  <c r="AX276" i="43"/>
  <c r="AX277" i="43"/>
  <c r="AX278" i="43"/>
  <c r="AW283" i="43"/>
  <c r="AX283" i="43"/>
  <c r="AW284" i="43"/>
  <c r="AX284" i="43"/>
  <c r="AW285" i="43"/>
  <c r="AX285" i="43"/>
  <c r="AU10" i="78"/>
  <c r="AU15" i="79"/>
  <c r="BM89" i="43"/>
  <c r="BJ89" i="43"/>
  <c r="BG89" i="43"/>
  <c r="BD89" i="43"/>
  <c r="BA89" i="43"/>
  <c r="AV120" i="43"/>
  <c r="AV140" i="43"/>
  <c r="AV10" i="78"/>
  <c r="AU140" i="43"/>
  <c r="AV7" i="79"/>
  <c r="AV9" i="78"/>
  <c r="AV22" i="43" s="1"/>
  <c r="AV94" i="43"/>
  <c r="AV78" i="43"/>
  <c r="AW78" i="43" s="1"/>
  <c r="AV4" i="78"/>
  <c r="AV6" i="78"/>
  <c r="AV14" i="78" s="1"/>
  <c r="AV22" i="78"/>
  <c r="AV25" i="78"/>
  <c r="AV32" i="78"/>
  <c r="AV35" i="78"/>
  <c r="AV41" i="78"/>
  <c r="AV42" i="78"/>
  <c r="AV44" i="78"/>
  <c r="AV45" i="78"/>
  <c r="AV56" i="78"/>
  <c r="AV57" i="78"/>
  <c r="AV58" i="78"/>
  <c r="AV11" i="79"/>
  <c r="AV9" i="43" s="1"/>
  <c r="AV30" i="79"/>
  <c r="AV34" i="79"/>
  <c r="AV35" i="79"/>
  <c r="AV37" i="79"/>
  <c r="AV38" i="79"/>
  <c r="AV40" i="79"/>
  <c r="AV41" i="79"/>
  <c r="AV43" i="79"/>
  <c r="AV44" i="79"/>
  <c r="AV6" i="43"/>
  <c r="AV1" i="79" s="1"/>
  <c r="AV25" i="43"/>
  <c r="AV26" i="43"/>
  <c r="AV38" i="43"/>
  <c r="AV129" i="43" s="1"/>
  <c r="AV131" i="43" s="1"/>
  <c r="AV45" i="43"/>
  <c r="AV48" i="43"/>
  <c r="AV90" i="43"/>
  <c r="AV101" i="43"/>
  <c r="AV106" i="43"/>
  <c r="AV107" i="43"/>
  <c r="AV116" i="43" s="1"/>
  <c r="AW115" i="43" s="1"/>
  <c r="AV125" i="43"/>
  <c r="AV126" i="43"/>
  <c r="AV136" i="43"/>
  <c r="AV137" i="43"/>
  <c r="AX137" i="43" s="1"/>
  <c r="AV155" i="43"/>
  <c r="AV162" i="43"/>
  <c r="AV171" i="43"/>
  <c r="AV179" i="43"/>
  <c r="AV187" i="43"/>
  <c r="AV202" i="43"/>
  <c r="AV203" i="43"/>
  <c r="AV204" i="43"/>
  <c r="AV217" i="43"/>
  <c r="AV231" i="43"/>
  <c r="AV93" i="43" s="1"/>
  <c r="AV234" i="43"/>
  <c r="AV235" i="43"/>
  <c r="AV246" i="43"/>
  <c r="AV259" i="43"/>
  <c r="AV276" i="43"/>
  <c r="AV277" i="43"/>
  <c r="AV278" i="43"/>
  <c r="AV283" i="43"/>
  <c r="AV284" i="43"/>
  <c r="AV285" i="43"/>
  <c r="AX11" i="78" l="1"/>
  <c r="AW10" i="78"/>
  <c r="AZ10" i="78" s="1"/>
  <c r="BC10" i="78" s="1"/>
  <c r="BF10" i="78" s="1"/>
  <c r="BI10" i="78" s="1"/>
  <c r="BL10" i="78" s="1"/>
  <c r="BB15" i="79"/>
  <c r="AX48" i="43"/>
  <c r="AY10" i="78"/>
  <c r="BB10" i="78" s="1"/>
  <c r="AX127" i="43"/>
  <c r="AX128" i="43" s="1"/>
  <c r="AW87" i="43"/>
  <c r="AW94" i="43"/>
  <c r="AV97" i="43"/>
  <c r="AV98" i="43" s="1"/>
  <c r="AX239" i="43"/>
  <c r="AX254" i="43" s="1"/>
  <c r="AW53" i="79"/>
  <c r="AX238" i="43"/>
  <c r="AW15" i="79"/>
  <c r="AZ15" i="79" s="1"/>
  <c r="BC15" i="79" s="1"/>
  <c r="BF15" i="79" s="1"/>
  <c r="BI15" i="79" s="1"/>
  <c r="BL15" i="79" s="1"/>
  <c r="AX16" i="79"/>
  <c r="AW127" i="43"/>
  <c r="AW129" i="43" s="1"/>
  <c r="AX129" i="43" s="1"/>
  <c r="AX131" i="43" s="1"/>
  <c r="AW35" i="78"/>
  <c r="AX17" i="78"/>
  <c r="AV144" i="43"/>
  <c r="AW38" i="43"/>
  <c r="AX53" i="79"/>
  <c r="AX1" i="79"/>
  <c r="AW1" i="79"/>
  <c r="AW48" i="43"/>
  <c r="AV127" i="43"/>
  <c r="AV128" i="43" s="1"/>
  <c r="AX48" i="78"/>
  <c r="AW48" i="78"/>
  <c r="AW25" i="78"/>
  <c r="AX25" i="78" s="1"/>
  <c r="AW6" i="78"/>
  <c r="AW14" i="78" s="1"/>
  <c r="AW187" i="43"/>
  <c r="AX180" i="43"/>
  <c r="AX205" i="43"/>
  <c r="AW22" i="78"/>
  <c r="AW9" i="78"/>
  <c r="AW22" i="43" s="1"/>
  <c r="AX22" i="43"/>
  <c r="AW27" i="43"/>
  <c r="AW30" i="79"/>
  <c r="AW14" i="79"/>
  <c r="AX189" i="43"/>
  <c r="AW107" i="43"/>
  <c r="AW116" i="43" s="1"/>
  <c r="AW118" i="43" s="1"/>
  <c r="AW119" i="43" s="1"/>
  <c r="AW179" i="43"/>
  <c r="AW171" i="43"/>
  <c r="AW162" i="43"/>
  <c r="AX163" i="43"/>
  <c r="AW155" i="43"/>
  <c r="AX98" i="43"/>
  <c r="AX279" i="43"/>
  <c r="AW122" i="43"/>
  <c r="AX109" i="43"/>
  <c r="C47" i="83" s="1"/>
  <c r="AV53" i="79"/>
  <c r="AV1" i="78"/>
  <c r="AV48" i="78"/>
  <c r="AV58" i="43"/>
  <c r="AV16" i="78"/>
  <c r="AV11" i="78"/>
  <c r="AY11" i="78" s="1"/>
  <c r="BB11" i="78" s="1"/>
  <c r="BE11" i="78" s="1"/>
  <c r="BH11" i="78" s="1"/>
  <c r="AV63" i="43"/>
  <c r="AV27" i="43"/>
  <c r="AV77" i="43" s="1"/>
  <c r="AV19" i="79"/>
  <c r="AV109" i="43"/>
  <c r="AV210" i="43" s="1"/>
  <c r="AV205" i="43"/>
  <c r="AV10" i="43"/>
  <c r="AV11" i="43" s="1"/>
  <c r="AV15" i="43" s="1"/>
  <c r="AV16" i="43" s="1"/>
  <c r="AY16" i="43" s="1"/>
  <c r="AV24" i="79"/>
  <c r="AW24" i="79" s="1"/>
  <c r="AW28" i="79" s="1"/>
  <c r="AV23" i="43"/>
  <c r="AV142" i="43" s="1"/>
  <c r="AV16" i="79"/>
  <c r="AY16" i="79" s="1"/>
  <c r="BB16" i="79" s="1"/>
  <c r="AV180" i="43"/>
  <c r="AV163" i="43"/>
  <c r="AV279" i="43"/>
  <c r="AV122" i="43"/>
  <c r="AX252" i="43" l="1"/>
  <c r="BE16" i="79"/>
  <c r="BK11" i="78"/>
  <c r="BD10" i="78"/>
  <c r="BE10" i="78"/>
  <c r="AY14" i="79"/>
  <c r="BD15" i="79"/>
  <c r="BE15" i="79"/>
  <c r="AX253" i="43"/>
  <c r="AW16" i="79"/>
  <c r="AZ16" i="79" s="1"/>
  <c r="BC16" i="79" s="1"/>
  <c r="BF16" i="79" s="1"/>
  <c r="BI16" i="79" s="1"/>
  <c r="BL16" i="79" s="1"/>
  <c r="AX181" i="43"/>
  <c r="AX209" i="43" s="1"/>
  <c r="AW131" i="43"/>
  <c r="AW11" i="78"/>
  <c r="AW31" i="79"/>
  <c r="AW77" i="43"/>
  <c r="AX77" i="43" s="1"/>
  <c r="AV23" i="78"/>
  <c r="AW16" i="78"/>
  <c r="AW23" i="78" s="1"/>
  <c r="AW163" i="43"/>
  <c r="AW215" i="43" s="1"/>
  <c r="AW10" i="43"/>
  <c r="AW109" i="43"/>
  <c r="AW113" i="43" s="1"/>
  <c r="AW180" i="43"/>
  <c r="AW112" i="43"/>
  <c r="AX211" i="43"/>
  <c r="AX210" i="43"/>
  <c r="AX212" i="43"/>
  <c r="AV20" i="78"/>
  <c r="AV212" i="43"/>
  <c r="AV112" i="43"/>
  <c r="AV139" i="43"/>
  <c r="AV17" i="78"/>
  <c r="AV31" i="43"/>
  <c r="AV64" i="43"/>
  <c r="AV113" i="43"/>
  <c r="AV211" i="43"/>
  <c r="AV181" i="43"/>
  <c r="AV199" i="43"/>
  <c r="AV200" i="43"/>
  <c r="AV65" i="43"/>
  <c r="AV18" i="43"/>
  <c r="AV196" i="43"/>
  <c r="AV198" i="43"/>
  <c r="AV194" i="43"/>
  <c r="AV195" i="43"/>
  <c r="AV141" i="43"/>
  <c r="AV193" i="43"/>
  <c r="AY193" i="43" s="1"/>
  <c r="BB193" i="43" s="1"/>
  <c r="BE193" i="43" s="1"/>
  <c r="BH193" i="43" s="1"/>
  <c r="BK193" i="43" s="1"/>
  <c r="AV271" i="43"/>
  <c r="AV270" i="43" s="1"/>
  <c r="AV25" i="79"/>
  <c r="AV28" i="79"/>
  <c r="AV30" i="43"/>
  <c r="AV31" i="79"/>
  <c r="AO171" i="43"/>
  <c r="AN89" i="43"/>
  <c r="AN88" i="43"/>
  <c r="AN79" i="43"/>
  <c r="AN38" i="43"/>
  <c r="AN153" i="43"/>
  <c r="AN154" i="43"/>
  <c r="BG10" i="78" l="1"/>
  <c r="BH10" i="78"/>
  <c r="AX188" i="43"/>
  <c r="BG16" i="79"/>
  <c r="BH16" i="79"/>
  <c r="AW139" i="43"/>
  <c r="AZ11" i="78"/>
  <c r="BC11" i="78" s="1"/>
  <c r="BG15" i="79"/>
  <c r="BH15" i="79"/>
  <c r="BD16" i="79"/>
  <c r="AW211" i="43"/>
  <c r="AW181" i="43"/>
  <c r="AW209" i="43" s="1"/>
  <c r="AW17" i="78"/>
  <c r="AW20" i="78"/>
  <c r="AV61" i="43"/>
  <c r="AW31" i="43"/>
  <c r="AW61" i="43" s="1"/>
  <c r="AW210" i="43"/>
  <c r="AW216" i="43" s="1"/>
  <c r="AW110" i="43"/>
  <c r="AW212" i="43"/>
  <c r="AX10" i="43"/>
  <c r="AW64" i="43"/>
  <c r="AV188" i="43"/>
  <c r="AV32" i="43"/>
  <c r="AV60" i="43"/>
  <c r="AE99" i="43"/>
  <c r="AE95" i="43"/>
  <c r="AA67" i="82"/>
  <c r="Z67" i="82"/>
  <c r="Z65" i="82"/>
  <c r="AA65" i="82"/>
  <c r="AA63" i="82"/>
  <c r="AB64" i="82" s="1"/>
  <c r="AA60" i="82"/>
  <c r="AB61" i="82" s="1"/>
  <c r="Z60" i="82"/>
  <c r="Z63" i="82"/>
  <c r="AU244" i="43"/>
  <c r="AY37" i="43"/>
  <c r="BB37" i="43" s="1"/>
  <c r="BE37" i="43" s="1"/>
  <c r="AP33" i="75"/>
  <c r="AQ33" i="75" s="1"/>
  <c r="AR33" i="75" s="1"/>
  <c r="AS33" i="75" s="1"/>
  <c r="AT33" i="75" s="1"/>
  <c r="AU33" i="75" s="1"/>
  <c r="AV33" i="75" s="1"/>
  <c r="AW33" i="75" s="1"/>
  <c r="AX33" i="75" s="1"/>
  <c r="AY33" i="75" s="1"/>
  <c r="AZ33" i="75" s="1"/>
  <c r="BA33" i="75" s="1"/>
  <c r="BB33" i="75" s="1"/>
  <c r="BJ16" i="79" l="1"/>
  <c r="BK16" i="79"/>
  <c r="BM16" i="79" s="1"/>
  <c r="BF11" i="78"/>
  <c r="BD11" i="78"/>
  <c r="BJ15" i="79"/>
  <c r="BK15" i="79"/>
  <c r="BM15" i="79" s="1"/>
  <c r="BJ10" i="78"/>
  <c r="BK10" i="78"/>
  <c r="BM10" i="78" s="1"/>
  <c r="AW188" i="43"/>
  <c r="AX61" i="43"/>
  <c r="AX64" i="43"/>
  <c r="AV33" i="43"/>
  <c r="AV62" i="43" s="1"/>
  <c r="AV41" i="43"/>
  <c r="AV67" i="43" s="1"/>
  <c r="AV69" i="43" s="1"/>
  <c r="AV42" i="43"/>
  <c r="AM33" i="75"/>
  <c r="AJ33" i="75"/>
  <c r="AA64" i="82"/>
  <c r="AA61" i="82"/>
  <c r="BI11" i="78" l="1"/>
  <c r="BG11" i="78"/>
  <c r="AV72" i="43"/>
  <c r="AV73" i="43" s="1"/>
  <c r="AV70" i="43"/>
  <c r="AV71" i="43" s="1"/>
  <c r="AU9" i="78"/>
  <c r="AU14" i="79"/>
  <c r="AU21" i="43" s="1"/>
  <c r="AU94" i="43"/>
  <c r="AU97" i="43" s="1"/>
  <c r="AU87" i="43"/>
  <c r="AT87" i="43" s="1"/>
  <c r="AU78" i="43"/>
  <c r="AT3" i="78"/>
  <c r="AU4" i="78"/>
  <c r="AU6" i="78"/>
  <c r="AX7" i="78" s="1"/>
  <c r="AT13" i="78"/>
  <c r="AT26" i="43" s="1"/>
  <c r="AT19" i="78"/>
  <c r="AT21" i="78"/>
  <c r="AU22" i="78"/>
  <c r="AT28" i="78"/>
  <c r="AT32" i="78"/>
  <c r="AT58" i="43" s="1"/>
  <c r="AU32" i="78"/>
  <c r="AU58" i="43" s="1"/>
  <c r="AT34" i="78"/>
  <c r="AU35" i="78"/>
  <c r="AT41" i="78"/>
  <c r="AU41" i="78"/>
  <c r="AT42" i="78"/>
  <c r="AU42" i="78"/>
  <c r="AT44" i="78"/>
  <c r="AU44" i="78"/>
  <c r="AT45" i="78"/>
  <c r="AU45" i="78"/>
  <c r="AT56" i="78"/>
  <c r="AU56" i="78"/>
  <c r="AT57" i="78"/>
  <c r="AU57" i="78"/>
  <c r="AT58" i="78"/>
  <c r="AU58" i="78"/>
  <c r="AT3" i="79"/>
  <c r="AW7" i="79" s="1"/>
  <c r="AU7" i="79"/>
  <c r="AT18" i="79"/>
  <c r="AU28" i="79"/>
  <c r="AT27" i="79"/>
  <c r="AT29" i="79"/>
  <c r="AU30" i="79"/>
  <c r="AT34" i="79"/>
  <c r="AU34" i="79"/>
  <c r="AT35" i="79"/>
  <c r="AU35" i="79"/>
  <c r="AT37" i="79"/>
  <c r="AU37" i="79"/>
  <c r="AT38" i="79"/>
  <c r="AU38" i="79"/>
  <c r="AT40" i="79"/>
  <c r="AU40" i="79"/>
  <c r="AT41" i="79"/>
  <c r="AU41" i="79"/>
  <c r="AT43" i="79"/>
  <c r="AU43" i="79"/>
  <c r="AT44" i="79"/>
  <c r="AU44" i="79"/>
  <c r="AT6" i="43"/>
  <c r="AT1" i="78" s="1"/>
  <c r="AU6" i="43"/>
  <c r="AU1" i="78" s="1"/>
  <c r="AT13" i="43"/>
  <c r="AU22" i="43"/>
  <c r="AU25" i="43"/>
  <c r="AU26" i="43"/>
  <c r="AU34" i="43"/>
  <c r="AT36" i="43"/>
  <c r="AT37" i="43"/>
  <c r="AZ37" i="43" s="1"/>
  <c r="BC37" i="43" s="1"/>
  <c r="BF37" i="43" s="1"/>
  <c r="AU38" i="43"/>
  <c r="AT39" i="43"/>
  <c r="AT120" i="43" s="1"/>
  <c r="AU41" i="43"/>
  <c r="AU67" i="43" s="1"/>
  <c r="AU42" i="43"/>
  <c r="AU45" i="43"/>
  <c r="AU48" i="43"/>
  <c r="AT79" i="43"/>
  <c r="AT88" i="43"/>
  <c r="AT89" i="43"/>
  <c r="AT95" i="43"/>
  <c r="AT96" i="43"/>
  <c r="AT99" i="43"/>
  <c r="AU101" i="43"/>
  <c r="AU106" i="43"/>
  <c r="AT106" i="43" s="1"/>
  <c r="AT126" i="43" s="1"/>
  <c r="AU107" i="43"/>
  <c r="AU116" i="43" s="1"/>
  <c r="AX115" i="43" s="1"/>
  <c r="AX118" i="43" s="1"/>
  <c r="AX119" i="43" s="1"/>
  <c r="AU120" i="43"/>
  <c r="AT125" i="43"/>
  <c r="AU125" i="43"/>
  <c r="AU126" i="43"/>
  <c r="AT151" i="43"/>
  <c r="AT152" i="43"/>
  <c r="AT153" i="43"/>
  <c r="AT154" i="43"/>
  <c r="AU155" i="43"/>
  <c r="AT155" i="43" s="1"/>
  <c r="AT157" i="43"/>
  <c r="AT158" i="43"/>
  <c r="AT159" i="43"/>
  <c r="AT160" i="43"/>
  <c r="AT161" i="43"/>
  <c r="AU162" i="43"/>
  <c r="AT165" i="43"/>
  <c r="AT166" i="43"/>
  <c r="AT167" i="43"/>
  <c r="AT168" i="43"/>
  <c r="AT169" i="43"/>
  <c r="AT170" i="43"/>
  <c r="AU171" i="43"/>
  <c r="AT173" i="43"/>
  <c r="AT174" i="43"/>
  <c r="AT175" i="43"/>
  <c r="AT176" i="43"/>
  <c r="AT177" i="43"/>
  <c r="AT178" i="43"/>
  <c r="AU179" i="43"/>
  <c r="AT183" i="43"/>
  <c r="AT276" i="43" s="1"/>
  <c r="AT184" i="43"/>
  <c r="AT185" i="43"/>
  <c r="AT186" i="43"/>
  <c r="AU187" i="43"/>
  <c r="AU202" i="43"/>
  <c r="AU203" i="43"/>
  <c r="AU204" i="43"/>
  <c r="AU217" i="43"/>
  <c r="AU221" i="43"/>
  <c r="AU223" i="43"/>
  <c r="AX220" i="43" s="1"/>
  <c r="AT225" i="43"/>
  <c r="AU226" i="43"/>
  <c r="AT231" i="43"/>
  <c r="AT93" i="43" s="1"/>
  <c r="AU231" i="43"/>
  <c r="AU234" i="43"/>
  <c r="AU235" i="43"/>
  <c r="AU246" i="43"/>
  <c r="AX248" i="43" s="1"/>
  <c r="AU257" i="43"/>
  <c r="AU259" i="43" s="1"/>
  <c r="AT259" i="43"/>
  <c r="AU267" i="43"/>
  <c r="AU276" i="43"/>
  <c r="AU277" i="43"/>
  <c r="AU278" i="43"/>
  <c r="AT283" i="43"/>
  <c r="AU283" i="43"/>
  <c r="AT284" i="43"/>
  <c r="AU284" i="43"/>
  <c r="AT285" i="43"/>
  <c r="AU285" i="43"/>
  <c r="D30" i="83"/>
  <c r="D32" i="83" s="1"/>
  <c r="D28" i="83"/>
  <c r="AA25" i="82"/>
  <c r="AA30" i="82"/>
  <c r="AA38" i="82"/>
  <c r="AA43" i="82"/>
  <c r="AA50" i="82"/>
  <c r="AA54" i="82"/>
  <c r="AA57" i="82"/>
  <c r="AA59" i="82"/>
  <c r="M22" i="82"/>
  <c r="M41" i="82"/>
  <c r="BL11" i="78" l="1"/>
  <c r="BM11" i="78" s="1"/>
  <c r="BJ11" i="78"/>
  <c r="AT6" i="78"/>
  <c r="AW7" i="78" s="1"/>
  <c r="AW4" i="78"/>
  <c r="AX36" i="78"/>
  <c r="AX37" i="78"/>
  <c r="AT53" i="79"/>
  <c r="AV220" i="43"/>
  <c r="AU90" i="43"/>
  <c r="AU98" i="43" s="1"/>
  <c r="AU239" i="43"/>
  <c r="AU127" i="43"/>
  <c r="AU128" i="43" s="1"/>
  <c r="AU53" i="79"/>
  <c r="AU238" i="43"/>
  <c r="AX240" i="43" s="1"/>
  <c r="AU279" i="43"/>
  <c r="AT30" i="79"/>
  <c r="AT107" i="43"/>
  <c r="AT116" i="43" s="1"/>
  <c r="AT127" i="43"/>
  <c r="AT129" i="43" s="1"/>
  <c r="AT131" i="43" s="1"/>
  <c r="AU1" i="79"/>
  <c r="AU48" i="78"/>
  <c r="AT1" i="79"/>
  <c r="AT48" i="78"/>
  <c r="AT246" i="43"/>
  <c r="AW248" i="43" s="1"/>
  <c r="AU27" i="43"/>
  <c r="AU112" i="43" s="1"/>
  <c r="AT10" i="43"/>
  <c r="AT25" i="78"/>
  <c r="AU14" i="78"/>
  <c r="AT35" i="78"/>
  <c r="AW37" i="78" s="1"/>
  <c r="AW36" i="78" s="1"/>
  <c r="AT22" i="78"/>
  <c r="AU20" i="78"/>
  <c r="AU17" i="78"/>
  <c r="AU23" i="78"/>
  <c r="AU31" i="43"/>
  <c r="AT25" i="43"/>
  <c r="AT27" i="43" s="1"/>
  <c r="AU30" i="43"/>
  <c r="AU23" i="43"/>
  <c r="AU31" i="79"/>
  <c r="AT187" i="43"/>
  <c r="AU189" i="43" s="1"/>
  <c r="AT179" i="43"/>
  <c r="AT171" i="43"/>
  <c r="AU180" i="43"/>
  <c r="AT162" i="43"/>
  <c r="AT163" i="43" s="1"/>
  <c r="AU205" i="43"/>
  <c r="AU163" i="43"/>
  <c r="AV215" i="43" s="1"/>
  <c r="AU109" i="43"/>
  <c r="AX110" i="43" s="1"/>
  <c r="AT223" i="43"/>
  <c r="AU122" i="43"/>
  <c r="AU72" i="43"/>
  <c r="AT47" i="43"/>
  <c r="AT122" i="43"/>
  <c r="AS42" i="78"/>
  <c r="AS38" i="79"/>
  <c r="AS283" i="43"/>
  <c r="AS15" i="79"/>
  <c r="AS10" i="78"/>
  <c r="AS9" i="78"/>
  <c r="AS14" i="79"/>
  <c r="AS94" i="43"/>
  <c r="AT94" i="43" s="1"/>
  <c r="AS171" i="43"/>
  <c r="AS4" i="78"/>
  <c r="AS6" i="78"/>
  <c r="AV7" i="78" s="1"/>
  <c r="AS22" i="78"/>
  <c r="AS25" i="78"/>
  <c r="AS32" i="78"/>
  <c r="AS35" i="78"/>
  <c r="AV37" i="78" s="1"/>
  <c r="AS41" i="78"/>
  <c r="AS44" i="78"/>
  <c r="AS45" i="78"/>
  <c r="AS56" i="78"/>
  <c r="AS57" i="78"/>
  <c r="AS58" i="78"/>
  <c r="AS7" i="79"/>
  <c r="AS11" i="79"/>
  <c r="AV12" i="79" s="1"/>
  <c r="AS30" i="79"/>
  <c r="AS34" i="79"/>
  <c r="AS35" i="79"/>
  <c r="AS37" i="79"/>
  <c r="AS40" i="79"/>
  <c r="AS41" i="79"/>
  <c r="AS43" i="79"/>
  <c r="AS44" i="79"/>
  <c r="AS6" i="43"/>
  <c r="AS1" i="79" s="1"/>
  <c r="AS25" i="43"/>
  <c r="AS26" i="43"/>
  <c r="AS38" i="43"/>
  <c r="AS129" i="43" s="1"/>
  <c r="AS131" i="43" s="1"/>
  <c r="AS45" i="43"/>
  <c r="AS78" i="43"/>
  <c r="AT78" i="43" s="1"/>
  <c r="AS90" i="43"/>
  <c r="AS101" i="43"/>
  <c r="AS106" i="43"/>
  <c r="AS107" i="43"/>
  <c r="AS116" i="43" s="1"/>
  <c r="AT115" i="43" s="1"/>
  <c r="AS120" i="43"/>
  <c r="AS122" i="43" s="1"/>
  <c r="AS125" i="43"/>
  <c r="AS126" i="43"/>
  <c r="AS136" i="43"/>
  <c r="AS137" i="43"/>
  <c r="AU137" i="43" s="1"/>
  <c r="AS140" i="43"/>
  <c r="AS155" i="43"/>
  <c r="AS162" i="43"/>
  <c r="AS179" i="43"/>
  <c r="AS187" i="43"/>
  <c r="AS202" i="43"/>
  <c r="AS203" i="43"/>
  <c r="AS204" i="43"/>
  <c r="AS217" i="43"/>
  <c r="AS231" i="43"/>
  <c r="AS93" i="43" s="1"/>
  <c r="AS97" i="43" s="1"/>
  <c r="AS235" i="43"/>
  <c r="AS246" i="43"/>
  <c r="AV248" i="43" s="1"/>
  <c r="AS259" i="43"/>
  <c r="AS276" i="43"/>
  <c r="AS278" i="43"/>
  <c r="AS284" i="43"/>
  <c r="AS285" i="43"/>
  <c r="C28" i="83"/>
  <c r="C30" i="83"/>
  <c r="AX38" i="78" l="1"/>
  <c r="AT14" i="78"/>
  <c r="AV206" i="43"/>
  <c r="AV80" i="43" s="1"/>
  <c r="AV81" i="43" s="1"/>
  <c r="AX206" i="43"/>
  <c r="AX80" i="43" s="1"/>
  <c r="AU254" i="43"/>
  <c r="AX241" i="43"/>
  <c r="AT64" i="43"/>
  <c r="AW54" i="43"/>
  <c r="AU271" i="43"/>
  <c r="AV57" i="43"/>
  <c r="AV36" i="78"/>
  <c r="AV263" i="43"/>
  <c r="AV262" i="43"/>
  <c r="AU253" i="43"/>
  <c r="AV223" i="43"/>
  <c r="AV115" i="43"/>
  <c r="AV118" i="43" s="1"/>
  <c r="AV119" i="43" s="1"/>
  <c r="AT109" i="43"/>
  <c r="AT212" i="43" s="1"/>
  <c r="AU252" i="43"/>
  <c r="AS22" i="43"/>
  <c r="AT9" i="78"/>
  <c r="AU129" i="43"/>
  <c r="AU131" i="43" s="1"/>
  <c r="AT38" i="43"/>
  <c r="AS24" i="79"/>
  <c r="AS25" i="79" s="1"/>
  <c r="AT14" i="79"/>
  <c r="AU25" i="78"/>
  <c r="AU113" i="43"/>
  <c r="AT180" i="43"/>
  <c r="AT181" i="43" s="1"/>
  <c r="AT209" i="43" s="1"/>
  <c r="AT112" i="43"/>
  <c r="AU212" i="43"/>
  <c r="AU211" i="43"/>
  <c r="AU210" i="43"/>
  <c r="AV216" i="43" s="1"/>
  <c r="AU181" i="43"/>
  <c r="AU188" i="43" s="1"/>
  <c r="AU215" i="43"/>
  <c r="AT113" i="43"/>
  <c r="AU73" i="43"/>
  <c r="AT118" i="43"/>
  <c r="AT119" i="43" s="1"/>
  <c r="AS21" i="43"/>
  <c r="AS16" i="79"/>
  <c r="AS144" i="43"/>
  <c r="AS127" i="43"/>
  <c r="AS128" i="43" s="1"/>
  <c r="AS27" i="43"/>
  <c r="AS112" i="43" s="1"/>
  <c r="AS48" i="78"/>
  <c r="AS53" i="79"/>
  <c r="AS1" i="78"/>
  <c r="AS11" i="78"/>
  <c r="AS16" i="78"/>
  <c r="AS14" i="78"/>
  <c r="AS98" i="43"/>
  <c r="AS58" i="43"/>
  <c r="AS10" i="43"/>
  <c r="AS9" i="43"/>
  <c r="AV53" i="43" s="1"/>
  <c r="AS19" i="79"/>
  <c r="AV20" i="79" s="1"/>
  <c r="AS109" i="43"/>
  <c r="AS180" i="43"/>
  <c r="AS205" i="43"/>
  <c r="AS163" i="43"/>
  <c r="AT215" i="43" s="1"/>
  <c r="C32" i="83"/>
  <c r="AS30" i="43" l="1"/>
  <c r="AT30" i="43" s="1"/>
  <c r="AS31" i="79"/>
  <c r="AS28" i="79"/>
  <c r="AT211" i="43"/>
  <c r="AW80" i="43"/>
  <c r="AX81" i="43"/>
  <c r="AW81" i="43" s="1"/>
  <c r="AV225" i="43"/>
  <c r="AV209" i="43" s="1"/>
  <c r="AW262" i="43"/>
  <c r="AW263" i="43"/>
  <c r="AX263" i="43" s="1"/>
  <c r="AW220" i="43"/>
  <c r="AV264" i="43"/>
  <c r="AW266" i="43" s="1"/>
  <c r="AS23" i="43"/>
  <c r="AS271" i="43" s="1"/>
  <c r="AV38" i="78"/>
  <c r="AV21" i="79"/>
  <c r="AT24" i="79"/>
  <c r="AV26" i="79"/>
  <c r="AT210" i="43"/>
  <c r="AU216" i="43" s="1"/>
  <c r="AU10" i="43"/>
  <c r="AV54" i="43"/>
  <c r="AS210" i="43"/>
  <c r="AV110" i="43"/>
  <c r="AT22" i="43"/>
  <c r="AS23" i="78"/>
  <c r="AT16" i="78"/>
  <c r="AT21" i="43"/>
  <c r="AU209" i="43"/>
  <c r="AT188" i="43"/>
  <c r="AT110" i="43"/>
  <c r="AS139" i="43"/>
  <c r="AS11" i="43"/>
  <c r="AS63" i="43"/>
  <c r="AS20" i="78"/>
  <c r="AS31" i="43"/>
  <c r="AT31" i="43" s="1"/>
  <c r="AT61" i="43" s="1"/>
  <c r="AS17" i="78"/>
  <c r="AS64" i="43"/>
  <c r="AS60" i="43"/>
  <c r="AS113" i="43"/>
  <c r="AS212" i="43"/>
  <c r="AS211" i="43"/>
  <c r="AS181" i="43"/>
  <c r="AS188" i="43" s="1"/>
  <c r="AW82" i="43" l="1"/>
  <c r="AV226" i="43"/>
  <c r="AW226" i="43" s="1"/>
  <c r="AT31" i="79"/>
  <c r="AW26" i="79"/>
  <c r="AX262" i="43"/>
  <c r="AX264" i="43" s="1"/>
  <c r="AW264" i="43"/>
  <c r="AT216" i="43"/>
  <c r="AW268" i="43"/>
  <c r="AW92" i="43" s="1"/>
  <c r="AU61" i="43"/>
  <c r="AX54" i="43"/>
  <c r="AV22" i="79"/>
  <c r="AU64" i="43"/>
  <c r="AS84" i="43"/>
  <c r="AS85" i="43" s="1"/>
  <c r="AS142" i="43"/>
  <c r="AS18" i="43"/>
  <c r="AV55" i="43"/>
  <c r="AS141" i="43"/>
  <c r="AT28" i="79"/>
  <c r="AV239" i="43"/>
  <c r="AV238" i="43"/>
  <c r="AS32" i="43"/>
  <c r="AT23" i="43"/>
  <c r="AT84" i="43" s="1"/>
  <c r="AU84" i="43" s="1"/>
  <c r="AT20" i="78"/>
  <c r="AT17" i="78"/>
  <c r="AT23" i="78"/>
  <c r="AS61" i="43"/>
  <c r="AS15" i="43"/>
  <c r="AS16" i="43" s="1"/>
  <c r="AS194" i="43"/>
  <c r="AS198" i="43"/>
  <c r="AS199" i="43"/>
  <c r="AS195" i="43"/>
  <c r="AS65" i="43"/>
  <c r="AS200" i="43"/>
  <c r="AS196" i="43"/>
  <c r="AS193" i="43"/>
  <c r="AW278" i="43" l="1"/>
  <c r="AW97" i="43"/>
  <c r="AV252" i="43"/>
  <c r="AV254" i="43"/>
  <c r="AV253" i="43"/>
  <c r="AT32" i="43"/>
  <c r="AT41" i="43" s="1"/>
  <c r="AT67" i="43" s="1"/>
  <c r="AT69" i="43" s="1"/>
  <c r="AV34" i="43"/>
  <c r="AS33" i="43"/>
  <c r="AS62" i="43" s="1"/>
  <c r="AS41" i="43"/>
  <c r="AS67" i="43" s="1"/>
  <c r="AS69" i="43" s="1"/>
  <c r="AS42" i="43"/>
  <c r="AT42" i="43" s="1"/>
  <c r="AT72" i="43" s="1"/>
  <c r="AT271" i="43"/>
  <c r="AU69" i="43" l="1"/>
  <c r="AU70" i="43" s="1"/>
  <c r="AS72" i="43"/>
  <c r="AU85" i="43"/>
  <c r="AT85" i="43" s="1"/>
  <c r="AT86" i="43" s="1"/>
  <c r="AU133" i="43"/>
  <c r="AT44" i="43"/>
  <c r="AT73" i="43"/>
  <c r="AT70" i="43"/>
  <c r="AT71" i="43" s="1"/>
  <c r="AS73" i="43" l="1"/>
  <c r="AS70" i="43"/>
  <c r="AS71" i="43" s="1"/>
  <c r="AU71" i="43" s="1"/>
  <c r="AT217" i="43"/>
  <c r="AT235" i="43"/>
  <c r="AT90" i="43"/>
  <c r="AT136" i="43"/>
  <c r="AY25" i="78"/>
  <c r="AZ25" i="78"/>
  <c r="BA25" i="78"/>
  <c r="BB25" i="78"/>
  <c r="BC25" i="78"/>
  <c r="BD25" i="78"/>
  <c r="BE25" i="78"/>
  <c r="BF25" i="78"/>
  <c r="BG25" i="78"/>
  <c r="BH25" i="78"/>
  <c r="BI25" i="78"/>
  <c r="BJ25" i="78"/>
  <c r="BK25" i="78"/>
  <c r="BL25" i="78"/>
  <c r="BM25" i="78"/>
  <c r="AR223" i="43"/>
  <c r="AR226" i="43"/>
  <c r="BC85" i="43"/>
  <c r="BF85" i="43" s="1"/>
  <c r="BI85" i="43" s="1"/>
  <c r="BL85" i="43" s="1"/>
  <c r="BB85" i="43"/>
  <c r="BE85" i="43" s="1"/>
  <c r="AR10" i="78"/>
  <c r="AR15" i="79"/>
  <c r="AR47" i="43"/>
  <c r="AR48" i="43" s="1"/>
  <c r="AP18" i="79"/>
  <c r="AR18" i="79"/>
  <c r="AR25" i="43" s="1"/>
  <c r="AR42" i="43"/>
  <c r="AR41" i="43"/>
  <c r="AQ39" i="43"/>
  <c r="AR22" i="78"/>
  <c r="AO22" i="78"/>
  <c r="AQ21" i="78"/>
  <c r="AQ19" i="78"/>
  <c r="AN21" i="78"/>
  <c r="AN19" i="78"/>
  <c r="AR9" i="78"/>
  <c r="AR16" i="78" s="1"/>
  <c r="AR31" i="43" s="1"/>
  <c r="AQ13" i="78"/>
  <c r="AR14" i="79"/>
  <c r="AR21" i="43" s="1"/>
  <c r="AQ95" i="43"/>
  <c r="AQ96" i="43"/>
  <c r="AQ231" i="43"/>
  <c r="AQ93" i="43" s="1"/>
  <c r="AR94" i="43"/>
  <c r="AR97" i="43" s="1"/>
  <c r="AR87" i="43"/>
  <c r="AQ87" i="43" s="1"/>
  <c r="AR78" i="43"/>
  <c r="AR37" i="43"/>
  <c r="AQ37" i="43" s="1"/>
  <c r="AQ3" i="78"/>
  <c r="AR4" i="78"/>
  <c r="AR6" i="78"/>
  <c r="AU7" i="78" s="1"/>
  <c r="AQ28" i="78"/>
  <c r="AQ32" i="78"/>
  <c r="AR32" i="78"/>
  <c r="AQ34" i="78"/>
  <c r="AR35" i="78"/>
  <c r="AQ41" i="78"/>
  <c r="AR41" i="78"/>
  <c r="AQ42" i="78"/>
  <c r="AR42" i="78"/>
  <c r="AQ44" i="78"/>
  <c r="AR44" i="78"/>
  <c r="AQ45" i="78"/>
  <c r="AR45" i="78"/>
  <c r="AQ56" i="78"/>
  <c r="AR56" i="78"/>
  <c r="AQ57" i="78"/>
  <c r="AR57" i="78"/>
  <c r="AQ58" i="78"/>
  <c r="AR58" i="78"/>
  <c r="AQ3" i="79"/>
  <c r="AR7" i="79"/>
  <c r="AQ27" i="79"/>
  <c r="AQ29" i="79"/>
  <c r="AR30" i="79"/>
  <c r="AQ34" i="79"/>
  <c r="AR34" i="79"/>
  <c r="AQ35" i="79"/>
  <c r="AR35" i="79"/>
  <c r="AQ37" i="79"/>
  <c r="AR37" i="79"/>
  <c r="AQ38" i="79"/>
  <c r="AR38" i="79"/>
  <c r="AQ40" i="79"/>
  <c r="AR40" i="79"/>
  <c r="AQ41" i="79"/>
  <c r="AR41" i="79"/>
  <c r="AQ43" i="79"/>
  <c r="AR43" i="79"/>
  <c r="AQ44" i="79"/>
  <c r="AR44" i="79"/>
  <c r="AQ6" i="43"/>
  <c r="AQ1" i="79" s="1"/>
  <c r="AR6" i="43"/>
  <c r="AR1" i="79" s="1"/>
  <c r="AQ13" i="43"/>
  <c r="AR26" i="43"/>
  <c r="AQ36" i="43"/>
  <c r="AQ79" i="43"/>
  <c r="AQ88" i="43"/>
  <c r="AQ89" i="43"/>
  <c r="AQ99" i="43"/>
  <c r="AR101" i="43"/>
  <c r="AR106" i="43"/>
  <c r="AQ106" i="43" s="1"/>
  <c r="AQ126" i="43" s="1"/>
  <c r="AR107" i="43"/>
  <c r="AQ125" i="43"/>
  <c r="AR125" i="43"/>
  <c r="AR126" i="43"/>
  <c r="AR140" i="43"/>
  <c r="AQ151" i="43"/>
  <c r="AQ152" i="43"/>
  <c r="AQ153" i="43"/>
  <c r="AQ154" i="43"/>
  <c r="AR155" i="43"/>
  <c r="AQ155" i="43" s="1"/>
  <c r="AQ157" i="43"/>
  <c r="AQ158" i="43"/>
  <c r="AQ159" i="43"/>
  <c r="AQ160" i="43"/>
  <c r="AQ161" i="43"/>
  <c r="AR162" i="43"/>
  <c r="AQ165" i="43"/>
  <c r="AQ166" i="43"/>
  <c r="AQ167" i="43"/>
  <c r="AQ168" i="43"/>
  <c r="AQ169" i="43"/>
  <c r="AQ170" i="43"/>
  <c r="AR171" i="43"/>
  <c r="AQ173" i="43"/>
  <c r="AQ174" i="43"/>
  <c r="AQ175" i="43"/>
  <c r="AQ176" i="43"/>
  <c r="AQ177" i="43"/>
  <c r="AQ178" i="43"/>
  <c r="AR179" i="43"/>
  <c r="AQ183" i="43"/>
  <c r="AQ276" i="43" s="1"/>
  <c r="AQ184" i="43"/>
  <c r="AQ185" i="43"/>
  <c r="AQ186" i="43"/>
  <c r="AR187" i="43"/>
  <c r="AR202" i="43"/>
  <c r="AR203" i="43"/>
  <c r="AR204" i="43"/>
  <c r="AR221" i="43"/>
  <c r="AR231" i="43"/>
  <c r="AQ259" i="43"/>
  <c r="AR267" i="43"/>
  <c r="AR276" i="43"/>
  <c r="AR278" i="43"/>
  <c r="AQ283" i="43"/>
  <c r="AR283" i="43"/>
  <c r="AQ284" i="43"/>
  <c r="AR284" i="43"/>
  <c r="AQ285" i="43"/>
  <c r="AR285" i="43"/>
  <c r="AT10" i="78" l="1"/>
  <c r="AT11" i="78" s="1"/>
  <c r="AU11" i="78"/>
  <c r="AU16" i="79"/>
  <c r="AU144" i="43"/>
  <c r="AT15" i="79"/>
  <c r="AT7" i="79"/>
  <c r="AQ6" i="78"/>
  <c r="AT7" i="78" s="1"/>
  <c r="AT4" i="78"/>
  <c r="AS220" i="43"/>
  <c r="AS223" i="43" s="1"/>
  <c r="AU220" i="43"/>
  <c r="AU136" i="43"/>
  <c r="AU37" i="78"/>
  <c r="AU36" i="78"/>
  <c r="AR72" i="43"/>
  <c r="AQ58" i="43"/>
  <c r="AS138" i="43"/>
  <c r="AQ22" i="78"/>
  <c r="AR144" i="43"/>
  <c r="AR22" i="43"/>
  <c r="AR23" i="43" s="1"/>
  <c r="AQ25" i="78"/>
  <c r="AR109" i="43"/>
  <c r="AU110" i="43" s="1"/>
  <c r="AR48" i="78"/>
  <c r="AR11" i="78"/>
  <c r="AQ94" i="43"/>
  <c r="AR90" i="43"/>
  <c r="AR27" i="43"/>
  <c r="AQ35" i="78"/>
  <c r="AT37" i="78" s="1"/>
  <c r="AT36" i="78" s="1"/>
  <c r="AR20" i="78"/>
  <c r="BH85" i="43"/>
  <c r="BK85" i="43" s="1"/>
  <c r="BM85" i="43" s="1"/>
  <c r="BG85" i="43"/>
  <c r="N30" i="82" s="1"/>
  <c r="AR23" i="78"/>
  <c r="AR24" i="79"/>
  <c r="AR1" i="78"/>
  <c r="AR38" i="43"/>
  <c r="AR16" i="79"/>
  <c r="AR139" i="43" s="1"/>
  <c r="AQ1" i="78"/>
  <c r="AN22" i="78"/>
  <c r="AQ53" i="79"/>
  <c r="AQ48" i="78"/>
  <c r="AR53" i="79"/>
  <c r="AQ18" i="79"/>
  <c r="AR58" i="43"/>
  <c r="AR14" i="78"/>
  <c r="AQ179" i="43"/>
  <c r="AR127" i="43"/>
  <c r="AR128" i="43" s="1"/>
  <c r="AQ127" i="43"/>
  <c r="AQ129" i="43" s="1"/>
  <c r="AQ131" i="43" s="1"/>
  <c r="AR120" i="43"/>
  <c r="AR122" i="43" s="1"/>
  <c r="AQ120" i="43"/>
  <c r="AQ26" i="43"/>
  <c r="AQ30" i="79"/>
  <c r="AQ107" i="43"/>
  <c r="AQ116" i="43" s="1"/>
  <c r="AR116" i="43"/>
  <c r="AU115" i="43" s="1"/>
  <c r="AU118" i="43" s="1"/>
  <c r="AU119" i="43" s="1"/>
  <c r="AR180" i="43"/>
  <c r="AR205" i="43"/>
  <c r="AQ171" i="43"/>
  <c r="AQ162" i="43"/>
  <c r="AQ163" i="43" s="1"/>
  <c r="AR163" i="43"/>
  <c r="AS215" i="43" s="1"/>
  <c r="AQ187" i="43"/>
  <c r="AR189" i="43" s="1"/>
  <c r="BJ85" i="43" l="1"/>
  <c r="AU139" i="43"/>
  <c r="AU26" i="79"/>
  <c r="AR271" i="43"/>
  <c r="AU24" i="43"/>
  <c r="AQ14" i="78"/>
  <c r="AQ10" i="43"/>
  <c r="AT54" i="43" s="1"/>
  <c r="AT144" i="43"/>
  <c r="AT141" i="43" s="1"/>
  <c r="AT16" i="79"/>
  <c r="AU38" i="78"/>
  <c r="AS225" i="43"/>
  <c r="AS226" i="43" s="1"/>
  <c r="AT262" i="43"/>
  <c r="AT263" i="43"/>
  <c r="AT220" i="43"/>
  <c r="AS206" i="43"/>
  <c r="AS80" i="43" s="1"/>
  <c r="AU206" i="43"/>
  <c r="AU80" i="43" s="1"/>
  <c r="AR212" i="43"/>
  <c r="AS115" i="43"/>
  <c r="AS118" i="43" s="1"/>
  <c r="AS119" i="43" s="1"/>
  <c r="AR211" i="43"/>
  <c r="AR210" i="43"/>
  <c r="AS216" i="43" s="1"/>
  <c r="AQ180" i="43"/>
  <c r="AQ181" i="43" s="1"/>
  <c r="AR30" i="43"/>
  <c r="AR112" i="43"/>
  <c r="AR113" i="43"/>
  <c r="AQ109" i="43"/>
  <c r="AQ212" i="43" s="1"/>
  <c r="AR17" i="78"/>
  <c r="AR181" i="43"/>
  <c r="AR209" i="43" s="1"/>
  <c r="AR215" i="43"/>
  <c r="AQ225" i="43"/>
  <c r="AQ122" i="43"/>
  <c r="AE6" i="82"/>
  <c r="P7" i="82" s="1"/>
  <c r="Z57" i="82"/>
  <c r="Z25" i="82"/>
  <c r="Z30" i="82"/>
  <c r="Z38" i="82"/>
  <c r="Z43" i="82"/>
  <c r="Z50" i="82"/>
  <c r="Z54" i="82"/>
  <c r="Z59" i="82"/>
  <c r="Y25" i="82"/>
  <c r="L22" i="82"/>
  <c r="L41" i="82"/>
  <c r="AQ64" i="43" l="1"/>
  <c r="AT139" i="43"/>
  <c r="AS209" i="43"/>
  <c r="AT142" i="43"/>
  <c r="AU141" i="43"/>
  <c r="AU142" i="43" s="1"/>
  <c r="AT264" i="43"/>
  <c r="AS239" i="43"/>
  <c r="AS252" i="43" s="1"/>
  <c r="AT226" i="43"/>
  <c r="AT239" i="43" s="1"/>
  <c r="AT80" i="43"/>
  <c r="AQ210" i="43"/>
  <c r="AR216" i="43" s="1"/>
  <c r="AQ211" i="43"/>
  <c r="AQ209" i="43"/>
  <c r="AR31" i="79"/>
  <c r="AR28" i="79"/>
  <c r="AR188" i="43"/>
  <c r="AQ188" i="43"/>
  <c r="BA85" i="43"/>
  <c r="L30" i="82" s="1"/>
  <c r="BD85" i="43"/>
  <c r="M30" i="82" s="1"/>
  <c r="AS254" i="43" l="1"/>
  <c r="AV241" i="43"/>
  <c r="AS253" i="43"/>
  <c r="AT253" i="43"/>
  <c r="AT252" i="43"/>
  <c r="AT254" i="43"/>
  <c r="AP48" i="43"/>
  <c r="AQ48" i="43" s="1"/>
  <c r="AP47" i="43"/>
  <c r="AQ47" i="43" s="1"/>
  <c r="AN48" i="43"/>
  <c r="AO140" i="43"/>
  <c r="AP49" i="43" l="1"/>
  <c r="AN18" i="79"/>
  <c r="AO10" i="78"/>
  <c r="AO15" i="79"/>
  <c r="AP15" i="79"/>
  <c r="AQ15" i="79" s="1"/>
  <c r="AP10" i="78"/>
  <c r="AQ10" i="78" s="1"/>
  <c r="AP9" i="78"/>
  <c r="AP14" i="79"/>
  <c r="AP4" i="78"/>
  <c r="AP6" i="78"/>
  <c r="AP22" i="78"/>
  <c r="AP25" i="78"/>
  <c r="AR25" i="78" s="1"/>
  <c r="AP32" i="78"/>
  <c r="AP35" i="78"/>
  <c r="AP41" i="78"/>
  <c r="AP42" i="78"/>
  <c r="AP44" i="78"/>
  <c r="AP45" i="78"/>
  <c r="AP56" i="78"/>
  <c r="AP57" i="78"/>
  <c r="AP58" i="78"/>
  <c r="AP7" i="79"/>
  <c r="AP11" i="79"/>
  <c r="AS12" i="79" s="1"/>
  <c r="AP30" i="79"/>
  <c r="AP34" i="79"/>
  <c r="AP35" i="79"/>
  <c r="AP37" i="79"/>
  <c r="AP38" i="79"/>
  <c r="AP40" i="79"/>
  <c r="AP41" i="79"/>
  <c r="AP43" i="79"/>
  <c r="AP44" i="79"/>
  <c r="AP6" i="43"/>
  <c r="AP1" i="78" s="1"/>
  <c r="AP25" i="43"/>
  <c r="AP26" i="43"/>
  <c r="AP38" i="43"/>
  <c r="AP45" i="43"/>
  <c r="AP78" i="43"/>
  <c r="AQ78" i="43" s="1"/>
  <c r="AP90" i="43"/>
  <c r="AP106" i="43"/>
  <c r="AP107" i="43"/>
  <c r="AP120" i="43"/>
  <c r="AP125" i="43"/>
  <c r="AP126" i="43"/>
  <c r="AP137" i="43"/>
  <c r="AR137" i="43" s="1"/>
  <c r="AP140" i="43"/>
  <c r="AP155" i="43"/>
  <c r="AP162" i="43"/>
  <c r="AP171" i="43"/>
  <c r="AP179" i="43"/>
  <c r="AP187" i="43"/>
  <c r="AP202" i="43"/>
  <c r="AP203" i="43"/>
  <c r="AP204" i="43"/>
  <c r="AP217" i="43"/>
  <c r="AP231" i="43"/>
  <c r="AP235" i="43"/>
  <c r="AP246" i="43"/>
  <c r="AS248" i="43" s="1"/>
  <c r="AP259" i="43"/>
  <c r="AP276" i="43"/>
  <c r="AP278" i="43"/>
  <c r="AP283" i="43"/>
  <c r="AP284" i="43"/>
  <c r="AP285" i="43"/>
  <c r="Y63" i="82"/>
  <c r="Z64" i="82" s="1"/>
  <c r="Y67" i="82"/>
  <c r="Y65" i="82"/>
  <c r="Y60" i="82"/>
  <c r="Z61" i="82" s="1"/>
  <c r="Y30" i="82"/>
  <c r="Y38" i="82"/>
  <c r="Y43" i="82"/>
  <c r="Y50" i="82"/>
  <c r="Y54" i="82"/>
  <c r="Y59" i="82"/>
  <c r="K41" i="82"/>
  <c r="K22" i="82"/>
  <c r="AP14" i="78" l="1"/>
  <c r="AS7" i="78"/>
  <c r="AS57" i="43"/>
  <c r="AS36" i="78"/>
  <c r="AS37" i="78"/>
  <c r="AQ14" i="79"/>
  <c r="AP24" i="79"/>
  <c r="AP16" i="78"/>
  <c r="AQ16" i="78" s="1"/>
  <c r="AQ9" i="78"/>
  <c r="AP129" i="43"/>
  <c r="AQ38" i="43"/>
  <c r="AQ144" i="43"/>
  <c r="AP127" i="43"/>
  <c r="AP128" i="43" s="1"/>
  <c r="AP144" i="43"/>
  <c r="AP109" i="43"/>
  <c r="AS110" i="43" s="1"/>
  <c r="AP1" i="79"/>
  <c r="AP16" i="79"/>
  <c r="AP11" i="78"/>
  <c r="AP22" i="43"/>
  <c r="AP93" i="43"/>
  <c r="AP21" i="43"/>
  <c r="AP53" i="79"/>
  <c r="AP48" i="78"/>
  <c r="AP58" i="43"/>
  <c r="AP163" i="43"/>
  <c r="AP10" i="43"/>
  <c r="AP9" i="43"/>
  <c r="AS53" i="43" s="1"/>
  <c r="AP19" i="79"/>
  <c r="AS20" i="79" s="1"/>
  <c r="AP27" i="43"/>
  <c r="AP180" i="43"/>
  <c r="AP116" i="43"/>
  <c r="AQ115" i="43" s="1"/>
  <c r="AQ118" i="43" s="1"/>
  <c r="AQ119" i="43" s="1"/>
  <c r="AP205" i="43"/>
  <c r="AP136" i="43"/>
  <c r="AP101" i="43"/>
  <c r="AP277" i="43"/>
  <c r="AP279" i="43" s="1"/>
  <c r="AP234" i="43"/>
  <c r="AP122" i="43"/>
  <c r="AQ24" i="79" l="1"/>
  <c r="AT26" i="79" s="1"/>
  <c r="AS26" i="79"/>
  <c r="AR10" i="43"/>
  <c r="AU54" i="43" s="1"/>
  <c r="AS54" i="43"/>
  <c r="AS21" i="79"/>
  <c r="AS38" i="78"/>
  <c r="AP31" i="43"/>
  <c r="AP61" i="43" s="1"/>
  <c r="AP28" i="79"/>
  <c r="AP131" i="43"/>
  <c r="AR129" i="43"/>
  <c r="AR131" i="43" s="1"/>
  <c r="AQ22" i="43"/>
  <c r="AQ11" i="78"/>
  <c r="AQ23" i="78"/>
  <c r="AQ20" i="78"/>
  <c r="AQ17" i="78"/>
  <c r="AQ21" i="43"/>
  <c r="AQ16" i="79"/>
  <c r="AP97" i="43"/>
  <c r="AP98" i="43" s="1"/>
  <c r="AR98" i="43"/>
  <c r="AP210" i="43"/>
  <c r="AQ110" i="43"/>
  <c r="AP23" i="43"/>
  <c r="AP84" i="43" s="1"/>
  <c r="AP17" i="78"/>
  <c r="AP212" i="43"/>
  <c r="AP211" i="43"/>
  <c r="AP23" i="78"/>
  <c r="AP113" i="43"/>
  <c r="AP30" i="43"/>
  <c r="AQ30" i="43" s="1"/>
  <c r="AP25" i="79"/>
  <c r="AP112" i="43"/>
  <c r="AP31" i="79"/>
  <c r="AP20" i="78"/>
  <c r="AP139" i="43"/>
  <c r="AP138" i="43" s="1"/>
  <c r="AP181" i="43"/>
  <c r="AP64" i="43"/>
  <c r="AP77" i="43"/>
  <c r="AP63" i="43"/>
  <c r="AP11" i="43"/>
  <c r="AS55" i="43" s="1"/>
  <c r="AG36" i="78"/>
  <c r="AI58" i="43"/>
  <c r="BK95" i="43"/>
  <c r="AS22" i="79" l="1"/>
  <c r="AR61" i="43"/>
  <c r="AR64" i="43"/>
  <c r="AQ31" i="43"/>
  <c r="AQ61" i="43" s="1"/>
  <c r="AQ139" i="43"/>
  <c r="AQ23" i="43"/>
  <c r="AP60" i="43"/>
  <c r="AP271" i="43"/>
  <c r="AP270" i="43" s="1"/>
  <c r="AP142" i="43"/>
  <c r="AP141" i="43"/>
  <c r="AP32" i="43"/>
  <c r="AS34" i="43" s="1"/>
  <c r="AP85" i="43"/>
  <c r="AP188" i="43"/>
  <c r="AP198" i="43"/>
  <c r="AP15" i="43"/>
  <c r="AP16" i="43" s="1"/>
  <c r="AP18" i="43"/>
  <c r="AP199" i="43"/>
  <c r="AP195" i="43"/>
  <c r="AP194" i="43"/>
  <c r="AP200" i="43"/>
  <c r="AP193" i="43"/>
  <c r="AP65" i="43"/>
  <c r="AP196" i="43"/>
  <c r="AM25" i="43"/>
  <c r="AM26" i="43"/>
  <c r="AM37" i="43"/>
  <c r="AM38" i="43" s="1"/>
  <c r="AM45" i="43"/>
  <c r="AM47" i="43"/>
  <c r="AM49" i="43" s="1"/>
  <c r="AM78" i="43"/>
  <c r="AM86" i="43"/>
  <c r="AM101" i="43" s="1"/>
  <c r="AM94" i="43"/>
  <c r="AM106" i="43"/>
  <c r="AM107" i="43"/>
  <c r="AM116" i="43" s="1"/>
  <c r="AM120" i="43"/>
  <c r="AM122" i="43" s="1"/>
  <c r="AM125" i="43"/>
  <c r="AM126" i="43"/>
  <c r="AM129" i="43" l="1"/>
  <c r="AM131" i="43" s="1"/>
  <c r="AO38" i="43"/>
  <c r="AQ84" i="43"/>
  <c r="AR84" i="43" s="1"/>
  <c r="AQ271" i="43"/>
  <c r="AQ141" i="43"/>
  <c r="AQ32" i="43"/>
  <c r="AP42" i="43"/>
  <c r="AQ42" i="43" s="1"/>
  <c r="AP41" i="43"/>
  <c r="AP67" i="43" s="1"/>
  <c r="AP69" i="43" s="1"/>
  <c r="AP33" i="43"/>
  <c r="AP62" i="43" s="1"/>
  <c r="AM109" i="43"/>
  <c r="AP110" i="43" s="1"/>
  <c r="AM27" i="43"/>
  <c r="AM127" i="43"/>
  <c r="AM128" i="43" s="1"/>
  <c r="AM90" i="43"/>
  <c r="AQ41" i="43" l="1"/>
  <c r="AT34" i="43"/>
  <c r="AR141" i="43"/>
  <c r="AR142" i="43" s="1"/>
  <c r="AQ142" i="43"/>
  <c r="AR85" i="43"/>
  <c r="AQ85" i="43" s="1"/>
  <c r="AQ86" i="43" s="1"/>
  <c r="AR133" i="43"/>
  <c r="AP72" i="43"/>
  <c r="AP70" i="43" s="1"/>
  <c r="AP71" i="43" s="1"/>
  <c r="AM113" i="43"/>
  <c r="AM77" i="43"/>
  <c r="AM112" i="43"/>
  <c r="AQ90" i="43" l="1"/>
  <c r="AQ136" i="43"/>
  <c r="AP73" i="43"/>
  <c r="AQ72" i="43"/>
  <c r="AN184" i="43"/>
  <c r="AN185" i="43"/>
  <c r="AN186" i="43"/>
  <c r="AN183" i="43"/>
  <c r="AN174" i="43"/>
  <c r="AN175" i="43"/>
  <c r="AN176" i="43"/>
  <c r="AN177" i="43"/>
  <c r="AN173" i="43"/>
  <c r="AN166" i="43"/>
  <c r="AN168" i="43"/>
  <c r="AN169" i="43"/>
  <c r="AN170" i="43"/>
  <c r="AN165" i="43"/>
  <c r="AN158" i="43"/>
  <c r="AN159" i="43"/>
  <c r="AN160" i="43"/>
  <c r="AN161" i="43"/>
  <c r="AN157" i="43"/>
  <c r="AN152" i="43"/>
  <c r="AN151" i="43"/>
  <c r="AO94" i="43"/>
  <c r="AO87" i="43"/>
  <c r="AN87" i="43" s="1"/>
  <c r="AO78" i="43"/>
  <c r="AN78" i="43" s="1"/>
  <c r="AO47" i="43"/>
  <c r="AO37" i="43"/>
  <c r="AO42" i="43"/>
  <c r="AN13" i="43"/>
  <c r="AO6" i="78"/>
  <c r="AR7" i="78" s="1"/>
  <c r="AN34" i="78"/>
  <c r="AN28" i="78"/>
  <c r="AN13" i="78"/>
  <c r="AO9" i="78"/>
  <c r="AN3" i="78"/>
  <c r="AO30" i="79"/>
  <c r="AN29" i="79"/>
  <c r="AN27" i="79"/>
  <c r="AO14" i="79"/>
  <c r="AO7" i="79"/>
  <c r="AN3" i="79"/>
  <c r="AN37" i="43" l="1"/>
  <c r="AO39" i="43"/>
  <c r="AN6" i="78"/>
  <c r="AQ7" i="78" s="1"/>
  <c r="AQ4" i="78"/>
  <c r="AQ7" i="79"/>
  <c r="AR136" i="43"/>
  <c r="AQ140" i="43"/>
  <c r="AN30" i="79"/>
  <c r="AN35" i="78"/>
  <c r="AQ37" i="78" s="1"/>
  <c r="AQ36" i="78" s="1"/>
  <c r="AO72" i="43"/>
  <c r="AN25" i="78"/>
  <c r="AN162" i="43"/>
  <c r="AR138" i="43" l="1"/>
  <c r="AN36" i="43" l="1"/>
  <c r="AN39" i="43" s="1"/>
  <c r="AN95" i="43" l="1"/>
  <c r="AN99" i="43" l="1"/>
  <c r="AY95" i="43"/>
  <c r="BB95" i="43" l="1"/>
  <c r="AZ95" i="43"/>
  <c r="BA95" i="43" s="1"/>
  <c r="BE95" i="43" l="1"/>
  <c r="BC95" i="43"/>
  <c r="BD95" i="43" s="1"/>
  <c r="BF95" i="43" l="1"/>
  <c r="BG95" i="43" s="1"/>
  <c r="BL95" i="43" l="1"/>
  <c r="BM95" i="43" s="1"/>
  <c r="BJ95" i="43"/>
  <c r="AB7" i="82" l="1"/>
  <c r="AN47" i="43" l="1"/>
  <c r="AM217" i="43" l="1"/>
  <c r="AM204" i="43"/>
  <c r="AM203" i="43"/>
  <c r="AM202" i="43"/>
  <c r="AM137" i="43"/>
  <c r="AN94" i="43"/>
  <c r="AM6" i="78"/>
  <c r="AM10" i="43" l="1"/>
  <c r="AM64" i="43" s="1"/>
  <c r="AP7" i="78"/>
  <c r="AM205" i="43"/>
  <c r="AP54" i="43" l="1"/>
  <c r="AM210" i="43"/>
  <c r="AN115" i="43"/>
  <c r="AM35" i="78" l="1"/>
  <c r="AK34" i="78"/>
  <c r="AM32" i="78"/>
  <c r="AM58" i="43" s="1"/>
  <c r="AM25" i="78"/>
  <c r="AM22" i="78"/>
  <c r="AM30" i="79"/>
  <c r="AM10" i="78"/>
  <c r="AN10" i="78" s="1"/>
  <c r="AL10" i="78"/>
  <c r="AM15" i="79"/>
  <c r="AN15" i="79" s="1"/>
  <c r="AM11" i="79"/>
  <c r="AJ11" i="79"/>
  <c r="AM9" i="78"/>
  <c r="AM14" i="79"/>
  <c r="AL15" i="79"/>
  <c r="AJ15" i="79"/>
  <c r="AJ10" i="78"/>
  <c r="AM9" i="43" l="1"/>
  <c r="AM11" i="43" s="1"/>
  <c r="AP55" i="43" s="1"/>
  <c r="AP12" i="79"/>
  <c r="AP36" i="78"/>
  <c r="AP37" i="78"/>
  <c r="AM16" i="79"/>
  <c r="AM21" i="43"/>
  <c r="AN14" i="79"/>
  <c r="AM22" i="43"/>
  <c r="AN9" i="78"/>
  <c r="AJ144" i="43"/>
  <c r="AM11" i="78"/>
  <c r="AM12" i="79"/>
  <c r="AM57" i="43" s="1"/>
  <c r="AM144" i="43"/>
  <c r="AM24" i="79"/>
  <c r="AM19" i="79"/>
  <c r="AP20" i="79" s="1"/>
  <c r="AM63" i="43" l="1"/>
  <c r="AP38" i="78"/>
  <c r="AP21" i="79"/>
  <c r="AP57" i="43"/>
  <c r="AP53" i="43"/>
  <c r="AM23" i="43"/>
  <c r="AM31" i="79"/>
  <c r="AM30" i="43"/>
  <c r="AM65" i="43"/>
  <c r="AM195" i="43"/>
  <c r="AM15" i="43"/>
  <c r="AM16" i="43" s="1"/>
  <c r="AM18" i="43"/>
  <c r="AM139" i="43"/>
  <c r="AM25" i="79"/>
  <c r="AM28" i="79"/>
  <c r="AO25" i="78"/>
  <c r="AP22" i="79" l="1"/>
  <c r="AM60" i="43"/>
  <c r="BA37" i="43"/>
  <c r="BD37" i="43"/>
  <c r="BG37" i="43"/>
  <c r="BJ37" i="43"/>
  <c r="BM37" i="43"/>
  <c r="AZ257" i="43"/>
  <c r="BC257" i="43" s="1"/>
  <c r="BF257" i="43" s="1"/>
  <c r="BI257" i="43" s="1"/>
  <c r="BL257" i="43" s="1"/>
  <c r="AL285" i="43"/>
  <c r="AK285" i="43"/>
  <c r="AL284" i="43"/>
  <c r="AK284" i="43"/>
  <c r="AL283" i="43"/>
  <c r="AK283" i="43"/>
  <c r="AL278" i="43"/>
  <c r="AL276" i="43"/>
  <c r="AL267" i="43"/>
  <c r="AK259" i="43"/>
  <c r="AL257" i="43"/>
  <c r="AL259" i="43" s="1"/>
  <c r="AK246" i="43"/>
  <c r="AJ246" i="43"/>
  <c r="AL245" i="43"/>
  <c r="AL244" i="43"/>
  <c r="AL231" i="43"/>
  <c r="AL226" i="43"/>
  <c r="AK223" i="43"/>
  <c r="AL220" i="43"/>
  <c r="AL204" i="43"/>
  <c r="AL203" i="43"/>
  <c r="AL202" i="43"/>
  <c r="AK186" i="43"/>
  <c r="AK185" i="43"/>
  <c r="AK184" i="43"/>
  <c r="AK183" i="43"/>
  <c r="AK178" i="43"/>
  <c r="AK177" i="43"/>
  <c r="AK176" i="43"/>
  <c r="AK175" i="43"/>
  <c r="AK174" i="43"/>
  <c r="AK173" i="43"/>
  <c r="AK169" i="43"/>
  <c r="AK168" i="43"/>
  <c r="AK167" i="43"/>
  <c r="AK166" i="43"/>
  <c r="AK165" i="43"/>
  <c r="AK161" i="43"/>
  <c r="AK160" i="43"/>
  <c r="AK159" i="43"/>
  <c r="AK158" i="43"/>
  <c r="AK157" i="43"/>
  <c r="AK154" i="43"/>
  <c r="AK153" i="43"/>
  <c r="AK152" i="43"/>
  <c r="AK151" i="43"/>
  <c r="AL170" i="43"/>
  <c r="AK170" i="43" s="1"/>
  <c r="AK99" i="43"/>
  <c r="AL144" i="43"/>
  <c r="AL129" i="43"/>
  <c r="AL131" i="43" s="1"/>
  <c r="AL126" i="43"/>
  <c r="AL125" i="43"/>
  <c r="AL106" i="43"/>
  <c r="AL97" i="43"/>
  <c r="AL86" i="43"/>
  <c r="AK125" i="43"/>
  <c r="AK96" i="43"/>
  <c r="AK95" i="43"/>
  <c r="AK94" i="43"/>
  <c r="AK92" i="43"/>
  <c r="AK278" i="43" s="1"/>
  <c r="AK89" i="43"/>
  <c r="AK88" i="43"/>
  <c r="AK137" i="43" s="1"/>
  <c r="AK84" i="43"/>
  <c r="AK82" i="43"/>
  <c r="AK79" i="43"/>
  <c r="AL87" i="43"/>
  <c r="AK87" i="43" s="1"/>
  <c r="AL78" i="43"/>
  <c r="AL72" i="43"/>
  <c r="AK48" i="43"/>
  <c r="AK47" i="43"/>
  <c r="AL13" i="78"/>
  <c r="AK13" i="78" s="1"/>
  <c r="AK26" i="43" s="1"/>
  <c r="AJ9" i="78"/>
  <c r="AJ11" i="78" s="1"/>
  <c r="AL9" i="78"/>
  <c r="AL14" i="79"/>
  <c r="AL25" i="43"/>
  <c r="AK13" i="43"/>
  <c r="AK38" i="43"/>
  <c r="AK129" i="43" s="1"/>
  <c r="AK131" i="43" s="1"/>
  <c r="AK36" i="43"/>
  <c r="AL37" i="43"/>
  <c r="AL30" i="79"/>
  <c r="AK29" i="79"/>
  <c r="AK27" i="79"/>
  <c r="AK18" i="79"/>
  <c r="AK25" i="43" s="1"/>
  <c r="AK15" i="79"/>
  <c r="AL7" i="79"/>
  <c r="AK9" i="79"/>
  <c r="AK3" i="79"/>
  <c r="AL11" i="79"/>
  <c r="AL12" i="79" s="1"/>
  <c r="AK10" i="78"/>
  <c r="AI26" i="78"/>
  <c r="AL26" i="78"/>
  <c r="AL35" i="78"/>
  <c r="AL32" i="78"/>
  <c r="AL58" i="43" s="1"/>
  <c r="AL22" i="78"/>
  <c r="AK5" i="78"/>
  <c r="AK3" i="78"/>
  <c r="AI25" i="78"/>
  <c r="AK21" i="78"/>
  <c r="AK19" i="78"/>
  <c r="AL6" i="78"/>
  <c r="AL7" i="78" s="1"/>
  <c r="AN7" i="79" l="1"/>
  <c r="AK11" i="79"/>
  <c r="AK9" i="43" s="1"/>
  <c r="AL26" i="43"/>
  <c r="AL27" i="43" s="1"/>
  <c r="AK144" i="43"/>
  <c r="AL19" i="79"/>
  <c r="AL14" i="78"/>
  <c r="AL57" i="43"/>
  <c r="AL90" i="43"/>
  <c r="AL98" i="43" s="1"/>
  <c r="AK22" i="78"/>
  <c r="AK6" i="78"/>
  <c r="AK10" i="43" s="1"/>
  <c r="AK30" i="79"/>
  <c r="AM262" i="43"/>
  <c r="AM263" i="43"/>
  <c r="AK39" i="43"/>
  <c r="AK120" i="43" s="1"/>
  <c r="AK122" i="43" s="1"/>
  <c r="AL101" i="43"/>
  <c r="AK171" i="43"/>
  <c r="AK179" i="43"/>
  <c r="AK187" i="43"/>
  <c r="AL127" i="43"/>
  <c r="AL128" i="43" s="1"/>
  <c r="AK162" i="43"/>
  <c r="AK276" i="43"/>
  <c r="AK155" i="43"/>
  <c r="AL205" i="43"/>
  <c r="AM206" i="43" s="1"/>
  <c r="AM80" i="43" s="1"/>
  <c r="AM81" i="43" s="1"/>
  <c r="AL246" i="43"/>
  <c r="AK27" i="43"/>
  <c r="AK180" i="43" l="1"/>
  <c r="AK14" i="78"/>
  <c r="AK11" i="43"/>
  <c r="AK18" i="43" s="1"/>
  <c r="AK63" i="43"/>
  <c r="AM264" i="43"/>
  <c r="AK64" i="43"/>
  <c r="AK163" i="43"/>
  <c r="AL77" i="43"/>
  <c r="AK77" i="43"/>
  <c r="AK112" i="43"/>
  <c r="AY257" i="43"/>
  <c r="X67" i="82"/>
  <c r="X65" i="82"/>
  <c r="X63" i="82"/>
  <c r="Y64" i="82" s="1"/>
  <c r="X60" i="82"/>
  <c r="Y61" i="82" s="1"/>
  <c r="X59" i="82"/>
  <c r="X54" i="82"/>
  <c r="X50" i="82"/>
  <c r="X43" i="82"/>
  <c r="X38" i="82"/>
  <c r="X30" i="82"/>
  <c r="X25" i="82"/>
  <c r="J41" i="82"/>
  <c r="J22" i="82"/>
  <c r="AK181" i="43" l="1"/>
  <c r="AK188" i="43" s="1"/>
  <c r="AK65" i="43"/>
  <c r="AK195" i="43"/>
  <c r="AK204" i="43" s="1"/>
  <c r="AK200" i="43"/>
  <c r="AK193" i="43"/>
  <c r="AK202" i="43" s="1"/>
  <c r="AK198" i="43"/>
  <c r="AK199" i="43"/>
  <c r="AK15" i="43"/>
  <c r="AK16" i="43" s="1"/>
  <c r="AK194" i="43"/>
  <c r="BB257" i="43"/>
  <c r="AK203" i="43" l="1"/>
  <c r="AK205" i="43" s="1"/>
  <c r="AK196" i="43" s="1"/>
  <c r="BE257" i="43"/>
  <c r="BH257" i="43" l="1"/>
  <c r="BA81" i="43"/>
  <c r="BD81" i="43"/>
  <c r="BG81" i="43"/>
  <c r="BJ81" i="43"/>
  <c r="BM81" i="43"/>
  <c r="BK257" i="43" l="1"/>
  <c r="AD16" i="79" l="1"/>
  <c r="AI10" i="78"/>
  <c r="AI15" i="79"/>
  <c r="AG15" i="79" s="1"/>
  <c r="AH15" i="79" s="1"/>
  <c r="AI144" i="43" l="1"/>
  <c r="AG10" i="78"/>
  <c r="AN16" i="79"/>
  <c r="AH10" i="78" l="1"/>
  <c r="AO16" i="79"/>
  <c r="AN144" i="43" l="1"/>
  <c r="AO144" i="43" l="1"/>
  <c r="AO11" i="78"/>
  <c r="AW144" i="43" l="1"/>
  <c r="AX144" i="43" l="1"/>
  <c r="AC58" i="78"/>
  <c r="AB58" i="78"/>
  <c r="AA58" i="78"/>
  <c r="Z58" i="78"/>
  <c r="Y58" i="78"/>
  <c r="X58" i="78"/>
  <c r="W58" i="78"/>
  <c r="V58" i="78"/>
  <c r="U58" i="78"/>
  <c r="T58" i="78"/>
  <c r="AC57" i="78"/>
  <c r="AB57" i="78"/>
  <c r="AA57" i="78"/>
  <c r="Z57" i="78"/>
  <c r="Y57" i="78"/>
  <c r="X57" i="78"/>
  <c r="W57" i="78"/>
  <c r="V57" i="78"/>
  <c r="U57" i="78"/>
  <c r="T57" i="78"/>
  <c r="AC56" i="78"/>
  <c r="AB56" i="78"/>
  <c r="AA56" i="78"/>
  <c r="Z56" i="78"/>
  <c r="Y56" i="78"/>
  <c r="X56" i="78"/>
  <c r="W56" i="78"/>
  <c r="V56" i="78"/>
  <c r="U56" i="78"/>
  <c r="T56" i="78"/>
  <c r="BB35" i="75"/>
  <c r="AY35" i="75"/>
  <c r="AV35" i="75"/>
  <c r="AS35" i="75"/>
  <c r="AP35" i="75"/>
  <c r="AM35" i="75"/>
  <c r="BB37" i="75"/>
  <c r="AY37" i="75"/>
  <c r="AV37" i="75"/>
  <c r="AS37" i="75"/>
  <c r="AP37" i="75"/>
  <c r="AM37" i="75"/>
  <c r="AK56" i="78"/>
  <c r="BA15" i="79" l="1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AF44" i="78"/>
  <c r="AE44" i="78"/>
  <c r="AD44" i="78"/>
  <c r="AC44" i="78"/>
  <c r="AB44" i="78"/>
  <c r="AA44" i="78"/>
  <c r="Z44" i="78"/>
  <c r="Y44" i="78"/>
  <c r="X44" i="78"/>
  <c r="W44" i="78"/>
  <c r="V44" i="78"/>
  <c r="U44" i="78"/>
  <c r="T44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AF41" i="78"/>
  <c r="AE41" i="78"/>
  <c r="AD41" i="78"/>
  <c r="AC41" i="78"/>
  <c r="AB41" i="78"/>
  <c r="AA41" i="78"/>
  <c r="Z41" i="78"/>
  <c r="Y41" i="78"/>
  <c r="X41" i="78"/>
  <c r="W41" i="78"/>
  <c r="V41" i="78"/>
  <c r="U41" i="78"/>
  <c r="T41" i="78"/>
  <c r="AY144" i="43" l="1"/>
  <c r="AC48" i="78"/>
  <c r="Y48" i="78"/>
  <c r="Z48" i="78"/>
  <c r="T48" i="78"/>
  <c r="X48" i="78"/>
  <c r="W48" i="78"/>
  <c r="U48" i="78"/>
  <c r="AA48" i="78"/>
  <c r="V48" i="78"/>
  <c r="AB48" i="78"/>
  <c r="AH223" i="43"/>
  <c r="BL30" i="78"/>
  <c r="AY44" i="79"/>
  <c r="AZ44" i="79"/>
  <c r="BA10" i="78" l="1"/>
  <c r="BA144" i="43" s="1"/>
  <c r="BA30" i="78"/>
  <c r="BB14" i="79"/>
  <c r="AZ144" i="43" l="1"/>
  <c r="BD144" i="43"/>
  <c r="BB144" i="43"/>
  <c r="BD30" i="78"/>
  <c r="BM58" i="78"/>
  <c r="BL58" i="78"/>
  <c r="BK58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O58" i="78"/>
  <c r="AN58" i="78"/>
  <c r="AM58" i="78"/>
  <c r="AL58" i="78"/>
  <c r="AK58" i="78"/>
  <c r="AJ58" i="78"/>
  <c r="AI58" i="78"/>
  <c r="AH58" i="78"/>
  <c r="AG58" i="78"/>
  <c r="AF58" i="78"/>
  <c r="AE58" i="78"/>
  <c r="BM57" i="78"/>
  <c r="BL57" i="78"/>
  <c r="BK57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O57" i="78"/>
  <c r="AN57" i="78"/>
  <c r="AM57" i="78"/>
  <c r="AL57" i="78"/>
  <c r="AK57" i="78"/>
  <c r="AJ57" i="78"/>
  <c r="AI57" i="78"/>
  <c r="AH57" i="78"/>
  <c r="AG57" i="78"/>
  <c r="AF57" i="78"/>
  <c r="AE57" i="78"/>
  <c r="BM56" i="78"/>
  <c r="BL56" i="78"/>
  <c r="BK56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O56" i="78"/>
  <c r="AN56" i="78"/>
  <c r="AM56" i="78"/>
  <c r="AL56" i="78"/>
  <c r="AJ56" i="78"/>
  <c r="AI56" i="78"/>
  <c r="AH56" i="78"/>
  <c r="AG56" i="78"/>
  <c r="AF56" i="78"/>
  <c r="AE56" i="78"/>
  <c r="AD58" i="78"/>
  <c r="AD57" i="78"/>
  <c r="AD56" i="78"/>
  <c r="BC144" i="43" l="1"/>
  <c r="BE144" i="43"/>
  <c r="BE14" i="79"/>
  <c r="AE48" i="78"/>
  <c r="AF48" i="78"/>
  <c r="AD48" i="78"/>
  <c r="BG30" i="78"/>
  <c r="BM285" i="43"/>
  <c r="BL285" i="43"/>
  <c r="BK285" i="43"/>
  <c r="BJ285" i="43"/>
  <c r="BI285" i="43"/>
  <c r="BH285" i="43"/>
  <c r="BG285" i="43"/>
  <c r="BF285" i="43"/>
  <c r="BE285" i="43"/>
  <c r="BD285" i="43"/>
  <c r="BC285" i="43"/>
  <c r="BB285" i="43"/>
  <c r="BA285" i="43"/>
  <c r="AZ285" i="43"/>
  <c r="AY285" i="43"/>
  <c r="BM284" i="43"/>
  <c r="BL284" i="43"/>
  <c r="BK284" i="43"/>
  <c r="BJ284" i="43"/>
  <c r="BI284" i="43"/>
  <c r="BH284" i="43"/>
  <c r="BG284" i="43"/>
  <c r="BF284" i="43"/>
  <c r="BE284" i="43"/>
  <c r="BD284" i="43"/>
  <c r="BC284" i="43"/>
  <c r="BB284" i="43"/>
  <c r="BA284" i="43"/>
  <c r="AZ284" i="43"/>
  <c r="AY284" i="43"/>
  <c r="BM283" i="43"/>
  <c r="BL283" i="43"/>
  <c r="BK283" i="43"/>
  <c r="BJ283" i="43"/>
  <c r="BI283" i="43"/>
  <c r="BH283" i="43"/>
  <c r="BG283" i="43"/>
  <c r="BF283" i="43"/>
  <c r="BE283" i="43"/>
  <c r="BD283" i="43"/>
  <c r="BC283" i="43"/>
  <c r="BB283" i="43"/>
  <c r="BA283" i="43"/>
  <c r="AZ283" i="43"/>
  <c r="AY283" i="43"/>
  <c r="BM267" i="43"/>
  <c r="BJ267" i="43"/>
  <c r="BG267" i="43"/>
  <c r="BD267" i="43"/>
  <c r="BA267" i="43"/>
  <c r="BL259" i="43"/>
  <c r="BK259" i="43"/>
  <c r="BI259" i="43"/>
  <c r="BH259" i="43"/>
  <c r="BF259" i="43"/>
  <c r="BE259" i="43"/>
  <c r="BC259" i="43"/>
  <c r="BB259" i="43"/>
  <c r="AZ259" i="43"/>
  <c r="AY259" i="43"/>
  <c r="BM231" i="43"/>
  <c r="BL231" i="43"/>
  <c r="BL93" i="43" s="1"/>
  <c r="BK231" i="43"/>
  <c r="BK93" i="43" s="1"/>
  <c r="BJ231" i="43"/>
  <c r="BI231" i="43"/>
  <c r="BI93" i="43" s="1"/>
  <c r="BH231" i="43"/>
  <c r="BH93" i="43" s="1"/>
  <c r="BG231" i="43"/>
  <c r="BF231" i="43"/>
  <c r="BF93" i="43" s="1"/>
  <c r="BE231" i="43"/>
  <c r="BE93" i="43" s="1"/>
  <c r="BD231" i="43"/>
  <c r="BC231" i="43"/>
  <c r="BC93" i="43" s="1"/>
  <c r="BB231" i="43"/>
  <c r="BB93" i="43" s="1"/>
  <c r="BA231" i="43"/>
  <c r="AZ231" i="43"/>
  <c r="AZ93" i="43" s="1"/>
  <c r="AY231" i="43"/>
  <c r="AY93" i="43" s="1"/>
  <c r="BM221" i="43"/>
  <c r="BJ221" i="43"/>
  <c r="BG221" i="43"/>
  <c r="BD221" i="43"/>
  <c r="BA221" i="43"/>
  <c r="BM138" i="43"/>
  <c r="BJ138" i="43"/>
  <c r="BG138" i="43"/>
  <c r="BD138" i="43"/>
  <c r="BA138" i="43"/>
  <c r="BM137" i="43"/>
  <c r="BJ137" i="43"/>
  <c r="BG137" i="43"/>
  <c r="BD137" i="43"/>
  <c r="BA137" i="43"/>
  <c r="BM99" i="43"/>
  <c r="BJ99" i="43"/>
  <c r="BG99" i="43"/>
  <c r="N38" i="82" s="1"/>
  <c r="BD99" i="43"/>
  <c r="M38" i="82" s="1"/>
  <c r="BA99" i="43"/>
  <c r="L38" i="82" s="1"/>
  <c r="BM96" i="43"/>
  <c r="BJ96" i="43"/>
  <c r="BG96" i="43"/>
  <c r="N36" i="82" s="1"/>
  <c r="BD96" i="43"/>
  <c r="M36" i="82" s="1"/>
  <c r="BA96" i="43"/>
  <c r="L36" i="82" s="1"/>
  <c r="BM88" i="43"/>
  <c r="K73" i="83" s="1"/>
  <c r="BJ88" i="43"/>
  <c r="J73" i="83" s="1"/>
  <c r="BG88" i="43"/>
  <c r="I73" i="83" s="1"/>
  <c r="BD88" i="43"/>
  <c r="H73" i="83" s="1"/>
  <c r="BA88" i="43"/>
  <c r="G73" i="83" s="1"/>
  <c r="BM87" i="43"/>
  <c r="BJ87" i="43"/>
  <c r="BG87" i="43"/>
  <c r="BD87" i="43"/>
  <c r="BA87" i="43"/>
  <c r="BM48" i="43"/>
  <c r="BJ48" i="43"/>
  <c r="BG48" i="43"/>
  <c r="BD48" i="43"/>
  <c r="BA48" i="43"/>
  <c r="BM47" i="43"/>
  <c r="BJ47" i="43"/>
  <c r="BG47" i="43"/>
  <c r="BD47" i="43"/>
  <c r="BA47" i="43"/>
  <c r="BL38" i="43"/>
  <c r="BK38" i="43"/>
  <c r="BI38" i="43"/>
  <c r="BH38" i="43"/>
  <c r="BF38" i="43"/>
  <c r="BE38" i="43"/>
  <c r="BC38" i="43"/>
  <c r="BB38" i="43"/>
  <c r="AZ38" i="43"/>
  <c r="AY38" i="43"/>
  <c r="BL36" i="43"/>
  <c r="BK36" i="43"/>
  <c r="BI36" i="43"/>
  <c r="BH36" i="43"/>
  <c r="BF36" i="43"/>
  <c r="BE36" i="43"/>
  <c r="BC36" i="43"/>
  <c r="BB36" i="43"/>
  <c r="AZ36" i="43"/>
  <c r="AY36" i="43"/>
  <c r="BM45" i="78"/>
  <c r="BL45" i="78"/>
  <c r="BK45" i="78"/>
  <c r="BM44" i="78"/>
  <c r="BL44" i="78"/>
  <c r="BK44" i="78"/>
  <c r="BM42" i="78"/>
  <c r="BL42" i="78"/>
  <c r="BK42" i="78"/>
  <c r="BM41" i="78"/>
  <c r="BL41" i="78"/>
  <c r="BK41" i="78"/>
  <c r="BM31" i="78"/>
  <c r="BJ45" i="78"/>
  <c r="BI45" i="78"/>
  <c r="BH45" i="78"/>
  <c r="BJ44" i="78"/>
  <c r="BI44" i="78"/>
  <c r="BH44" i="78"/>
  <c r="BJ42" i="78"/>
  <c r="BI42" i="78"/>
  <c r="BH42" i="78"/>
  <c r="BJ41" i="78"/>
  <c r="BI41" i="78"/>
  <c r="BH41" i="78"/>
  <c r="BJ31" i="78"/>
  <c r="BG45" i="78"/>
  <c r="BF45" i="78"/>
  <c r="BE45" i="78"/>
  <c r="BG44" i="78"/>
  <c r="BF44" i="78"/>
  <c r="BE44" i="78"/>
  <c r="BG42" i="78"/>
  <c r="BF42" i="78"/>
  <c r="BE42" i="78"/>
  <c r="BG41" i="78"/>
  <c r="BF41" i="78"/>
  <c r="BE41" i="78"/>
  <c r="BG31" i="78"/>
  <c r="BD45" i="78"/>
  <c r="BC45" i="78"/>
  <c r="BB45" i="78"/>
  <c r="BD44" i="78"/>
  <c r="BC44" i="78"/>
  <c r="BB44" i="78"/>
  <c r="BD42" i="78"/>
  <c r="BC42" i="78"/>
  <c r="BB42" i="78"/>
  <c r="BD41" i="78"/>
  <c r="BC41" i="78"/>
  <c r="BB41" i="78"/>
  <c r="BD31" i="78"/>
  <c r="BA45" i="78"/>
  <c r="AZ45" i="78"/>
  <c r="AY45" i="78"/>
  <c r="BA44" i="78"/>
  <c r="AZ44" i="78"/>
  <c r="AY44" i="78"/>
  <c r="BA42" i="78"/>
  <c r="AZ42" i="78"/>
  <c r="AY42" i="78"/>
  <c r="BA41" i="78"/>
  <c r="AZ41" i="78"/>
  <c r="AY41" i="78"/>
  <c r="BA31" i="78"/>
  <c r="BM44" i="79"/>
  <c r="BL44" i="79"/>
  <c r="BK44" i="79"/>
  <c r="BM43" i="79"/>
  <c r="BL43" i="79"/>
  <c r="BK43" i="79"/>
  <c r="BM41" i="79"/>
  <c r="BL41" i="79"/>
  <c r="BK41" i="79"/>
  <c r="BM40" i="79"/>
  <c r="BL40" i="79"/>
  <c r="BK40" i="79"/>
  <c r="BM38" i="79"/>
  <c r="BL38" i="79"/>
  <c r="BK38" i="79"/>
  <c r="BM37" i="79"/>
  <c r="BL37" i="79"/>
  <c r="BK37" i="79"/>
  <c r="BM35" i="79"/>
  <c r="BL35" i="79"/>
  <c r="BK35" i="79"/>
  <c r="BM34" i="79"/>
  <c r="BL34" i="79"/>
  <c r="BK34" i="79"/>
  <c r="BM6" i="79"/>
  <c r="BM5" i="79"/>
  <c r="BJ44" i="79"/>
  <c r="BI44" i="79"/>
  <c r="BH44" i="79"/>
  <c r="BJ43" i="79"/>
  <c r="BI43" i="79"/>
  <c r="BH43" i="79"/>
  <c r="BJ41" i="79"/>
  <c r="BI41" i="79"/>
  <c r="BH41" i="79"/>
  <c r="BJ40" i="79"/>
  <c r="BI40" i="79"/>
  <c r="BH40" i="79"/>
  <c r="BJ38" i="79"/>
  <c r="BI38" i="79"/>
  <c r="BH38" i="79"/>
  <c r="BJ37" i="79"/>
  <c r="BI37" i="79"/>
  <c r="BH37" i="79"/>
  <c r="BJ35" i="79"/>
  <c r="BI35" i="79"/>
  <c r="BH35" i="79"/>
  <c r="BJ34" i="79"/>
  <c r="BI34" i="79"/>
  <c r="BH34" i="79"/>
  <c r="BJ6" i="79"/>
  <c r="BJ5" i="79"/>
  <c r="BG44" i="79"/>
  <c r="BF44" i="79"/>
  <c r="BE44" i="79"/>
  <c r="BG43" i="79"/>
  <c r="BF43" i="79"/>
  <c r="BE43" i="79"/>
  <c r="BG41" i="79"/>
  <c r="BF41" i="79"/>
  <c r="BE41" i="79"/>
  <c r="BG40" i="79"/>
  <c r="BF40" i="79"/>
  <c r="BE40" i="79"/>
  <c r="BG38" i="79"/>
  <c r="BF38" i="79"/>
  <c r="BE38" i="79"/>
  <c r="BG37" i="79"/>
  <c r="BF37" i="79"/>
  <c r="BE37" i="79"/>
  <c r="BG35" i="79"/>
  <c r="BF35" i="79"/>
  <c r="BE35" i="79"/>
  <c r="BG34" i="79"/>
  <c r="BF34" i="79"/>
  <c r="BE34" i="79"/>
  <c r="BG6" i="79"/>
  <c r="BG5" i="79"/>
  <c r="BD44" i="79"/>
  <c r="BC44" i="79"/>
  <c r="BB44" i="79"/>
  <c r="BD43" i="79"/>
  <c r="BC43" i="79"/>
  <c r="BB43" i="79"/>
  <c r="BD41" i="79"/>
  <c r="BC41" i="79"/>
  <c r="BB41" i="79"/>
  <c r="BD40" i="79"/>
  <c r="BC40" i="79"/>
  <c r="BB40" i="79"/>
  <c r="BD38" i="79"/>
  <c r="BC38" i="79"/>
  <c r="BB38" i="79"/>
  <c r="BD37" i="79"/>
  <c r="BC37" i="79"/>
  <c r="BB37" i="79"/>
  <c r="BD35" i="79"/>
  <c r="BC35" i="79"/>
  <c r="BB35" i="79"/>
  <c r="BD34" i="79"/>
  <c r="BC34" i="79"/>
  <c r="BB34" i="79"/>
  <c r="BD6" i="79"/>
  <c r="BD5" i="79"/>
  <c r="BA44" i="79"/>
  <c r="BA43" i="79"/>
  <c r="AZ43" i="79"/>
  <c r="AY43" i="79"/>
  <c r="BA41" i="79"/>
  <c r="AZ41" i="79"/>
  <c r="AY41" i="79"/>
  <c r="BA40" i="79"/>
  <c r="AZ40" i="79"/>
  <c r="AY40" i="79"/>
  <c r="BA38" i="79"/>
  <c r="AZ38" i="79"/>
  <c r="AY38" i="79"/>
  <c r="BA37" i="79"/>
  <c r="AZ37" i="79"/>
  <c r="AY37" i="79"/>
  <c r="BA35" i="79"/>
  <c r="AZ35" i="79"/>
  <c r="AY35" i="79"/>
  <c r="BA34" i="79"/>
  <c r="AZ34" i="79"/>
  <c r="AY34" i="79"/>
  <c r="BA6" i="79"/>
  <c r="BA5" i="79"/>
  <c r="BM6" i="43"/>
  <c r="BB3" i="75" s="1"/>
  <c r="BL6" i="43"/>
  <c r="BL1" i="79" s="1"/>
  <c r="BK6" i="43"/>
  <c r="BK1" i="78" s="1"/>
  <c r="BJ6" i="43"/>
  <c r="BJ1" i="79" s="1"/>
  <c r="BI6" i="43"/>
  <c r="AX3" i="75" s="1"/>
  <c r="BH6" i="43"/>
  <c r="AW3" i="75" s="1"/>
  <c r="BG6" i="43"/>
  <c r="BG1" i="78" s="1"/>
  <c r="BF6" i="43"/>
  <c r="BF1" i="78" s="1"/>
  <c r="BE6" i="43"/>
  <c r="AT3" i="75" s="1"/>
  <c r="BD6" i="43"/>
  <c r="AS3" i="75" s="1"/>
  <c r="BC6" i="43"/>
  <c r="BC1" i="78" s="1"/>
  <c r="BB6" i="43"/>
  <c r="BB1" i="79" s="1"/>
  <c r="BA6" i="43"/>
  <c r="AP3" i="75" s="1"/>
  <c r="AZ6" i="43"/>
  <c r="AO3" i="75" s="1"/>
  <c r="AY6" i="43"/>
  <c r="AY1" i="78" s="1"/>
  <c r="AY53" i="79" l="1"/>
  <c r="AY4" i="79" s="1"/>
  <c r="N15" i="82"/>
  <c r="BH48" i="78"/>
  <c r="BI48" i="78"/>
  <c r="BI29" i="78" s="1"/>
  <c r="BI32" i="78" s="1"/>
  <c r="BI58" i="43" s="1"/>
  <c r="BF48" i="78"/>
  <c r="BF29" i="78" s="1"/>
  <c r="BF32" i="78" s="1"/>
  <c r="BF58" i="43" s="1"/>
  <c r="BL48" i="78"/>
  <c r="BL29" i="78" s="1"/>
  <c r="BL32" i="78" s="1"/>
  <c r="BL58" i="43" s="1"/>
  <c r="BK48" i="78"/>
  <c r="BK29" i="78" s="1"/>
  <c r="BH29" i="78"/>
  <c r="AS5" i="75"/>
  <c r="AS31" i="75"/>
  <c r="AW1" i="75"/>
  <c r="AW5" i="75"/>
  <c r="AW31" i="75"/>
  <c r="AO5" i="75"/>
  <c r="AO31" i="75"/>
  <c r="AT2" i="75"/>
  <c r="AT5" i="75"/>
  <c r="AT31" i="75"/>
  <c r="AX2" i="75"/>
  <c r="AX5" i="75"/>
  <c r="AX31" i="75"/>
  <c r="BB2" i="75"/>
  <c r="BB5" i="75"/>
  <c r="BB31" i="75"/>
  <c r="AP5" i="75"/>
  <c r="AP31" i="75"/>
  <c r="M15" i="82"/>
  <c r="BD48" i="78"/>
  <c r="BG48" i="78"/>
  <c r="BJ48" i="78"/>
  <c r="L15" i="82"/>
  <c r="BD53" i="79"/>
  <c r="BE53" i="79"/>
  <c r="BE4" i="79" s="1"/>
  <c r="BE7" i="79" s="1"/>
  <c r="BK53" i="79"/>
  <c r="BK4" i="79" s="1"/>
  <c r="BK7" i="79" s="1"/>
  <c r="BH1" i="78"/>
  <c r="AY1" i="79"/>
  <c r="BM93" i="43"/>
  <c r="BF144" i="43"/>
  <c r="AQ3" i="75"/>
  <c r="BC1" i="79"/>
  <c r="BL1" i="78"/>
  <c r="AU3" i="75"/>
  <c r="AZ1" i="78"/>
  <c r="BG93" i="43"/>
  <c r="N34" i="82" s="1"/>
  <c r="AY3" i="75"/>
  <c r="BD1" i="78"/>
  <c r="BD93" i="43"/>
  <c r="M34" i="82" s="1"/>
  <c r="AY7" i="79"/>
  <c r="BL53" i="79"/>
  <c r="BL4" i="79" s="1"/>
  <c r="BL7" i="79" s="1"/>
  <c r="BA48" i="78"/>
  <c r="BM48" i="78"/>
  <c r="BB53" i="79"/>
  <c r="BB4" i="79" s="1"/>
  <c r="BB7" i="79" s="1"/>
  <c r="BG53" i="79"/>
  <c r="BH53" i="79"/>
  <c r="BH4" i="79" s="1"/>
  <c r="BH7" i="79" s="1"/>
  <c r="BM53" i="79"/>
  <c r="AZ53" i="79"/>
  <c r="AZ4" i="79" s="1"/>
  <c r="AZ7" i="79" s="1"/>
  <c r="BA53" i="79"/>
  <c r="BC53" i="79"/>
  <c r="BC4" i="79" s="1"/>
  <c r="BC7" i="79" s="1"/>
  <c r="BJ93" i="43"/>
  <c r="AN3" i="75"/>
  <c r="AR3" i="75"/>
  <c r="AV3" i="75"/>
  <c r="AZ3" i="75"/>
  <c r="AZ1" i="79"/>
  <c r="BD1" i="79"/>
  <c r="BF1" i="79"/>
  <c r="BH1" i="79"/>
  <c r="BA1" i="78"/>
  <c r="BE1" i="78"/>
  <c r="BI1" i="78"/>
  <c r="BM1" i="78"/>
  <c r="BA3" i="75"/>
  <c r="BA1" i="79"/>
  <c r="BG1" i="79"/>
  <c r="BI1" i="79"/>
  <c r="BK1" i="79"/>
  <c r="BB1" i="78"/>
  <c r="BJ1" i="78"/>
  <c r="BE1" i="79"/>
  <c r="BM1" i="79"/>
  <c r="BB13" i="75"/>
  <c r="BB16" i="75"/>
  <c r="BC48" i="78"/>
  <c r="BC29" i="78" s="1"/>
  <c r="BC32" i="78" s="1"/>
  <c r="BK30" i="78"/>
  <c r="BM30" i="78" s="1"/>
  <c r="BJ30" i="78"/>
  <c r="AU44" i="75"/>
  <c r="AT44" i="75"/>
  <c r="BB11" i="75"/>
  <c r="AX44" i="75"/>
  <c r="AZ44" i="75"/>
  <c r="BB24" i="75"/>
  <c r="AW44" i="75"/>
  <c r="AY24" i="75"/>
  <c r="AY43" i="75"/>
  <c r="BA44" i="75"/>
  <c r="BB43" i="75"/>
  <c r="AX17" i="75"/>
  <c r="AV43" i="75"/>
  <c r="AY18" i="75"/>
  <c r="AX12" i="75"/>
  <c r="AX19" i="75"/>
  <c r="AY13" i="75"/>
  <c r="BA22" i="75"/>
  <c r="AV24" i="75"/>
  <c r="AW19" i="75"/>
  <c r="AZ12" i="75"/>
  <c r="AX9" i="75"/>
  <c r="AY8" i="75"/>
  <c r="AZ9" i="75"/>
  <c r="AZ14" i="75"/>
  <c r="BB18" i="75"/>
  <c r="AX7" i="75"/>
  <c r="AX14" i="75"/>
  <c r="AW22" i="75"/>
  <c r="AZ7" i="75"/>
  <c r="BA9" i="75"/>
  <c r="BA17" i="75"/>
  <c r="AZ19" i="75"/>
  <c r="AV6" i="75"/>
  <c r="AV8" i="75"/>
  <c r="AV11" i="75"/>
  <c r="AV13" i="75"/>
  <c r="AV16" i="75"/>
  <c r="AV18" i="75"/>
  <c r="AW14" i="75"/>
  <c r="AW17" i="75"/>
  <c r="BB6" i="75"/>
  <c r="BB8" i="75"/>
  <c r="BA12" i="75"/>
  <c r="AZ22" i="75"/>
  <c r="AW9" i="75"/>
  <c r="AW12" i="75"/>
  <c r="AX22" i="75"/>
  <c r="BA7" i="75"/>
  <c r="AZ17" i="75"/>
  <c r="BA19" i="75"/>
  <c r="AW7" i="75"/>
  <c r="BA14" i="75"/>
  <c r="AY48" i="78"/>
  <c r="AY29" i="78" s="1"/>
  <c r="AY32" i="78" s="1"/>
  <c r="AY58" i="43" s="1"/>
  <c r="BI53" i="79"/>
  <c r="BI4" i="79" s="1"/>
  <c r="BI7" i="79" s="1"/>
  <c r="AZ48" i="78"/>
  <c r="AZ29" i="78" s="1"/>
  <c r="BB48" i="78"/>
  <c r="BB29" i="78" s="1"/>
  <c r="BF53" i="79"/>
  <c r="BF4" i="79" s="1"/>
  <c r="BF7" i="79" s="1"/>
  <c r="BJ53" i="79"/>
  <c r="BE48" i="78"/>
  <c r="BE29" i="78" s="1"/>
  <c r="BJ38" i="43"/>
  <c r="BI39" i="43"/>
  <c r="BI78" i="43" s="1"/>
  <c r="BM38" i="43"/>
  <c r="AZ39" i="43"/>
  <c r="AZ78" i="43" s="1"/>
  <c r="BF39" i="43"/>
  <c r="BF78" i="43" s="1"/>
  <c r="BE39" i="43"/>
  <c r="BE78" i="43" s="1"/>
  <c r="BB39" i="43"/>
  <c r="BB78" i="43" s="1"/>
  <c r="BG36" i="43"/>
  <c r="BJ36" i="43"/>
  <c r="BG38" i="43"/>
  <c r="BL39" i="43"/>
  <c r="BL78" i="43" s="1"/>
  <c r="BD38" i="43"/>
  <c r="BA38" i="43"/>
  <c r="BD36" i="43"/>
  <c r="BA36" i="43"/>
  <c r="BM36" i="43"/>
  <c r="BH39" i="43"/>
  <c r="BH78" i="43" s="1"/>
  <c r="AY39" i="43"/>
  <c r="AY78" i="43" s="1"/>
  <c r="BC39" i="43"/>
  <c r="BC78" i="43" s="1"/>
  <c r="BK39" i="43"/>
  <c r="BK78" i="43" s="1"/>
  <c r="BA93" i="43"/>
  <c r="L34" i="82" s="1"/>
  <c r="AT1" i="75"/>
  <c r="AW2" i="75"/>
  <c r="AU38" i="75"/>
  <c r="BA38" i="75"/>
  <c r="BB21" i="75"/>
  <c r="AX1" i="75"/>
  <c r="AY6" i="75"/>
  <c r="AY11" i="75"/>
  <c r="AY16" i="75"/>
  <c r="AY21" i="75"/>
  <c r="AV21" i="75"/>
  <c r="BC58" i="43" l="1"/>
  <c r="AZ2" i="75"/>
  <c r="AZ5" i="75"/>
  <c r="AZ31" i="75"/>
  <c r="AV5" i="75"/>
  <c r="AV31" i="75"/>
  <c r="AQ31" i="75"/>
  <c r="AQ5" i="75"/>
  <c r="AR5" i="75"/>
  <c r="AR31" i="75"/>
  <c r="AU2" i="75"/>
  <c r="AU31" i="75"/>
  <c r="AU5" i="75"/>
  <c r="BA5" i="75"/>
  <c r="BA31" i="75"/>
  <c r="AN5" i="75"/>
  <c r="AN31" i="75"/>
  <c r="AY2" i="75"/>
  <c r="AY31" i="75"/>
  <c r="AY5" i="75"/>
  <c r="AY9" i="75"/>
  <c r="AY14" i="75"/>
  <c r="BB19" i="75"/>
  <c r="BM29" i="78"/>
  <c r="BA4" i="79"/>
  <c r="BJ29" i="78"/>
  <c r="AU1" i="75"/>
  <c r="BG144" i="43"/>
  <c r="BD4" i="79"/>
  <c r="BJ4" i="79"/>
  <c r="BB14" i="75"/>
  <c r="AY17" i="75"/>
  <c r="BH144" i="43"/>
  <c r="BH14" i="79"/>
  <c r="AZ1" i="75"/>
  <c r="BA1" i="75"/>
  <c r="BA2" i="75"/>
  <c r="BG29" i="78"/>
  <c r="BM4" i="79"/>
  <c r="BJ78" i="43"/>
  <c r="BM39" i="43"/>
  <c r="AV2" i="75"/>
  <c r="BD29" i="78"/>
  <c r="BJ39" i="43"/>
  <c r="AY7" i="75"/>
  <c r="AY44" i="75"/>
  <c r="BB32" i="78"/>
  <c r="BB58" i="43" s="1"/>
  <c r="BE32" i="78"/>
  <c r="BE58" i="43" s="1"/>
  <c r="BK32" i="78"/>
  <c r="BK58" i="43" s="1"/>
  <c r="BA29" i="78"/>
  <c r="BH32" i="78"/>
  <c r="BH58" i="43" s="1"/>
  <c r="BB44" i="75"/>
  <c r="BB9" i="75"/>
  <c r="AY12" i="75"/>
  <c r="AY22" i="75"/>
  <c r="BB12" i="75"/>
  <c r="BB7" i="75"/>
  <c r="BB22" i="75"/>
  <c r="BB17" i="75"/>
  <c r="AY19" i="75"/>
  <c r="BG4" i="79"/>
  <c r="BG78" i="43"/>
  <c r="N24" i="82" s="1"/>
  <c r="BA78" i="43"/>
  <c r="L24" i="82" s="1"/>
  <c r="BG39" i="43"/>
  <c r="BD78" i="43"/>
  <c r="M24" i="82" s="1"/>
  <c r="BA39" i="43"/>
  <c r="BM78" i="43"/>
  <c r="BD39" i="43"/>
  <c r="AX36" i="75"/>
  <c r="AX38" i="75"/>
  <c r="AT36" i="75"/>
  <c r="BA36" i="75"/>
  <c r="AW36" i="75"/>
  <c r="AU36" i="75"/>
  <c r="N11" i="82" l="1"/>
  <c r="M11" i="82"/>
  <c r="L11" i="82"/>
  <c r="AT38" i="75"/>
  <c r="AZ36" i="75"/>
  <c r="AZ38" i="75"/>
  <c r="AW38" i="75"/>
  <c r="BJ144" i="43" l="1"/>
  <c r="BI144" i="43"/>
  <c r="BK144" i="43"/>
  <c r="BK14" i="79"/>
  <c r="AR44" i="75"/>
  <c r="AQ44" i="75"/>
  <c r="AS43" i="75"/>
  <c r="AR38" i="75"/>
  <c r="AQ38" i="75"/>
  <c r="AR36" i="75"/>
  <c r="AQ36" i="75"/>
  <c r="AU22" i="75"/>
  <c r="AU19" i="75"/>
  <c r="AT19" i="75"/>
  <c r="AU14" i="75"/>
  <c r="AT14" i="75"/>
  <c r="AU9" i="75"/>
  <c r="AT9" i="75"/>
  <c r="AS2" i="75"/>
  <c r="AR1" i="75"/>
  <c r="AQ1" i="75"/>
  <c r="AO44" i="75"/>
  <c r="AN44" i="75"/>
  <c r="AP43" i="75"/>
  <c r="AO38" i="75"/>
  <c r="AN38" i="75"/>
  <c r="AO36" i="75"/>
  <c r="AN36" i="75"/>
  <c r="AP2" i="75"/>
  <c r="AO1" i="75"/>
  <c r="AR22" i="75" l="1"/>
  <c r="AP13" i="75"/>
  <c r="BL144" i="43"/>
  <c r="AP8" i="75"/>
  <c r="AP24" i="75"/>
  <c r="AP18" i="75"/>
  <c r="AS44" i="75"/>
  <c r="AV44" i="75"/>
  <c r="AS24" i="75"/>
  <c r="AQ7" i="75"/>
  <c r="AT7" i="75"/>
  <c r="AQ12" i="75"/>
  <c r="AT12" i="75"/>
  <c r="AQ17" i="75"/>
  <c r="AT17" i="75"/>
  <c r="AQ22" i="75"/>
  <c r="AT22" i="75"/>
  <c r="AS6" i="75"/>
  <c r="AU7" i="75"/>
  <c r="AS8" i="75"/>
  <c r="AS11" i="75"/>
  <c r="AU12" i="75"/>
  <c r="AS13" i="75"/>
  <c r="AS16" i="75"/>
  <c r="AU17" i="75"/>
  <c r="AS18" i="75"/>
  <c r="AP6" i="75"/>
  <c r="AP11" i="75"/>
  <c r="AP16" i="75"/>
  <c r="AR7" i="75"/>
  <c r="AQ9" i="75"/>
  <c r="AR12" i="75"/>
  <c r="AQ14" i="75"/>
  <c r="AR17" i="75"/>
  <c r="AQ19" i="75"/>
  <c r="AR9" i="75"/>
  <c r="AR14" i="75"/>
  <c r="AR19" i="75"/>
  <c r="AN2" i="75"/>
  <c r="AN1" i="75"/>
  <c r="AO2" i="75"/>
  <c r="AQ2" i="75"/>
  <c r="AR2" i="75"/>
  <c r="AS21" i="75"/>
  <c r="AP21" i="75"/>
  <c r="BM144" i="43" l="1"/>
  <c r="AS19" i="75"/>
  <c r="AV19" i="75"/>
  <c r="AS7" i="75"/>
  <c r="AV7" i="75"/>
  <c r="AS12" i="75"/>
  <c r="AV12" i="75"/>
  <c r="AS22" i="75"/>
  <c r="AV22" i="75"/>
  <c r="AS17" i="75"/>
  <c r="AV17" i="75"/>
  <c r="AS9" i="75"/>
  <c r="AV9" i="75"/>
  <c r="AS14" i="75"/>
  <c r="AV14" i="75"/>
  <c r="S25" i="82" l="1"/>
  <c r="S30" i="82"/>
  <c r="S38" i="82"/>
  <c r="S43" i="82"/>
  <c r="S50" i="82"/>
  <c r="S54" i="82"/>
  <c r="S59" i="82"/>
  <c r="S60" i="82"/>
  <c r="S61" i="82"/>
  <c r="S63" i="82"/>
  <c r="S64" i="82"/>
  <c r="S65" i="82"/>
  <c r="S67" i="82"/>
  <c r="E14" i="82"/>
  <c r="E22" i="82"/>
  <c r="E25" i="82"/>
  <c r="E28" i="82"/>
  <c r="E29" i="82"/>
  <c r="E30" i="82"/>
  <c r="E33" i="82"/>
  <c r="E34" i="82"/>
  <c r="E36" i="82"/>
  <c r="E38" i="82"/>
  <c r="E41" i="82"/>
  <c r="E42" i="82"/>
  <c r="E43" i="82"/>
  <c r="E44" i="82"/>
  <c r="E45" i="82"/>
  <c r="E47" i="82"/>
  <c r="E48" i="82"/>
  <c r="E49" i="82"/>
  <c r="E50" i="82"/>
  <c r="E53" i="82"/>
  <c r="E54" i="82"/>
  <c r="E55" i="82"/>
  <c r="E56" i="82"/>
  <c r="E58" i="82"/>
  <c r="E59" i="82"/>
  <c r="E60" i="82"/>
  <c r="E65" i="82"/>
  <c r="E66" i="82"/>
  <c r="E67" i="82"/>
  <c r="E68" i="82"/>
  <c r="E61" i="82" l="1"/>
  <c r="E51" i="82"/>
  <c r="E57" i="82"/>
  <c r="E46" i="82"/>
  <c r="E69" i="82"/>
  <c r="E52" i="82" l="1"/>
  <c r="E62" i="82"/>
  <c r="E63" i="82" l="1"/>
  <c r="AO22" i="75"/>
  <c r="AN22" i="75"/>
  <c r="AO19" i="75"/>
  <c r="AN19" i="75"/>
  <c r="AO17" i="75"/>
  <c r="AN17" i="75"/>
  <c r="AO14" i="75"/>
  <c r="AN14" i="75"/>
  <c r="AO12" i="75"/>
  <c r="AN12" i="75"/>
  <c r="AO9" i="75"/>
  <c r="AN9" i="75"/>
  <c r="AO7" i="75"/>
  <c r="AN7" i="75"/>
  <c r="AL22" i="75" l="1"/>
  <c r="AK22" i="75"/>
  <c r="AI22" i="75"/>
  <c r="AH22" i="75"/>
  <c r="AF22" i="75"/>
  <c r="AE22" i="75"/>
  <c r="AC22" i="75"/>
  <c r="AB22" i="75"/>
  <c r="Z22" i="75"/>
  <c r="Y22" i="75"/>
  <c r="W22" i="75"/>
  <c r="V22" i="75"/>
  <c r="T22" i="75"/>
  <c r="S22" i="75"/>
  <c r="Q22" i="75"/>
  <c r="P22" i="75"/>
  <c r="N22" i="75"/>
  <c r="M22" i="75"/>
  <c r="K22" i="75"/>
  <c r="J22" i="75"/>
  <c r="H22" i="75"/>
  <c r="G22" i="75"/>
  <c r="AM21" i="75"/>
  <c r="AP22" i="75" s="1"/>
  <c r="AJ21" i="75"/>
  <c r="AG21" i="75"/>
  <c r="AD21" i="75"/>
  <c r="AA21" i="75"/>
  <c r="X21" i="75"/>
  <c r="U21" i="75"/>
  <c r="R21" i="75"/>
  <c r="O21" i="75"/>
  <c r="L21" i="75"/>
  <c r="I21" i="75"/>
  <c r="F21" i="75"/>
  <c r="R22" i="75" l="1"/>
  <c r="AJ22" i="75"/>
  <c r="AM22" i="75"/>
  <c r="U22" i="75"/>
  <c r="X22" i="75"/>
  <c r="I22" i="75"/>
  <c r="AA22" i="75"/>
  <c r="L22" i="75"/>
  <c r="AD22" i="75"/>
  <c r="O22" i="75"/>
  <c r="AG22" i="75"/>
  <c r="AO44" i="79"/>
  <c r="AN44" i="79"/>
  <c r="AM44" i="79"/>
  <c r="AL44" i="79"/>
  <c r="AK44" i="79"/>
  <c r="AJ44" i="79"/>
  <c r="AI44" i="79"/>
  <c r="AH44" i="79"/>
  <c r="AG44" i="79"/>
  <c r="AF44" i="79"/>
  <c r="AE44" i="79"/>
  <c r="AD44" i="79"/>
  <c r="AC44" i="79"/>
  <c r="AB44" i="79"/>
  <c r="AA44" i="79"/>
  <c r="Z44" i="79"/>
  <c r="Y44" i="79"/>
  <c r="X44" i="79"/>
  <c r="W44" i="79"/>
  <c r="V44" i="79"/>
  <c r="U44" i="79"/>
  <c r="T44" i="79"/>
  <c r="S44" i="79"/>
  <c r="R44" i="79"/>
  <c r="Q44" i="79"/>
  <c r="AO40" i="79"/>
  <c r="AN40" i="79"/>
  <c r="AM40" i="79"/>
  <c r="AL40" i="79"/>
  <c r="AK40" i="79"/>
  <c r="AJ40" i="79"/>
  <c r="AI40" i="79"/>
  <c r="AH40" i="79"/>
  <c r="AG40" i="79"/>
  <c r="AF40" i="79"/>
  <c r="AE40" i="79"/>
  <c r="AD40" i="79"/>
  <c r="AC40" i="79"/>
  <c r="AB40" i="79"/>
  <c r="AA40" i="79"/>
  <c r="Z40" i="79"/>
  <c r="Y40" i="79"/>
  <c r="X40" i="79"/>
  <c r="W40" i="79"/>
  <c r="V40" i="79"/>
  <c r="U40" i="79"/>
  <c r="T40" i="79"/>
  <c r="S40" i="79"/>
  <c r="R40" i="79"/>
  <c r="Q40" i="79"/>
  <c r="P40" i="79"/>
  <c r="AO34" i="79"/>
  <c r="AN34" i="79"/>
  <c r="AM34" i="79"/>
  <c r="AL34" i="79"/>
  <c r="AK34" i="79"/>
  <c r="AJ34" i="79"/>
  <c r="AI34" i="79"/>
  <c r="AH34" i="79"/>
  <c r="AG34" i="79"/>
  <c r="AF34" i="79"/>
  <c r="AE34" i="79"/>
  <c r="AD34" i="79"/>
  <c r="AC34" i="79"/>
  <c r="AB34" i="79"/>
  <c r="AA34" i="79"/>
  <c r="Z34" i="79"/>
  <c r="Y34" i="79"/>
  <c r="X34" i="79"/>
  <c r="W34" i="79"/>
  <c r="V34" i="79"/>
  <c r="U34" i="79"/>
  <c r="T34" i="79"/>
  <c r="S34" i="79"/>
  <c r="R34" i="79"/>
  <c r="Q34" i="79"/>
  <c r="P34" i="79"/>
  <c r="AO37" i="79"/>
  <c r="AN37" i="79"/>
  <c r="AM37" i="79"/>
  <c r="AL37" i="79"/>
  <c r="AK37" i="79"/>
  <c r="AJ37" i="79"/>
  <c r="AI37" i="79"/>
  <c r="AH37" i="79"/>
  <c r="AG37" i="79"/>
  <c r="AF37" i="79"/>
  <c r="AE37" i="79"/>
  <c r="AD37" i="79"/>
  <c r="AC37" i="79"/>
  <c r="AB37" i="79"/>
  <c r="AA37" i="79"/>
  <c r="Z37" i="79"/>
  <c r="Y37" i="79"/>
  <c r="X37" i="79"/>
  <c r="W37" i="79"/>
  <c r="V37" i="79"/>
  <c r="U37" i="79"/>
  <c r="T37" i="79"/>
  <c r="S37" i="79"/>
  <c r="R37" i="79"/>
  <c r="Q37" i="79"/>
  <c r="P37" i="79"/>
  <c r="AO43" i="79"/>
  <c r="AN43" i="79"/>
  <c r="AM43" i="79"/>
  <c r="AL43" i="79"/>
  <c r="AK43" i="79"/>
  <c r="AJ43" i="79"/>
  <c r="AI43" i="79"/>
  <c r="AH43" i="79"/>
  <c r="AG43" i="79"/>
  <c r="AF43" i="79"/>
  <c r="AE43" i="79"/>
  <c r="AD43" i="79"/>
  <c r="AC43" i="79"/>
  <c r="AB43" i="79"/>
  <c r="AA43" i="79"/>
  <c r="Z43" i="79"/>
  <c r="Y43" i="79"/>
  <c r="X43" i="79"/>
  <c r="W43" i="79"/>
  <c r="V43" i="79"/>
  <c r="U43" i="79"/>
  <c r="T43" i="79"/>
  <c r="S43" i="79"/>
  <c r="R43" i="79"/>
  <c r="Q43" i="79"/>
  <c r="P43" i="79"/>
  <c r="AO45" i="78" l="1"/>
  <c r="AN45" i="78"/>
  <c r="AM45" i="78"/>
  <c r="AL45" i="78"/>
  <c r="AK45" i="78"/>
  <c r="AJ45" i="78"/>
  <c r="AI45" i="78"/>
  <c r="AH45" i="78"/>
  <c r="AG45" i="78"/>
  <c r="AG44" i="78"/>
  <c r="AH44" i="78"/>
  <c r="AI44" i="78"/>
  <c r="AJ44" i="78"/>
  <c r="AK44" i="78"/>
  <c r="AL44" i="78"/>
  <c r="AM44" i="78"/>
  <c r="AN44" i="78"/>
  <c r="AO44" i="78"/>
  <c r="C14" i="82" l="1"/>
  <c r="D14" i="82"/>
  <c r="AJ37" i="43" l="1"/>
  <c r="AK37" i="43" s="1"/>
  <c r="AJ39" i="43" l="1"/>
  <c r="AJ140" i="43" l="1"/>
  <c r="AJ137" i="43"/>
  <c r="AL137" i="43" s="1"/>
  <c r="AJ129" i="43"/>
  <c r="AJ131" i="43" s="1"/>
  <c r="AJ126" i="43"/>
  <c r="AJ125" i="43"/>
  <c r="AJ107" i="43"/>
  <c r="AJ116" i="43" s="1"/>
  <c r="AJ106" i="43"/>
  <c r="AJ204" i="43"/>
  <c r="AJ203" i="43"/>
  <c r="AJ202" i="43"/>
  <c r="AJ179" i="43"/>
  <c r="AJ170" i="43"/>
  <c r="AJ78" i="43"/>
  <c r="AK78" i="43" s="1"/>
  <c r="AF47" i="43"/>
  <c r="AJ49" i="43"/>
  <c r="AJ30" i="79"/>
  <c r="AJ19" i="79"/>
  <c r="AJ14" i="79"/>
  <c r="AJ7" i="79"/>
  <c r="AJ24" i="79" l="1"/>
  <c r="AJ31" i="79" s="1"/>
  <c r="AJ16" i="79"/>
  <c r="AM21" i="79"/>
  <c r="AM20" i="79"/>
  <c r="AF48" i="43"/>
  <c r="E15" i="82" s="1"/>
  <c r="E16" i="82" s="1"/>
  <c r="AJ109" i="43"/>
  <c r="AM110" i="43" s="1"/>
  <c r="AJ127" i="43"/>
  <c r="AJ128" i="43" s="1"/>
  <c r="AJ205" i="43"/>
  <c r="AK206" i="43" s="1"/>
  <c r="AJ42" i="78"/>
  <c r="AJ48" i="78" s="1"/>
  <c r="AJ41" i="78"/>
  <c r="AJ25" i="78"/>
  <c r="AJ22" i="78"/>
  <c r="AJ6" i="78"/>
  <c r="AM22" i="79" l="1"/>
  <c r="AJ25" i="79"/>
  <c r="AJ28" i="79"/>
  <c r="AK115" i="43"/>
  <c r="AF9" i="79"/>
  <c r="AE9" i="79" s="1"/>
  <c r="AI9" i="79"/>
  <c r="AH9" i="79" s="1"/>
  <c r="AG11" i="79"/>
  <c r="AJ12" i="79" s="1"/>
  <c r="AG6" i="78"/>
  <c r="AF5" i="78"/>
  <c r="AI5" i="78"/>
  <c r="F14" i="82"/>
  <c r="G54" i="43"/>
  <c r="F54" i="43"/>
  <c r="E54" i="43"/>
  <c r="D54" i="43"/>
  <c r="AC54" i="43"/>
  <c r="AB54" i="43"/>
  <c r="AA54" i="43"/>
  <c r="Z54" i="43"/>
  <c r="Y54" i="43"/>
  <c r="X54" i="43"/>
  <c r="W54" i="43"/>
  <c r="V54" i="43"/>
  <c r="U54" i="43"/>
  <c r="T54" i="43"/>
  <c r="S54" i="43"/>
  <c r="R54" i="43"/>
  <c r="Q54" i="43"/>
  <c r="P54" i="43"/>
  <c r="O54" i="43"/>
  <c r="N54" i="43"/>
  <c r="M54" i="43"/>
  <c r="L54" i="43"/>
  <c r="K54" i="43"/>
  <c r="H54" i="43"/>
  <c r="J54" i="43"/>
  <c r="I54" i="43"/>
  <c r="C54" i="43"/>
  <c r="AC61" i="43"/>
  <c r="AB61" i="43"/>
  <c r="AA61" i="43"/>
  <c r="Z61" i="43"/>
  <c r="Y61" i="43"/>
  <c r="X61" i="43"/>
  <c r="W61" i="43"/>
  <c r="V61" i="43"/>
  <c r="U61" i="43"/>
  <c r="T61" i="43"/>
  <c r="S61" i="43"/>
  <c r="R61" i="43"/>
  <c r="Q61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C61" i="43"/>
  <c r="AC64" i="43"/>
  <c r="AB64" i="43"/>
  <c r="AA64" i="43"/>
  <c r="Z64" i="43"/>
  <c r="Y64" i="43"/>
  <c r="X64" i="43"/>
  <c r="W64" i="43"/>
  <c r="V64" i="43"/>
  <c r="U64" i="43"/>
  <c r="T64" i="43"/>
  <c r="S64" i="43"/>
  <c r="R64" i="43"/>
  <c r="Q64" i="43"/>
  <c r="P64" i="43"/>
  <c r="O64" i="43"/>
  <c r="N64" i="43"/>
  <c r="M64" i="43"/>
  <c r="L64" i="43"/>
  <c r="K64" i="43"/>
  <c r="J64" i="43"/>
  <c r="I64" i="43"/>
  <c r="H64" i="43"/>
  <c r="G64" i="43"/>
  <c r="F64" i="43"/>
  <c r="E64" i="43"/>
  <c r="D64" i="43"/>
  <c r="C64" i="43"/>
  <c r="AK28" i="78" l="1"/>
  <c r="AJ35" i="78"/>
  <c r="AG235" i="43"/>
  <c r="AF235" i="43"/>
  <c r="AD235" i="43"/>
  <c r="AC235" i="43"/>
  <c r="AA235" i="43"/>
  <c r="Z235" i="43"/>
  <c r="X235" i="43"/>
  <c r="W235" i="43"/>
  <c r="U235" i="43"/>
  <c r="T235" i="43"/>
  <c r="R235" i="43"/>
  <c r="Q235" i="43"/>
  <c r="O235" i="43"/>
  <c r="N235" i="43"/>
  <c r="L235" i="43"/>
  <c r="K235" i="43"/>
  <c r="I235" i="43"/>
  <c r="H235" i="43"/>
  <c r="F235" i="43"/>
  <c r="E235" i="43"/>
  <c r="C235" i="43"/>
  <c r="AI235" i="43"/>
  <c r="AG45" i="43"/>
  <c r="AF45" i="43"/>
  <c r="AD45" i="43"/>
  <c r="AC45" i="43"/>
  <c r="AA45" i="43"/>
  <c r="Z45" i="43"/>
  <c r="X45" i="43"/>
  <c r="W45" i="43"/>
  <c r="U45" i="43"/>
  <c r="T45" i="43"/>
  <c r="R45" i="43"/>
  <c r="Q45" i="43"/>
  <c r="O45" i="43"/>
  <c r="N45" i="43"/>
  <c r="L45" i="43"/>
  <c r="K45" i="43"/>
  <c r="I45" i="43"/>
  <c r="H45" i="43"/>
  <c r="F45" i="43"/>
  <c r="AI45" i="43"/>
  <c r="AI39" i="43"/>
  <c r="AF39" i="43"/>
  <c r="E11" i="82" s="1"/>
  <c r="AD39" i="43"/>
  <c r="AC39" i="43"/>
  <c r="AA39" i="43"/>
  <c r="Z39" i="43"/>
  <c r="X39" i="43"/>
  <c r="W39" i="43"/>
  <c r="U39" i="43"/>
  <c r="T39" i="43"/>
  <c r="R39" i="43"/>
  <c r="Q39" i="43"/>
  <c r="O39" i="43"/>
  <c r="N39" i="43"/>
  <c r="L39" i="43"/>
  <c r="K39" i="43"/>
  <c r="I39" i="43"/>
  <c r="H39" i="43"/>
  <c r="F39" i="43"/>
  <c r="E39" i="43"/>
  <c r="C39" i="43"/>
  <c r="AG39" i="43"/>
  <c r="AH13" i="43"/>
  <c r="AM37" i="78" l="1"/>
  <c r="AM36" i="78"/>
  <c r="AK35" i="78"/>
  <c r="V38" i="43"/>
  <c r="S38" i="43"/>
  <c r="P38" i="43"/>
  <c r="M38" i="43"/>
  <c r="J38" i="43"/>
  <c r="G38" i="43"/>
  <c r="D38" i="43"/>
  <c r="AM38" i="78" l="1"/>
  <c r="K36" i="82"/>
  <c r="J36" i="82"/>
  <c r="AO96" i="43"/>
  <c r="AC30" i="79" l="1"/>
  <c r="AG14" i="79"/>
  <c r="AG16" i="79" l="1"/>
  <c r="AG24" i="79"/>
  <c r="E225" i="43"/>
  <c r="C225" i="43"/>
  <c r="C220" i="43"/>
  <c r="W244" i="43"/>
  <c r="T244" i="43"/>
  <c r="Q244" i="43"/>
  <c r="N244" i="43"/>
  <c r="V259" i="43"/>
  <c r="U259" i="43"/>
  <c r="S259" i="43"/>
  <c r="R259" i="43"/>
  <c r="P259" i="43"/>
  <c r="O259" i="43"/>
  <c r="M259" i="43"/>
  <c r="L259" i="43"/>
  <c r="J259" i="43"/>
  <c r="I259" i="43"/>
  <c r="G259" i="43"/>
  <c r="F259" i="43"/>
  <c r="D259" i="43"/>
  <c r="C259" i="43"/>
  <c r="AI257" i="43"/>
  <c r="AF257" i="43"/>
  <c r="AC257" i="43"/>
  <c r="Z257" i="43"/>
  <c r="W257" i="43"/>
  <c r="W259" i="43" s="1"/>
  <c r="T257" i="43"/>
  <c r="T259" i="43" s="1"/>
  <c r="Q257" i="43"/>
  <c r="Q259" i="43" s="1"/>
  <c r="N257" i="43"/>
  <c r="N259" i="43" s="1"/>
  <c r="K244" i="43"/>
  <c r="K257" i="43"/>
  <c r="K259" i="43" s="1"/>
  <c r="H257" i="43"/>
  <c r="H259" i="43" s="1"/>
  <c r="E257" i="43"/>
  <c r="E259" i="43" s="1"/>
  <c r="H245" i="43"/>
  <c r="H244" i="43"/>
  <c r="J87" i="43"/>
  <c r="G87" i="43"/>
  <c r="D87" i="43"/>
  <c r="V87" i="43"/>
  <c r="S87" i="43"/>
  <c r="Y89" i="43"/>
  <c r="V89" i="43"/>
  <c r="S89" i="43"/>
  <c r="P89" i="43"/>
  <c r="M89" i="43"/>
  <c r="J89" i="43"/>
  <c r="G89" i="43"/>
  <c r="D89" i="43"/>
  <c r="AH96" i="43"/>
  <c r="AE96" i="43"/>
  <c r="AB96" i="43"/>
  <c r="Y96" i="43"/>
  <c r="V96" i="43"/>
  <c r="S96" i="43"/>
  <c r="P96" i="43"/>
  <c r="M96" i="43"/>
  <c r="J96" i="43"/>
  <c r="G96" i="43"/>
  <c r="D96" i="43"/>
  <c r="AB95" i="43"/>
  <c r="Y95" i="43"/>
  <c r="V95" i="43"/>
  <c r="S95" i="43"/>
  <c r="P95" i="43"/>
  <c r="M95" i="43"/>
  <c r="J95" i="43"/>
  <c r="G95" i="43"/>
  <c r="D95" i="43"/>
  <c r="Y93" i="43"/>
  <c r="V93" i="43"/>
  <c r="S93" i="43"/>
  <c r="P93" i="43"/>
  <c r="M93" i="43"/>
  <c r="J93" i="43"/>
  <c r="G93" i="43"/>
  <c r="D93" i="43"/>
  <c r="AE93" i="43"/>
  <c r="T285" i="43"/>
  <c r="S285" i="43"/>
  <c r="R285" i="43"/>
  <c r="T284" i="43"/>
  <c r="S284" i="43"/>
  <c r="R284" i="43"/>
  <c r="T283" i="43"/>
  <c r="S283" i="43"/>
  <c r="R283" i="43"/>
  <c r="T278" i="43"/>
  <c r="R278" i="43"/>
  <c r="Q278" i="43"/>
  <c r="O278" i="43"/>
  <c r="N278" i="43"/>
  <c r="L278" i="43"/>
  <c r="K278" i="43"/>
  <c r="I278" i="43"/>
  <c r="H278" i="43"/>
  <c r="F278" i="43"/>
  <c r="T276" i="43"/>
  <c r="R276" i="43"/>
  <c r="Q276" i="43"/>
  <c r="O276" i="43"/>
  <c r="N276" i="43"/>
  <c r="L276" i="43"/>
  <c r="K276" i="43"/>
  <c r="I276" i="43"/>
  <c r="H276" i="43"/>
  <c r="F276" i="43"/>
  <c r="T267" i="43"/>
  <c r="Q267" i="43"/>
  <c r="N267" i="43"/>
  <c r="K267" i="43"/>
  <c r="H267" i="43"/>
  <c r="F266" i="43"/>
  <c r="F268" i="43" s="1"/>
  <c r="AH246" i="43"/>
  <c r="AG246" i="43"/>
  <c r="AE246" i="43"/>
  <c r="AD246" i="43"/>
  <c r="AB246" i="43"/>
  <c r="AA246" i="43"/>
  <c r="Y246" i="43"/>
  <c r="X246" i="43"/>
  <c r="V246" i="43"/>
  <c r="U246" i="43"/>
  <c r="S246" i="43"/>
  <c r="R246" i="43"/>
  <c r="P246" i="43"/>
  <c r="O246" i="43"/>
  <c r="M246" i="43"/>
  <c r="L246" i="43"/>
  <c r="J246" i="43"/>
  <c r="I246" i="43"/>
  <c r="G246" i="43"/>
  <c r="F246" i="43"/>
  <c r="AI245" i="43"/>
  <c r="AF245" i="43"/>
  <c r="AC245" i="43"/>
  <c r="Z245" i="43"/>
  <c r="W245" i="43"/>
  <c r="T245" i="43"/>
  <c r="Q245" i="43"/>
  <c r="N245" i="43"/>
  <c r="K245" i="43"/>
  <c r="E244" i="43"/>
  <c r="D246" i="43"/>
  <c r="C246" i="43"/>
  <c r="E245" i="43"/>
  <c r="AG94" i="43"/>
  <c r="AH95" i="43"/>
  <c r="AY173" i="43"/>
  <c r="AZ173" i="43" s="1"/>
  <c r="BA173" i="43" s="1"/>
  <c r="BB173" i="43" s="1"/>
  <c r="BC173" i="43" s="1"/>
  <c r="BD173" i="43" s="1"/>
  <c r="BE173" i="43" s="1"/>
  <c r="BF173" i="43" s="1"/>
  <c r="BG173" i="43" s="1"/>
  <c r="BH173" i="43" s="1"/>
  <c r="BI173" i="43" s="1"/>
  <c r="BJ173" i="43" s="1"/>
  <c r="BK173" i="43" s="1"/>
  <c r="BL173" i="43" s="1"/>
  <c r="BM173" i="43" s="1"/>
  <c r="AY166" i="43"/>
  <c r="AZ166" i="43" s="1"/>
  <c r="BA166" i="43" s="1"/>
  <c r="BB166" i="43" s="1"/>
  <c r="BC166" i="43" s="1"/>
  <c r="BD166" i="43" s="1"/>
  <c r="BE166" i="43" s="1"/>
  <c r="BF166" i="43" s="1"/>
  <c r="BG166" i="43" s="1"/>
  <c r="BH166" i="43" s="1"/>
  <c r="BI166" i="43" s="1"/>
  <c r="BJ166" i="43" s="1"/>
  <c r="BK166" i="43" s="1"/>
  <c r="BL166" i="43" s="1"/>
  <c r="BM166" i="43" s="1"/>
  <c r="W140" i="43"/>
  <c r="U140" i="43"/>
  <c r="T140" i="43"/>
  <c r="R140" i="43"/>
  <c r="Q140" i="43"/>
  <c r="O140" i="43"/>
  <c r="N140" i="43"/>
  <c r="L140" i="43"/>
  <c r="K140" i="43"/>
  <c r="I140" i="43"/>
  <c r="H140" i="43"/>
  <c r="F140" i="43"/>
  <c r="E140" i="43"/>
  <c r="C140" i="43"/>
  <c r="W138" i="43"/>
  <c r="T138" i="43"/>
  <c r="Q138" i="43"/>
  <c r="N138" i="43"/>
  <c r="K138" i="43"/>
  <c r="H138" i="43"/>
  <c r="E138" i="43"/>
  <c r="U137" i="43"/>
  <c r="R137" i="43"/>
  <c r="O137" i="43"/>
  <c r="L137" i="43"/>
  <c r="I137" i="43"/>
  <c r="F137" i="43"/>
  <c r="C137" i="43"/>
  <c r="W129" i="43"/>
  <c r="W131" i="43" s="1"/>
  <c r="V129" i="43"/>
  <c r="V131" i="43" s="1"/>
  <c r="U129" i="43"/>
  <c r="U131" i="43" s="1"/>
  <c r="T129" i="43"/>
  <c r="T131" i="43" s="1"/>
  <c r="S129" i="43"/>
  <c r="S131" i="43" s="1"/>
  <c r="R129" i="43"/>
  <c r="R131" i="43" s="1"/>
  <c r="Q129" i="43"/>
  <c r="Q131" i="43" s="1"/>
  <c r="P129" i="43"/>
  <c r="P131" i="43" s="1"/>
  <c r="O129" i="43"/>
  <c r="O131" i="43" s="1"/>
  <c r="N129" i="43"/>
  <c r="N131" i="43" s="1"/>
  <c r="M129" i="43"/>
  <c r="M131" i="43" s="1"/>
  <c r="L129" i="43"/>
  <c r="L131" i="43" s="1"/>
  <c r="K129" i="43"/>
  <c r="K131" i="43" s="1"/>
  <c r="J129" i="43"/>
  <c r="J131" i="43" s="1"/>
  <c r="I129" i="43"/>
  <c r="I131" i="43" s="1"/>
  <c r="H129" i="43"/>
  <c r="H131" i="43" s="1"/>
  <c r="G129" i="43"/>
  <c r="G131" i="43" s="1"/>
  <c r="F129" i="43"/>
  <c r="F131" i="43" s="1"/>
  <c r="E129" i="43"/>
  <c r="E131" i="43" s="1"/>
  <c r="D129" i="43"/>
  <c r="D131" i="43" s="1"/>
  <c r="C129" i="43"/>
  <c r="C131" i="43" s="1"/>
  <c r="W126" i="43"/>
  <c r="U126" i="43"/>
  <c r="T126" i="43"/>
  <c r="R126" i="43"/>
  <c r="Q126" i="43"/>
  <c r="O126" i="43"/>
  <c r="N126" i="43"/>
  <c r="L126" i="43"/>
  <c r="K126" i="43"/>
  <c r="I126" i="43"/>
  <c r="H126" i="43"/>
  <c r="F126" i="43"/>
  <c r="E126" i="43"/>
  <c r="E127" i="43" s="1"/>
  <c r="E128" i="43" s="1"/>
  <c r="C126" i="43"/>
  <c r="C127" i="43" s="1"/>
  <c r="C128" i="43" s="1"/>
  <c r="W125" i="43"/>
  <c r="V125" i="43"/>
  <c r="U125" i="43"/>
  <c r="T125" i="43"/>
  <c r="S125" i="43"/>
  <c r="R125" i="43"/>
  <c r="Q125" i="43"/>
  <c r="P125" i="43"/>
  <c r="O125" i="43"/>
  <c r="N125" i="43"/>
  <c r="M125" i="43"/>
  <c r="L125" i="43"/>
  <c r="K125" i="43"/>
  <c r="J125" i="43"/>
  <c r="I125" i="43"/>
  <c r="H125" i="43"/>
  <c r="G125" i="43"/>
  <c r="F125" i="43"/>
  <c r="D125" i="43"/>
  <c r="F115" i="43"/>
  <c r="H115" i="43" s="1"/>
  <c r="W107" i="43"/>
  <c r="W116" i="43" s="1"/>
  <c r="U107" i="43"/>
  <c r="T107" i="43"/>
  <c r="R107" i="43"/>
  <c r="Q107" i="43"/>
  <c r="O107" i="43"/>
  <c r="N107" i="43"/>
  <c r="L107" i="43"/>
  <c r="K107" i="43"/>
  <c r="I107" i="43"/>
  <c r="H107" i="43"/>
  <c r="F107" i="43"/>
  <c r="W106" i="43"/>
  <c r="V106" i="43" s="1"/>
  <c r="V126" i="43" s="1"/>
  <c r="U106" i="43"/>
  <c r="T106" i="43"/>
  <c r="S106" i="43" s="1"/>
  <c r="S126" i="43" s="1"/>
  <c r="R106" i="43"/>
  <c r="Q106" i="43"/>
  <c r="P106" i="43" s="1"/>
  <c r="P126" i="43" s="1"/>
  <c r="O106" i="43"/>
  <c r="N106" i="43"/>
  <c r="M106" i="43" s="1"/>
  <c r="M126" i="43" s="1"/>
  <c r="L106" i="43"/>
  <c r="K106" i="43"/>
  <c r="J106" i="43" s="1"/>
  <c r="J126" i="43" s="1"/>
  <c r="I106" i="43"/>
  <c r="H106" i="43"/>
  <c r="G106" i="43" s="1"/>
  <c r="G126" i="43" s="1"/>
  <c r="F106" i="43"/>
  <c r="D126" i="43"/>
  <c r="S57" i="43"/>
  <c r="R57" i="43"/>
  <c r="Q57" i="43"/>
  <c r="P57" i="43"/>
  <c r="O57" i="43"/>
  <c r="N57" i="43"/>
  <c r="M57" i="43"/>
  <c r="L57" i="43"/>
  <c r="K57" i="43"/>
  <c r="J57" i="43"/>
  <c r="I57" i="43"/>
  <c r="H57" i="43"/>
  <c r="G57" i="43"/>
  <c r="F57" i="43"/>
  <c r="E57" i="43"/>
  <c r="D57" i="43"/>
  <c r="C57" i="43"/>
  <c r="D13" i="43"/>
  <c r="D44" i="43"/>
  <c r="D235" i="43" s="1"/>
  <c r="D36" i="43"/>
  <c r="G13" i="43"/>
  <c r="J13" i="43"/>
  <c r="G44" i="43"/>
  <c r="G235" i="43" s="1"/>
  <c r="J44" i="43"/>
  <c r="J235" i="43" s="1"/>
  <c r="G36" i="43"/>
  <c r="G39" i="43" s="1"/>
  <c r="J36" i="43"/>
  <c r="M13" i="43"/>
  <c r="P13" i="43"/>
  <c r="S13" i="43"/>
  <c r="V13" i="43"/>
  <c r="P44" i="43"/>
  <c r="P235" i="43" s="1"/>
  <c r="M44" i="43"/>
  <c r="M235" i="43" s="1"/>
  <c r="M36" i="43"/>
  <c r="P36" i="43"/>
  <c r="S44" i="43"/>
  <c r="S235" i="43" s="1"/>
  <c r="W49" i="43"/>
  <c r="U49" i="43"/>
  <c r="T49" i="43"/>
  <c r="T277" i="43" s="1"/>
  <c r="R49" i="43"/>
  <c r="R277" i="43" s="1"/>
  <c r="Q49" i="43"/>
  <c r="Q277" i="43" s="1"/>
  <c r="O49" i="43"/>
  <c r="O277" i="43" s="1"/>
  <c r="N49" i="43"/>
  <c r="N277" i="43" s="1"/>
  <c r="L49" i="43"/>
  <c r="L277" i="43" s="1"/>
  <c r="K49" i="43"/>
  <c r="K277" i="43" s="1"/>
  <c r="I49" i="43"/>
  <c r="I277" i="43" s="1"/>
  <c r="H49" i="43"/>
  <c r="H277" i="43" s="1"/>
  <c r="F49" i="43"/>
  <c r="F277" i="43" s="1"/>
  <c r="E49" i="43"/>
  <c r="C49" i="43"/>
  <c r="S36" i="43"/>
  <c r="V44" i="43"/>
  <c r="V235" i="43" s="1"/>
  <c r="Y44" i="43"/>
  <c r="Y235" i="43" s="1"/>
  <c r="U120" i="43"/>
  <c r="O120" i="43"/>
  <c r="O122" i="43" s="1"/>
  <c r="L120" i="43"/>
  <c r="L122" i="43" s="1"/>
  <c r="I120" i="43"/>
  <c r="F120" i="43"/>
  <c r="F122" i="43" s="1"/>
  <c r="C120" i="43"/>
  <c r="C122" i="43" s="1"/>
  <c r="Y13" i="43"/>
  <c r="AB13" i="43"/>
  <c r="AE13" i="43"/>
  <c r="AK248" i="43" l="1"/>
  <c r="C90" i="83"/>
  <c r="K127" i="43"/>
  <c r="K128" i="43" s="1"/>
  <c r="L127" i="43"/>
  <c r="L128" i="43" s="1"/>
  <c r="U109" i="43"/>
  <c r="U116" i="43" s="1"/>
  <c r="F248" i="43"/>
  <c r="G248" i="43"/>
  <c r="K279" i="43"/>
  <c r="T279" i="43"/>
  <c r="Q279" i="43"/>
  <c r="N246" i="43"/>
  <c r="Y45" i="43"/>
  <c r="S45" i="43"/>
  <c r="G45" i="43"/>
  <c r="V49" i="43"/>
  <c r="V45" i="43"/>
  <c r="J45" i="43"/>
  <c r="M49" i="43"/>
  <c r="M277" i="43" s="1"/>
  <c r="M45" i="43"/>
  <c r="P45" i="43"/>
  <c r="D49" i="43"/>
  <c r="O279" i="43"/>
  <c r="P39" i="43"/>
  <c r="P120" i="43" s="1"/>
  <c r="P122" i="43" s="1"/>
  <c r="I279" i="43"/>
  <c r="M39" i="43"/>
  <c r="M120" i="43" s="1"/>
  <c r="M122" i="43" s="1"/>
  <c r="S39" i="43"/>
  <c r="S120" i="43" s="1"/>
  <c r="S122" i="43" s="1"/>
  <c r="J39" i="43"/>
  <c r="J120" i="43" s="1"/>
  <c r="J122" i="43" s="1"/>
  <c r="D39" i="43"/>
  <c r="D120" i="43" s="1"/>
  <c r="D122" i="43" s="1"/>
  <c r="J49" i="43"/>
  <c r="J277" i="43" s="1"/>
  <c r="Q246" i="43"/>
  <c r="W127" i="43"/>
  <c r="W128" i="43" s="1"/>
  <c r="M127" i="43"/>
  <c r="M128" i="43" s="1"/>
  <c r="H279" i="43"/>
  <c r="J127" i="43"/>
  <c r="J128" i="43" s="1"/>
  <c r="N279" i="43"/>
  <c r="V127" i="43"/>
  <c r="V128" i="43" s="1"/>
  <c r="Q127" i="43"/>
  <c r="Q128" i="43" s="1"/>
  <c r="G49" i="43"/>
  <c r="G277" i="43" s="1"/>
  <c r="H246" i="43"/>
  <c r="S49" i="43"/>
  <c r="S277" i="43" s="1"/>
  <c r="P49" i="43"/>
  <c r="P277" i="43" s="1"/>
  <c r="H127" i="43"/>
  <c r="H128" i="43" s="1"/>
  <c r="T127" i="43"/>
  <c r="T128" i="43" s="1"/>
  <c r="T120" i="43"/>
  <c r="T122" i="43" s="1"/>
  <c r="I127" i="43"/>
  <c r="I128" i="43" s="1"/>
  <c r="U127" i="43"/>
  <c r="U128" i="43" s="1"/>
  <c r="L279" i="43"/>
  <c r="F279" i="43"/>
  <c r="R279" i="43"/>
  <c r="J248" i="43"/>
  <c r="V248" i="43"/>
  <c r="F109" i="43"/>
  <c r="I109" i="43"/>
  <c r="S248" i="43"/>
  <c r="Q109" i="43"/>
  <c r="U248" i="43"/>
  <c r="R109" i="43"/>
  <c r="P127" i="43"/>
  <c r="P128" i="43" s="1"/>
  <c r="R120" i="43"/>
  <c r="R122" i="43" s="1"/>
  <c r="H120" i="43"/>
  <c r="H122" i="43" s="1"/>
  <c r="G120" i="43"/>
  <c r="G122" i="43" s="1"/>
  <c r="F127" i="43"/>
  <c r="F128" i="43" s="1"/>
  <c r="R127" i="43"/>
  <c r="R128" i="43" s="1"/>
  <c r="M248" i="43"/>
  <c r="R248" i="43"/>
  <c r="X248" i="43"/>
  <c r="N109" i="43"/>
  <c r="O127" i="43"/>
  <c r="O128" i="43" s="1"/>
  <c r="N127" i="43"/>
  <c r="N128" i="43" s="1"/>
  <c r="I248" i="43"/>
  <c r="Y248" i="43"/>
  <c r="O248" i="43"/>
  <c r="L248" i="43"/>
  <c r="P248" i="43"/>
  <c r="T246" i="43"/>
  <c r="K246" i="43"/>
  <c r="W246" i="43"/>
  <c r="E246" i="43"/>
  <c r="D127" i="43"/>
  <c r="D128" i="43" s="1"/>
  <c r="K109" i="43"/>
  <c r="O109" i="43"/>
  <c r="W109" i="43"/>
  <c r="H109" i="43"/>
  <c r="L109" i="43"/>
  <c r="T109" i="43"/>
  <c r="I122" i="43"/>
  <c r="U122" i="43"/>
  <c r="G127" i="43"/>
  <c r="G128" i="43" s="1"/>
  <c r="S127" i="43"/>
  <c r="S128" i="43" s="1"/>
  <c r="E120" i="43"/>
  <c r="E122" i="43" s="1"/>
  <c r="Q120" i="43"/>
  <c r="Q122" i="43" s="1"/>
  <c r="N120" i="43"/>
  <c r="N122" i="43" s="1"/>
  <c r="K120" i="43"/>
  <c r="K122" i="43" s="1"/>
  <c r="AY175" i="43" l="1"/>
  <c r="AZ175" i="43" s="1"/>
  <c r="N248" i="43"/>
  <c r="Q248" i="43"/>
  <c r="F116" i="43"/>
  <c r="G115" i="43" s="1"/>
  <c r="O115" i="43"/>
  <c r="Q115" i="43" s="1"/>
  <c r="R115" i="43"/>
  <c r="T115" i="43" s="1"/>
  <c r="I116" i="43"/>
  <c r="J115" i="43" s="1"/>
  <c r="R116" i="43"/>
  <c r="H248" i="43"/>
  <c r="I110" i="43"/>
  <c r="U110" i="43"/>
  <c r="Q110" i="43"/>
  <c r="N110" i="43"/>
  <c r="W248" i="43"/>
  <c r="K248" i="43"/>
  <c r="T248" i="43"/>
  <c r="H110" i="43"/>
  <c r="I115" i="43"/>
  <c r="K115" i="43" s="1"/>
  <c r="C116" i="43"/>
  <c r="U115" i="43"/>
  <c r="W115" i="43" s="1"/>
  <c r="T110" i="43"/>
  <c r="D116" i="43"/>
  <c r="O116" i="43"/>
  <c r="O110" i="43"/>
  <c r="R110" i="43"/>
  <c r="V115" i="43"/>
  <c r="L115" i="43"/>
  <c r="N115" i="43" s="1"/>
  <c r="K110" i="43"/>
  <c r="F110" i="43"/>
  <c r="L110" i="43"/>
  <c r="L116" i="43"/>
  <c r="W110" i="43"/>
  <c r="BA175" i="43" l="1"/>
  <c r="BB175" i="43" s="1"/>
  <c r="BC175" i="43" s="1"/>
  <c r="BD175" i="43" s="1"/>
  <c r="BE175" i="43" s="1"/>
  <c r="BF175" i="43" s="1"/>
  <c r="BG175" i="43" s="1"/>
  <c r="BH175" i="43" s="1"/>
  <c r="BI175" i="43" s="1"/>
  <c r="BJ175" i="43" s="1"/>
  <c r="BK175" i="43" s="1"/>
  <c r="BL175" i="43" s="1"/>
  <c r="BM175" i="43" s="1"/>
  <c r="AY21" i="43"/>
  <c r="F118" i="43"/>
  <c r="F119" i="43" s="1"/>
  <c r="R118" i="43"/>
  <c r="R119" i="43" s="1"/>
  <c r="S115" i="43"/>
  <c r="I118" i="43"/>
  <c r="I119" i="43" s="1"/>
  <c r="M115" i="43"/>
  <c r="L118" i="43"/>
  <c r="L119" i="43" s="1"/>
  <c r="D115" i="43"/>
  <c r="D118" i="43" s="1"/>
  <c r="C118" i="43"/>
  <c r="U118" i="43"/>
  <c r="U119" i="43" s="1"/>
  <c r="P115" i="43"/>
  <c r="O118" i="43"/>
  <c r="O119" i="43" s="1"/>
  <c r="E116" i="43"/>
  <c r="E118" i="43" s="1"/>
  <c r="BB21" i="43" l="1"/>
  <c r="C223" i="43"/>
  <c r="D220" i="43" s="1"/>
  <c r="D223" i="43" s="1"/>
  <c r="E226" i="43"/>
  <c r="C226" i="43"/>
  <c r="C94" i="43"/>
  <c r="C97" i="43" s="1"/>
  <c r="E94" i="43"/>
  <c r="E97" i="43" s="1"/>
  <c r="E78" i="43"/>
  <c r="D78" i="43" s="1"/>
  <c r="F94" i="43"/>
  <c r="F97" i="43" s="1"/>
  <c r="I94" i="43"/>
  <c r="I97" i="43" s="1"/>
  <c r="F78" i="43"/>
  <c r="I78" i="43"/>
  <c r="H94" i="43"/>
  <c r="K94" i="43"/>
  <c r="H78" i="43"/>
  <c r="K78" i="43"/>
  <c r="L94" i="43"/>
  <c r="L97" i="43" s="1"/>
  <c r="O94" i="43"/>
  <c r="O97" i="43" s="1"/>
  <c r="L78" i="43"/>
  <c r="O78" i="43"/>
  <c r="N94" i="43"/>
  <c r="N97" i="43" s="1"/>
  <c r="Q94" i="43"/>
  <c r="Q97" i="43" s="1"/>
  <c r="N78" i="43"/>
  <c r="Q78" i="43"/>
  <c r="R94" i="43"/>
  <c r="R97" i="43" s="1"/>
  <c r="D100" i="43"/>
  <c r="D99" i="43"/>
  <c r="D92" i="43"/>
  <c r="D88" i="43"/>
  <c r="D137" i="43" s="1"/>
  <c r="E137" i="43" s="1"/>
  <c r="D85" i="43"/>
  <c r="D84" i="43"/>
  <c r="D82" i="43"/>
  <c r="D79" i="43"/>
  <c r="G100" i="43"/>
  <c r="G99" i="43"/>
  <c r="G92" i="43"/>
  <c r="G278" i="43" s="1"/>
  <c r="G88" i="43"/>
  <c r="G137" i="43" s="1"/>
  <c r="H137" i="43" s="1"/>
  <c r="G85" i="43"/>
  <c r="G84" i="43"/>
  <c r="G82" i="43"/>
  <c r="G79" i="43"/>
  <c r="J100" i="43"/>
  <c r="J99" i="43"/>
  <c r="J92" i="43"/>
  <c r="J278" i="43" s="1"/>
  <c r="J88" i="43"/>
  <c r="J137" i="43" s="1"/>
  <c r="K137" i="43" s="1"/>
  <c r="J85" i="43"/>
  <c r="J84" i="43"/>
  <c r="J82" i="43"/>
  <c r="J79" i="43"/>
  <c r="M100" i="43"/>
  <c r="M99" i="43"/>
  <c r="M92" i="43"/>
  <c r="M278" i="43" s="1"/>
  <c r="M88" i="43"/>
  <c r="M137" i="43" s="1"/>
  <c r="N137" i="43" s="1"/>
  <c r="M87" i="43"/>
  <c r="M85" i="43"/>
  <c r="M84" i="43"/>
  <c r="M82" i="43"/>
  <c r="M79" i="43"/>
  <c r="P100" i="43"/>
  <c r="P99" i="43"/>
  <c r="P92" i="43"/>
  <c r="P278" i="43" s="1"/>
  <c r="P88" i="43"/>
  <c r="P137" i="43" s="1"/>
  <c r="Q137" i="43" s="1"/>
  <c r="P87" i="43"/>
  <c r="P85" i="43"/>
  <c r="P84" i="43"/>
  <c r="P82" i="43"/>
  <c r="P79" i="43"/>
  <c r="S100" i="43"/>
  <c r="S99" i="43"/>
  <c r="S92" i="43"/>
  <c r="S278" i="43" s="1"/>
  <c r="S88" i="43"/>
  <c r="S137" i="43" s="1"/>
  <c r="T137" i="43" s="1"/>
  <c r="S85" i="43"/>
  <c r="S84" i="43"/>
  <c r="S82" i="43"/>
  <c r="S79" i="43"/>
  <c r="V99" i="43"/>
  <c r="V92" i="43"/>
  <c r="V88" i="43"/>
  <c r="V137" i="43" s="1"/>
  <c r="W137" i="43" s="1"/>
  <c r="V85" i="43"/>
  <c r="V84" i="43"/>
  <c r="V82" i="43"/>
  <c r="V79" i="43"/>
  <c r="W94" i="43"/>
  <c r="T94" i="43"/>
  <c r="U94" i="43"/>
  <c r="U78" i="43"/>
  <c r="R78" i="43"/>
  <c r="U86" i="43"/>
  <c r="U136" i="43" s="1"/>
  <c r="T86" i="43"/>
  <c r="T101" i="43" s="1"/>
  <c r="R86" i="43"/>
  <c r="Q86" i="43"/>
  <c r="Q101" i="43" s="1"/>
  <c r="O86" i="43"/>
  <c r="O101" i="43" s="1"/>
  <c r="N86" i="43"/>
  <c r="N90" i="43" s="1"/>
  <c r="L86" i="43"/>
  <c r="L90" i="43" s="1"/>
  <c r="K86" i="43"/>
  <c r="K101" i="43" s="1"/>
  <c r="I86" i="43"/>
  <c r="H86" i="43"/>
  <c r="H90" i="43" s="1"/>
  <c r="F86" i="43"/>
  <c r="E86" i="43"/>
  <c r="E101" i="43" s="1"/>
  <c r="C86" i="43"/>
  <c r="C136" i="43" s="1"/>
  <c r="T78" i="43"/>
  <c r="W78" i="43"/>
  <c r="X94" i="43"/>
  <c r="AA94" i="43"/>
  <c r="AA78" i="43"/>
  <c r="X78" i="43"/>
  <c r="Z94" i="43"/>
  <c r="AC94" i="43"/>
  <c r="AC78" i="43"/>
  <c r="Z78" i="43"/>
  <c r="AD94" i="43"/>
  <c r="AI86" i="43"/>
  <c r="AG86" i="43"/>
  <c r="AF86" i="43"/>
  <c r="AD78" i="43"/>
  <c r="AG78" i="43"/>
  <c r="AF94" i="43"/>
  <c r="AI94" i="43"/>
  <c r="AF78" i="43"/>
  <c r="E24" i="82" s="1"/>
  <c r="AI78" i="43"/>
  <c r="T234" i="43"/>
  <c r="S234" i="43"/>
  <c r="R234" i="43"/>
  <c r="Q234" i="43"/>
  <c r="P234" i="43"/>
  <c r="O234" i="43"/>
  <c r="N234" i="43"/>
  <c r="M234" i="43"/>
  <c r="L234" i="43"/>
  <c r="K234" i="43"/>
  <c r="J234" i="43"/>
  <c r="I234" i="43"/>
  <c r="H234" i="43"/>
  <c r="G234" i="43"/>
  <c r="F234" i="43"/>
  <c r="E234" i="43"/>
  <c r="D234" i="43"/>
  <c r="C234" i="43"/>
  <c r="T231" i="43"/>
  <c r="S231" i="43"/>
  <c r="R231" i="43"/>
  <c r="Q231" i="43"/>
  <c r="P231" i="43"/>
  <c r="O231" i="43"/>
  <c r="N231" i="43"/>
  <c r="M231" i="43"/>
  <c r="L231" i="43"/>
  <c r="K231" i="43"/>
  <c r="J231" i="43"/>
  <c r="I231" i="43"/>
  <c r="H231" i="43"/>
  <c r="G231" i="43"/>
  <c r="F231" i="43"/>
  <c r="E231" i="43"/>
  <c r="D231" i="43"/>
  <c r="C231" i="43"/>
  <c r="D225" i="43"/>
  <c r="D226" i="43" s="1"/>
  <c r="T217" i="43"/>
  <c r="R217" i="43"/>
  <c r="Q217" i="43"/>
  <c r="O217" i="43"/>
  <c r="N217" i="43"/>
  <c r="L217" i="43"/>
  <c r="K217" i="43"/>
  <c r="I217" i="43"/>
  <c r="H217" i="43"/>
  <c r="F217" i="43"/>
  <c r="E217" i="43"/>
  <c r="C217" i="43"/>
  <c r="T210" i="43"/>
  <c r="R210" i="43"/>
  <c r="Q210" i="43"/>
  <c r="O210" i="43"/>
  <c r="N210" i="43"/>
  <c r="L210" i="43"/>
  <c r="K210" i="43"/>
  <c r="I210" i="43"/>
  <c r="H210" i="43"/>
  <c r="F210" i="43"/>
  <c r="E210" i="43"/>
  <c r="C210" i="43"/>
  <c r="T204" i="43"/>
  <c r="R204" i="43"/>
  <c r="Q204" i="43"/>
  <c r="O204" i="43"/>
  <c r="N204" i="43"/>
  <c r="L204" i="43"/>
  <c r="K204" i="43"/>
  <c r="I204" i="43"/>
  <c r="H204" i="43"/>
  <c r="F204" i="43"/>
  <c r="E204" i="43"/>
  <c r="C204" i="43"/>
  <c r="T203" i="43"/>
  <c r="R203" i="43"/>
  <c r="Q203" i="43"/>
  <c r="O203" i="43"/>
  <c r="N203" i="43"/>
  <c r="L203" i="43"/>
  <c r="K203" i="43"/>
  <c r="I203" i="43"/>
  <c r="H203" i="43"/>
  <c r="F203" i="43"/>
  <c r="E203" i="43"/>
  <c r="C203" i="43"/>
  <c r="T202" i="43"/>
  <c r="R202" i="43"/>
  <c r="R205" i="43" s="1"/>
  <c r="Q202" i="43"/>
  <c r="O202" i="43"/>
  <c r="N202" i="43"/>
  <c r="L202" i="43"/>
  <c r="K202" i="43"/>
  <c r="I202" i="43"/>
  <c r="H202" i="43"/>
  <c r="F202" i="43"/>
  <c r="E202" i="43"/>
  <c r="C202" i="43"/>
  <c r="J159" i="43"/>
  <c r="G159" i="43"/>
  <c r="D159" i="43"/>
  <c r="G177" i="43"/>
  <c r="D177" i="43"/>
  <c r="J174" i="43"/>
  <c r="G174" i="43"/>
  <c r="D174" i="43"/>
  <c r="M174" i="43"/>
  <c r="Y154" i="43"/>
  <c r="V154" i="43"/>
  <c r="S154" i="43"/>
  <c r="P154" i="43"/>
  <c r="M154" i="43"/>
  <c r="J154" i="43"/>
  <c r="G154" i="43"/>
  <c r="D154" i="43"/>
  <c r="AB178" i="43"/>
  <c r="Y178" i="43"/>
  <c r="V178" i="43"/>
  <c r="S178" i="43"/>
  <c r="P178" i="43"/>
  <c r="M178" i="43"/>
  <c r="J178" i="43"/>
  <c r="G178" i="43"/>
  <c r="D178" i="43"/>
  <c r="AE175" i="43"/>
  <c r="AB176" i="43"/>
  <c r="Y176" i="43"/>
  <c r="V176" i="43"/>
  <c r="S176" i="43"/>
  <c r="P176" i="43"/>
  <c r="M176" i="43"/>
  <c r="J176" i="43"/>
  <c r="G176" i="43"/>
  <c r="D176" i="43"/>
  <c r="AB175" i="43"/>
  <c r="Y175" i="43"/>
  <c r="V175" i="43"/>
  <c r="S175" i="43"/>
  <c r="P175" i="43"/>
  <c r="M175" i="43"/>
  <c r="J175" i="43"/>
  <c r="G175" i="43"/>
  <c r="D175" i="43"/>
  <c r="AB170" i="43"/>
  <c r="Y170" i="43"/>
  <c r="Y167" i="43"/>
  <c r="AB167" i="43"/>
  <c r="S170" i="43"/>
  <c r="P170" i="43"/>
  <c r="M170" i="43"/>
  <c r="J170" i="43"/>
  <c r="G170" i="43"/>
  <c r="D170" i="43"/>
  <c r="AB161" i="43"/>
  <c r="Y161" i="43"/>
  <c r="V161" i="43"/>
  <c r="S161" i="43"/>
  <c r="P161" i="43"/>
  <c r="M161" i="43"/>
  <c r="J161" i="43"/>
  <c r="G161" i="43"/>
  <c r="D161" i="43"/>
  <c r="AE166" i="43"/>
  <c r="AB166" i="43"/>
  <c r="Y166" i="43"/>
  <c r="V166" i="43"/>
  <c r="S166" i="43"/>
  <c r="P166" i="43"/>
  <c r="M166" i="43"/>
  <c r="J166" i="43"/>
  <c r="G166" i="43"/>
  <c r="D166" i="43"/>
  <c r="Y158" i="43"/>
  <c r="V158" i="43"/>
  <c r="S158" i="43"/>
  <c r="P158" i="43"/>
  <c r="M158" i="43"/>
  <c r="J158" i="43"/>
  <c r="G158" i="43"/>
  <c r="D158" i="43"/>
  <c r="AB158" i="43"/>
  <c r="AE158" i="43"/>
  <c r="D185" i="43"/>
  <c r="D184" i="43"/>
  <c r="D183" i="43"/>
  <c r="D173" i="43"/>
  <c r="D169" i="43"/>
  <c r="D168" i="43"/>
  <c r="D167" i="43"/>
  <c r="D165" i="43"/>
  <c r="D204" i="43" s="1"/>
  <c r="D160" i="43"/>
  <c r="D157" i="43"/>
  <c r="D140" i="43" s="1"/>
  <c r="D153" i="43"/>
  <c r="D202" i="43" s="1"/>
  <c r="D152" i="43"/>
  <c r="D203" i="43" s="1"/>
  <c r="D151" i="43"/>
  <c r="G185" i="43"/>
  <c r="G184" i="43"/>
  <c r="G183" i="43"/>
  <c r="G276" i="43" s="1"/>
  <c r="G173" i="43"/>
  <c r="G169" i="43"/>
  <c r="G168" i="43"/>
  <c r="G167" i="43"/>
  <c r="G165" i="43"/>
  <c r="G204" i="43" s="1"/>
  <c r="G160" i="43"/>
  <c r="G157" i="43"/>
  <c r="G140" i="43" s="1"/>
  <c r="G153" i="43"/>
  <c r="G202" i="43" s="1"/>
  <c r="G152" i="43"/>
  <c r="G203" i="43" s="1"/>
  <c r="G151" i="43"/>
  <c r="J185" i="43"/>
  <c r="J184" i="43"/>
  <c r="J183" i="43"/>
  <c r="J276" i="43" s="1"/>
  <c r="J177" i="43"/>
  <c r="J173" i="43"/>
  <c r="J169" i="43"/>
  <c r="J168" i="43"/>
  <c r="J167" i="43"/>
  <c r="J165" i="43"/>
  <c r="J204" i="43" s="1"/>
  <c r="J160" i="43"/>
  <c r="J157" i="43"/>
  <c r="J140" i="43" s="1"/>
  <c r="J153" i="43"/>
  <c r="J202" i="43" s="1"/>
  <c r="J152" i="43"/>
  <c r="J203" i="43" s="1"/>
  <c r="J151" i="43"/>
  <c r="M185" i="43"/>
  <c r="M184" i="43"/>
  <c r="M183" i="43"/>
  <c r="M276" i="43" s="1"/>
  <c r="M177" i="43"/>
  <c r="M173" i="43"/>
  <c r="M169" i="43"/>
  <c r="M168" i="43"/>
  <c r="M167" i="43"/>
  <c r="M165" i="43"/>
  <c r="M204" i="43" s="1"/>
  <c r="M160" i="43"/>
  <c r="M159" i="43"/>
  <c r="M157" i="43"/>
  <c r="M153" i="43"/>
  <c r="M202" i="43" s="1"/>
  <c r="M152" i="43"/>
  <c r="M203" i="43" s="1"/>
  <c r="M151" i="43"/>
  <c r="P185" i="43"/>
  <c r="P184" i="43"/>
  <c r="P183" i="43"/>
  <c r="P177" i="43"/>
  <c r="P174" i="43"/>
  <c r="P173" i="43"/>
  <c r="P169" i="43"/>
  <c r="P168" i="43"/>
  <c r="P167" i="43"/>
  <c r="P165" i="43"/>
  <c r="P204" i="43" s="1"/>
  <c r="P160" i="43"/>
  <c r="P159" i="43"/>
  <c r="P157" i="43"/>
  <c r="P140" i="43" s="1"/>
  <c r="P153" i="43"/>
  <c r="P202" i="43" s="1"/>
  <c r="P152" i="43"/>
  <c r="P203" i="43" s="1"/>
  <c r="P151" i="43"/>
  <c r="S185" i="43"/>
  <c r="S184" i="43"/>
  <c r="S183" i="43"/>
  <c r="S276" i="43" s="1"/>
  <c r="S177" i="43"/>
  <c r="S174" i="43"/>
  <c r="S173" i="43"/>
  <c r="S169" i="43"/>
  <c r="S168" i="43"/>
  <c r="S167" i="43"/>
  <c r="S165" i="43"/>
  <c r="S204" i="43" s="1"/>
  <c r="S160" i="43"/>
  <c r="S159" i="43"/>
  <c r="S157" i="43"/>
  <c r="S140" i="43" s="1"/>
  <c r="S153" i="43"/>
  <c r="S202" i="43" s="1"/>
  <c r="S152" i="43"/>
  <c r="S203" i="43" s="1"/>
  <c r="S151" i="43"/>
  <c r="T171" i="43"/>
  <c r="R171" i="43"/>
  <c r="Q171" i="43"/>
  <c r="O171" i="43"/>
  <c r="N171" i="43"/>
  <c r="L171" i="43"/>
  <c r="K171" i="43"/>
  <c r="I171" i="43"/>
  <c r="H171" i="43"/>
  <c r="F171" i="43"/>
  <c r="E171" i="43"/>
  <c r="C171" i="43"/>
  <c r="T187" i="43"/>
  <c r="T211" i="43" s="1"/>
  <c r="R187" i="43"/>
  <c r="R212" i="43" s="1"/>
  <c r="Q187" i="43"/>
  <c r="Q211" i="43" s="1"/>
  <c r="O187" i="43"/>
  <c r="O212" i="43" s="1"/>
  <c r="N187" i="43"/>
  <c r="N212" i="43" s="1"/>
  <c r="L187" i="43"/>
  <c r="L211" i="43" s="1"/>
  <c r="K187" i="43"/>
  <c r="K212" i="43" s="1"/>
  <c r="I187" i="43"/>
  <c r="I211" i="43" s="1"/>
  <c r="H187" i="43"/>
  <c r="H211" i="43" s="1"/>
  <c r="F187" i="43"/>
  <c r="F211" i="43" s="1"/>
  <c r="E187" i="43"/>
  <c r="E280" i="43" s="1"/>
  <c r="C187" i="43"/>
  <c r="C212" i="43" s="1"/>
  <c r="R162" i="43"/>
  <c r="Q162" i="43"/>
  <c r="O162" i="43"/>
  <c r="N162" i="43"/>
  <c r="L162" i="43"/>
  <c r="K162" i="43"/>
  <c r="I162" i="43"/>
  <c r="H162" i="43"/>
  <c r="F162" i="43"/>
  <c r="E162" i="43"/>
  <c r="C162" i="43"/>
  <c r="R155" i="43"/>
  <c r="Q155" i="43"/>
  <c r="O155" i="43"/>
  <c r="N155" i="43"/>
  <c r="L155" i="43"/>
  <c r="K155" i="43"/>
  <c r="I155" i="43"/>
  <c r="H155" i="43"/>
  <c r="F155" i="43"/>
  <c r="E155" i="43"/>
  <c r="C155" i="43"/>
  <c r="T162" i="43"/>
  <c r="U155" i="43"/>
  <c r="T155" i="43"/>
  <c r="V173" i="43"/>
  <c r="Y173" i="43"/>
  <c r="AB173" i="43"/>
  <c r="AG170" i="43"/>
  <c r="AE178" i="43"/>
  <c r="AE173" i="43"/>
  <c r="AH173" i="43"/>
  <c r="AH175" i="43"/>
  <c r="AI179" i="43"/>
  <c r="AG179" i="43"/>
  <c r="AF179" i="43"/>
  <c r="AD179" i="43"/>
  <c r="AA179" i="43"/>
  <c r="Z179" i="43"/>
  <c r="X179" i="43"/>
  <c r="W179" i="43"/>
  <c r="U179" i="43"/>
  <c r="T179" i="43"/>
  <c r="R179" i="43"/>
  <c r="Q179" i="43"/>
  <c r="O179" i="43"/>
  <c r="N179" i="43"/>
  <c r="L179" i="43"/>
  <c r="K179" i="43"/>
  <c r="I179" i="43"/>
  <c r="H179" i="43"/>
  <c r="F179" i="43"/>
  <c r="E179" i="43"/>
  <c r="C179" i="43"/>
  <c r="AC179" i="43"/>
  <c r="AI170" i="43"/>
  <c r="AH166" i="43"/>
  <c r="AH158" i="43"/>
  <c r="Q180" i="43" l="1"/>
  <c r="E35" i="82"/>
  <c r="E37" i="82" s="1"/>
  <c r="AE94" i="43"/>
  <c r="F205" i="43"/>
  <c r="BE21" i="43"/>
  <c r="C205" i="43"/>
  <c r="N205" i="43"/>
  <c r="P78" i="43"/>
  <c r="J94" i="43"/>
  <c r="J97" i="43" s="1"/>
  <c r="K205" i="43"/>
  <c r="P94" i="43"/>
  <c r="P97" i="43" s="1"/>
  <c r="G94" i="43"/>
  <c r="G97" i="43" s="1"/>
  <c r="G78" i="43"/>
  <c r="M94" i="43"/>
  <c r="M97" i="43" s="1"/>
  <c r="O205" i="43"/>
  <c r="S86" i="43"/>
  <c r="S136" i="43" s="1"/>
  <c r="M86" i="43"/>
  <c r="M101" i="43" s="1"/>
  <c r="M78" i="43"/>
  <c r="S78" i="43"/>
  <c r="G279" i="43"/>
  <c r="M205" i="43"/>
  <c r="K97" i="43"/>
  <c r="J78" i="43"/>
  <c r="D217" i="43"/>
  <c r="Y78" i="43"/>
  <c r="V94" i="43"/>
  <c r="V97" i="43" s="1"/>
  <c r="G107" i="43"/>
  <c r="G109" i="43" s="1"/>
  <c r="S107" i="43"/>
  <c r="S109" i="43" s="1"/>
  <c r="S94" i="43"/>
  <c r="S97" i="43" s="1"/>
  <c r="G205" i="43"/>
  <c r="H97" i="43"/>
  <c r="H98" i="43" s="1"/>
  <c r="AH78" i="43"/>
  <c r="AB78" i="43"/>
  <c r="V78" i="43"/>
  <c r="T97" i="43"/>
  <c r="P107" i="43"/>
  <c r="P109" i="43" s="1"/>
  <c r="J107" i="43"/>
  <c r="J109" i="43" s="1"/>
  <c r="AE78" i="43"/>
  <c r="J86" i="43"/>
  <c r="J90" i="43" s="1"/>
  <c r="D94" i="43"/>
  <c r="D97" i="43" s="1"/>
  <c r="U97" i="43"/>
  <c r="P86" i="43"/>
  <c r="P101" i="43" s="1"/>
  <c r="G86" i="43"/>
  <c r="G136" i="43" s="1"/>
  <c r="I180" i="43"/>
  <c r="P217" i="43"/>
  <c r="I205" i="43"/>
  <c r="T212" i="43"/>
  <c r="K90" i="43"/>
  <c r="S279" i="43"/>
  <c r="P205" i="43"/>
  <c r="P279" i="43"/>
  <c r="D187" i="43"/>
  <c r="D211" i="43" s="1"/>
  <c r="D210" i="43"/>
  <c r="E205" i="43"/>
  <c r="H101" i="43"/>
  <c r="Q205" i="43"/>
  <c r="N211" i="43"/>
  <c r="H212" i="43"/>
  <c r="D239" i="43"/>
  <c r="L98" i="43"/>
  <c r="V86" i="43"/>
  <c r="V101" i="43" s="1"/>
  <c r="D86" i="43"/>
  <c r="D136" i="43" s="1"/>
  <c r="E136" i="43" s="1"/>
  <c r="D205" i="43"/>
  <c r="S205" i="43"/>
  <c r="J217" i="43"/>
  <c r="C211" i="43"/>
  <c r="K211" i="43"/>
  <c r="O211" i="43"/>
  <c r="E212" i="43"/>
  <c r="I212" i="43"/>
  <c r="Q212" i="43"/>
  <c r="G217" i="43"/>
  <c r="S217" i="43"/>
  <c r="C90" i="43"/>
  <c r="C98" i="43" s="1"/>
  <c r="J205" i="43"/>
  <c r="R211" i="43"/>
  <c r="L212" i="43"/>
  <c r="I101" i="43"/>
  <c r="I136" i="43"/>
  <c r="F163" i="43"/>
  <c r="M162" i="43"/>
  <c r="M140" i="43"/>
  <c r="M107" i="43"/>
  <c r="M109" i="43" s="1"/>
  <c r="J279" i="43"/>
  <c r="S155" i="43"/>
  <c r="H205" i="43"/>
  <c r="L205" i="43"/>
  <c r="T205" i="43"/>
  <c r="F212" i="43"/>
  <c r="F101" i="43"/>
  <c r="F136" i="43"/>
  <c r="L101" i="43"/>
  <c r="L136" i="43"/>
  <c r="R101" i="43"/>
  <c r="R136" i="43"/>
  <c r="E90" i="43"/>
  <c r="E98" i="43" s="1"/>
  <c r="T90" i="43"/>
  <c r="C101" i="43"/>
  <c r="O90" i="43"/>
  <c r="O98" i="43" s="1"/>
  <c r="O136" i="43"/>
  <c r="L180" i="43"/>
  <c r="T163" i="43"/>
  <c r="H275" i="43"/>
  <c r="H280" i="43" s="1"/>
  <c r="F275" i="43"/>
  <c r="F280" i="43" s="1"/>
  <c r="G275" i="43" s="1"/>
  <c r="P187" i="43"/>
  <c r="P276" i="43"/>
  <c r="M187" i="43"/>
  <c r="M279" i="43"/>
  <c r="G187" i="43"/>
  <c r="E211" i="43"/>
  <c r="M217" i="43"/>
  <c r="F90" i="43"/>
  <c r="F98" i="43" s="1"/>
  <c r="D238" i="43"/>
  <c r="E238" i="43"/>
  <c r="E239" i="43"/>
  <c r="C238" i="43"/>
  <c r="C239" i="43"/>
  <c r="E220" i="43"/>
  <c r="E223" i="43" s="1"/>
  <c r="F220" i="43" s="1"/>
  <c r="F223" i="43" s="1"/>
  <c r="F262" i="43"/>
  <c r="F263" i="43"/>
  <c r="I90" i="43"/>
  <c r="I98" i="43" s="1"/>
  <c r="N98" i="43"/>
  <c r="N101" i="43"/>
  <c r="Q90" i="43"/>
  <c r="Q98" i="43" s="1"/>
  <c r="R90" i="43"/>
  <c r="R98" i="43" s="1"/>
  <c r="C180" i="43"/>
  <c r="C163" i="43"/>
  <c r="E180" i="43"/>
  <c r="F180" i="43"/>
  <c r="H163" i="43"/>
  <c r="G155" i="43"/>
  <c r="I163" i="43"/>
  <c r="K180" i="43"/>
  <c r="J171" i="43"/>
  <c r="J155" i="43"/>
  <c r="D155" i="43"/>
  <c r="L163" i="43"/>
  <c r="M179" i="43"/>
  <c r="M171" i="43"/>
  <c r="N163" i="43"/>
  <c r="M155" i="43"/>
  <c r="O180" i="43"/>
  <c r="S179" i="43"/>
  <c r="G179" i="43"/>
  <c r="Q163" i="43"/>
  <c r="Q181" i="43" s="1"/>
  <c r="Q188" i="43" s="1"/>
  <c r="P155" i="43"/>
  <c r="R180" i="43"/>
  <c r="P179" i="43"/>
  <c r="J179" i="43"/>
  <c r="D179" i="43"/>
  <c r="G162" i="43"/>
  <c r="J162" i="43"/>
  <c r="S162" i="43"/>
  <c r="P171" i="43"/>
  <c r="H180" i="43"/>
  <c r="N180" i="43"/>
  <c r="T180" i="43"/>
  <c r="S171" i="43"/>
  <c r="D171" i="43"/>
  <c r="G171" i="43"/>
  <c r="E163" i="43"/>
  <c r="P162" i="43"/>
  <c r="D162" i="43"/>
  <c r="R163" i="43"/>
  <c r="S187" i="43"/>
  <c r="J187" i="43"/>
  <c r="K163" i="43"/>
  <c r="O163" i="43"/>
  <c r="AF14" i="78"/>
  <c r="AH13" i="78"/>
  <c r="AH26" i="43" s="1"/>
  <c r="AE13" i="78"/>
  <c r="S9" i="79"/>
  <c r="C18" i="79"/>
  <c r="C11" i="79"/>
  <c r="D3" i="79"/>
  <c r="D11" i="79" s="1"/>
  <c r="D9" i="43" s="1"/>
  <c r="E24" i="79"/>
  <c r="D24" i="79" s="1"/>
  <c r="E11" i="79"/>
  <c r="E9" i="43" s="1"/>
  <c r="F24" i="79"/>
  <c r="F18" i="79" s="1"/>
  <c r="G3" i="79"/>
  <c r="G11" i="79" s="1"/>
  <c r="G9" i="43" s="1"/>
  <c r="F11" i="79"/>
  <c r="F9" i="43" s="1"/>
  <c r="H24" i="79"/>
  <c r="H30" i="43" s="1"/>
  <c r="H11" i="79"/>
  <c r="H9" i="43" s="1"/>
  <c r="J3" i="79"/>
  <c r="J11" i="79" s="1"/>
  <c r="J9" i="43" s="1"/>
  <c r="J53" i="43" s="1"/>
  <c r="I11" i="79"/>
  <c r="I9" i="43" s="1"/>
  <c r="I53" i="43" s="1"/>
  <c r="I24" i="79"/>
  <c r="I18" i="79" s="1"/>
  <c r="K24" i="79"/>
  <c r="K30" i="43" s="1"/>
  <c r="K11" i="79"/>
  <c r="K9" i="43" s="1"/>
  <c r="L24" i="79"/>
  <c r="N7" i="79"/>
  <c r="L7" i="79"/>
  <c r="K7" i="79"/>
  <c r="I7" i="79"/>
  <c r="H7" i="79"/>
  <c r="F7" i="79"/>
  <c r="M3" i="79"/>
  <c r="L11" i="79"/>
  <c r="L9" i="43" s="1"/>
  <c r="Q7" i="79"/>
  <c r="O7" i="79"/>
  <c r="N24" i="79"/>
  <c r="N11" i="79"/>
  <c r="N9" i="43" s="1"/>
  <c r="AI26" i="43"/>
  <c r="AG26" i="43"/>
  <c r="AF26" i="43"/>
  <c r="AD26" i="43"/>
  <c r="C30" i="43"/>
  <c r="O21" i="43"/>
  <c r="N21" i="43"/>
  <c r="L21" i="43"/>
  <c r="K21" i="43"/>
  <c r="I21" i="43"/>
  <c r="H21" i="43"/>
  <c r="F21" i="43"/>
  <c r="E21" i="43"/>
  <c r="C21" i="43"/>
  <c r="N6" i="43"/>
  <c r="N1" i="79" s="1"/>
  <c r="M6" i="43"/>
  <c r="M1" i="79" s="1"/>
  <c r="L6" i="43"/>
  <c r="L1" i="79" s="1"/>
  <c r="K6" i="43"/>
  <c r="K1" i="79" s="1"/>
  <c r="J6" i="43"/>
  <c r="J1" i="79" s="1"/>
  <c r="I6" i="43"/>
  <c r="I1" i="79" s="1"/>
  <c r="H6" i="43"/>
  <c r="H1" i="79" s="1"/>
  <c r="G6" i="43"/>
  <c r="G1" i="79" s="1"/>
  <c r="F6" i="43"/>
  <c r="F1" i="79" s="1"/>
  <c r="E6" i="43"/>
  <c r="E1" i="79" s="1"/>
  <c r="D6" i="43"/>
  <c r="D1" i="79" s="1"/>
  <c r="C6" i="43"/>
  <c r="Q24" i="79"/>
  <c r="P3" i="79"/>
  <c r="P11" i="79" s="1"/>
  <c r="P9" i="43" s="1"/>
  <c r="O11" i="79"/>
  <c r="O9" i="43" s="1"/>
  <c r="R24" i="79"/>
  <c r="R18" i="79" s="1"/>
  <c r="O24" i="79"/>
  <c r="T24" i="79"/>
  <c r="T18" i="79" s="1"/>
  <c r="R7" i="79"/>
  <c r="U24" i="79"/>
  <c r="U18" i="79" s="1"/>
  <c r="W24" i="79"/>
  <c r="W18" i="79" s="1"/>
  <c r="X24" i="79"/>
  <c r="AA24" i="79"/>
  <c r="Z24" i="79"/>
  <c r="AC24" i="79"/>
  <c r="AD9" i="78"/>
  <c r="AG9" i="78"/>
  <c r="AG11" i="78" s="1"/>
  <c r="AG139" i="43" s="1"/>
  <c r="AF9" i="78"/>
  <c r="AI9" i="78"/>
  <c r="AF14" i="79"/>
  <c r="AF16" i="79" s="1"/>
  <c r="AI14" i="79"/>
  <c r="AI16" i="79" s="1"/>
  <c r="C1" i="79" l="1"/>
  <c r="AF16" i="78"/>
  <c r="AF11" i="78"/>
  <c r="AF139" i="43" s="1"/>
  <c r="C9" i="43"/>
  <c r="C53" i="43" s="1"/>
  <c r="C25" i="79"/>
  <c r="AI16" i="78"/>
  <c r="AI11" i="78"/>
  <c r="AI139" i="43" s="1"/>
  <c r="AD16" i="78"/>
  <c r="AD11" i="78"/>
  <c r="AD139" i="43" s="1"/>
  <c r="BK21" i="43"/>
  <c r="BH21" i="43"/>
  <c r="L53" i="43"/>
  <c r="O53" i="43"/>
  <c r="D80" i="43"/>
  <c r="N53" i="43"/>
  <c r="K206" i="43"/>
  <c r="K80" i="43" s="1"/>
  <c r="R206" i="43"/>
  <c r="R80" i="43" s="1"/>
  <c r="G206" i="43"/>
  <c r="G80" i="43" s="1"/>
  <c r="S206" i="43"/>
  <c r="S80" i="43" s="1"/>
  <c r="H53" i="43"/>
  <c r="G53" i="43"/>
  <c r="E11" i="43"/>
  <c r="E53" i="43"/>
  <c r="K53" i="43"/>
  <c r="D11" i="43"/>
  <c r="D53" i="43"/>
  <c r="H60" i="43"/>
  <c r="K60" i="43"/>
  <c r="N206" i="43"/>
  <c r="N80" i="43" s="1"/>
  <c r="O206" i="43"/>
  <c r="O80" i="43" s="1"/>
  <c r="M90" i="43"/>
  <c r="M98" i="43" s="1"/>
  <c r="M136" i="43"/>
  <c r="N136" i="43" s="1"/>
  <c r="P206" i="43"/>
  <c r="P80" i="43" s="1"/>
  <c r="S110" i="43"/>
  <c r="P116" i="43"/>
  <c r="Q116" i="43" s="1"/>
  <c r="Q118" i="43" s="1"/>
  <c r="Q119" i="43" s="1"/>
  <c r="G110" i="43"/>
  <c r="J210" i="43"/>
  <c r="G116" i="43"/>
  <c r="G118" i="43" s="1"/>
  <c r="G119" i="43" s="1"/>
  <c r="V136" i="43"/>
  <c r="W136" i="43" s="1"/>
  <c r="M206" i="43"/>
  <c r="M80" i="43" s="1"/>
  <c r="G211" i="43"/>
  <c r="K23" i="43"/>
  <c r="K271" i="43" s="1"/>
  <c r="S101" i="43"/>
  <c r="I23" i="43"/>
  <c r="I142" i="43" s="1"/>
  <c r="I141" i="43" s="1"/>
  <c r="I139" i="43" s="1"/>
  <c r="C23" i="43"/>
  <c r="C271" i="43" s="1"/>
  <c r="L23" i="43"/>
  <c r="L271" i="43" s="1"/>
  <c r="J101" i="43"/>
  <c r="E23" i="43"/>
  <c r="E271" i="43" s="1"/>
  <c r="N23" i="43"/>
  <c r="N271" i="43" s="1"/>
  <c r="F23" i="43"/>
  <c r="F271" i="43" s="1"/>
  <c r="O23" i="43"/>
  <c r="O271" i="43" s="1"/>
  <c r="S211" i="43"/>
  <c r="H23" i="43"/>
  <c r="H271" i="43" s="1"/>
  <c r="J136" i="43"/>
  <c r="K136" i="43" s="1"/>
  <c r="S116" i="43"/>
  <c r="S118" i="43" s="1"/>
  <c r="S119" i="43" s="1"/>
  <c r="I181" i="43"/>
  <c r="I188" i="43" s="1"/>
  <c r="Q206" i="43"/>
  <c r="Q80" i="43" s="1"/>
  <c r="S210" i="43"/>
  <c r="S90" i="43"/>
  <c r="S98" i="43" s="1"/>
  <c r="G210" i="43"/>
  <c r="T206" i="43"/>
  <c r="T80" i="43" s="1"/>
  <c r="T98" i="43"/>
  <c r="D90" i="43"/>
  <c r="D98" i="43" s="1"/>
  <c r="D101" i="43"/>
  <c r="K98" i="43"/>
  <c r="P210" i="43"/>
  <c r="G280" i="43"/>
  <c r="P110" i="43"/>
  <c r="P90" i="43"/>
  <c r="P98" i="43" s="1"/>
  <c r="P212" i="43"/>
  <c r="S163" i="43"/>
  <c r="L181" i="43"/>
  <c r="L188" i="43" s="1"/>
  <c r="J211" i="43"/>
  <c r="G101" i="43"/>
  <c r="J116" i="43"/>
  <c r="K116" i="43" s="1"/>
  <c r="K118" i="43" s="1"/>
  <c r="K119" i="43" s="1"/>
  <c r="P136" i="43"/>
  <c r="Q136" i="43" s="1"/>
  <c r="J110" i="43"/>
  <c r="D212" i="43"/>
  <c r="H206" i="43"/>
  <c r="H80" i="43" s="1"/>
  <c r="J98" i="43"/>
  <c r="F181" i="43"/>
  <c r="F188" i="43" s="1"/>
  <c r="G212" i="43"/>
  <c r="H136" i="43"/>
  <c r="I30" i="43"/>
  <c r="M24" i="79"/>
  <c r="M30" i="43" s="1"/>
  <c r="AG16" i="78"/>
  <c r="AC28" i="79"/>
  <c r="AC31" i="79"/>
  <c r="I19" i="79"/>
  <c r="H181" i="43"/>
  <c r="H188" i="43" s="1"/>
  <c r="M163" i="43"/>
  <c r="H220" i="43"/>
  <c r="H223" i="43" s="1"/>
  <c r="I220" i="43" s="1"/>
  <c r="I223" i="43" s="1"/>
  <c r="V90" i="43"/>
  <c r="V98" i="43" s="1"/>
  <c r="G90" i="43"/>
  <c r="G98" i="43" s="1"/>
  <c r="L206" i="43"/>
  <c r="L80" i="43" s="1"/>
  <c r="G180" i="43"/>
  <c r="N181" i="43"/>
  <c r="N188" i="43" s="1"/>
  <c r="P211" i="43"/>
  <c r="F206" i="43"/>
  <c r="F80" i="43" s="1"/>
  <c r="J206" i="43"/>
  <c r="J80" i="43" s="1"/>
  <c r="J163" i="43"/>
  <c r="M180" i="43"/>
  <c r="C181" i="43"/>
  <c r="C188" i="43" s="1"/>
  <c r="M116" i="43"/>
  <c r="M110" i="43"/>
  <c r="M211" i="43"/>
  <c r="M212" i="43"/>
  <c r="M210" i="43"/>
  <c r="S180" i="43"/>
  <c r="S212" i="43"/>
  <c r="I206" i="43"/>
  <c r="I80" i="43" s="1"/>
  <c r="J212" i="43"/>
  <c r="T136" i="43"/>
  <c r="T181" i="43"/>
  <c r="T188" i="43" s="1"/>
  <c r="I275" i="43"/>
  <c r="I280" i="43" s="1"/>
  <c r="J275" i="43" s="1"/>
  <c r="J280" i="43" s="1"/>
  <c r="K275" i="43"/>
  <c r="K280" i="43" s="1"/>
  <c r="E253" i="43"/>
  <c r="E252" i="43"/>
  <c r="E254" i="43"/>
  <c r="D253" i="43"/>
  <c r="D252" i="43"/>
  <c r="D254" i="43"/>
  <c r="C252" i="43"/>
  <c r="C253" i="43"/>
  <c r="C254" i="43"/>
  <c r="G263" i="43"/>
  <c r="H263" i="43" s="1"/>
  <c r="G262" i="43"/>
  <c r="F264" i="43"/>
  <c r="G266" i="43" s="1"/>
  <c r="K32" i="43"/>
  <c r="K42" i="43" s="1"/>
  <c r="H32" i="43"/>
  <c r="K11" i="43"/>
  <c r="K196" i="43" s="1"/>
  <c r="J11" i="43"/>
  <c r="G11" i="43"/>
  <c r="G196" i="43" s="1"/>
  <c r="H11" i="43"/>
  <c r="H196" i="43" s="1"/>
  <c r="O11" i="43"/>
  <c r="O196" i="43" s="1"/>
  <c r="P11" i="43"/>
  <c r="P196" i="43" s="1"/>
  <c r="I11" i="43"/>
  <c r="C32" i="43"/>
  <c r="C42" i="43" s="1"/>
  <c r="F11" i="43"/>
  <c r="F196" i="43" s="1"/>
  <c r="L11" i="43"/>
  <c r="L196" i="43" s="1"/>
  <c r="F30" i="43"/>
  <c r="F60" i="43" s="1"/>
  <c r="N11" i="43"/>
  <c r="N196" i="43" s="1"/>
  <c r="AE26" i="43"/>
  <c r="G220" i="43"/>
  <c r="G223" i="43" s="1"/>
  <c r="F225" i="43"/>
  <c r="F226" i="43" s="1"/>
  <c r="E181" i="43"/>
  <c r="E188" i="43" s="1"/>
  <c r="D163" i="43"/>
  <c r="G163" i="43"/>
  <c r="J180" i="43"/>
  <c r="K181" i="43"/>
  <c r="K188" i="43" s="1"/>
  <c r="O181" i="43"/>
  <c r="O188" i="43" s="1"/>
  <c r="P180" i="43"/>
  <c r="P163" i="43"/>
  <c r="R181" i="43"/>
  <c r="R188" i="43" s="1"/>
  <c r="D180" i="43"/>
  <c r="E30" i="43"/>
  <c r="L25" i="79"/>
  <c r="J24" i="79"/>
  <c r="J25" i="79" s="1"/>
  <c r="M7" i="79"/>
  <c r="O25" i="79"/>
  <c r="E18" i="79"/>
  <c r="D18" i="79" s="1"/>
  <c r="D25" i="43" s="1"/>
  <c r="D63" i="43" s="1"/>
  <c r="L30" i="43"/>
  <c r="L60" i="43" s="1"/>
  <c r="N30" i="43"/>
  <c r="F19" i="79"/>
  <c r="I21" i="79" s="1"/>
  <c r="P24" i="79"/>
  <c r="P30" i="43" s="1"/>
  <c r="P60" i="43" s="1"/>
  <c r="Q18" i="79"/>
  <c r="L18" i="79"/>
  <c r="L25" i="43" s="1"/>
  <c r="I25" i="79"/>
  <c r="G24" i="79"/>
  <c r="G30" i="43" s="1"/>
  <c r="G60" i="43" s="1"/>
  <c r="F25" i="79"/>
  <c r="E25" i="79"/>
  <c r="C19" i="79"/>
  <c r="D25" i="79"/>
  <c r="D30" i="43"/>
  <c r="D60" i="43" s="1"/>
  <c r="P7" i="79"/>
  <c r="O18" i="79"/>
  <c r="O30" i="43"/>
  <c r="O60" i="43" s="1"/>
  <c r="N18" i="79"/>
  <c r="G7" i="79"/>
  <c r="N25" i="79"/>
  <c r="K25" i="79"/>
  <c r="J7" i="79"/>
  <c r="M11" i="79"/>
  <c r="M9" i="43" s="1"/>
  <c r="M53" i="43" s="1"/>
  <c r="H25" i="79"/>
  <c r="K18" i="79"/>
  <c r="K19" i="79" s="1"/>
  <c r="H18" i="79"/>
  <c r="H25" i="43" s="1"/>
  <c r="C25" i="43"/>
  <c r="F25" i="43"/>
  <c r="I25" i="43"/>
  <c r="C11" i="43" l="1"/>
  <c r="C196" i="43" s="1"/>
  <c r="C63" i="43"/>
  <c r="C60" i="43"/>
  <c r="F53" i="43"/>
  <c r="L21" i="79"/>
  <c r="I20" i="79"/>
  <c r="I22" i="79" s="1"/>
  <c r="N21" i="79"/>
  <c r="I55" i="43"/>
  <c r="I196" i="43"/>
  <c r="J55" i="43"/>
  <c r="J196" i="43"/>
  <c r="E55" i="43"/>
  <c r="E196" i="43"/>
  <c r="D55" i="43"/>
  <c r="D196" i="43"/>
  <c r="N60" i="43"/>
  <c r="E60" i="43"/>
  <c r="L55" i="43"/>
  <c r="D193" i="43"/>
  <c r="D195" i="43"/>
  <c r="E25" i="43"/>
  <c r="E63" i="43" s="1"/>
  <c r="C55" i="43"/>
  <c r="C200" i="43"/>
  <c r="E194" i="43"/>
  <c r="E15" i="43"/>
  <c r="E200" i="43"/>
  <c r="H55" i="43"/>
  <c r="E199" i="43"/>
  <c r="C193" i="43"/>
  <c r="G55" i="43"/>
  <c r="D198" i="43"/>
  <c r="M60" i="43"/>
  <c r="N55" i="43"/>
  <c r="F27" i="43"/>
  <c r="F18" i="43" s="1"/>
  <c r="F63" i="43"/>
  <c r="L27" i="43"/>
  <c r="L215" i="43" s="1"/>
  <c r="L63" i="43"/>
  <c r="E193" i="43"/>
  <c r="C194" i="43"/>
  <c r="D199" i="43"/>
  <c r="D15" i="43"/>
  <c r="P53" i="43"/>
  <c r="H27" i="43"/>
  <c r="H215" i="43" s="1"/>
  <c r="H63" i="43"/>
  <c r="I27" i="43"/>
  <c r="I77" i="43" s="1"/>
  <c r="I63" i="43"/>
  <c r="C15" i="43"/>
  <c r="E195" i="43"/>
  <c r="C198" i="43"/>
  <c r="D194" i="43"/>
  <c r="K55" i="43"/>
  <c r="I32" i="43"/>
  <c r="I42" i="43" s="1"/>
  <c r="I60" i="43"/>
  <c r="P193" i="43"/>
  <c r="E198" i="43"/>
  <c r="C199" i="43"/>
  <c r="D200" i="43"/>
  <c r="O55" i="43"/>
  <c r="H142" i="43"/>
  <c r="H141" i="43" s="1"/>
  <c r="H139" i="43" s="1"/>
  <c r="P118" i="43"/>
  <c r="P119" i="43" s="1"/>
  <c r="H133" i="43"/>
  <c r="L142" i="43"/>
  <c r="L141" i="43" s="1"/>
  <c r="L139" i="43" s="1"/>
  <c r="L133" i="43"/>
  <c r="O133" i="43"/>
  <c r="C133" i="43"/>
  <c r="C142" i="43"/>
  <c r="C141" i="43" s="1"/>
  <c r="C139" i="43" s="1"/>
  <c r="H116" i="43"/>
  <c r="H118" i="43" s="1"/>
  <c r="H119" i="43" s="1"/>
  <c r="F133" i="43"/>
  <c r="F142" i="43"/>
  <c r="F141" i="43" s="1"/>
  <c r="F139" i="43" s="1"/>
  <c r="O142" i="43"/>
  <c r="O141" i="43" s="1"/>
  <c r="O139" i="43" s="1"/>
  <c r="K133" i="43"/>
  <c r="E133" i="43"/>
  <c r="H41" i="43"/>
  <c r="H42" i="43"/>
  <c r="E142" i="43"/>
  <c r="E141" i="43" s="1"/>
  <c r="E139" i="43" s="1"/>
  <c r="C33" i="43"/>
  <c r="C62" i="43" s="1"/>
  <c r="C41" i="43"/>
  <c r="C67" i="43" s="1"/>
  <c r="C69" i="43" s="1"/>
  <c r="K34" i="43"/>
  <c r="K41" i="43"/>
  <c r="K142" i="43"/>
  <c r="K141" i="43" s="1"/>
  <c r="K139" i="43" s="1"/>
  <c r="N133" i="43"/>
  <c r="N142" i="43"/>
  <c r="N141" i="43" s="1"/>
  <c r="N139" i="43" s="1"/>
  <c r="C27" i="43"/>
  <c r="I271" i="43"/>
  <c r="I133" i="43"/>
  <c r="D27" i="43"/>
  <c r="D65" i="43" s="1"/>
  <c r="T116" i="43"/>
  <c r="T118" i="43" s="1"/>
  <c r="T119" i="43" s="1"/>
  <c r="J181" i="43"/>
  <c r="J188" i="43" s="1"/>
  <c r="I198" i="43"/>
  <c r="I15" i="43"/>
  <c r="H200" i="43"/>
  <c r="H15" i="43"/>
  <c r="J195" i="43"/>
  <c r="J15" i="43"/>
  <c r="N193" i="43"/>
  <c r="N15" i="43"/>
  <c r="P198" i="43"/>
  <c r="P15" i="43"/>
  <c r="L199" i="43"/>
  <c r="L15" i="43"/>
  <c r="K195" i="43"/>
  <c r="K15" i="43"/>
  <c r="O198" i="43"/>
  <c r="O15" i="43"/>
  <c r="F199" i="43"/>
  <c r="F15" i="43"/>
  <c r="G195" i="43"/>
  <c r="G15" i="43"/>
  <c r="J118" i="43"/>
  <c r="J119" i="43" s="1"/>
  <c r="H225" i="43"/>
  <c r="H226" i="43" s="1"/>
  <c r="H238" i="43" s="1"/>
  <c r="H240" i="43" s="1"/>
  <c r="K220" i="43"/>
  <c r="K223" i="43" s="1"/>
  <c r="K225" i="43" s="1"/>
  <c r="K226" i="43" s="1"/>
  <c r="K238" i="43" s="1"/>
  <c r="S181" i="43"/>
  <c r="S188" i="43" s="1"/>
  <c r="H195" i="43"/>
  <c r="G193" i="43"/>
  <c r="P200" i="43"/>
  <c r="L193" i="43"/>
  <c r="M181" i="43"/>
  <c r="M188" i="43" s="1"/>
  <c r="G181" i="43"/>
  <c r="G188" i="43" s="1"/>
  <c r="F193" i="43"/>
  <c r="J200" i="43"/>
  <c r="I200" i="43"/>
  <c r="J199" i="43"/>
  <c r="F200" i="43"/>
  <c r="N200" i="43"/>
  <c r="G199" i="43"/>
  <c r="H33" i="43"/>
  <c r="H62" i="43" s="1"/>
  <c r="P194" i="43"/>
  <c r="G194" i="43"/>
  <c r="G198" i="43"/>
  <c r="H199" i="43"/>
  <c r="G200" i="43"/>
  <c r="P25" i="79"/>
  <c r="D14" i="79"/>
  <c r="D21" i="43" s="1"/>
  <c r="O195" i="43"/>
  <c r="H194" i="43"/>
  <c r="P195" i="43"/>
  <c r="O194" i="43"/>
  <c r="F195" i="43"/>
  <c r="K194" i="43"/>
  <c r="K193" i="43"/>
  <c r="H198" i="43"/>
  <c r="P199" i="43"/>
  <c r="O200" i="43"/>
  <c r="J198" i="43"/>
  <c r="K198" i="43"/>
  <c r="O193" i="43"/>
  <c r="K200" i="43"/>
  <c r="H193" i="43"/>
  <c r="O199" i="43"/>
  <c r="J193" i="43"/>
  <c r="K33" i="43"/>
  <c r="K62" i="43" s="1"/>
  <c r="I193" i="43"/>
  <c r="I195" i="43"/>
  <c r="I199" i="43"/>
  <c r="I194" i="43"/>
  <c r="L200" i="43"/>
  <c r="G264" i="43"/>
  <c r="I266" i="43" s="1"/>
  <c r="I268" i="43" s="1"/>
  <c r="F194" i="43"/>
  <c r="J194" i="43"/>
  <c r="L194" i="43"/>
  <c r="L195" i="43"/>
  <c r="N116" i="43"/>
  <c r="N118" i="43" s="1"/>
  <c r="N119" i="43" s="1"/>
  <c r="M118" i="43"/>
  <c r="M119" i="43" s="1"/>
  <c r="P181" i="43"/>
  <c r="P188" i="43" s="1"/>
  <c r="L275" i="43"/>
  <c r="L280" i="43" s="1"/>
  <c r="M275" i="43" s="1"/>
  <c r="M280" i="43" s="1"/>
  <c r="N275" i="43"/>
  <c r="N280" i="43" s="1"/>
  <c r="H262" i="43"/>
  <c r="H264" i="43" s="1"/>
  <c r="G268" i="43"/>
  <c r="H266" i="43"/>
  <c r="H268" i="43" s="1"/>
  <c r="F239" i="43"/>
  <c r="F238" i="43"/>
  <c r="F240" i="43" s="1"/>
  <c r="G225" i="43"/>
  <c r="G226" i="43" s="1"/>
  <c r="I263" i="43"/>
  <c r="I262" i="43"/>
  <c r="J262" i="43"/>
  <c r="J263" i="43"/>
  <c r="L198" i="43"/>
  <c r="G25" i="79"/>
  <c r="F198" i="43"/>
  <c r="K199" i="43"/>
  <c r="M11" i="43"/>
  <c r="M196" i="43" s="1"/>
  <c r="P32" i="43"/>
  <c r="D32" i="43"/>
  <c r="P18" i="79"/>
  <c r="P25" i="43" s="1"/>
  <c r="P63" i="43" s="1"/>
  <c r="E32" i="43"/>
  <c r="E42" i="43" s="1"/>
  <c r="F32" i="43"/>
  <c r="F42" i="43" s="1"/>
  <c r="H19" i="79"/>
  <c r="K20" i="79" s="1"/>
  <c r="E19" i="79"/>
  <c r="H21" i="79" s="1"/>
  <c r="D19" i="79"/>
  <c r="M32" i="43"/>
  <c r="G32" i="43"/>
  <c r="N32" i="43"/>
  <c r="N42" i="43" s="1"/>
  <c r="N194" i="43"/>
  <c r="N195" i="43"/>
  <c r="O32" i="43"/>
  <c r="L32" i="43"/>
  <c r="L42" i="43" s="1"/>
  <c r="N198" i="43"/>
  <c r="N199" i="43"/>
  <c r="I225" i="43"/>
  <c r="I226" i="43" s="1"/>
  <c r="J220" i="43"/>
  <c r="J223" i="43" s="1"/>
  <c r="D181" i="43"/>
  <c r="D188" i="43" s="1"/>
  <c r="G18" i="79"/>
  <c r="G19" i="79" s="1"/>
  <c r="J21" i="79" s="1"/>
  <c r="L19" i="79"/>
  <c r="J30" i="43"/>
  <c r="J60" i="43" s="1"/>
  <c r="O19" i="79"/>
  <c r="O25" i="43"/>
  <c r="O63" i="43" s="1"/>
  <c r="M25" i="79"/>
  <c r="N25" i="43"/>
  <c r="N63" i="43" s="1"/>
  <c r="N19" i="79"/>
  <c r="J18" i="79"/>
  <c r="K25" i="43"/>
  <c r="K63" i="43" s="1"/>
  <c r="M18" i="79"/>
  <c r="F55" i="43" l="1"/>
  <c r="C195" i="43"/>
  <c r="Q21" i="79"/>
  <c r="N20" i="79"/>
  <c r="N22" i="79" s="1"/>
  <c r="R21" i="79"/>
  <c r="O20" i="79"/>
  <c r="O21" i="79"/>
  <c r="L20" i="79"/>
  <c r="L22" i="79" s="1"/>
  <c r="K21" i="79"/>
  <c r="K22" i="79" s="1"/>
  <c r="H20" i="79"/>
  <c r="H22" i="79" s="1"/>
  <c r="H18" i="43"/>
  <c r="F65" i="43"/>
  <c r="F215" i="43"/>
  <c r="F77" i="43"/>
  <c r="F270" i="43" s="1"/>
  <c r="E27" i="43"/>
  <c r="E113" i="43" s="1"/>
  <c r="L77" i="43"/>
  <c r="L270" i="43" s="1"/>
  <c r="F113" i="43"/>
  <c r="P55" i="43"/>
  <c r="H239" i="43"/>
  <c r="H241" i="43" s="1"/>
  <c r="H112" i="43"/>
  <c r="F216" i="43"/>
  <c r="F112" i="43"/>
  <c r="I33" i="43"/>
  <c r="I62" i="43" s="1"/>
  <c r="I41" i="43"/>
  <c r="I67" i="43" s="1"/>
  <c r="I69" i="43" s="1"/>
  <c r="L112" i="43"/>
  <c r="L216" i="43"/>
  <c r="I113" i="43"/>
  <c r="L18" i="43"/>
  <c r="I18" i="43"/>
  <c r="L65" i="43"/>
  <c r="L113" i="43"/>
  <c r="H216" i="43"/>
  <c r="I215" i="43"/>
  <c r="I65" i="43"/>
  <c r="H65" i="43"/>
  <c r="I112" i="43"/>
  <c r="M198" i="43"/>
  <c r="M55" i="43"/>
  <c r="I216" i="43"/>
  <c r="H77" i="43"/>
  <c r="H270" i="43" s="1"/>
  <c r="H113" i="43"/>
  <c r="D18" i="43"/>
  <c r="D113" i="43"/>
  <c r="D216" i="43"/>
  <c r="D112" i="43"/>
  <c r="D215" i="43"/>
  <c r="C18" i="43"/>
  <c r="C112" i="43"/>
  <c r="C216" i="43"/>
  <c r="C215" i="43"/>
  <c r="C113" i="43"/>
  <c r="D77" i="43"/>
  <c r="D81" i="43" s="1"/>
  <c r="K209" i="43"/>
  <c r="D41" i="43"/>
  <c r="D67" i="43" s="1"/>
  <c r="D42" i="43"/>
  <c r="M41" i="43"/>
  <c r="M67" i="43" s="1"/>
  <c r="M69" i="43" s="1"/>
  <c r="M42" i="43"/>
  <c r="P41" i="43"/>
  <c r="P67" i="43" s="1"/>
  <c r="P69" i="43" s="1"/>
  <c r="P42" i="43"/>
  <c r="O41" i="43"/>
  <c r="O67" i="43" s="1"/>
  <c r="O69" i="43" s="1"/>
  <c r="O42" i="43"/>
  <c r="G41" i="43"/>
  <c r="G67" i="43" s="1"/>
  <c r="G69" i="43" s="1"/>
  <c r="G42" i="43"/>
  <c r="I34" i="43"/>
  <c r="F41" i="43"/>
  <c r="F67" i="43" s="1"/>
  <c r="F69" i="43" s="1"/>
  <c r="N34" i="43"/>
  <c r="N41" i="43"/>
  <c r="L34" i="43"/>
  <c r="L41" i="43"/>
  <c r="L67" i="43" s="1"/>
  <c r="L69" i="43" s="1"/>
  <c r="H34" i="43"/>
  <c r="E41" i="43"/>
  <c r="O34" i="43"/>
  <c r="C65" i="43"/>
  <c r="C77" i="43"/>
  <c r="C270" i="43" s="1"/>
  <c r="P34" i="43"/>
  <c r="K239" i="43"/>
  <c r="K252" i="43" s="1"/>
  <c r="N27" i="43"/>
  <c r="N77" i="43" s="1"/>
  <c r="P27" i="43"/>
  <c r="D23" i="43"/>
  <c r="D271" i="43" s="1"/>
  <c r="O27" i="43"/>
  <c r="K27" i="43"/>
  <c r="N220" i="43"/>
  <c r="N223" i="43" s="1"/>
  <c r="Q220" i="43" s="1"/>
  <c r="Q223" i="43" s="1"/>
  <c r="L220" i="43"/>
  <c r="L223" i="43" s="1"/>
  <c r="M220" i="43" s="1"/>
  <c r="M223" i="43" s="1"/>
  <c r="M199" i="43"/>
  <c r="M15" i="43"/>
  <c r="M33" i="43"/>
  <c r="M62" i="43" s="1"/>
  <c r="P19" i="79"/>
  <c r="P14" i="79"/>
  <c r="P21" i="43" s="1"/>
  <c r="G14" i="79"/>
  <c r="G21" i="43" s="1"/>
  <c r="G25" i="43"/>
  <c r="M200" i="43"/>
  <c r="M193" i="43"/>
  <c r="M194" i="43"/>
  <c r="M195" i="43"/>
  <c r="J264" i="43"/>
  <c r="L266" i="43" s="1"/>
  <c r="L268" i="43" s="1"/>
  <c r="K263" i="43"/>
  <c r="I81" i="43"/>
  <c r="I270" i="43"/>
  <c r="K240" i="43"/>
  <c r="O275" i="43"/>
  <c r="O280" i="43" s="1"/>
  <c r="P275" i="43" s="1"/>
  <c r="P280" i="43" s="1"/>
  <c r="Q275" i="43"/>
  <c r="Q280" i="43" s="1"/>
  <c r="I264" i="43"/>
  <c r="J266" i="43" s="1"/>
  <c r="K262" i="43"/>
  <c r="J225" i="43"/>
  <c r="J209" i="43" s="1"/>
  <c r="L262" i="43"/>
  <c r="L263" i="43"/>
  <c r="I239" i="43"/>
  <c r="I238" i="43"/>
  <c r="I240" i="43" s="1"/>
  <c r="G238" i="43"/>
  <c r="G240" i="43" s="1"/>
  <c r="G239" i="43"/>
  <c r="F254" i="43"/>
  <c r="F253" i="43"/>
  <c r="F241" i="43"/>
  <c r="F252" i="43"/>
  <c r="O33" i="43"/>
  <c r="O62" i="43" s="1"/>
  <c r="C72" i="43"/>
  <c r="N33" i="43"/>
  <c r="N62" i="43" s="1"/>
  <c r="F33" i="43"/>
  <c r="L33" i="43"/>
  <c r="L62" i="43" s="1"/>
  <c r="I72" i="43"/>
  <c r="G33" i="43"/>
  <c r="J32" i="43"/>
  <c r="J42" i="43" s="1"/>
  <c r="E33" i="43"/>
  <c r="E62" i="43" s="1"/>
  <c r="D33" i="43"/>
  <c r="D62" i="43" s="1"/>
  <c r="P33" i="43"/>
  <c r="P62" i="43" s="1"/>
  <c r="J14" i="79"/>
  <c r="J21" i="43" s="1"/>
  <c r="J25" i="43"/>
  <c r="J63" i="43" s="1"/>
  <c r="J19" i="79"/>
  <c r="M19" i="79"/>
  <c r="M14" i="79"/>
  <c r="M21" i="43" s="1"/>
  <c r="M25" i="43"/>
  <c r="M63" i="43" s="1"/>
  <c r="P21" i="79" l="1"/>
  <c r="M20" i="79"/>
  <c r="M21" i="79"/>
  <c r="J20" i="79"/>
  <c r="J22" i="79" s="1"/>
  <c r="S21" i="79"/>
  <c r="P20" i="79"/>
  <c r="O22" i="79"/>
  <c r="L81" i="43"/>
  <c r="E18" i="43"/>
  <c r="F81" i="43"/>
  <c r="E215" i="43"/>
  <c r="E65" i="43"/>
  <c r="E216" i="43"/>
  <c r="E77" i="43"/>
  <c r="E270" i="43" s="1"/>
  <c r="E112" i="43"/>
  <c r="H253" i="43"/>
  <c r="H254" i="43"/>
  <c r="H252" i="43"/>
  <c r="D270" i="43"/>
  <c r="E67" i="43"/>
  <c r="E69" i="43" s="1"/>
  <c r="D69" i="43"/>
  <c r="H81" i="43"/>
  <c r="N67" i="43"/>
  <c r="N69" i="43" s="1"/>
  <c r="H67" i="43"/>
  <c r="H69" i="43" s="1"/>
  <c r="Q67" i="43"/>
  <c r="Q69" i="43" s="1"/>
  <c r="G27" i="43"/>
  <c r="G215" i="43" s="1"/>
  <c r="G63" i="43"/>
  <c r="N65" i="43"/>
  <c r="O18" i="43"/>
  <c r="O112" i="43"/>
  <c r="O216" i="43"/>
  <c r="O215" i="43"/>
  <c r="O113" i="43"/>
  <c r="P18" i="43"/>
  <c r="P215" i="43"/>
  <c r="P112" i="43"/>
  <c r="P216" i="43"/>
  <c r="P113" i="43"/>
  <c r="N18" i="43"/>
  <c r="N112" i="43"/>
  <c r="N216" i="43"/>
  <c r="N215" i="43"/>
  <c r="N113" i="43"/>
  <c r="O77" i="43"/>
  <c r="O270" i="43" s="1"/>
  <c r="C81" i="43"/>
  <c r="K18" i="43"/>
  <c r="K112" i="43"/>
  <c r="K215" i="43"/>
  <c r="K216" i="43"/>
  <c r="K113" i="43"/>
  <c r="K241" i="43"/>
  <c r="K253" i="43"/>
  <c r="O65" i="43"/>
  <c r="K254" i="43"/>
  <c r="N225" i="43"/>
  <c r="N209" i="43" s="1"/>
  <c r="P77" i="43"/>
  <c r="P81" i="43" s="1"/>
  <c r="O220" i="43"/>
  <c r="O223" i="43" s="1"/>
  <c r="P220" i="43" s="1"/>
  <c r="P223" i="43" s="1"/>
  <c r="P225" i="43" s="1"/>
  <c r="P65" i="43"/>
  <c r="J34" i="43"/>
  <c r="J41" i="43"/>
  <c r="J67" i="43" s="1"/>
  <c r="F62" i="43"/>
  <c r="F34" i="43"/>
  <c r="M34" i="43"/>
  <c r="G62" i="43"/>
  <c r="G34" i="43"/>
  <c r="K65" i="43"/>
  <c r="K77" i="43"/>
  <c r="K81" i="43" s="1"/>
  <c r="D133" i="43"/>
  <c r="D142" i="43"/>
  <c r="D141" i="43" s="1"/>
  <c r="D139" i="43" s="1"/>
  <c r="J27" i="43"/>
  <c r="G23" i="43"/>
  <c r="G142" i="43" s="1"/>
  <c r="G141" i="43" s="1"/>
  <c r="G139" i="43" s="1"/>
  <c r="J23" i="43"/>
  <c r="J271" i="43" s="1"/>
  <c r="M27" i="43"/>
  <c r="P23" i="43"/>
  <c r="P142" i="43" s="1"/>
  <c r="P141" i="43" s="1"/>
  <c r="P139" i="43" s="1"/>
  <c r="M23" i="43"/>
  <c r="M133" i="43" s="1"/>
  <c r="M262" i="43"/>
  <c r="M263" i="43"/>
  <c r="N263" i="43" s="1"/>
  <c r="L225" i="43"/>
  <c r="L226" i="43" s="1"/>
  <c r="L238" i="43" s="1"/>
  <c r="L240" i="43" s="1"/>
  <c r="K264" i="43"/>
  <c r="J226" i="43"/>
  <c r="J238" i="43" s="1"/>
  <c r="J240" i="43" s="1"/>
  <c r="R275" i="43"/>
  <c r="R280" i="43" s="1"/>
  <c r="S275" i="43" s="1"/>
  <c r="S280" i="43" s="1"/>
  <c r="T275" i="43"/>
  <c r="T280" i="43" s="1"/>
  <c r="N81" i="43"/>
  <c r="N270" i="43"/>
  <c r="G253" i="43"/>
  <c r="G241" i="43"/>
  <c r="G252" i="43"/>
  <c r="G254" i="43"/>
  <c r="K266" i="43"/>
  <c r="K268" i="43" s="1"/>
  <c r="J268" i="43"/>
  <c r="L264" i="43"/>
  <c r="M266" i="43" s="1"/>
  <c r="I252" i="43"/>
  <c r="I253" i="43"/>
  <c r="I241" i="43"/>
  <c r="I254" i="43"/>
  <c r="M225" i="43"/>
  <c r="O263" i="43"/>
  <c r="O262" i="43"/>
  <c r="K72" i="43"/>
  <c r="J72" i="43"/>
  <c r="H72" i="43"/>
  <c r="C70" i="43"/>
  <c r="C71" i="43" s="1"/>
  <c r="O72" i="43"/>
  <c r="F72" i="43"/>
  <c r="J33" i="43"/>
  <c r="J62" i="43" s="1"/>
  <c r="I70" i="43"/>
  <c r="I71" i="43" s="1"/>
  <c r="L72" i="43"/>
  <c r="Q225" i="43"/>
  <c r="T220" i="43"/>
  <c r="T223" i="43" s="1"/>
  <c r="R220" i="43"/>
  <c r="R223" i="43" s="1"/>
  <c r="P22" i="79" l="1"/>
  <c r="M22" i="79"/>
  <c r="E81" i="43"/>
  <c r="G18" i="43"/>
  <c r="G77" i="43"/>
  <c r="G81" i="43" s="1"/>
  <c r="G65" i="43"/>
  <c r="G113" i="43"/>
  <c r="G216" i="43"/>
  <c r="G112" i="43"/>
  <c r="K67" i="43"/>
  <c r="K69" i="43" s="1"/>
  <c r="J69" i="43"/>
  <c r="N226" i="43"/>
  <c r="N238" i="43" s="1"/>
  <c r="N240" i="43" s="1"/>
  <c r="O81" i="43"/>
  <c r="M142" i="43"/>
  <c r="M141" i="43" s="1"/>
  <c r="M139" i="43" s="1"/>
  <c r="J133" i="43"/>
  <c r="L239" i="43"/>
  <c r="L252" i="43" s="1"/>
  <c r="J142" i="43"/>
  <c r="J141" i="43" s="1"/>
  <c r="J139" i="43" s="1"/>
  <c r="M18" i="43"/>
  <c r="M112" i="43"/>
  <c r="M216" i="43"/>
  <c r="M215" i="43"/>
  <c r="M113" i="43"/>
  <c r="J18" i="43"/>
  <c r="J112" i="43"/>
  <c r="J215" i="43"/>
  <c r="J216" i="43"/>
  <c r="J113" i="43"/>
  <c r="K270" i="43"/>
  <c r="P263" i="43"/>
  <c r="Q263" i="43" s="1"/>
  <c r="M65" i="43"/>
  <c r="M77" i="43"/>
  <c r="M81" i="43" s="1"/>
  <c r="O225" i="43"/>
  <c r="O226" i="43" s="1"/>
  <c r="O239" i="43" s="1"/>
  <c r="J65" i="43"/>
  <c r="P262" i="43"/>
  <c r="Q262" i="43" s="1"/>
  <c r="J77" i="43"/>
  <c r="J81" i="43" s="1"/>
  <c r="M271" i="43"/>
  <c r="G133" i="43"/>
  <c r="G271" i="43"/>
  <c r="P271" i="43"/>
  <c r="P270" i="43" s="1"/>
  <c r="P133" i="43"/>
  <c r="M264" i="43"/>
  <c r="O266" i="43" s="1"/>
  <c r="O268" i="43" s="1"/>
  <c r="N262" i="43"/>
  <c r="N264" i="43" s="1"/>
  <c r="J239" i="43"/>
  <c r="J253" i="43" s="1"/>
  <c r="S263" i="43"/>
  <c r="S262" i="43"/>
  <c r="M226" i="43"/>
  <c r="M209" i="43"/>
  <c r="N266" i="43"/>
  <c r="N268" i="43" s="1"/>
  <c r="M268" i="43"/>
  <c r="R262" i="43"/>
  <c r="R263" i="43"/>
  <c r="O264" i="43"/>
  <c r="P266" i="43" s="1"/>
  <c r="F70" i="43"/>
  <c r="F71" i="43" s="1"/>
  <c r="H73" i="43"/>
  <c r="D72" i="43"/>
  <c r="E72" i="43"/>
  <c r="E73" i="43" s="1"/>
  <c r="N72" i="43"/>
  <c r="M72" i="43"/>
  <c r="I73" i="43"/>
  <c r="G72" i="43"/>
  <c r="C73" i="43"/>
  <c r="L70" i="43"/>
  <c r="L71" i="43" s="1"/>
  <c r="O70" i="43"/>
  <c r="O71" i="43" s="1"/>
  <c r="Q209" i="43"/>
  <c r="Q226" i="43"/>
  <c r="S220" i="43"/>
  <c r="S223" i="43" s="1"/>
  <c r="S225" i="43" s="1"/>
  <c r="T225" i="43"/>
  <c r="U220" i="43"/>
  <c r="U223" i="43" s="1"/>
  <c r="U225" i="43" s="1"/>
  <c r="U226" i="43" s="1"/>
  <c r="W220" i="43"/>
  <c r="W223" i="43" s="1"/>
  <c r="P209" i="43"/>
  <c r="P226" i="43"/>
  <c r="R225" i="43"/>
  <c r="R226" i="43" s="1"/>
  <c r="AL25" i="78"/>
  <c r="AK25" i="78"/>
  <c r="AG25" i="78"/>
  <c r="AG34" i="78" s="1"/>
  <c r="AH34" i="78" s="1"/>
  <c r="AH25" i="78"/>
  <c r="AI259" i="43"/>
  <c r="AI285" i="43"/>
  <c r="AH285" i="43"/>
  <c r="AI284" i="43"/>
  <c r="AH284" i="43"/>
  <c r="AI283" i="43"/>
  <c r="AH283" i="43"/>
  <c r="AI278" i="43"/>
  <c r="AI276" i="43"/>
  <c r="AI267" i="43"/>
  <c r="AH259" i="43"/>
  <c r="AI231" i="43"/>
  <c r="AH231" i="43"/>
  <c r="AI244" i="43"/>
  <c r="AI246" i="43" s="1"/>
  <c r="AI217" i="43"/>
  <c r="AI204" i="43"/>
  <c r="AI203" i="43"/>
  <c r="AI202" i="43"/>
  <c r="AH178" i="43"/>
  <c r="AH186" i="43"/>
  <c r="AH185" i="43"/>
  <c r="AH184" i="43"/>
  <c r="AH183" i="43"/>
  <c r="AH176" i="43"/>
  <c r="AH177" i="43"/>
  <c r="AH174" i="43"/>
  <c r="AH168" i="43"/>
  <c r="AH169" i="43"/>
  <c r="AH167" i="43"/>
  <c r="AH165" i="43"/>
  <c r="AH159" i="43"/>
  <c r="AH160" i="43"/>
  <c r="AH157" i="43"/>
  <c r="AH153" i="43"/>
  <c r="AH152" i="43"/>
  <c r="AH151" i="43"/>
  <c r="AH170" i="43"/>
  <c r="AI162" i="43"/>
  <c r="AH154" i="43"/>
  <c r="AI138" i="43"/>
  <c r="AI129" i="43"/>
  <c r="AI131" i="43" s="1"/>
  <c r="AI126" i="43"/>
  <c r="AI125" i="43"/>
  <c r="AH125" i="43"/>
  <c r="AI107" i="43"/>
  <c r="AI116" i="43" s="1"/>
  <c r="AI106" i="43"/>
  <c r="AH106" i="43" s="1"/>
  <c r="AH126" i="43" s="1"/>
  <c r="AH93" i="43"/>
  <c r="AH92" i="43"/>
  <c r="AH278" i="43" s="1"/>
  <c r="AH89" i="43"/>
  <c r="AH88" i="43"/>
  <c r="AH137" i="43" s="1"/>
  <c r="AH87" i="43"/>
  <c r="AH84" i="43"/>
  <c r="AH82" i="43"/>
  <c r="AH79" i="43"/>
  <c r="AI101" i="43"/>
  <c r="AI49" i="43"/>
  <c r="AI234" i="43" s="1"/>
  <c r="AH47" i="43"/>
  <c r="AH44" i="43"/>
  <c r="AH235" i="43" s="1"/>
  <c r="AH38" i="43"/>
  <c r="AH129" i="43" s="1"/>
  <c r="AH131" i="43" s="1"/>
  <c r="AH36" i="43"/>
  <c r="AI25" i="43"/>
  <c r="AI41" i="79"/>
  <c r="AI38" i="79"/>
  <c r="AI35" i="79"/>
  <c r="AI30" i="79"/>
  <c r="AI7" i="79"/>
  <c r="AH41" i="79"/>
  <c r="AH38" i="79"/>
  <c r="AH35" i="79"/>
  <c r="AH29" i="79"/>
  <c r="AH27" i="79"/>
  <c r="AH18" i="79"/>
  <c r="AH3" i="79"/>
  <c r="AI42" i="78"/>
  <c r="AI48" i="78" s="1"/>
  <c r="AI41" i="78"/>
  <c r="AI22" i="78"/>
  <c r="AI4" i="78"/>
  <c r="AH42" i="78"/>
  <c r="AH48" i="78" s="1"/>
  <c r="AH41" i="78"/>
  <c r="AH21" i="78"/>
  <c r="AH19" i="78"/>
  <c r="AH5" i="78"/>
  <c r="AH3" i="78"/>
  <c r="AK4" i="78" s="1"/>
  <c r="AI24" i="79"/>
  <c r="AK7" i="79" l="1"/>
  <c r="AL248" i="43"/>
  <c r="AI53" i="79"/>
  <c r="AH53" i="79"/>
  <c r="G270" i="43"/>
  <c r="N239" i="43"/>
  <c r="N241" i="43" s="1"/>
  <c r="AH39" i="43"/>
  <c r="M270" i="43"/>
  <c r="L241" i="43"/>
  <c r="L253" i="43"/>
  <c r="L254" i="43"/>
  <c r="J270" i="43"/>
  <c r="P264" i="43"/>
  <c r="R266" i="43" s="1"/>
  <c r="R268" i="43" s="1"/>
  <c r="J254" i="43"/>
  <c r="O238" i="43"/>
  <c r="O240" i="43" s="1"/>
  <c r="Q264" i="43"/>
  <c r="AI27" i="43"/>
  <c r="J241" i="43"/>
  <c r="J252" i="43"/>
  <c r="T263" i="43"/>
  <c r="O73" i="43"/>
  <c r="R239" i="43"/>
  <c r="R238" i="43"/>
  <c r="Q239" i="43"/>
  <c r="Q238" i="43"/>
  <c r="Q240" i="43" s="1"/>
  <c r="S264" i="43"/>
  <c r="P239" i="43"/>
  <c r="P238" i="43"/>
  <c r="R264" i="43"/>
  <c r="S266" i="43" s="1"/>
  <c r="T262" i="43"/>
  <c r="M239" i="43"/>
  <c r="M238" i="43"/>
  <c r="M240" i="43" s="1"/>
  <c r="O253" i="43"/>
  <c r="O241" i="43"/>
  <c r="O252" i="43"/>
  <c r="O254" i="43"/>
  <c r="P268" i="43"/>
  <c r="Q266" i="43"/>
  <c r="Q268" i="43" s="1"/>
  <c r="F73" i="43"/>
  <c r="L73" i="43"/>
  <c r="K70" i="43"/>
  <c r="K73" i="43"/>
  <c r="H70" i="43"/>
  <c r="G70" i="43"/>
  <c r="G71" i="43" s="1"/>
  <c r="H71" i="43" s="1"/>
  <c r="E70" i="43"/>
  <c r="N70" i="43"/>
  <c r="N73" i="43"/>
  <c r="D70" i="43"/>
  <c r="D71" i="43" s="1"/>
  <c r="E71" i="43" s="1"/>
  <c r="D73" i="43"/>
  <c r="AI14" i="78"/>
  <c r="T226" i="43"/>
  <c r="T209" i="43"/>
  <c r="S209" i="43"/>
  <c r="S226" i="43"/>
  <c r="V220" i="43"/>
  <c r="V223" i="43" s="1"/>
  <c r="V225" i="43" s="1"/>
  <c r="V226" i="43" s="1"/>
  <c r="Z220" i="43"/>
  <c r="Z223" i="43" s="1"/>
  <c r="Z225" i="43" s="1"/>
  <c r="Z226" i="43" s="1"/>
  <c r="X220" i="43"/>
  <c r="X223" i="43" s="1"/>
  <c r="X225" i="43" s="1"/>
  <c r="X226" i="43" s="1"/>
  <c r="W225" i="43"/>
  <c r="W226" i="43" s="1"/>
  <c r="AH179" i="43"/>
  <c r="AH22" i="78"/>
  <c r="AI25" i="79"/>
  <c r="AI22" i="43"/>
  <c r="AI21" i="43"/>
  <c r="AH30" i="79"/>
  <c r="AI28" i="79"/>
  <c r="AI19" i="79"/>
  <c r="AI31" i="79"/>
  <c r="AH6" i="78"/>
  <c r="AK7" i="78" s="1"/>
  <c r="AH25" i="43"/>
  <c r="AH161" i="43"/>
  <c r="AH162" i="43" s="1"/>
  <c r="AI277" i="43"/>
  <c r="AI279" i="43" s="1"/>
  <c r="AI205" i="43"/>
  <c r="AH171" i="43"/>
  <c r="AI171" i="43"/>
  <c r="AI180" i="43" s="1"/>
  <c r="AH187" i="43"/>
  <c r="AH217" i="43"/>
  <c r="AH276" i="43"/>
  <c r="AH155" i="43"/>
  <c r="AI97" i="43"/>
  <c r="AI109" i="43"/>
  <c r="AH127" i="43"/>
  <c r="AH128" i="43" s="1"/>
  <c r="AI127" i="43"/>
  <c r="AI128" i="43" s="1"/>
  <c r="AI90" i="43"/>
  <c r="AH48" i="43"/>
  <c r="AH49" i="43" s="1"/>
  <c r="AI23" i="78"/>
  <c r="AI20" i="78"/>
  <c r="AH11" i="79"/>
  <c r="AK12" i="79" s="1"/>
  <c r="AK57" i="43" l="1"/>
  <c r="AL21" i="79"/>
  <c r="AL20" i="79"/>
  <c r="AJ206" i="43"/>
  <c r="AJ80" i="43" s="1"/>
  <c r="AL206" i="43"/>
  <c r="AH120" i="43"/>
  <c r="AH122" i="43" s="1"/>
  <c r="AJ115" i="43"/>
  <c r="F8" i="82"/>
  <c r="N252" i="43"/>
  <c r="N253" i="43"/>
  <c r="N254" i="43"/>
  <c r="R240" i="43"/>
  <c r="AI113" i="43"/>
  <c r="AI77" i="43"/>
  <c r="AI112" i="43"/>
  <c r="AI23" i="43"/>
  <c r="AH27" i="43"/>
  <c r="T264" i="43"/>
  <c r="AH163" i="43"/>
  <c r="S238" i="43"/>
  <c r="S240" i="43" s="1"/>
  <c r="S239" i="43"/>
  <c r="M252" i="43"/>
  <c r="M254" i="43"/>
  <c r="M253" i="43"/>
  <c r="M241" i="43"/>
  <c r="P253" i="43"/>
  <c r="P241" i="43"/>
  <c r="P252" i="43"/>
  <c r="P254" i="43"/>
  <c r="R253" i="43"/>
  <c r="R241" i="43"/>
  <c r="R252" i="43"/>
  <c r="R254" i="43"/>
  <c r="S268" i="43"/>
  <c r="T266" i="43"/>
  <c r="T268" i="43" s="1"/>
  <c r="T239" i="43"/>
  <c r="T238" i="43"/>
  <c r="T240" i="43" s="1"/>
  <c r="P240" i="43"/>
  <c r="Q252" i="43"/>
  <c r="Q253" i="43"/>
  <c r="Q241" i="43"/>
  <c r="Q254" i="43"/>
  <c r="G73" i="43"/>
  <c r="M73" i="43"/>
  <c r="M70" i="43"/>
  <c r="M71" i="43" s="1"/>
  <c r="N71" i="43" s="1"/>
  <c r="J73" i="43"/>
  <c r="AH10" i="43"/>
  <c r="AH14" i="78"/>
  <c r="AA220" i="43"/>
  <c r="AA223" i="43" s="1"/>
  <c r="AB220" i="43" s="1"/>
  <c r="AB223" i="43" s="1"/>
  <c r="AB225" i="43" s="1"/>
  <c r="AB226" i="43" s="1"/>
  <c r="AC220" i="43"/>
  <c r="AC221" i="43" s="1"/>
  <c r="AC226" i="43"/>
  <c r="Y220" i="43"/>
  <c r="Y223" i="43" s="1"/>
  <c r="Y225" i="43" s="1"/>
  <c r="Y226" i="43" s="1"/>
  <c r="AH9" i="43"/>
  <c r="AH180" i="43"/>
  <c r="AI98" i="43"/>
  <c r="AI210" i="43"/>
  <c r="AH277" i="43"/>
  <c r="AH279" i="43" s="1"/>
  <c r="AH234" i="43"/>
  <c r="AH19" i="79"/>
  <c r="AK21" i="79" s="1"/>
  <c r="W67" i="82"/>
  <c r="W65" i="82"/>
  <c r="W63" i="82"/>
  <c r="W60" i="82"/>
  <c r="X61" i="82" s="1"/>
  <c r="V67" i="82"/>
  <c r="V65" i="82"/>
  <c r="V63" i="82"/>
  <c r="V60" i="82"/>
  <c r="U67" i="82"/>
  <c r="U65" i="82"/>
  <c r="U63" i="82"/>
  <c r="U60" i="82"/>
  <c r="R63" i="82"/>
  <c r="R60" i="82"/>
  <c r="T67" i="82"/>
  <c r="T65" i="82"/>
  <c r="T63" i="82"/>
  <c r="T60" i="82"/>
  <c r="F38" i="82"/>
  <c r="F34" i="82"/>
  <c r="F33" i="82"/>
  <c r="F30" i="82"/>
  <c r="F24" i="82"/>
  <c r="F15" i="82"/>
  <c r="AK53" i="43" l="1"/>
  <c r="AL22" i="79"/>
  <c r="AK54" i="43"/>
  <c r="AJ118" i="43"/>
  <c r="AL115" i="43"/>
  <c r="W64" i="82"/>
  <c r="X64" i="82"/>
  <c r="AI271" i="43"/>
  <c r="AI270" i="43" s="1"/>
  <c r="AI141" i="43"/>
  <c r="AH64" i="43"/>
  <c r="AH63" i="43"/>
  <c r="AH77" i="43"/>
  <c r="AH112" i="43"/>
  <c r="T253" i="43"/>
  <c r="T241" i="43"/>
  <c r="T252" i="43"/>
  <c r="T254" i="43"/>
  <c r="S253" i="43"/>
  <c r="S241" i="43"/>
  <c r="S254" i="43"/>
  <c r="S252" i="43"/>
  <c r="J70" i="43"/>
  <c r="J71" i="43" s="1"/>
  <c r="K71" i="43" s="1"/>
  <c r="AA225" i="43"/>
  <c r="AA226" i="43" s="1"/>
  <c r="AD220" i="43"/>
  <c r="AD223" i="43" s="1"/>
  <c r="AF220" i="43"/>
  <c r="AF223" i="43" s="1"/>
  <c r="AI32" i="43"/>
  <c r="AH11" i="43"/>
  <c r="AH181" i="43"/>
  <c r="AH188" i="43" s="1"/>
  <c r="AK55" i="43" l="1"/>
  <c r="AI133" i="43"/>
  <c r="AH194" i="43"/>
  <c r="AH193" i="43"/>
  <c r="AH195" i="43"/>
  <c r="AI41" i="43"/>
  <c r="AI42" i="43"/>
  <c r="AH198" i="43"/>
  <c r="AH18" i="43"/>
  <c r="AH15" i="43"/>
  <c r="AF225" i="43"/>
  <c r="AF226" i="43" s="1"/>
  <c r="S33" i="82" s="1"/>
  <c r="AI220" i="43"/>
  <c r="AI226" i="43" s="1"/>
  <c r="AI238" i="43" s="1"/>
  <c r="AG220" i="43"/>
  <c r="AG223" i="43" s="1"/>
  <c r="AE220" i="43"/>
  <c r="AE223" i="43" s="1"/>
  <c r="AE225" i="43" s="1"/>
  <c r="AE226" i="43" s="1"/>
  <c r="AD225" i="43"/>
  <c r="AD226" i="43" s="1"/>
  <c r="AH65" i="43"/>
  <c r="AH200" i="43"/>
  <c r="AH199" i="43"/>
  <c r="AG225" i="43" l="1"/>
  <c r="AG226" i="43" s="1"/>
  <c r="AH220" i="43"/>
  <c r="C19" i="83"/>
  <c r="AH225" i="43" l="1"/>
  <c r="AH226" i="43" s="1"/>
  <c r="AH238" i="43" s="1"/>
  <c r="AH221" i="43"/>
  <c r="AH239" i="43" l="1"/>
  <c r="X6" i="75"/>
  <c r="AH253" i="43" l="1"/>
  <c r="AH252" i="43"/>
  <c r="AH254" i="43"/>
  <c r="AG140" i="43"/>
  <c r="AG285" i="43"/>
  <c r="AG284" i="43"/>
  <c r="AG283" i="43"/>
  <c r="AG278" i="43"/>
  <c r="AG276" i="43"/>
  <c r="AG259" i="43"/>
  <c r="AG231" i="43"/>
  <c r="AG217" i="43"/>
  <c r="AG204" i="43"/>
  <c r="AG203" i="43"/>
  <c r="AG202" i="43"/>
  <c r="AG162" i="43"/>
  <c r="AG137" i="43"/>
  <c r="AI137" i="43" s="1"/>
  <c r="AG136" i="43"/>
  <c r="AG129" i="43"/>
  <c r="AG131" i="43" s="1"/>
  <c r="AG126" i="43"/>
  <c r="AG125" i="43"/>
  <c r="AG106" i="43"/>
  <c r="AG101" i="43"/>
  <c r="AH94" i="43"/>
  <c r="AG90" i="43"/>
  <c r="AH85" i="43"/>
  <c r="AH86" i="43" s="1"/>
  <c r="AH136" i="43" s="1"/>
  <c r="AD86" i="43"/>
  <c r="AD101" i="43" s="1"/>
  <c r="AG49" i="43"/>
  <c r="AG234" i="43" s="1"/>
  <c r="AG238" i="43" s="1"/>
  <c r="AG239" i="43"/>
  <c r="AG25" i="43"/>
  <c r="AG30" i="79"/>
  <c r="AG9" i="43"/>
  <c r="AG7" i="79"/>
  <c r="AH14" i="79"/>
  <c r="AH16" i="79" s="1"/>
  <c r="AG22" i="78"/>
  <c r="AG4" i="78"/>
  <c r="AH9" i="78"/>
  <c r="AH11" i="78" s="1"/>
  <c r="AH139" i="43" l="1"/>
  <c r="AG63" i="43"/>
  <c r="AI9" i="43"/>
  <c r="AG27" i="43"/>
  <c r="AH16" i="78"/>
  <c r="AG10" i="43"/>
  <c r="AG28" i="78"/>
  <c r="AG14" i="78"/>
  <c r="AH21" i="43"/>
  <c r="AH22" i="43"/>
  <c r="AI136" i="43"/>
  <c r="AH97" i="43"/>
  <c r="AH90" i="43"/>
  <c r="AH101" i="43"/>
  <c r="AG120" i="43"/>
  <c r="AG122" i="43" s="1"/>
  <c r="AI120" i="43"/>
  <c r="AI122" i="43" s="1"/>
  <c r="AG277" i="43"/>
  <c r="AG279" i="43" s="1"/>
  <c r="AG97" i="43"/>
  <c r="AG205" i="43"/>
  <c r="AG253" i="43"/>
  <c r="AG252" i="43"/>
  <c r="AG127" i="43"/>
  <c r="AG128" i="43" s="1"/>
  <c r="AG19" i="79"/>
  <c r="AH24" i="79"/>
  <c r="AG21" i="43"/>
  <c r="AG22" i="43"/>
  <c r="AJ20" i="79" l="1"/>
  <c r="AJ21" i="79"/>
  <c r="AI10" i="43"/>
  <c r="AI11" i="43" s="1"/>
  <c r="AG64" i="43"/>
  <c r="AI63" i="43"/>
  <c r="AG77" i="43"/>
  <c r="AG112" i="43"/>
  <c r="AH23" i="43"/>
  <c r="AG23" i="43"/>
  <c r="AH28" i="78"/>
  <c r="AG11" i="43"/>
  <c r="AH28" i="79"/>
  <c r="AH30" i="43"/>
  <c r="AH31" i="79"/>
  <c r="AH25" i="79"/>
  <c r="AH98" i="43"/>
  <c r="AG98" i="43"/>
  <c r="AG25" i="79"/>
  <c r="AG28" i="79"/>
  <c r="AG30" i="43"/>
  <c r="AG31" i="79"/>
  <c r="AG17" i="78"/>
  <c r="AG31" i="43"/>
  <c r="AG20" i="78"/>
  <c r="AG23" i="78"/>
  <c r="AK32" i="78" l="1"/>
  <c r="AK58" i="43" s="1"/>
  <c r="AG60" i="43"/>
  <c r="AJ22" i="79"/>
  <c r="AG142" i="43"/>
  <c r="AG141" i="43" s="1"/>
  <c r="AH60" i="43"/>
  <c r="AG196" i="43"/>
  <c r="AG195" i="43"/>
  <c r="AG193" i="43"/>
  <c r="AG194" i="43"/>
  <c r="AG61" i="43"/>
  <c r="AI64" i="43"/>
  <c r="AG199" i="43"/>
  <c r="AG18" i="43"/>
  <c r="AG15" i="43"/>
  <c r="AG65" i="43"/>
  <c r="AG200" i="43"/>
  <c r="AG198" i="43"/>
  <c r="AH133" i="43"/>
  <c r="AH32" i="43"/>
  <c r="AH141" i="43"/>
  <c r="AH271" i="43"/>
  <c r="AH270" i="43" s="1"/>
  <c r="AI30" i="43"/>
  <c r="AG133" i="43"/>
  <c r="AG271" i="43"/>
  <c r="AG270" i="43" s="1"/>
  <c r="AI194" i="43" l="1"/>
  <c r="AI193" i="43"/>
  <c r="AI195" i="43"/>
  <c r="AI196" i="43"/>
  <c r="AI60" i="43"/>
  <c r="AI199" i="43"/>
  <c r="AI33" i="43"/>
  <c r="AI62" i="43" s="1"/>
  <c r="AI65" i="43"/>
  <c r="AI198" i="43"/>
  <c r="AI18" i="43"/>
  <c r="AI15" i="43"/>
  <c r="AI16" i="43" s="1"/>
  <c r="AI200" i="43"/>
  <c r="AH41" i="43"/>
  <c r="AH67" i="43" s="1"/>
  <c r="AH69" i="43" s="1"/>
  <c r="AH42" i="43"/>
  <c r="AH142" i="43"/>
  <c r="AH33" i="43"/>
  <c r="AH62" i="43" s="1"/>
  <c r="AI142" i="43"/>
  <c r="AO42" i="78"/>
  <c r="AO48" i="78" s="1"/>
  <c r="AN42" i="78"/>
  <c r="AN48" i="78" s="1"/>
  <c r="AM42" i="78"/>
  <c r="AM48" i="78" s="1"/>
  <c r="AL42" i="78"/>
  <c r="AL48" i="78" s="1"/>
  <c r="AK42" i="78"/>
  <c r="AK48" i="78" s="1"/>
  <c r="AG42" i="78"/>
  <c r="AG48" i="78" s="1"/>
  <c r="C56" i="83" l="1"/>
  <c r="C55" i="83"/>
  <c r="C44" i="83"/>
  <c r="AE6" i="43" l="1"/>
  <c r="AO284" i="43" l="1"/>
  <c r="AN284" i="43"/>
  <c r="AM284" i="43"/>
  <c r="AJ284" i="43"/>
  <c r="AF284" i="43"/>
  <c r="AE284" i="43"/>
  <c r="AD284" i="43"/>
  <c r="AC284" i="43"/>
  <c r="AB284" i="43"/>
  <c r="AA284" i="43"/>
  <c r="Z284" i="43"/>
  <c r="Y284" i="43"/>
  <c r="X284" i="43"/>
  <c r="W284" i="43"/>
  <c r="V284" i="43"/>
  <c r="U284" i="43"/>
  <c r="AO285" i="43"/>
  <c r="AN285" i="43"/>
  <c r="AM285" i="43"/>
  <c r="AJ285" i="43"/>
  <c r="AF285" i="43"/>
  <c r="AE285" i="43"/>
  <c r="AD285" i="43"/>
  <c r="AC285" i="43"/>
  <c r="AB285" i="43"/>
  <c r="AA285" i="43"/>
  <c r="Z285" i="43"/>
  <c r="Y285" i="43"/>
  <c r="X285" i="43"/>
  <c r="W285" i="43"/>
  <c r="V285" i="43"/>
  <c r="U285" i="43"/>
  <c r="AO283" i="43"/>
  <c r="AN283" i="43"/>
  <c r="AM283" i="43"/>
  <c r="AJ283" i="43"/>
  <c r="AF283" i="43"/>
  <c r="AE283" i="43"/>
  <c r="AD283" i="43"/>
  <c r="AC283" i="43"/>
  <c r="AB283" i="43"/>
  <c r="AA283" i="43"/>
  <c r="Z283" i="43"/>
  <c r="Y283" i="43"/>
  <c r="X283" i="43"/>
  <c r="W283" i="43"/>
  <c r="V283" i="43"/>
  <c r="U283" i="43"/>
  <c r="AE48" i="43" l="1"/>
  <c r="AE21" i="78" l="1"/>
  <c r="AE19" i="78"/>
  <c r="AF22" i="78"/>
  <c r="AE29" i="79"/>
  <c r="AE27" i="79"/>
  <c r="AF30" i="79"/>
  <c r="AE22" i="78" l="1"/>
  <c r="AE30" i="79"/>
  <c r="AJ36" i="78" l="1"/>
  <c r="AJ37" i="78"/>
  <c r="Z27" i="75"/>
  <c r="AA27" i="75" l="1"/>
  <c r="AJ38" i="78"/>
  <c r="AE18" i="79"/>
  <c r="AF140" i="43" l="1"/>
  <c r="AD140" i="43"/>
  <c r="AF138" i="43"/>
  <c r="AD137" i="43"/>
  <c r="AF129" i="43"/>
  <c r="AF126" i="43"/>
  <c r="AF125" i="43"/>
  <c r="AE125" i="43"/>
  <c r="AF107" i="43"/>
  <c r="AF116" i="43" s="1"/>
  <c r="AF106" i="43"/>
  <c r="AE106" i="43" s="1"/>
  <c r="AE126" i="43" s="1"/>
  <c r="AF244" i="43"/>
  <c r="AF246" i="43" s="1"/>
  <c r="E18" i="82" s="1"/>
  <c r="AF217" i="43"/>
  <c r="S52" i="82" s="1"/>
  <c r="AD217" i="43"/>
  <c r="AF204" i="43"/>
  <c r="AD204" i="43"/>
  <c r="AF203" i="43"/>
  <c r="AD203" i="43"/>
  <c r="AF202" i="43"/>
  <c r="AD202" i="43"/>
  <c r="AE186" i="43"/>
  <c r="AE185" i="43"/>
  <c r="AE184" i="43"/>
  <c r="AE183" i="43"/>
  <c r="AE176" i="43"/>
  <c r="AE177" i="43"/>
  <c r="AE174" i="43"/>
  <c r="AE170" i="43"/>
  <c r="AE168" i="43"/>
  <c r="AE169" i="43"/>
  <c r="AE167" i="43"/>
  <c r="AE165" i="43"/>
  <c r="AE161" i="43"/>
  <c r="AE159" i="43"/>
  <c r="AE160" i="43"/>
  <c r="AE157" i="43"/>
  <c r="AE140" i="43" s="1"/>
  <c r="AE154" i="43"/>
  <c r="AE153" i="43"/>
  <c r="AE152" i="43"/>
  <c r="AE151" i="43"/>
  <c r="AE100" i="43"/>
  <c r="AE92" i="43"/>
  <c r="AE89" i="43"/>
  <c r="AE88" i="43"/>
  <c r="AE137" i="43" s="1"/>
  <c r="AE87" i="43"/>
  <c r="AE84" i="43"/>
  <c r="AF101" i="43"/>
  <c r="AE82" i="43"/>
  <c r="AE79" i="43"/>
  <c r="AE38" i="43"/>
  <c r="AE129" i="43" s="1"/>
  <c r="AE36" i="43"/>
  <c r="AE44" i="43"/>
  <c r="AE235" i="43" s="1"/>
  <c r="AE3" i="78"/>
  <c r="AH4" i="78" s="1"/>
  <c r="AE3" i="79"/>
  <c r="AI12" i="79"/>
  <c r="AF7" i="79"/>
  <c r="AH7" i="79" l="1"/>
  <c r="AI57" i="43"/>
  <c r="AH45" i="43"/>
  <c r="AE39" i="43"/>
  <c r="AE120" i="43" s="1"/>
  <c r="AE179" i="43"/>
  <c r="AE107" i="43"/>
  <c r="AF24" i="79"/>
  <c r="AF31" i="79" s="1"/>
  <c r="AF109" i="43"/>
  <c r="S44" i="82" s="1"/>
  <c r="AF137" i="43"/>
  <c r="AE11" i="79"/>
  <c r="AH12" i="79" s="1"/>
  <c r="AE85" i="43"/>
  <c r="AE86" i="43" s="1"/>
  <c r="AD205" i="43"/>
  <c r="AE127" i="43"/>
  <c r="AE128" i="43" s="1"/>
  <c r="AF127" i="43"/>
  <c r="AF128" i="43" s="1"/>
  <c r="AF205" i="43"/>
  <c r="AE217" i="43"/>
  <c r="AE155" i="43"/>
  <c r="AE162" i="43"/>
  <c r="AE171" i="43"/>
  <c r="AE6" i="78"/>
  <c r="AH57" i="43" l="1"/>
  <c r="AE109" i="43"/>
  <c r="AE116" i="43"/>
  <c r="AE163" i="43"/>
  <c r="AH7" i="78"/>
  <c r="AE14" i="78"/>
  <c r="AF28" i="79"/>
  <c r="AG206" i="43"/>
  <c r="AG80" i="43" s="1"/>
  <c r="AG81" i="43" s="1"/>
  <c r="AI206" i="43"/>
  <c r="AG115" i="43"/>
  <c r="AI115" i="43" s="1"/>
  <c r="AI110" i="43"/>
  <c r="AE90" i="43"/>
  <c r="AE136" i="43"/>
  <c r="AE101" i="43"/>
  <c r="AF20" i="78"/>
  <c r="AF23" i="78"/>
  <c r="Q67" i="82"/>
  <c r="Q65" i="82"/>
  <c r="Q64" i="82"/>
  <c r="Q63" i="82"/>
  <c r="Q61" i="82"/>
  <c r="Q60" i="82"/>
  <c r="C68" i="82"/>
  <c r="C67" i="82"/>
  <c r="C66" i="82"/>
  <c r="C65" i="82"/>
  <c r="C60" i="82"/>
  <c r="C59" i="82"/>
  <c r="C58" i="82"/>
  <c r="C56" i="82"/>
  <c r="C55" i="82"/>
  <c r="C54" i="82"/>
  <c r="C53" i="82"/>
  <c r="C50" i="82"/>
  <c r="C49" i="82"/>
  <c r="C48" i="82"/>
  <c r="C47" i="82"/>
  <c r="C45" i="82"/>
  <c r="C44" i="82"/>
  <c r="C43" i="82"/>
  <c r="C42" i="82"/>
  <c r="C38" i="82"/>
  <c r="C34" i="82"/>
  <c r="C33" i="82"/>
  <c r="C30" i="82"/>
  <c r="C29" i="82"/>
  <c r="C28" i="82"/>
  <c r="C25" i="82"/>
  <c r="C15" i="82"/>
  <c r="Q59" i="82"/>
  <c r="Q54" i="82"/>
  <c r="Q50" i="82"/>
  <c r="Q43" i="82"/>
  <c r="Q30" i="82"/>
  <c r="Q25" i="82"/>
  <c r="C41" i="82"/>
  <c r="C22" i="82"/>
  <c r="Q38" i="82"/>
  <c r="AF120" i="43" l="1"/>
  <c r="C61" i="82"/>
  <c r="C69" i="82"/>
  <c r="C46" i="82"/>
  <c r="C57" i="82"/>
  <c r="Q33" i="82"/>
  <c r="C51" i="82"/>
  <c r="C52" i="82" l="1"/>
  <c r="C62" i="82"/>
  <c r="R67" i="82"/>
  <c r="R65" i="82"/>
  <c r="R64" i="82"/>
  <c r="R61" i="82"/>
  <c r="D68" i="82"/>
  <c r="D67" i="82"/>
  <c r="D66" i="82"/>
  <c r="D65" i="82"/>
  <c r="D60" i="82"/>
  <c r="D59" i="82"/>
  <c r="D58" i="82"/>
  <c r="D56" i="82"/>
  <c r="D55" i="82"/>
  <c r="D54" i="82"/>
  <c r="D53" i="82"/>
  <c r="D50" i="82"/>
  <c r="D49" i="82"/>
  <c r="D48" i="82"/>
  <c r="D47" i="82"/>
  <c r="D45" i="82"/>
  <c r="D44" i="82"/>
  <c r="D43" i="82"/>
  <c r="D42" i="82"/>
  <c r="D38" i="82"/>
  <c r="D33" i="82"/>
  <c r="D30" i="82"/>
  <c r="D29" i="82"/>
  <c r="D28" i="82"/>
  <c r="D25" i="82"/>
  <c r="W59" i="82"/>
  <c r="V59" i="82"/>
  <c r="U59" i="82"/>
  <c r="T59" i="82"/>
  <c r="R59" i="82"/>
  <c r="W54" i="82"/>
  <c r="V54" i="82"/>
  <c r="U54" i="82"/>
  <c r="T54" i="82"/>
  <c r="R54" i="82"/>
  <c r="W50" i="82"/>
  <c r="V50" i="82"/>
  <c r="U50" i="82"/>
  <c r="T50" i="82"/>
  <c r="R50" i="82"/>
  <c r="W43" i="82"/>
  <c r="V43" i="82"/>
  <c r="U43" i="82"/>
  <c r="T43" i="82"/>
  <c r="R43" i="82"/>
  <c r="W30" i="82"/>
  <c r="V30" i="82"/>
  <c r="U30" i="82"/>
  <c r="T30" i="82"/>
  <c r="R30" i="82"/>
  <c r="W25" i="82"/>
  <c r="V25" i="82"/>
  <c r="U25" i="82"/>
  <c r="T25" i="82"/>
  <c r="R25" i="82"/>
  <c r="I41" i="82"/>
  <c r="H41" i="82"/>
  <c r="G41" i="82"/>
  <c r="F41" i="82"/>
  <c r="D41" i="82"/>
  <c r="I22" i="82"/>
  <c r="H22" i="82"/>
  <c r="G22" i="82"/>
  <c r="F22" i="82"/>
  <c r="D22" i="82"/>
  <c r="W38" i="82"/>
  <c r="V38" i="82"/>
  <c r="U38" i="82"/>
  <c r="T38" i="82"/>
  <c r="R38" i="82"/>
  <c r="C63" i="82" l="1"/>
  <c r="D46" i="82"/>
  <c r="W61" i="82"/>
  <c r="U64" i="82"/>
  <c r="D51" i="82"/>
  <c r="V61" i="82"/>
  <c r="T64" i="82"/>
  <c r="R33" i="82"/>
  <c r="D57" i="82"/>
  <c r="D61" i="82"/>
  <c r="D69" i="82"/>
  <c r="T61" i="82"/>
  <c r="V64" i="82"/>
  <c r="U61" i="82"/>
  <c r="D52" i="82" l="1"/>
  <c r="D62" i="82"/>
  <c r="D63" i="82" l="1"/>
  <c r="AB18" i="82" l="1"/>
  <c r="AZ32" i="78" l="1"/>
  <c r="AZ58" i="43" s="1"/>
  <c r="AO41" i="78"/>
  <c r="AN41" i="78"/>
  <c r="AM41" i="78"/>
  <c r="AL41" i="78"/>
  <c r="AK41" i="78"/>
  <c r="AG41" i="78"/>
  <c r="AO38" i="79" l="1"/>
  <c r="AN38" i="79"/>
  <c r="AM38" i="79"/>
  <c r="AL38" i="79"/>
  <c r="AK38" i="79"/>
  <c r="AJ38" i="79"/>
  <c r="AG38" i="79"/>
  <c r="AF38" i="79"/>
  <c r="AE38" i="79"/>
  <c r="AD38" i="79"/>
  <c r="AC38" i="79"/>
  <c r="AB38" i="79"/>
  <c r="AA38" i="79"/>
  <c r="Z38" i="79"/>
  <c r="Y38" i="79"/>
  <c r="X38" i="79"/>
  <c r="W38" i="79"/>
  <c r="V38" i="79"/>
  <c r="U38" i="79"/>
  <c r="T38" i="79"/>
  <c r="S38" i="79"/>
  <c r="R38" i="79"/>
  <c r="A38" i="79"/>
  <c r="O37" i="79"/>
  <c r="A37" i="79"/>
  <c r="AO35" i="79"/>
  <c r="AN35" i="79"/>
  <c r="AM35" i="79"/>
  <c r="AL35" i="79"/>
  <c r="AK35" i="79"/>
  <c r="AJ35" i="79"/>
  <c r="AG35" i="79"/>
  <c r="AF35" i="79"/>
  <c r="AE35" i="79"/>
  <c r="AD35" i="79"/>
  <c r="AC35" i="79"/>
  <c r="AB35" i="79"/>
  <c r="AA35" i="79"/>
  <c r="Z35" i="79"/>
  <c r="Y35" i="79"/>
  <c r="X35" i="79"/>
  <c r="W35" i="79"/>
  <c r="V35" i="79"/>
  <c r="U35" i="79"/>
  <c r="T35" i="79"/>
  <c r="S35" i="79"/>
  <c r="R35" i="79"/>
  <c r="A35" i="79"/>
  <c r="O34" i="79"/>
  <c r="A34" i="79"/>
  <c r="AK14" i="75"/>
  <c r="S14" i="75"/>
  <c r="M14" i="75"/>
  <c r="G14" i="75"/>
  <c r="W14" i="75" l="1"/>
  <c r="H17" i="75"/>
  <c r="Q17" i="75"/>
  <c r="Z17" i="75"/>
  <c r="AC17" i="75"/>
  <c r="AI17" i="75"/>
  <c r="H19" i="75"/>
  <c r="N19" i="75"/>
  <c r="T19" i="75"/>
  <c r="W19" i="75"/>
  <c r="AL19" i="75"/>
  <c r="H12" i="75"/>
  <c r="AI12" i="75"/>
  <c r="AF17" i="75"/>
  <c r="AI19" i="75"/>
  <c r="F16" i="75"/>
  <c r="M17" i="75"/>
  <c r="S17" i="75"/>
  <c r="AB17" i="75"/>
  <c r="G19" i="75"/>
  <c r="P19" i="75"/>
  <c r="X18" i="75"/>
  <c r="AD18" i="75"/>
  <c r="AH19" i="75"/>
  <c r="U11" i="75"/>
  <c r="AH12" i="75"/>
  <c r="N12" i="75"/>
  <c r="T12" i="75"/>
  <c r="AC12" i="75"/>
  <c r="K14" i="75"/>
  <c r="AC14" i="75"/>
  <c r="AI14" i="75"/>
  <c r="AB19" i="75"/>
  <c r="F13" i="75"/>
  <c r="M12" i="75"/>
  <c r="G17" i="75"/>
  <c r="P17" i="75"/>
  <c r="W12" i="75"/>
  <c r="Y17" i="75"/>
  <c r="AK17" i="75"/>
  <c r="J14" i="75"/>
  <c r="P14" i="75"/>
  <c r="AB14" i="75"/>
  <c r="AH14" i="75"/>
  <c r="AA16" i="75"/>
  <c r="AG16" i="75"/>
  <c r="AM16" i="75"/>
  <c r="AP17" i="75" s="1"/>
  <c r="S12" i="75"/>
  <c r="Y14" i="75"/>
  <c r="Q14" i="75"/>
  <c r="O16" i="75"/>
  <c r="F18" i="75"/>
  <c r="L18" i="75"/>
  <c r="R18" i="75"/>
  <c r="AE14" i="75"/>
  <c r="F11" i="75"/>
  <c r="X13" i="75"/>
  <c r="S19" i="75"/>
  <c r="AE19" i="75"/>
  <c r="G12" i="75"/>
  <c r="J12" i="75"/>
  <c r="P12" i="75"/>
  <c r="V12" i="75"/>
  <c r="AB12" i="75"/>
  <c r="AK12" i="75"/>
  <c r="AF19" i="75"/>
  <c r="K12" i="75"/>
  <c r="Q12" i="75"/>
  <c r="Z12" i="75"/>
  <c r="AF12" i="75"/>
  <c r="AL12" i="75"/>
  <c r="H14" i="75"/>
  <c r="N14" i="75"/>
  <c r="T14" i="75"/>
  <c r="AF14" i="75"/>
  <c r="AL14" i="75"/>
  <c r="AG11" i="75"/>
  <c r="Z14" i="75"/>
  <c r="Y12" i="75"/>
  <c r="AE12" i="75"/>
  <c r="R11" i="75"/>
  <c r="AD11" i="75"/>
  <c r="I13" i="75"/>
  <c r="U13" i="75"/>
  <c r="AG13" i="75"/>
  <c r="N17" i="75"/>
  <c r="O11" i="75"/>
  <c r="AA11" i="75"/>
  <c r="AM11" i="75"/>
  <c r="AP12" i="75" s="1"/>
  <c r="R13" i="75"/>
  <c r="AD13" i="75"/>
  <c r="L11" i="75"/>
  <c r="X11" i="75"/>
  <c r="AJ11" i="75"/>
  <c r="O13" i="75"/>
  <c r="AA13" i="75"/>
  <c r="AM13" i="75"/>
  <c r="AP14" i="75" s="1"/>
  <c r="V14" i="75"/>
  <c r="AC19" i="75"/>
  <c r="I11" i="75"/>
  <c r="L13" i="75"/>
  <c r="AJ13" i="75"/>
  <c r="K19" i="75"/>
  <c r="T17" i="75"/>
  <c r="AH17" i="75"/>
  <c r="R16" i="75"/>
  <c r="AD16" i="75"/>
  <c r="I18" i="75"/>
  <c r="U18" i="75"/>
  <c r="AG18" i="75"/>
  <c r="J17" i="75"/>
  <c r="V17" i="75"/>
  <c r="AL17" i="75"/>
  <c r="Q19" i="75"/>
  <c r="AK19" i="75"/>
  <c r="L16" i="75"/>
  <c r="X16" i="75"/>
  <c r="AJ16" i="75"/>
  <c r="K17" i="75"/>
  <c r="W17" i="75"/>
  <c r="AE17" i="75"/>
  <c r="O18" i="75"/>
  <c r="AA18" i="75"/>
  <c r="AM18" i="75"/>
  <c r="AP19" i="75" s="1"/>
  <c r="J19" i="75"/>
  <c r="V19" i="75"/>
  <c r="Z19" i="75"/>
  <c r="M19" i="75"/>
  <c r="Y19" i="75"/>
  <c r="I16" i="75"/>
  <c r="U16" i="75"/>
  <c r="AJ18" i="75"/>
  <c r="AJ17" i="75" l="1"/>
  <c r="AA17" i="75"/>
  <c r="I19" i="75"/>
  <c r="I12" i="75"/>
  <c r="X12" i="75"/>
  <c r="AG19" i="75"/>
  <c r="AA19" i="75"/>
  <c r="I17" i="75"/>
  <c r="I14" i="75"/>
  <c r="R6" i="75"/>
  <c r="O17" i="75"/>
  <c r="R17" i="75"/>
  <c r="O19" i="75"/>
  <c r="AJ12" i="75"/>
  <c r="AG12" i="75"/>
  <c r="AA14" i="75"/>
  <c r="AD17" i="75"/>
  <c r="O6" i="75"/>
  <c r="AG6" i="75"/>
  <c r="AM6" i="75"/>
  <c r="AP7" i="75" s="1"/>
  <c r="U19" i="75"/>
  <c r="AM12" i="75"/>
  <c r="U17" i="75"/>
  <c r="I6" i="75"/>
  <c r="AA6" i="75"/>
  <c r="AJ14" i="75"/>
  <c r="AM14" i="75"/>
  <c r="U14" i="75"/>
  <c r="L14" i="75"/>
  <c r="AA12" i="75"/>
  <c r="L12" i="75"/>
  <c r="U6" i="75"/>
  <c r="AG14" i="75"/>
  <c r="R12" i="75"/>
  <c r="L6" i="75"/>
  <c r="AD6" i="75"/>
  <c r="O14" i="75"/>
  <c r="AD14" i="75"/>
  <c r="O12" i="75"/>
  <c r="U12" i="75"/>
  <c r="R14" i="75"/>
  <c r="AD12" i="75"/>
  <c r="X14" i="75"/>
  <c r="L19" i="75"/>
  <c r="AJ6" i="75"/>
  <c r="AJ19" i="75"/>
  <c r="AM19" i="75"/>
  <c r="L17" i="75"/>
  <c r="X19" i="75"/>
  <c r="AM17" i="75"/>
  <c r="AG17" i="75"/>
  <c r="X17" i="75"/>
  <c r="R19" i="75"/>
  <c r="AD19" i="75"/>
  <c r="AO41" i="79" l="1"/>
  <c r="AO53" i="79" s="1"/>
  <c r="AN41" i="79"/>
  <c r="AN53" i="79" s="1"/>
  <c r="AM41" i="79"/>
  <c r="AM53" i="79" s="1"/>
  <c r="AL41" i="79"/>
  <c r="AL53" i="79" s="1"/>
  <c r="AK41" i="79"/>
  <c r="AK53" i="79" s="1"/>
  <c r="AJ41" i="79"/>
  <c r="AJ53" i="79" s="1"/>
  <c r="AG41" i="79"/>
  <c r="AG53" i="79" s="1"/>
  <c r="AF41" i="79"/>
  <c r="AF53" i="79" s="1"/>
  <c r="AE41" i="79"/>
  <c r="AE53" i="79" s="1"/>
  <c r="AD41" i="79"/>
  <c r="AD53" i="79" s="1"/>
  <c r="AC41" i="79"/>
  <c r="AC53" i="79" s="1"/>
  <c r="AB41" i="79"/>
  <c r="AB53" i="79" s="1"/>
  <c r="AA41" i="79"/>
  <c r="AA53" i="79" s="1"/>
  <c r="Z41" i="79"/>
  <c r="Z53" i="79" s="1"/>
  <c r="Y41" i="79"/>
  <c r="Y53" i="79" s="1"/>
  <c r="X41" i="79"/>
  <c r="X53" i="79" s="1"/>
  <c r="W41" i="79"/>
  <c r="W53" i="79" s="1"/>
  <c r="V41" i="79"/>
  <c r="V53" i="79" s="1"/>
  <c r="U41" i="79"/>
  <c r="U53" i="79" s="1"/>
  <c r="T41" i="79"/>
  <c r="T53" i="79" s="1"/>
  <c r="S41" i="79"/>
  <c r="S53" i="79" s="1"/>
  <c r="R41" i="79"/>
  <c r="R53" i="79" s="1"/>
  <c r="AN9" i="79" l="1"/>
  <c r="AQ9" i="79" s="1"/>
  <c r="AT9" i="79" s="1"/>
  <c r="AW9" i="79" s="1"/>
  <c r="L24" i="75"/>
  <c r="O24" i="75"/>
  <c r="X24" i="75"/>
  <c r="AJ24" i="75"/>
  <c r="AG8" i="75"/>
  <c r="AM8" i="75"/>
  <c r="AP9" i="75" s="1"/>
  <c r="AX9" i="79" l="1"/>
  <c r="AX11" i="79" s="1"/>
  <c r="AW11" i="79"/>
  <c r="AT11" i="79"/>
  <c r="AU9" i="79"/>
  <c r="AU11" i="79" s="1"/>
  <c r="AR9" i="79"/>
  <c r="AR11" i="79" s="1"/>
  <c r="AQ11" i="79"/>
  <c r="AD8" i="75"/>
  <c r="X8" i="75"/>
  <c r="R8" i="75"/>
  <c r="AG24" i="75"/>
  <c r="U24" i="75"/>
  <c r="AA24" i="75"/>
  <c r="F24" i="75"/>
  <c r="U8" i="75"/>
  <c r="I8" i="75"/>
  <c r="AM24" i="75"/>
  <c r="I24" i="75"/>
  <c r="AJ8" i="75"/>
  <c r="AA8" i="75"/>
  <c r="L8" i="75"/>
  <c r="R24" i="75"/>
  <c r="O8" i="75"/>
  <c r="AD24" i="75"/>
  <c r="AW19" i="79" l="1"/>
  <c r="AW9" i="43"/>
  <c r="AW12" i="79"/>
  <c r="AW25" i="79"/>
  <c r="AX25" i="79"/>
  <c r="AX19" i="79"/>
  <c r="AX20" i="79" s="1"/>
  <c r="AX12" i="79"/>
  <c r="AU25" i="79"/>
  <c r="AU12" i="79"/>
  <c r="AU57" i="43" s="1"/>
  <c r="AU19" i="79"/>
  <c r="AT19" i="79"/>
  <c r="AT12" i="79"/>
  <c r="AT25" i="79"/>
  <c r="AT9" i="43"/>
  <c r="AQ19" i="79"/>
  <c r="AQ9" i="43"/>
  <c r="AR19" i="79"/>
  <c r="AR25" i="79"/>
  <c r="O40" i="79"/>
  <c r="A41" i="79"/>
  <c r="AW57" i="43" l="1"/>
  <c r="AW21" i="79"/>
  <c r="AX21" i="79" s="1"/>
  <c r="AX22" i="79" s="1"/>
  <c r="AW63" i="43"/>
  <c r="AW11" i="43"/>
  <c r="AW53" i="43"/>
  <c r="AX9" i="43"/>
  <c r="AW20" i="79"/>
  <c r="AW22" i="79" s="1"/>
  <c r="AU20" i="79"/>
  <c r="AT20" i="79"/>
  <c r="AT63" i="43"/>
  <c r="AT53" i="43"/>
  <c r="AT11" i="43"/>
  <c r="AT60" i="43"/>
  <c r="AU9" i="43"/>
  <c r="AT21" i="79"/>
  <c r="AU21" i="79" s="1"/>
  <c r="AT57" i="43"/>
  <c r="AQ11" i="43"/>
  <c r="AR9" i="43"/>
  <c r="U27" i="75"/>
  <c r="AX11" i="43" l="1"/>
  <c r="AX53" i="43"/>
  <c r="AW199" i="43"/>
  <c r="AW200" i="43"/>
  <c r="AW15" i="43"/>
  <c r="AW16" i="43" s="1"/>
  <c r="AZ16" i="43" s="1"/>
  <c r="AW194" i="43"/>
  <c r="AW203" i="43" s="1"/>
  <c r="AW65" i="43"/>
  <c r="AW193" i="43"/>
  <c r="AW198" i="43"/>
  <c r="AW55" i="43"/>
  <c r="AW18" i="43"/>
  <c r="AW195" i="43"/>
  <c r="AW204" i="43" s="1"/>
  <c r="AU22" i="79"/>
  <c r="AT33" i="43"/>
  <c r="AT62" i="43" s="1"/>
  <c r="AT198" i="43"/>
  <c r="AT15" i="43"/>
  <c r="AT16" i="43" s="1"/>
  <c r="AT200" i="43"/>
  <c r="AT193" i="43"/>
  <c r="AT55" i="43"/>
  <c r="AT194" i="43"/>
  <c r="AT203" i="43" s="1"/>
  <c r="AT18" i="43"/>
  <c r="AT199" i="43"/>
  <c r="AT195" i="43"/>
  <c r="AT65" i="43"/>
  <c r="AU53" i="43"/>
  <c r="AU11" i="43"/>
  <c r="AU60" i="43"/>
  <c r="AU63" i="43"/>
  <c r="AT22" i="79"/>
  <c r="AR11" i="43"/>
  <c r="AR63" i="43"/>
  <c r="AQ194" i="43"/>
  <c r="AQ203" i="43" s="1"/>
  <c r="AQ193" i="43"/>
  <c r="AQ199" i="43"/>
  <c r="AQ195" i="43"/>
  <c r="AQ200" i="43"/>
  <c r="AQ15" i="43"/>
  <c r="AQ16" i="43" s="1"/>
  <c r="AQ198" i="43"/>
  <c r="O27" i="75"/>
  <c r="O29" i="75"/>
  <c r="O28" i="75"/>
  <c r="AB29" i="75"/>
  <c r="AE29" i="75" s="1"/>
  <c r="AH29" i="75" s="1"/>
  <c r="Z29" i="75"/>
  <c r="AC29" i="75" s="1"/>
  <c r="AF29" i="75" s="1"/>
  <c r="AI29" i="75" s="1"/>
  <c r="AL29" i="75" s="1"/>
  <c r="AO29" i="75" s="1"/>
  <c r="AR29" i="75" s="1"/>
  <c r="AU29" i="75" s="1"/>
  <c r="AX29" i="75" s="1"/>
  <c r="BA29" i="75" s="1"/>
  <c r="X29" i="75"/>
  <c r="U29" i="75"/>
  <c r="R29" i="75"/>
  <c r="AB28" i="75"/>
  <c r="AE28" i="75" s="1"/>
  <c r="Z28" i="75"/>
  <c r="AA28" i="75" s="1"/>
  <c r="X28" i="75"/>
  <c r="U28" i="75"/>
  <c r="R28" i="75"/>
  <c r="AB27" i="75"/>
  <c r="AE27" i="75" s="1"/>
  <c r="X27" i="75"/>
  <c r="R27" i="75"/>
  <c r="AW202" i="43" l="1"/>
  <c r="AW205" i="43" s="1"/>
  <c r="AZ193" i="43"/>
  <c r="BC193" i="43" s="1"/>
  <c r="BF193" i="43" s="1"/>
  <c r="BI193" i="43" s="1"/>
  <c r="BL193" i="43" s="1"/>
  <c r="AX200" i="43"/>
  <c r="AX15" i="43"/>
  <c r="AX16" i="43" s="1"/>
  <c r="AX193" i="43"/>
  <c r="AX55" i="43"/>
  <c r="AX198" i="43"/>
  <c r="AX196" i="43"/>
  <c r="AX195" i="43"/>
  <c r="AX194" i="43"/>
  <c r="AX199" i="43"/>
  <c r="AT202" i="43"/>
  <c r="AT204" i="43"/>
  <c r="AU65" i="43"/>
  <c r="AU15" i="43"/>
  <c r="AU16" i="43" s="1"/>
  <c r="AU199" i="43"/>
  <c r="AU193" i="43"/>
  <c r="AU33" i="43"/>
  <c r="AU62" i="43" s="1"/>
  <c r="AU195" i="43"/>
  <c r="AU200" i="43"/>
  <c r="AU18" i="43"/>
  <c r="AU194" i="43"/>
  <c r="AU196" i="43"/>
  <c r="AU198" i="43"/>
  <c r="AU55" i="43"/>
  <c r="AQ202" i="43"/>
  <c r="AQ204" i="43"/>
  <c r="AR195" i="43"/>
  <c r="AR196" i="43"/>
  <c r="AR198" i="43"/>
  <c r="AR199" i="43"/>
  <c r="AR15" i="43"/>
  <c r="AR16" i="43" s="1"/>
  <c r="AR200" i="43"/>
  <c r="AR194" i="43"/>
  <c r="AR18" i="43"/>
  <c r="AR65" i="43"/>
  <c r="AR193" i="43"/>
  <c r="AC28" i="75"/>
  <c r="AF28" i="75" s="1"/>
  <c r="AI28" i="75" s="1"/>
  <c r="AL28" i="75" s="1"/>
  <c r="AO28" i="75" s="1"/>
  <c r="AA29" i="75"/>
  <c r="AC27" i="75"/>
  <c r="AF27" i="75" s="1"/>
  <c r="AI27" i="75" s="1"/>
  <c r="AL27" i="75" s="1"/>
  <c r="AO27" i="75" s="1"/>
  <c r="AR27" i="75" s="1"/>
  <c r="AU27" i="75" s="1"/>
  <c r="AX27" i="75" s="1"/>
  <c r="BA27" i="75" s="1"/>
  <c r="AH27" i="75"/>
  <c r="AK29" i="75"/>
  <c r="AJ29" i="75"/>
  <c r="AH28" i="75"/>
  <c r="AD29" i="75"/>
  <c r="AG29" i="75"/>
  <c r="AW206" i="43" l="1"/>
  <c r="AW196" i="43"/>
  <c r="AT205" i="43"/>
  <c r="AT196" i="43" s="1"/>
  <c r="AQ205" i="43"/>
  <c r="AM29" i="75"/>
  <c r="AN29" i="75"/>
  <c r="AR28" i="75"/>
  <c r="AU28" i="75" s="1"/>
  <c r="AD28" i="75"/>
  <c r="AD27" i="75"/>
  <c r="AG28" i="75"/>
  <c r="AG27" i="75"/>
  <c r="AK28" i="75"/>
  <c r="AJ28" i="75"/>
  <c r="AJ27" i="75"/>
  <c r="AK27" i="75"/>
  <c r="AT206" i="43" l="1"/>
  <c r="AQ196" i="43"/>
  <c r="AQ206" i="43"/>
  <c r="AX28" i="75"/>
  <c r="BA28" i="75" s="1"/>
  <c r="AM27" i="75"/>
  <c r="AN27" i="75"/>
  <c r="AP29" i="75"/>
  <c r="AQ29" i="75"/>
  <c r="AM28" i="75"/>
  <c r="AN28" i="75"/>
  <c r="C40" i="83"/>
  <c r="C41" i="83" s="1"/>
  <c r="G75" i="83" s="1"/>
  <c r="AS29" i="75" l="1"/>
  <c r="AT29" i="75"/>
  <c r="AQ28" i="75"/>
  <c r="AP28" i="75"/>
  <c r="AP27" i="75"/>
  <c r="AQ27" i="75"/>
  <c r="Y85" i="43"/>
  <c r="AB85" i="43"/>
  <c r="AS27" i="75" l="1"/>
  <c r="AT27" i="75"/>
  <c r="AS28" i="75"/>
  <c r="AT28" i="75"/>
  <c r="AW29" i="75"/>
  <c r="AV29" i="75"/>
  <c r="AB79" i="43"/>
  <c r="AY29" i="75" l="1"/>
  <c r="AZ29" i="75"/>
  <c r="BB29" i="75" s="1"/>
  <c r="AW28" i="75"/>
  <c r="AV28" i="75"/>
  <c r="AV27" i="75"/>
  <c r="AW27" i="75"/>
  <c r="Q30" i="43"/>
  <c r="Q25" i="43"/>
  <c r="AY27" i="75" l="1"/>
  <c r="AZ27" i="75"/>
  <c r="BB27" i="75" s="1"/>
  <c r="AY28" i="75"/>
  <c r="AZ28" i="75"/>
  <c r="BB28" i="75" s="1"/>
  <c r="Q27" i="43"/>
  <c r="Q216" i="43" s="1"/>
  <c r="Q32" i="43"/>
  <c r="Q42" i="43" s="1"/>
  <c r="Q215" i="43" l="1"/>
  <c r="Q112" i="43"/>
  <c r="Q113" i="43"/>
  <c r="Q77" i="43"/>
  <c r="Q81" i="43" s="1"/>
  <c r="Q34" i="43"/>
  <c r="Q41" i="43"/>
  <c r="P72" i="43" l="1"/>
  <c r="Q72" i="43"/>
  <c r="Q73" i="43" l="1"/>
  <c r="Q70" i="43"/>
  <c r="P73" i="43"/>
  <c r="P70" i="43"/>
  <c r="P71" i="43" s="1"/>
  <c r="Q71" i="43" s="1"/>
  <c r="R30" i="43" l="1"/>
  <c r="T25" i="43"/>
  <c r="R25" i="43"/>
  <c r="R27" i="43" l="1"/>
  <c r="R77" i="43" s="1"/>
  <c r="R81" i="43" s="1"/>
  <c r="T27" i="43"/>
  <c r="T113" i="43" s="1"/>
  <c r="R32" i="43"/>
  <c r="R42" i="43" s="1"/>
  <c r="R113" i="43" l="1"/>
  <c r="R215" i="43"/>
  <c r="R216" i="43"/>
  <c r="R112" i="43"/>
  <c r="T215" i="43"/>
  <c r="T216" i="43"/>
  <c r="T112" i="43"/>
  <c r="T77" i="43"/>
  <c r="T81" i="43" s="1"/>
  <c r="R34" i="43"/>
  <c r="R41" i="43"/>
  <c r="R67" i="43" s="1"/>
  <c r="R69" i="43" s="1"/>
  <c r="R72" i="43" l="1"/>
  <c r="AF25" i="78"/>
  <c r="AE25" i="78"/>
  <c r="AD25" i="78"/>
  <c r="AD34" i="78" s="1"/>
  <c r="AD6" i="78"/>
  <c r="A1" i="78"/>
  <c r="AD30" i="79"/>
  <c r="Y24" i="79"/>
  <c r="S24" i="79"/>
  <c r="V18" i="79"/>
  <c r="S18" i="79"/>
  <c r="S25" i="43" s="1"/>
  <c r="Z21" i="43"/>
  <c r="Z23" i="43" s="1"/>
  <c r="U21" i="43"/>
  <c r="U23" i="43" s="1"/>
  <c r="R21" i="43"/>
  <c r="Q21" i="43"/>
  <c r="AD11" i="79"/>
  <c r="AC11" i="79"/>
  <c r="AF12" i="79" s="1"/>
  <c r="AA11" i="79"/>
  <c r="Z11" i="79"/>
  <c r="X11" i="79"/>
  <c r="X9" i="43" s="1"/>
  <c r="U11" i="79"/>
  <c r="T11" i="79"/>
  <c r="R11" i="79"/>
  <c r="Q11" i="79"/>
  <c r="Q25" i="79" s="1"/>
  <c r="AD7" i="79"/>
  <c r="AC7" i="79"/>
  <c r="AA7" i="79"/>
  <c r="X7" i="79"/>
  <c r="U7" i="79"/>
  <c r="T7" i="79"/>
  <c r="AB3" i="79"/>
  <c r="Y3" i="79"/>
  <c r="S3" i="79"/>
  <c r="A1" i="79"/>
  <c r="AD278" i="43"/>
  <c r="AC278" i="43"/>
  <c r="AA278" i="43"/>
  <c r="Z278" i="43"/>
  <c r="X278" i="43"/>
  <c r="W278" i="43"/>
  <c r="U278" i="43"/>
  <c r="W277" i="43"/>
  <c r="AD276" i="43"/>
  <c r="AC276" i="43"/>
  <c r="AA276" i="43"/>
  <c r="Z276" i="43"/>
  <c r="X276" i="43"/>
  <c r="W276" i="43"/>
  <c r="U276" i="43"/>
  <c r="W275" i="43"/>
  <c r="U275" i="43"/>
  <c r="AO267" i="43"/>
  <c r="AF267" i="43"/>
  <c r="AC267" i="43"/>
  <c r="Z267" i="43"/>
  <c r="W267" i="43"/>
  <c r="U266" i="43"/>
  <c r="U268" i="43" s="1"/>
  <c r="V263" i="43"/>
  <c r="U263" i="43"/>
  <c r="V262" i="43"/>
  <c r="U262" i="43"/>
  <c r="AN259" i="43"/>
  <c r="AM259" i="43"/>
  <c r="AJ259" i="43"/>
  <c r="AE259" i="43"/>
  <c r="AD259" i="43"/>
  <c r="AB259" i="43"/>
  <c r="AA259" i="43"/>
  <c r="Y259" i="43"/>
  <c r="X259" i="43"/>
  <c r="AC259" i="43"/>
  <c r="D19" i="82" s="1"/>
  <c r="Z259" i="43"/>
  <c r="C19" i="82" s="1"/>
  <c r="B249" i="43"/>
  <c r="AC244" i="43"/>
  <c r="AC246" i="43" s="1"/>
  <c r="Z244" i="43"/>
  <c r="Z246" i="43" s="1"/>
  <c r="Z248" i="43" s="1"/>
  <c r="AC236" i="43"/>
  <c r="W234" i="43"/>
  <c r="W238" i="43" s="1"/>
  <c r="W240" i="43" s="1"/>
  <c r="AO231" i="43"/>
  <c r="AN231" i="43"/>
  <c r="AN93" i="43" s="1"/>
  <c r="AM231" i="43"/>
  <c r="AM93" i="43" s="1"/>
  <c r="AK231" i="43"/>
  <c r="AJ231" i="43"/>
  <c r="AJ93" i="43" s="1"/>
  <c r="AK93" i="43" s="1"/>
  <c r="AK97" i="43" s="1"/>
  <c r="AF231" i="43"/>
  <c r="AE231" i="43"/>
  <c r="AD231" i="43"/>
  <c r="AC231" i="43"/>
  <c r="AB231" i="43"/>
  <c r="AA231" i="43"/>
  <c r="Z231" i="43"/>
  <c r="Y231" i="43"/>
  <c r="X231" i="43"/>
  <c r="W231" i="43"/>
  <c r="V231" i="43"/>
  <c r="U231" i="43"/>
  <c r="X263" i="43"/>
  <c r="AO221" i="43"/>
  <c r="AC217" i="43"/>
  <c r="R52" i="82" s="1"/>
  <c r="AC204" i="43"/>
  <c r="AA204" i="43"/>
  <c r="Z204" i="43"/>
  <c r="X204" i="43"/>
  <c r="W204" i="43"/>
  <c r="U204" i="43"/>
  <c r="AC203" i="43"/>
  <c r="AA203" i="43"/>
  <c r="Z203" i="43"/>
  <c r="X203" i="43"/>
  <c r="W203" i="43"/>
  <c r="U203" i="43"/>
  <c r="AC202" i="43"/>
  <c r="AA202" i="43"/>
  <c r="Z202" i="43"/>
  <c r="X202" i="43"/>
  <c r="W202" i="43"/>
  <c r="U202" i="43"/>
  <c r="AD187" i="43"/>
  <c r="AC187" i="43"/>
  <c r="Z187" i="43"/>
  <c r="X187" i="43"/>
  <c r="W187" i="43"/>
  <c r="U187" i="43"/>
  <c r="Y186" i="43"/>
  <c r="V186" i="43"/>
  <c r="AB185" i="43"/>
  <c r="Y185" i="43"/>
  <c r="V185" i="43"/>
  <c r="AB184" i="43"/>
  <c r="Y184" i="43"/>
  <c r="V184" i="43"/>
  <c r="AB183" i="43"/>
  <c r="Y183" i="43"/>
  <c r="Y276" i="43" s="1"/>
  <c r="V183" i="43"/>
  <c r="V276" i="43" s="1"/>
  <c r="F59" i="82"/>
  <c r="AB177" i="43"/>
  <c r="Y177" i="43"/>
  <c r="V177" i="43"/>
  <c r="AB174" i="43"/>
  <c r="Y174" i="43"/>
  <c r="V174" i="43"/>
  <c r="AD171" i="43"/>
  <c r="AC171" i="43"/>
  <c r="AA171" i="43"/>
  <c r="Z171" i="43"/>
  <c r="X171" i="43"/>
  <c r="W171" i="43"/>
  <c r="U171" i="43"/>
  <c r="AY170" i="43"/>
  <c r="AZ170" i="43" s="1"/>
  <c r="BA170" i="43" s="1"/>
  <c r="BB170" i="43" s="1"/>
  <c r="BC170" i="43" s="1"/>
  <c r="BD170" i="43" s="1"/>
  <c r="BE170" i="43" s="1"/>
  <c r="BF170" i="43" s="1"/>
  <c r="BG170" i="43" s="1"/>
  <c r="BH170" i="43" s="1"/>
  <c r="BI170" i="43" s="1"/>
  <c r="BJ170" i="43" s="1"/>
  <c r="BK170" i="43" s="1"/>
  <c r="BL170" i="43" s="1"/>
  <c r="BM170" i="43" s="1"/>
  <c r="V170" i="43"/>
  <c r="AB168" i="43"/>
  <c r="Y168" i="43"/>
  <c r="V168" i="43"/>
  <c r="AB169" i="43"/>
  <c r="Y169" i="43"/>
  <c r="V169" i="43"/>
  <c r="V167" i="43"/>
  <c r="AB165" i="43"/>
  <c r="Y165" i="43"/>
  <c r="Y204" i="43" s="1"/>
  <c r="V165" i="43"/>
  <c r="V204" i="43" s="1"/>
  <c r="AD162" i="43"/>
  <c r="AC162" i="43"/>
  <c r="AA162" i="43"/>
  <c r="Z162" i="43"/>
  <c r="X162" i="43"/>
  <c r="W162" i="43"/>
  <c r="U162" i="43"/>
  <c r="U163" i="43" s="1"/>
  <c r="AB159" i="43"/>
  <c r="Y159" i="43"/>
  <c r="V159" i="43"/>
  <c r="AB160" i="43"/>
  <c r="Y160" i="43"/>
  <c r="V160" i="43"/>
  <c r="AB157" i="43"/>
  <c r="AB140" i="43" s="1"/>
  <c r="Y157" i="43"/>
  <c r="Y140" i="43" s="1"/>
  <c r="V157" i="43"/>
  <c r="V140" i="43" s="1"/>
  <c r="AD155" i="43"/>
  <c r="AC155" i="43"/>
  <c r="AA155" i="43"/>
  <c r="Z155" i="43"/>
  <c r="X155" i="43"/>
  <c r="W155" i="43"/>
  <c r="AB154" i="43"/>
  <c r="AB153" i="43"/>
  <c r="Y153" i="43"/>
  <c r="V153" i="43"/>
  <c r="AB152" i="43"/>
  <c r="Y152" i="43"/>
  <c r="Y203" i="43" s="1"/>
  <c r="V152" i="43"/>
  <c r="AB151" i="43"/>
  <c r="Y151" i="43"/>
  <c r="V151" i="43"/>
  <c r="AC140" i="43"/>
  <c r="AA140" i="43"/>
  <c r="Z140" i="43"/>
  <c r="X140" i="43"/>
  <c r="AC138" i="43"/>
  <c r="Z138" i="43"/>
  <c r="AO137" i="43"/>
  <c r="AA137" i="43"/>
  <c r="X137" i="43"/>
  <c r="AD129" i="43"/>
  <c r="AD131" i="43" s="1"/>
  <c r="AC129" i="43"/>
  <c r="AC131" i="43" s="1"/>
  <c r="AA129" i="43"/>
  <c r="AA131" i="43" s="1"/>
  <c r="Z129" i="43"/>
  <c r="Z131" i="43" s="1"/>
  <c r="X129" i="43"/>
  <c r="X131" i="43" s="1"/>
  <c r="AD126" i="43"/>
  <c r="AC126" i="43"/>
  <c r="AA126" i="43"/>
  <c r="Z126" i="43"/>
  <c r="X126" i="43"/>
  <c r="AD125" i="43"/>
  <c r="AC125" i="43"/>
  <c r="AB125" i="43"/>
  <c r="AA125" i="43"/>
  <c r="Z125" i="43"/>
  <c r="Y125" i="43"/>
  <c r="X125" i="43"/>
  <c r="AD107" i="43"/>
  <c r="AD116" i="43" s="1"/>
  <c r="AC107" i="43"/>
  <c r="AC116" i="43" s="1"/>
  <c r="AA107" i="43"/>
  <c r="AA116" i="43" s="1"/>
  <c r="Z107" i="43"/>
  <c r="Z116" i="43" s="1"/>
  <c r="X107" i="43"/>
  <c r="X116" i="43" s="1"/>
  <c r="AD106" i="43"/>
  <c r="AC106" i="43"/>
  <c r="AB106" i="43" s="1"/>
  <c r="AB126" i="43" s="1"/>
  <c r="AA106" i="43"/>
  <c r="Z106" i="43"/>
  <c r="Y106" i="43" s="1"/>
  <c r="Y126" i="43" s="1"/>
  <c r="X106" i="43"/>
  <c r="AB100" i="43"/>
  <c r="Y100" i="43"/>
  <c r="K38" i="82"/>
  <c r="J38" i="82"/>
  <c r="I38" i="82"/>
  <c r="H38" i="82"/>
  <c r="G38" i="82"/>
  <c r="Y99" i="43"/>
  <c r="D36" i="82"/>
  <c r="C36" i="82"/>
  <c r="D35" i="82"/>
  <c r="C35" i="82"/>
  <c r="D34" i="82"/>
  <c r="AB92" i="43"/>
  <c r="AB278" i="43" s="1"/>
  <c r="Y92" i="43"/>
  <c r="V278" i="43"/>
  <c r="AB89" i="43"/>
  <c r="AB88" i="43"/>
  <c r="AB137" i="43" s="1"/>
  <c r="Y88" i="43"/>
  <c r="Y137" i="43" s="1"/>
  <c r="AB87" i="43"/>
  <c r="Y87" i="43"/>
  <c r="AC86" i="43"/>
  <c r="AC101" i="43" s="1"/>
  <c r="AA86" i="43"/>
  <c r="AA136" i="43" s="1"/>
  <c r="Z86" i="43"/>
  <c r="Z90" i="43" s="1"/>
  <c r="C32" i="82" s="1"/>
  <c r="X86" i="43"/>
  <c r="W86" i="43"/>
  <c r="W101" i="43" s="1"/>
  <c r="AB84" i="43"/>
  <c r="AB86" i="43" s="1"/>
  <c r="Y84" i="43"/>
  <c r="AB82" i="43"/>
  <c r="Y82" i="43"/>
  <c r="Y79" i="43"/>
  <c r="AC48" i="43"/>
  <c r="AD120" i="43"/>
  <c r="AB38" i="43"/>
  <c r="Y38" i="43"/>
  <c r="AJ120" i="43"/>
  <c r="Y36" i="43"/>
  <c r="X30" i="43"/>
  <c r="U30" i="43"/>
  <c r="AD25" i="43"/>
  <c r="W25" i="43"/>
  <c r="U25" i="43"/>
  <c r="AM3" i="75"/>
  <c r="AK3" i="75"/>
  <c r="AJ3" i="75"/>
  <c r="AI3" i="75"/>
  <c r="AG3" i="75"/>
  <c r="AE3" i="75"/>
  <c r="AO6" i="43"/>
  <c r="AN6" i="43"/>
  <c r="AM6" i="43"/>
  <c r="AB3" i="75" s="1"/>
  <c r="AL6" i="43"/>
  <c r="AK6" i="43"/>
  <c r="AJ6" i="43"/>
  <c r="AI6" i="43"/>
  <c r="AH6" i="43"/>
  <c r="AG6" i="43"/>
  <c r="AF6" i="43"/>
  <c r="AD6" i="43"/>
  <c r="S3" i="75" s="1"/>
  <c r="AC6" i="43"/>
  <c r="AB6" i="43"/>
  <c r="AA6" i="43"/>
  <c r="P3" i="75" s="1"/>
  <c r="Z6" i="43"/>
  <c r="O3" i="75" s="1"/>
  <c r="Y6" i="43"/>
  <c r="X6" i="43"/>
  <c r="W6" i="43"/>
  <c r="L3" i="75" s="1"/>
  <c r="V6" i="43"/>
  <c r="K3" i="75" s="1"/>
  <c r="U6" i="43"/>
  <c r="T6" i="43"/>
  <c r="S6" i="43"/>
  <c r="H3" i="75" s="1"/>
  <c r="R6" i="43"/>
  <c r="G3" i="75" s="1"/>
  <c r="Q6" i="43"/>
  <c r="P6" i="43"/>
  <c r="E3" i="75" s="1"/>
  <c r="O6" i="43"/>
  <c r="C52" i="83"/>
  <c r="C53" i="83" s="1"/>
  <c r="C9" i="83"/>
  <c r="T3" i="75"/>
  <c r="AD13" i="82"/>
  <c r="AD12" i="82"/>
  <c r="AB20" i="82"/>
  <c r="AW250" i="43" l="1"/>
  <c r="AW249" i="43"/>
  <c r="AX249" i="43"/>
  <c r="AX250" i="43"/>
  <c r="AV250" i="43"/>
  <c r="AV249" i="43"/>
  <c r="T5" i="75"/>
  <c r="T31" i="75"/>
  <c r="E5" i="75"/>
  <c r="E31" i="75"/>
  <c r="AJ5" i="75"/>
  <c r="AJ31" i="75"/>
  <c r="AE31" i="75"/>
  <c r="AE5" i="75"/>
  <c r="AK5" i="75"/>
  <c r="AK31" i="75"/>
  <c r="G31" i="75"/>
  <c r="G5" i="75"/>
  <c r="K31" i="75"/>
  <c r="K5" i="75"/>
  <c r="O2" i="75"/>
  <c r="O31" i="75"/>
  <c r="O5" i="75"/>
  <c r="S31" i="75"/>
  <c r="S5" i="75"/>
  <c r="AB5" i="75"/>
  <c r="AB31" i="75"/>
  <c r="AG2" i="75"/>
  <c r="AG5" i="75"/>
  <c r="AG31" i="75"/>
  <c r="H5" i="75"/>
  <c r="H31" i="75"/>
  <c r="L2" i="75"/>
  <c r="L5" i="75"/>
  <c r="L31" i="75"/>
  <c r="P5" i="75"/>
  <c r="P31" i="75"/>
  <c r="AI31" i="75"/>
  <c r="AI5" i="75"/>
  <c r="AM31" i="75"/>
  <c r="AM5" i="75"/>
  <c r="AU250" i="43"/>
  <c r="AU249" i="43"/>
  <c r="AT250" i="43"/>
  <c r="AT249" i="43"/>
  <c r="AS250" i="43"/>
  <c r="AS249" i="43"/>
  <c r="AM97" i="43"/>
  <c r="AM98" i="43" s="1"/>
  <c r="AO93" i="43"/>
  <c r="H34" i="82" s="1"/>
  <c r="AP250" i="43"/>
  <c r="AP249" i="43"/>
  <c r="K15" i="82"/>
  <c r="AF57" i="43"/>
  <c r="AM250" i="43"/>
  <c r="AK249" i="43"/>
  <c r="AL250" i="43"/>
  <c r="AK250" i="43"/>
  <c r="AL249" i="43"/>
  <c r="AM2" i="75"/>
  <c r="AJ2" i="75"/>
  <c r="D3" i="75"/>
  <c r="AJ122" i="43"/>
  <c r="AJ119" i="43"/>
  <c r="S27" i="43"/>
  <c r="S112" i="43" s="1"/>
  <c r="U32" i="43"/>
  <c r="U42" i="43" s="1"/>
  <c r="X60" i="43"/>
  <c r="U27" i="43"/>
  <c r="U77" i="43" s="1"/>
  <c r="W27" i="43"/>
  <c r="W112" i="43" s="1"/>
  <c r="Y39" i="43"/>
  <c r="AD27" i="43"/>
  <c r="Q23" i="43"/>
  <c r="Q271" i="43" s="1"/>
  <c r="Q270" i="43" s="1"/>
  <c r="R23" i="43"/>
  <c r="R271" i="43" s="1"/>
  <c r="R270" i="43" s="1"/>
  <c r="V179" i="43"/>
  <c r="R70" i="43"/>
  <c r="R71" i="43" s="1"/>
  <c r="AC163" i="43"/>
  <c r="V155" i="43"/>
  <c r="AD163" i="43"/>
  <c r="V107" i="43"/>
  <c r="V109" i="43" s="1"/>
  <c r="S250" i="43"/>
  <c r="O250" i="43"/>
  <c r="J250" i="43"/>
  <c r="F250" i="43"/>
  <c r="S249" i="43"/>
  <c r="W250" i="43"/>
  <c r="R250" i="43"/>
  <c r="N250" i="43"/>
  <c r="I250" i="43"/>
  <c r="D250" i="43"/>
  <c r="M249" i="43"/>
  <c r="V250" i="43"/>
  <c r="Q250" i="43"/>
  <c r="M250" i="43"/>
  <c r="H250" i="43"/>
  <c r="C250" i="43"/>
  <c r="I249" i="43"/>
  <c r="U250" i="43"/>
  <c r="P250" i="43"/>
  <c r="L250" i="43"/>
  <c r="G250" i="43"/>
  <c r="U249" i="43"/>
  <c r="H249" i="43"/>
  <c r="G249" i="43"/>
  <c r="F249" i="43"/>
  <c r="R249" i="43"/>
  <c r="D249" i="43"/>
  <c r="K250" i="43"/>
  <c r="L249" i="43"/>
  <c r="V249" i="43"/>
  <c r="E250" i="43"/>
  <c r="T250" i="43"/>
  <c r="P249" i="43"/>
  <c r="C249" i="43"/>
  <c r="N249" i="43"/>
  <c r="Q249" i="43"/>
  <c r="J249" i="43"/>
  <c r="O249" i="43"/>
  <c r="E249" i="43"/>
  <c r="W249" i="43"/>
  <c r="T249" i="43"/>
  <c r="K249" i="43"/>
  <c r="U142" i="43"/>
  <c r="U141" i="43" s="1"/>
  <c r="U139" i="43" s="1"/>
  <c r="U133" i="43"/>
  <c r="R73" i="43"/>
  <c r="AG7" i="78"/>
  <c r="AD28" i="78"/>
  <c r="AD14" i="78"/>
  <c r="AF34" i="78"/>
  <c r="AE34" i="78" s="1"/>
  <c r="AF28" i="78"/>
  <c r="AA163" i="43"/>
  <c r="W163" i="43"/>
  <c r="X163" i="43"/>
  <c r="Z163" i="43"/>
  <c r="AB179" i="43"/>
  <c r="Y179" i="43"/>
  <c r="S7" i="79"/>
  <c r="H15" i="82"/>
  <c r="G15" i="82"/>
  <c r="X21" i="43"/>
  <c r="X23" i="43" s="1"/>
  <c r="I15" i="82"/>
  <c r="Z127" i="43"/>
  <c r="Z128" i="43" s="1"/>
  <c r="AI250" i="43"/>
  <c r="AH250" i="43"/>
  <c r="AI249" i="43"/>
  <c r="AH249" i="43"/>
  <c r="AA127" i="43"/>
  <c r="AA128" i="43" s="1"/>
  <c r="F36" i="82"/>
  <c r="AG250" i="43"/>
  <c r="AD9" i="43"/>
  <c r="AD63" i="43" s="1"/>
  <c r="AG12" i="79"/>
  <c r="W3" i="75"/>
  <c r="AF3" i="75"/>
  <c r="X97" i="43"/>
  <c r="I34" i="82"/>
  <c r="AD127" i="43"/>
  <c r="AD128" i="43" s="1"/>
  <c r="Y107" i="43"/>
  <c r="X127" i="43"/>
  <c r="X128" i="43" s="1"/>
  <c r="AC137" i="43"/>
  <c r="W279" i="43"/>
  <c r="W280" i="43" s="1"/>
  <c r="AB36" i="43"/>
  <c r="AB39" i="43" s="1"/>
  <c r="W97" i="43"/>
  <c r="AB107" i="43"/>
  <c r="AC21" i="43"/>
  <c r="AC23" i="43" s="1"/>
  <c r="C57" i="83"/>
  <c r="AE9" i="78"/>
  <c r="AE11" i="78" s="1"/>
  <c r="Z137" i="43"/>
  <c r="D37" i="82"/>
  <c r="AD97" i="43"/>
  <c r="AE7" i="79"/>
  <c r="AD136" i="43"/>
  <c r="AF136" i="43" s="1"/>
  <c r="X3" i="75"/>
  <c r="G34" i="82"/>
  <c r="K34" i="82"/>
  <c r="AE97" i="43"/>
  <c r="AD109" i="43"/>
  <c r="D15" i="82"/>
  <c r="C37" i="82"/>
  <c r="C39" i="82" s="1"/>
  <c r="U211" i="43"/>
  <c r="W263" i="43"/>
  <c r="AD21" i="43"/>
  <c r="AE14" i="79"/>
  <c r="AE16" i="79" s="1"/>
  <c r="AI1" i="75"/>
  <c r="AA3" i="75"/>
  <c r="T1" i="75"/>
  <c r="AB250" i="43"/>
  <c r="AE250" i="43"/>
  <c r="AF250" i="43"/>
  <c r="I36" i="82"/>
  <c r="J34" i="82"/>
  <c r="C24" i="82"/>
  <c r="C31" i="82"/>
  <c r="F68" i="82"/>
  <c r="AA180" i="43"/>
  <c r="Z109" i="43"/>
  <c r="Z205" i="43"/>
  <c r="Y162" i="43"/>
  <c r="U19" i="79"/>
  <c r="U12" i="79"/>
  <c r="AC25" i="79"/>
  <c r="AC12" i="79"/>
  <c r="T12" i="79"/>
  <c r="X12" i="79"/>
  <c r="AD12" i="79"/>
  <c r="AA12" i="79"/>
  <c r="E2" i="75"/>
  <c r="T2" i="75"/>
  <c r="G2" i="75"/>
  <c r="AE2" i="75"/>
  <c r="AK2" i="75"/>
  <c r="AD22" i="43"/>
  <c r="AD10" i="43"/>
  <c r="AA9" i="43"/>
  <c r="AA53" i="43" s="1"/>
  <c r="Y30" i="43"/>
  <c r="U9" i="43"/>
  <c r="U60" i="43" s="1"/>
  <c r="AB11" i="79"/>
  <c r="AE12" i="79" s="1"/>
  <c r="U25" i="79"/>
  <c r="Y11" i="79"/>
  <c r="V14" i="79"/>
  <c r="T21" i="43"/>
  <c r="T23" i="43" s="1"/>
  <c r="AA21" i="43"/>
  <c r="AA23" i="43" s="1"/>
  <c r="V25" i="43"/>
  <c r="T9" i="43"/>
  <c r="Z25" i="79"/>
  <c r="S11" i="79"/>
  <c r="S25" i="79" s="1"/>
  <c r="Q9" i="43"/>
  <c r="S30" i="43"/>
  <c r="R9" i="43"/>
  <c r="AD19" i="79"/>
  <c r="Q19" i="79"/>
  <c r="Q20" i="79" s="1"/>
  <c r="Q22" i="79" s="1"/>
  <c r="E1" i="75"/>
  <c r="AI2" i="75"/>
  <c r="F45" i="82"/>
  <c r="F56" i="82"/>
  <c r="F48" i="82"/>
  <c r="F50" i="82"/>
  <c r="AB129" i="43"/>
  <c r="AB131" i="43" s="1"/>
  <c r="V171" i="43"/>
  <c r="Y187" i="43"/>
  <c r="Z189" i="43" s="1"/>
  <c r="V187" i="43"/>
  <c r="W189" i="43" s="1"/>
  <c r="Y155" i="43"/>
  <c r="F55" i="82"/>
  <c r="W180" i="43"/>
  <c r="AD248" i="43"/>
  <c r="W90" i="43"/>
  <c r="AA97" i="43"/>
  <c r="AA109" i="43"/>
  <c r="X180" i="43"/>
  <c r="AC205" i="43"/>
  <c r="X262" i="43"/>
  <c r="X264" i="43" s="1"/>
  <c r="Y266" i="43" s="1"/>
  <c r="Y268" i="43" s="1"/>
  <c r="Y129" i="43"/>
  <c r="Y131" i="43" s="1"/>
  <c r="X109" i="43"/>
  <c r="Z180" i="43"/>
  <c r="X205" i="43"/>
  <c r="AA90" i="43"/>
  <c r="AC90" i="43"/>
  <c r="D32" i="82" s="1"/>
  <c r="AK1" i="75"/>
  <c r="AD249" i="43"/>
  <c r="AD250" i="43"/>
  <c r="Y250" i="43"/>
  <c r="AA250" i="43"/>
  <c r="Y249" i="43"/>
  <c r="Z250" i="43"/>
  <c r="G7" i="75"/>
  <c r="Q7" i="75"/>
  <c r="AL39" i="43"/>
  <c r="AL120" i="43" s="1"/>
  <c r="F8" i="75"/>
  <c r="AG43" i="75"/>
  <c r="AF44" i="75"/>
  <c r="P44" i="75"/>
  <c r="AE1" i="75"/>
  <c r="AL7" i="75"/>
  <c r="H9" i="75"/>
  <c r="T9" i="75"/>
  <c r="AE9" i="75"/>
  <c r="K44" i="75"/>
  <c r="H2" i="75"/>
  <c r="U43" i="75"/>
  <c r="G1" i="75"/>
  <c r="F6" i="75"/>
  <c r="AH7" i="75"/>
  <c r="P9" i="75"/>
  <c r="AB9" i="75"/>
  <c r="AF9" i="75"/>
  <c r="G44" i="75"/>
  <c r="M44" i="75"/>
  <c r="AC44" i="75"/>
  <c r="S2" i="75"/>
  <c r="V7" i="75"/>
  <c r="Z7" i="75"/>
  <c r="S9" i="75"/>
  <c r="J7" i="75"/>
  <c r="N7" i="75"/>
  <c r="T7" i="75"/>
  <c r="AI7" i="75"/>
  <c r="H7" i="75"/>
  <c r="S44" i="75"/>
  <c r="W44" i="75"/>
  <c r="S1" i="75"/>
  <c r="K7" i="75"/>
  <c r="P7" i="75"/>
  <c r="AE7" i="75"/>
  <c r="M7" i="75"/>
  <c r="G9" i="75"/>
  <c r="I43" i="75"/>
  <c r="AE44" i="75"/>
  <c r="AI44" i="75"/>
  <c r="X32" i="43"/>
  <c r="X42" i="43" s="1"/>
  <c r="R25" i="79"/>
  <c r="R19" i="79"/>
  <c r="R20" i="79" s="1"/>
  <c r="R22" i="79" s="1"/>
  <c r="Y14" i="79"/>
  <c r="S14" i="79"/>
  <c r="AD24" i="79"/>
  <c r="AB7" i="79"/>
  <c r="X18" i="79"/>
  <c r="T19" i="79"/>
  <c r="T25" i="79"/>
  <c r="X25" i="79"/>
  <c r="AB14" i="79"/>
  <c r="P1" i="78"/>
  <c r="P1" i="79"/>
  <c r="AB1" i="78"/>
  <c r="AB1" i="79"/>
  <c r="AN1" i="78"/>
  <c r="AN1" i="79"/>
  <c r="AC3" i="75"/>
  <c r="K2" i="75"/>
  <c r="Q3" i="75"/>
  <c r="AD122" i="43"/>
  <c r="T1" i="78"/>
  <c r="T1" i="79"/>
  <c r="I3" i="75"/>
  <c r="Q1" i="78"/>
  <c r="Q1" i="79"/>
  <c r="F3" i="75"/>
  <c r="AC1" i="78"/>
  <c r="AC1" i="79"/>
  <c r="R3" i="75"/>
  <c r="AL3" i="75"/>
  <c r="X1" i="78"/>
  <c r="X1" i="79"/>
  <c r="M3" i="75"/>
  <c r="AF1" i="78"/>
  <c r="AF1" i="79"/>
  <c r="AJ1" i="78"/>
  <c r="AJ1" i="79"/>
  <c r="Y3" i="75"/>
  <c r="U1" i="78"/>
  <c r="U1" i="79"/>
  <c r="J3" i="75"/>
  <c r="Y1" i="78"/>
  <c r="N3" i="75"/>
  <c r="Y1" i="79"/>
  <c r="AG1" i="78"/>
  <c r="AG1" i="79"/>
  <c r="V3" i="75"/>
  <c r="AK1" i="78"/>
  <c r="AK1" i="79"/>
  <c r="Z3" i="75"/>
  <c r="AO1" i="78"/>
  <c r="AO1" i="79"/>
  <c r="AD3" i="75"/>
  <c r="AH3" i="75"/>
  <c r="K1" i="75"/>
  <c r="P1" i="75"/>
  <c r="P2" i="75"/>
  <c r="U3" i="75"/>
  <c r="AB1" i="75"/>
  <c r="AB2" i="75"/>
  <c r="G59" i="82"/>
  <c r="H1" i="75"/>
  <c r="AA120" i="43"/>
  <c r="F66" i="82"/>
  <c r="X90" i="43"/>
  <c r="X136" i="43"/>
  <c r="AD90" i="43"/>
  <c r="AF276" i="43"/>
  <c r="R1" i="79"/>
  <c r="R1" i="78"/>
  <c r="V1" i="79"/>
  <c r="Z1" i="79"/>
  <c r="Z1" i="78"/>
  <c r="AD1" i="79"/>
  <c r="AD1" i="78"/>
  <c r="AH1" i="79"/>
  <c r="AH1" i="78"/>
  <c r="AL1" i="79"/>
  <c r="AL1" i="78"/>
  <c r="AB47" i="43"/>
  <c r="AC49" i="43"/>
  <c r="X101" i="43"/>
  <c r="AB127" i="43"/>
  <c r="AB128" i="43" s="1"/>
  <c r="F60" i="82"/>
  <c r="AE276" i="43"/>
  <c r="AB248" i="43"/>
  <c r="AB249" i="43"/>
  <c r="V1" i="78"/>
  <c r="AB101" i="43"/>
  <c r="AB90" i="43"/>
  <c r="AC97" i="43"/>
  <c r="AB93" i="43"/>
  <c r="AB94" i="43"/>
  <c r="AB136" i="43"/>
  <c r="AC136" i="43" s="1"/>
  <c r="W205" i="43"/>
  <c r="Y278" i="43"/>
  <c r="Z97" i="43"/>
  <c r="Z98" i="43" s="1"/>
  <c r="Y94" i="43"/>
  <c r="Z101" i="43"/>
  <c r="X120" i="43"/>
  <c r="Y127" i="43"/>
  <c r="Y128" i="43" s="1"/>
  <c r="AC127" i="43"/>
  <c r="AC128" i="43" s="1"/>
  <c r="AB155" i="43"/>
  <c r="AB171" i="43"/>
  <c r="U101" i="43"/>
  <c r="U90" i="43"/>
  <c r="U98" i="43" s="1"/>
  <c r="AA101" i="43"/>
  <c r="AC109" i="43"/>
  <c r="Y202" i="43"/>
  <c r="Y205" i="43" s="1"/>
  <c r="V162" i="43"/>
  <c r="AB186" i="43"/>
  <c r="AB187" i="43" s="1"/>
  <c r="AC189" i="43" s="1"/>
  <c r="AA187" i="43"/>
  <c r="U205" i="43"/>
  <c r="AC250" i="43"/>
  <c r="O1" i="78"/>
  <c r="O1" i="79"/>
  <c r="S1" i="78"/>
  <c r="S1" i="79"/>
  <c r="W1" i="78"/>
  <c r="W1" i="79"/>
  <c r="AA1" i="78"/>
  <c r="AA1" i="79"/>
  <c r="AE1" i="78"/>
  <c r="AE1" i="79"/>
  <c r="AI1" i="78"/>
  <c r="AI1" i="79"/>
  <c r="AM1" i="78"/>
  <c r="AM1" i="79"/>
  <c r="Y86" i="43"/>
  <c r="Y101" i="43" s="1"/>
  <c r="V203" i="43"/>
  <c r="Y171" i="43"/>
  <c r="AD180" i="43"/>
  <c r="AB276" i="43"/>
  <c r="AA205" i="43"/>
  <c r="V202" i="43"/>
  <c r="AB162" i="43"/>
  <c r="U180" i="43"/>
  <c r="AC180" i="43"/>
  <c r="X249" i="43"/>
  <c r="V264" i="43"/>
  <c r="X266" i="43" s="1"/>
  <c r="X268" i="43" s="1"/>
  <c r="U264" i="43"/>
  <c r="V266" i="43" s="1"/>
  <c r="W262" i="43"/>
  <c r="AA248" i="43"/>
  <c r="AA249" i="43"/>
  <c r="X250" i="43"/>
  <c r="Y7" i="75"/>
  <c r="AB7" i="75"/>
  <c r="J9" i="75"/>
  <c r="M9" i="75"/>
  <c r="F43" i="75"/>
  <c r="AC7" i="75"/>
  <c r="N9" i="75"/>
  <c r="Q9" i="75"/>
  <c r="Z9" i="75"/>
  <c r="AC9" i="75"/>
  <c r="AM43" i="75"/>
  <c r="AP44" i="75" s="1"/>
  <c r="AK44" i="75"/>
  <c r="AF7" i="75"/>
  <c r="V9" i="75"/>
  <c r="Y9" i="75"/>
  <c r="AL9" i="75"/>
  <c r="S7" i="75"/>
  <c r="W7" i="75"/>
  <c r="AK7" i="75"/>
  <c r="AH9" i="75"/>
  <c r="AK9" i="75"/>
  <c r="K9" i="75"/>
  <c r="W9" i="75"/>
  <c r="AI9" i="75"/>
  <c r="T44" i="75"/>
  <c r="AA43" i="75"/>
  <c r="Y44" i="75"/>
  <c r="R43" i="75"/>
  <c r="AB44" i="75"/>
  <c r="Q44" i="75"/>
  <c r="H44" i="75"/>
  <c r="O43" i="75"/>
  <c r="AD43" i="75"/>
  <c r="L43" i="75"/>
  <c r="X43" i="75"/>
  <c r="AJ43" i="75"/>
  <c r="J44" i="75"/>
  <c r="N44" i="75"/>
  <c r="V44" i="75"/>
  <c r="Z44" i="75"/>
  <c r="AH44" i="75"/>
  <c r="AL44" i="75"/>
  <c r="U2" i="75" l="1"/>
  <c r="U5" i="75"/>
  <c r="U31" i="75"/>
  <c r="AD2" i="75"/>
  <c r="AD5" i="75"/>
  <c r="AD31" i="75"/>
  <c r="J5" i="75"/>
  <c r="J31" i="75"/>
  <c r="M5" i="75"/>
  <c r="M31" i="75"/>
  <c r="Z5" i="75"/>
  <c r="Z31" i="75"/>
  <c r="R2" i="75"/>
  <c r="R5" i="75"/>
  <c r="R31" i="75"/>
  <c r="AL5" i="75"/>
  <c r="AL31" i="75"/>
  <c r="AC5" i="75"/>
  <c r="AC31" i="75"/>
  <c r="AA2" i="75"/>
  <c r="AA31" i="75"/>
  <c r="AA5" i="75"/>
  <c r="X2" i="75"/>
  <c r="X5" i="75"/>
  <c r="X31" i="75"/>
  <c r="AF5" i="75"/>
  <c r="AF31" i="75"/>
  <c r="AH5" i="75"/>
  <c r="AH31" i="75"/>
  <c r="V5" i="75"/>
  <c r="V31" i="75"/>
  <c r="N5" i="75"/>
  <c r="N31" i="75"/>
  <c r="F2" i="75"/>
  <c r="F5" i="75"/>
  <c r="F31" i="75"/>
  <c r="D1" i="75"/>
  <c r="D31" i="75"/>
  <c r="D5" i="75"/>
  <c r="Y5" i="75"/>
  <c r="Y31" i="75"/>
  <c r="I2" i="75"/>
  <c r="I5" i="75"/>
  <c r="I31" i="75"/>
  <c r="Q5" i="75"/>
  <c r="Q31" i="75"/>
  <c r="W31" i="75"/>
  <c r="W5" i="75"/>
  <c r="K11" i="82"/>
  <c r="AE139" i="43"/>
  <c r="T20" i="79"/>
  <c r="X57" i="43"/>
  <c r="X21" i="79"/>
  <c r="U57" i="43"/>
  <c r="U21" i="79"/>
  <c r="AG57" i="43"/>
  <c r="AG21" i="79"/>
  <c r="T57" i="43"/>
  <c r="T21" i="79"/>
  <c r="U20" i="79"/>
  <c r="AG20" i="79"/>
  <c r="AA57" i="43"/>
  <c r="AC57" i="43"/>
  <c r="AE57" i="43"/>
  <c r="AD57" i="43"/>
  <c r="D2" i="75"/>
  <c r="AL112" i="43"/>
  <c r="AB109" i="43"/>
  <c r="AB212" i="43" s="1"/>
  <c r="AB116" i="43"/>
  <c r="Y109" i="43"/>
  <c r="Y110" i="43" s="1"/>
  <c r="Y116" i="43"/>
  <c r="AG58" i="43"/>
  <c r="AF1" i="75"/>
  <c r="S113" i="43"/>
  <c r="U41" i="43"/>
  <c r="U67" i="43" s="1"/>
  <c r="U69" i="43" s="1"/>
  <c r="U206" i="43"/>
  <c r="U80" i="43" s="1"/>
  <c r="U81" i="43" s="1"/>
  <c r="W206" i="43"/>
  <c r="W80" i="43" s="1"/>
  <c r="AD113" i="43"/>
  <c r="U63" i="43"/>
  <c r="U113" i="43"/>
  <c r="U215" i="43"/>
  <c r="U112" i="43"/>
  <c r="Q53" i="43"/>
  <c r="Q60" i="43"/>
  <c r="Q63" i="43"/>
  <c r="Z30" i="43"/>
  <c r="S77" i="43"/>
  <c r="S81" i="43" s="1"/>
  <c r="S215" i="43"/>
  <c r="AD54" i="43"/>
  <c r="AD64" i="43"/>
  <c r="AG54" i="43"/>
  <c r="R53" i="43"/>
  <c r="R63" i="43"/>
  <c r="R60" i="43"/>
  <c r="V27" i="43"/>
  <c r="V113" i="43" s="1"/>
  <c r="U34" i="43"/>
  <c r="W113" i="43"/>
  <c r="S216" i="43"/>
  <c r="T53" i="43"/>
  <c r="T63" i="43"/>
  <c r="U53" i="43"/>
  <c r="AD53" i="43"/>
  <c r="AG53" i="43"/>
  <c r="X53" i="43"/>
  <c r="I24" i="82"/>
  <c r="AD77" i="43"/>
  <c r="AD112" i="43"/>
  <c r="AD215" i="43"/>
  <c r="AD23" i="43"/>
  <c r="R133" i="43"/>
  <c r="K24" i="82"/>
  <c r="X34" i="43"/>
  <c r="X41" i="43"/>
  <c r="X67" i="43" s="1"/>
  <c r="X69" i="43" s="1"/>
  <c r="G24" i="82"/>
  <c r="Q133" i="43"/>
  <c r="J24" i="82"/>
  <c r="Q142" i="43"/>
  <c r="Q141" i="43" s="1"/>
  <c r="Q139" i="43" s="1"/>
  <c r="R142" i="43"/>
  <c r="R141" i="43" s="1"/>
  <c r="R139" i="43" s="1"/>
  <c r="AB163" i="43"/>
  <c r="Z120" i="43"/>
  <c r="Z122" i="43" s="1"/>
  <c r="Y120" i="43"/>
  <c r="Y122" i="43" s="1"/>
  <c r="C11" i="82"/>
  <c r="H36" i="82"/>
  <c r="V110" i="43"/>
  <c r="V116" i="43"/>
  <c r="S32" i="43"/>
  <c r="S42" i="43" s="1"/>
  <c r="AE16" i="78"/>
  <c r="AE28" i="78"/>
  <c r="Y262" i="43"/>
  <c r="Z262" i="43" s="1"/>
  <c r="Y163" i="43"/>
  <c r="S21" i="43"/>
  <c r="T271" i="43"/>
  <c r="T270" i="43" s="1"/>
  <c r="D9" i="82"/>
  <c r="AD239" i="43"/>
  <c r="AA11" i="43"/>
  <c r="AD211" i="43"/>
  <c r="Y115" i="43"/>
  <c r="Q44" i="82"/>
  <c r="X115" i="43"/>
  <c r="Z115" i="43" s="1"/>
  <c r="AA210" i="43"/>
  <c r="AI248" i="43"/>
  <c r="F54" i="82"/>
  <c r="I11" i="82"/>
  <c r="U181" i="43"/>
  <c r="U188" i="43" s="1"/>
  <c r="X212" i="43"/>
  <c r="Z211" i="43"/>
  <c r="Q46" i="82" s="1"/>
  <c r="Z210" i="43"/>
  <c r="AD17" i="78"/>
  <c r="AE115" i="43"/>
  <c r="AE118" i="43" s="1"/>
  <c r="AE119" i="43" s="1"/>
  <c r="AF2" i="75"/>
  <c r="X110" i="43"/>
  <c r="Z212" i="43"/>
  <c r="Q45" i="82" s="1"/>
  <c r="F65" i="82"/>
  <c r="AD212" i="43"/>
  <c r="X11" i="43"/>
  <c r="W1" i="75"/>
  <c r="W264" i="43"/>
  <c r="W2" i="75"/>
  <c r="S19" i="79"/>
  <c r="S20" i="79" s="1"/>
  <c r="S22" i="79" s="1"/>
  <c r="AD210" i="43"/>
  <c r="U210" i="43"/>
  <c r="U216" i="43" s="1"/>
  <c r="U212" i="43"/>
  <c r="Z181" i="43"/>
  <c r="Z209" i="43" s="1"/>
  <c r="Y97" i="43"/>
  <c r="AA211" i="43"/>
  <c r="Y206" i="43"/>
  <c r="Y80" i="43" s="1"/>
  <c r="C62" i="83"/>
  <c r="AB115" i="43"/>
  <c r="AA115" i="43"/>
  <c r="AC115" i="43" s="1"/>
  <c r="R11" i="43"/>
  <c r="R196" i="43" s="1"/>
  <c r="T11" i="43"/>
  <c r="T196" i="43" s="1"/>
  <c r="Z275" i="43"/>
  <c r="X275" i="43"/>
  <c r="AC181" i="43"/>
  <c r="AC188" i="43" s="1"/>
  <c r="W181" i="43"/>
  <c r="W209" i="43" s="1"/>
  <c r="AA98" i="43"/>
  <c r="X206" i="43"/>
  <c r="X80" i="43" s="1"/>
  <c r="Z110" i="43"/>
  <c r="V205" i="43"/>
  <c r="W210" i="43"/>
  <c r="AA206" i="43"/>
  <c r="AA80" i="43" s="1"/>
  <c r="X211" i="43"/>
  <c r="AC98" i="43"/>
  <c r="AD11" i="43"/>
  <c r="X210" i="43"/>
  <c r="AA110" i="43"/>
  <c r="R44" i="82"/>
  <c r="AF110" i="43"/>
  <c r="G68" i="82"/>
  <c r="W211" i="43"/>
  <c r="AE24" i="79"/>
  <c r="AD31" i="43"/>
  <c r="W212" i="43"/>
  <c r="V163" i="43"/>
  <c r="AD110" i="43"/>
  <c r="AE110" i="43"/>
  <c r="G36" i="82"/>
  <c r="D39" i="82"/>
  <c r="D31" i="82"/>
  <c r="AD206" i="43"/>
  <c r="AD80" i="43" s="1"/>
  <c r="AF206" i="43"/>
  <c r="AF249" i="43"/>
  <c r="S34" i="82" s="1"/>
  <c r="AF248" i="43"/>
  <c r="C18" i="82"/>
  <c r="D18" i="82"/>
  <c r="X181" i="43"/>
  <c r="Y180" i="43"/>
  <c r="AA181" i="43"/>
  <c r="AA209" i="43" s="1"/>
  <c r="AC206" i="43"/>
  <c r="L44" i="75"/>
  <c r="Y9" i="43"/>
  <c r="AB12" i="79"/>
  <c r="AN32" i="78"/>
  <c r="AN58" i="43" s="1"/>
  <c r="U11" i="43"/>
  <c r="U196" i="43" s="1"/>
  <c r="Y25" i="79"/>
  <c r="AB9" i="43"/>
  <c r="S9" i="43"/>
  <c r="S60" i="43" s="1"/>
  <c r="T30" i="43"/>
  <c r="W21" i="43"/>
  <c r="W23" i="43" s="1"/>
  <c r="Q11" i="43"/>
  <c r="Q196" i="43" s="1"/>
  <c r="X7" i="75"/>
  <c r="R7" i="75"/>
  <c r="AA7" i="75"/>
  <c r="Z206" i="43"/>
  <c r="Z80" i="43" s="1"/>
  <c r="C26" i="82" s="1"/>
  <c r="Z266" i="43"/>
  <c r="Z268" i="43" s="1"/>
  <c r="G55" i="82"/>
  <c r="G48" i="82"/>
  <c r="AB180" i="43"/>
  <c r="V180" i="43"/>
  <c r="G50" i="82"/>
  <c r="U9" i="75"/>
  <c r="AJ44" i="75"/>
  <c r="I9" i="75"/>
  <c r="R9" i="75"/>
  <c r="O7" i="75"/>
  <c r="L7" i="75"/>
  <c r="AM9" i="75"/>
  <c r="AG9" i="75"/>
  <c r="X44" i="75"/>
  <c r="AD44" i="75"/>
  <c r="L9" i="75"/>
  <c r="AJ7" i="75"/>
  <c r="AD7" i="75"/>
  <c r="I7" i="75"/>
  <c r="R44" i="75"/>
  <c r="AM7" i="75"/>
  <c r="AA9" i="75"/>
  <c r="AA44" i="75"/>
  <c r="AM44" i="75"/>
  <c r="AG44" i="75"/>
  <c r="Z19" i="79"/>
  <c r="Z25" i="43"/>
  <c r="X25" i="43"/>
  <c r="X63" i="43" s="1"/>
  <c r="X19" i="79"/>
  <c r="X20" i="79" s="1"/>
  <c r="AD30" i="43"/>
  <c r="AD60" i="43" s="1"/>
  <c r="AD31" i="79"/>
  <c r="AD28" i="79"/>
  <c r="AD25" i="79"/>
  <c r="AB21" i="43"/>
  <c r="AB23" i="43" s="1"/>
  <c r="Y21" i="43"/>
  <c r="Y23" i="43" s="1"/>
  <c r="Y18" i="79"/>
  <c r="V268" i="43"/>
  <c r="W266" i="43"/>
  <c r="W268" i="43" s="1"/>
  <c r="AC211" i="43"/>
  <c r="R46" i="82" s="1"/>
  <c r="AD115" i="43"/>
  <c r="AC212" i="43"/>
  <c r="R45" i="82" s="1"/>
  <c r="AC210" i="43"/>
  <c r="AC110" i="43"/>
  <c r="AD181" i="43"/>
  <c r="AD209" i="43" s="1"/>
  <c r="G60" i="82"/>
  <c r="AD98" i="43"/>
  <c r="G66" i="82"/>
  <c r="AA122" i="43"/>
  <c r="J1" i="75"/>
  <c r="J2" i="75"/>
  <c r="M2" i="75"/>
  <c r="M1" i="75"/>
  <c r="AA212" i="43"/>
  <c r="AC277" i="43"/>
  <c r="AC279" i="43" s="1"/>
  <c r="AC234" i="43"/>
  <c r="AC238" i="43" s="1"/>
  <c r="D17" i="82" s="1"/>
  <c r="X98" i="43"/>
  <c r="X102" i="43" s="1"/>
  <c r="Z249" i="43"/>
  <c r="Q34" i="82" s="1"/>
  <c r="Y136" i="43"/>
  <c r="Z136" i="43" s="1"/>
  <c r="Y90" i="43"/>
  <c r="V212" i="43"/>
  <c r="V210" i="43"/>
  <c r="V211" i="43"/>
  <c r="X122" i="43"/>
  <c r="AB97" i="43"/>
  <c r="F11" i="82"/>
  <c r="Z1" i="75"/>
  <c r="Z2" i="75"/>
  <c r="Y2" i="75"/>
  <c r="Y1" i="75"/>
  <c r="Q2" i="75"/>
  <c r="Q1" i="75"/>
  <c r="AJ154" i="43"/>
  <c r="AC249" i="43"/>
  <c r="R34" i="82" s="1"/>
  <c r="AC248" i="43"/>
  <c r="H59" i="82"/>
  <c r="AH1" i="75"/>
  <c r="AH2" i="75"/>
  <c r="N2" i="75"/>
  <c r="N1" i="75"/>
  <c r="AL2" i="75"/>
  <c r="AL1" i="75"/>
  <c r="V1" i="75"/>
  <c r="V2" i="75"/>
  <c r="AD49" i="43"/>
  <c r="AC2" i="75"/>
  <c r="AC1" i="75"/>
  <c r="U7" i="75"/>
  <c r="U44" i="75"/>
  <c r="I44" i="75"/>
  <c r="O44" i="75"/>
  <c r="O9" i="75"/>
  <c r="AJ9" i="75"/>
  <c r="AD9" i="75"/>
  <c r="X9" i="75"/>
  <c r="AG7" i="75"/>
  <c r="X22" i="79" l="1"/>
  <c r="Y211" i="43"/>
  <c r="Y212" i="43"/>
  <c r="J11" i="82"/>
  <c r="Y210" i="43"/>
  <c r="T22" i="79"/>
  <c r="AC21" i="79"/>
  <c r="AG22" i="79"/>
  <c r="AB57" i="43"/>
  <c r="AB211" i="43"/>
  <c r="AA21" i="79"/>
  <c r="U22" i="79"/>
  <c r="AB110" i="43"/>
  <c r="AB210" i="43"/>
  <c r="AL122" i="43"/>
  <c r="G54" i="82"/>
  <c r="G56" i="82"/>
  <c r="K76" i="83"/>
  <c r="J76" i="83"/>
  <c r="I76" i="83"/>
  <c r="H76" i="83"/>
  <c r="G76" i="83"/>
  <c r="X196" i="43"/>
  <c r="X193" i="43"/>
  <c r="AA193" i="43"/>
  <c r="AA194" i="43"/>
  <c r="AA196" i="43"/>
  <c r="AA195" i="43"/>
  <c r="AD194" i="43"/>
  <c r="AD193" i="43"/>
  <c r="AD195" i="43"/>
  <c r="AD196" i="43"/>
  <c r="AI37" i="78"/>
  <c r="AH58" i="43"/>
  <c r="Z32" i="43"/>
  <c r="Z41" i="43" s="1"/>
  <c r="T60" i="43"/>
  <c r="AD61" i="43"/>
  <c r="Q55" i="43"/>
  <c r="R55" i="43"/>
  <c r="V206" i="43"/>
  <c r="V80" i="43" s="1"/>
  <c r="V77" i="43"/>
  <c r="W77" i="43" s="1"/>
  <c r="W81" i="43" s="1"/>
  <c r="U55" i="43"/>
  <c r="T55" i="43"/>
  <c r="Z9" i="43"/>
  <c r="S53" i="43"/>
  <c r="S63" i="43"/>
  <c r="AD55" i="43"/>
  <c r="AG55" i="43"/>
  <c r="X55" i="43"/>
  <c r="Y60" i="43"/>
  <c r="AB53" i="43"/>
  <c r="Q39" i="82"/>
  <c r="Q41" i="82" s="1"/>
  <c r="AA55" i="43"/>
  <c r="Z27" i="43"/>
  <c r="V216" i="43"/>
  <c r="AD81" i="43"/>
  <c r="AD216" i="43"/>
  <c r="W216" i="43"/>
  <c r="V215" i="43"/>
  <c r="W215" i="43"/>
  <c r="S34" i="43"/>
  <c r="S41" i="43"/>
  <c r="S67" i="43" s="1"/>
  <c r="X27" i="43"/>
  <c r="S23" i="43"/>
  <c r="S271" i="43" s="1"/>
  <c r="S270" i="43" s="1"/>
  <c r="Q18" i="43"/>
  <c r="Q15" i="43"/>
  <c r="AA15" i="43"/>
  <c r="AA16" i="43" s="1"/>
  <c r="U18" i="43"/>
  <c r="U15" i="43"/>
  <c r="AD18" i="43"/>
  <c r="AD15" i="43"/>
  <c r="T18" i="43"/>
  <c r="T15" i="43"/>
  <c r="X15" i="43"/>
  <c r="R18" i="43"/>
  <c r="R15" i="43"/>
  <c r="AB120" i="43"/>
  <c r="AB122" i="43" s="1"/>
  <c r="W118" i="43"/>
  <c r="V118" i="43"/>
  <c r="Q65" i="43"/>
  <c r="T32" i="43"/>
  <c r="T65" i="43"/>
  <c r="U65" i="43"/>
  <c r="R65" i="43"/>
  <c r="T133" i="43"/>
  <c r="T142" i="43"/>
  <c r="T141" i="43" s="1"/>
  <c r="T139" i="43" s="1"/>
  <c r="AH37" i="78"/>
  <c r="AG241" i="43"/>
  <c r="AD252" i="43"/>
  <c r="AD254" i="43"/>
  <c r="AD253" i="43"/>
  <c r="Y263" i="43"/>
  <c r="Z263" i="43" s="1"/>
  <c r="Z264" i="43" s="1"/>
  <c r="AA262" i="43"/>
  <c r="Q200" i="43"/>
  <c r="Q194" i="43"/>
  <c r="Q199" i="43"/>
  <c r="Q195" i="43"/>
  <c r="Q193" i="43"/>
  <c r="Q198" i="43"/>
  <c r="R33" i="43"/>
  <c r="R62" i="43" s="1"/>
  <c r="R199" i="43"/>
  <c r="R195" i="43"/>
  <c r="R193" i="43"/>
  <c r="R200" i="43"/>
  <c r="R198" i="43"/>
  <c r="R194" i="43"/>
  <c r="T200" i="43"/>
  <c r="T198" i="43"/>
  <c r="T194" i="43"/>
  <c r="T199" i="43"/>
  <c r="T195" i="43"/>
  <c r="T193" i="43"/>
  <c r="V21" i="43"/>
  <c r="V23" i="43" s="1"/>
  <c r="AA199" i="43"/>
  <c r="AA200" i="43"/>
  <c r="AA198" i="43"/>
  <c r="X118" i="43"/>
  <c r="X119" i="43" s="1"/>
  <c r="D11" i="82"/>
  <c r="G11" i="82"/>
  <c r="G65" i="82"/>
  <c r="AA263" i="43"/>
  <c r="AJ276" i="43"/>
  <c r="Z188" i="43"/>
  <c r="AD142" i="43"/>
  <c r="AD141" i="43" s="1"/>
  <c r="Y181" i="43"/>
  <c r="Y188" i="43" s="1"/>
  <c r="X33" i="43"/>
  <c r="X62" i="43" s="1"/>
  <c r="X194" i="43"/>
  <c r="X198" i="43"/>
  <c r="X199" i="43"/>
  <c r="X200" i="43"/>
  <c r="AC133" i="43"/>
  <c r="R57" i="82" s="1"/>
  <c r="AC271" i="43"/>
  <c r="X195" i="43"/>
  <c r="AA118" i="43"/>
  <c r="AA119" i="43" s="1"/>
  <c r="AC209" i="43"/>
  <c r="AD133" i="43"/>
  <c r="W7" i="79"/>
  <c r="AD32" i="43"/>
  <c r="L76" i="83"/>
  <c r="W188" i="43"/>
  <c r="Y98" i="43"/>
  <c r="Y102" i="43" s="1"/>
  <c r="Z7" i="79"/>
  <c r="V3" i="79"/>
  <c r="AD271" i="43"/>
  <c r="AD270" i="43" s="1"/>
  <c r="AD200" i="43"/>
  <c r="AD199" i="43"/>
  <c r="AD65" i="43"/>
  <c r="AD198" i="43"/>
  <c r="V181" i="43"/>
  <c r="V188" i="43" s="1"/>
  <c r="AD118" i="43"/>
  <c r="AD119" i="43" s="1"/>
  <c r="AF115" i="43"/>
  <c r="AF118" i="43" s="1"/>
  <c r="AF119" i="43" s="1"/>
  <c r="AA188" i="43"/>
  <c r="AE28" i="79"/>
  <c r="AE31" i="79"/>
  <c r="X209" i="43"/>
  <c r="X188" i="43"/>
  <c r="U200" i="43"/>
  <c r="U195" i="43"/>
  <c r="U194" i="43"/>
  <c r="U198" i="43"/>
  <c r="U193" i="43"/>
  <c r="U33" i="43"/>
  <c r="U62" i="43" s="1"/>
  <c r="U199" i="43"/>
  <c r="AA133" i="43"/>
  <c r="AC9" i="43"/>
  <c r="AA142" i="43"/>
  <c r="AA141" i="43" s="1"/>
  <c r="AA139" i="43" s="1"/>
  <c r="AA271" i="43"/>
  <c r="V24" i="79"/>
  <c r="S11" i="43"/>
  <c r="S196" i="43" s="1"/>
  <c r="Q33" i="43"/>
  <c r="Q62" i="43" s="1"/>
  <c r="H48" i="82"/>
  <c r="H55" i="82"/>
  <c r="H56" i="82"/>
  <c r="H50" i="82"/>
  <c r="AB11" i="43"/>
  <c r="Y11" i="43"/>
  <c r="AE22" i="43"/>
  <c r="AF22" i="43"/>
  <c r="AJ21" i="43"/>
  <c r="AE21" i="43"/>
  <c r="AF21" i="43"/>
  <c r="Y25" i="43"/>
  <c r="Y63" i="43" s="1"/>
  <c r="Y19" i="79"/>
  <c r="G45" i="82"/>
  <c r="X271" i="43"/>
  <c r="X142" i="43"/>
  <c r="X141" i="43" s="1"/>
  <c r="X139" i="43" s="1"/>
  <c r="X133" i="43"/>
  <c r="AB118" i="43"/>
  <c r="AD188" i="43"/>
  <c r="AD277" i="43"/>
  <c r="AD279" i="43" s="1"/>
  <c r="AD234" i="43"/>
  <c r="AD238" i="43" s="1"/>
  <c r="AG240" i="43" s="1"/>
  <c r="AB181" i="43"/>
  <c r="D24" i="82"/>
  <c r="U271" i="43"/>
  <c r="U270" i="43" s="1"/>
  <c r="H66" i="82"/>
  <c r="F49" i="82"/>
  <c r="AB98" i="43"/>
  <c r="Z118" i="43"/>
  <c r="Z119" i="43" s="1"/>
  <c r="Y118" i="43"/>
  <c r="Y119" i="43" s="1"/>
  <c r="AB21" i="79" l="1"/>
  <c r="Z42" i="43"/>
  <c r="AB195" i="43"/>
  <c r="AB193" i="43"/>
  <c r="AB194" i="43"/>
  <c r="Y196" i="43"/>
  <c r="Y193" i="43"/>
  <c r="Y32" i="43"/>
  <c r="Y33" i="43" s="1"/>
  <c r="Y62" i="43" s="1"/>
  <c r="C10" i="82"/>
  <c r="AG37" i="78"/>
  <c r="Z60" i="43"/>
  <c r="Z113" i="43"/>
  <c r="C8" i="82"/>
  <c r="V81" i="43"/>
  <c r="S55" i="43"/>
  <c r="Z63" i="43"/>
  <c r="Z215" i="43"/>
  <c r="Q51" i="82" s="1"/>
  <c r="AC53" i="43"/>
  <c r="T67" i="43"/>
  <c r="T69" i="43" s="1"/>
  <c r="S69" i="43"/>
  <c r="Z216" i="43"/>
  <c r="Z112" i="43"/>
  <c r="Q47" i="82" s="1"/>
  <c r="AB55" i="43"/>
  <c r="X77" i="43"/>
  <c r="X81" i="43" s="1"/>
  <c r="X216" i="43"/>
  <c r="X215" i="43"/>
  <c r="X112" i="43"/>
  <c r="X113" i="43"/>
  <c r="X65" i="43"/>
  <c r="X18" i="43"/>
  <c r="AD41" i="43"/>
  <c r="AD67" i="43" s="1"/>
  <c r="AD69" i="43" s="1"/>
  <c r="AD42" i="43"/>
  <c r="T41" i="43"/>
  <c r="T42" i="43"/>
  <c r="T33" i="43"/>
  <c r="T62" i="43" s="1"/>
  <c r="T34" i="43"/>
  <c r="S133" i="43"/>
  <c r="S142" i="43"/>
  <c r="S141" i="43" s="1"/>
  <c r="S139" i="43" s="1"/>
  <c r="AF23" i="43"/>
  <c r="AB119" i="43"/>
  <c r="AE23" i="43"/>
  <c r="Y27" i="43"/>
  <c r="AB15" i="43"/>
  <c r="S15" i="43"/>
  <c r="S18" i="43"/>
  <c r="Y15" i="43"/>
  <c r="S65" i="43"/>
  <c r="W142" i="43"/>
  <c r="W141" i="43" s="1"/>
  <c r="W139" i="43" s="1"/>
  <c r="W133" i="43"/>
  <c r="V133" i="43"/>
  <c r="V142" i="43"/>
  <c r="V141" i="43" s="1"/>
  <c r="V139" i="43" s="1"/>
  <c r="X16" i="43"/>
  <c r="AH262" i="43"/>
  <c r="AB262" i="43"/>
  <c r="AD263" i="43"/>
  <c r="Y264" i="43"/>
  <c r="AA266" i="43" s="1"/>
  <c r="AA268" i="43" s="1"/>
  <c r="AB263" i="43"/>
  <c r="AC263" i="43" s="1"/>
  <c r="S200" i="43"/>
  <c r="S198" i="43"/>
  <c r="S194" i="43"/>
  <c r="S199" i="43"/>
  <c r="S195" i="43"/>
  <c r="S193" i="43"/>
  <c r="AD16" i="43"/>
  <c r="W271" i="43"/>
  <c r="W270" i="43" s="1"/>
  <c r="AC120" i="43"/>
  <c r="AC122" i="43" s="1"/>
  <c r="AH263" i="43"/>
  <c r="AA264" i="43"/>
  <c r="AB266" i="43" s="1"/>
  <c r="AM276" i="43"/>
  <c r="I59" i="82"/>
  <c r="H65" i="82"/>
  <c r="Y209" i="43"/>
  <c r="V209" i="43"/>
  <c r="AE263" i="43"/>
  <c r="Y7" i="79"/>
  <c r="AD33" i="43"/>
  <c r="AD62" i="43" s="1"/>
  <c r="V7" i="79"/>
  <c r="AG262" i="43"/>
  <c r="AG263" i="43"/>
  <c r="C9" i="82"/>
  <c r="AB271" i="43"/>
  <c r="AB141" i="43"/>
  <c r="AB142" i="43" s="1"/>
  <c r="AB133" i="43"/>
  <c r="S33" i="43"/>
  <c r="S62" i="43" s="1"/>
  <c r="V30" i="43"/>
  <c r="AC11" i="43"/>
  <c r="AB199" i="43"/>
  <c r="AB200" i="43"/>
  <c r="AB198" i="43"/>
  <c r="Y199" i="43"/>
  <c r="AH202" i="43"/>
  <c r="Y198" i="43"/>
  <c r="Y200" i="43"/>
  <c r="Y195" i="43"/>
  <c r="AH204" i="43" s="1"/>
  <c r="Y194" i="43"/>
  <c r="Z11" i="43"/>
  <c r="AE278" i="43"/>
  <c r="AE122" i="43"/>
  <c r="AF122" i="43"/>
  <c r="Z271" i="43"/>
  <c r="Z142" i="43"/>
  <c r="Z141" i="43" s="1"/>
  <c r="Z139" i="43" s="1"/>
  <c r="Z133" i="43"/>
  <c r="Q57" i="82" s="1"/>
  <c r="AB209" i="43"/>
  <c r="AB188" i="43"/>
  <c r="AC118" i="43"/>
  <c r="V271" i="43"/>
  <c r="V270" i="43" s="1"/>
  <c r="J59" i="82" l="1"/>
  <c r="Y42" i="43"/>
  <c r="Y41" i="43"/>
  <c r="Y67" i="43" s="1"/>
  <c r="Y69" i="43" s="1"/>
  <c r="AC195" i="43"/>
  <c r="AC196" i="43"/>
  <c r="AC193" i="43"/>
  <c r="AC194" i="43"/>
  <c r="Z196" i="43"/>
  <c r="Z193" i="43"/>
  <c r="E9" i="82"/>
  <c r="AH203" i="43"/>
  <c r="AH205" i="43" s="1"/>
  <c r="AH196" i="43" s="1"/>
  <c r="AG38" i="78"/>
  <c r="AY37" i="78"/>
  <c r="AY36" i="78" s="1"/>
  <c r="AY35" i="78" s="1"/>
  <c r="BB37" i="78" s="1"/>
  <c r="BB36" i="78" s="1"/>
  <c r="BB35" i="78" s="1"/>
  <c r="BE37" i="78" s="1"/>
  <c r="BE36" i="78" s="1"/>
  <c r="BE35" i="78" s="1"/>
  <c r="BH37" i="78" s="1"/>
  <c r="BH36" i="78" s="1"/>
  <c r="BH35" i="78" s="1"/>
  <c r="BK37" i="78" s="1"/>
  <c r="BK36" i="78" s="1"/>
  <c r="BK35" i="78" s="1"/>
  <c r="AC55" i="43"/>
  <c r="R31" i="82" s="1"/>
  <c r="V32" i="43"/>
  <c r="Y34" i="43" s="1"/>
  <c r="X270" i="43"/>
  <c r="Y77" i="43"/>
  <c r="Z77" i="43" s="1"/>
  <c r="Z270" i="43" s="1"/>
  <c r="Y112" i="43"/>
  <c r="Y216" i="43"/>
  <c r="Y215" i="43"/>
  <c r="Y113" i="43"/>
  <c r="Y65" i="43"/>
  <c r="Y18" i="43"/>
  <c r="AC119" i="43"/>
  <c r="D7" i="82"/>
  <c r="AC15" i="43"/>
  <c r="Z15" i="43"/>
  <c r="Z18" i="43"/>
  <c r="AJ58" i="43"/>
  <c r="C12" i="82"/>
  <c r="AC266" i="43"/>
  <c r="AC268" i="43" s="1"/>
  <c r="AB264" i="43"/>
  <c r="AD266" i="43" s="1"/>
  <c r="AD268" i="43" s="1"/>
  <c r="AC262" i="43"/>
  <c r="AC264" i="43" s="1"/>
  <c r="AD262" i="43"/>
  <c r="AD264" i="43" s="1"/>
  <c r="AE266" i="43" s="1"/>
  <c r="AI263" i="43"/>
  <c r="AI262" i="43"/>
  <c r="AB268" i="43"/>
  <c r="AH264" i="43"/>
  <c r="AN276" i="43"/>
  <c r="AO276" i="43"/>
  <c r="I50" i="82"/>
  <c r="I66" i="82"/>
  <c r="I65" i="82"/>
  <c r="I48" i="82"/>
  <c r="I55" i="82"/>
  <c r="I56" i="82"/>
  <c r="AD72" i="43"/>
  <c r="AF263" i="43"/>
  <c r="AG264" i="43"/>
  <c r="AH266" i="43" s="1"/>
  <c r="AF271" i="43"/>
  <c r="AF133" i="43"/>
  <c r="S57" i="82" s="1"/>
  <c r="AE271" i="43"/>
  <c r="AE141" i="43"/>
  <c r="AE133" i="43"/>
  <c r="C7" i="82"/>
  <c r="Q56" i="82" s="1"/>
  <c r="AC141" i="43"/>
  <c r="AC139" i="43" s="1"/>
  <c r="AB139" i="43"/>
  <c r="W30" i="43"/>
  <c r="AC200" i="43"/>
  <c r="AC199" i="43"/>
  <c r="AC198" i="43"/>
  <c r="AB203" i="43"/>
  <c r="Z194" i="43"/>
  <c r="Z65" i="43"/>
  <c r="Z198" i="43"/>
  <c r="Z195" i="43"/>
  <c r="Z199" i="43"/>
  <c r="Z200" i="43"/>
  <c r="Z33" i="43"/>
  <c r="AB204" i="43"/>
  <c r="AB202" i="43"/>
  <c r="Z217" i="43"/>
  <c r="Q52" i="82" s="1"/>
  <c r="Z49" i="43"/>
  <c r="H45" i="82"/>
  <c r="Y271" i="43"/>
  <c r="Y142" i="43"/>
  <c r="Y141" i="43" s="1"/>
  <c r="Y139" i="43" s="1"/>
  <c r="Y133" i="43"/>
  <c r="AJ263" i="43"/>
  <c r="G49" i="82"/>
  <c r="AF278" i="43"/>
  <c r="AY177" i="43" l="1"/>
  <c r="AZ177" i="43" s="1"/>
  <c r="BA177" i="43" s="1"/>
  <c r="K59" i="82"/>
  <c r="J66" i="82"/>
  <c r="J56" i="82"/>
  <c r="J50" i="82"/>
  <c r="J55" i="82"/>
  <c r="J48" i="82"/>
  <c r="Z67" i="43"/>
  <c r="Z69" i="43" s="1"/>
  <c r="AH206" i="43"/>
  <c r="Y81" i="43"/>
  <c r="Y270" i="43"/>
  <c r="W32" i="43"/>
  <c r="W34" i="43" s="1"/>
  <c r="V34" i="43"/>
  <c r="C23" i="82"/>
  <c r="C27" i="82" s="1"/>
  <c r="Z81" i="43"/>
  <c r="S72" i="43"/>
  <c r="T72" i="43"/>
  <c r="T73" i="43" s="1"/>
  <c r="AI264" i="43"/>
  <c r="AJ266" i="43" s="1"/>
  <c r="AH268" i="43"/>
  <c r="F9" i="82"/>
  <c r="AF266" i="43"/>
  <c r="AF268" i="43" s="1"/>
  <c r="AE268" i="43"/>
  <c r="AE142" i="43"/>
  <c r="AF141" i="43"/>
  <c r="AD73" i="43"/>
  <c r="AD70" i="43"/>
  <c r="AD71" i="43" s="1"/>
  <c r="AC142" i="43"/>
  <c r="AB205" i="43"/>
  <c r="AB196" i="43" s="1"/>
  <c r="Z62" i="43"/>
  <c r="Z277" i="43"/>
  <c r="Z234" i="43"/>
  <c r="Z238" i="43" s="1"/>
  <c r="BB177" i="43" l="1"/>
  <c r="BC177" i="43" s="1"/>
  <c r="BD177" i="43" s="1"/>
  <c r="L59" i="82"/>
  <c r="AY160" i="43"/>
  <c r="AZ160" i="43" s="1"/>
  <c r="BA160" i="43" s="1"/>
  <c r="K48" i="82"/>
  <c r="AY168" i="43"/>
  <c r="AZ168" i="43" s="1"/>
  <c r="BA168" i="43" s="1"/>
  <c r="K56" i="82"/>
  <c r="AY169" i="43"/>
  <c r="AZ169" i="43" s="1"/>
  <c r="BA169" i="43" s="1"/>
  <c r="K55" i="82"/>
  <c r="AY184" i="43"/>
  <c r="AZ184" i="43" s="1"/>
  <c r="BA184" i="43" s="1"/>
  <c r="K66" i="82"/>
  <c r="AY161" i="43"/>
  <c r="AZ161" i="43" s="1"/>
  <c r="BA161" i="43" s="1"/>
  <c r="K50" i="82"/>
  <c r="AY176" i="43"/>
  <c r="AZ176" i="43" s="1"/>
  <c r="BA176" i="43" s="1"/>
  <c r="J65" i="82"/>
  <c r="H75" i="83"/>
  <c r="G77" i="83"/>
  <c r="AB206" i="43"/>
  <c r="AB80" i="43" s="1"/>
  <c r="AC80" i="43" s="1"/>
  <c r="D26" i="82" s="1"/>
  <c r="W42" i="43"/>
  <c r="W41" i="43"/>
  <c r="Z34" i="43"/>
  <c r="C17" i="82"/>
  <c r="Z240" i="43"/>
  <c r="T70" i="43"/>
  <c r="S73" i="43"/>
  <c r="S70" i="43"/>
  <c r="S71" i="43" s="1"/>
  <c r="T71" i="43" s="1"/>
  <c r="Y16" i="43"/>
  <c r="Z16" i="43"/>
  <c r="AB16" i="43"/>
  <c r="AC16" i="43"/>
  <c r="AJ220" i="43"/>
  <c r="AJ223" i="43" s="1"/>
  <c r="K65" i="82"/>
  <c r="Q55" i="82"/>
  <c r="Q48" i="82"/>
  <c r="AH209" i="43"/>
  <c r="AF142" i="43"/>
  <c r="AJ7" i="78"/>
  <c r="AJ10" i="43"/>
  <c r="AM54" i="43" s="1"/>
  <c r="AE10" i="43"/>
  <c r="F29" i="82"/>
  <c r="I45" i="82"/>
  <c r="AC240" i="43"/>
  <c r="H49" i="82"/>
  <c r="Z279" i="43"/>
  <c r="Z280" i="43" s="1"/>
  <c r="AM220" i="43"/>
  <c r="AO220" i="43"/>
  <c r="BE177" i="43" l="1"/>
  <c r="BF177" i="43" s="1"/>
  <c r="BG177" i="43" s="1"/>
  <c r="M59" i="82"/>
  <c r="BB161" i="43"/>
  <c r="BC161" i="43" s="1"/>
  <c r="BD161" i="43" s="1"/>
  <c r="L50" i="82"/>
  <c r="BB168" i="43"/>
  <c r="BC168" i="43" s="1"/>
  <c r="BD168" i="43" s="1"/>
  <c r="L56" i="82"/>
  <c r="BB184" i="43"/>
  <c r="BC184" i="43" s="1"/>
  <c r="BD184" i="43" s="1"/>
  <c r="L66" i="82"/>
  <c r="BB160" i="43"/>
  <c r="BC160" i="43" s="1"/>
  <c r="BD160" i="43" s="1"/>
  <c r="L48" i="82"/>
  <c r="BB176" i="43"/>
  <c r="BC176" i="43" s="1"/>
  <c r="BD176" i="43" s="1"/>
  <c r="BB169" i="43"/>
  <c r="BC169" i="43" s="1"/>
  <c r="BD169" i="43" s="1"/>
  <c r="L55" i="82"/>
  <c r="AL10" i="43"/>
  <c r="AK225" i="43"/>
  <c r="AK220" i="43"/>
  <c r="AK263" i="43"/>
  <c r="AL263" i="43" s="1"/>
  <c r="AK262" i="43"/>
  <c r="AY158" i="43"/>
  <c r="AZ158" i="43" s="1"/>
  <c r="BA158" i="43" s="1"/>
  <c r="BB158" i="43" s="1"/>
  <c r="BC158" i="43" s="1"/>
  <c r="BD158" i="43" s="1"/>
  <c r="BE158" i="43" s="1"/>
  <c r="BF158" i="43" s="1"/>
  <c r="BG158" i="43" s="1"/>
  <c r="BH158" i="43" s="1"/>
  <c r="BI158" i="43" s="1"/>
  <c r="BJ158" i="43" s="1"/>
  <c r="BK158" i="43" s="1"/>
  <c r="BL158" i="43" s="1"/>
  <c r="BM158" i="43" s="1"/>
  <c r="AY183" i="43"/>
  <c r="BA183" i="43"/>
  <c r="L65" i="82" s="1"/>
  <c r="AJ225" i="43"/>
  <c r="AJ226" i="43" s="1"/>
  <c r="I75" i="83"/>
  <c r="H77" i="83"/>
  <c r="AJ54" i="43"/>
  <c r="AE54" i="43"/>
  <c r="AE64" i="43"/>
  <c r="AH54" i="43"/>
  <c r="AF17" i="78"/>
  <c r="AG171" i="43"/>
  <c r="AM7" i="78"/>
  <c r="AF10" i="43"/>
  <c r="AJ86" i="43"/>
  <c r="AJ136" i="43" s="1"/>
  <c r="T57" i="82"/>
  <c r="AO223" i="43"/>
  <c r="AR220" i="43" s="1"/>
  <c r="AQ223" i="43" s="1"/>
  <c r="AM223" i="43"/>
  <c r="AA275" i="43"/>
  <c r="AC275" i="43"/>
  <c r="AC280" i="43" s="1"/>
  <c r="BH177" i="43" l="1"/>
  <c r="BI177" i="43" s="1"/>
  <c r="BJ177" i="43" s="1"/>
  <c r="BK177" i="43" s="1"/>
  <c r="BL177" i="43" s="1"/>
  <c r="BM177" i="43" s="1"/>
  <c r="N59" i="82"/>
  <c r="BE169" i="43"/>
  <c r="BF169" i="43" s="1"/>
  <c r="BG169" i="43" s="1"/>
  <c r="M55" i="82"/>
  <c r="BE176" i="43"/>
  <c r="BF176" i="43" s="1"/>
  <c r="BG176" i="43" s="1"/>
  <c r="BE184" i="43"/>
  <c r="BF184" i="43" s="1"/>
  <c r="BG184" i="43" s="1"/>
  <c r="M66" i="82"/>
  <c r="BE161" i="43"/>
  <c r="BF161" i="43" s="1"/>
  <c r="BG161" i="43" s="1"/>
  <c r="M50" i="82"/>
  <c r="BE160" i="43"/>
  <c r="BF160" i="43" s="1"/>
  <c r="BG160" i="43" s="1"/>
  <c r="M48" i="82"/>
  <c r="BE168" i="43"/>
  <c r="BF168" i="43" s="1"/>
  <c r="BG168" i="43" s="1"/>
  <c r="M56" i="82"/>
  <c r="AS262" i="43"/>
  <c r="AU262" i="43" s="1"/>
  <c r="AS263" i="43"/>
  <c r="AU263" i="43" s="1"/>
  <c r="AO225" i="43"/>
  <c r="AN225" i="43" s="1"/>
  <c r="AP220" i="43"/>
  <c r="AL64" i="43"/>
  <c r="AL54" i="43"/>
  <c r="AM225" i="43"/>
  <c r="AM226" i="43" s="1"/>
  <c r="AK264" i="43"/>
  <c r="AK226" i="43"/>
  <c r="AK209" i="43"/>
  <c r="BB183" i="43"/>
  <c r="BA276" i="43"/>
  <c r="BD183" i="43"/>
  <c r="M65" i="82" s="1"/>
  <c r="AY276" i="43"/>
  <c r="AZ183" i="43"/>
  <c r="AZ276" i="43" s="1"/>
  <c r="I77" i="83"/>
  <c r="J75" i="83"/>
  <c r="AF54" i="43"/>
  <c r="AF64" i="43"/>
  <c r="AI54" i="43"/>
  <c r="AY28" i="78"/>
  <c r="I49" i="82"/>
  <c r="AJ90" i="43"/>
  <c r="AD275" i="43"/>
  <c r="AD280" i="43" s="1"/>
  <c r="AE275" i="43" s="1"/>
  <c r="AF275" i="43"/>
  <c r="AN223" i="43"/>
  <c r="J45" i="82"/>
  <c r="AN220" i="43"/>
  <c r="AN263" i="43"/>
  <c r="AO263" i="43" s="1"/>
  <c r="BH161" i="43" l="1"/>
  <c r="BI161" i="43" s="1"/>
  <c r="BJ161" i="43" s="1"/>
  <c r="BK161" i="43" s="1"/>
  <c r="BL161" i="43" s="1"/>
  <c r="BM161" i="43" s="1"/>
  <c r="N50" i="82"/>
  <c r="BH184" i="43"/>
  <c r="BI184" i="43" s="1"/>
  <c r="BJ184" i="43" s="1"/>
  <c r="BK184" i="43" s="1"/>
  <c r="BL184" i="43" s="1"/>
  <c r="BM184" i="43" s="1"/>
  <c r="N66" i="82"/>
  <c r="BH176" i="43"/>
  <c r="BI176" i="43" s="1"/>
  <c r="BJ176" i="43" s="1"/>
  <c r="BK176" i="43" s="1"/>
  <c r="BL176" i="43" s="1"/>
  <c r="BM176" i="43" s="1"/>
  <c r="BH168" i="43"/>
  <c r="BI168" i="43" s="1"/>
  <c r="BJ168" i="43" s="1"/>
  <c r="BK168" i="43" s="1"/>
  <c r="BL168" i="43" s="1"/>
  <c r="BM168" i="43" s="1"/>
  <c r="N56" i="82"/>
  <c r="BH169" i="43"/>
  <c r="BI169" i="43" s="1"/>
  <c r="BJ169" i="43" s="1"/>
  <c r="BK169" i="43" s="1"/>
  <c r="BL169" i="43" s="1"/>
  <c r="BM169" i="43" s="1"/>
  <c r="N55" i="82"/>
  <c r="BH160" i="43"/>
  <c r="BI160" i="43" s="1"/>
  <c r="BJ160" i="43" s="1"/>
  <c r="BK160" i="43" s="1"/>
  <c r="BL160" i="43" s="1"/>
  <c r="BM160" i="43" s="1"/>
  <c r="N48" i="82"/>
  <c r="AU264" i="43"/>
  <c r="AV266" i="43" s="1"/>
  <c r="AS264" i="43"/>
  <c r="AT266" i="43" s="1"/>
  <c r="AP223" i="43"/>
  <c r="AP263" i="43"/>
  <c r="AP262" i="43"/>
  <c r="J49" i="82"/>
  <c r="BG183" i="43"/>
  <c r="N65" i="82" s="1"/>
  <c r="BD276" i="43"/>
  <c r="BE183" i="43"/>
  <c r="BB276" i="43"/>
  <c r="BC183" i="43"/>
  <c r="BC276" i="43" s="1"/>
  <c r="K75" i="83"/>
  <c r="J77" i="83"/>
  <c r="BB28" i="78"/>
  <c r="AY34" i="78"/>
  <c r="AY13" i="78" s="1"/>
  <c r="AY6" i="78"/>
  <c r="AN226" i="43"/>
  <c r="AO226" i="43" s="1"/>
  <c r="AV268" i="43" l="1"/>
  <c r="AX266" i="43"/>
  <c r="AX268" i="43" s="1"/>
  <c r="AT268" i="43"/>
  <c r="AT92" i="43" s="1"/>
  <c r="AP225" i="43"/>
  <c r="AP226" i="43" s="1"/>
  <c r="AQ226" i="43" s="1"/>
  <c r="AQ263" i="43"/>
  <c r="AR263" i="43" s="1"/>
  <c r="AQ220" i="43"/>
  <c r="AP264" i="43"/>
  <c r="AQ266" i="43" s="1"/>
  <c r="AQ268" i="43" s="1"/>
  <c r="AQ92" i="43" s="1"/>
  <c r="AP209" i="43"/>
  <c r="AY159" i="43"/>
  <c r="AZ159" i="43" s="1"/>
  <c r="BA159" i="43" s="1"/>
  <c r="K49" i="82"/>
  <c r="K77" i="83"/>
  <c r="L75" i="83"/>
  <c r="L77" i="83" s="1"/>
  <c r="BE276" i="43"/>
  <c r="BF183" i="43"/>
  <c r="BF276" i="43" s="1"/>
  <c r="BJ183" i="43"/>
  <c r="BG276" i="43"/>
  <c r="BH183" i="43"/>
  <c r="AY10" i="43"/>
  <c r="AY7" i="78"/>
  <c r="AY26" i="43"/>
  <c r="AY14" i="78"/>
  <c r="BE28" i="78"/>
  <c r="BB6" i="78"/>
  <c r="BB34" i="78"/>
  <c r="BB13" i="78" s="1"/>
  <c r="K45" i="82"/>
  <c r="AT97" i="43" l="1"/>
  <c r="AT278" i="43"/>
  <c r="AQ278" i="43"/>
  <c r="AQ97" i="43"/>
  <c r="BB159" i="43"/>
  <c r="BC159" i="43" s="1"/>
  <c r="BD159" i="43" s="1"/>
  <c r="L49" i="82"/>
  <c r="AP239" i="43"/>
  <c r="AS241" i="43" s="1"/>
  <c r="AP238" i="43"/>
  <c r="AY154" i="43"/>
  <c r="BM183" i="43"/>
  <c r="BM276" i="43" s="1"/>
  <c r="BK183" i="43"/>
  <c r="BJ276" i="43"/>
  <c r="BH276" i="43"/>
  <c r="BI183" i="43"/>
  <c r="BI276" i="43" s="1"/>
  <c r="BB26" i="43"/>
  <c r="BB14" i="78"/>
  <c r="BB10" i="43"/>
  <c r="BB7" i="78"/>
  <c r="AY64" i="43"/>
  <c r="BH28" i="78"/>
  <c r="BH6" i="78" s="1"/>
  <c r="BE34" i="78"/>
  <c r="BE13" i="78" s="1"/>
  <c r="BE6" i="78"/>
  <c r="AY54" i="43"/>
  <c r="AJ4" i="78"/>
  <c r="BE159" i="43" l="1"/>
  <c r="BF159" i="43" s="1"/>
  <c r="BG159" i="43" s="1"/>
  <c r="M49" i="82"/>
  <c r="AP253" i="43"/>
  <c r="AP252" i="43"/>
  <c r="AY252" i="43" s="1"/>
  <c r="BB252" i="43" s="1"/>
  <c r="BE252" i="43" s="1"/>
  <c r="BH252" i="43" s="1"/>
  <c r="BK252" i="43" s="1"/>
  <c r="AP254" i="43"/>
  <c r="BK276" i="43"/>
  <c r="BL183" i="43"/>
  <c r="BL276" i="43" s="1"/>
  <c r="AZ154" i="43"/>
  <c r="BA154" i="43" s="1"/>
  <c r="L45" i="82" s="1"/>
  <c r="BK28" i="78"/>
  <c r="BH34" i="78"/>
  <c r="BH13" i="78" s="1"/>
  <c r="BB54" i="43"/>
  <c r="BE10" i="43"/>
  <c r="BE7" i="78"/>
  <c r="BE26" i="43"/>
  <c r="BE14" i="78"/>
  <c r="BB64" i="43"/>
  <c r="BH159" i="43" l="1"/>
  <c r="BI159" i="43" s="1"/>
  <c r="BJ159" i="43" s="1"/>
  <c r="BK159" i="43" s="1"/>
  <c r="BL159" i="43" s="1"/>
  <c r="BM159" i="43" s="1"/>
  <c r="N49" i="82"/>
  <c r="G72" i="83"/>
  <c r="BB154" i="43"/>
  <c r="BK34" i="78"/>
  <c r="BK13" i="78" s="1"/>
  <c r="BK6" i="78"/>
  <c r="BH10" i="43"/>
  <c r="BH7" i="78"/>
  <c r="BE54" i="43"/>
  <c r="BE64" i="43"/>
  <c r="BH26" i="43"/>
  <c r="BH14" i="78"/>
  <c r="AY220" i="43" l="1"/>
  <c r="BA220" i="43"/>
  <c r="BC154" i="43"/>
  <c r="BD154" i="43" s="1"/>
  <c r="M45" i="82" s="1"/>
  <c r="BK10" i="43"/>
  <c r="BK7" i="78"/>
  <c r="BK26" i="43"/>
  <c r="BK14" i="78"/>
  <c r="BH64" i="43"/>
  <c r="BH54" i="43"/>
  <c r="AJ9" i="43"/>
  <c r="AM53" i="43" s="1"/>
  <c r="AJ57" i="43"/>
  <c r="AY263" i="43" l="1"/>
  <c r="BA223" i="43"/>
  <c r="AY223" i="43"/>
  <c r="AY225" i="43" s="1"/>
  <c r="AJ53" i="43"/>
  <c r="AL9" i="43"/>
  <c r="BE154" i="43"/>
  <c r="H72" i="83"/>
  <c r="BK64" i="43"/>
  <c r="BK54" i="43"/>
  <c r="AJ11" i="43"/>
  <c r="AM55" i="43" s="1"/>
  <c r="AJ25" i="43"/>
  <c r="AJ63" i="43" s="1"/>
  <c r="BA225" i="43" l="1"/>
  <c r="C45" i="83"/>
  <c r="AL11" i="43"/>
  <c r="AL63" i="43"/>
  <c r="AL53" i="43"/>
  <c r="BF154" i="43"/>
  <c r="BG154" i="43" s="1"/>
  <c r="N45" i="82" s="1"/>
  <c r="AZ263" i="43"/>
  <c r="BA263" i="43" s="1"/>
  <c r="AZ220" i="43"/>
  <c r="BD220" i="43"/>
  <c r="BB220" i="43"/>
  <c r="AJ196" i="43"/>
  <c r="AJ194" i="43"/>
  <c r="AJ193" i="43"/>
  <c r="AJ195" i="43"/>
  <c r="AJ55" i="43"/>
  <c r="AJ200" i="43"/>
  <c r="AJ199" i="43"/>
  <c r="AJ15" i="43"/>
  <c r="AJ16" i="43" s="1"/>
  <c r="AJ198" i="43"/>
  <c r="AJ30" i="43"/>
  <c r="AJ171" i="43"/>
  <c r="C46" i="83" l="1"/>
  <c r="C94" i="83"/>
  <c r="AB11" i="82"/>
  <c r="AB12" i="82" s="1"/>
  <c r="AY226" i="43"/>
  <c r="BD223" i="43"/>
  <c r="BD225" i="43" s="1"/>
  <c r="BB223" i="43"/>
  <c r="BB225" i="43" s="1"/>
  <c r="AZ223" i="43"/>
  <c r="BB263" i="43" s="1"/>
  <c r="AL200" i="43"/>
  <c r="AL15" i="43"/>
  <c r="AL16" i="43" s="1"/>
  <c r="AL195" i="43"/>
  <c r="AL18" i="43"/>
  <c r="AL199" i="43"/>
  <c r="AL65" i="43"/>
  <c r="AL193" i="43"/>
  <c r="AL196" i="43"/>
  <c r="AL194" i="43"/>
  <c r="AL198" i="43"/>
  <c r="AL55" i="43"/>
  <c r="AJ60" i="43"/>
  <c r="I72" i="83"/>
  <c r="BH154" i="43"/>
  <c r="D92" i="83" l="1"/>
  <c r="D85" i="83"/>
  <c r="D90" i="83"/>
  <c r="D86" i="83"/>
  <c r="BG220" i="43"/>
  <c r="BG223" i="43" s="1"/>
  <c r="BG225" i="43" s="1"/>
  <c r="BE220" i="43"/>
  <c r="BE223" i="43" s="1"/>
  <c r="BE225" i="43" s="1"/>
  <c r="AZ225" i="43"/>
  <c r="AZ226" i="43" s="1"/>
  <c r="BA226" i="43" s="1"/>
  <c r="BI154" i="43"/>
  <c r="BJ154" i="43" s="1"/>
  <c r="BC263" i="43"/>
  <c r="BD263" i="43" s="1"/>
  <c r="BC220" i="43"/>
  <c r="BC223" i="43" l="1"/>
  <c r="BE263" i="43" s="1"/>
  <c r="BB226" i="43"/>
  <c r="J72" i="83"/>
  <c r="BK154" i="43"/>
  <c r="BH220" i="43"/>
  <c r="BJ220" i="43"/>
  <c r="BF263" i="43"/>
  <c r="BF220" i="43"/>
  <c r="BC225" i="43" l="1"/>
  <c r="BC226" i="43" s="1"/>
  <c r="BD226" i="43" s="1"/>
  <c r="BH223" i="43"/>
  <c r="BH225" i="43" s="1"/>
  <c r="BF223" i="43"/>
  <c r="BH263" i="43" s="1"/>
  <c r="BG263" i="43"/>
  <c r="BJ223" i="43"/>
  <c r="BM220" i="43" s="1"/>
  <c r="BL154" i="43"/>
  <c r="BM154" i="43" s="1"/>
  <c r="BF225" i="43" l="1"/>
  <c r="BJ225" i="43"/>
  <c r="BM223" i="43"/>
  <c r="BM225" i="43" s="1"/>
  <c r="BE226" i="43"/>
  <c r="BK220" i="43"/>
  <c r="K72" i="83"/>
  <c r="L72" i="83" s="1"/>
  <c r="BI220" i="43"/>
  <c r="BI263" i="43"/>
  <c r="BJ263" i="43" s="1"/>
  <c r="BF226" i="43" l="1"/>
  <c r="BG226" i="43" s="1"/>
  <c r="BH226" i="43" s="1"/>
  <c r="BK223" i="43"/>
  <c r="BK225" i="43" s="1"/>
  <c r="BI223" i="43"/>
  <c r="BK263" i="43" s="1"/>
  <c r="AF90" i="43"/>
  <c r="E32" i="82" s="1"/>
  <c r="BI225" i="43" l="1"/>
  <c r="BI226" i="43" s="1"/>
  <c r="BJ226" i="43" s="1"/>
  <c r="BL263" i="43"/>
  <c r="BM263" i="43" s="1"/>
  <c r="BL220" i="43"/>
  <c r="E31" i="82"/>
  <c r="E39" i="82"/>
  <c r="AF162" i="43"/>
  <c r="BK226" i="43" l="1"/>
  <c r="BL223" i="43"/>
  <c r="BL225" i="43" s="1"/>
  <c r="BL226" i="43" s="1"/>
  <c r="BM226" i="43" s="1"/>
  <c r="AE9" i="43"/>
  <c r="AE53" i="43" l="1"/>
  <c r="AH53" i="43"/>
  <c r="AE11" i="43"/>
  <c r="AF9" i="43"/>
  <c r="AE195" i="43" l="1"/>
  <c r="AE204" i="43" s="1"/>
  <c r="AE193" i="43"/>
  <c r="AE202" i="43" s="1"/>
  <c r="AE194" i="43"/>
  <c r="AE203" i="43" s="1"/>
  <c r="AF53" i="43"/>
  <c r="AI53" i="43"/>
  <c r="AE55" i="43"/>
  <c r="AH55" i="43"/>
  <c r="AE15" i="43"/>
  <c r="AE200" i="43"/>
  <c r="AF11" i="43"/>
  <c r="AF193" i="43" l="1"/>
  <c r="AF195" i="43"/>
  <c r="AF194" i="43"/>
  <c r="AF196" i="43"/>
  <c r="E7" i="82"/>
  <c r="AF55" i="43"/>
  <c r="S31" i="82" s="1"/>
  <c r="AI55" i="43"/>
  <c r="T31" i="82" s="1"/>
  <c r="AF15" i="43"/>
  <c r="AE205" i="43"/>
  <c r="AE196" i="43" s="1"/>
  <c r="AE199" i="43"/>
  <c r="AF199" i="43"/>
  <c r="AE206" i="43" l="1"/>
  <c r="AE80" i="43" s="1"/>
  <c r="AF171" i="43"/>
  <c r="AE198" i="43"/>
  <c r="AF200" i="43"/>
  <c r="AF16" i="43" l="1"/>
  <c r="AF80" i="43"/>
  <c r="E26" i="82" s="1"/>
  <c r="AF198" i="43"/>
  <c r="AE16" i="43" l="1"/>
  <c r="AF25" i="79" l="1"/>
  <c r="AF25" i="43" l="1"/>
  <c r="AF19" i="79"/>
  <c r="AI20" i="79" l="1"/>
  <c r="AI21" i="79"/>
  <c r="AF27" i="43"/>
  <c r="AF63" i="43"/>
  <c r="AI22" i="79" l="1"/>
  <c r="AF112" i="43"/>
  <c r="S47" i="82" s="1"/>
  <c r="E8" i="82"/>
  <c r="S55" i="82" s="1"/>
  <c r="AF113" i="43"/>
  <c r="S48" i="82" s="1"/>
  <c r="AF18" i="43"/>
  <c r="AF77" i="43"/>
  <c r="E23" i="82" s="1"/>
  <c r="E27" i="82" s="1"/>
  <c r="AF32" i="43"/>
  <c r="E10" i="82" s="1"/>
  <c r="S56" i="82" s="1"/>
  <c r="AF65" i="43"/>
  <c r="AA25" i="79"/>
  <c r="AB24" i="79"/>
  <c r="AA30" i="43"/>
  <c r="AA32" i="43" l="1"/>
  <c r="AA41" i="43" s="1"/>
  <c r="AA67" i="43" s="1"/>
  <c r="AA69" i="43" s="1"/>
  <c r="AA60" i="43"/>
  <c r="AF41" i="43"/>
  <c r="E12" i="82" s="1"/>
  <c r="AF42" i="43"/>
  <c r="E13" i="82" s="1"/>
  <c r="AI34" i="43"/>
  <c r="AF270" i="43"/>
  <c r="AF81" i="43"/>
  <c r="AB30" i="43"/>
  <c r="AB60" i="43" s="1"/>
  <c r="AA25" i="43"/>
  <c r="AA63" i="43" s="1"/>
  <c r="AA19" i="79"/>
  <c r="AB25" i="79"/>
  <c r="AB18" i="79"/>
  <c r="AA20" i="79" l="1"/>
  <c r="AA22" i="79" s="1"/>
  <c r="AD20" i="79"/>
  <c r="AD21" i="79"/>
  <c r="AA33" i="43"/>
  <c r="AA62" i="43" s="1"/>
  <c r="AA34" i="43"/>
  <c r="AD34" i="43"/>
  <c r="AA42" i="43"/>
  <c r="AA27" i="43"/>
  <c r="AC30" i="43"/>
  <c r="AB25" i="43"/>
  <c r="AB63" i="43" s="1"/>
  <c r="AB19" i="79"/>
  <c r="AD22" i="79" l="1"/>
  <c r="AB20" i="79"/>
  <c r="AB22" i="79" s="1"/>
  <c r="AE21" i="79"/>
  <c r="R39" i="82"/>
  <c r="R41" i="82" s="1"/>
  <c r="AC60" i="43"/>
  <c r="AA18" i="43"/>
  <c r="AA112" i="43"/>
  <c r="AA216" i="43"/>
  <c r="AA215" i="43"/>
  <c r="AA113" i="43"/>
  <c r="AA77" i="43"/>
  <c r="AA81" i="43" s="1"/>
  <c r="AB27" i="43"/>
  <c r="AA65" i="43"/>
  <c r="AB32" i="43"/>
  <c r="AC19" i="79"/>
  <c r="AC25" i="43"/>
  <c r="AC63" i="43" s="1"/>
  <c r="AC20" i="79" l="1"/>
  <c r="AC22" i="79" s="1"/>
  <c r="AF21" i="79"/>
  <c r="AF20" i="79"/>
  <c r="AA270" i="43"/>
  <c r="AB18" i="43"/>
  <c r="AB112" i="43"/>
  <c r="AB215" i="43"/>
  <c r="AB216" i="43"/>
  <c r="AB113" i="43"/>
  <c r="AB77" i="43"/>
  <c r="AB270" i="43" s="1"/>
  <c r="AB65" i="43"/>
  <c r="AB34" i="43"/>
  <c r="AB41" i="43"/>
  <c r="AB67" i="43" s="1"/>
  <c r="AC27" i="43"/>
  <c r="AB33" i="43"/>
  <c r="AB62" i="43" s="1"/>
  <c r="AF22" i="79" l="1"/>
  <c r="AC77" i="43"/>
  <c r="AC270" i="43" s="1"/>
  <c r="D8" i="82"/>
  <c r="AC67" i="43"/>
  <c r="AC69" i="43" s="1"/>
  <c r="AB69" i="43"/>
  <c r="AC18" i="43"/>
  <c r="AC112" i="43"/>
  <c r="AC215" i="43"/>
  <c r="AC216" i="43"/>
  <c r="AC113" i="43"/>
  <c r="AB81" i="43"/>
  <c r="AC65" i="43"/>
  <c r="AC32" i="43"/>
  <c r="AC42" i="43" s="1"/>
  <c r="D23" i="82" l="1"/>
  <c r="D27" i="82" s="1"/>
  <c r="AC81" i="43"/>
  <c r="AC33" i="43"/>
  <c r="AC62" i="43" s="1"/>
  <c r="AC41" i="43"/>
  <c r="D10" i="82"/>
  <c r="R56" i="82" s="1"/>
  <c r="AF34" i="43"/>
  <c r="AC34" i="43"/>
  <c r="R55" i="82" l="1"/>
  <c r="R48" i="82"/>
  <c r="R51" i="82"/>
  <c r="R47" i="82"/>
  <c r="D12" i="82"/>
  <c r="AE31" i="43" l="1"/>
  <c r="AF31" i="43" l="1"/>
  <c r="AE61" i="43"/>
  <c r="AE17" i="78"/>
  <c r="AE20" i="78"/>
  <c r="AE23" i="78"/>
  <c r="AF61" i="43" l="1"/>
  <c r="S40" i="82"/>
  <c r="AF33" i="43"/>
  <c r="AF62" i="43" l="1"/>
  <c r="AE239" i="43" l="1"/>
  <c r="AH241" i="43" s="1"/>
  <c r="AF234" i="43"/>
  <c r="AF238" i="43" s="1"/>
  <c r="AF277" i="43"/>
  <c r="AE187" i="43"/>
  <c r="AI240" i="43" l="1"/>
  <c r="E17" i="82"/>
  <c r="AE252" i="43"/>
  <c r="AE253" i="43"/>
  <c r="AF279" i="43"/>
  <c r="AF280" i="43" s="1"/>
  <c r="AF187" i="43"/>
  <c r="AF189" i="43" s="1"/>
  <c r="AF240" i="43"/>
  <c r="AE98" i="43"/>
  <c r="AF97" i="43"/>
  <c r="AF98" i="43" s="1"/>
  <c r="AE180" i="43"/>
  <c r="AF239" i="43"/>
  <c r="S28" i="82" s="1"/>
  <c r="AG275" i="43" l="1"/>
  <c r="AG280" i="43" s="1"/>
  <c r="AH275" i="43" s="1"/>
  <c r="AH280" i="43" s="1"/>
  <c r="AI275" i="43"/>
  <c r="AI280" i="43" s="1"/>
  <c r="AL275" i="43" s="1"/>
  <c r="AE47" i="43"/>
  <c r="AE49" i="43" s="1"/>
  <c r="AF252" i="43"/>
  <c r="AF253" i="43"/>
  <c r="AF254" i="43"/>
  <c r="S35" i="82" s="1"/>
  <c r="AH248" i="43"/>
  <c r="AF259" i="43"/>
  <c r="E19" i="82" s="1"/>
  <c r="AE262" i="43"/>
  <c r="AF180" i="43"/>
  <c r="AE249" i="43" l="1"/>
  <c r="AE248" i="43"/>
  <c r="AE254" i="43"/>
  <c r="AE277" i="43"/>
  <c r="AE279" i="43" s="1"/>
  <c r="AE280" i="43" s="1"/>
  <c r="AE234" i="43"/>
  <c r="AE238" i="43" s="1"/>
  <c r="AF262" i="43"/>
  <c r="AF264" i="43" s="1"/>
  <c r="AE264" i="43"/>
  <c r="AG266" i="43" s="1"/>
  <c r="AH240" i="43" l="1"/>
  <c r="AG268" i="43"/>
  <c r="AI266" i="43"/>
  <c r="AI268" i="43" s="1"/>
  <c r="AE181" i="43"/>
  <c r="AE209" i="43" s="1"/>
  <c r="AF155" i="43"/>
  <c r="AF163" i="43" s="1"/>
  <c r="AF215" i="43" s="1"/>
  <c r="S51" i="82" s="1"/>
  <c r="AE188" i="43" l="1"/>
  <c r="AF210" i="43" l="1"/>
  <c r="AF211" i="43"/>
  <c r="S46" i="82" s="1"/>
  <c r="AF212" i="43"/>
  <c r="S45" i="82" s="1"/>
  <c r="AF181" i="43"/>
  <c r="AF209" i="43" s="1"/>
  <c r="AE212" i="43" l="1"/>
  <c r="AE210" i="43"/>
  <c r="AF216" i="43" s="1"/>
  <c r="AE211" i="43"/>
  <c r="AE131" i="43"/>
  <c r="AF131" i="43"/>
  <c r="AF188" i="43"/>
  <c r="T39" i="82" l="1"/>
  <c r="AE25" i="79" l="1"/>
  <c r="AE30" i="43"/>
  <c r="AE60" i="43" s="1"/>
  <c r="AF30" i="43" l="1"/>
  <c r="S39" i="82" s="1"/>
  <c r="S41" i="82" s="1"/>
  <c r="AE25" i="43"/>
  <c r="AE63" i="43" s="1"/>
  <c r="AE19" i="79"/>
  <c r="AE20" i="79" l="1"/>
  <c r="AE22" i="79" s="1"/>
  <c r="AH20" i="79"/>
  <c r="AH21" i="79"/>
  <c r="AF60" i="43"/>
  <c r="AE27" i="43"/>
  <c r="AE77" i="43" s="1"/>
  <c r="AH22" i="79" l="1"/>
  <c r="AE65" i="43"/>
  <c r="AE32" i="43"/>
  <c r="AE41" i="43" s="1"/>
  <c r="AE67" i="43" s="1"/>
  <c r="AE18" i="43"/>
  <c r="AE112" i="43"/>
  <c r="AE215" i="43"/>
  <c r="AE216" i="43"/>
  <c r="AE113" i="43"/>
  <c r="AE270" i="43"/>
  <c r="AE81" i="43"/>
  <c r="AF67" i="43" l="1"/>
  <c r="AF69" i="43" s="1"/>
  <c r="AE69" i="43"/>
  <c r="AE33" i="43"/>
  <c r="AE62" i="43" s="1"/>
  <c r="AE42" i="43"/>
  <c r="AH34" i="43"/>
  <c r="AE34" i="43"/>
  <c r="AF72" i="43" l="1"/>
  <c r="AE72" i="43"/>
  <c r="AF73" i="43" l="1"/>
  <c r="AF70" i="43"/>
  <c r="S36" i="82" s="1"/>
  <c r="AE73" i="43"/>
  <c r="AE70" i="43"/>
  <c r="AE71" i="43" s="1"/>
  <c r="AF71" i="43" s="1"/>
  <c r="F7" i="82" l="1"/>
  <c r="F43" i="82"/>
  <c r="F44" i="82"/>
  <c r="AH80" i="43" l="1"/>
  <c r="F53" i="82"/>
  <c r="F57" i="82" s="1"/>
  <c r="AH81" i="43" l="1"/>
  <c r="AI80" i="43"/>
  <c r="AI81" i="43" l="1"/>
  <c r="F26" i="82"/>
  <c r="AG32" i="43" l="1"/>
  <c r="AG42" i="43" l="1"/>
  <c r="AG34" i="43"/>
  <c r="AG41" i="43"/>
  <c r="AG67" i="43" s="1"/>
  <c r="AG33" i="43"/>
  <c r="AG62" i="43" s="1"/>
  <c r="AI67" i="43" l="1"/>
  <c r="AI69" i="43" s="1"/>
  <c r="AG69" i="43"/>
  <c r="AG72" i="43"/>
  <c r="AG70" i="43" l="1"/>
  <c r="AG71" i="43" s="1"/>
  <c r="AG73" i="43"/>
  <c r="AG187" i="43"/>
  <c r="AG107" i="43"/>
  <c r="AG109" i="43" l="1"/>
  <c r="AG110" i="43" s="1"/>
  <c r="AG116" i="43"/>
  <c r="AG180" i="43"/>
  <c r="AJ110" i="43" l="1"/>
  <c r="AG210" i="43"/>
  <c r="AG216" i="43" s="1"/>
  <c r="AG113" i="43"/>
  <c r="AG211" i="43"/>
  <c r="AG212" i="43"/>
  <c r="AG118" i="43"/>
  <c r="AG119" i="43" s="1"/>
  <c r="AH115" i="43"/>
  <c r="AG248" i="43" l="1"/>
  <c r="AG254" i="43"/>
  <c r="AG249" i="43"/>
  <c r="AG155" i="43"/>
  <c r="AG163" i="43" s="1"/>
  <c r="AH215" i="43" l="1"/>
  <c r="AG215" i="43"/>
  <c r="AG181" i="43"/>
  <c r="AG209" i="43" s="1"/>
  <c r="AG188" i="43" l="1"/>
  <c r="F32" i="82" l="1"/>
  <c r="F31" i="82" s="1"/>
  <c r="Q36" i="75" l="1"/>
  <c r="G36" i="75"/>
  <c r="J36" i="75"/>
  <c r="AB36" i="75" l="1"/>
  <c r="AH36" i="75"/>
  <c r="F35" i="75"/>
  <c r="AF36" i="75"/>
  <c r="U35" i="75"/>
  <c r="T36" i="75"/>
  <c r="K36" i="75"/>
  <c r="L35" i="75"/>
  <c r="N36" i="75"/>
  <c r="X35" i="75"/>
  <c r="W36" i="75"/>
  <c r="AG35" i="75"/>
  <c r="AE36" i="75"/>
  <c r="AA35" i="75"/>
  <c r="Z36" i="75"/>
  <c r="Y36" i="75"/>
  <c r="AK36" i="75"/>
  <c r="S36" i="75" l="1"/>
  <c r="P38" i="75"/>
  <c r="AC38" i="75"/>
  <c r="AD37" i="75"/>
  <c r="M36" i="75"/>
  <c r="O35" i="75"/>
  <c r="O36" i="75" s="1"/>
  <c r="R37" i="75"/>
  <c r="Q38" i="75"/>
  <c r="S38" i="75"/>
  <c r="X36" i="75"/>
  <c r="H36" i="75"/>
  <c r="I35" i="75"/>
  <c r="I36" i="75" s="1"/>
  <c r="AF38" i="75"/>
  <c r="AB38" i="75"/>
  <c r="G38" i="75"/>
  <c r="AA37" i="75"/>
  <c r="AA36" i="75"/>
  <c r="P36" i="75"/>
  <c r="R35" i="75"/>
  <c r="AD35" i="75"/>
  <c r="AD36" i="75" s="1"/>
  <c r="AC36" i="75"/>
  <c r="O37" i="75"/>
  <c r="N38" i="75"/>
  <c r="V36" i="75"/>
  <c r="V38" i="75"/>
  <c r="R36" i="75" l="1"/>
  <c r="AG36" i="75"/>
  <c r="AJ37" i="75"/>
  <c r="AI38" i="75"/>
  <c r="R38" i="75"/>
  <c r="X37" i="75"/>
  <c r="AA38" i="75" s="1"/>
  <c r="F37" i="75"/>
  <c r="AJ35" i="75"/>
  <c r="AI36" i="75"/>
  <c r="AL36" i="75"/>
  <c r="AD38" i="75"/>
  <c r="AH38" i="75"/>
  <c r="L36" i="75"/>
  <c r="Z38" i="75"/>
  <c r="U36" i="75"/>
  <c r="Y38" i="75"/>
  <c r="AK38" i="75"/>
  <c r="AL38" i="75"/>
  <c r="T38" i="75" l="1"/>
  <c r="U37" i="75"/>
  <c r="U38" i="75" s="1"/>
  <c r="H38" i="75"/>
  <c r="I37" i="75"/>
  <c r="I38" i="75" s="1"/>
  <c r="K38" i="75"/>
  <c r="AJ36" i="75"/>
  <c r="J38" i="75"/>
  <c r="L37" i="75"/>
  <c r="M38" i="75"/>
  <c r="AE38" i="75"/>
  <c r="AG37" i="75"/>
  <c r="AG38" i="75" s="1"/>
  <c r="W38" i="75"/>
  <c r="AM38" i="75" l="1"/>
  <c r="AM36" i="75"/>
  <c r="X38" i="75"/>
  <c r="AJ38" i="75"/>
  <c r="L38" i="75"/>
  <c r="O38" i="75"/>
  <c r="AP36" i="75" l="1"/>
  <c r="AP38" i="75"/>
  <c r="AS38" i="75" l="1"/>
  <c r="AS36" i="75"/>
  <c r="AV36" i="75" l="1"/>
  <c r="AV38" i="75"/>
  <c r="AH20" i="78"/>
  <c r="AH31" i="43"/>
  <c r="AH23" i="78"/>
  <c r="AH17" i="78"/>
  <c r="AI7" i="78"/>
  <c r="AY38" i="75" l="1"/>
  <c r="BB38" i="75"/>
  <c r="AY36" i="75"/>
  <c r="BB36" i="75"/>
  <c r="AH61" i="43"/>
  <c r="AI31" i="43"/>
  <c r="AI17" i="78"/>
  <c r="AI35" i="78"/>
  <c r="AI36" i="78" l="1"/>
  <c r="AI38" i="78" s="1"/>
  <c r="AL37" i="78"/>
  <c r="AL36" i="78"/>
  <c r="AI61" i="43"/>
  <c r="AH35" i="78"/>
  <c r="T40" i="82"/>
  <c r="T41" i="82" s="1"/>
  <c r="AL38" i="78" l="1"/>
  <c r="AK36" i="78"/>
  <c r="AK37" i="78"/>
  <c r="AH36" i="78"/>
  <c r="AH38" i="78" s="1"/>
  <c r="AK38" i="78" l="1"/>
  <c r="AN37" i="78"/>
  <c r="AN36" i="78" s="1"/>
  <c r="AJ26" i="43"/>
  <c r="AJ14" i="78"/>
  <c r="AO32" i="78"/>
  <c r="AO58" i="43" s="1"/>
  <c r="AN10" i="43"/>
  <c r="AQ54" i="43" s="1"/>
  <c r="AL4" i="78"/>
  <c r="AN54" i="43" l="1"/>
  <c r="AZ37" i="78"/>
  <c r="AZ36" i="78" s="1"/>
  <c r="AZ35" i="78" s="1"/>
  <c r="BC37" i="78" s="1"/>
  <c r="BC36" i="78" s="1"/>
  <c r="AN26" i="43"/>
  <c r="AN64" i="43" s="1"/>
  <c r="AJ27" i="43"/>
  <c r="AJ18" i="43" s="1"/>
  <c r="AJ64" i="43"/>
  <c r="AO7" i="78"/>
  <c r="AN7" i="78"/>
  <c r="AN5" i="78"/>
  <c r="AQ5" i="78" s="1"/>
  <c r="AO10" i="43"/>
  <c r="AR54" i="43" l="1"/>
  <c r="BC35" i="78"/>
  <c r="BF37" i="78" s="1"/>
  <c r="BF36" i="78" s="1"/>
  <c r="BF35" i="78" s="1"/>
  <c r="BI37" i="78" s="1"/>
  <c r="BI36" i="78" s="1"/>
  <c r="BI35" i="78" s="1"/>
  <c r="BL37" i="78" s="1"/>
  <c r="BL36" i="78" s="1"/>
  <c r="BL35" i="78" s="1"/>
  <c r="AR5" i="78"/>
  <c r="AT5" i="78"/>
  <c r="AO54" i="43"/>
  <c r="AO35" i="78"/>
  <c r="AN4" i="78"/>
  <c r="AJ77" i="43"/>
  <c r="AJ81" i="43" s="1"/>
  <c r="AJ112" i="43"/>
  <c r="AJ113" i="43"/>
  <c r="AN14" i="78"/>
  <c r="AO5" i="78"/>
  <c r="AM4" i="78"/>
  <c r="AU5" i="78" l="1"/>
  <c r="AW5" i="78"/>
  <c r="AX5" i="78" s="1"/>
  <c r="AR36" i="78"/>
  <c r="AR37" i="78"/>
  <c r="AZ28" i="78"/>
  <c r="BC28" i="78" s="1"/>
  <c r="BC6" i="78" s="1"/>
  <c r="AO37" i="78"/>
  <c r="AO36" i="78"/>
  <c r="AO14" i="78"/>
  <c r="AO26" i="43"/>
  <c r="AO64" i="43" s="1"/>
  <c r="AM14" i="78"/>
  <c r="AO4" i="78"/>
  <c r="AN11" i="79"/>
  <c r="AN19" i="79" l="1"/>
  <c r="AQ12" i="79"/>
  <c r="AR38" i="78"/>
  <c r="AZ34" i="78"/>
  <c r="AZ6" i="78"/>
  <c r="BA6" i="78" s="1"/>
  <c r="BA28" i="78"/>
  <c r="AO38" i="78"/>
  <c r="AN12" i="79"/>
  <c r="AN9" i="43"/>
  <c r="AQ53" i="43" s="1"/>
  <c r="AQ21" i="79" l="1"/>
  <c r="AR21" i="79" s="1"/>
  <c r="AQ57" i="43"/>
  <c r="AQ20" i="79"/>
  <c r="AN53" i="43"/>
  <c r="BA32" i="78"/>
  <c r="BA7" i="78"/>
  <c r="AZ10" i="43"/>
  <c r="AZ7" i="78"/>
  <c r="AZ13" i="78"/>
  <c r="BA34" i="78"/>
  <c r="BA35" i="78" s="1"/>
  <c r="BA36" i="78" s="1"/>
  <c r="BF28" i="78"/>
  <c r="BC34" i="78"/>
  <c r="BC13" i="78" s="1"/>
  <c r="BD28" i="78"/>
  <c r="AN57" i="43"/>
  <c r="AN11" i="43"/>
  <c r="AQ55" i="43" s="1"/>
  <c r="U31" i="82"/>
  <c r="AQ22" i="79" l="1"/>
  <c r="AN193" i="43"/>
  <c r="AN194" i="43"/>
  <c r="AZ194" i="43" s="1"/>
  <c r="BC194" i="43" s="1"/>
  <c r="BF194" i="43" s="1"/>
  <c r="BI194" i="43" s="1"/>
  <c r="BL194" i="43" s="1"/>
  <c r="AN195" i="43"/>
  <c r="AN55" i="43"/>
  <c r="BD6" i="78"/>
  <c r="BD7" i="78" s="1"/>
  <c r="BD32" i="78"/>
  <c r="AZ26" i="43"/>
  <c r="AZ14" i="78"/>
  <c r="BA13" i="78"/>
  <c r="BC10" i="43"/>
  <c r="BC7" i="78"/>
  <c r="BD34" i="78"/>
  <c r="BD35" i="78" s="1"/>
  <c r="BD36" i="78" s="1"/>
  <c r="BI28" i="78"/>
  <c r="BF34" i="78"/>
  <c r="BF6" i="78"/>
  <c r="BG28" i="78"/>
  <c r="AZ54" i="43"/>
  <c r="BA10" i="43"/>
  <c r="BA37" i="78"/>
  <c r="BA38" i="78" s="1"/>
  <c r="BA58" i="43"/>
  <c r="G7" i="82"/>
  <c r="G43" i="82"/>
  <c r="AN203" i="43" l="1"/>
  <c r="BF13" i="78"/>
  <c r="BG34" i="78"/>
  <c r="BG35" i="78" s="1"/>
  <c r="BG36" i="78" s="1"/>
  <c r="BC54" i="43"/>
  <c r="BD10" i="43"/>
  <c r="AZ64" i="43"/>
  <c r="BL28" i="78"/>
  <c r="BI6" i="78"/>
  <c r="BI34" i="78"/>
  <c r="BJ28" i="78"/>
  <c r="BC26" i="43"/>
  <c r="BC14" i="78"/>
  <c r="BD13" i="78"/>
  <c r="BA14" i="78"/>
  <c r="BA26" i="43"/>
  <c r="BD37" i="78"/>
  <c r="BD38" i="78" s="1"/>
  <c r="BD58" i="43"/>
  <c r="BG32" i="78"/>
  <c r="BG6" i="78"/>
  <c r="BG7" i="78" s="1"/>
  <c r="BA54" i="43"/>
  <c r="BF10" i="43"/>
  <c r="BF7" i="78"/>
  <c r="AY5" i="78"/>
  <c r="AK80" i="43"/>
  <c r="AO203" i="43"/>
  <c r="H43" i="82"/>
  <c r="AL171" i="43"/>
  <c r="G53" i="82"/>
  <c r="G57" i="82" s="1"/>
  <c r="AK81" i="43" l="1"/>
  <c r="AL80" i="43"/>
  <c r="AL81" i="43" s="1"/>
  <c r="BA64" i="43"/>
  <c r="BI10" i="43"/>
  <c r="BI7" i="78"/>
  <c r="BD54" i="43"/>
  <c r="AY3" i="78"/>
  <c r="AZ5" i="78"/>
  <c r="BB5" i="78" s="1"/>
  <c r="BF54" i="43"/>
  <c r="BG10" i="43"/>
  <c r="BG37" i="78"/>
  <c r="BG38" i="78" s="1"/>
  <c r="BG58" i="43"/>
  <c r="BC64" i="43"/>
  <c r="BL34" i="78"/>
  <c r="BL6" i="78"/>
  <c r="BM28" i="78"/>
  <c r="BF26" i="43"/>
  <c r="BF14" i="78"/>
  <c r="BG13" i="78"/>
  <c r="BD14" i="78"/>
  <c r="BD26" i="43"/>
  <c r="BJ32" i="78"/>
  <c r="BJ6" i="78"/>
  <c r="BJ7" i="78" s="1"/>
  <c r="BI13" i="78"/>
  <c r="BJ34" i="78"/>
  <c r="BJ35" i="78" s="1"/>
  <c r="BJ36" i="78" s="1"/>
  <c r="G44" i="82"/>
  <c r="G26" i="82" l="1"/>
  <c r="BA5" i="78"/>
  <c r="BJ37" i="78"/>
  <c r="BJ38" i="78" s="1"/>
  <c r="BJ58" i="43"/>
  <c r="BL13" i="78"/>
  <c r="BM34" i="78"/>
  <c r="BM35" i="78" s="1"/>
  <c r="BM36" i="78" s="1"/>
  <c r="AZ3" i="78"/>
  <c r="BD64" i="43"/>
  <c r="BB3" i="78"/>
  <c r="BF64" i="43"/>
  <c r="BG54" i="43"/>
  <c r="BG14" i="78"/>
  <c r="BG26" i="43"/>
  <c r="BM32" i="78"/>
  <c r="BM6" i="78"/>
  <c r="BM7" i="78" s="1"/>
  <c r="BC5" i="78"/>
  <c r="BJ10" i="43"/>
  <c r="BI54" i="43"/>
  <c r="BI26" i="43"/>
  <c r="BI14" i="78"/>
  <c r="BJ13" i="78"/>
  <c r="BL10" i="43"/>
  <c r="BL7" i="78"/>
  <c r="AY4" i="78"/>
  <c r="BD5" i="78" l="1"/>
  <c r="BC3" i="78"/>
  <c r="BC4" i="78" s="1"/>
  <c r="AZ4" i="78"/>
  <c r="BA3" i="78"/>
  <c r="BA4" i="78" s="1"/>
  <c r="BL54" i="43"/>
  <c r="BM10" i="43"/>
  <c r="BJ54" i="43"/>
  <c r="BG64" i="43"/>
  <c r="BI64" i="43"/>
  <c r="BM37" i="78"/>
  <c r="BM38" i="78" s="1"/>
  <c r="BM58" i="43"/>
  <c r="BL26" i="43"/>
  <c r="BL14" i="78"/>
  <c r="BM13" i="78"/>
  <c r="BJ14" i="78"/>
  <c r="BJ26" i="43"/>
  <c r="BB4" i="78"/>
  <c r="BE5" i="78"/>
  <c r="G8" i="82"/>
  <c r="T47" i="82"/>
  <c r="T55" i="82"/>
  <c r="F10" i="82"/>
  <c r="F12" i="82"/>
  <c r="BE3" i="78" l="1"/>
  <c r="BD3" i="78"/>
  <c r="BD4" i="78" s="1"/>
  <c r="BM14" i="78"/>
  <c r="BM26" i="43"/>
  <c r="BF5" i="78"/>
  <c r="BJ64" i="43"/>
  <c r="BL64" i="43"/>
  <c r="BM54" i="43"/>
  <c r="T56" i="82"/>
  <c r="F23" i="82"/>
  <c r="BF3" i="78" l="1"/>
  <c r="BF4" i="78" s="1"/>
  <c r="BG5" i="78"/>
  <c r="BM64" i="43"/>
  <c r="BE4" i="78"/>
  <c r="BH5" i="78"/>
  <c r="BH3" i="78" s="1"/>
  <c r="BG3" i="78" l="1"/>
  <c r="BG4" i="78" s="1"/>
  <c r="BI5" i="78"/>
  <c r="BJ5" i="78" s="1"/>
  <c r="BI3" i="78" l="1"/>
  <c r="BI4" i="78" s="1"/>
  <c r="BK5" i="78"/>
  <c r="BH4" i="78"/>
  <c r="BJ3" i="78" l="1"/>
  <c r="BJ4" i="78" s="1"/>
  <c r="BK3" i="78"/>
  <c r="BL5" i="78"/>
  <c r="BL3" i="78" s="1"/>
  <c r="BL4" i="78" s="1"/>
  <c r="U55" i="82"/>
  <c r="BM5" i="78" l="1"/>
  <c r="BK4" i="78"/>
  <c r="BM3" i="78"/>
  <c r="BM4" i="78" s="1"/>
  <c r="U47" i="82"/>
  <c r="AJ65" i="43"/>
  <c r="S7" i="83" l="1"/>
  <c r="AJ235" i="43" l="1"/>
  <c r="AJ239" i="43" l="1"/>
  <c r="AJ252" i="43" l="1"/>
  <c r="AJ241" i="43"/>
  <c r="AJ253" i="43"/>
  <c r="AJ250" i="43" l="1"/>
  <c r="AJ262" i="43"/>
  <c r="AL262" i="43" s="1"/>
  <c r="AL264" i="43" s="1"/>
  <c r="AM266" i="43" s="1"/>
  <c r="AM268" i="43" s="1"/>
  <c r="AJ264" i="43" l="1"/>
  <c r="AK266" i="43" s="1"/>
  <c r="AJ249" i="43"/>
  <c r="AJ248" i="43"/>
  <c r="AJ254" i="43"/>
  <c r="AL266" i="43" l="1"/>
  <c r="AL268" i="43" s="1"/>
  <c r="AK268" i="43"/>
  <c r="L66" i="83"/>
  <c r="F17" i="82" l="1"/>
  <c r="T52" i="82"/>
  <c r="F67" i="82"/>
  <c r="F69" i="82" s="1"/>
  <c r="AI239" i="43" l="1"/>
  <c r="F16" i="82"/>
  <c r="AJ275" i="43"/>
  <c r="AI187" i="43"/>
  <c r="AH72" i="43" l="1"/>
  <c r="AH73" i="43" s="1"/>
  <c r="F13" i="82"/>
  <c r="AI72" i="43"/>
  <c r="AI73" i="43" s="1"/>
  <c r="AI189" i="43"/>
  <c r="AI211" i="43"/>
  <c r="AI212" i="43"/>
  <c r="AI241" i="43"/>
  <c r="T32" i="82" s="1"/>
  <c r="AI254" i="43"/>
  <c r="AI253" i="43"/>
  <c r="AI252" i="43"/>
  <c r="T28" i="82"/>
  <c r="F25" i="82"/>
  <c r="F19" i="82"/>
  <c r="AI70" i="43" l="1"/>
  <c r="AH70" i="43"/>
  <c r="AH71" i="43" s="1"/>
  <c r="AI71" i="43" s="1"/>
  <c r="F28" i="82"/>
  <c r="AH107" i="43"/>
  <c r="AH109" i="43" l="1"/>
  <c r="AH113" i="43" s="1"/>
  <c r="AH116" i="43"/>
  <c r="T36" i="82"/>
  <c r="T35" i="82"/>
  <c r="F18" i="82"/>
  <c r="T34" i="82"/>
  <c r="T33" i="82"/>
  <c r="F27" i="82"/>
  <c r="AJ268" i="43"/>
  <c r="F35" i="82"/>
  <c r="F37" i="82" s="1"/>
  <c r="F39" i="82" s="1"/>
  <c r="AH110" i="43" l="1"/>
  <c r="AH210" i="43"/>
  <c r="AI216" i="43" s="1"/>
  <c r="AH211" i="43"/>
  <c r="AH212" i="43"/>
  <c r="AI118" i="43"/>
  <c r="AI119" i="43" s="1"/>
  <c r="AH118" i="43"/>
  <c r="AH119" i="43" s="1"/>
  <c r="F58" i="82"/>
  <c r="F61" i="82" s="1"/>
  <c r="F62" i="82" s="1"/>
  <c r="AJ278" i="43"/>
  <c r="AH216" i="43" l="1"/>
  <c r="G33" i="82"/>
  <c r="AI155" i="43"/>
  <c r="AI163" i="43" s="1"/>
  <c r="AI215" i="43" s="1"/>
  <c r="F42" i="82"/>
  <c r="F46" i="82" s="1"/>
  <c r="AI181" i="43" l="1"/>
  <c r="AI209" i="43" s="1"/>
  <c r="T48" i="82" l="1"/>
  <c r="T45" i="82"/>
  <c r="T46" i="82"/>
  <c r="T44" i="82"/>
  <c r="AI140" i="43" l="1"/>
  <c r="AH140" i="43"/>
  <c r="F47" i="82"/>
  <c r="F51" i="82" s="1"/>
  <c r="F52" i="82" s="1"/>
  <c r="F63" i="82" s="1"/>
  <c r="T51" i="82" l="1"/>
  <c r="AJ162" i="43"/>
  <c r="AI188" i="43" l="1"/>
  <c r="W11" i="79" l="1"/>
  <c r="W12" i="79" s="1"/>
  <c r="W57" i="43" l="1"/>
  <c r="W21" i="79"/>
  <c r="W25" i="79"/>
  <c r="Z12" i="79"/>
  <c r="V11" i="79"/>
  <c r="W19" i="79"/>
  <c r="Z57" i="43" l="1"/>
  <c r="Z21" i="79"/>
  <c r="W20" i="79"/>
  <c r="W22" i="79" s="1"/>
  <c r="Z20" i="79"/>
  <c r="Y12" i="79"/>
  <c r="V25" i="79"/>
  <c r="V12" i="79"/>
  <c r="V19" i="79"/>
  <c r="V9" i="43"/>
  <c r="Z22" i="79" l="1"/>
  <c r="V20" i="79"/>
  <c r="Y20" i="79"/>
  <c r="V57" i="43"/>
  <c r="V21" i="79"/>
  <c r="Y57" i="43"/>
  <c r="Y21" i="79"/>
  <c r="V53" i="43"/>
  <c r="V63" i="43"/>
  <c r="Y53" i="43"/>
  <c r="V60" i="43"/>
  <c r="W9" i="43"/>
  <c r="V11" i="43"/>
  <c r="V196" i="43" s="1"/>
  <c r="Y22" i="79" l="1"/>
  <c r="V22" i="79"/>
  <c r="W53" i="43"/>
  <c r="W63" i="43"/>
  <c r="Z53" i="43"/>
  <c r="W60" i="43"/>
  <c r="V55" i="43"/>
  <c r="Y55" i="43"/>
  <c r="V65" i="43"/>
  <c r="V18" i="43"/>
  <c r="V15" i="43"/>
  <c r="V33" i="43"/>
  <c r="V62" i="43" s="1"/>
  <c r="V193" i="43"/>
  <c r="V195" i="43"/>
  <c r="V199" i="43"/>
  <c r="V194" i="43"/>
  <c r="V198" i="43"/>
  <c r="V200" i="43"/>
  <c r="W11" i="43"/>
  <c r="W196" i="43" s="1"/>
  <c r="W55" i="43" l="1"/>
  <c r="Z55" i="43"/>
  <c r="Q31" i="82" s="1"/>
  <c r="W18" i="43"/>
  <c r="W15" i="43"/>
  <c r="W65" i="43"/>
  <c r="W194" i="43"/>
  <c r="W198" i="43"/>
  <c r="W200" i="43"/>
  <c r="W33" i="43"/>
  <c r="W193" i="43"/>
  <c r="W195" i="43"/>
  <c r="W199" i="43"/>
  <c r="W62" i="43" l="1"/>
  <c r="AG16" i="43" l="1"/>
  <c r="AH16" i="43" l="1"/>
  <c r="C16" i="43" l="1"/>
  <c r="F16" i="43"/>
  <c r="I16" i="43"/>
  <c r="K16" i="43"/>
  <c r="L16" i="43"/>
  <c r="N16" i="43"/>
  <c r="O16" i="43"/>
  <c r="R16" i="43"/>
  <c r="T16" i="43"/>
  <c r="U16" i="43"/>
  <c r="E16" i="43"/>
  <c r="P16" i="43" l="1"/>
  <c r="Q16" i="43"/>
  <c r="G16" i="43"/>
  <c r="J16" i="43"/>
  <c r="D16" i="43"/>
  <c r="V16" i="43"/>
  <c r="H16" i="43"/>
  <c r="S16" i="43"/>
  <c r="W16" i="43"/>
  <c r="M16" i="43"/>
  <c r="W100" i="43"/>
  <c r="W98" i="43" s="1"/>
  <c r="AA217" i="43"/>
  <c r="AB44" i="43"/>
  <c r="AB235" i="43" s="1"/>
  <c r="AA49" i="43"/>
  <c r="AA234" i="43" s="1"/>
  <c r="AA238" i="43" s="1"/>
  <c r="AA239" i="43"/>
  <c r="AB42" i="43" l="1"/>
  <c r="AB45" i="43"/>
  <c r="AE45" i="43"/>
  <c r="AB217" i="43"/>
  <c r="AA277" i="43"/>
  <c r="AA279" i="43" s="1"/>
  <c r="AA280" i="43" s="1"/>
  <c r="AB275" i="43" s="1"/>
  <c r="AB238" i="43"/>
  <c r="AD240" i="43"/>
  <c r="AD241" i="43"/>
  <c r="AA252" i="43"/>
  <c r="AA253" i="43"/>
  <c r="AA254" i="43"/>
  <c r="AA72" i="43"/>
  <c r="AB49" i="43"/>
  <c r="AB234" i="43" l="1"/>
  <c r="AB277" i="43"/>
  <c r="AB279" i="43" s="1"/>
  <c r="AB280" i="43" s="1"/>
  <c r="AE240" i="43"/>
  <c r="AA70" i="43"/>
  <c r="AA71" i="43" s="1"/>
  <c r="AA73" i="43"/>
  <c r="D16" i="82" l="1"/>
  <c r="AC239" i="43"/>
  <c r="D13" i="82" l="1"/>
  <c r="AC72" i="43"/>
  <c r="AB72" i="43"/>
  <c r="AC253" i="43"/>
  <c r="AC254" i="43"/>
  <c r="R35" i="82" s="1"/>
  <c r="AF241" i="43"/>
  <c r="S32" i="82" s="1"/>
  <c r="AC252" i="43"/>
  <c r="R28" i="82"/>
  <c r="AB239" i="43"/>
  <c r="AB253" i="43" l="1"/>
  <c r="AB252" i="43"/>
  <c r="AB254" i="43"/>
  <c r="AE241" i="43"/>
  <c r="AB73" i="43"/>
  <c r="AB70" i="43"/>
  <c r="AB71" i="43" s="1"/>
  <c r="AC71" i="43" s="1"/>
  <c r="AC70" i="43"/>
  <c r="AC73" i="43"/>
  <c r="R36" i="82" l="1"/>
  <c r="W217" i="43" l="1"/>
  <c r="X217" i="43"/>
  <c r="U217" i="43"/>
  <c r="U72" i="43"/>
  <c r="X49" i="43"/>
  <c r="Y49" i="43" s="1"/>
  <c r="Y277" i="43" s="1"/>
  <c r="Y279" i="43" s="1"/>
  <c r="X277" i="43" l="1"/>
  <c r="X279" i="43" s="1"/>
  <c r="X280" i="43" s="1"/>
  <c r="Y275" i="43" s="1"/>
  <c r="Y280" i="43" s="1"/>
  <c r="U239" i="43"/>
  <c r="U254" i="43" s="1"/>
  <c r="X234" i="43"/>
  <c r="X238" i="43" s="1"/>
  <c r="AA240" i="43" s="1"/>
  <c r="X239" i="43"/>
  <c r="X72" i="43"/>
  <c r="U277" i="43"/>
  <c r="U234" i="43"/>
  <c r="U238" i="43" s="1"/>
  <c r="U240" i="43" s="1"/>
  <c r="U73" i="43"/>
  <c r="U70" i="43"/>
  <c r="U71" i="43" s="1"/>
  <c r="Y234" i="43"/>
  <c r="Y238" i="43" s="1"/>
  <c r="U241" i="43" l="1"/>
  <c r="U252" i="43"/>
  <c r="U253" i="43"/>
  <c r="X241" i="43"/>
  <c r="X240" i="43"/>
  <c r="U279" i="43"/>
  <c r="U280" i="43" s="1"/>
  <c r="V275" i="43" s="1"/>
  <c r="X70" i="43"/>
  <c r="X71" i="43" s="1"/>
  <c r="X73" i="43"/>
  <c r="AB240" i="43"/>
  <c r="X253" i="43"/>
  <c r="X252" i="43"/>
  <c r="AA241" i="43"/>
  <c r="X254" i="43"/>
  <c r="V36" i="43"/>
  <c r="V39" i="43" s="1"/>
  <c r="V112" i="43" s="1"/>
  <c r="V41" i="43" l="1"/>
  <c r="V67" i="43" s="1"/>
  <c r="V42" i="43"/>
  <c r="V120" i="43"/>
  <c r="W67" i="43" l="1"/>
  <c r="W69" i="43" s="1"/>
  <c r="V69" i="43"/>
  <c r="W120" i="43"/>
  <c r="V122" i="43"/>
  <c r="V119" i="43"/>
  <c r="W122" i="43" l="1"/>
  <c r="W119" i="43"/>
  <c r="Y217" i="43" l="1"/>
  <c r="Y239" i="43" l="1"/>
  <c r="V234" i="43"/>
  <c r="V238" i="43" s="1"/>
  <c r="Z239" i="43" l="1"/>
  <c r="C16" i="82"/>
  <c r="V240" i="43"/>
  <c r="Y240" i="43"/>
  <c r="Y253" i="43"/>
  <c r="Y254" i="43"/>
  <c r="AB241" i="43"/>
  <c r="Y252" i="43"/>
  <c r="V277" i="43"/>
  <c r="Z253" i="43" l="1"/>
  <c r="Z254" i="43"/>
  <c r="Q35" i="82" s="1"/>
  <c r="Q28" i="82"/>
  <c r="AC241" i="43"/>
  <c r="R32" i="82" s="1"/>
  <c r="Z252" i="43"/>
  <c r="C13" i="82"/>
  <c r="Z72" i="43"/>
  <c r="Y72" i="43"/>
  <c r="V279" i="43"/>
  <c r="V280" i="43" s="1"/>
  <c r="Y70" i="43" l="1"/>
  <c r="Y71" i="43" s="1"/>
  <c r="Z71" i="43" s="1"/>
  <c r="Y73" i="43"/>
  <c r="Z73" i="43"/>
  <c r="Z70" i="43"/>
  <c r="Q36" i="82" s="1"/>
  <c r="V217" i="43"/>
  <c r="V239" i="43" l="1"/>
  <c r="V253" i="43" l="1"/>
  <c r="V241" i="43"/>
  <c r="V252" i="43"/>
  <c r="V254" i="43"/>
  <c r="Y241" i="43"/>
  <c r="W239" i="43"/>
  <c r="W253" i="43" l="1"/>
  <c r="W252" i="43"/>
  <c r="W241" i="43"/>
  <c r="W254" i="43"/>
  <c r="Z241" i="43"/>
  <c r="Q32" i="82" s="1"/>
  <c r="W72" i="43"/>
  <c r="V72" i="43"/>
  <c r="V70" i="43" l="1"/>
  <c r="V71" i="43" s="1"/>
  <c r="W71" i="43" s="1"/>
  <c r="V73" i="43"/>
  <c r="W70" i="43"/>
  <c r="W73" i="43"/>
  <c r="AJ101" i="43" l="1"/>
  <c r="AJ45" i="43"/>
  <c r="AJ97" i="43" l="1"/>
  <c r="AJ98" i="43" s="1"/>
  <c r="AJ234" i="43"/>
  <c r="AJ238" i="43" s="1"/>
  <c r="AJ240" i="43" s="1"/>
  <c r="AJ277" i="43"/>
  <c r="AJ155" i="43" l="1"/>
  <c r="AJ163" i="43" s="1"/>
  <c r="AK215" i="43" s="1"/>
  <c r="AJ180" i="43"/>
  <c r="AJ187" i="43"/>
  <c r="AJ279" i="43"/>
  <c r="AJ280" i="43" s="1"/>
  <c r="AK275" i="43" s="1"/>
  <c r="AJ217" i="43"/>
  <c r="AJ211" i="43" l="1"/>
  <c r="AJ215" i="43"/>
  <c r="AJ181" i="43"/>
  <c r="AJ209" i="43" s="1"/>
  <c r="AJ212" i="43" l="1"/>
  <c r="AJ188" i="43"/>
  <c r="AJ210" i="43"/>
  <c r="AJ216" i="43" s="1"/>
  <c r="AK19" i="79" l="1"/>
  <c r="AN21" i="79" l="1"/>
  <c r="AN20" i="79"/>
  <c r="AK20" i="79"/>
  <c r="AK22" i="79" s="1"/>
  <c r="AN22" i="79" l="1"/>
  <c r="G23" i="82"/>
  <c r="AN25" i="43"/>
  <c r="AN63" i="43" l="1"/>
  <c r="AN27" i="43"/>
  <c r="AN77" i="43" s="1"/>
  <c r="AO25" i="43"/>
  <c r="AO27" i="43" l="1"/>
  <c r="AN65" i="43"/>
  <c r="H8" i="82" l="1"/>
  <c r="T7" i="83"/>
  <c r="AO77" i="43"/>
  <c r="H23" i="82" l="1"/>
  <c r="AL187" i="43" l="1"/>
  <c r="G67" i="82"/>
  <c r="G69" i="82" s="1"/>
  <c r="AL16" i="79" l="1"/>
  <c r="AK16" i="79" s="1"/>
  <c r="AL21" i="43"/>
  <c r="AL24" i="79"/>
  <c r="AK14" i="79"/>
  <c r="AK24" i="79" s="1"/>
  <c r="AK21" i="43" l="1"/>
  <c r="AK30" i="43"/>
  <c r="AK60" i="43" s="1"/>
  <c r="AK25" i="79"/>
  <c r="AK31" i="79"/>
  <c r="AK28" i="79"/>
  <c r="AL25" i="79"/>
  <c r="AL28" i="79"/>
  <c r="AL31" i="79"/>
  <c r="AL30" i="43" l="1"/>
  <c r="AL60" i="43" l="1"/>
  <c r="AX139" i="43"/>
  <c r="U39" i="82"/>
  <c r="BA16" i="79" l="1"/>
  <c r="AO21" i="43"/>
  <c r="AN21" i="43"/>
  <c r="AN24" i="79"/>
  <c r="AN28" i="79" l="1"/>
  <c r="AN31" i="79"/>
  <c r="AN25" i="79"/>
  <c r="AO24" i="79"/>
  <c r="AR26" i="79" s="1"/>
  <c r="AN30" i="43"/>
  <c r="AO28" i="79" l="1"/>
  <c r="AO31" i="79"/>
  <c r="AN60" i="43"/>
  <c r="AO30" i="43"/>
  <c r="AW21" i="43"/>
  <c r="AW23" i="43" s="1"/>
  <c r="AW84" i="43" l="1"/>
  <c r="AW141" i="43"/>
  <c r="AW271" i="43"/>
  <c r="AW270" i="43" s="1"/>
  <c r="V39" i="82"/>
  <c r="AZ14" i="79"/>
  <c r="AX21" i="43"/>
  <c r="AX23" i="43" s="1"/>
  <c r="AX141" i="43" l="1"/>
  <c r="AX142" i="43" s="1"/>
  <c r="AW142" i="43"/>
  <c r="AX24" i="43"/>
  <c r="AX271" i="43"/>
  <c r="AX270" i="43" s="1"/>
  <c r="BC14" i="79"/>
  <c r="AZ21" i="43"/>
  <c r="BA14" i="79"/>
  <c r="BA21" i="43" l="1"/>
  <c r="BF14" i="79"/>
  <c r="BD14" i="79"/>
  <c r="BC21" i="43"/>
  <c r="BD21" i="43" l="1"/>
  <c r="BF21" i="43"/>
  <c r="BG14" i="79"/>
  <c r="BI14" i="79"/>
  <c r="BG21" i="43" l="1"/>
  <c r="BL14" i="79"/>
  <c r="BI21" i="43"/>
  <c r="BJ14" i="79"/>
  <c r="BJ21" i="43" l="1"/>
  <c r="BM14" i="79"/>
  <c r="BL21" i="43"/>
  <c r="BM21" i="43" l="1"/>
  <c r="AL11" i="78"/>
  <c r="AL139" i="43" s="1"/>
  <c r="AL22" i="43"/>
  <c r="AL23" i="43" s="1"/>
  <c r="AL16" i="78"/>
  <c r="AL271" i="43" l="1"/>
  <c r="AL270" i="43" s="1"/>
  <c r="AL141" i="43"/>
  <c r="AL20" i="78"/>
  <c r="AL17" i="78"/>
  <c r="AL23" i="78"/>
  <c r="G9" i="82"/>
  <c r="AL32" i="43"/>
  <c r="AL41" i="43" s="1"/>
  <c r="AL44" i="43" s="1"/>
  <c r="AL133" i="43" l="1"/>
  <c r="AL142" i="43"/>
  <c r="AL45" i="43"/>
  <c r="AL217" i="43"/>
  <c r="U52" i="82" s="1"/>
  <c r="AL49" i="43"/>
  <c r="AK44" i="43"/>
  <c r="G14" i="82"/>
  <c r="G16" i="82" s="1"/>
  <c r="AL235" i="43"/>
  <c r="AL239" i="43" s="1"/>
  <c r="G10" i="82"/>
  <c r="U56" i="82" s="1"/>
  <c r="S8" i="83"/>
  <c r="AL34" i="43"/>
  <c r="G13" i="82"/>
  <c r="AL33" i="43"/>
  <c r="AL62" i="43" s="1"/>
  <c r="AL241" i="43" l="1"/>
  <c r="U32" i="82" s="1"/>
  <c r="AL253" i="43"/>
  <c r="AL252" i="43"/>
  <c r="AL254" i="43"/>
  <c r="S9" i="83"/>
  <c r="U28" i="82"/>
  <c r="AL277" i="43"/>
  <c r="AL234" i="43"/>
  <c r="AL238" i="43" s="1"/>
  <c r="AK45" i="43"/>
  <c r="AK217" i="43"/>
  <c r="AK49" i="43"/>
  <c r="AK277" i="43" s="1"/>
  <c r="AK279" i="43" s="1"/>
  <c r="AK280" i="43" s="1"/>
  <c r="G12" i="82"/>
  <c r="AL240" i="43" l="1"/>
  <c r="G17" i="82"/>
  <c r="AL279" i="43"/>
  <c r="AL280" i="43" s="1"/>
  <c r="AJ22" i="43"/>
  <c r="AJ23" i="43" s="1"/>
  <c r="AJ139" i="43"/>
  <c r="AJ138" i="43" s="1"/>
  <c r="AL138" i="43" s="1"/>
  <c r="AJ16" i="78"/>
  <c r="AK9" i="78"/>
  <c r="AK16" i="78" l="1"/>
  <c r="AK17" i="78" s="1"/>
  <c r="AK11" i="78"/>
  <c r="AM275" i="43"/>
  <c r="AO275" i="43"/>
  <c r="AJ17" i="78"/>
  <c r="AJ23" i="78"/>
  <c r="AJ20" i="78"/>
  <c r="AJ31" i="43"/>
  <c r="AK22" i="43"/>
  <c r="AK23" i="43" s="1"/>
  <c r="AK139" i="43"/>
  <c r="AK23" i="78"/>
  <c r="AJ142" i="43"/>
  <c r="AJ141" i="43"/>
  <c r="AJ133" i="43" s="1"/>
  <c r="AJ271" i="43"/>
  <c r="AJ270" i="43" s="1"/>
  <c r="AK31" i="43" l="1"/>
  <c r="AK61" i="43" s="1"/>
  <c r="AK20" i="78"/>
  <c r="AK141" i="43"/>
  <c r="AK142" i="43" s="1"/>
  <c r="AK271" i="43"/>
  <c r="AK270" i="43" s="1"/>
  <c r="AK133" i="43"/>
  <c r="AJ61" i="43"/>
  <c r="AJ32" i="43"/>
  <c r="AK32" i="43"/>
  <c r="AL31" i="43" l="1"/>
  <c r="AJ42" i="43"/>
  <c r="AJ41" i="43"/>
  <c r="AJ67" i="43" s="1"/>
  <c r="AO139" i="43"/>
  <c r="AK33" i="43"/>
  <c r="AK62" i="43" s="1"/>
  <c r="AK34" i="43"/>
  <c r="AK41" i="43"/>
  <c r="AK67" i="43" s="1"/>
  <c r="AK69" i="43" s="1"/>
  <c r="AJ34" i="43"/>
  <c r="AJ33" i="43"/>
  <c r="AJ62" i="43" s="1"/>
  <c r="AM16" i="78"/>
  <c r="AL61" i="43" l="1"/>
  <c r="U40" i="82"/>
  <c r="U41" i="82" s="1"/>
  <c r="AM31" i="43"/>
  <c r="AM20" i="78"/>
  <c r="AM23" i="78"/>
  <c r="AM271" i="43"/>
  <c r="AM270" i="43" s="1"/>
  <c r="AM142" i="43"/>
  <c r="AM141" i="43"/>
  <c r="AM133" i="43" s="1"/>
  <c r="AK42" i="43"/>
  <c r="AK72" i="43" s="1"/>
  <c r="AK73" i="43" s="1"/>
  <c r="AJ69" i="43"/>
  <c r="AL67" i="43"/>
  <c r="AM17" i="78"/>
  <c r="AJ72" i="43"/>
  <c r="G29" i="82"/>
  <c r="U57" i="82"/>
  <c r="AM61" i="43" l="1"/>
  <c r="AM32" i="43"/>
  <c r="AK70" i="43"/>
  <c r="AK71" i="43" s="1"/>
  <c r="AL69" i="43"/>
  <c r="AL70" i="43" s="1"/>
  <c r="AL73" i="43"/>
  <c r="AM136" i="43"/>
  <c r="AJ73" i="43"/>
  <c r="AJ70" i="43"/>
  <c r="AJ71" i="43" s="1"/>
  <c r="AP34" i="43" l="1"/>
  <c r="AM42" i="43"/>
  <c r="AM33" i="43"/>
  <c r="AM62" i="43" s="1"/>
  <c r="AM34" i="43"/>
  <c r="AM41" i="43"/>
  <c r="AL71" i="43"/>
  <c r="AY9" i="78"/>
  <c r="AY139" i="43" s="1"/>
  <c r="AM67" i="43" l="1"/>
  <c r="AM69" i="43" s="1"/>
  <c r="AM72" i="43"/>
  <c r="AN42" i="43"/>
  <c r="AY22" i="43"/>
  <c r="AY23" i="43" s="1"/>
  <c r="AY84" i="43" s="1"/>
  <c r="AY16" i="78"/>
  <c r="BB9" i="78"/>
  <c r="BB139" i="43" s="1"/>
  <c r="AY86" i="43" l="1"/>
  <c r="AM70" i="43"/>
  <c r="AM71" i="43" s="1"/>
  <c r="AM73" i="43"/>
  <c r="AN72" i="43"/>
  <c r="AY17" i="78"/>
  <c r="AY31" i="43"/>
  <c r="BB22" i="43"/>
  <c r="BB23" i="43" s="1"/>
  <c r="BB84" i="43" s="1"/>
  <c r="BB16" i="78"/>
  <c r="AY271" i="43"/>
  <c r="AY141" i="43"/>
  <c r="AY142" i="43" s="1"/>
  <c r="BE9" i="78"/>
  <c r="BE139" i="43" s="1"/>
  <c r="U36" i="82"/>
  <c r="BB86" i="43" l="1"/>
  <c r="BB17" i="78"/>
  <c r="BB31" i="43"/>
  <c r="BE22" i="43"/>
  <c r="BE23" i="43" s="1"/>
  <c r="BE84" i="43" s="1"/>
  <c r="BE16" i="78"/>
  <c r="AY61" i="43"/>
  <c r="BH9" i="78"/>
  <c r="BH139" i="43" s="1"/>
  <c r="BB141" i="43"/>
  <c r="BB142" i="43" s="1"/>
  <c r="BB271" i="43"/>
  <c r="BE86" i="43" l="1"/>
  <c r="BE17" i="78"/>
  <c r="BE31" i="43"/>
  <c r="BB61" i="43"/>
  <c r="BE141" i="43"/>
  <c r="BE142" i="43" s="1"/>
  <c r="BE271" i="43"/>
  <c r="BH22" i="43"/>
  <c r="BH23" i="43" s="1"/>
  <c r="BH84" i="43" s="1"/>
  <c r="BH16" i="78"/>
  <c r="BK9" i="78"/>
  <c r="BK139" i="43" s="1"/>
  <c r="BH86" i="43" l="1"/>
  <c r="BH17" i="78"/>
  <c r="BH31" i="43"/>
  <c r="BH271" i="43"/>
  <c r="BH141" i="43"/>
  <c r="BH142" i="43" s="1"/>
  <c r="AM235" i="43"/>
  <c r="AM239" i="43" s="1"/>
  <c r="AP241" i="43" s="1"/>
  <c r="BK16" i="78"/>
  <c r="BK22" i="43"/>
  <c r="BK23" i="43" s="1"/>
  <c r="BK84" i="43" s="1"/>
  <c r="BE61" i="43"/>
  <c r="BK86" i="43" l="1"/>
  <c r="AM253" i="43"/>
  <c r="AM252" i="43"/>
  <c r="BK271" i="43"/>
  <c r="BK141" i="43"/>
  <c r="BK142" i="43" s="1"/>
  <c r="BK17" i="78"/>
  <c r="BK31" i="43"/>
  <c r="AM241" i="43"/>
  <c r="BH61" i="43"/>
  <c r="AM234" i="43"/>
  <c r="AM238" i="43" s="1"/>
  <c r="AP240" i="43" s="1"/>
  <c r="AM277" i="43"/>
  <c r="AM240" i="43" l="1"/>
  <c r="BK61" i="43"/>
  <c r="AM246" i="43"/>
  <c r="AP248" i="43" l="1"/>
  <c r="AM248" i="43"/>
  <c r="AM249" i="43"/>
  <c r="AM254" i="43"/>
  <c r="BK90" i="43"/>
  <c r="BK136" i="43"/>
  <c r="AN266" i="43"/>
  <c r="AN268" i="43" l="1"/>
  <c r="AN92" i="43" s="1"/>
  <c r="AN278" i="43" l="1"/>
  <c r="AK234" i="43" l="1"/>
  <c r="AK238" i="43" s="1"/>
  <c r="AK240" i="43" s="1"/>
  <c r="AK235" i="43"/>
  <c r="AK239" i="43" s="1"/>
  <c r="AK252" i="43" l="1"/>
  <c r="AK241" i="43"/>
  <c r="AK253" i="43"/>
  <c r="AK254" i="43"/>
  <c r="G19" i="82"/>
  <c r="G25" i="82" l="1"/>
  <c r="AK107" i="43" l="1"/>
  <c r="AK116" i="43" s="1"/>
  <c r="AL116" i="43" s="1"/>
  <c r="U35" i="82"/>
  <c r="G18" i="82"/>
  <c r="U34" i="82"/>
  <c r="G28" i="82"/>
  <c r="AO266" i="43"/>
  <c r="AO268" i="43" s="1"/>
  <c r="U33" i="82" l="1"/>
  <c r="G27" i="82"/>
  <c r="AL107" i="43"/>
  <c r="AL109" i="43" s="1"/>
  <c r="AM115" i="43" s="1"/>
  <c r="AM118" i="43" s="1"/>
  <c r="AM119" i="43" s="1"/>
  <c r="AM278" i="43"/>
  <c r="G35" i="82"/>
  <c r="G37" i="82" s="1"/>
  <c r="AL210" i="43" l="1"/>
  <c r="AM216" i="43" s="1"/>
  <c r="AL212" i="43"/>
  <c r="AL211" i="43"/>
  <c r="AL113" i="43"/>
  <c r="AL110" i="43"/>
  <c r="AL179" i="43"/>
  <c r="AL180" i="43" s="1"/>
  <c r="G58" i="82"/>
  <c r="G61" i="82" s="1"/>
  <c r="G62" i="82" s="1"/>
  <c r="H33" i="82"/>
  <c r="AO278" i="43"/>
  <c r="AM187" i="43"/>
  <c r="AM279" i="43"/>
  <c r="AM280" i="43" s="1"/>
  <c r="AN275" i="43" s="1"/>
  <c r="AM212" i="43" l="1"/>
  <c r="AM211" i="43"/>
  <c r="G32" i="82"/>
  <c r="G30" i="82"/>
  <c r="AK86" i="43"/>
  <c r="AK101" i="43" l="1"/>
  <c r="AK90" i="43"/>
  <c r="AK98" i="43" s="1"/>
  <c r="AK136" i="43"/>
  <c r="AL136" i="43" s="1"/>
  <c r="G39" i="82"/>
  <c r="G31" i="82"/>
  <c r="AL155" i="43" l="1"/>
  <c r="G42" i="82"/>
  <c r="G46" i="82" s="1"/>
  <c r="AO125" i="43"/>
  <c r="AK106" i="43" l="1"/>
  <c r="AK126" i="43" l="1"/>
  <c r="AK127" i="43" s="1"/>
  <c r="AK128" i="43" s="1"/>
  <c r="AK109" i="43"/>
  <c r="U44" i="82"/>
  <c r="U46" i="82"/>
  <c r="U48" i="82"/>
  <c r="U45" i="82"/>
  <c r="AK210" i="43" l="1"/>
  <c r="AK212" i="43"/>
  <c r="AK211" i="43"/>
  <c r="AK113" i="43"/>
  <c r="AK110" i="43"/>
  <c r="AK216" i="43" l="1"/>
  <c r="AL216" i="43"/>
  <c r="AK118" i="43"/>
  <c r="AK119" i="43" s="1"/>
  <c r="AL118" i="43" l="1"/>
  <c r="AL119" i="43" s="1"/>
  <c r="AO115" i="43"/>
  <c r="AK140" i="43" l="1"/>
  <c r="AL162" i="43"/>
  <c r="AL163" i="43" s="1"/>
  <c r="G47" i="82"/>
  <c r="G51" i="82" s="1"/>
  <c r="G52" i="82" s="1"/>
  <c r="G63" i="82" s="1"/>
  <c r="AL140" i="43"/>
  <c r="AL181" i="43" l="1"/>
  <c r="AL215" i="43"/>
  <c r="U51" i="82" s="1"/>
  <c r="AL188" i="43" l="1"/>
  <c r="AL209" i="43"/>
  <c r="AM7" i="79" l="1"/>
  <c r="AO9" i="79" l="1"/>
  <c r="AO11" i="79" s="1"/>
  <c r="AR12" i="79" s="1"/>
  <c r="AR57" i="43" s="1"/>
  <c r="AO19" i="79" l="1"/>
  <c r="AO25" i="79"/>
  <c r="AO12" i="79"/>
  <c r="AO57" i="43" s="1"/>
  <c r="AO20" i="79" l="1"/>
  <c r="AR20" i="79"/>
  <c r="AR22" i="79" s="1"/>
  <c r="AO9" i="43"/>
  <c r="AR53" i="43" l="1"/>
  <c r="AM194" i="43"/>
  <c r="BB16" i="43"/>
  <c r="BE16" i="43" s="1"/>
  <c r="BH16" i="43" s="1"/>
  <c r="BK16" i="43" s="1"/>
  <c r="AM193" i="43"/>
  <c r="AM199" i="43"/>
  <c r="AM200" i="43"/>
  <c r="AM198" i="43"/>
  <c r="AM196" i="43"/>
  <c r="AO21" i="79"/>
  <c r="AO22" i="79" s="1"/>
  <c r="AN199" i="43"/>
  <c r="AO60" i="43"/>
  <c r="AO53" i="43"/>
  <c r="AO63" i="43"/>
  <c r="AO11" i="43"/>
  <c r="AR55" i="43" s="1"/>
  <c r="AO15" i="43" l="1"/>
  <c r="AO16" i="43" s="1"/>
  <c r="AY194" i="43"/>
  <c r="BB194" i="43" s="1"/>
  <c r="BE194" i="43" s="1"/>
  <c r="BH194" i="43" s="1"/>
  <c r="BK194" i="43" s="1"/>
  <c r="AY195" i="43"/>
  <c r="BB195" i="43" s="1"/>
  <c r="BE195" i="43" s="1"/>
  <c r="BH195" i="43" s="1"/>
  <c r="BK195" i="43" s="1"/>
  <c r="AO194" i="43"/>
  <c r="AO65" i="43"/>
  <c r="AO199" i="43"/>
  <c r="AO55" i="43"/>
  <c r="V31" i="82" s="1"/>
  <c r="H7" i="82"/>
  <c r="AM171" i="43"/>
  <c r="AN204" i="43" l="1"/>
  <c r="AN202" i="43"/>
  <c r="V55" i="82"/>
  <c r="AO18" i="43"/>
  <c r="AN205" i="43" l="1"/>
  <c r="AN200" i="43"/>
  <c r="AO204" i="43" l="1"/>
  <c r="H53" i="82"/>
  <c r="AO195" i="43"/>
  <c r="AO200" i="43"/>
  <c r="AO198" i="43"/>
  <c r="AN198" i="43"/>
  <c r="AN196" i="43"/>
  <c r="AN206" i="43"/>
  <c r="H44" i="82" l="1"/>
  <c r="AO202" i="43"/>
  <c r="AO205" i="43" s="1"/>
  <c r="AO193" i="43"/>
  <c r="AZ195" i="43"/>
  <c r="AP206" i="43" l="1"/>
  <c r="AP80" i="43" s="1"/>
  <c r="AP81" i="43" s="1"/>
  <c r="AR206" i="43"/>
  <c r="AR80" i="43" s="1"/>
  <c r="AO206" i="43"/>
  <c r="AO80" i="43" s="1"/>
  <c r="AN80" i="43" s="1"/>
  <c r="AO196" i="43"/>
  <c r="BC195" i="43"/>
  <c r="AM179" i="43"/>
  <c r="AM180" i="43" s="1"/>
  <c r="AN125" i="43"/>
  <c r="AM155" i="43"/>
  <c r="AQ80" i="43" l="1"/>
  <c r="BF195" i="43"/>
  <c r="BI195" i="43" l="1"/>
  <c r="BL195" i="43" l="1"/>
  <c r="AM162" i="43" l="1"/>
  <c r="AM163" i="43" s="1"/>
  <c r="AM215" i="43" s="1"/>
  <c r="AM140" i="43"/>
  <c r="AM138" i="43" l="1"/>
  <c r="AM181" i="43"/>
  <c r="AM209" i="43" s="1"/>
  <c r="AM188" i="43" l="1"/>
  <c r="AZ3" i="79" l="1"/>
  <c r="BC3" i="79" s="1"/>
  <c r="BF3" i="79" s="1"/>
  <c r="BI3" i="79" s="1"/>
  <c r="BL3" i="79" s="1"/>
  <c r="AY3" i="79" l="1"/>
  <c r="AZ9" i="79" l="1"/>
  <c r="BB3" i="79"/>
  <c r="BA3" i="79"/>
  <c r="BA7" i="79" s="1"/>
  <c r="AY9" i="79"/>
  <c r="AX57" i="43"/>
  <c r="I43" i="82" l="1"/>
  <c r="BC9" i="79"/>
  <c r="AZ11" i="79"/>
  <c r="I44" i="82"/>
  <c r="BA9" i="79"/>
  <c r="BA11" i="79" s="1"/>
  <c r="BA12" i="79" s="1"/>
  <c r="BA57" i="43" s="1"/>
  <c r="AY11" i="79"/>
  <c r="BB9" i="79"/>
  <c r="BE3" i="79"/>
  <c r="BD3" i="79"/>
  <c r="BD7" i="79" s="1"/>
  <c r="I53" i="82"/>
  <c r="BD9" i="79" l="1"/>
  <c r="BD11" i="79" s="1"/>
  <c r="BD12" i="79" s="1"/>
  <c r="BD57" i="43" s="1"/>
  <c r="BE9" i="79"/>
  <c r="BB11" i="79"/>
  <c r="AZ12" i="79"/>
  <c r="AZ9" i="43"/>
  <c r="AY12" i="79"/>
  <c r="AY9" i="43"/>
  <c r="BC11" i="79"/>
  <c r="BF9" i="79"/>
  <c r="BH3" i="79"/>
  <c r="BG3" i="79"/>
  <c r="BG7" i="79" s="1"/>
  <c r="W31" i="82"/>
  <c r="I7" i="82"/>
  <c r="BK3" i="79" l="1"/>
  <c r="BM3" i="79" s="1"/>
  <c r="BJ3" i="79"/>
  <c r="BJ7" i="79" s="1"/>
  <c r="BF11" i="79"/>
  <c r="BI9" i="79"/>
  <c r="BB12" i="79"/>
  <c r="BB9" i="43"/>
  <c r="AZ57" i="43"/>
  <c r="BC9" i="43"/>
  <c r="BC12" i="79"/>
  <c r="BE11" i="79"/>
  <c r="BG9" i="79"/>
  <c r="BG11" i="79" s="1"/>
  <c r="BG12" i="79" s="1"/>
  <c r="BG57" i="43" s="1"/>
  <c r="BH9" i="79"/>
  <c r="J7" i="82"/>
  <c r="X31" i="82"/>
  <c r="AY11" i="43"/>
  <c r="BA9" i="43"/>
  <c r="AY53" i="43"/>
  <c r="K43" i="82"/>
  <c r="AY57" i="43"/>
  <c r="J43" i="82"/>
  <c r="AZ53" i="43"/>
  <c r="AZ11" i="43"/>
  <c r="AZ12" i="43" s="1"/>
  <c r="AY12" i="43" l="1"/>
  <c r="AY15" i="43"/>
  <c r="AY13" i="43" s="1"/>
  <c r="K7" i="82"/>
  <c r="AY90" i="43"/>
  <c r="AY136" i="43"/>
  <c r="AY21" i="79"/>
  <c r="BC11" i="43"/>
  <c r="BC53" i="43"/>
  <c r="J44" i="82"/>
  <c r="BD9" i="43"/>
  <c r="BB11" i="43"/>
  <c r="BB202" i="43" s="1"/>
  <c r="BB53" i="43"/>
  <c r="BC57" i="43"/>
  <c r="AZ202" i="43"/>
  <c r="AZ204" i="43"/>
  <c r="AZ165" i="43" s="1"/>
  <c r="AZ203" i="43"/>
  <c r="AZ152" i="43" s="1"/>
  <c r="BA152" i="43" s="1"/>
  <c r="L43" i="82" s="1"/>
  <c r="AZ55" i="43"/>
  <c r="Y31" i="82"/>
  <c r="BA11" i="43"/>
  <c r="BA53" i="43"/>
  <c r="BH11" i="79"/>
  <c r="BK9" i="79"/>
  <c r="BJ9" i="79"/>
  <c r="BJ11" i="79" s="1"/>
  <c r="BJ12" i="79" s="1"/>
  <c r="BJ57" i="43" s="1"/>
  <c r="BB57" i="43"/>
  <c r="K44" i="82"/>
  <c r="BI11" i="79"/>
  <c r="BL9" i="79"/>
  <c r="BL11" i="79" s="1"/>
  <c r="BM7" i="79"/>
  <c r="AY202" i="43"/>
  <c r="AY204" i="43"/>
  <c r="AY165" i="43" s="1"/>
  <c r="AY203" i="43"/>
  <c r="AY152" i="43" s="1"/>
  <c r="AY55" i="43"/>
  <c r="J53" i="82"/>
  <c r="BE9" i="43"/>
  <c r="BE12" i="79"/>
  <c r="BF9" i="43"/>
  <c r="BF12" i="79"/>
  <c r="L7" i="82" l="1"/>
  <c r="BA12" i="43"/>
  <c r="K53" i="82"/>
  <c r="AZ199" i="43"/>
  <c r="I26" i="82"/>
  <c r="AY199" i="43"/>
  <c r="AZ200" i="43"/>
  <c r="BA55" i="43"/>
  <c r="Z31" i="82" s="1"/>
  <c r="BA199" i="43"/>
  <c r="BA165" i="43"/>
  <c r="L53" i="82" s="1"/>
  <c r="BF11" i="43"/>
  <c r="BF53" i="43"/>
  <c r="BL12" i="79"/>
  <c r="BL9" i="43"/>
  <c r="AZ153" i="43"/>
  <c r="BA153" i="43" s="1"/>
  <c r="L44" i="82" s="1"/>
  <c r="AZ205" i="43"/>
  <c r="BA203" i="43"/>
  <c r="BA194" i="43"/>
  <c r="AY20" i="79"/>
  <c r="AY19" i="79" s="1"/>
  <c r="BF57" i="43"/>
  <c r="AY205" i="43"/>
  <c r="AY153" i="43"/>
  <c r="BI9" i="43"/>
  <c r="BI12" i="79"/>
  <c r="BE11" i="43"/>
  <c r="BG9" i="43"/>
  <c r="BE53" i="43"/>
  <c r="BK11" i="79"/>
  <c r="BM9" i="79"/>
  <c r="BM11" i="79" s="1"/>
  <c r="BM12" i="79" s="1"/>
  <c r="BM57" i="43" s="1"/>
  <c r="BB204" i="43"/>
  <c r="BB165" i="43" s="1"/>
  <c r="BB15" i="43"/>
  <c r="BB13" i="43" s="1"/>
  <c r="BB203" i="43"/>
  <c r="BB152" i="43" s="1"/>
  <c r="BB199" i="43" s="1"/>
  <c r="BB55" i="43"/>
  <c r="BE57" i="43"/>
  <c r="AY200" i="43"/>
  <c r="BH9" i="43"/>
  <c r="BH12" i="79"/>
  <c r="BD11" i="43"/>
  <c r="M7" i="82" s="1"/>
  <c r="BD53" i="43"/>
  <c r="BC204" i="43"/>
  <c r="BC165" i="43" s="1"/>
  <c r="BC202" i="43"/>
  <c r="BC55" i="43"/>
  <c r="BC203" i="43"/>
  <c r="BC152" i="43" s="1"/>
  <c r="BD152" i="43" s="1"/>
  <c r="M43" i="82" s="1"/>
  <c r="J26" i="82" l="1"/>
  <c r="BE136" i="43"/>
  <c r="BE90" i="43"/>
  <c r="BB200" i="43"/>
  <c r="BA198" i="43"/>
  <c r="BI53" i="43"/>
  <c r="BI11" i="43"/>
  <c r="BH57" i="43"/>
  <c r="BG11" i="43"/>
  <c r="N7" i="82" s="1"/>
  <c r="BG53" i="43"/>
  <c r="AY198" i="43"/>
  <c r="AZ198" i="43"/>
  <c r="BF204" i="43"/>
  <c r="BF165" i="43" s="1"/>
  <c r="BF203" i="43"/>
  <c r="BF152" i="43" s="1"/>
  <c r="BG152" i="43" s="1"/>
  <c r="N43" i="82" s="1"/>
  <c r="BF202" i="43"/>
  <c r="BF55" i="43"/>
  <c r="BA195" i="43"/>
  <c r="BA204" i="43"/>
  <c r="BJ9" i="43"/>
  <c r="BH11" i="43"/>
  <c r="BH53" i="43"/>
  <c r="BE15" i="43"/>
  <c r="BE13" i="43" s="1"/>
  <c r="BE202" i="43"/>
  <c r="BE55" i="43"/>
  <c r="BE204" i="43"/>
  <c r="BE165" i="43" s="1"/>
  <c r="BE203" i="43"/>
  <c r="BE152" i="43" s="1"/>
  <c r="BE199" i="43" s="1"/>
  <c r="AY196" i="43"/>
  <c r="BL11" i="43"/>
  <c r="BL53" i="43"/>
  <c r="BD55" i="43"/>
  <c r="AA31" i="82" s="1"/>
  <c r="BD199" i="43"/>
  <c r="BC153" i="43"/>
  <c r="BD153" i="43" s="1"/>
  <c r="BD193" i="43" s="1"/>
  <c r="BC205" i="43"/>
  <c r="BC199" i="43"/>
  <c r="BD165" i="43"/>
  <c r="M53" i="82" s="1"/>
  <c r="BB153" i="43"/>
  <c r="BB205" i="43"/>
  <c r="AZ206" i="43"/>
  <c r="AZ80" i="43" s="1"/>
  <c r="AZ196" i="43"/>
  <c r="BL57" i="43"/>
  <c r="BA200" i="43"/>
  <c r="BK9" i="43"/>
  <c r="BK12" i="79"/>
  <c r="BC200" i="43"/>
  <c r="BD194" i="43"/>
  <c r="BD203" i="43"/>
  <c r="BI57" i="43"/>
  <c r="AY18" i="79"/>
  <c r="BB21" i="79"/>
  <c r="BA193" i="43"/>
  <c r="BA202" i="43"/>
  <c r="M44" i="82" l="1"/>
  <c r="K26" i="82"/>
  <c r="BE200" i="43"/>
  <c r="AY206" i="43"/>
  <c r="AY80" i="43" s="1"/>
  <c r="BA80" i="43" s="1"/>
  <c r="BF200" i="43"/>
  <c r="BA205" i="43"/>
  <c r="BA206" i="43" s="1"/>
  <c r="BD200" i="43"/>
  <c r="BD198" i="43"/>
  <c r="BK57" i="43"/>
  <c r="BB198" i="43"/>
  <c r="BC198" i="43"/>
  <c r="BH55" i="43"/>
  <c r="BH202" i="43"/>
  <c r="BH204" i="43"/>
  <c r="BH165" i="43" s="1"/>
  <c r="BH15" i="43"/>
  <c r="BH203" i="43"/>
  <c r="BH152" i="43" s="1"/>
  <c r="BH199" i="43" s="1"/>
  <c r="BG203" i="43"/>
  <c r="BG194" i="43"/>
  <c r="BJ53" i="43"/>
  <c r="BJ11" i="43"/>
  <c r="BF199" i="43"/>
  <c r="BC206" i="43"/>
  <c r="BC80" i="43" s="1"/>
  <c r="BC196" i="43"/>
  <c r="BE205" i="43"/>
  <c r="BE153" i="43"/>
  <c r="BG165" i="43"/>
  <c r="N53" i="82" s="1"/>
  <c r="BG55" i="43"/>
  <c r="AB31" i="82" s="1"/>
  <c r="BG199" i="43"/>
  <c r="BM9" i="43"/>
  <c r="BK11" i="43"/>
  <c r="BK53" i="43"/>
  <c r="BD202" i="43"/>
  <c r="BL204" i="43"/>
  <c r="BL165" i="43" s="1"/>
  <c r="BL202" i="43"/>
  <c r="BL55" i="43"/>
  <c r="BL203" i="43"/>
  <c r="BL152" i="43" s="1"/>
  <c r="BM152" i="43" s="1"/>
  <c r="BI204" i="43"/>
  <c r="BI165" i="43" s="1"/>
  <c r="BI202" i="43"/>
  <c r="BI55" i="43"/>
  <c r="BI203" i="43"/>
  <c r="BI152" i="43" s="1"/>
  <c r="BJ152" i="43" s="1"/>
  <c r="BB20" i="79"/>
  <c r="BB19" i="79" s="1"/>
  <c r="BD195" i="43"/>
  <c r="BD204" i="43"/>
  <c r="BF205" i="43"/>
  <c r="BF153" i="43"/>
  <c r="BG153" i="43" s="1"/>
  <c r="BG193" i="43" s="1"/>
  <c r="AY24" i="79"/>
  <c r="AY25" i="43"/>
  <c r="BB196" i="43"/>
  <c r="AY26" i="79" l="1"/>
  <c r="AY30" i="43"/>
  <c r="N44" i="82"/>
  <c r="G70" i="83"/>
  <c r="L26" i="82"/>
  <c r="BB206" i="43"/>
  <c r="BB80" i="43" s="1"/>
  <c r="BD80" i="43" s="1"/>
  <c r="BA196" i="43"/>
  <c r="BI199" i="43"/>
  <c r="BJ165" i="43"/>
  <c r="BJ200" i="43" s="1"/>
  <c r="BG204" i="43"/>
  <c r="BG195" i="43"/>
  <c r="BB18" i="79"/>
  <c r="BE21" i="79"/>
  <c r="BJ194" i="43"/>
  <c r="BJ203" i="43"/>
  <c r="AY63" i="43"/>
  <c r="AY27" i="43"/>
  <c r="AY18" i="43" s="1"/>
  <c r="BI200" i="43"/>
  <c r="BD205" i="43"/>
  <c r="BE206" i="43" s="1"/>
  <c r="BE80" i="43" s="1"/>
  <c r="BM53" i="43"/>
  <c r="BM11" i="43"/>
  <c r="BG200" i="43"/>
  <c r="BF198" i="43"/>
  <c r="BK202" i="43"/>
  <c r="BK55" i="43"/>
  <c r="BK203" i="43"/>
  <c r="BK152" i="43" s="1"/>
  <c r="BL199" i="43" s="1"/>
  <c r="BK204" i="43"/>
  <c r="BK165" i="43" s="1"/>
  <c r="BK15" i="43"/>
  <c r="BM203" i="43"/>
  <c r="BL153" i="43"/>
  <c r="BM153" i="43" s="1"/>
  <c r="BL205" i="43"/>
  <c r="BE196" i="43"/>
  <c r="BH13" i="43"/>
  <c r="BG202" i="43"/>
  <c r="BG198" i="43"/>
  <c r="BJ199" i="43"/>
  <c r="BJ55" i="43"/>
  <c r="BH200" i="43"/>
  <c r="BH205" i="43"/>
  <c r="BH153" i="43"/>
  <c r="AY25" i="79"/>
  <c r="BF196" i="43"/>
  <c r="BF206" i="43"/>
  <c r="BF80" i="43" s="1"/>
  <c r="BI153" i="43"/>
  <c r="BJ153" i="43" s="1"/>
  <c r="BJ193" i="43" s="1"/>
  <c r="BI205" i="43"/>
  <c r="BM165" i="43"/>
  <c r="BE198" i="43"/>
  <c r="BM193" i="43" l="1"/>
  <c r="H70" i="83"/>
  <c r="M26" i="82"/>
  <c r="BG205" i="43"/>
  <c r="BH206" i="43" s="1"/>
  <c r="BH80" i="43" s="1"/>
  <c r="BI198" i="43"/>
  <c r="BJ198" i="43"/>
  <c r="BL200" i="43"/>
  <c r="BM198" i="43"/>
  <c r="BM199" i="43"/>
  <c r="BM200" i="43"/>
  <c r="BM55" i="43"/>
  <c r="BM194" i="43"/>
  <c r="BK153" i="43"/>
  <c r="BK205" i="43"/>
  <c r="BL206" i="43" s="1"/>
  <c r="BL80" i="43" s="1"/>
  <c r="BJ195" i="43"/>
  <c r="BJ204" i="43"/>
  <c r="BH198" i="43"/>
  <c r="BG80" i="43"/>
  <c r="BD206" i="43"/>
  <c r="BD196" i="43"/>
  <c r="BE20" i="79"/>
  <c r="BE19" i="79" s="1"/>
  <c r="BK199" i="43"/>
  <c r="BM204" i="43"/>
  <c r="BM195" i="43"/>
  <c r="BM202" i="43"/>
  <c r="AY112" i="43"/>
  <c r="AY77" i="43"/>
  <c r="BB25" i="43"/>
  <c r="BB24" i="79"/>
  <c r="BB26" i="79" s="1"/>
  <c r="BI196" i="43"/>
  <c r="BI206" i="43"/>
  <c r="BI80" i="43" s="1"/>
  <c r="BJ202" i="43"/>
  <c r="AY60" i="43"/>
  <c r="AY32" i="43"/>
  <c r="AY70" i="43" s="1"/>
  <c r="BH196" i="43"/>
  <c r="BL196" i="43"/>
  <c r="BK13" i="43"/>
  <c r="BK200" i="43"/>
  <c r="I70" i="83" l="1"/>
  <c r="N26" i="82"/>
  <c r="BG206" i="43"/>
  <c r="BG196" i="43"/>
  <c r="BJ80" i="43"/>
  <c r="J70" i="83" s="1"/>
  <c r="BJ205" i="43"/>
  <c r="BK206" i="43" s="1"/>
  <c r="BK80" i="43" s="1"/>
  <c r="BM80" i="43" s="1"/>
  <c r="K70" i="83" s="1"/>
  <c r="AY270" i="43"/>
  <c r="BB25" i="79"/>
  <c r="BB30" i="43"/>
  <c r="BM205" i="43"/>
  <c r="BE18" i="79"/>
  <c r="BH21" i="79"/>
  <c r="BK196" i="43"/>
  <c r="AY33" i="43"/>
  <c r="AY62" i="43" s="1"/>
  <c r="AY41" i="43"/>
  <c r="AY34" i="43"/>
  <c r="BB63" i="43"/>
  <c r="BB27" i="43"/>
  <c r="BL198" i="43"/>
  <c r="BK198" i="43"/>
  <c r="BJ196" i="43" l="1"/>
  <c r="BJ206" i="43"/>
  <c r="BH20" i="79"/>
  <c r="BH19" i="79" s="1"/>
  <c r="BM196" i="43"/>
  <c r="BM206" i="43"/>
  <c r="BB77" i="43"/>
  <c r="BB112" i="43"/>
  <c r="BB18" i="43"/>
  <c r="BB60" i="43"/>
  <c r="BB32" i="43"/>
  <c r="BB70" i="43" s="1"/>
  <c r="BE24" i="79"/>
  <c r="BE26" i="79" s="1"/>
  <c r="BE25" i="43"/>
  <c r="AY67" i="43"/>
  <c r="AY69" i="43" s="1"/>
  <c r="BB270" i="43" l="1"/>
  <c r="AY71" i="43"/>
  <c r="BE63" i="43"/>
  <c r="BE27" i="43"/>
  <c r="BE25" i="79"/>
  <c r="BE30" i="43"/>
  <c r="BB41" i="43"/>
  <c r="BB33" i="43"/>
  <c r="BB62" i="43" s="1"/>
  <c r="BB34" i="43"/>
  <c r="BH18" i="79"/>
  <c r="BK21" i="79"/>
  <c r="BK20" i="79" l="1"/>
  <c r="BK19" i="79" s="1"/>
  <c r="BK18" i="79" s="1"/>
  <c r="BE112" i="43"/>
  <c r="BE77" i="43"/>
  <c r="BE18" i="43"/>
  <c r="BH25" i="43"/>
  <c r="BH24" i="79"/>
  <c r="BH26" i="79" s="1"/>
  <c r="BB67" i="43"/>
  <c r="BB69" i="43" s="1"/>
  <c r="BB71" i="43" s="1"/>
  <c r="AY72" i="43"/>
  <c r="BE32" i="43"/>
  <c r="BE70" i="43" s="1"/>
  <c r="BE60" i="43"/>
  <c r="AY73" i="43" l="1"/>
  <c r="AY42" i="43"/>
  <c r="BB72" i="43"/>
  <c r="BE270" i="43"/>
  <c r="BH63" i="43"/>
  <c r="BH27" i="43"/>
  <c r="BE33" i="43"/>
  <c r="BE62" i="43" s="1"/>
  <c r="BE34" i="43"/>
  <c r="BE41" i="43"/>
  <c r="BH30" i="43"/>
  <c r="BH25" i="79"/>
  <c r="BK24" i="79"/>
  <c r="BK26" i="79" s="1"/>
  <c r="BK25" i="43"/>
  <c r="BH60" i="43" l="1"/>
  <c r="BH32" i="43"/>
  <c r="BH70" i="43" s="1"/>
  <c r="BE67" i="43"/>
  <c r="BE69" i="43" s="1"/>
  <c r="BH112" i="43"/>
  <c r="BH77" i="43"/>
  <c r="BH18" i="43"/>
  <c r="BK63" i="43"/>
  <c r="BK27" i="43"/>
  <c r="BB42" i="43"/>
  <c r="BB73" i="43"/>
  <c r="BK25" i="79"/>
  <c r="BK30" i="43"/>
  <c r="AY79" i="43"/>
  <c r="AY44" i="43"/>
  <c r="BH270" i="43" l="1"/>
  <c r="BK32" i="43"/>
  <c r="BK70" i="43" s="1"/>
  <c r="BK60" i="43"/>
  <c r="BH33" i="43"/>
  <c r="BH62" i="43" s="1"/>
  <c r="BH34" i="43"/>
  <c r="BH41" i="43"/>
  <c r="BB79" i="43"/>
  <c r="BB44" i="43"/>
  <c r="BK112" i="43"/>
  <c r="BK77" i="43"/>
  <c r="BK18" i="43"/>
  <c r="AY49" i="43"/>
  <c r="AY235" i="43"/>
  <c r="AY239" i="43" s="1"/>
  <c r="AY45" i="43"/>
  <c r="AY82" i="43"/>
  <c r="BE71" i="43"/>
  <c r="BB45" i="43" l="1"/>
  <c r="BB49" i="43"/>
  <c r="BB235" i="43"/>
  <c r="BB239" i="43" s="1"/>
  <c r="AY277" i="43"/>
  <c r="AY234" i="43"/>
  <c r="AY238" i="43" s="1"/>
  <c r="AY240" i="43" s="1"/>
  <c r="BK270" i="43"/>
  <c r="BH67" i="43"/>
  <c r="BH69" i="43" s="1"/>
  <c r="BB82" i="43"/>
  <c r="AY253" i="43"/>
  <c r="AY244" i="43"/>
  <c r="AY241" i="43"/>
  <c r="BE72" i="43"/>
  <c r="AY101" i="43"/>
  <c r="BK33" i="43"/>
  <c r="BK62" i="43" s="1"/>
  <c r="BK34" i="43"/>
  <c r="BK41" i="43"/>
  <c r="BK67" i="43" l="1"/>
  <c r="BK69" i="43" s="1"/>
  <c r="AY250" i="43"/>
  <c r="AY262" i="43"/>
  <c r="AY246" i="43"/>
  <c r="BB244" i="43"/>
  <c r="BB253" i="43"/>
  <c r="BB241" i="43"/>
  <c r="BE42" i="43"/>
  <c r="BE73" i="43"/>
  <c r="BH71" i="43"/>
  <c r="BB277" i="43"/>
  <c r="BB234" i="43"/>
  <c r="BB238" i="43" s="1"/>
  <c r="BB240" i="43" s="1"/>
  <c r="BE79" i="43" l="1"/>
  <c r="BE44" i="43"/>
  <c r="BB246" i="43"/>
  <c r="BB262" i="43"/>
  <c r="BB250" i="43"/>
  <c r="AY248" i="43"/>
  <c r="AY249" i="43"/>
  <c r="AY254" i="43"/>
  <c r="BH72" i="43"/>
  <c r="AY264" i="43"/>
  <c r="AZ266" i="43" s="1"/>
  <c r="BK71" i="43"/>
  <c r="BE49" i="43" l="1"/>
  <c r="BE235" i="43"/>
  <c r="BE239" i="43" s="1"/>
  <c r="BE45" i="43"/>
  <c r="AZ268" i="43"/>
  <c r="AZ92" i="43" s="1"/>
  <c r="BB248" i="43"/>
  <c r="BB249" i="43"/>
  <c r="BB254" i="43"/>
  <c r="BE82" i="43"/>
  <c r="BK72" i="43"/>
  <c r="BH42" i="43"/>
  <c r="BH73" i="43"/>
  <c r="BB264" i="43"/>
  <c r="BC266" i="43" s="1"/>
  <c r="BK73" i="43" l="1"/>
  <c r="BK42" i="43"/>
  <c r="BH79" i="43"/>
  <c r="BH44" i="43"/>
  <c r="BC268" i="43"/>
  <c r="BC92" i="43" s="1"/>
  <c r="BE277" i="43"/>
  <c r="BE234" i="43"/>
  <c r="BE238" i="43" s="1"/>
  <c r="BE240" i="43" s="1"/>
  <c r="BE101" i="43"/>
  <c r="AZ278" i="43"/>
  <c r="BE244" i="43"/>
  <c r="BE241" i="43"/>
  <c r="BE253" i="43"/>
  <c r="BH82" i="43" l="1"/>
  <c r="BC278" i="43"/>
  <c r="BH49" i="43"/>
  <c r="BH45" i="43"/>
  <c r="BH235" i="43"/>
  <c r="BH239" i="43" s="1"/>
  <c r="BE262" i="43"/>
  <c r="BE246" i="43"/>
  <c r="BE250" i="43"/>
  <c r="BK79" i="43"/>
  <c r="BK44" i="43"/>
  <c r="BE249" i="43" l="1"/>
  <c r="BE248" i="43"/>
  <c r="BE254" i="43"/>
  <c r="BK235" i="43"/>
  <c r="BK239" i="43" s="1"/>
  <c r="BK49" i="43"/>
  <c r="BK45" i="43"/>
  <c r="BK82" i="43"/>
  <c r="BH253" i="43"/>
  <c r="BH244" i="43"/>
  <c r="BH241" i="43"/>
  <c r="BE264" i="43"/>
  <c r="BF266" i="43" s="1"/>
  <c r="BH234" i="43"/>
  <c r="BH238" i="43" s="1"/>
  <c r="BH240" i="43" s="1"/>
  <c r="BH277" i="43"/>
  <c r="BK234" i="43" l="1"/>
  <c r="BK238" i="43" s="1"/>
  <c r="BK240" i="43" s="1"/>
  <c r="BK277" i="43"/>
  <c r="BK101" i="43"/>
  <c r="BK253" i="43"/>
  <c r="BK244" i="43"/>
  <c r="BK241" i="43"/>
  <c r="BF268" i="43"/>
  <c r="BF92" i="43" s="1"/>
  <c r="BH246" i="43"/>
  <c r="BH250" i="43"/>
  <c r="BH262" i="43"/>
  <c r="BK262" i="43" l="1"/>
  <c r="BK246" i="43"/>
  <c r="BK250" i="43"/>
  <c r="BH264" i="43"/>
  <c r="BI266" i="43" s="1"/>
  <c r="BH248" i="43"/>
  <c r="BH249" i="43"/>
  <c r="BH254" i="43"/>
  <c r="BF278" i="43"/>
  <c r="BK264" i="43" l="1"/>
  <c r="BL266" i="43" s="1"/>
  <c r="BI268" i="43"/>
  <c r="BI92" i="43" s="1"/>
  <c r="BK248" i="43"/>
  <c r="BK254" i="43"/>
  <c r="BK249" i="43"/>
  <c r="BI278" i="43" l="1"/>
  <c r="BL268" i="43"/>
  <c r="BL92" i="43" s="1"/>
  <c r="BL278" i="43" l="1"/>
  <c r="AO22" i="43"/>
  <c r="AO23" i="43" s="1"/>
  <c r="AN22" i="43"/>
  <c r="AN23" i="43" s="1"/>
  <c r="AN84" i="43" s="1"/>
  <c r="AN11" i="78"/>
  <c r="AN16" i="78"/>
  <c r="AO16" i="78" l="1"/>
  <c r="AN20" i="78"/>
  <c r="AN23" i="78"/>
  <c r="AN139" i="43"/>
  <c r="AO84" i="43"/>
  <c r="AO85" i="43" s="1"/>
  <c r="AN85" i="43" s="1"/>
  <c r="AN86" i="43" s="1"/>
  <c r="AN90" i="43" s="1"/>
  <c r="AO271" i="43"/>
  <c r="AO270" i="43" s="1"/>
  <c r="H9" i="82"/>
  <c r="AN271" i="43"/>
  <c r="AN270" i="43" s="1"/>
  <c r="AN141" i="43"/>
  <c r="AN17" i="78"/>
  <c r="AO17" i="78"/>
  <c r="AN31" i="43"/>
  <c r="H29" i="82" l="1"/>
  <c r="AO133" i="43"/>
  <c r="V57" i="82" s="1"/>
  <c r="H30" i="82"/>
  <c r="AO20" i="78"/>
  <c r="AO23" i="78"/>
  <c r="AO90" i="43"/>
  <c r="H32" i="82" s="1"/>
  <c r="AN142" i="43"/>
  <c r="AO141" i="43"/>
  <c r="AO142" i="43" s="1"/>
  <c r="AN136" i="43"/>
  <c r="AN61" i="43"/>
  <c r="AO31" i="43"/>
  <c r="AN32" i="43"/>
  <c r="H31" i="82" l="1"/>
  <c r="AO61" i="43"/>
  <c r="V40" i="82"/>
  <c r="V41" i="82" s="1"/>
  <c r="AO32" i="43"/>
  <c r="AN140" i="43"/>
  <c r="AO136" i="43"/>
  <c r="AN33" i="43"/>
  <c r="AN62" i="43" s="1"/>
  <c r="AN34" i="43"/>
  <c r="AO138" i="43" l="1"/>
  <c r="T8" i="83"/>
  <c r="H10" i="82"/>
  <c r="V56" i="82" s="1"/>
  <c r="AO34" i="43"/>
  <c r="AO33" i="43"/>
  <c r="I30" i="82"/>
  <c r="I9" i="82" l="1"/>
  <c r="J30" i="82"/>
  <c r="BA11" i="78"/>
  <c r="AZ9" i="78"/>
  <c r="AZ139" i="43" s="1"/>
  <c r="AO62" i="43"/>
  <c r="H47" i="82"/>
  <c r="H51" i="82" s="1"/>
  <c r="AO162" i="43"/>
  <c r="J9" i="82" l="1"/>
  <c r="BA9" i="78"/>
  <c r="AZ22" i="43"/>
  <c r="AZ23" i="43" s="1"/>
  <c r="AZ84" i="43" s="1"/>
  <c r="AZ16" i="78"/>
  <c r="BC9" i="78"/>
  <c r="BC139" i="43" s="1"/>
  <c r="W40" i="82"/>
  <c r="I29" i="82"/>
  <c r="W57" i="82"/>
  <c r="AZ86" i="43" l="1"/>
  <c r="BA86" i="43" s="1"/>
  <c r="BA84" i="43"/>
  <c r="L29" i="82" s="1"/>
  <c r="K9" i="82"/>
  <c r="BA22" i="43"/>
  <c r="BA23" i="43" s="1"/>
  <c r="BA24" i="43" s="1"/>
  <c r="BA139" i="43"/>
  <c r="G69" i="83" s="1"/>
  <c r="BA16" i="78"/>
  <c r="BA17" i="78" s="1"/>
  <c r="AZ17" i="78"/>
  <c r="AZ31" i="43"/>
  <c r="BD9" i="78"/>
  <c r="BC22" i="43"/>
  <c r="BC23" i="43" s="1"/>
  <c r="BC84" i="43" s="1"/>
  <c r="BC16" i="78"/>
  <c r="AZ271" i="43"/>
  <c r="AZ141" i="43"/>
  <c r="BF9" i="78"/>
  <c r="BF139" i="43" s="1"/>
  <c r="I32" i="82"/>
  <c r="I31" i="82" s="1"/>
  <c r="X40" i="82"/>
  <c r="BA271" i="43" l="1"/>
  <c r="L9" i="82"/>
  <c r="BC86" i="43"/>
  <c r="BD86" i="43" s="1"/>
  <c r="BD84" i="43"/>
  <c r="M29" i="82" s="1"/>
  <c r="Y40" i="82"/>
  <c r="BD22" i="43"/>
  <c r="BD23" i="43" s="1"/>
  <c r="BD24" i="43" s="1"/>
  <c r="BD139" i="43"/>
  <c r="H69" i="83" s="1"/>
  <c r="BA141" i="43"/>
  <c r="BA142" i="43" s="1"/>
  <c r="AZ142" i="43"/>
  <c r="BI9" i="78"/>
  <c r="BI139" i="43" s="1"/>
  <c r="BF22" i="43"/>
  <c r="BF23" i="43" s="1"/>
  <c r="BF84" i="43" s="1"/>
  <c r="BG9" i="78"/>
  <c r="BF16" i="78"/>
  <c r="BC17" i="78"/>
  <c r="BD16" i="78"/>
  <c r="BD17" i="78" s="1"/>
  <c r="BC31" i="43"/>
  <c r="BC141" i="43"/>
  <c r="BC271" i="43"/>
  <c r="BA31" i="43"/>
  <c r="AZ61" i="43"/>
  <c r="M9" i="82" l="1"/>
  <c r="Z40" i="82"/>
  <c r="BF86" i="43"/>
  <c r="BG86" i="43" s="1"/>
  <c r="BG84" i="43"/>
  <c r="N29" i="82" s="1"/>
  <c r="BD271" i="43"/>
  <c r="BG22" i="43"/>
  <c r="BG23" i="43" s="1"/>
  <c r="N9" i="82" s="1"/>
  <c r="BG139" i="43"/>
  <c r="I69" i="83" s="1"/>
  <c r="BA61" i="43"/>
  <c r="BC142" i="43"/>
  <c r="BD141" i="43"/>
  <c r="BD142" i="43" s="1"/>
  <c r="BF17" i="78"/>
  <c r="BG16" i="78"/>
  <c r="BG17" i="78" s="1"/>
  <c r="BF31" i="43"/>
  <c r="BC61" i="43"/>
  <c r="BD31" i="43"/>
  <c r="BI22" i="43"/>
  <c r="BI23" i="43" s="1"/>
  <c r="BI84" i="43" s="1"/>
  <c r="BJ9" i="78"/>
  <c r="BI16" i="78"/>
  <c r="BF141" i="43"/>
  <c r="BF271" i="43"/>
  <c r="BL9" i="78"/>
  <c r="BL139" i="43" s="1"/>
  <c r="BG271" i="43" l="1"/>
  <c r="BG24" i="43"/>
  <c r="AA40" i="82"/>
  <c r="BI86" i="43"/>
  <c r="BJ86" i="43" s="1"/>
  <c r="BJ84" i="43"/>
  <c r="BJ22" i="43"/>
  <c r="BJ23" i="43" s="1"/>
  <c r="BJ139" i="43"/>
  <c r="J69" i="83" s="1"/>
  <c r="BF142" i="43"/>
  <c r="BG141" i="43"/>
  <c r="BG142" i="43" s="1"/>
  <c r="BF61" i="43"/>
  <c r="BG31" i="43"/>
  <c r="BC90" i="43"/>
  <c r="BC136" i="43"/>
  <c r="BD61" i="43"/>
  <c r="BI141" i="43"/>
  <c r="BI271" i="43"/>
  <c r="BL22" i="43"/>
  <c r="BL23" i="43" s="1"/>
  <c r="BL84" i="43" s="1"/>
  <c r="BM9" i="78"/>
  <c r="BL16" i="78"/>
  <c r="BJ16" i="78"/>
  <c r="BJ17" i="78" s="1"/>
  <c r="BI17" i="78"/>
  <c r="BI31" i="43"/>
  <c r="AB40" i="82" l="1"/>
  <c r="BL86" i="43"/>
  <c r="BM86" i="43" s="1"/>
  <c r="BM84" i="43"/>
  <c r="BJ271" i="43"/>
  <c r="BM22" i="43"/>
  <c r="BM23" i="43" s="1"/>
  <c r="BM271" i="43" s="1"/>
  <c r="BM139" i="43"/>
  <c r="K69" i="83" s="1"/>
  <c r="L69" i="83" s="1"/>
  <c r="BI61" i="43"/>
  <c r="BJ31" i="43"/>
  <c r="BM16" i="78"/>
  <c r="BM17" i="78" s="1"/>
  <c r="BL17" i="78"/>
  <c r="BL31" i="43"/>
  <c r="BG61" i="43"/>
  <c r="BL271" i="43"/>
  <c r="BL141" i="43"/>
  <c r="BJ141" i="43"/>
  <c r="BJ142" i="43" s="1"/>
  <c r="BI142" i="43"/>
  <c r="BI136" i="43" l="1"/>
  <c r="BI90" i="43"/>
  <c r="BL142" i="43"/>
  <c r="BM141" i="43"/>
  <c r="BM142" i="43" s="1"/>
  <c r="BJ61" i="43"/>
  <c r="BL61" i="43"/>
  <c r="BM31" i="43"/>
  <c r="BM61" i="43" l="1"/>
  <c r="AN15" i="43" l="1"/>
  <c r="AN16" i="43" s="1"/>
  <c r="AN18" i="43"/>
  <c r="AN120" i="43" l="1"/>
  <c r="AO112" i="43"/>
  <c r="V47" i="82" s="1"/>
  <c r="AO120" i="43"/>
  <c r="AN112" i="43"/>
  <c r="AN41" i="43"/>
  <c r="AO41" i="43"/>
  <c r="H11" i="82"/>
  <c r="AN67" i="43" l="1"/>
  <c r="AN69" i="43" s="1"/>
  <c r="H12" i="82"/>
  <c r="AO67" i="43"/>
  <c r="H24" i="82" l="1"/>
  <c r="AO69" i="43"/>
  <c r="BC16" i="43" l="1"/>
  <c r="AZ15" i="43"/>
  <c r="AN44" i="43"/>
  <c r="AZ13" i="43" l="1"/>
  <c r="BA15" i="43"/>
  <c r="BA16" i="43" s="1"/>
  <c r="BF16" i="43"/>
  <c r="BC15" i="43"/>
  <c r="AO44" i="43"/>
  <c r="AN45" i="43"/>
  <c r="AN49" i="43"/>
  <c r="AN235" i="43"/>
  <c r="AN239" i="43" s="1"/>
  <c r="H13" i="82"/>
  <c r="BC13" i="43" l="1"/>
  <c r="BD15" i="43"/>
  <c r="BD16" i="43" s="1"/>
  <c r="BI16" i="43"/>
  <c r="BF15" i="43"/>
  <c r="BA13" i="43"/>
  <c r="H25" i="82"/>
  <c r="AN253" i="43"/>
  <c r="AN241" i="43"/>
  <c r="AN244" i="43"/>
  <c r="AN234" i="43"/>
  <c r="AN238" i="43" s="1"/>
  <c r="AN277" i="43"/>
  <c r="AO49" i="43"/>
  <c r="AO235" i="43"/>
  <c r="AO239" i="43" s="1"/>
  <c r="AO45" i="43"/>
  <c r="H14" i="82"/>
  <c r="H16" i="82" s="1"/>
  <c r="BF13" i="43" l="1"/>
  <c r="BG15" i="43"/>
  <c r="BG16" i="43" s="1"/>
  <c r="BL16" i="43"/>
  <c r="BL15" i="43" s="1"/>
  <c r="BI15" i="43"/>
  <c r="BD13" i="43"/>
  <c r="AO244" i="43"/>
  <c r="AO257" i="43"/>
  <c r="AO259" i="43" s="1"/>
  <c r="AN246" i="43"/>
  <c r="AN262" i="43"/>
  <c r="AN250" i="43"/>
  <c r="V28" i="82"/>
  <c r="T9" i="83"/>
  <c r="AO241" i="43"/>
  <c r="V32" i="82" s="1"/>
  <c r="AO253" i="43"/>
  <c r="AO101" i="43"/>
  <c r="H28" i="82"/>
  <c r="AN279" i="43"/>
  <c r="AN280" i="43" s="1"/>
  <c r="AN217" i="43"/>
  <c r="AO234" i="43"/>
  <c r="AO238" i="43" s="1"/>
  <c r="AO277" i="43"/>
  <c r="AN240" i="43"/>
  <c r="H19" i="82" l="1"/>
  <c r="BI13" i="43"/>
  <c r="BJ15" i="43"/>
  <c r="BJ16" i="43" s="1"/>
  <c r="BL13" i="43"/>
  <c r="BM15" i="43"/>
  <c r="BM16" i="43" s="1"/>
  <c r="BG13" i="43"/>
  <c r="AN264" i="43"/>
  <c r="AO262" i="43"/>
  <c r="AO264" i="43" s="1"/>
  <c r="AP266" i="43" s="1"/>
  <c r="V33" i="82"/>
  <c r="AN249" i="43"/>
  <c r="AN254" i="43"/>
  <c r="AN248" i="43"/>
  <c r="AO279" i="43"/>
  <c r="AO280" i="43" s="1"/>
  <c r="H67" i="82"/>
  <c r="AO217" i="43"/>
  <c r="V52" i="82" s="1"/>
  <c r="AO240" i="43"/>
  <c r="H17" i="82"/>
  <c r="AO246" i="43"/>
  <c r="AO250" i="43"/>
  <c r="AO252" i="43"/>
  <c r="AP268" i="43" l="1"/>
  <c r="AR266" i="43"/>
  <c r="AR268" i="43" s="1"/>
  <c r="AP275" i="43"/>
  <c r="AP280" i="43" s="1"/>
  <c r="AQ275" i="43" s="1"/>
  <c r="AR275" i="43"/>
  <c r="BM13" i="43"/>
  <c r="BJ13" i="43"/>
  <c r="AO249" i="43"/>
  <c r="V34" i="82" s="1"/>
  <c r="AO248" i="43"/>
  <c r="AO254" i="43"/>
  <c r="V35" i="82" s="1"/>
  <c r="H18" i="82"/>
  <c r="I33" i="82" l="1"/>
  <c r="H26" i="82" l="1"/>
  <c r="H27" i="82" s="1"/>
  <c r="AO81" i="43"/>
  <c r="AN81" i="43" s="1"/>
  <c r="AN82" i="43" l="1"/>
  <c r="AN101" i="43" l="1"/>
  <c r="AN97" i="43" l="1"/>
  <c r="AN98" i="43" s="1"/>
  <c r="H35" i="82" l="1"/>
  <c r="H37" i="82" s="1"/>
  <c r="H39" i="82" s="1"/>
  <c r="AO97" i="43"/>
  <c r="AO98" i="43" s="1"/>
  <c r="AO155" i="43" l="1"/>
  <c r="H42" i="82"/>
  <c r="H46" i="82" s="1"/>
  <c r="H52" i="82" s="1"/>
  <c r="AO126" i="43"/>
  <c r="AO127" i="43" s="1"/>
  <c r="AO128" i="43" s="1"/>
  <c r="AO106" i="43"/>
  <c r="AN106" i="43" s="1"/>
  <c r="AN126" i="43" s="1"/>
  <c r="AN127" i="43" s="1"/>
  <c r="AN129" i="43" s="1"/>
  <c r="AO163" i="43" l="1"/>
  <c r="AP215" i="43" s="1"/>
  <c r="AN155" i="43"/>
  <c r="AN163" i="43" s="1"/>
  <c r="AN215" i="43" s="1"/>
  <c r="AN131" i="43"/>
  <c r="AO129" i="43"/>
  <c r="AO131" i="43" s="1"/>
  <c r="AN122" i="43"/>
  <c r="AO215" i="43" l="1"/>
  <c r="V51" i="82" s="1"/>
  <c r="AO122" i="43"/>
  <c r="H54" i="82" l="1"/>
  <c r="H57" i="82" s="1"/>
  <c r="AN167" i="43"/>
  <c r="AN171" i="43" l="1"/>
  <c r="AN107" i="43"/>
  <c r="AN109" i="43" l="1"/>
  <c r="AN116" i="43"/>
  <c r="AN118" i="43" s="1"/>
  <c r="AN119" i="43" s="1"/>
  <c r="AO107" i="43" l="1"/>
  <c r="H58" i="82"/>
  <c r="AN210" i="43"/>
  <c r="AN216" i="43" s="1"/>
  <c r="AN110" i="43"/>
  <c r="AN113" i="43"/>
  <c r="I54" i="82"/>
  <c r="I57" i="82" s="1"/>
  <c r="AO116" i="43" l="1"/>
  <c r="AR115" i="43" s="1"/>
  <c r="AR118" i="43" s="1"/>
  <c r="AR119" i="43" s="1"/>
  <c r="AO109" i="43"/>
  <c r="AR110" i="43" s="1"/>
  <c r="AP115" i="43" l="1"/>
  <c r="AP118" i="43" s="1"/>
  <c r="AP119" i="43" s="1"/>
  <c r="AO210" i="43"/>
  <c r="AO110" i="43"/>
  <c r="AO113" i="43"/>
  <c r="V48" i="82" s="1"/>
  <c r="V44" i="82"/>
  <c r="AO118" i="43"/>
  <c r="AO119" i="43" s="1"/>
  <c r="AO216" i="43" l="1"/>
  <c r="AP216" i="43"/>
  <c r="J54" i="82"/>
  <c r="J57" i="82" s="1"/>
  <c r="K54" i="82" l="1"/>
  <c r="K57" i="82" s="1"/>
  <c r="AY167" i="43" l="1"/>
  <c r="AZ167" i="43" l="1"/>
  <c r="AY171" i="43"/>
  <c r="BA167" i="43" l="1"/>
  <c r="L54" i="82" s="1"/>
  <c r="L57" i="82" s="1"/>
  <c r="AZ171" i="43"/>
  <c r="BB167" i="43" l="1"/>
  <c r="BA171" i="43"/>
  <c r="BB171" i="43" l="1"/>
  <c r="BC167" i="43"/>
  <c r="BD167" i="43" l="1"/>
  <c r="M54" i="82" s="1"/>
  <c r="M57" i="82" s="1"/>
  <c r="BC171" i="43"/>
  <c r="BE167" i="43" l="1"/>
  <c r="BD171" i="43"/>
  <c r="BE171" i="43" l="1"/>
  <c r="BF167" i="43"/>
  <c r="BG167" i="43" l="1"/>
  <c r="N54" i="82" s="1"/>
  <c r="N57" i="82" s="1"/>
  <c r="BF171" i="43"/>
  <c r="BH167" i="43" l="1"/>
  <c r="BG171" i="43"/>
  <c r="BI167" i="43" l="1"/>
  <c r="BH171" i="43"/>
  <c r="BJ167" i="43" l="1"/>
  <c r="BI171" i="43"/>
  <c r="BJ171" i="43" l="1"/>
  <c r="BK167" i="43"/>
  <c r="BL167" i="43" l="1"/>
  <c r="BK171" i="43"/>
  <c r="BM167" i="43" l="1"/>
  <c r="BL171" i="43"/>
  <c r="BM171" i="43" l="1"/>
  <c r="AO179" i="43" l="1"/>
  <c r="AO180" i="43" s="1"/>
  <c r="AO181" i="43" s="1"/>
  <c r="AO209" i="43" s="1"/>
  <c r="H60" i="82"/>
  <c r="H61" i="82" s="1"/>
  <c r="H62" i="82" s="1"/>
  <c r="H63" i="82" s="1"/>
  <c r="AN178" i="43"/>
  <c r="AN179" i="43" s="1"/>
  <c r="AN180" i="43" s="1"/>
  <c r="AN181" i="43" s="1"/>
  <c r="AN209" i="43" l="1"/>
  <c r="I60" i="82" l="1"/>
  <c r="J60" i="82" l="1"/>
  <c r="K60" i="82" l="1"/>
  <c r="AY178" i="43" l="1"/>
  <c r="AZ178" i="43" l="1"/>
  <c r="BA178" i="43" l="1"/>
  <c r="L60" i="82" s="1"/>
  <c r="BB178" i="43" l="1"/>
  <c r="BC178" i="43" l="1"/>
  <c r="BD178" i="43" l="1"/>
  <c r="M60" i="82" s="1"/>
  <c r="BE178" i="43" l="1"/>
  <c r="BF178" i="43" l="1"/>
  <c r="BG178" i="43" l="1"/>
  <c r="N60" i="82" s="1"/>
  <c r="BH178" i="43" l="1"/>
  <c r="BI178" i="43" l="1"/>
  <c r="BJ178" i="43" l="1"/>
  <c r="BK178" i="43" l="1"/>
  <c r="BL178" i="43" l="1"/>
  <c r="BM178" i="43" l="1"/>
  <c r="AO187" i="43" l="1"/>
  <c r="AO211" i="43" s="1"/>
  <c r="V46" i="82" s="1"/>
  <c r="AN187" i="43"/>
  <c r="H68" i="82"/>
  <c r="H69" i="82" s="1"/>
  <c r="AO212" i="43" l="1"/>
  <c r="V45" i="82" s="1"/>
  <c r="AO188" i="43"/>
  <c r="AO189" i="43"/>
  <c r="AN211" i="43"/>
  <c r="AN212" i="43"/>
  <c r="AN188" i="43"/>
  <c r="D89" i="83" l="1"/>
  <c r="I68" i="82"/>
  <c r="J68" i="82" l="1"/>
  <c r="K68" i="82" l="1"/>
  <c r="AY186" i="43" l="1"/>
  <c r="AZ186" i="43" l="1"/>
  <c r="BA186" i="43" l="1"/>
  <c r="L68" i="82" s="1"/>
  <c r="BB186" i="43" l="1"/>
  <c r="BC186" i="43" l="1"/>
  <c r="BD186" i="43" l="1"/>
  <c r="M68" i="82" s="1"/>
  <c r="BE186" i="43" l="1"/>
  <c r="BF186" i="43" l="1"/>
  <c r="BG186" i="43" l="1"/>
  <c r="N68" i="82" s="1"/>
  <c r="BH186" i="43" l="1"/>
  <c r="BI186" i="43" l="1"/>
  <c r="BJ186" i="43" l="1"/>
  <c r="BK186" i="43" l="1"/>
  <c r="BL186" i="43" l="1"/>
  <c r="BM186" i="43" l="1"/>
  <c r="AO70" i="43" l="1"/>
  <c r="AO73" i="43"/>
  <c r="V36" i="82" l="1"/>
  <c r="AN73" i="43" l="1"/>
  <c r="AN70" i="43"/>
  <c r="AN71" i="43" s="1"/>
  <c r="AO71" i="43" s="1"/>
  <c r="I47" i="82" l="1"/>
  <c r="I51" i="82" s="1"/>
  <c r="J47" i="82"/>
  <c r="J51" i="82" s="1"/>
  <c r="I8" i="82" l="1"/>
  <c r="W55" i="82" s="1"/>
  <c r="U7" i="83"/>
  <c r="W47" i="82"/>
  <c r="I13" i="82" l="1"/>
  <c r="I25" i="82" l="1"/>
  <c r="I28" i="82" l="1"/>
  <c r="I67" i="82" l="1"/>
  <c r="I69" i="82" s="1"/>
  <c r="I35" i="82"/>
  <c r="I37" i="82" s="1"/>
  <c r="I39" i="82" s="1"/>
  <c r="W33" i="82"/>
  <c r="I58" i="82" l="1"/>
  <c r="I61" i="82" s="1"/>
  <c r="I62" i="82" s="1"/>
  <c r="I42" i="82"/>
  <c r="I46" i="82" s="1"/>
  <c r="I52" i="82" s="1"/>
  <c r="I63" i="82" l="1"/>
  <c r="W51" i="82"/>
  <c r="W48" i="82" l="1"/>
  <c r="W45" i="82"/>
  <c r="W44" i="82"/>
  <c r="W46" i="82"/>
  <c r="X57" i="82" l="1"/>
  <c r="J29" i="82"/>
  <c r="J32" i="82" l="1"/>
  <c r="J31" i="82" l="1"/>
  <c r="K32" i="82" l="1"/>
  <c r="AZ136" i="43"/>
  <c r="BA136" i="43" s="1"/>
  <c r="AZ90" i="43"/>
  <c r="BA90" i="43" l="1"/>
  <c r="G71" i="83"/>
  <c r="L32" i="82" l="1"/>
  <c r="BB101" i="43"/>
  <c r="BB90" i="43"/>
  <c r="BB136" i="43"/>
  <c r="L31" i="82" l="1"/>
  <c r="BD136" i="43"/>
  <c r="H71" i="83"/>
  <c r="BD90" i="43"/>
  <c r="M32" i="82" s="1"/>
  <c r="M31" i="82" s="1"/>
  <c r="BF90" i="43" l="1"/>
  <c r="BF136" i="43"/>
  <c r="BG136" i="43" s="1"/>
  <c r="BH101" i="43" l="1"/>
  <c r="BH90" i="43" l="1"/>
  <c r="BH136" i="43"/>
  <c r="BG90" i="43"/>
  <c r="N32" i="82" s="1"/>
  <c r="N31" i="82" s="1"/>
  <c r="I71" i="83"/>
  <c r="J71" i="83" l="1"/>
  <c r="BJ90" i="43"/>
  <c r="BJ136" i="43"/>
  <c r="BL90" i="43" l="1"/>
  <c r="BL136" i="43"/>
  <c r="BM136" i="43" s="1"/>
  <c r="K71" i="83" l="1"/>
  <c r="BM90" i="43"/>
  <c r="L71" i="83" l="1"/>
  <c r="AQ25" i="79" l="1"/>
  <c r="AQ28" i="79"/>
  <c r="AQ25" i="43"/>
  <c r="AQ31" i="79"/>
  <c r="AQ34" i="43" l="1"/>
  <c r="AQ27" i="43"/>
  <c r="AQ63" i="43"/>
  <c r="AQ60" i="43"/>
  <c r="AQ33" i="43"/>
  <c r="AQ62" i="43" s="1"/>
  <c r="AQ44" i="43"/>
  <c r="AT45" i="43" s="1"/>
  <c r="AQ67" i="43" l="1"/>
  <c r="W39" i="82"/>
  <c r="W41" i="82" s="1"/>
  <c r="AR60" i="43"/>
  <c r="AQ216" i="43"/>
  <c r="AQ112" i="43"/>
  <c r="AQ18" i="43"/>
  <c r="AQ113" i="43"/>
  <c r="AQ215" i="43"/>
  <c r="AQ65" i="43"/>
  <c r="AQ77" i="43"/>
  <c r="AR77" i="43" l="1"/>
  <c r="AQ270" i="43"/>
  <c r="AQ49" i="43"/>
  <c r="AQ235" i="43"/>
  <c r="AQ239" i="43" s="1"/>
  <c r="AT241" i="43" s="1"/>
  <c r="AQ45" i="43"/>
  <c r="AQ217" i="43"/>
  <c r="AR33" i="43"/>
  <c r="U8" i="83"/>
  <c r="AR34" i="43"/>
  <c r="I10" i="82"/>
  <c r="W56" i="82" s="1"/>
  <c r="AQ73" i="43"/>
  <c r="AQ69" i="43"/>
  <c r="AR69" i="43" l="1"/>
  <c r="AR70" i="43" s="1"/>
  <c r="W36" i="82" s="1"/>
  <c r="AQ70" i="43"/>
  <c r="AQ71" i="43" s="1"/>
  <c r="AR71" i="43" s="1"/>
  <c r="AQ277" i="43"/>
  <c r="AQ234" i="43"/>
  <c r="AQ238" i="43" s="1"/>
  <c r="AR62" i="43"/>
  <c r="I12" i="82"/>
  <c r="AR67" i="43"/>
  <c r="AR73" i="43" s="1"/>
  <c r="AR81" i="43"/>
  <c r="AQ81" i="43" s="1"/>
  <c r="AQ82" i="43" s="1"/>
  <c r="I23" i="82"/>
  <c r="I27" i="82" s="1"/>
  <c r="AR270" i="43"/>
  <c r="AR235" i="43"/>
  <c r="AR239" i="43" s="1"/>
  <c r="AR217" i="43"/>
  <c r="W52" i="82" s="1"/>
  <c r="AR45" i="43"/>
  <c r="I14" i="82"/>
  <c r="I16" i="82" s="1"/>
  <c r="AQ241" i="43"/>
  <c r="AQ253" i="43"/>
  <c r="AU241" i="43" l="1"/>
  <c r="AQ279" i="43"/>
  <c r="AQ280" i="43" s="1"/>
  <c r="AQ98" i="43"/>
  <c r="AQ101" i="43"/>
  <c r="W28" i="82"/>
  <c r="U9" i="83"/>
  <c r="AR241" i="43"/>
  <c r="W32" i="82" s="1"/>
  <c r="AR253" i="43"/>
  <c r="AR234" i="43"/>
  <c r="AR238" i="43" s="1"/>
  <c r="AU240" i="43" s="1"/>
  <c r="AR277" i="43"/>
  <c r="AQ240" i="43"/>
  <c r="AR279" i="43" l="1"/>
  <c r="AR280" i="43" s="1"/>
  <c r="I17" i="82"/>
  <c r="AR240" i="43"/>
  <c r="AS275" i="43" l="1"/>
  <c r="AU275" i="43"/>
  <c r="AU280" i="43" s="1"/>
  <c r="AV275" i="43" l="1"/>
  <c r="AV280" i="43" s="1"/>
  <c r="AW275" i="43" s="1"/>
  <c r="AX275" i="43"/>
  <c r="AX280" i="43" s="1"/>
  <c r="AZ21" i="79"/>
  <c r="AX25" i="43" l="1"/>
  <c r="BA21" i="79"/>
  <c r="AZ20" i="79"/>
  <c r="AZ19" i="79" s="1"/>
  <c r="AX27" i="43" l="1"/>
  <c r="AX63" i="43"/>
  <c r="AZ18" i="79"/>
  <c r="BC21" i="79"/>
  <c r="AX30" i="43"/>
  <c r="AX32" i="43" l="1"/>
  <c r="AX41" i="43"/>
  <c r="AX67" i="43" s="1"/>
  <c r="AX42" i="43"/>
  <c r="AX34" i="43"/>
  <c r="AW32" i="43"/>
  <c r="AX33" i="43"/>
  <c r="AX62" i="43" s="1"/>
  <c r="AX112" i="43"/>
  <c r="AX113" i="43"/>
  <c r="AX215" i="43"/>
  <c r="AX216" i="43"/>
  <c r="AX65" i="43"/>
  <c r="AX18" i="43"/>
  <c r="AW30" i="43"/>
  <c r="AW60" i="43" s="1"/>
  <c r="AX60" i="43"/>
  <c r="BC20" i="79"/>
  <c r="BC19" i="79" s="1"/>
  <c r="BD21" i="79"/>
  <c r="X39" i="82"/>
  <c r="X41" i="82" s="1"/>
  <c r="J8" i="82"/>
  <c r="X55" i="82" s="1"/>
  <c r="X47" i="82"/>
  <c r="V7" i="83"/>
  <c r="AZ25" i="43"/>
  <c r="AZ24" i="79"/>
  <c r="AZ26" i="79" s="1"/>
  <c r="BA18" i="79"/>
  <c r="AW34" i="43" l="1"/>
  <c r="AW41" i="43"/>
  <c r="AW33" i="43"/>
  <c r="AW62" i="43" s="1"/>
  <c r="AX72" i="43"/>
  <c r="AX73" i="43" s="1"/>
  <c r="AW42" i="43"/>
  <c r="AW72" i="43" s="1"/>
  <c r="V8" i="83"/>
  <c r="J10" i="82"/>
  <c r="X56" i="82" s="1"/>
  <c r="BC18" i="79"/>
  <c r="BF21" i="79"/>
  <c r="BA25" i="43"/>
  <c r="BA19" i="79"/>
  <c r="BA20" i="79" s="1"/>
  <c r="BA22" i="79" s="1"/>
  <c r="BA24" i="79"/>
  <c r="AZ25" i="79"/>
  <c r="AZ30" i="43"/>
  <c r="K8" i="82"/>
  <c r="Y55" i="82" s="1"/>
  <c r="Y47" i="82"/>
  <c r="Y39" i="82"/>
  <c r="Y41" i="82" s="1"/>
  <c r="AZ27" i="43"/>
  <c r="AZ63" i="43"/>
  <c r="AW67" i="43" l="1"/>
  <c r="AW69" i="43" s="1"/>
  <c r="AX69" i="43" s="1"/>
  <c r="AX70" i="43" s="1"/>
  <c r="AW44" i="43"/>
  <c r="BA25" i="79"/>
  <c r="BA26" i="79"/>
  <c r="K10" i="82"/>
  <c r="Y56" i="82" s="1"/>
  <c r="BG21" i="79"/>
  <c r="BF20" i="79"/>
  <c r="BF19" i="79" s="1"/>
  <c r="BA30" i="43"/>
  <c r="AZ32" i="43"/>
  <c r="AZ70" i="43" s="1"/>
  <c r="AZ60" i="43"/>
  <c r="BD18" i="79"/>
  <c r="BC24" i="79"/>
  <c r="BC26" i="79" s="1"/>
  <c r="BC25" i="43"/>
  <c r="K23" i="82"/>
  <c r="BA27" i="43"/>
  <c r="BA63" i="43"/>
  <c r="AZ77" i="43"/>
  <c r="AZ18" i="43"/>
  <c r="AZ112" i="43"/>
  <c r="J12" i="82"/>
  <c r="AW49" i="43" l="1"/>
  <c r="AW235" i="43"/>
  <c r="AW239" i="43" s="1"/>
  <c r="AW45" i="43"/>
  <c r="AW217" i="43"/>
  <c r="AW70" i="43"/>
  <c r="AW71" i="43" s="1"/>
  <c r="AX71" i="43" s="1"/>
  <c r="AW73" i="43"/>
  <c r="BC27" i="43"/>
  <c r="BC63" i="43"/>
  <c r="Z39" i="82"/>
  <c r="Z41" i="82" s="1"/>
  <c r="BA60" i="43"/>
  <c r="BA32" i="43"/>
  <c r="BF18" i="79"/>
  <c r="BI21" i="79"/>
  <c r="BA18" i="43"/>
  <c r="BA112" i="43"/>
  <c r="Z47" i="82" s="1"/>
  <c r="BA65" i="43"/>
  <c r="L8" i="82"/>
  <c r="Z55" i="82" s="1"/>
  <c r="K12" i="82"/>
  <c r="BD19" i="79"/>
  <c r="BD20" i="79" s="1"/>
  <c r="BD22" i="79" s="1"/>
  <c r="BD25" i="43"/>
  <c r="BD24" i="79"/>
  <c r="BC30" i="43"/>
  <c r="BC25" i="79"/>
  <c r="BA77" i="43"/>
  <c r="AZ270" i="43"/>
  <c r="AZ41" i="43"/>
  <c r="AZ34" i="43"/>
  <c r="AZ33" i="43"/>
  <c r="AZ62" i="43" s="1"/>
  <c r="AW253" i="43" l="1"/>
  <c r="AW254" i="43"/>
  <c r="AW252" i="43"/>
  <c r="AW241" i="43"/>
  <c r="AW234" i="43"/>
  <c r="AW238" i="43" s="1"/>
  <c r="AW277" i="43"/>
  <c r="BD25" i="79"/>
  <c r="BD26" i="79"/>
  <c r="BA33" i="43"/>
  <c r="L10" i="82"/>
  <c r="Z56" i="82" s="1"/>
  <c r="BA41" i="43"/>
  <c r="BA34" i="43"/>
  <c r="G65" i="83"/>
  <c r="BA270" i="43"/>
  <c r="L23" i="82"/>
  <c r="AZ67" i="43"/>
  <c r="AZ69" i="43" s="1"/>
  <c r="BI20" i="79"/>
  <c r="BI19" i="79" s="1"/>
  <c r="BJ21" i="79"/>
  <c r="BF24" i="79"/>
  <c r="BF26" i="79" s="1"/>
  <c r="BF25" i="43"/>
  <c r="BG18" i="79"/>
  <c r="BC18" i="43"/>
  <c r="BC77" i="43"/>
  <c r="BC112" i="43"/>
  <c r="BD27" i="43"/>
  <c r="M8" i="82" s="1"/>
  <c r="AA55" i="82" s="1"/>
  <c r="BD63" i="43"/>
  <c r="BC32" i="43"/>
  <c r="BC70" i="43" s="1"/>
  <c r="BC60" i="43"/>
  <c r="BD30" i="43"/>
  <c r="AW279" i="43" l="1"/>
  <c r="AW280" i="43" s="1"/>
  <c r="AA39" i="82"/>
  <c r="AA41" i="82" s="1"/>
  <c r="G68" i="83"/>
  <c r="G74" i="83" s="1"/>
  <c r="G78" i="83" s="1"/>
  <c r="BC41" i="43"/>
  <c r="BC33" i="43"/>
  <c r="BC62" i="43" s="1"/>
  <c r="BC34" i="43"/>
  <c r="L12" i="82"/>
  <c r="BA67" i="43"/>
  <c r="BA69" i="43"/>
  <c r="AZ71" i="43"/>
  <c r="BF27" i="43"/>
  <c r="BF63" i="43"/>
  <c r="BF30" i="43"/>
  <c r="BG24" i="79"/>
  <c r="BF25" i="79"/>
  <c r="BA62" i="43"/>
  <c r="BG25" i="43"/>
  <c r="BG19" i="79"/>
  <c r="BG20" i="79" s="1"/>
  <c r="BG22" i="79" s="1"/>
  <c r="BD77" i="43"/>
  <c r="M23" i="82" s="1"/>
  <c r="BC270" i="43"/>
  <c r="BD18" i="43"/>
  <c r="BD112" i="43"/>
  <c r="AA47" i="82" s="1"/>
  <c r="BD65" i="43"/>
  <c r="BD32" i="43"/>
  <c r="M10" i="82" s="1"/>
  <c r="AA56" i="82" s="1"/>
  <c r="BD60" i="43"/>
  <c r="BL21" i="79"/>
  <c r="BI18" i="79"/>
  <c r="BG25" i="79" l="1"/>
  <c r="BG26" i="79"/>
  <c r="X36" i="82"/>
  <c r="BF77" i="43"/>
  <c r="BF18" i="43"/>
  <c r="BF112" i="43"/>
  <c r="AZ72" i="43"/>
  <c r="BA71" i="43"/>
  <c r="BC67" i="43"/>
  <c r="BC69" i="43" s="1"/>
  <c r="BL20" i="79"/>
  <c r="BL19" i="79" s="1"/>
  <c r="BL18" i="79" s="1"/>
  <c r="BM21" i="79"/>
  <c r="BG27" i="43"/>
  <c r="N8" i="82" s="1"/>
  <c r="AB55" i="82" s="1"/>
  <c r="BG63" i="43"/>
  <c r="BF32" i="43"/>
  <c r="BF70" i="43" s="1"/>
  <c r="BG30" i="43"/>
  <c r="BF60" i="43"/>
  <c r="J13" i="82"/>
  <c r="BD34" i="43"/>
  <c r="BD33" i="43"/>
  <c r="H65" i="83"/>
  <c r="BD41" i="43"/>
  <c r="BI25" i="43"/>
  <c r="BI24" i="79"/>
  <c r="BI26" i="79" s="1"/>
  <c r="BJ18" i="79"/>
  <c r="BD270" i="43"/>
  <c r="AB39" i="82" l="1"/>
  <c r="AB41" i="82" s="1"/>
  <c r="BD67" i="43"/>
  <c r="M12" i="82"/>
  <c r="J14" i="82"/>
  <c r="AZ42" i="43"/>
  <c r="BA72" i="43"/>
  <c r="AZ73" i="43"/>
  <c r="H68" i="83"/>
  <c r="H74" i="83" s="1"/>
  <c r="H78" i="83" s="1"/>
  <c r="BG112" i="43"/>
  <c r="AB47" i="82" s="1"/>
  <c r="BG18" i="43"/>
  <c r="BG65" i="43"/>
  <c r="BM18" i="79"/>
  <c r="BL25" i="43"/>
  <c r="BL24" i="79"/>
  <c r="BL26" i="79" s="1"/>
  <c r="Y36" i="82"/>
  <c r="J25" i="82"/>
  <c r="BD62" i="43"/>
  <c r="BD69" i="43"/>
  <c r="BC71" i="43"/>
  <c r="BG60" i="43"/>
  <c r="BG32" i="43"/>
  <c r="N10" i="82" s="1"/>
  <c r="AB56" i="82" s="1"/>
  <c r="BJ25" i="43"/>
  <c r="BJ19" i="79"/>
  <c r="BJ20" i="79" s="1"/>
  <c r="BJ22" i="79" s="1"/>
  <c r="BF33" i="43"/>
  <c r="BF62" i="43" s="1"/>
  <c r="BF34" i="43"/>
  <c r="BF41" i="43"/>
  <c r="BJ24" i="79"/>
  <c r="BI30" i="43"/>
  <c r="BI25" i="79"/>
  <c r="BI27" i="43"/>
  <c r="BI63" i="43"/>
  <c r="K13" i="82"/>
  <c r="BG77" i="43"/>
  <c r="N23" i="82" s="1"/>
  <c r="BF270" i="43"/>
  <c r="BJ25" i="79" l="1"/>
  <c r="BJ26" i="79"/>
  <c r="BC72" i="43"/>
  <c r="BD71" i="43"/>
  <c r="K25" i="82"/>
  <c r="K14" i="82"/>
  <c r="K16" i="82" s="1"/>
  <c r="C29" i="83"/>
  <c r="C33" i="83" s="1"/>
  <c r="BL25" i="79"/>
  <c r="BL30" i="43"/>
  <c r="BM24" i="79"/>
  <c r="BJ30" i="43"/>
  <c r="BI60" i="43"/>
  <c r="BI32" i="43"/>
  <c r="BJ63" i="43"/>
  <c r="BJ27" i="43"/>
  <c r="BM19" i="79"/>
  <c r="BM20" i="79" s="1"/>
  <c r="BM22" i="79" s="1"/>
  <c r="BM25" i="43"/>
  <c r="BA70" i="43"/>
  <c r="BA73" i="43"/>
  <c r="V9" i="83"/>
  <c r="X28" i="82"/>
  <c r="X32" i="82"/>
  <c r="BG270" i="43"/>
  <c r="BI77" i="43"/>
  <c r="BI112" i="43"/>
  <c r="BI18" i="43"/>
  <c r="BL63" i="43"/>
  <c r="BL27" i="43"/>
  <c r="BG34" i="43"/>
  <c r="I65" i="83"/>
  <c r="BG33" i="43"/>
  <c r="BG41" i="43"/>
  <c r="BF67" i="43"/>
  <c r="BF69" i="43" s="1"/>
  <c r="AZ79" i="43"/>
  <c r="BA42" i="43"/>
  <c r="AZ44" i="43"/>
  <c r="BG67" i="43" l="1"/>
  <c r="N12" i="82"/>
  <c r="BM25" i="79"/>
  <c r="BM26" i="79"/>
  <c r="L13" i="82"/>
  <c r="Z36" i="82"/>
  <c r="BI41" i="43"/>
  <c r="BI34" i="43"/>
  <c r="BI33" i="43"/>
  <c r="BI62" i="43" s="1"/>
  <c r="Y28" i="82"/>
  <c r="Y32" i="82"/>
  <c r="AZ49" i="43"/>
  <c r="AZ235" i="43"/>
  <c r="AZ239" i="43" s="1"/>
  <c r="BA44" i="43"/>
  <c r="AZ45" i="43"/>
  <c r="BJ77" i="43"/>
  <c r="BI270" i="43"/>
  <c r="BA79" i="43"/>
  <c r="AZ82" i="43"/>
  <c r="I68" i="83"/>
  <c r="BM27" i="43"/>
  <c r="BM63" i="43"/>
  <c r="BI70" i="43"/>
  <c r="BJ32" i="43"/>
  <c r="BJ60" i="43"/>
  <c r="BG62" i="43"/>
  <c r="BF71" i="43"/>
  <c r="BG69" i="43"/>
  <c r="BJ112" i="43"/>
  <c r="BJ18" i="43"/>
  <c r="BJ65" i="43"/>
  <c r="BL32" i="43"/>
  <c r="BL70" i="43" s="1"/>
  <c r="BM30" i="43"/>
  <c r="BL60" i="43"/>
  <c r="K28" i="82"/>
  <c r="BD72" i="43"/>
  <c r="BC42" i="43"/>
  <c r="BC73" i="43"/>
  <c r="BL77" i="43"/>
  <c r="BL112" i="43"/>
  <c r="BL18" i="43"/>
  <c r="I74" i="83" l="1"/>
  <c r="I78" i="83" s="1"/>
  <c r="AZ101" i="43"/>
  <c r="BI67" i="43"/>
  <c r="BI69" i="43" s="1"/>
  <c r="L25" i="82"/>
  <c r="BA82" i="43"/>
  <c r="K17" i="82"/>
  <c r="L14" i="82"/>
  <c r="L16" i="82" s="1"/>
  <c r="BA235" i="43"/>
  <c r="BA239" i="43" s="1"/>
  <c r="BA49" i="43"/>
  <c r="BA45" i="43"/>
  <c r="AZ253" i="43"/>
  <c r="AZ241" i="43"/>
  <c r="BM60" i="43"/>
  <c r="BM32" i="43"/>
  <c r="BL41" i="43"/>
  <c r="BL33" i="43"/>
  <c r="BL62" i="43" s="1"/>
  <c r="BL34" i="43"/>
  <c r="BM112" i="43"/>
  <c r="BM18" i="43"/>
  <c r="BM65" i="43"/>
  <c r="BJ270" i="43"/>
  <c r="AZ277" i="43"/>
  <c r="AZ234" i="43"/>
  <c r="AZ238" i="43" s="1"/>
  <c r="AZ240" i="43" s="1"/>
  <c r="BD42" i="43"/>
  <c r="BC79" i="43"/>
  <c r="BC44" i="43"/>
  <c r="BD70" i="43"/>
  <c r="AA36" i="82" s="1"/>
  <c r="BD73" i="43"/>
  <c r="BM77" i="43"/>
  <c r="BL270" i="43"/>
  <c r="K27" i="82"/>
  <c r="BF72" i="43"/>
  <c r="BG71" i="43"/>
  <c r="J65" i="83"/>
  <c r="BJ41" i="43"/>
  <c r="BJ67" i="43" s="1"/>
  <c r="BJ33" i="43"/>
  <c r="BJ34" i="43"/>
  <c r="M13" i="82" l="1"/>
  <c r="D29" i="83"/>
  <c r="D33" i="83" s="1"/>
  <c r="D34" i="83" s="1"/>
  <c r="BD79" i="43"/>
  <c r="BC82" i="43"/>
  <c r="BM33" i="43"/>
  <c r="BM34" i="43"/>
  <c r="K65" i="83"/>
  <c r="BM41" i="43"/>
  <c r="BM67" i="43" s="1"/>
  <c r="BI71" i="43"/>
  <c r="BJ69" i="43"/>
  <c r="BA234" i="43"/>
  <c r="BA238" i="43" s="1"/>
  <c r="BA277" i="43"/>
  <c r="BF73" i="43"/>
  <c r="BG72" i="43"/>
  <c r="BF42" i="43"/>
  <c r="BM270" i="43"/>
  <c r="BA253" i="43"/>
  <c r="BA241" i="43"/>
  <c r="Z32" i="82" s="1"/>
  <c r="Z28" i="82"/>
  <c r="BA101" i="43"/>
  <c r="L28" i="82"/>
  <c r="J68" i="83"/>
  <c r="J74" i="83" s="1"/>
  <c r="J78" i="83" s="1"/>
  <c r="BJ62" i="43"/>
  <c r="BC49" i="43"/>
  <c r="BC235" i="43"/>
  <c r="BC239" i="43" s="1"/>
  <c r="BD44" i="43"/>
  <c r="M14" i="82" s="1"/>
  <c r="M16" i="82" s="1"/>
  <c r="BC45" i="43"/>
  <c r="BL67" i="43"/>
  <c r="BL69" i="43" s="1"/>
  <c r="A24" i="83" l="1"/>
  <c r="BD82" i="43"/>
  <c r="M25" i="82"/>
  <c r="BG42" i="43"/>
  <c r="BF79" i="43"/>
  <c r="BF44" i="43"/>
  <c r="BC101" i="43"/>
  <c r="BG73" i="43"/>
  <c r="BG70" i="43"/>
  <c r="AB36" i="82" s="1"/>
  <c r="BA240" i="43"/>
  <c r="L17" i="82"/>
  <c r="BJ71" i="43"/>
  <c r="BI72" i="43"/>
  <c r="L65" i="83"/>
  <c r="K68" i="83"/>
  <c r="K74" i="83" s="1"/>
  <c r="K78" i="83" s="1"/>
  <c r="L27" i="82"/>
  <c r="Z33" i="82"/>
  <c r="BD49" i="43"/>
  <c r="BD235" i="43"/>
  <c r="BD239" i="43" s="1"/>
  <c r="E29" i="83" s="1"/>
  <c r="E33" i="83" s="1"/>
  <c r="E34" i="83" s="1"/>
  <c r="D7" i="83" s="1"/>
  <c r="BD45" i="43"/>
  <c r="BC253" i="43"/>
  <c r="BC241" i="43"/>
  <c r="BM69" i="43"/>
  <c r="BL71" i="43"/>
  <c r="BC277" i="43"/>
  <c r="BC234" i="43"/>
  <c r="BC238" i="43" s="1"/>
  <c r="BC240" i="43" s="1"/>
  <c r="BM62" i="43"/>
  <c r="N13" i="82" l="1"/>
  <c r="P7" i="83"/>
  <c r="O7" i="83"/>
  <c r="C16" i="83"/>
  <c r="E16" i="83" s="1"/>
  <c r="N7" i="83"/>
  <c r="AB16" i="82"/>
  <c r="M7" i="83"/>
  <c r="M28" i="82"/>
  <c r="AA33" i="82" s="1"/>
  <c r="BD101" i="43"/>
  <c r="AA28" i="82"/>
  <c r="L68" i="83"/>
  <c r="L74" i="83" s="1"/>
  <c r="L78" i="83" s="1"/>
  <c r="L79" i="83" s="1"/>
  <c r="C83" i="83" s="1"/>
  <c r="BG79" i="43"/>
  <c r="BF82" i="43"/>
  <c r="BD277" i="43"/>
  <c r="BD234" i="43"/>
  <c r="BD238" i="43" s="1"/>
  <c r="BJ72" i="43"/>
  <c r="BI42" i="43"/>
  <c r="BI73" i="43"/>
  <c r="BD241" i="43"/>
  <c r="AA32" i="82" s="1"/>
  <c r="BD253" i="43"/>
  <c r="BL72" i="43"/>
  <c r="BM71" i="43"/>
  <c r="BG44" i="43"/>
  <c r="N14" i="82" s="1"/>
  <c r="N16" i="82" s="1"/>
  <c r="BF49" i="43"/>
  <c r="BF235" i="43"/>
  <c r="BF239" i="43" s="1"/>
  <c r="BF45" i="43"/>
  <c r="BG82" i="43" l="1"/>
  <c r="N25" i="82"/>
  <c r="M27" i="82"/>
  <c r="BD240" i="43"/>
  <c r="M17" i="82"/>
  <c r="D83" i="83"/>
  <c r="BF253" i="43"/>
  <c r="BF241" i="43"/>
  <c r="BI79" i="43"/>
  <c r="BJ42" i="43"/>
  <c r="BI44" i="43"/>
  <c r="BF101" i="43"/>
  <c r="BJ70" i="43"/>
  <c r="BJ73" i="43"/>
  <c r="BF277" i="43"/>
  <c r="BF234" i="43"/>
  <c r="BF238" i="43" s="1"/>
  <c r="BF240" i="43" s="1"/>
  <c r="BG235" i="43"/>
  <c r="BG239" i="43" s="1"/>
  <c r="BG45" i="43"/>
  <c r="BG49" i="43"/>
  <c r="BM72" i="43"/>
  <c r="BL73" i="43"/>
  <c r="BL42" i="43"/>
  <c r="N28" i="82" l="1"/>
  <c r="AB33" i="82" s="1"/>
  <c r="AB28" i="82"/>
  <c r="BG101" i="43"/>
  <c r="BG234" i="43"/>
  <c r="BG238" i="43" s="1"/>
  <c r="BG277" i="43"/>
  <c r="BJ44" i="43"/>
  <c r="BI49" i="43"/>
  <c r="BI235" i="43"/>
  <c r="BI239" i="43" s="1"/>
  <c r="BI45" i="43"/>
  <c r="BJ79" i="43"/>
  <c r="BJ82" i="43" s="1"/>
  <c r="BI82" i="43"/>
  <c r="BG253" i="43"/>
  <c r="BG241" i="43"/>
  <c r="AB32" i="82" s="1"/>
  <c r="BL79" i="43"/>
  <c r="BM42" i="43"/>
  <c r="BL44" i="43"/>
  <c r="BM73" i="43"/>
  <c r="BM70" i="43"/>
  <c r="N27" i="82" l="1"/>
  <c r="BG240" i="43"/>
  <c r="N17" i="82"/>
  <c r="BI253" i="43"/>
  <c r="BI241" i="43"/>
  <c r="BI101" i="43"/>
  <c r="BM44" i="43"/>
  <c r="BL45" i="43"/>
  <c r="BL235" i="43"/>
  <c r="BL239" i="43" s="1"/>
  <c r="BL49" i="43"/>
  <c r="BJ101" i="43"/>
  <c r="BI277" i="43"/>
  <c r="BI234" i="43"/>
  <c r="BI238" i="43" s="1"/>
  <c r="BI240" i="43" s="1"/>
  <c r="BM79" i="43"/>
  <c r="BM82" i="43" s="1"/>
  <c r="BL82" i="43"/>
  <c r="BJ45" i="43"/>
  <c r="BJ49" i="43"/>
  <c r="BJ235" i="43"/>
  <c r="BJ239" i="43" s="1"/>
  <c r="BL234" i="43" l="1"/>
  <c r="BL238" i="43" s="1"/>
  <c r="BL240" i="43" s="1"/>
  <c r="BL277" i="43"/>
  <c r="BL101" i="43"/>
  <c r="BL253" i="43"/>
  <c r="BL241" i="43"/>
  <c r="BJ253" i="43"/>
  <c r="BJ241" i="43"/>
  <c r="BM101" i="43"/>
  <c r="BJ277" i="43"/>
  <c r="BJ234" i="43"/>
  <c r="BJ238" i="43" s="1"/>
  <c r="BJ240" i="43" s="1"/>
  <c r="BM45" i="43"/>
  <c r="BM235" i="43"/>
  <c r="BM239" i="43" s="1"/>
  <c r="BM49" i="43"/>
  <c r="BM277" i="43" l="1"/>
  <c r="BM234" i="43"/>
  <c r="BM238" i="43" s="1"/>
  <c r="BM240" i="43" s="1"/>
  <c r="BM253" i="43"/>
  <c r="BM241" i="43"/>
  <c r="AR244" i="43" l="1"/>
  <c r="AR246" i="43" s="1"/>
  <c r="AQ262" i="43"/>
  <c r="AQ264" i="43" s="1"/>
  <c r="AR257" i="43"/>
  <c r="AR259" i="43" s="1"/>
  <c r="AQ246" i="43"/>
  <c r="AQ252" i="43"/>
  <c r="AQ250" i="43"/>
  <c r="AQ254" i="43" l="1"/>
  <c r="AT248" i="43"/>
  <c r="AU248" i="43"/>
  <c r="AR262" i="43"/>
  <c r="AR264" i="43" s="1"/>
  <c r="AS266" i="43" s="1"/>
  <c r="AR252" i="43"/>
  <c r="AQ248" i="43"/>
  <c r="I19" i="82"/>
  <c r="AQ249" i="43"/>
  <c r="I18" i="82"/>
  <c r="AR254" i="43"/>
  <c r="W35" i="82" s="1"/>
  <c r="AR248" i="43"/>
  <c r="AR249" i="43"/>
  <c r="W34" i="82" s="1"/>
  <c r="AR250" i="43"/>
  <c r="AS268" i="43" l="1"/>
  <c r="AU266" i="43"/>
  <c r="AU268" i="43" s="1"/>
  <c r="J33" i="82"/>
  <c r="AZ252" i="43"/>
  <c r="BC252" i="43" l="1"/>
  <c r="AZ244" i="43"/>
  <c r="J19" i="82"/>
  <c r="C49" i="83" l="1"/>
  <c r="C88" i="83"/>
  <c r="J35" i="82"/>
  <c r="J37" i="82" s="1"/>
  <c r="J58" i="82"/>
  <c r="J61" i="82" s="1"/>
  <c r="J62" i="82" s="1"/>
  <c r="K19" i="82"/>
  <c r="BA257" i="43"/>
  <c r="BA259" i="43" s="1"/>
  <c r="L19" i="82" s="1"/>
  <c r="BA244" i="43"/>
  <c r="AZ246" i="43"/>
  <c r="AZ250" i="43"/>
  <c r="AZ262" i="43"/>
  <c r="X34" i="82"/>
  <c r="J18" i="82"/>
  <c r="X35" i="82"/>
  <c r="AY266" i="43"/>
  <c r="BF252" i="43"/>
  <c r="BC244" i="43"/>
  <c r="G21" i="83" l="1"/>
  <c r="AB26" i="82"/>
  <c r="AB27" i="82"/>
  <c r="AA26" i="82"/>
  <c r="AA27" i="82"/>
  <c r="D88" i="83"/>
  <c r="C91" i="83"/>
  <c r="F7" i="83"/>
  <c r="H7" i="83"/>
  <c r="G7" i="83"/>
  <c r="J7" i="83"/>
  <c r="E7" i="83"/>
  <c r="L7" i="83"/>
  <c r="K7" i="83"/>
  <c r="I7" i="83"/>
  <c r="V27" i="82"/>
  <c r="S27" i="82"/>
  <c r="T26" i="82"/>
  <c r="W26" i="82"/>
  <c r="T27" i="82"/>
  <c r="V26" i="82"/>
  <c r="R27" i="82"/>
  <c r="Q27" i="82"/>
  <c r="U27" i="82"/>
  <c r="S26" i="82"/>
  <c r="U26" i="82"/>
  <c r="Q26" i="82"/>
  <c r="R26" i="82"/>
  <c r="W27" i="82"/>
  <c r="X26" i="82"/>
  <c r="X27" i="82"/>
  <c r="Y26" i="82"/>
  <c r="Y27" i="82"/>
  <c r="Z26" i="82"/>
  <c r="Z27" i="82"/>
  <c r="Y35" i="82"/>
  <c r="Y34" i="82"/>
  <c r="AB22" i="82" s="1"/>
  <c r="K18" i="82"/>
  <c r="AZ264" i="43"/>
  <c r="BB266" i="43" s="1"/>
  <c r="BA262" i="43"/>
  <c r="BA264" i="43" s="1"/>
  <c r="J42" i="82"/>
  <c r="J46" i="82" s="1"/>
  <c r="J52" i="82" s="1"/>
  <c r="J63" i="82" s="1"/>
  <c r="AY268" i="43"/>
  <c r="AY92" i="43" s="1"/>
  <c r="BA266" i="43"/>
  <c r="BA268" i="43" s="1"/>
  <c r="BD244" i="43"/>
  <c r="BC262" i="43"/>
  <c r="BC250" i="43"/>
  <c r="BC246" i="43"/>
  <c r="BD257" i="43"/>
  <c r="BD259" i="43" s="1"/>
  <c r="M19" i="82" s="1"/>
  <c r="BA250" i="43"/>
  <c r="BA246" i="43"/>
  <c r="BA252" i="43"/>
  <c r="AZ248" i="43"/>
  <c r="AZ254" i="43"/>
  <c r="AZ249" i="43"/>
  <c r="BI252" i="43"/>
  <c r="BF244" i="43"/>
  <c r="E21" i="83" l="1"/>
  <c r="D91" i="83"/>
  <c r="BC264" i="43"/>
  <c r="BE266" i="43" s="1"/>
  <c r="BD262" i="43"/>
  <c r="BD264" i="43" s="1"/>
  <c r="BD246" i="43"/>
  <c r="BD250" i="43"/>
  <c r="BD252" i="43"/>
  <c r="L18" i="82"/>
  <c r="BA249" i="43"/>
  <c r="Z34" i="82" s="1"/>
  <c r="BA248" i="43"/>
  <c r="BA254" i="43"/>
  <c r="Z35" i="82" s="1"/>
  <c r="BB268" i="43"/>
  <c r="BB92" i="43" s="1"/>
  <c r="BD266" i="43"/>
  <c r="BD268" i="43" s="1"/>
  <c r="BA92" i="43"/>
  <c r="AY278" i="43"/>
  <c r="K35" i="82"/>
  <c r="K33" i="82"/>
  <c r="BF262" i="43"/>
  <c r="BF250" i="43"/>
  <c r="BF246" i="43"/>
  <c r="BG244" i="43"/>
  <c r="BG257" i="43"/>
  <c r="BG259" i="43" s="1"/>
  <c r="N19" i="82" s="1"/>
  <c r="BI244" i="43"/>
  <c r="BL252" i="43"/>
  <c r="BL244" i="43" s="1"/>
  <c r="X48" i="82"/>
  <c r="X44" i="82"/>
  <c r="BC254" i="43"/>
  <c r="BC248" i="43"/>
  <c r="BC249" i="43"/>
  <c r="X51" i="82"/>
  <c r="G22" i="83" l="1"/>
  <c r="E22" i="83"/>
  <c r="M18" i="82"/>
  <c r="K37" i="82"/>
  <c r="K39" i="82" s="1"/>
  <c r="K58" i="82"/>
  <c r="K61" i="82" s="1"/>
  <c r="K62" i="82" s="1"/>
  <c r="AY94" i="43"/>
  <c r="AY97" i="43" s="1"/>
  <c r="AY98" i="43" s="1"/>
  <c r="L33" i="82"/>
  <c r="BA278" i="43"/>
  <c r="BB278" i="43"/>
  <c r="BD92" i="43"/>
  <c r="M33" i="82" s="1"/>
  <c r="BG266" i="43"/>
  <c r="BG268" i="43" s="1"/>
  <c r="BE268" i="43"/>
  <c r="BE92" i="43" s="1"/>
  <c r="BL262" i="43"/>
  <c r="BL250" i="43"/>
  <c r="BL246" i="43"/>
  <c r="BM257" i="43"/>
  <c r="BM259" i="43" s="1"/>
  <c r="BM244" i="43"/>
  <c r="BF264" i="43"/>
  <c r="BH266" i="43" s="1"/>
  <c r="BG262" i="43"/>
  <c r="BG264" i="43" s="1"/>
  <c r="BD248" i="43"/>
  <c r="BD249" i="43"/>
  <c r="AA34" i="82" s="1"/>
  <c r="BD254" i="43"/>
  <c r="AA35" i="82" s="1"/>
  <c r="BG246" i="43"/>
  <c r="BG252" i="43"/>
  <c r="BG250" i="43"/>
  <c r="BF249" i="43"/>
  <c r="BF254" i="43"/>
  <c r="BF248" i="43"/>
  <c r="BJ244" i="43"/>
  <c r="BI250" i="43"/>
  <c r="BI246" i="43"/>
  <c r="BJ257" i="43"/>
  <c r="BJ259" i="43" s="1"/>
  <c r="BI262" i="43"/>
  <c r="N18" i="82" l="1"/>
  <c r="BJ250" i="43"/>
  <c r="BJ246" i="43"/>
  <c r="BJ252" i="43"/>
  <c r="BL248" i="43"/>
  <c r="BL249" i="43"/>
  <c r="BL254" i="43"/>
  <c r="BA125" i="43"/>
  <c r="AY125" i="43"/>
  <c r="K42" i="82"/>
  <c r="K46" i="82" s="1"/>
  <c r="AY151" i="43"/>
  <c r="BH268" i="43"/>
  <c r="BH92" i="43" s="1"/>
  <c r="BJ266" i="43"/>
  <c r="BJ268" i="43" s="1"/>
  <c r="BG248" i="43"/>
  <c r="BG254" i="43"/>
  <c r="AB35" i="82" s="1"/>
  <c r="BG249" i="43"/>
  <c r="AB34" i="82" s="1"/>
  <c r="BJ262" i="43"/>
  <c r="BJ264" i="43" s="1"/>
  <c r="BI264" i="43"/>
  <c r="BK266" i="43" s="1"/>
  <c r="BG92" i="43"/>
  <c r="N33" i="82" s="1"/>
  <c r="BE278" i="43"/>
  <c r="BL264" i="43"/>
  <c r="BM262" i="43"/>
  <c r="BM264" i="43" s="1"/>
  <c r="BI254" i="43"/>
  <c r="BI248" i="43"/>
  <c r="BI249" i="43"/>
  <c r="BM246" i="43"/>
  <c r="BM252" i="43"/>
  <c r="BM250" i="43"/>
  <c r="BD278" i="43"/>
  <c r="AY174" i="43"/>
  <c r="Y44" i="82" l="1"/>
  <c r="Y48" i="82"/>
  <c r="AZ125" i="43"/>
  <c r="AY155" i="43"/>
  <c r="AY106" i="43"/>
  <c r="AY126" i="43"/>
  <c r="AY127" i="43" s="1"/>
  <c r="AY129" i="43" s="1"/>
  <c r="AY131" i="43" s="1"/>
  <c r="BK268" i="43"/>
  <c r="BK92" i="43" s="1"/>
  <c r="BM266" i="43"/>
  <c r="BM268" i="43" s="1"/>
  <c r="BJ248" i="43"/>
  <c r="BJ249" i="43"/>
  <c r="BJ254" i="43"/>
  <c r="AY107" i="43"/>
  <c r="AZ94" i="43"/>
  <c r="AZ174" i="43" s="1"/>
  <c r="AY179" i="43"/>
  <c r="AY180" i="43" s="1"/>
  <c r="BM254" i="43"/>
  <c r="BM248" i="43"/>
  <c r="BM249" i="43"/>
  <c r="BG278" i="43"/>
  <c r="BH278" i="43"/>
  <c r="BJ92" i="43"/>
  <c r="BA115" i="43"/>
  <c r="AY115" i="43"/>
  <c r="BA94" i="43" l="1"/>
  <c r="AZ97" i="43"/>
  <c r="AZ98" i="43" s="1"/>
  <c r="AZ151" i="43" s="1"/>
  <c r="BK278" i="43"/>
  <c r="BM92" i="43"/>
  <c r="BA174" i="43"/>
  <c r="AZ107" i="43"/>
  <c r="AZ179" i="43"/>
  <c r="AZ180" i="43" s="1"/>
  <c r="AY109" i="43"/>
  <c r="AY116" i="43"/>
  <c r="BJ278" i="43"/>
  <c r="AY118" i="43" l="1"/>
  <c r="AY120" i="43" s="1"/>
  <c r="AY122" i="43" s="1"/>
  <c r="AZ115" i="43"/>
  <c r="L35" i="82"/>
  <c r="L37" i="82" s="1"/>
  <c r="L39" i="82" s="1"/>
  <c r="BA97" i="43"/>
  <c r="BA98" i="43" s="1"/>
  <c r="AY110" i="43"/>
  <c r="AY113" i="43"/>
  <c r="AZ116" i="43"/>
  <c r="BA179" i="43"/>
  <c r="BA180" i="43" s="1"/>
  <c r="L58" i="82"/>
  <c r="L61" i="82" s="1"/>
  <c r="L62" i="82" s="1"/>
  <c r="BB94" i="43"/>
  <c r="BB97" i="43" s="1"/>
  <c r="BB98" i="43" s="1"/>
  <c r="BA107" i="43"/>
  <c r="BA151" i="43"/>
  <c r="AZ106" i="43"/>
  <c r="AZ126" i="43" s="1"/>
  <c r="AZ127" i="43" s="1"/>
  <c r="AZ129" i="43" s="1"/>
  <c r="AZ155" i="43"/>
  <c r="BM278" i="43"/>
  <c r="AZ118" i="43" l="1"/>
  <c r="AZ120" i="43" s="1"/>
  <c r="AZ122" i="43" s="1"/>
  <c r="AZ109" i="43"/>
  <c r="BB174" i="43"/>
  <c r="BC94" i="43" s="1"/>
  <c r="BA116" i="43"/>
  <c r="BA129" i="43"/>
  <c r="BA131" i="43" s="1"/>
  <c r="AZ131" i="43"/>
  <c r="BB151" i="43"/>
  <c r="BD125" i="43"/>
  <c r="BA106" i="43"/>
  <c r="BA109" i="43" s="1"/>
  <c r="L42" i="82"/>
  <c r="L46" i="82" s="1"/>
  <c r="BA155" i="43"/>
  <c r="BB125" i="43"/>
  <c r="BA126" i="43"/>
  <c r="BA127" i="43" s="1"/>
  <c r="BA128" i="43" s="1"/>
  <c r="BB179" i="43" l="1"/>
  <c r="BB180" i="43" s="1"/>
  <c r="BA120" i="43"/>
  <c r="BA122" i="43" s="1"/>
  <c r="BB107" i="43"/>
  <c r="BB116" i="43" s="1"/>
  <c r="AZ113" i="43"/>
  <c r="AZ110" i="43"/>
  <c r="Z44" i="82"/>
  <c r="BA113" i="43"/>
  <c r="Z48" i="82" s="1"/>
  <c r="BA110" i="43"/>
  <c r="BD94" i="43"/>
  <c r="BC97" i="43"/>
  <c r="BC98" i="43" s="1"/>
  <c r="BC151" i="43" s="1"/>
  <c r="BC174" i="43"/>
  <c r="BB155" i="43"/>
  <c r="BB126" i="43"/>
  <c r="BB127" i="43" s="1"/>
  <c r="BB129" i="43" s="1"/>
  <c r="BB131" i="43" s="1"/>
  <c r="BC125" i="43"/>
  <c r="BB106" i="43"/>
  <c r="BA118" i="43"/>
  <c r="BD115" i="43"/>
  <c r="BB115" i="43"/>
  <c r="BA119" i="43" l="1"/>
  <c r="BD97" i="43"/>
  <c r="BD98" i="43" s="1"/>
  <c r="M35" i="82"/>
  <c r="M37" i="82" s="1"/>
  <c r="M39" i="82" s="1"/>
  <c r="BB109" i="43"/>
  <c r="BB110" i="43" s="1"/>
  <c r="BC115" i="43"/>
  <c r="BB118" i="43"/>
  <c r="BB120" i="43" s="1"/>
  <c r="BB122" i="43" s="1"/>
  <c r="BC155" i="43"/>
  <c r="BD151" i="43"/>
  <c r="M42" i="82" s="1"/>
  <c r="M46" i="82" s="1"/>
  <c r="BC106" i="43"/>
  <c r="BC126" i="43" s="1"/>
  <c r="BC127" i="43" s="1"/>
  <c r="BC129" i="43" s="1"/>
  <c r="BD174" i="43"/>
  <c r="M58" i="82" s="1"/>
  <c r="M61" i="82" s="1"/>
  <c r="M62" i="82" s="1"/>
  <c r="BC107" i="43"/>
  <c r="BC179" i="43"/>
  <c r="BC180" i="43" s="1"/>
  <c r="BB113" i="43" l="1"/>
  <c r="BC131" i="43"/>
  <c r="BD129" i="43"/>
  <c r="BD131" i="43" s="1"/>
  <c r="BC109" i="43"/>
  <c r="BC116" i="43"/>
  <c r="BC118" i="43" s="1"/>
  <c r="BC120" i="43" s="1"/>
  <c r="BD107" i="43"/>
  <c r="BE94" i="43"/>
  <c r="BE97" i="43" s="1"/>
  <c r="BE98" i="43" s="1"/>
  <c r="BE151" i="43" s="1"/>
  <c r="BD179" i="43"/>
  <c r="BD180" i="43" s="1"/>
  <c r="BE125" i="43"/>
  <c r="BD106" i="43"/>
  <c r="BG125" i="43"/>
  <c r="BD155" i="43"/>
  <c r="BD126" i="43"/>
  <c r="BD127" i="43" s="1"/>
  <c r="BD128" i="43" s="1"/>
  <c r="BE155" i="43" l="1"/>
  <c r="BF125" i="43"/>
  <c r="BE106" i="43"/>
  <c r="BE126" i="43"/>
  <c r="BE127" i="43" s="1"/>
  <c r="BE129" i="43" s="1"/>
  <c r="BE131" i="43" s="1"/>
  <c r="BC110" i="43"/>
  <c r="BC113" i="43"/>
  <c r="BC122" i="43"/>
  <c r="BD120" i="43"/>
  <c r="BD109" i="43"/>
  <c r="AA44" i="82" s="1"/>
  <c r="BD116" i="43"/>
  <c r="BE174" i="43"/>
  <c r="BD113" i="43" l="1"/>
  <c r="AA48" i="82" s="1"/>
  <c r="BD110" i="43"/>
  <c r="BF94" i="43"/>
  <c r="BF174" i="43" s="1"/>
  <c r="BE179" i="43"/>
  <c r="BE180" i="43" s="1"/>
  <c r="BE107" i="43"/>
  <c r="BD122" i="43"/>
  <c r="BD118" i="43"/>
  <c r="BD119" i="43" s="1"/>
  <c r="BG115" i="43"/>
  <c r="BE115" i="43"/>
  <c r="BE109" i="43" l="1"/>
  <c r="BE116" i="43"/>
  <c r="BG94" i="43"/>
  <c r="BF97" i="43"/>
  <c r="BF98" i="43" s="1"/>
  <c r="BF151" i="43" s="1"/>
  <c r="BF179" i="43"/>
  <c r="BF180" i="43" s="1"/>
  <c r="BF107" i="43"/>
  <c r="BG174" i="43"/>
  <c r="N58" i="82" s="1"/>
  <c r="N61" i="82" s="1"/>
  <c r="N62" i="82" s="1"/>
  <c r="BG97" i="43" l="1"/>
  <c r="BG98" i="43" s="1"/>
  <c r="N35" i="82"/>
  <c r="N37" i="82" s="1"/>
  <c r="N39" i="82" s="1"/>
  <c r="BF106" i="43"/>
  <c r="BF126" i="43" s="1"/>
  <c r="BF127" i="43" s="1"/>
  <c r="BF129" i="43" s="1"/>
  <c r="BF155" i="43"/>
  <c r="BG151" i="43"/>
  <c r="N42" i="82" s="1"/>
  <c r="N46" i="82" s="1"/>
  <c r="BF115" i="43"/>
  <c r="BE118" i="43"/>
  <c r="BE120" i="43" s="1"/>
  <c r="BE122" i="43" s="1"/>
  <c r="BG179" i="43"/>
  <c r="BG180" i="43" s="1"/>
  <c r="BG107" i="43"/>
  <c r="BH94" i="43"/>
  <c r="BH97" i="43" s="1"/>
  <c r="BH98" i="43" s="1"/>
  <c r="BF116" i="43"/>
  <c r="BE110" i="43"/>
  <c r="BE113" i="43"/>
  <c r="BF109" i="43" l="1"/>
  <c r="BF110" i="43" s="1"/>
  <c r="BF118" i="43"/>
  <c r="BF120" i="43" s="1"/>
  <c r="BF122" i="43" s="1"/>
  <c r="BG106" i="43"/>
  <c r="BG109" i="43" s="1"/>
  <c r="AB44" i="82" s="1"/>
  <c r="BH125" i="43"/>
  <c r="BJ125" i="43"/>
  <c r="BG155" i="43"/>
  <c r="BG126" i="43"/>
  <c r="BG127" i="43" s="1"/>
  <c r="BG128" i="43" s="1"/>
  <c r="BH151" i="43"/>
  <c r="BH174" i="43"/>
  <c r="BG116" i="43"/>
  <c r="BG129" i="43"/>
  <c r="BG131" i="43" s="1"/>
  <c r="BF131" i="43"/>
  <c r="BF113" i="43" l="1"/>
  <c r="BG120" i="43"/>
  <c r="BG122" i="43" s="1"/>
  <c r="BH106" i="43"/>
  <c r="BH126" i="43"/>
  <c r="BH127" i="43" s="1"/>
  <c r="BH129" i="43" s="1"/>
  <c r="BH131" i="43" s="1"/>
  <c r="BI125" i="43"/>
  <c r="BH155" i="43"/>
  <c r="BG110" i="43"/>
  <c r="BG113" i="43"/>
  <c r="AB48" i="82" s="1"/>
  <c r="BH179" i="43"/>
  <c r="BH180" i="43" s="1"/>
  <c r="BI94" i="43"/>
  <c r="BH107" i="43"/>
  <c r="BJ115" i="43"/>
  <c r="BG118" i="43"/>
  <c r="BH115" i="43"/>
  <c r="BG119" i="43" l="1"/>
  <c r="BJ94" i="43"/>
  <c r="BJ97" i="43" s="1"/>
  <c r="BJ98" i="43" s="1"/>
  <c r="BI97" i="43"/>
  <c r="BI98" i="43" s="1"/>
  <c r="BI151" i="43" s="1"/>
  <c r="BH116" i="43"/>
  <c r="BH109" i="43"/>
  <c r="BI174" i="43"/>
  <c r="BJ174" i="43" l="1"/>
  <c r="BI179" i="43"/>
  <c r="BI180" i="43" s="1"/>
  <c r="BI107" i="43"/>
  <c r="BJ151" i="43"/>
  <c r="BI155" i="43"/>
  <c r="BI106" i="43"/>
  <c r="BI126" i="43" s="1"/>
  <c r="BI127" i="43" s="1"/>
  <c r="BI129" i="43" s="1"/>
  <c r="BH113" i="43"/>
  <c r="BH110" i="43"/>
  <c r="BI115" i="43"/>
  <c r="BH118" i="43"/>
  <c r="BH120" i="43" s="1"/>
  <c r="BH122" i="43" s="1"/>
  <c r="BJ129" i="43" l="1"/>
  <c r="BJ131" i="43" s="1"/>
  <c r="BI131" i="43"/>
  <c r="BI109" i="43"/>
  <c r="BI116" i="43"/>
  <c r="BI118" i="43" s="1"/>
  <c r="BI120" i="43" s="1"/>
  <c r="BM125" i="43"/>
  <c r="BK125" i="43"/>
  <c r="BJ126" i="43"/>
  <c r="BJ127" i="43" s="1"/>
  <c r="BJ128" i="43" s="1"/>
  <c r="BJ106" i="43"/>
  <c r="BJ155" i="43"/>
  <c r="BK94" i="43"/>
  <c r="BK97" i="43" s="1"/>
  <c r="BK98" i="43" s="1"/>
  <c r="BK151" i="43" s="1"/>
  <c r="BJ179" i="43"/>
  <c r="BJ180" i="43" s="1"/>
  <c r="BJ107" i="43"/>
  <c r="BJ109" i="43" l="1"/>
  <c r="BJ116" i="43"/>
  <c r="BI110" i="43"/>
  <c r="BI113" i="43"/>
  <c r="BJ120" i="43"/>
  <c r="BI122" i="43"/>
  <c r="BK155" i="43"/>
  <c r="BK106" i="43"/>
  <c r="BK126" i="43"/>
  <c r="BK127" i="43" s="1"/>
  <c r="BK129" i="43" s="1"/>
  <c r="BK131" i="43" s="1"/>
  <c r="BL125" i="43"/>
  <c r="BK174" i="43"/>
  <c r="BM115" i="43" l="1"/>
  <c r="BK115" i="43"/>
  <c r="BJ118" i="43"/>
  <c r="BJ119" i="43" s="1"/>
  <c r="BJ122" i="43"/>
  <c r="BK179" i="43"/>
  <c r="BK180" i="43" s="1"/>
  <c r="BL94" i="43"/>
  <c r="BL174" i="43" s="1"/>
  <c r="BK107" i="43"/>
  <c r="BJ110" i="43"/>
  <c r="BJ113" i="43"/>
  <c r="BM174" i="43" l="1"/>
  <c r="BL107" i="43"/>
  <c r="BL179" i="43"/>
  <c r="BL180" i="43" s="1"/>
  <c r="BM94" i="43"/>
  <c r="BM97" i="43" s="1"/>
  <c r="BM98" i="43" s="1"/>
  <c r="BL97" i="43"/>
  <c r="BL98" i="43" s="1"/>
  <c r="BL151" i="43" s="1"/>
  <c r="BK116" i="43"/>
  <c r="BK109" i="43"/>
  <c r="BL116" i="43" l="1"/>
  <c r="BK113" i="43"/>
  <c r="BK110" i="43"/>
  <c r="BL115" i="43"/>
  <c r="BK118" i="43"/>
  <c r="BK120" i="43" s="1"/>
  <c r="BK122" i="43" s="1"/>
  <c r="BL106" i="43"/>
  <c r="BL126" i="43" s="1"/>
  <c r="BL127" i="43" s="1"/>
  <c r="BL129" i="43" s="1"/>
  <c r="BL155" i="43"/>
  <c r="BM151" i="43"/>
  <c r="BM179" i="43"/>
  <c r="BM180" i="43" s="1"/>
  <c r="BM107" i="43"/>
  <c r="BM155" i="43" l="1"/>
  <c r="BM126" i="43"/>
  <c r="BM127" i="43" s="1"/>
  <c r="BM128" i="43" s="1"/>
  <c r="BM106" i="43"/>
  <c r="BM109" i="43" s="1"/>
  <c r="BL109" i="43"/>
  <c r="BL131" i="43"/>
  <c r="BM129" i="43"/>
  <c r="BM131" i="43" s="1"/>
  <c r="BM116" i="43"/>
  <c r="BM118" i="43" s="1"/>
  <c r="BL118" i="43"/>
  <c r="BL120" i="43" s="1"/>
  <c r="BL113" i="43" l="1"/>
  <c r="BL110" i="43"/>
  <c r="BM120" i="43"/>
  <c r="BL122" i="43"/>
  <c r="BM110" i="43"/>
  <c r="BM113" i="43"/>
  <c r="BM122" i="43" l="1"/>
  <c r="BM119" i="43"/>
  <c r="AS277" i="43" l="1"/>
  <c r="AS279" i="43" s="1"/>
  <c r="AS280" i="43" s="1"/>
  <c r="AT275" i="43" s="1"/>
  <c r="AS234" i="43"/>
  <c r="AS238" i="43" s="1"/>
  <c r="AV240" i="43" s="1"/>
  <c r="AS48" i="43"/>
  <c r="AT48" i="43" s="1"/>
  <c r="AT77" i="43" l="1"/>
  <c r="AT49" i="43"/>
  <c r="AS240" i="43"/>
  <c r="J15" i="82"/>
  <c r="J16" i="82" s="1"/>
  <c r="AS77" i="43"/>
  <c r="AT277" i="43" l="1"/>
  <c r="AT234" i="43"/>
  <c r="AT238" i="43" s="1"/>
  <c r="AW240" i="43" s="1"/>
  <c r="AU77" i="43"/>
  <c r="AT270" i="43"/>
  <c r="AS81" i="43"/>
  <c r="AS270" i="43"/>
  <c r="AU270" i="43" l="1"/>
  <c r="AU81" i="43"/>
  <c r="AT81" i="43" s="1"/>
  <c r="AT82" i="43" s="1"/>
  <c r="AT240" i="43"/>
  <c r="AT279" i="43"/>
  <c r="AT280" i="43" s="1"/>
  <c r="C82" i="83"/>
  <c r="C84" i="83" s="1"/>
  <c r="J17" i="82"/>
  <c r="J23" i="82"/>
  <c r="J67" i="82"/>
  <c r="J69" i="82" s="1"/>
  <c r="X52" i="82"/>
  <c r="Y52" i="82"/>
  <c r="D82" i="83" l="1"/>
  <c r="AT101" i="43"/>
  <c r="AT98" i="43"/>
  <c r="X46" i="82"/>
  <c r="X45" i="82"/>
  <c r="J28" i="82"/>
  <c r="BA185" i="43"/>
  <c r="BA217" i="43" s="1"/>
  <c r="Z52" i="82" s="1"/>
  <c r="K67" i="82"/>
  <c r="K69" i="82" s="1"/>
  <c r="AY185" i="43"/>
  <c r="AY217" i="43" s="1"/>
  <c r="D84" i="83"/>
  <c r="C87" i="83"/>
  <c r="BA275" i="43" l="1"/>
  <c r="BB185" i="43"/>
  <c r="BB217" i="43" s="1"/>
  <c r="BA279" i="43"/>
  <c r="BD185" i="43"/>
  <c r="BA187" i="43"/>
  <c r="BA210" i="43"/>
  <c r="L67" i="82"/>
  <c r="L69" i="82" s="1"/>
  <c r="J27" i="82"/>
  <c r="J39" i="82"/>
  <c r="X33" i="82"/>
  <c r="Y46" i="82"/>
  <c r="Y45" i="82"/>
  <c r="AY210" i="43"/>
  <c r="AY216" i="43" s="1"/>
  <c r="AZ185" i="43"/>
  <c r="AZ217" i="43" s="1"/>
  <c r="AY187" i="43"/>
  <c r="AY279" i="43"/>
  <c r="D87" i="83"/>
  <c r="C93" i="83"/>
  <c r="D93" i="83" s="1"/>
  <c r="D95" i="83" s="1"/>
  <c r="BD217" i="43" l="1"/>
  <c r="AA52" i="82" s="1"/>
  <c r="M67" i="82"/>
  <c r="M69" i="82" s="1"/>
  <c r="AY275" i="43"/>
  <c r="AY280" i="43" s="1"/>
  <c r="AZ275" i="43" s="1"/>
  <c r="A36" i="83"/>
  <c r="D8" i="83"/>
  <c r="BD210" i="43"/>
  <c r="BD187" i="43"/>
  <c r="BD279" i="43"/>
  <c r="BE185" i="43"/>
  <c r="BE217" i="43" s="1"/>
  <c r="BG185" i="43"/>
  <c r="N67" i="82" s="1"/>
  <c r="N69" i="82" s="1"/>
  <c r="BB279" i="43"/>
  <c r="BB187" i="43"/>
  <c r="BB210" i="43"/>
  <c r="BB216" i="43" s="1"/>
  <c r="BC185" i="43"/>
  <c r="BC217" i="43" s="1"/>
  <c r="BA211" i="43"/>
  <c r="Z46" i="82" s="1"/>
  <c r="BA212" i="43"/>
  <c r="Z45" i="82" s="1"/>
  <c r="AY212" i="43"/>
  <c r="AY211" i="43"/>
  <c r="AZ210" i="43"/>
  <c r="AZ216" i="43" s="1"/>
  <c r="AZ187" i="43"/>
  <c r="AZ279" i="43"/>
  <c r="BA280" i="43"/>
  <c r="AZ280" i="43" l="1"/>
  <c r="AZ211" i="43"/>
  <c r="AZ212" i="43"/>
  <c r="BA189" i="43"/>
  <c r="BH185" i="43"/>
  <c r="BG279" i="43"/>
  <c r="BG187" i="43"/>
  <c r="BJ185" i="43"/>
  <c r="BJ217" i="43" s="1"/>
  <c r="BG210" i="43"/>
  <c r="BE187" i="43"/>
  <c r="BE210" i="43"/>
  <c r="BE216" i="43" s="1"/>
  <c r="BF185" i="43"/>
  <c r="BF217" i="43" s="1"/>
  <c r="BE279" i="43"/>
  <c r="BC210" i="43"/>
  <c r="BC216" i="43" s="1"/>
  <c r="BC279" i="43"/>
  <c r="BC187" i="43"/>
  <c r="BB211" i="43"/>
  <c r="BB212" i="43"/>
  <c r="BD275" i="43"/>
  <c r="BD280" i="43" s="1"/>
  <c r="BB275" i="43"/>
  <c r="BB280" i="43" s="1"/>
  <c r="BC275" i="43" s="1"/>
  <c r="BD212" i="43"/>
  <c r="AA45" i="82" s="1"/>
  <c r="BD211" i="43"/>
  <c r="AA46" i="82" s="1"/>
  <c r="BG217" i="43"/>
  <c r="AB52" i="82" s="1"/>
  <c r="N8" i="83"/>
  <c r="F8" i="83"/>
  <c r="H8" i="83"/>
  <c r="E8" i="83"/>
  <c r="P8" i="83"/>
  <c r="L8" i="83"/>
  <c r="D9" i="83"/>
  <c r="K8" i="83"/>
  <c r="I8" i="83"/>
  <c r="O8" i="83"/>
  <c r="J8" i="83"/>
  <c r="C17" i="83"/>
  <c r="AB15" i="82"/>
  <c r="AB17" i="82" s="1"/>
  <c r="M8" i="83"/>
  <c r="G8" i="83"/>
  <c r="BA216" i="43"/>
  <c r="BC212" i="43" l="1"/>
  <c r="BC211" i="43"/>
  <c r="BD189" i="43"/>
  <c r="G9" i="83"/>
  <c r="P9" i="83"/>
  <c r="L9" i="83"/>
  <c r="D11" i="83"/>
  <c r="D12" i="83" s="1"/>
  <c r="K9" i="83"/>
  <c r="F9" i="83"/>
  <c r="N9" i="83"/>
  <c r="O9" i="83"/>
  <c r="J9" i="83"/>
  <c r="H9" i="83"/>
  <c r="M9" i="83"/>
  <c r="E9" i="83"/>
  <c r="I9" i="83"/>
  <c r="BG211" i="43"/>
  <c r="AB46" i="82" s="1"/>
  <c r="BG212" i="43"/>
  <c r="AB45" i="82" s="1"/>
  <c r="BE212" i="43"/>
  <c r="BE211" i="43"/>
  <c r="BH210" i="43"/>
  <c r="BH216" i="43" s="1"/>
  <c r="BH279" i="43"/>
  <c r="BI185" i="43"/>
  <c r="BH187" i="43"/>
  <c r="BH217" i="43"/>
  <c r="BF210" i="43"/>
  <c r="BF216" i="43" s="1"/>
  <c r="BF279" i="43"/>
  <c r="BF187" i="43"/>
  <c r="BE275" i="43"/>
  <c r="BE280" i="43" s="1"/>
  <c r="BF275" i="43" s="1"/>
  <c r="BG275" i="43"/>
  <c r="BG280" i="43" s="1"/>
  <c r="BM185" i="43"/>
  <c r="BM217" i="43" s="1"/>
  <c r="BJ187" i="43"/>
  <c r="BJ210" i="43"/>
  <c r="BJ279" i="43"/>
  <c r="BK185" i="43"/>
  <c r="BK217" i="43" s="1"/>
  <c r="C18" i="83"/>
  <c r="E18" i="83" s="1"/>
  <c r="E17" i="83"/>
  <c r="BD216" i="43"/>
  <c r="BC280" i="43"/>
  <c r="BF280" i="43" l="1"/>
  <c r="BH275" i="43"/>
  <c r="BH280" i="43" s="1"/>
  <c r="BI275" i="43" s="1"/>
  <c r="BJ275" i="43"/>
  <c r="BJ280" i="43" s="1"/>
  <c r="BL185" i="43"/>
  <c r="BL217" i="43" s="1"/>
  <c r="BK210" i="43"/>
  <c r="BK216" i="43" s="1"/>
  <c r="BK187" i="43"/>
  <c r="BK279" i="43"/>
  <c r="BH212" i="43"/>
  <c r="BH211" i="43"/>
  <c r="BI210" i="43"/>
  <c r="BI216" i="43" s="1"/>
  <c r="BI187" i="43"/>
  <c r="BI279" i="43"/>
  <c r="BF211" i="43"/>
  <c r="BF212" i="43"/>
  <c r="BG189" i="43"/>
  <c r="BG216" i="43"/>
  <c r="BJ212" i="43"/>
  <c r="BJ211" i="43"/>
  <c r="AE9" i="82"/>
  <c r="K12" i="83"/>
  <c r="N12" i="83"/>
  <c r="C20" i="83"/>
  <c r="G20" i="83" s="1"/>
  <c r="E12" i="83"/>
  <c r="O12" i="83"/>
  <c r="E1" i="43"/>
  <c r="G12" i="83"/>
  <c r="I12" i="83"/>
  <c r="J12" i="83"/>
  <c r="M12" i="83"/>
  <c r="P12" i="83"/>
  <c r="L12" i="83"/>
  <c r="H12" i="83"/>
  <c r="D13" i="83"/>
  <c r="F12" i="83"/>
  <c r="BM210" i="43"/>
  <c r="BM187" i="43"/>
  <c r="BM279" i="43"/>
  <c r="BI217" i="43"/>
  <c r="BI211" i="43" l="1"/>
  <c r="BI212" i="43"/>
  <c r="BJ189" i="43"/>
  <c r="B4" i="82"/>
  <c r="AB8" i="82"/>
  <c r="AB9" i="82" s="1"/>
  <c r="BL210" i="43"/>
  <c r="BL216" i="43" s="1"/>
  <c r="BL279" i="43"/>
  <c r="BL187" i="43"/>
  <c r="BM212" i="43"/>
  <c r="BM211" i="43"/>
  <c r="BM275" i="43"/>
  <c r="BM280" i="43" s="1"/>
  <c r="BK275" i="43"/>
  <c r="BK280" i="43" s="1"/>
  <c r="BL275" i="43" s="1"/>
  <c r="BK212" i="43"/>
  <c r="BK211" i="43"/>
  <c r="BJ216" i="43"/>
  <c r="E20" i="83"/>
  <c r="AB19" i="82"/>
  <c r="BI280" i="43"/>
  <c r="BM216" i="43" l="1"/>
  <c r="BL280" i="43"/>
  <c r="BL211" i="43"/>
  <c r="BL212" i="43"/>
  <c r="AB21" i="82"/>
  <c r="AB23" i="82" s="1"/>
  <c r="AB10" i="82"/>
  <c r="AT140" i="43" l="1"/>
  <c r="AU138" i="43" s="1"/>
  <c r="AV138" i="43"/>
  <c r="BA140" i="43" l="1"/>
  <c r="AY140" i="43"/>
  <c r="AY157" i="43" l="1"/>
  <c r="AY162" i="43" s="1"/>
  <c r="AY163" i="43" s="1"/>
  <c r="AZ140" i="43"/>
  <c r="AZ157" i="43" s="1"/>
  <c r="AZ162" i="43" s="1"/>
  <c r="AZ163" i="43" s="1"/>
  <c r="BD140" i="43"/>
  <c r="BB140" i="43"/>
  <c r="BA157" i="43"/>
  <c r="K47" i="82"/>
  <c r="K51" i="82" s="1"/>
  <c r="K52" i="82" s="1"/>
  <c r="K63" i="82" s="1"/>
  <c r="AZ181" i="43" l="1"/>
  <c r="AZ215" i="43"/>
  <c r="L47" i="82"/>
  <c r="L51" i="82" s="1"/>
  <c r="L52" i="82" s="1"/>
  <c r="L63" i="82" s="1"/>
  <c r="BA162" i="43"/>
  <c r="BA163" i="43" s="1"/>
  <c r="AY181" i="43"/>
  <c r="AY215" i="43"/>
  <c r="BC140" i="43"/>
  <c r="BC157" i="43" s="1"/>
  <c r="BC162" i="43" s="1"/>
  <c r="BC163" i="43" s="1"/>
  <c r="BB157" i="43"/>
  <c r="BB162" i="43" s="1"/>
  <c r="BB163" i="43" s="1"/>
  <c r="Y51" i="82"/>
  <c r="BG140" i="43"/>
  <c r="BE140" i="43"/>
  <c r="BD157" i="43"/>
  <c r="BJ140" i="43" l="1"/>
  <c r="BH140" i="43"/>
  <c r="BG157" i="43"/>
  <c r="BD162" i="43"/>
  <c r="BD163" i="43" s="1"/>
  <c r="M47" i="82"/>
  <c r="M51" i="82" s="1"/>
  <c r="M52" i="82" s="1"/>
  <c r="M63" i="82" s="1"/>
  <c r="AY188" i="43"/>
  <c r="AY209" i="43"/>
  <c r="AZ188" i="43"/>
  <c r="AZ209" i="43"/>
  <c r="BF140" i="43"/>
  <c r="BF157" i="43" s="1"/>
  <c r="BF162" i="43" s="1"/>
  <c r="BF163" i="43" s="1"/>
  <c r="BE157" i="43"/>
  <c r="BE162" i="43" s="1"/>
  <c r="BE163" i="43" s="1"/>
  <c r="BB181" i="43"/>
  <c r="BB215" i="43"/>
  <c r="BA215" i="43"/>
  <c r="Z51" i="82" s="1"/>
  <c r="BA181" i="43"/>
  <c r="BC215" i="43"/>
  <c r="BC181" i="43"/>
  <c r="BG162" i="43" l="1"/>
  <c r="BG163" i="43" s="1"/>
  <c r="BG181" i="43" s="1"/>
  <c r="N47" i="82"/>
  <c r="N51" i="82" s="1"/>
  <c r="N52" i="82" s="1"/>
  <c r="N63" i="82" s="1"/>
  <c r="BF215" i="43"/>
  <c r="BF181" i="43"/>
  <c r="BD181" i="43"/>
  <c r="BD215" i="43"/>
  <c r="AA51" i="82" s="1"/>
  <c r="BB188" i="43"/>
  <c r="BB209" i="43"/>
  <c r="BA188" i="43"/>
  <c r="BA209" i="43"/>
  <c r="BC209" i="43"/>
  <c r="BC188" i="43"/>
  <c r="BI140" i="43"/>
  <c r="BI157" i="43" s="1"/>
  <c r="BI162" i="43" s="1"/>
  <c r="BI163" i="43" s="1"/>
  <c r="BH157" i="43"/>
  <c r="BH162" i="43" s="1"/>
  <c r="BH163" i="43" s="1"/>
  <c r="BE215" i="43"/>
  <c r="BE181" i="43"/>
  <c r="BM140" i="43"/>
  <c r="BM157" i="43" s="1"/>
  <c r="BM162" i="43" s="1"/>
  <c r="BM163" i="43" s="1"/>
  <c r="BK140" i="43"/>
  <c r="BJ157" i="43"/>
  <c r="BJ162" i="43" s="1"/>
  <c r="BJ163" i="43" s="1"/>
  <c r="BG215" i="43" l="1"/>
  <c r="AB51" i="82" s="1"/>
  <c r="BD209" i="43"/>
  <c r="BD188" i="43"/>
  <c r="BJ181" i="43"/>
  <c r="BJ215" i="43"/>
  <c r="BE209" i="43"/>
  <c r="BE188" i="43"/>
  <c r="BG209" i="43"/>
  <c r="BG188" i="43"/>
  <c r="BL140" i="43"/>
  <c r="BL157" i="43" s="1"/>
  <c r="BL162" i="43" s="1"/>
  <c r="BL163" i="43" s="1"/>
  <c r="BM215" i="43" s="1"/>
  <c r="BK157" i="43"/>
  <c r="BK162" i="43" s="1"/>
  <c r="BK163" i="43" s="1"/>
  <c r="BH181" i="43"/>
  <c r="BH215" i="43"/>
  <c r="BF209" i="43"/>
  <c r="BF188" i="43"/>
  <c r="BM181" i="43"/>
  <c r="BI215" i="43"/>
  <c r="BI181" i="43"/>
  <c r="BI209" i="43" l="1"/>
  <c r="BI188" i="43"/>
  <c r="BM209" i="43"/>
  <c r="BM188" i="43"/>
  <c r="BH209" i="43"/>
  <c r="BH188" i="43"/>
  <c r="BJ209" i="43"/>
  <c r="BJ188" i="43"/>
  <c r="BK215" i="43"/>
  <c r="BK181" i="43"/>
  <c r="BL215" i="43"/>
  <c r="BL181" i="43"/>
  <c r="BL209" i="43" l="1"/>
  <c r="BL188" i="43"/>
  <c r="BK209" i="43"/>
  <c r="BK188" i="43"/>
  <c r="AV84" i="43"/>
  <c r="AX84" i="43" l="1"/>
  <c r="AV85" i="43"/>
  <c r="AX133" i="43" l="1"/>
  <c r="Y57" i="82" s="1"/>
  <c r="AX85" i="43"/>
  <c r="AW85" i="43" s="1"/>
  <c r="AW86" i="43" s="1"/>
  <c r="K29" i="82"/>
  <c r="Y33" i="82" l="1"/>
  <c r="AW90" i="43"/>
  <c r="AW98" i="43" s="1"/>
  <c r="AW136" i="43"/>
  <c r="AW101" i="43"/>
  <c r="K30" i="82"/>
  <c r="K31" i="82" s="1"/>
  <c r="AX136" i="43" l="1"/>
  <c r="AW140" i="43"/>
  <c r="AX138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Sick, Julianna C (Research)</author>
  </authors>
  <commentList>
    <comment ref="C45" authorId="0" shapeId="0" xr:uid="{100B01A1-04BD-479E-A514-CD32D4AC5D27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FY26 to account for off market buyback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Sick, Julianna C (Research)</author>
    <author>tc={02F14F67-3817-4A84-B7D9-BC015D54851C}</author>
    <author>Shenoy, Dinesh (Research)</author>
  </authors>
  <commentList>
    <comment ref="AX36" authorId="0" shapeId="0" xr:uid="{21A3991B-D9AA-4625-A8E1-B86919215D6D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Gross interst expense A$53-63m</t>
        </r>
      </text>
    </comment>
    <comment ref="BA36" authorId="0" shapeId="0" xr:uid="{2F2F85F6-ADCE-4D89-9EFD-E0A5EDB642FA}">
      <text>
        <r>
          <rPr>
            <b/>
            <sz val="9"/>
            <color indexed="81"/>
            <rFont val="Tahoma"/>
            <family val="2"/>
          </rPr>
          <t>Sick, Julianna C (Research):</t>
        </r>
        <r>
          <rPr>
            <sz val="9"/>
            <color indexed="81"/>
            <rFont val="Tahoma"/>
            <family val="2"/>
          </rPr>
          <t xml:space="preserve">
Guidance $50-60m</t>
        </r>
      </text>
    </comment>
    <comment ref="AU39" authorId="1" shapeId="0" xr:uid="{02F14F67-3817-4A84-B7D9-BC015D54851C}">
      <text>
        <t>[Threaded comment]
Your version of Excel allows you to read this threaded comment; however, any edits to it will get removed if the file is opened in a newer version of Excel. Learn more: https://go.microsoft.com/fwlink/?linkid=870924
Comment:
    Mgmt A$65-75m</t>
      </text>
    </comment>
    <comment ref="AF47" authorId="2" shapeId="0" xr:uid="{00000000-0006-0000-0200-000001000000}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Business acquisition costs - A$28.516m
inventory unwind - A$8.982m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McAlister, Ella (Research)</author>
  </authors>
  <commentList>
    <comment ref="AP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McAlister, Ella (Research):</t>
        </r>
        <r>
          <rPr>
            <sz val="9"/>
            <color indexed="81"/>
            <rFont val="Tahoma"/>
            <family val="2"/>
          </rPr>
          <t xml:space="preserve">
reverse lockdown impact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McAlister, Ella (Research)</author>
  </authors>
  <commentList>
    <comment ref="AN3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McAlister, Ella (Research):</t>
        </r>
        <r>
          <rPr>
            <sz val="9"/>
            <color indexed="81"/>
            <rFont val="Tahoma"/>
            <family val="2"/>
          </rPr>
          <t xml:space="preserve">
reverse texas freeze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<sst xmlns="http://schemas.openxmlformats.org/spreadsheetml/2006/main" count="1661" uniqueCount="1017">
  <si>
    <t>Australia</t>
  </si>
  <si>
    <t xml:space="preserve"> Total dividend amount</t>
  </si>
  <si>
    <t>Total cash dividend paid</t>
  </si>
  <si>
    <t>EBIT Interest Cover</t>
  </si>
  <si>
    <t xml:space="preserve">Profit </t>
  </si>
  <si>
    <t>Reported</t>
  </si>
  <si>
    <t>EPS</t>
  </si>
  <si>
    <t>EPS growth</t>
  </si>
  <si>
    <t>Sales Growth</t>
  </si>
  <si>
    <t>Total EBIT</t>
  </si>
  <si>
    <t>PE</t>
  </si>
  <si>
    <t xml:space="preserve">Inventory/Sales </t>
  </si>
  <si>
    <t>Debtors/Sales</t>
  </si>
  <si>
    <t>Creditors/Sales</t>
  </si>
  <si>
    <t>Stock Turnover</t>
  </si>
  <si>
    <t>Days</t>
  </si>
  <si>
    <t>Debtors Days</t>
  </si>
  <si>
    <t>Creditors Days</t>
  </si>
  <si>
    <t>Inventory - closing</t>
  </si>
  <si>
    <t>Debtors - closing</t>
  </si>
  <si>
    <t>Creditors - closing</t>
  </si>
  <si>
    <t>EBIT Margin</t>
  </si>
  <si>
    <t>Shares on issue</t>
  </si>
  <si>
    <t>Shares at beginning</t>
  </si>
  <si>
    <t>Share issues/bought back</t>
  </si>
  <si>
    <t>Discounted FCF</t>
  </si>
  <si>
    <t>WACC</t>
  </si>
  <si>
    <t>(Increase) in Working Capital</t>
  </si>
  <si>
    <t>Investing Capex</t>
  </si>
  <si>
    <t>Capex - Maintenance</t>
  </si>
  <si>
    <t>Acquisitions/Investments</t>
  </si>
  <si>
    <t>Asset Sale Proceeds</t>
  </si>
  <si>
    <t>Total Investments</t>
  </si>
  <si>
    <t>Financing Cash Flow</t>
  </si>
  <si>
    <t>Cash Dividends Paid</t>
  </si>
  <si>
    <t>Equity Issues</t>
  </si>
  <si>
    <t>Incr/(Decr) in Debt</t>
  </si>
  <si>
    <t>Total Financing</t>
  </si>
  <si>
    <t>FX adjustments on cash</t>
  </si>
  <si>
    <t>Net Cashflow</t>
  </si>
  <si>
    <t>ROA</t>
  </si>
  <si>
    <t>Other Operating Costs</t>
  </si>
  <si>
    <t>Gearing (ND/ND+E)</t>
  </si>
  <si>
    <t>ND/EBITDA</t>
  </si>
  <si>
    <t>Total Non-Current Assets</t>
  </si>
  <si>
    <t>Total Assets</t>
  </si>
  <si>
    <t>Pre-Tax profit</t>
  </si>
  <si>
    <t>Taxation Expense</t>
  </si>
  <si>
    <t>NPAT Growth</t>
  </si>
  <si>
    <t>Significant items (pre tax)</t>
  </si>
  <si>
    <t>Tax on significant items</t>
  </si>
  <si>
    <t xml:space="preserve">Reported Profit </t>
  </si>
  <si>
    <t>Gearing (ND/E)</t>
  </si>
  <si>
    <t>DCF</t>
  </si>
  <si>
    <t>Operating EBITDA</t>
  </si>
  <si>
    <t>Total Dividend to be Paid ($M)</t>
  </si>
  <si>
    <t>D&amp;A</t>
  </si>
  <si>
    <t>Profit (normalised)</t>
  </si>
  <si>
    <t>Reserves</t>
  </si>
  <si>
    <t>Total liabilities</t>
  </si>
  <si>
    <t>Net assets</t>
  </si>
  <si>
    <t>Shareholders equity</t>
  </si>
  <si>
    <t>1H14</t>
  </si>
  <si>
    <t>2H14</t>
  </si>
  <si>
    <t>FY14</t>
  </si>
  <si>
    <t>Adjusted EPS</t>
  </si>
  <si>
    <t>Capex-Expansionary</t>
  </si>
  <si>
    <t>Total capex</t>
  </si>
  <si>
    <t>Return on assets</t>
  </si>
  <si>
    <t>BALANCE SHEET - Summary</t>
  </si>
  <si>
    <t>Cash &amp; Equivalent</t>
  </si>
  <si>
    <t>Return on Capital Emp (ROCE)</t>
  </si>
  <si>
    <t>Return on Equity (ROE)</t>
  </si>
  <si>
    <t>Current tax liabilities</t>
  </si>
  <si>
    <t>Less Interest Income</t>
  </si>
  <si>
    <t>Total Current Assets</t>
  </si>
  <si>
    <t>%</t>
  </si>
  <si>
    <t>Total Current Liabilities</t>
  </si>
  <si>
    <t>A</t>
  </si>
  <si>
    <t>AUD</t>
  </si>
  <si>
    <t>x</t>
  </si>
  <si>
    <t>Depreciation &amp; Amortisation</t>
  </si>
  <si>
    <t>Housing starts</t>
  </si>
  <si>
    <t>Starts with Qtr lag</t>
  </si>
  <si>
    <t>1H15</t>
  </si>
  <si>
    <t>2H15</t>
  </si>
  <si>
    <t>FY15</t>
  </si>
  <si>
    <t>1H16</t>
  </si>
  <si>
    <t>2H16</t>
  </si>
  <si>
    <t>FY16</t>
  </si>
  <si>
    <t>1H17</t>
  </si>
  <si>
    <t>2H17</t>
  </si>
  <si>
    <t>FY17</t>
  </si>
  <si>
    <t>1H18</t>
  </si>
  <si>
    <t>2H18</t>
  </si>
  <si>
    <t>EPS growth (adj)</t>
  </si>
  <si>
    <t>Goodwill</t>
  </si>
  <si>
    <t>Group EBIT Margin</t>
  </si>
  <si>
    <t>INCOME STATEMENT - Analysis</t>
  </si>
  <si>
    <t>Cash Opening Balance</t>
  </si>
  <si>
    <t>Cash Closing Balance</t>
  </si>
  <si>
    <t>Average balance</t>
  </si>
  <si>
    <t>Forecast Int rate</t>
  </si>
  <si>
    <t>1H13</t>
  </si>
  <si>
    <t>2H13</t>
  </si>
  <si>
    <t>Gross Profit</t>
  </si>
  <si>
    <t>EBIT Margins</t>
  </si>
  <si>
    <t>Tax Calculation</t>
  </si>
  <si>
    <t>Pre-tax profit + goodwill</t>
  </si>
  <si>
    <t>Add other non-deduct</t>
  </si>
  <si>
    <t>Taxable Income</t>
  </si>
  <si>
    <t>Applied Corporate Tax Rate</t>
  </si>
  <si>
    <t>Calculated Tax Expense</t>
  </si>
  <si>
    <t>Reported Tax Expense</t>
  </si>
  <si>
    <t>INCOME STATEMENT</t>
  </si>
  <si>
    <t>Dividend cash outflow</t>
  </si>
  <si>
    <t>Div amt from previous period</t>
  </si>
  <si>
    <t>Total Liabilities</t>
  </si>
  <si>
    <t>EBIT interest cover</t>
  </si>
  <si>
    <t>Dividend per share</t>
  </si>
  <si>
    <t>Ordinary</t>
  </si>
  <si>
    <t>Special</t>
  </si>
  <si>
    <t>Total</t>
  </si>
  <si>
    <t>Payout Ratio</t>
  </si>
  <si>
    <t>CASH FLOW - Summary</t>
  </si>
  <si>
    <t>Operating EBITDA (inc writedowns)</t>
  </si>
  <si>
    <t xml:space="preserve">Net Interest Paid </t>
  </si>
  <si>
    <t>Tax Paid</t>
  </si>
  <si>
    <t>Addtions/Acquisitions</t>
  </si>
  <si>
    <t>Disposal - BV</t>
  </si>
  <si>
    <t>Other/revaluation</t>
  </si>
  <si>
    <t>Depreciation &amp; Amort</t>
  </si>
  <si>
    <t>Closing P,P&amp;E (Net)</t>
  </si>
  <si>
    <t>Calculated Depreciation</t>
  </si>
  <si>
    <t>Reported Depreciation</t>
  </si>
  <si>
    <t>Financial Debt Long term</t>
  </si>
  <si>
    <t>Provisions (non tax)</t>
  </si>
  <si>
    <t>Minorities</t>
  </si>
  <si>
    <t>Total non-current liabilities</t>
  </si>
  <si>
    <t>Cost of Equity</t>
  </si>
  <si>
    <t>Cost of Debt</t>
  </si>
  <si>
    <t>Current assets</t>
  </si>
  <si>
    <t>Total Working Capital</t>
  </si>
  <si>
    <t>Miscellaneous</t>
  </si>
  <si>
    <t>Reported NTA</t>
  </si>
  <si>
    <t>$ps</t>
  </si>
  <si>
    <t>Closing Cap. Employed</t>
  </si>
  <si>
    <t>Net interest expense</t>
  </si>
  <si>
    <t>Total assets</t>
  </si>
  <si>
    <t>FY18</t>
  </si>
  <si>
    <t>1H19</t>
  </si>
  <si>
    <t>2H19</t>
  </si>
  <si>
    <t>FY19</t>
  </si>
  <si>
    <t>1H20</t>
  </si>
  <si>
    <t>2H20</t>
  </si>
  <si>
    <t>FY20</t>
  </si>
  <si>
    <t>EBITDA margin</t>
  </si>
  <si>
    <t>Segment Assets</t>
  </si>
  <si>
    <t>1H21</t>
  </si>
  <si>
    <t>2H21</t>
  </si>
  <si>
    <t>FY21</t>
  </si>
  <si>
    <t>Total Revenue</t>
  </si>
  <si>
    <t>Tax rate</t>
  </si>
  <si>
    <t xml:space="preserve"> Ordinary</t>
  </si>
  <si>
    <t xml:space="preserve"> Special</t>
  </si>
  <si>
    <t xml:space="preserve"> Total</t>
  </si>
  <si>
    <t>Output</t>
  </si>
  <si>
    <t>ND</t>
  </si>
  <si>
    <t>Net debt</t>
  </si>
  <si>
    <t>Maint Capex/Depreciation</t>
  </si>
  <si>
    <t>Depreciation Calculations</t>
  </si>
  <si>
    <t>Net Interest Expense</t>
  </si>
  <si>
    <t>A$m</t>
  </si>
  <si>
    <t>Total D&amp;A</t>
  </si>
  <si>
    <t>DPS growth</t>
  </si>
  <si>
    <t>DRP adjustment</t>
  </si>
  <si>
    <t>Dividend yield</t>
  </si>
  <si>
    <t>Dividends</t>
  </si>
  <si>
    <t>Total non-current assets</t>
  </si>
  <si>
    <t>% chg</t>
  </si>
  <si>
    <t>DPS (cps)</t>
  </si>
  <si>
    <t>Revenue</t>
  </si>
  <si>
    <t>EBITDA</t>
  </si>
  <si>
    <t>EBIT</t>
  </si>
  <si>
    <t>NPAT</t>
  </si>
  <si>
    <t>Operating Cashflow</t>
  </si>
  <si>
    <t>Returns Summary</t>
  </si>
  <si>
    <t>Return on Assets (ROA)</t>
  </si>
  <si>
    <t>Current liabilities</t>
  </si>
  <si>
    <t>Borrowings</t>
  </si>
  <si>
    <t>Provisions</t>
  </si>
  <si>
    <t>Total current liabilities</t>
  </si>
  <si>
    <t>Non-current liabilities</t>
  </si>
  <si>
    <t>COGS</t>
  </si>
  <si>
    <t>Effective tax rate</t>
  </si>
  <si>
    <t>Other Current Assets</t>
  </si>
  <si>
    <t>Non-Current Assets</t>
  </si>
  <si>
    <t>Fixed Assets (P, P&amp;E)</t>
  </si>
  <si>
    <t>Working capital</t>
  </si>
  <si>
    <t>total yield</t>
  </si>
  <si>
    <t>ordinary yield</t>
  </si>
  <si>
    <t>Financial Debt - S/T</t>
  </si>
  <si>
    <t>Retained profits</t>
  </si>
  <si>
    <t>Minority interest</t>
  </si>
  <si>
    <t>CASH FLOW - Calculations</t>
  </si>
  <si>
    <t>Net Debt Summary</t>
  </si>
  <si>
    <t>Cash &amp; S/T Deposits</t>
  </si>
  <si>
    <t>Other financial debt</t>
  </si>
  <si>
    <t>Closing Net Debt</t>
  </si>
  <si>
    <t>Movement in Net Debt</t>
  </si>
  <si>
    <t>Interest Expense Calculations</t>
  </si>
  <si>
    <t>1H Split for averages</t>
  </si>
  <si>
    <t>Forecast interest rate</t>
  </si>
  <si>
    <t>Price per share ($/ps)</t>
  </si>
  <si>
    <t>Number of shares issued/bought back (m)</t>
  </si>
  <si>
    <t>Receivables</t>
  </si>
  <si>
    <t>Inventories</t>
  </si>
  <si>
    <t>Other</t>
  </si>
  <si>
    <t>Total current assets</t>
  </si>
  <si>
    <t>Working Capital</t>
  </si>
  <si>
    <t>Other issues</t>
  </si>
  <si>
    <t>Shares at period end</t>
  </si>
  <si>
    <t xml:space="preserve">Weighted average Shares </t>
  </si>
  <si>
    <t>Sales</t>
  </si>
  <si>
    <t>Pre-tax profit</t>
  </si>
  <si>
    <t>Growth</t>
  </si>
  <si>
    <t>EBIT margin</t>
  </si>
  <si>
    <t>Total Non-Current Liabilities</t>
  </si>
  <si>
    <t>Net Assets</t>
  </si>
  <si>
    <t>Issued capital</t>
  </si>
  <si>
    <t>Total Shareholders Equity</t>
  </si>
  <si>
    <t>BALANCE SHEET - Calculations</t>
  </si>
  <si>
    <t>ETR as reported</t>
  </si>
  <si>
    <t>E</t>
  </si>
  <si>
    <t>Unrecorded goodwill</t>
  </si>
  <si>
    <t>Shareholders Equity Schedule</t>
  </si>
  <si>
    <t>Opening Balance</t>
  </si>
  <si>
    <t>Issuance of Stock</t>
  </si>
  <si>
    <t>Net Income</t>
  </si>
  <si>
    <t>AOCI</t>
  </si>
  <si>
    <t>Closing balance</t>
  </si>
  <si>
    <t>Depriciation</t>
  </si>
  <si>
    <t>A$</t>
  </si>
  <si>
    <t>Weighted average Shares (Diluted)</t>
  </si>
  <si>
    <t xml:space="preserve">EBIT </t>
  </si>
  <si>
    <t>1H22</t>
  </si>
  <si>
    <t>2H22</t>
  </si>
  <si>
    <t>FY22</t>
  </si>
  <si>
    <t>1H23</t>
  </si>
  <si>
    <t>2H23</t>
  </si>
  <si>
    <t>FY23</t>
  </si>
  <si>
    <t>1H24</t>
  </si>
  <si>
    <t>2H24</t>
  </si>
  <si>
    <t>FY24</t>
  </si>
  <si>
    <t>1H25</t>
  </si>
  <si>
    <t>2H25</t>
  </si>
  <si>
    <t>FY25</t>
  </si>
  <si>
    <t>Calculated Interest Income</t>
  </si>
  <si>
    <t>Interest Income Hardcoded</t>
  </si>
  <si>
    <t>&lt;-- Run cash balancer</t>
  </si>
  <si>
    <t>Balancing error ---&gt;</t>
  </si>
  <si>
    <t>Interest Income Calculations</t>
  </si>
  <si>
    <t>Balancing error</t>
  </si>
  <si>
    <t>Actual / Estimate Flag (MUST ENTER)</t>
  </si>
  <si>
    <t>Deferred Tax assets</t>
  </si>
  <si>
    <t>External revenue</t>
  </si>
  <si>
    <t>Internal revenue</t>
  </si>
  <si>
    <t>Segment liabilities</t>
  </si>
  <si>
    <t>RONA</t>
  </si>
  <si>
    <t>Year Ending June 30</t>
  </si>
  <si>
    <t>Live linked</t>
  </si>
  <si>
    <t>Margin %</t>
  </si>
  <si>
    <t>Income statement (A$m)</t>
  </si>
  <si>
    <t>A$ per share</t>
  </si>
  <si>
    <t>Now</t>
  </si>
  <si>
    <t>Current share price</t>
  </si>
  <si>
    <t>Last close</t>
  </si>
  <si>
    <t>Price target</t>
  </si>
  <si>
    <t>PT</t>
  </si>
  <si>
    <t>Implied upside to target price</t>
  </si>
  <si>
    <t>Projected return (including dividend)</t>
  </si>
  <si>
    <t>Model checks</t>
  </si>
  <si>
    <t>Shares on issue (m)</t>
  </si>
  <si>
    <t>Tax expense</t>
  </si>
  <si>
    <t>Significant Items after tax</t>
  </si>
  <si>
    <t>PE relative</t>
  </si>
  <si>
    <t>Reported EPS (cps)</t>
  </si>
  <si>
    <t>Average valuation</t>
  </si>
  <si>
    <t>Appropriate discount</t>
  </si>
  <si>
    <t>Franking (%)</t>
  </si>
  <si>
    <t>Segmental EBIT (A$m)</t>
  </si>
  <si>
    <t>Upside (downside to current)</t>
  </si>
  <si>
    <t>Div yield</t>
  </si>
  <si>
    <t>Total return</t>
  </si>
  <si>
    <t>Cash flow statement (A$m)</t>
  </si>
  <si>
    <t>Operating EBITDA ex sig items</t>
  </si>
  <si>
    <t>Net interest paid</t>
  </si>
  <si>
    <t>Tax paid</t>
  </si>
  <si>
    <t>Key earnings ratios</t>
  </si>
  <si>
    <t>Revenue growth YoY</t>
  </si>
  <si>
    <t>EPS growth (adjusted)</t>
  </si>
  <si>
    <t>Free cash flow yield</t>
  </si>
  <si>
    <t>Payout ratio</t>
  </si>
  <si>
    <t>Equity raised / (repurchased)</t>
  </si>
  <si>
    <t>Net borrowings / (repaid)</t>
  </si>
  <si>
    <t>Balance sheet (A$m)</t>
  </si>
  <si>
    <t>Cash</t>
  </si>
  <si>
    <t>Return on equity</t>
  </si>
  <si>
    <t>Other current assets</t>
  </si>
  <si>
    <t>Ratio analysis (%)</t>
  </si>
  <si>
    <t>Fixed assets (P, P&amp;E)</t>
  </si>
  <si>
    <t>Capex/depreciation (x)</t>
  </si>
  <si>
    <t>AU housing starts</t>
  </si>
  <si>
    <t>Accounts payable</t>
  </si>
  <si>
    <t>Financial debt - S/T</t>
  </si>
  <si>
    <t>Financial debt - L/T</t>
  </si>
  <si>
    <t>Total shareholder funds</t>
  </si>
  <si>
    <t>Operating cash flows</t>
  </si>
  <si>
    <t>Investing cash flows</t>
  </si>
  <si>
    <t>Financing cash flows</t>
  </si>
  <si>
    <t xml:space="preserve">Projected return </t>
  </si>
  <si>
    <t>Valuation summary</t>
  </si>
  <si>
    <t>Trading multiples (x)</t>
  </si>
  <si>
    <t>Balance sheet debt metrics</t>
  </si>
  <si>
    <t>Return metrics</t>
  </si>
  <si>
    <t>Key assumptions</t>
  </si>
  <si>
    <t>AU housing starts % chg</t>
  </si>
  <si>
    <t>AUD/USD exchange rate</t>
  </si>
  <si>
    <t>All fiscal years are on a June year-end basis</t>
  </si>
  <si>
    <t>A$/share</t>
  </si>
  <si>
    <t>Other Intangibles</t>
  </si>
  <si>
    <t>US repairs and renovations % chg</t>
  </si>
  <si>
    <t>Method</t>
  </si>
  <si>
    <t xml:space="preserve">Weight </t>
  </si>
  <si>
    <t>Average</t>
  </si>
  <si>
    <t>Valuation</t>
  </si>
  <si>
    <t>vs. current share px</t>
  </si>
  <si>
    <t>Cashflow Timing Calculation</t>
  </si>
  <si>
    <t>Current Date</t>
  </si>
  <si>
    <t>Last Balance Date</t>
  </si>
  <si>
    <t>Next Balance Date</t>
  </si>
  <si>
    <t>WACC inputs</t>
  </si>
  <si>
    <t>Share price</t>
  </si>
  <si>
    <t>Market cap</t>
  </si>
  <si>
    <t>EV</t>
  </si>
  <si>
    <t>Long term growth rate</t>
  </si>
  <si>
    <t>Target Gearing Ratio</t>
  </si>
  <si>
    <t>(1- Target Gearing Ratio)</t>
  </si>
  <si>
    <t>Debt/Equity ratio</t>
  </si>
  <si>
    <t>Equity beta</t>
  </si>
  <si>
    <t>RF rate</t>
  </si>
  <si>
    <t>Debt premium</t>
  </si>
  <si>
    <t>MRP</t>
  </si>
  <si>
    <t>DCF Operating Cash Flows</t>
  </si>
  <si>
    <t>Terminal</t>
  </si>
  <si>
    <t>Other income/(exp.) &amp; abnormals</t>
  </si>
  <si>
    <t>Tax rate (pre tax losses)</t>
  </si>
  <si>
    <t>(Incr) in Working Capital</t>
  </si>
  <si>
    <t>Total Capex</t>
  </si>
  <si>
    <t>Disposals/Capital Raised</t>
  </si>
  <si>
    <t>Free cash flow</t>
  </si>
  <si>
    <t>FCF Timing Factor</t>
  </si>
  <si>
    <t>Discount Factor</t>
  </si>
  <si>
    <t>Terminal value</t>
  </si>
  <si>
    <t>$m</t>
  </si>
  <si>
    <t>Explicit Cashflows</t>
  </si>
  <si>
    <t>Terminal Item</t>
  </si>
  <si>
    <t>Post Corp Tax CF Value</t>
  </si>
  <si>
    <t>Add associates at 15x</t>
  </si>
  <si>
    <t>Add: Land value</t>
  </si>
  <si>
    <t>Total Firm Value</t>
  </si>
  <si>
    <t>Alternative Equity Claims</t>
  </si>
  <si>
    <t>Total Equity Value</t>
  </si>
  <si>
    <t>No Shares</t>
  </si>
  <si>
    <t>Per Share Value</t>
  </si>
  <si>
    <t>Inputs</t>
  </si>
  <si>
    <t>Premium (discount)</t>
  </si>
  <si>
    <t>Discounted PE (x)</t>
  </si>
  <si>
    <t>Implied share price</t>
  </si>
  <si>
    <t>Current</t>
  </si>
  <si>
    <t>MULTIPLES INPUTS</t>
  </si>
  <si>
    <t>Overdraft</t>
  </si>
  <si>
    <t>Trade and Other Payables</t>
  </si>
  <si>
    <t>Trade and Other Recievables</t>
  </si>
  <si>
    <t>Calculated Interest Expense</t>
  </si>
  <si>
    <t>Interest Expense Hardcoded</t>
  </si>
  <si>
    <t>Average Debt</t>
  </si>
  <si>
    <t>Closing Debt Balance</t>
  </si>
  <si>
    <t>Opening Debt Balance</t>
  </si>
  <si>
    <t>n</t>
  </si>
  <si>
    <t>c</t>
  </si>
  <si>
    <t>Franked %</t>
  </si>
  <si>
    <t>Underlying EBITDA</t>
  </si>
  <si>
    <t>Underlying EBIT</t>
  </si>
  <si>
    <t>A$mn</t>
  </si>
  <si>
    <t>Equity Issues/ (buyback)</t>
  </si>
  <si>
    <t>US$mn</t>
  </si>
  <si>
    <t>New Construction - Commercial</t>
  </si>
  <si>
    <t>Real GDP Growth</t>
  </si>
  <si>
    <t>Nominal GDP growth</t>
  </si>
  <si>
    <t>CPI (underlying)</t>
  </si>
  <si>
    <t>Repair and Renovation</t>
  </si>
  <si>
    <t>Revenue End Markets</t>
  </si>
  <si>
    <t>Market Drivers - Australia</t>
  </si>
  <si>
    <t>AU Sales Growth</t>
  </si>
  <si>
    <t>No.</t>
  </si>
  <si>
    <t>Market Drivers - USA</t>
  </si>
  <si>
    <t>USA Sales Growth</t>
  </si>
  <si>
    <t>Margin</t>
  </si>
  <si>
    <t>New Construction - Detached</t>
  </si>
  <si>
    <t>New Construction - Apartment</t>
  </si>
  <si>
    <t xml:space="preserve"> - Volume</t>
  </si>
  <si>
    <t xml:space="preserve"> - Price</t>
  </si>
  <si>
    <t xml:space="preserve"> - Other</t>
  </si>
  <si>
    <t>Capex - Expansionary</t>
  </si>
  <si>
    <t>US Housing SF starts</t>
  </si>
  <si>
    <t>US Housing SF starts % chg</t>
  </si>
  <si>
    <t>FY19A</t>
  </si>
  <si>
    <t>FY17A</t>
  </si>
  <si>
    <t>Key Drivers</t>
  </si>
  <si>
    <t>Australian housing starts (n) change</t>
  </si>
  <si>
    <t>US single family housing starts (n) change</t>
  </si>
  <si>
    <t>US repairs &amp; remodelling spend ($) change</t>
  </si>
  <si>
    <r>
      <t>Free cash flow</t>
    </r>
    <r>
      <rPr>
        <sz val="8"/>
        <rFont val="Arial"/>
        <family val="2"/>
      </rPr>
      <t xml:space="preserve"> (op cash flow less capex)</t>
    </r>
  </si>
  <si>
    <t xml:space="preserve">Growth </t>
  </si>
  <si>
    <t>Timing factor for Period 1</t>
  </si>
  <si>
    <t>$per share</t>
  </si>
  <si>
    <t>Proportional Cost of Equity</t>
  </si>
  <si>
    <t>PE Relative</t>
  </si>
  <si>
    <t>Value A$</t>
  </si>
  <si>
    <t>EV/EBITDA</t>
  </si>
  <si>
    <t>EV/EBIT</t>
  </si>
  <si>
    <t>P/E</t>
  </si>
  <si>
    <t>ASX200 Industrials ex Financials</t>
  </si>
  <si>
    <t>Index multiple</t>
  </si>
  <si>
    <t>Discount</t>
  </si>
  <si>
    <t>Prior</t>
  </si>
  <si>
    <t>Change</t>
  </si>
  <si>
    <t>Price</t>
  </si>
  <si>
    <t>Volume</t>
  </si>
  <si>
    <t>Debt adjustment (leases)</t>
  </si>
  <si>
    <t>Valuation Summary</t>
  </si>
  <si>
    <t>FY20A</t>
  </si>
  <si>
    <t>Adj. EBITDA</t>
  </si>
  <si>
    <t>Bull case</t>
  </si>
  <si>
    <t>Bear case</t>
  </si>
  <si>
    <t>Reece Limited</t>
  </si>
  <si>
    <t>REH.AX</t>
  </si>
  <si>
    <t>Reece Ltd</t>
  </si>
  <si>
    <t>FY13</t>
  </si>
  <si>
    <t>1H12</t>
  </si>
  <si>
    <t>2H12</t>
  </si>
  <si>
    <t>FY12</t>
  </si>
  <si>
    <t>1H11</t>
  </si>
  <si>
    <t>2H11</t>
  </si>
  <si>
    <t>FY11</t>
  </si>
  <si>
    <t>1H10</t>
  </si>
  <si>
    <t>2H10</t>
  </si>
  <si>
    <t>FY10</t>
  </si>
  <si>
    <t>Right-of-use assets</t>
  </si>
  <si>
    <t>Intangible assets</t>
  </si>
  <si>
    <t>Other non-current assets</t>
  </si>
  <si>
    <t>Lease liabilities</t>
  </si>
  <si>
    <t>Other current liabilities</t>
  </si>
  <si>
    <t>Deferred tax</t>
  </si>
  <si>
    <t>Long-term payables</t>
  </si>
  <si>
    <t>Payments of lease liabilities</t>
  </si>
  <si>
    <t>REH VALUATION</t>
  </si>
  <si>
    <t>REH market cap</t>
  </si>
  <si>
    <t>ANZ</t>
  </si>
  <si>
    <t>USA</t>
  </si>
  <si>
    <t>USA forecast</t>
  </si>
  <si>
    <t>Total Sales Growth</t>
  </si>
  <si>
    <t>Group EBITDA Margin</t>
  </si>
  <si>
    <t>Sales growth - constant currency:</t>
  </si>
  <si>
    <t>Working capital/Sales</t>
  </si>
  <si>
    <t>Reported NPAT</t>
  </si>
  <si>
    <r>
      <t>Price target</t>
    </r>
    <r>
      <rPr>
        <i/>
        <sz val="8"/>
        <color theme="1"/>
        <rFont val="Arial"/>
        <family val="2"/>
      </rPr>
      <t xml:space="preserve"> (rounded to nearest 10c)</t>
    </r>
  </si>
  <si>
    <t>Group EBIT</t>
  </si>
  <si>
    <t>Revenue growth</t>
  </si>
  <si>
    <t>External sales growth</t>
  </si>
  <si>
    <t>US$m</t>
  </si>
  <si>
    <t>Market growth</t>
  </si>
  <si>
    <t>Net Debt</t>
  </si>
  <si>
    <t>Other liabilities</t>
  </si>
  <si>
    <t xml:space="preserve">Interest on borrowings </t>
  </si>
  <si>
    <t>1H19A</t>
  </si>
  <si>
    <t>2H19A</t>
  </si>
  <si>
    <t>1H20A</t>
  </si>
  <si>
    <t>2H20A</t>
  </si>
  <si>
    <t>1H21A</t>
  </si>
  <si>
    <t>FY14A</t>
  </si>
  <si>
    <t>FY15A</t>
  </si>
  <si>
    <t>FY16A</t>
  </si>
  <si>
    <t>FY18A</t>
  </si>
  <si>
    <t>FY25E</t>
  </si>
  <si>
    <t>Non-Res Construction Work Done US$b</t>
  </si>
  <si>
    <t>Single Family Housing Starts</t>
  </si>
  <si>
    <t>Non-residential work done</t>
  </si>
  <si>
    <t>US$b</t>
  </si>
  <si>
    <t>Margin growth</t>
  </si>
  <si>
    <t xml:space="preserve">Margin growth </t>
  </si>
  <si>
    <t>- Operating leverage</t>
  </si>
  <si>
    <t>- Other swing factors</t>
  </si>
  <si>
    <t>Alterations &amp; Additions</t>
  </si>
  <si>
    <t>Detached starts</t>
  </si>
  <si>
    <t>Non-res construction work done (A$m)</t>
  </si>
  <si>
    <t>Single Family Starts - 1Qtr lag</t>
  </si>
  <si>
    <t>Detached starts - 1Qtr lag</t>
  </si>
  <si>
    <t>Apartment starts - 1Qtr lag</t>
  </si>
  <si>
    <t>Housing starts - 1Qtr lag</t>
  </si>
  <si>
    <t>United States</t>
  </si>
  <si>
    <t>k</t>
  </si>
  <si>
    <t>Repair &amp; Remodel</t>
  </si>
  <si>
    <t>AUD/USD - paste values from below to update</t>
  </si>
  <si>
    <t>AUD/USD - linked</t>
  </si>
  <si>
    <t>A&amp;A - work commenced</t>
  </si>
  <si>
    <t>Apartment starts</t>
  </si>
  <si>
    <t>FY26E</t>
  </si>
  <si>
    <t>FY27E</t>
  </si>
  <si>
    <t>1H26</t>
  </si>
  <si>
    <t>2H26</t>
  </si>
  <si>
    <t>FY26</t>
  </si>
  <si>
    <t>1H27</t>
  </si>
  <si>
    <t>2H27</t>
  </si>
  <si>
    <t>FY27</t>
  </si>
  <si>
    <t>1H28</t>
  </si>
  <si>
    <t>2H28</t>
  </si>
  <si>
    <t>FY28</t>
  </si>
  <si>
    <t>1H29</t>
  </si>
  <si>
    <t>2H29</t>
  </si>
  <si>
    <t>FY29</t>
  </si>
  <si>
    <t>1H30</t>
  </si>
  <si>
    <t>2H30</t>
  </si>
  <si>
    <t>FY30</t>
  </si>
  <si>
    <t>2026E</t>
  </si>
  <si>
    <t>2027E</t>
  </si>
  <si>
    <t>2028E</t>
  </si>
  <si>
    <t>2029E</t>
  </si>
  <si>
    <t>2030E</t>
  </si>
  <si>
    <t>Revenue Breakdown</t>
  </si>
  <si>
    <t>Plumbing</t>
  </si>
  <si>
    <t>Waterworks</t>
  </si>
  <si>
    <t>HVAC</t>
  </si>
  <si>
    <t>Residential</t>
  </si>
  <si>
    <t>Commercial / Non Resi</t>
  </si>
  <si>
    <t>Engineering</t>
  </si>
  <si>
    <t>Sales growth</t>
  </si>
  <si>
    <t>D&amp;A on right-to-use assets</t>
  </si>
  <si>
    <t>D&amp;A on rights-to-use assets</t>
  </si>
  <si>
    <t>Impied D&amp;A on PPE</t>
  </si>
  <si>
    <t>Other/leases</t>
  </si>
  <si>
    <t>FY21A</t>
  </si>
  <si>
    <t>2H21A</t>
  </si>
  <si>
    <t>Realised rate</t>
  </si>
  <si>
    <t>Implied D&amp;A on PPE</t>
  </si>
  <si>
    <t>Other finance costs (FX loss, leases)</t>
  </si>
  <si>
    <t>Increase in WC</t>
  </si>
  <si>
    <t>1H22A</t>
  </si>
  <si>
    <t>FY22A</t>
  </si>
  <si>
    <t>FY23A</t>
  </si>
  <si>
    <t>FY24A</t>
  </si>
  <si>
    <t>1H14A</t>
  </si>
  <si>
    <t>2H14A</t>
  </si>
  <si>
    <t>1H15A</t>
  </si>
  <si>
    <t>2H15A</t>
  </si>
  <si>
    <t>1H16A</t>
  </si>
  <si>
    <t>2H16A</t>
  </si>
  <si>
    <t>1H17A</t>
  </si>
  <si>
    <t>2H17A</t>
  </si>
  <si>
    <t>1H18A</t>
  </si>
  <si>
    <t>2H18A</t>
  </si>
  <si>
    <t>2H22A</t>
  </si>
  <si>
    <t>1H23A</t>
  </si>
  <si>
    <t>2H23A</t>
  </si>
  <si>
    <t>1H24A</t>
  </si>
  <si>
    <t>2H24A</t>
  </si>
  <si>
    <t>1H26E</t>
  </si>
  <si>
    <t>2H26E</t>
  </si>
  <si>
    <t>1H27E</t>
  </si>
  <si>
    <t>2H27E</t>
  </si>
  <si>
    <t>1H28E</t>
  </si>
  <si>
    <t>2H28E</t>
  </si>
  <si>
    <t>FY28E</t>
  </si>
  <si>
    <t>1H29E</t>
  </si>
  <si>
    <t>2H29E</t>
  </si>
  <si>
    <t>FY29E</t>
  </si>
  <si>
    <t>1H30E</t>
  </si>
  <si>
    <t>2H30E</t>
  </si>
  <si>
    <t>FY30E</t>
  </si>
  <si>
    <t>1H25A</t>
  </si>
  <si>
    <r>
      <t xml:space="preserve">Price Target </t>
    </r>
    <r>
      <rPr>
        <i/>
        <sz val="8"/>
        <color theme="1"/>
        <rFont val="Arial"/>
        <family val="2"/>
      </rPr>
      <t>(rounded to 50c)</t>
    </r>
  </si>
  <si>
    <t>2H25A</t>
  </si>
  <si>
    <t>FY25A</t>
  </si>
  <si>
    <t xml:space="preserve">Remove premium/add discount for tough trading environment and recent price perfromance </t>
  </si>
  <si>
    <t xml:space="preserve">1 Austin Road West </t>
  </si>
  <si>
    <t xml:space="preserve">Kowloon </t>
  </si>
  <si>
    <t xml:space="preserve">Hong Kong </t>
  </si>
  <si>
    <t>Tel: +852 2848 5200</t>
  </si>
  <si>
    <t>Authors: Joseph Michael,Julianna Sick</t>
  </si>
  <si>
    <t>Date: 29 Jan 2026</t>
  </si>
  <si>
    <t>Ticker: REH.AX</t>
  </si>
  <si>
    <t>Stock Rating: Overweight</t>
  </si>
  <si>
    <t>Industry: Australia Industrials</t>
  </si>
  <si>
    <t>Industry View: In-Line</t>
  </si>
  <si>
    <t>Price as of 29 Jan 2026: 14.43</t>
  </si>
  <si>
    <t>Target Price: 16.00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</si>
  <si>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</si>
  <si>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</si>
  <si>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</si>
  <si>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</si>
  <si>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</si>
  <si>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</si>
  <si>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</si>
  <si>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</si>
  <si>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</si>
  <si>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</si>
  <si>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</si>
  <si>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</si>
  <si>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</si>
  <si>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</si>
  <si>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</si>
  <si>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</si>
  <si>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</si>
  <si>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</si>
  <si>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</si>
  <si>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</si>
  <si>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</si>
  <si>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</si>
  <si>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</si>
  <si>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</si>
  <si>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</si>
  <si>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</si>
  <si>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</si>
  <si>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</si>
  <si>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</si>
  <si>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</si>
  <si>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</si>
  <si>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</si>
  <si>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</si>
  <si>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</si>
  <si>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</si>
  <si>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</si>
  <si>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</si>
  <si>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</si>
  <si>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</si>
  <si>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</si>
  <si>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</si>
  <si>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</si>
  <si>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</si>
  <si>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</si>
  <si>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Michael, CFA.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</si>
  <si>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</si>
  <si>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</si>
  <si>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</si>
  <si>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</si>
  <si>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</si>
  <si>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</si>
  <si>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</si>
  <si>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</si>
  <si>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</si>
  <si>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</si>
  <si>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</si>
  <si>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</si>
  <si>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</si>
  <si>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</si>
  <si>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</si>
  <si>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</si>
  <si>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</si>
  <si>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</si>
  <si>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</si>
  <si>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</si>
  <si>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</si>
  <si>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</si>
  <si>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</si>
  <si>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</si>
  <si>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</si>
  <si>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</si>
  <si>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</si>
  <si>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</si>
  <si>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</si>
  <si>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</si>
  <si>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</si>
  <si>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</si>
  <si>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December 31,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</si>
  <si>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</si>
  <si>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</si>
  <si>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</si>
  <si>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</si>
  <si>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</si>
  <si>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</si>
  <si>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</si>
  <si>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</si>
  <si>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</si>
  <si>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</si>
  <si>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</si>
  <si>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</si>
  <si>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</si>
  <si>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</si>
  <si>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</si>
  <si>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</si>
  <si>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</si>
  <si>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</si>
  <si>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</si>
  <si>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</si>
  <si>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</si>
  <si>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</si>
  <si>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</si>
  <si>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</si>
  <si>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</si>
  <si>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</si>
  <si>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</si>
  <si>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</si>
  <si>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</si>
  <si>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</si>
  <si>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</si>
  <si>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</si>
  <si>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</si>
  <si>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</si>
  <si>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</si>
  <si>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</si>
  <si>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</si>
  <si>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</si>
  <si>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</si>
  <si>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</si>
  <si>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</si>
  <si>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</si>
  <si>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</si>
  <si>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</si>
  <si>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</si>
  <si>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</si>
  <si>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</si>
  <si>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</si>
  <si>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</si>
  <si>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</si>
  <si>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</si>
  <si>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</si>
  <si>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</si>
  <si>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</si>
  <si>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</si>
  <si>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</si>
  <si>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</si>
  <si>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</si>
  <si>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</si>
  <si>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</si>
  <si>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</si>
  <si>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</si>
  <si>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</si>
  <si>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</si>
  <si>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</si>
  <si>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</si>
  <si>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</si>
  <si>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</si>
  <si>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</si>
  <si>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</si>
  <si>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</si>
  <si>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</si>
  <si>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</si>
  <si>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</si>
  <si>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</si>
  <si>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</si>
  <si>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</si>
  <si>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</si>
  <si>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</si>
  <si>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</si>
  <si>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</si>
  <si>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</si>
  <si>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</si>
  <si>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</si>
  <si>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</si>
  <si>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</si>
  <si>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</si>
  <si>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</si>
  <si>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</si>
  <si>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</si>
  <si>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</si>
  <si>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</si>
  <si>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</si>
  <si>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</si>
  <si>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</si>
  <si>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</si>
  <si>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</si>
  <si>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</si>
  <si>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</si>
  <si>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</si>
  <si>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</si>
  <si>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</si>
  <si>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</si>
  <si>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</si>
  <si>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</si>
  <si>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</si>
  <si>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</si>
  <si>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</si>
  <si>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</si>
  <si>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</si>
  <si>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</si>
  <si>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</si>
  <si>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</si>
  <si>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</si>
  <si>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</si>
  <si>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</si>
  <si>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</si>
  <si>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</si>
  <si>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</si>
  <si>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</si>
  <si>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</si>
  <si>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</si>
  <si>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</si>
  <si>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</si>
  <si>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</si>
  <si>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</si>
  <si>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</si>
  <si>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</si>
  <si>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</si>
  <si>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</si>
  <si>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</si>
  <si>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</si>
  <si>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</si>
  <si>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</si>
  <si>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</si>
  <si>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</si>
  <si>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</si>
  <si>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</si>
  <si>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</si>
  <si>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</si>
  <si>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</si>
  <si>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</si>
  <si>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</si>
  <si>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</si>
  <si>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</si>
  <si>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</si>
  <si>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</si>
  <si>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</si>
  <si>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</si>
  <si>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</si>
  <si>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</si>
  <si>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</si>
  <si>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</si>
  <si>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</si>
  <si>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</si>
  <si>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</si>
  <si>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</si>
  <si>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</si>
  <si>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</si>
  <si>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</si>
  <si>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</si>
  <si>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</si>
  <si>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</si>
  <si>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</si>
  <si>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</si>
  <si>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</si>
  <si>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</si>
  <si>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</si>
  <si>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</si>
  <si>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</si>
  <si>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</si>
  <si>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</si>
  <si>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</si>
  <si>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</si>
  <si>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</si>
  <si>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</si>
  <si>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</si>
  <si>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</si>
  <si>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</si>
  <si>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</si>
  <si>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</si>
  <si>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</si>
  <si>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</si>
  <si>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</si>
  <si>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</si>
  <si>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</si>
  <si>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</si>
  <si>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</si>
  <si>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</si>
  <si>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</si>
  <si>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</si>
  <si>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</si>
  <si>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</si>
  <si>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</si>
  <si>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</si>
  <si>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</si>
  <si>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</si>
  <si>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</si>
  <si>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</si>
  <si>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</si>
  <si>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</si>
  <si>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</si>
  <si>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</si>
  <si>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</si>
  <si>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</si>
  <si>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</si>
  <si>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</si>
  <si>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</si>
  <si>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</si>
  <si>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</si>
  <si>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</si>
  <si>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</si>
  <si>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</si>
  <si>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</si>
  <si>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</si>
  <si>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</si>
  <si>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</si>
  <si>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</si>
  <si>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</si>
  <si>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</si>
  <si>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</si>
  <si>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</si>
  <si>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</si>
  <si>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</si>
  <si>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</si>
  <si>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</si>
  <si>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</si>
  <si>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</si>
  <si>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</si>
  <si>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</si>
  <si>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</si>
  <si>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</si>
  <si>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</si>
  <si>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</si>
  <si>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</si>
  <si>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</si>
  <si>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</si>
  <si>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</si>
  <si>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</si>
  <si>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</si>
  <si>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</si>
  <si>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</si>
  <si>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</si>
  <si>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</si>
  <si>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</si>
  <si>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</si>
  <si>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</si>
  <si>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</si>
  <si>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</si>
  <si>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</si>
  <si>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01/29/26 10:51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</si>
  <si>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</si>
  <si>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</si>
  <si>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</si>
  <si>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</si>
  <si>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</si>
  <si>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</si>
  <si>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</si>
  <si>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</si>
  <si>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</si>
  <si>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</si>
  <si>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</si>
  <si>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</si>
  <si>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</si>
  <si>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</si>
  <si>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</si>
  <si>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</si>
  <si>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</si>
  <si>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</si>
  <si>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</si>
  <si>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</si>
  <si>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</si>
  <si>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</si>
  <si>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MSA13NLV, MSA6G101</t>
  </si>
  <si>
    <t>Tickers</t>
  </si>
  <si>
    <t>CUSIP</t>
  </si>
  <si>
    <t>RIC</t>
  </si>
  <si>
    <t>SEDOL</t>
  </si>
  <si>
    <t>6728801</t>
  </si>
  <si>
    <t>Current Stock Price</t>
  </si>
  <si>
    <t>14.43</t>
  </si>
  <si>
    <t>Currency</t>
  </si>
  <si>
    <t>PathName</t>
  </si>
  <si>
    <t>L:\USERS\Building Materials\2. CURRENT MODELS\MS_REH_Current.xlsm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</si>
  <si>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</si>
  <si>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</si>
  <si>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</si>
  <si>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</si>
  <si>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</si>
  <si>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</si>
  <si>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</si>
  <si>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</si>
  <si>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</si>
  <si>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</si>
  <si>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</si>
  <si>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</si>
  <si>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</si>
  <si>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</si>
  <si>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</si>
  <si>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</si>
  <si>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</si>
  <si>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</si>
  <si>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</si>
  <si>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</si>
  <si>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</si>
  <si>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sickjul</t>
  </si>
  <si>
    <t>IndustryId</t>
  </si>
  <si>
    <t>1900000950</t>
  </si>
  <si>
    <t>TickerRegion</t>
  </si>
  <si>
    <t>5</t>
  </si>
  <si>
    <t>AdditionalInstructions</t>
  </si>
  <si>
    <t>*Estimated</t>
  </si>
  <si>
    <t>OwnerTeam</t>
  </si>
  <si>
    <t>I1502100231</t>
  </si>
  <si>
    <t>[BRO MSA]</t>
  </si>
  <si>
    <t>[DOCDAT 2026-01-29]</t>
  </si>
  <si>
    <t>[DOCTIME 10:51]</t>
  </si>
  <si>
    <t>[PSYM REH.AX(Reuters) (None)]</t>
  </si>
  <si>
    <t>[COU Australia]</t>
  </si>
  <si>
    <t>[PRODUCT MODEL]</t>
  </si>
  <si>
    <t>[ANA MSA6G101]</t>
  </si>
  <si>
    <t>[HL REH.AX Model]</t>
  </si>
  <si>
    <t>[IND Industrials]</t>
  </si>
  <si>
    <t>[EMAIL_ALERT YES]</t>
  </si>
  <si>
    <t>[PANA  MSA13NLV]</t>
  </si>
  <si>
    <t>[DISCIPLINE Company]</t>
  </si>
  <si>
    <t>[SUPPRESSED NO]</t>
  </si>
  <si>
    <t>This workbook contains formulas which intentionally use circular reference calculation. These calculations can be resolved as intended by the originating analyst by applying the following settings in the File &gt;&gt; Options &gt;&gt; Formulas:</t>
  </si>
  <si>
    <t>1) Select the Enable iterative calculation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</si>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</sst>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&quot;$&quot;#,##0.00_);\(&quot;$&quot;#,##0.00\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%"/>
    <numFmt numFmtId="169" formatCode="0.0"/>
    <numFmt numFmtId="170" formatCode="0.000"/>
    <numFmt numFmtId="171" formatCode="&quot;$&quot;#,##0.00"/>
    <numFmt numFmtId="172" formatCode="#,##0.0"/>
    <numFmt numFmtId="173" formatCode="_-* #,##0.0_-;\-* #,##0.0_-;_-* &quot;-&quot;??_-;_-@_-"/>
    <numFmt numFmtId="174" formatCode="_-* #,##0_-;\-* #,##0_-;_-* &quot;-&quot;??_-;_-@_-"/>
    <numFmt numFmtId="175" formatCode="#,##0.0;\(#,##0.0\)"/>
    <numFmt numFmtId="176" formatCode="0000&quot;F&quot;"/>
    <numFmt numFmtId="177" formatCode="_(* #,##0_);_(* \(#,##0\);_(* &quot;-&quot;??_);_(@_)"/>
    <numFmt numFmtId="178" formatCode="#,##0.0;\ \(#,##0.0\)"/>
    <numFmt numFmtId="179" formatCode="[$-809]dd\ mmmm\ yyyy;@"/>
    <numFmt numFmtId="180" formatCode="&quot;Share price as at:&quot;\ d/mm/yy\ h:mm\ &quot; AEST&quot;"/>
    <numFmt numFmtId="181" formatCode="0.0\x"/>
    <numFmt numFmtId="182" formatCode="&quot;Share price as at:&quot;\ dd\-mmm\-yy"/>
    <numFmt numFmtId="183" formatCode="0.0&quot;x&quot;"/>
    <numFmt numFmtId="184" formatCode="&quot;DCF VALUATION: A$&quot;#,##0.00;\(#,##0.0\)"/>
    <numFmt numFmtId="185" formatCode="&quot;P/E VALUATION: A$&quot;#,##0.00;\(#,##0.0\)"/>
    <numFmt numFmtId="186" formatCode="0.00000"/>
    <numFmt numFmtId="187" formatCode="_(* #,##0.0_);_(* \(#,##0.0\);_(* &quot;-&quot;_);_(@_)"/>
    <numFmt numFmtId="188" formatCode="#,##0.00000"/>
    <numFmt numFmtId="189" formatCode="0.000000000000"/>
    <numFmt numFmtId="190" formatCode="#,##0;\(#,##0\)"/>
  </numFmts>
  <fonts count="76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Helv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10"/>
      <color indexed="12"/>
      <name val="Arial"/>
      <family val="2"/>
    </font>
    <font>
      <sz val="10"/>
      <name val="MS Sans Serif"/>
      <family val="2"/>
    </font>
    <font>
      <sz val="8"/>
      <name val="Helvetica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8"/>
      <color indexed="56"/>
      <name val="Arial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Arial MT"/>
    </font>
    <font>
      <sz val="8"/>
      <color rgb="FF002060"/>
      <name val="Arial"/>
      <family val="2"/>
    </font>
    <font>
      <b/>
      <sz val="8"/>
      <color rgb="FF002060"/>
      <name val="Arial"/>
      <family val="2"/>
    </font>
    <font>
      <sz val="8"/>
      <color theme="0" tint="-0.14999847407452621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10"/>
      <name val="Helv"/>
      <charset val="204"/>
    </font>
    <font>
      <sz val="12"/>
      <name val="바탕체"/>
      <family val="3"/>
    </font>
    <font>
      <b/>
      <sz val="10"/>
      <color rgb="FFFFFFFF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8"/>
      <color rgb="FF0000FF"/>
      <name val="Arial"/>
      <family val="2"/>
    </font>
    <font>
      <b/>
      <u/>
      <sz val="8"/>
      <name val="Arial"/>
      <family val="2"/>
    </font>
    <font>
      <sz val="8"/>
      <color indexed="56"/>
      <name val="Arial"/>
      <family val="2"/>
    </font>
    <font>
      <i/>
      <sz val="8"/>
      <color theme="0" tint="-0.499984740745262"/>
      <name val="Arial"/>
      <family val="2"/>
    </font>
    <font>
      <i/>
      <sz val="8"/>
      <color theme="0" tint="-0.249977111117893"/>
      <name val="Arial"/>
      <family val="2"/>
    </font>
    <font>
      <b/>
      <u/>
      <sz val="8"/>
      <color rgb="FF002060"/>
      <name val="Arial"/>
      <family val="2"/>
    </font>
    <font>
      <i/>
      <sz val="8"/>
      <color rgb="FF0000FF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rgb="FF262A33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rgb="FF737272"/>
      <name val="Calibri"/>
      <family val="2"/>
      <scheme val="minor"/>
    </font>
    <font>
      <b/>
      <sz val="8"/>
      <color indexed="12"/>
      <name val="Arial"/>
      <family val="2"/>
    </font>
    <font>
      <b/>
      <i/>
      <u/>
      <sz val="8"/>
      <color indexed="12"/>
      <name val="Arial"/>
      <family val="2"/>
    </font>
    <font>
      <sz val="8"/>
      <color indexed="8"/>
      <name val="Arial"/>
      <family val="2"/>
    </font>
    <font>
      <sz val="8"/>
      <color rgb="FFC00000"/>
      <name val="Arial"/>
      <family val="2"/>
    </font>
    <font>
      <b/>
      <sz val="8"/>
      <color rgb="FF0070C0"/>
      <name val="Arial"/>
      <family val="2"/>
    </font>
    <font>
      <b/>
      <sz val="8"/>
      <color theme="0" tint="-0.34998626667073579"/>
      <name val="Arial"/>
      <family val="2"/>
    </font>
    <font>
      <b/>
      <u/>
      <sz val="8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sz val="8"/>
      <color rgb="FF0070C0"/>
      <name val="Arial"/>
      <family val="2"/>
    </font>
    <font>
      <i/>
      <sz val="8"/>
      <color theme="1"/>
      <name val="Arial"/>
      <family val="2"/>
    </font>
    <font>
      <sz val="8"/>
      <color rgb="FF0060A9"/>
      <name val="Arial"/>
      <family val="2"/>
    </font>
    <font>
      <sz val="8"/>
      <name val="Helv"/>
    </font>
    <font>
      <b/>
      <sz val="8"/>
      <color rgb="FF00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8"/>
      <color theme="1" tint="0.499984740745262"/>
      <name val="Arial"/>
      <family val="2"/>
    </font>
    <font>
      <b/>
      <sz val="8"/>
      <color rgb="FF0060A9"/>
      <name val="Arial"/>
      <family val="2"/>
    </font>
    <font>
      <i/>
      <sz val="8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color rgb="FF000000"/>
      <name val="Arial"/>
      <family val="2"/>
    </font>
    <font>
      <b/>
      <u/>
      <sz val="14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37CB1"/>
        <bgColor indexed="64"/>
      </patternFill>
    </fill>
    <fill>
      <patternFill patternType="solid">
        <fgColor rgb="FFEEF7F9" tint="0.54997405926694543"/>
        <bgColor indexed="64"/>
      </patternFill>
    </fill>
    <fill>
      <patternFill patternType="solid">
        <fgColor rgb="FF005AA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E6F1"/>
        <bgColor indexed="64"/>
      </patternFill>
    </fill>
    <fill>
      <patternFill patternType="solid">
        <fgColor indexed="65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6">
    <xf numFmtId="0" fontId="0" fillId="0" borderId="0"/>
    <xf numFmtId="167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14" fillId="0" borderId="0"/>
    <xf numFmtId="0" fontId="15" fillId="0" borderId="0"/>
    <xf numFmtId="0" fontId="16" fillId="0" borderId="0"/>
    <xf numFmtId="0" fontId="18" fillId="2" borderId="2">
      <protection locked="0"/>
    </xf>
    <xf numFmtId="175" fontId="20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19" fillId="0" borderId="0"/>
    <xf numFmtId="0" fontId="19" fillId="0" borderId="0"/>
    <xf numFmtId="0" fontId="24" fillId="0" borderId="0"/>
    <xf numFmtId="0" fontId="25" fillId="0" borderId="0">
      <alignment vertical="center"/>
    </xf>
    <xf numFmtId="0" fontId="26" fillId="0" borderId="0"/>
    <xf numFmtId="0" fontId="26" fillId="0" borderId="5">
      <alignment horizontal="centerContinuous"/>
    </xf>
    <xf numFmtId="0" fontId="27" fillId="0" borderId="5"/>
    <xf numFmtId="167" fontId="9" fillId="0" borderId="0" applyFont="0" applyFill="0" applyBorder="0" applyAlignment="0" applyProtection="0"/>
    <xf numFmtId="0" fontId="28" fillId="0" borderId="0"/>
    <xf numFmtId="0" fontId="9" fillId="0" borderId="0"/>
    <xf numFmtId="0" fontId="10" fillId="0" borderId="0"/>
    <xf numFmtId="0" fontId="34" fillId="0" borderId="0"/>
    <xf numFmtId="0" fontId="9" fillId="0" borderId="0"/>
    <xf numFmtId="0" fontId="9" fillId="0" borderId="0"/>
    <xf numFmtId="0" fontId="9" fillId="0" borderId="0"/>
    <xf numFmtId="167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35" fillId="0" borderId="0"/>
    <xf numFmtId="0" fontId="36" fillId="10" borderId="0" applyNumberFormat="0" applyAlignment="0" applyProtection="0"/>
    <xf numFmtId="0" fontId="8" fillId="11" borderId="0" applyNumberFormat="0" applyFont="0" applyBorder="0" applyAlignment="0" applyProtection="0"/>
    <xf numFmtId="0" fontId="64" fillId="0" borderId="0" applyBorder="0"/>
    <xf numFmtId="0" fontId="2" fillId="0" borderId="0"/>
    <xf numFmtId="0" fontId="9" fillId="0" borderId="0"/>
    <xf numFmtId="0" fontId="1" fillId="0" borderId="0"/>
    <xf numFmtId="9" fontId="1" fillId="0" borderId="0" applyFont="0" applyFill="0" applyBorder="0" applyAlignment="0" applyProtection="0"/>
  </cellStyleXfs>
  <cellXfs count="550">
    <xf numFmtId="0" fontId="0" fillId="0" borderId="0" xfId="0"/>
    <xf numFmtId="0" fontId="12" fillId="3" borderId="0" xfId="0" applyFont="1" applyFill="1" applyAlignment="1">
      <alignment horizontal="right"/>
    </xf>
    <xf numFmtId="0" fontId="12" fillId="5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0" fontId="29" fillId="5" borderId="0" xfId="0" applyFont="1" applyFill="1" applyAlignment="1">
      <alignment vertical="center"/>
    </xf>
    <xf numFmtId="180" fontId="12" fillId="3" borderId="0" xfId="0" applyNumberFormat="1" applyFont="1" applyFill="1" applyAlignment="1">
      <alignment horizontal="left"/>
    </xf>
    <xf numFmtId="0" fontId="12" fillId="0" borderId="0" xfId="0" applyFont="1"/>
    <xf numFmtId="0" fontId="12" fillId="5" borderId="0" xfId="0" applyFont="1" applyFill="1"/>
    <xf numFmtId="0" fontId="12" fillId="7" borderId="0" xfId="0" applyFont="1" applyFill="1"/>
    <xf numFmtId="0" fontId="7" fillId="0" borderId="0" xfId="0" applyFont="1"/>
    <xf numFmtId="0" fontId="7" fillId="0" borderId="3" xfId="0" applyFont="1" applyBorder="1"/>
    <xf numFmtId="0" fontId="21" fillId="0" borderId="0" xfId="19" applyFont="1"/>
    <xf numFmtId="0" fontId="12" fillId="6" borderId="0" xfId="0" applyFont="1" applyFill="1"/>
    <xf numFmtId="0" fontId="21" fillId="0" borderId="0" xfId="0" applyFont="1"/>
    <xf numFmtId="0" fontId="38" fillId="7" borderId="0" xfId="0" applyFont="1" applyFill="1" applyAlignment="1">
      <alignment horizontal="right"/>
    </xf>
    <xf numFmtId="0" fontId="38" fillId="7" borderId="0" xfId="0" applyFont="1" applyFill="1" applyAlignment="1">
      <alignment horizontal="left"/>
    </xf>
    <xf numFmtId="0" fontId="38" fillId="7" borderId="3" xfId="0" applyFont="1" applyFill="1" applyBorder="1" applyAlignment="1">
      <alignment horizontal="right"/>
    </xf>
    <xf numFmtId="0" fontId="38" fillId="7" borderId="0" xfId="0" applyFont="1" applyFill="1"/>
    <xf numFmtId="169" fontId="38" fillId="7" borderId="0" xfId="0" applyNumberFormat="1" applyFont="1" applyFill="1"/>
    <xf numFmtId="0" fontId="38" fillId="7" borderId="3" xfId="0" applyFont="1" applyFill="1" applyBorder="1"/>
    <xf numFmtId="0" fontId="38" fillId="0" borderId="0" xfId="0" applyFont="1"/>
    <xf numFmtId="0" fontId="21" fillId="5" borderId="0" xfId="0" applyFont="1" applyFill="1"/>
    <xf numFmtId="169" fontId="12" fillId="5" borderId="0" xfId="0" applyNumberFormat="1" applyFont="1" applyFill="1"/>
    <xf numFmtId="169" fontId="21" fillId="0" borderId="0" xfId="0" applyNumberFormat="1" applyFont="1"/>
    <xf numFmtId="169" fontId="40" fillId="0" borderId="0" xfId="0" applyNumberFormat="1" applyFont="1"/>
    <xf numFmtId="169" fontId="12" fillId="0" borderId="0" xfId="0" applyNumberFormat="1" applyFont="1"/>
    <xf numFmtId="169" fontId="39" fillId="0" borderId="0" xfId="0" applyNumberFormat="1" applyFont="1"/>
    <xf numFmtId="9" fontId="12" fillId="0" borderId="0" xfId="8" applyFont="1" applyFill="1" applyBorder="1"/>
    <xf numFmtId="9" fontId="41" fillId="0" borderId="0" xfId="8" applyFont="1" applyFill="1" applyBorder="1"/>
    <xf numFmtId="168" fontId="12" fillId="5" borderId="0" xfId="8" applyNumberFormat="1" applyFont="1" applyFill="1" applyBorder="1"/>
    <xf numFmtId="168" fontId="12" fillId="0" borderId="0" xfId="8" applyNumberFormat="1" applyFont="1" applyFill="1" applyBorder="1"/>
    <xf numFmtId="0" fontId="22" fillId="0" borderId="0" xfId="0" applyFont="1"/>
    <xf numFmtId="168" fontId="22" fillId="0" borderId="0" xfId="8" applyNumberFormat="1" applyFont="1" applyFill="1" applyBorder="1"/>
    <xf numFmtId="173" fontId="12" fillId="0" borderId="0" xfId="1" applyNumberFormat="1" applyFont="1" applyFill="1" applyBorder="1"/>
    <xf numFmtId="0" fontId="17" fillId="7" borderId="0" xfId="0" applyFont="1" applyFill="1"/>
    <xf numFmtId="178" fontId="21" fillId="0" borderId="0" xfId="19" applyNumberFormat="1" applyFont="1" applyAlignment="1" applyProtection="1">
      <alignment horizontal="right"/>
      <protection locked="0"/>
    </xf>
    <xf numFmtId="178" fontId="21" fillId="0" borderId="0" xfId="19" applyNumberFormat="1" applyFont="1" applyAlignment="1">
      <alignment horizontal="right"/>
    </xf>
    <xf numFmtId="1" fontId="41" fillId="0" borderId="0" xfId="0" applyNumberFormat="1" applyFont="1"/>
    <xf numFmtId="1" fontId="12" fillId="0" borderId="0" xfId="0" applyNumberFormat="1" applyFont="1"/>
    <xf numFmtId="3" fontId="44" fillId="0" borderId="0" xfId="1" applyNumberFormat="1" applyFont="1" applyFill="1" applyBorder="1" applyAlignment="1">
      <alignment horizontal="left"/>
    </xf>
    <xf numFmtId="3" fontId="45" fillId="0" borderId="0" xfId="18" applyNumberFormat="1" applyFont="1" applyFill="1" applyBorder="1" applyAlignment="1">
      <alignment horizontal="left"/>
    </xf>
    <xf numFmtId="168" fontId="12" fillId="5" borderId="0" xfId="0" applyNumberFormat="1" applyFont="1" applyFill="1"/>
    <xf numFmtId="169" fontId="12" fillId="0" borderId="0" xfId="0" applyNumberFormat="1" applyFont="1" applyAlignment="1">
      <alignment horizontal="right"/>
    </xf>
    <xf numFmtId="164" fontId="12" fillId="5" borderId="0" xfId="0" applyNumberFormat="1" applyFont="1" applyFill="1"/>
    <xf numFmtId="0" fontId="39" fillId="0" borderId="0" xfId="0" applyFont="1" applyAlignment="1">
      <alignment horizontal="right"/>
    </xf>
    <xf numFmtId="0" fontId="41" fillId="0" borderId="0" xfId="0" applyFont="1" applyAlignment="1">
      <alignment horizontal="right"/>
    </xf>
    <xf numFmtId="0" fontId="12" fillId="0" borderId="3" xfId="0" applyFont="1" applyBorder="1"/>
    <xf numFmtId="0" fontId="21" fillId="5" borderId="7" xfId="0" applyFont="1" applyFill="1" applyBorder="1"/>
    <xf numFmtId="0" fontId="37" fillId="0" borderId="6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0" fontId="12" fillId="0" borderId="3" xfId="0" applyFont="1" applyBorder="1" applyAlignment="1">
      <alignment horizontal="right"/>
    </xf>
    <xf numFmtId="0" fontId="17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170" fontId="12" fillId="0" borderId="0" xfId="0" applyNumberFormat="1" applyFont="1"/>
    <xf numFmtId="0" fontId="22" fillId="0" borderId="0" xfId="0" applyFont="1" applyAlignment="1">
      <alignment horizontal="left"/>
    </xf>
    <xf numFmtId="0" fontId="42" fillId="0" borderId="0" xfId="0" applyFont="1"/>
    <xf numFmtId="173" fontId="12" fillId="0" borderId="0" xfId="1" applyNumberFormat="1" applyFont="1" applyFill="1" applyBorder="1" applyAlignment="1">
      <alignment horizontal="center"/>
    </xf>
    <xf numFmtId="172" fontId="12" fillId="0" borderId="0" xfId="1" applyNumberFormat="1" applyFont="1" applyFill="1" applyBorder="1"/>
    <xf numFmtId="168" fontId="39" fillId="0" borderId="0" xfId="8" applyNumberFormat="1" applyFont="1" applyFill="1" applyBorder="1"/>
    <xf numFmtId="168" fontId="41" fillId="0" borderId="0" xfId="8" applyNumberFormat="1" applyFont="1" applyFill="1" applyBorder="1"/>
    <xf numFmtId="9" fontId="22" fillId="0" borderId="0" xfId="8" applyFont="1" applyFill="1" applyBorder="1"/>
    <xf numFmtId="0" fontId="39" fillId="0" borderId="0" xfId="0" applyFont="1"/>
    <xf numFmtId="2" fontId="12" fillId="0" borderId="0" xfId="0" applyNumberFormat="1" applyFont="1"/>
    <xf numFmtId="169" fontId="43" fillId="0" borderId="0" xfId="0" applyNumberFormat="1" applyFont="1"/>
    <xf numFmtId="167" fontId="12" fillId="0" borderId="0" xfId="1" applyFont="1" applyFill="1" applyBorder="1"/>
    <xf numFmtId="167" fontId="21" fillId="0" borderId="0" xfId="0" applyNumberFormat="1" applyFont="1"/>
    <xf numFmtId="169" fontId="7" fillId="0" borderId="0" xfId="0" applyNumberFormat="1" applyFont="1"/>
    <xf numFmtId="168" fontId="7" fillId="0" borderId="0" xfId="8" applyNumberFormat="1" applyFont="1" applyFill="1" applyBorder="1"/>
    <xf numFmtId="175" fontId="20" fillId="0" borderId="0" xfId="0" applyNumberFormat="1" applyFont="1"/>
    <xf numFmtId="173" fontId="39" fillId="0" borderId="0" xfId="1" applyNumberFormat="1" applyFont="1" applyFill="1" applyBorder="1"/>
    <xf numFmtId="169" fontId="13" fillId="0" borderId="0" xfId="0" applyNumberFormat="1" applyFont="1"/>
    <xf numFmtId="169" fontId="37" fillId="0" borderId="0" xfId="0" applyNumberFormat="1" applyFont="1"/>
    <xf numFmtId="168" fontId="12" fillId="0" borderId="0" xfId="8" applyNumberFormat="1" applyFont="1" applyFill="1" applyBorder="1" applyAlignment="1">
      <alignment horizontal="right"/>
    </xf>
    <xf numFmtId="2" fontId="12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169" fontId="39" fillId="0" borderId="0" xfId="0" applyNumberFormat="1" applyFont="1" applyAlignment="1">
      <alignment horizontal="right"/>
    </xf>
    <xf numFmtId="0" fontId="13" fillId="0" borderId="0" xfId="0" applyFont="1"/>
    <xf numFmtId="164" fontId="12" fillId="0" borderId="0" xfId="0" applyNumberFormat="1" applyFont="1"/>
    <xf numFmtId="9" fontId="12" fillId="0" borderId="0" xfId="0" applyNumberFormat="1" applyFont="1"/>
    <xf numFmtId="9" fontId="41" fillId="0" borderId="0" xfId="0" applyNumberFormat="1" applyFont="1"/>
    <xf numFmtId="9" fontId="39" fillId="0" borderId="0" xfId="0" applyNumberFormat="1" applyFont="1"/>
    <xf numFmtId="0" fontId="37" fillId="7" borderId="0" xfId="0" applyFont="1" applyFill="1" applyAlignment="1">
      <alignment horizontal="right"/>
    </xf>
    <xf numFmtId="0" fontId="21" fillId="6" borderId="0" xfId="0" applyFont="1" applyFill="1"/>
    <xf numFmtId="9" fontId="12" fillId="0" borderId="0" xfId="8" applyFont="1" applyFill="1"/>
    <xf numFmtId="168" fontId="12" fillId="0" borderId="0" xfId="0" applyNumberFormat="1" applyFont="1"/>
    <xf numFmtId="168" fontId="22" fillId="0" borderId="0" xfId="0" applyNumberFormat="1" applyFont="1"/>
    <xf numFmtId="0" fontId="12" fillId="0" borderId="0" xfId="0" applyFont="1" applyAlignment="1">
      <alignment horizontal="left" indent="1"/>
    </xf>
    <xf numFmtId="1" fontId="21" fillId="0" borderId="0" xfId="0" applyNumberFormat="1" applyFont="1"/>
    <xf numFmtId="1" fontId="39" fillId="0" borderId="0" xfId="0" applyNumberFormat="1" applyFont="1"/>
    <xf numFmtId="3" fontId="12" fillId="0" borderId="0" xfId="0" applyNumberFormat="1" applyFont="1"/>
    <xf numFmtId="3" fontId="12" fillId="0" borderId="3" xfId="0" applyNumberFormat="1" applyFont="1" applyBorder="1"/>
    <xf numFmtId="3" fontId="21" fillId="0" borderId="0" xfId="0" applyNumberFormat="1" applyFont="1"/>
    <xf numFmtId="3" fontId="21" fillId="0" borderId="3" xfId="0" applyNumberFormat="1" applyFont="1" applyBorder="1"/>
    <xf numFmtId="3" fontId="40" fillId="0" borderId="0" xfId="0" applyNumberFormat="1" applyFont="1"/>
    <xf numFmtId="3" fontId="21" fillId="0" borderId="0" xfId="8" applyNumberFormat="1" applyFont="1" applyFill="1" applyBorder="1"/>
    <xf numFmtId="3" fontId="39" fillId="0" borderId="0" xfId="0" applyNumberFormat="1" applyFont="1"/>
    <xf numFmtId="1" fontId="12" fillId="0" borderId="0" xfId="8" applyNumberFormat="1" applyFont="1" applyFill="1" applyBorder="1"/>
    <xf numFmtId="1" fontId="12" fillId="0" borderId="0" xfId="1" applyNumberFormat="1" applyFont="1" applyFill="1" applyBorder="1"/>
    <xf numFmtId="0" fontId="22" fillId="0" borderId="0" xfId="0" applyFont="1" applyAlignment="1">
      <alignment horizontal="center"/>
    </xf>
    <xf numFmtId="3" fontId="41" fillId="0" borderId="0" xfId="0" applyNumberFormat="1" applyFont="1"/>
    <xf numFmtId="3" fontId="39" fillId="0" borderId="0" xfId="1" applyNumberFormat="1" applyFont="1" applyFill="1" applyBorder="1"/>
    <xf numFmtId="3" fontId="43" fillId="0" borderId="0" xfId="0" applyNumberFormat="1" applyFont="1"/>
    <xf numFmtId="3" fontId="12" fillId="0" borderId="0" xfId="1" applyNumberFormat="1" applyFont="1" applyFill="1" applyBorder="1"/>
    <xf numFmtId="3" fontId="7" fillId="0" borderId="0" xfId="0" applyNumberFormat="1" applyFont="1"/>
    <xf numFmtId="1" fontId="7" fillId="0" borderId="0" xfId="0" applyNumberFormat="1" applyFont="1"/>
    <xf numFmtId="3" fontId="21" fillId="0" borderId="0" xfId="1" applyNumberFormat="1" applyFont="1" applyFill="1" applyBorder="1"/>
    <xf numFmtId="1" fontId="12" fillId="0" borderId="0" xfId="0" applyNumberFormat="1" applyFont="1" applyAlignment="1">
      <alignment horizontal="right"/>
    </xf>
    <xf numFmtId="0" fontId="12" fillId="3" borderId="0" xfId="0" applyFont="1" applyFill="1"/>
    <xf numFmtId="168" fontId="12" fillId="3" borderId="0" xfId="8" applyNumberFormat="1" applyFont="1" applyFill="1"/>
    <xf numFmtId="0" fontId="30" fillId="5" borderId="0" xfId="0" applyFont="1" applyFill="1" applyAlignment="1">
      <alignment vertical="center"/>
    </xf>
    <xf numFmtId="0" fontId="30" fillId="5" borderId="0" xfId="0" applyFont="1" applyFill="1" applyAlignment="1">
      <alignment horizontal="right" vertical="center"/>
    </xf>
    <xf numFmtId="176" fontId="38" fillId="7" borderId="0" xfId="0" applyNumberFormat="1" applyFont="1" applyFill="1" applyAlignment="1">
      <alignment horizontal="left" vertical="center"/>
    </xf>
    <xf numFmtId="176" fontId="38" fillId="7" borderId="0" xfId="0" applyNumberFormat="1" applyFont="1" applyFill="1" applyAlignment="1">
      <alignment horizontal="right" vertical="center"/>
    </xf>
    <xf numFmtId="176" fontId="38" fillId="5" borderId="0" xfId="0" applyNumberFormat="1" applyFont="1" applyFill="1" applyAlignment="1">
      <alignment horizontal="right" vertical="center"/>
    </xf>
    <xf numFmtId="164" fontId="21" fillId="5" borderId="0" xfId="0" applyNumberFormat="1" applyFont="1" applyFill="1"/>
    <xf numFmtId="15" fontId="12" fillId="5" borderId="0" xfId="0" applyNumberFormat="1" applyFont="1" applyFill="1"/>
    <xf numFmtId="0" fontId="21" fillId="3" borderId="0" xfId="0" applyFont="1" applyFill="1"/>
    <xf numFmtId="171" fontId="12" fillId="5" borderId="0" xfId="0" applyNumberFormat="1" applyFont="1" applyFill="1"/>
    <xf numFmtId="172" fontId="12" fillId="3" borderId="0" xfId="1" applyNumberFormat="1" applyFont="1" applyFill="1" applyBorder="1"/>
    <xf numFmtId="168" fontId="12" fillId="3" borderId="0" xfId="8" applyNumberFormat="1" applyFont="1" applyFill="1" applyBorder="1" applyAlignment="1">
      <alignment horizontal="right"/>
    </xf>
    <xf numFmtId="168" fontId="21" fillId="5" borderId="0" xfId="8" applyNumberFormat="1" applyFont="1" applyFill="1" applyBorder="1"/>
    <xf numFmtId="172" fontId="12" fillId="3" borderId="0" xfId="0" applyNumberFormat="1" applyFont="1" applyFill="1"/>
    <xf numFmtId="169" fontId="12" fillId="3" borderId="0" xfId="0" applyNumberFormat="1" applyFont="1" applyFill="1" applyAlignment="1">
      <alignment horizontal="right"/>
    </xf>
    <xf numFmtId="172" fontId="12" fillId="5" borderId="0" xfId="0" applyNumberFormat="1" applyFont="1" applyFill="1"/>
    <xf numFmtId="2" fontId="12" fillId="3" borderId="0" xfId="0" applyNumberFormat="1" applyFont="1" applyFill="1"/>
    <xf numFmtId="164" fontId="12" fillId="5" borderId="0" xfId="0" applyNumberFormat="1" applyFont="1" applyFill="1" applyAlignment="1">
      <alignment horizontal="right"/>
    </xf>
    <xf numFmtId="2" fontId="21" fillId="3" borderId="0" xfId="0" applyNumberFormat="1" applyFont="1" applyFill="1"/>
    <xf numFmtId="0" fontId="7" fillId="5" borderId="0" xfId="0" applyFont="1" applyFill="1" applyAlignment="1">
      <alignment horizontal="left"/>
    </xf>
    <xf numFmtId="9" fontId="12" fillId="5" borderId="0" xfId="8" applyFont="1" applyFill="1"/>
    <xf numFmtId="164" fontId="21" fillId="5" borderId="0" xfId="0" applyNumberFormat="1" applyFont="1" applyFill="1" applyAlignment="1">
      <alignment horizontal="right"/>
    </xf>
    <xf numFmtId="0" fontId="33" fillId="5" borderId="0" xfId="0" applyFont="1" applyFill="1" applyAlignment="1">
      <alignment horizontal="left"/>
    </xf>
    <xf numFmtId="0" fontId="12" fillId="3" borderId="0" xfId="0" applyFont="1" applyFill="1" applyAlignment="1">
      <alignment horizontal="left" indent="1"/>
    </xf>
    <xf numFmtId="9" fontId="12" fillId="3" borderId="0" xfId="8" applyFont="1" applyFill="1" applyBorder="1"/>
    <xf numFmtId="169" fontId="12" fillId="3" borderId="0" xfId="0" applyNumberFormat="1" applyFont="1" applyFill="1"/>
    <xf numFmtId="0" fontId="12" fillId="3" borderId="0" xfId="0" applyFont="1" applyFill="1" applyAlignment="1">
      <alignment horizontal="center"/>
    </xf>
    <xf numFmtId="0" fontId="21" fillId="3" borderId="11" xfId="0" applyFont="1" applyFill="1" applyBorder="1"/>
    <xf numFmtId="9" fontId="12" fillId="3" borderId="0" xfId="0" applyNumberFormat="1" applyFont="1" applyFill="1" applyAlignment="1">
      <alignment horizontal="right"/>
    </xf>
    <xf numFmtId="2" fontId="12" fillId="5" borderId="0" xfId="0" applyNumberFormat="1" applyFont="1" applyFill="1"/>
    <xf numFmtId="2" fontId="12" fillId="3" borderId="0" xfId="0" applyNumberFormat="1" applyFont="1" applyFill="1" applyAlignment="1">
      <alignment horizontal="right"/>
    </xf>
    <xf numFmtId="38" fontId="12" fillId="3" borderId="0" xfId="0" applyNumberFormat="1" applyFont="1" applyFill="1"/>
    <xf numFmtId="168" fontId="12" fillId="3" borderId="0" xfId="8" applyNumberFormat="1" applyFont="1" applyFill="1" applyBorder="1"/>
    <xf numFmtId="0" fontId="48" fillId="5" borderId="0" xfId="0" applyFont="1" applyFill="1"/>
    <xf numFmtId="0" fontId="49" fillId="5" borderId="0" xfId="0" applyFont="1" applyFill="1"/>
    <xf numFmtId="0" fontId="50" fillId="5" borderId="0" xfId="20" applyFont="1" applyFill="1"/>
    <xf numFmtId="2" fontId="49" fillId="5" borderId="0" xfId="0" applyNumberFormat="1" applyFont="1" applyFill="1"/>
    <xf numFmtId="168" fontId="49" fillId="5" borderId="0" xfId="0" applyNumberFormat="1" applyFont="1" applyFill="1"/>
    <xf numFmtId="179" fontId="50" fillId="5" borderId="0" xfId="20" applyNumberFormat="1" applyFont="1" applyFill="1"/>
    <xf numFmtId="174" fontId="49" fillId="5" borderId="0" xfId="1" applyNumberFormat="1" applyFont="1" applyFill="1" applyAlignment="1">
      <alignment horizontal="right"/>
    </xf>
    <xf numFmtId="0" fontId="51" fillId="5" borderId="0" xfId="20" applyFont="1" applyFill="1" applyAlignment="1">
      <alignment horizontal="left"/>
    </xf>
    <xf numFmtId="16" fontId="51" fillId="5" borderId="0" xfId="20" quotePrefix="1" applyNumberFormat="1" applyFont="1" applyFill="1" applyAlignment="1">
      <alignment horizontal="right" wrapText="1"/>
    </xf>
    <xf numFmtId="0" fontId="50" fillId="5" borderId="0" xfId="20" applyFont="1" applyFill="1" applyAlignment="1">
      <alignment horizontal="left"/>
    </xf>
    <xf numFmtId="169" fontId="49" fillId="5" borderId="0" xfId="0" applyNumberFormat="1" applyFont="1" applyFill="1" applyAlignment="1">
      <alignment horizontal="right"/>
    </xf>
    <xf numFmtId="3" fontId="49" fillId="5" borderId="0" xfId="0" applyNumberFormat="1" applyFont="1" applyFill="1" applyAlignment="1">
      <alignment horizontal="right"/>
    </xf>
    <xf numFmtId="0" fontId="49" fillId="5" borderId="0" xfId="0" applyFont="1" applyFill="1" applyAlignment="1">
      <alignment horizontal="right"/>
    </xf>
    <xf numFmtId="168" fontId="49" fillId="5" borderId="0" xfId="8" applyNumberFormat="1" applyFont="1" applyFill="1"/>
    <xf numFmtId="169" fontId="49" fillId="5" borderId="0" xfId="8" applyNumberFormat="1" applyFont="1" applyFill="1"/>
    <xf numFmtId="0" fontId="52" fillId="5" borderId="0" xfId="20" applyFont="1" applyFill="1" applyAlignment="1">
      <alignment horizontal="left" vertical="center"/>
    </xf>
    <xf numFmtId="0" fontId="21" fillId="5" borderId="0" xfId="0" applyFont="1" applyFill="1" applyAlignment="1">
      <alignment horizontal="right"/>
    </xf>
    <xf numFmtId="0" fontId="21" fillId="3" borderId="0" xfId="0" applyFont="1" applyFill="1" applyAlignment="1">
      <alignment horizontal="right"/>
    </xf>
    <xf numFmtId="169" fontId="21" fillId="3" borderId="0" xfId="0" applyNumberFormat="1" applyFont="1" applyFill="1" applyAlignment="1">
      <alignment horizontal="right"/>
    </xf>
    <xf numFmtId="3" fontId="12" fillId="3" borderId="0" xfId="0" applyNumberFormat="1" applyFont="1" applyFill="1"/>
    <xf numFmtId="168" fontId="12" fillId="3" borderId="0" xfId="0" applyNumberFormat="1" applyFont="1" applyFill="1"/>
    <xf numFmtId="3" fontId="12" fillId="5" borderId="0" xfId="0" applyNumberFormat="1" applyFont="1" applyFill="1"/>
    <xf numFmtId="0" fontId="12" fillId="5" borderId="1" xfId="0" applyFont="1" applyFill="1" applyBorder="1"/>
    <xf numFmtId="49" fontId="12" fillId="5" borderId="0" xfId="1" applyNumberFormat="1" applyFont="1" applyFill="1" applyBorder="1"/>
    <xf numFmtId="49" fontId="12" fillId="5" borderId="0" xfId="0" applyNumberFormat="1" applyFont="1" applyFill="1"/>
    <xf numFmtId="49" fontId="12" fillId="5" borderId="1" xfId="0" applyNumberFormat="1" applyFont="1" applyFill="1" applyBorder="1" applyAlignment="1">
      <alignment horizontal="left"/>
    </xf>
    <xf numFmtId="49" fontId="21" fillId="5" borderId="0" xfId="0" applyNumberFormat="1" applyFont="1" applyFill="1"/>
    <xf numFmtId="49" fontId="21" fillId="5" borderId="7" xfId="0" applyNumberFormat="1" applyFont="1" applyFill="1" applyBorder="1"/>
    <xf numFmtId="182" fontId="12" fillId="5" borderId="0" xfId="0" applyNumberFormat="1" applyFont="1" applyFill="1" applyAlignment="1">
      <alignment horizontal="left"/>
    </xf>
    <xf numFmtId="1" fontId="12" fillId="3" borderId="0" xfId="0" applyNumberFormat="1" applyFont="1" applyFill="1" applyAlignment="1">
      <alignment horizontal="right"/>
    </xf>
    <xf numFmtId="180" fontId="22" fillId="3" borderId="0" xfId="0" applyNumberFormat="1" applyFont="1" applyFill="1" applyAlignment="1">
      <alignment horizontal="left"/>
    </xf>
    <xf numFmtId="175" fontId="11" fillId="0" borderId="0" xfId="0" applyNumberFormat="1" applyFont="1"/>
    <xf numFmtId="168" fontId="21" fillId="0" borderId="0" xfId="8" applyNumberFormat="1" applyFont="1" applyBorder="1"/>
    <xf numFmtId="175" fontId="17" fillId="0" borderId="0" xfId="7" applyFont="1" applyAlignment="1">
      <alignment horizontal="right"/>
    </xf>
    <xf numFmtId="0" fontId="17" fillId="0" borderId="0" xfId="7" applyNumberFormat="1" applyFont="1" applyAlignment="1">
      <alignment horizontal="right"/>
    </xf>
    <xf numFmtId="175" fontId="21" fillId="0" borderId="0" xfId="0" applyNumberFormat="1" applyFont="1"/>
    <xf numFmtId="181" fontId="12" fillId="0" borderId="0" xfId="0" applyNumberFormat="1" applyFont="1"/>
    <xf numFmtId="9" fontId="33" fillId="0" borderId="0" xfId="8" applyFont="1" applyFill="1" applyBorder="1"/>
    <xf numFmtId="181" fontId="7" fillId="0" borderId="0" xfId="0" applyNumberFormat="1" applyFont="1"/>
    <xf numFmtId="175" fontId="53" fillId="0" borderId="0" xfId="7" applyFont="1"/>
    <xf numFmtId="175" fontId="54" fillId="0" borderId="0" xfId="7" applyFont="1"/>
    <xf numFmtId="175" fontId="11" fillId="0" borderId="0" xfId="7" applyFont="1"/>
    <xf numFmtId="175" fontId="12" fillId="0" borderId="0" xfId="7" applyFont="1" applyAlignment="1">
      <alignment horizontal="right"/>
    </xf>
    <xf numFmtId="0" fontId="37" fillId="0" borderId="0" xfId="0" applyFont="1"/>
    <xf numFmtId="0" fontId="17" fillId="4" borderId="0" xfId="0" applyFont="1" applyFill="1"/>
    <xf numFmtId="0" fontId="17" fillId="4" borderId="0" xfId="0" applyFont="1" applyFill="1" applyAlignment="1">
      <alignment horizontal="center"/>
    </xf>
    <xf numFmtId="0" fontId="12" fillId="0" borderId="20" xfId="0" applyFont="1" applyBorder="1"/>
    <xf numFmtId="0" fontId="12" fillId="0" borderId="22" xfId="0" applyFont="1" applyBorder="1"/>
    <xf numFmtId="0" fontId="60" fillId="9" borderId="0" xfId="0" applyFont="1" applyFill="1"/>
    <xf numFmtId="0" fontId="60" fillId="9" borderId="0" xfId="0" applyFont="1" applyFill="1" applyAlignment="1">
      <alignment horizontal="center"/>
    </xf>
    <xf numFmtId="1" fontId="60" fillId="9" borderId="0" xfId="0" applyNumberFormat="1" applyFont="1" applyFill="1" applyAlignment="1">
      <alignment horizontal="center"/>
    </xf>
    <xf numFmtId="2" fontId="60" fillId="9" borderId="0" xfId="0" applyNumberFormat="1" applyFont="1" applyFill="1" applyAlignment="1">
      <alignment horizontal="center"/>
    </xf>
    <xf numFmtId="0" fontId="60" fillId="9" borderId="0" xfId="0" applyFont="1" applyFill="1" applyAlignment="1">
      <alignment horizontal="left" vertical="top" wrapText="1"/>
    </xf>
    <xf numFmtId="0" fontId="60" fillId="9" borderId="0" xfId="0" applyFont="1" applyFill="1" applyAlignment="1">
      <alignment horizontal="right" vertical="top" wrapText="1"/>
    </xf>
    <xf numFmtId="0" fontId="59" fillId="9" borderId="0" xfId="0" applyFont="1" applyFill="1"/>
    <xf numFmtId="0" fontId="58" fillId="9" borderId="0" xfId="0" applyFont="1" applyFill="1" applyAlignment="1">
      <alignment horizontal="center" vertical="top" wrapText="1"/>
    </xf>
    <xf numFmtId="9" fontId="7" fillId="0" borderId="0" xfId="8" applyFont="1" applyFill="1" applyBorder="1"/>
    <xf numFmtId="181" fontId="12" fillId="0" borderId="19" xfId="0" applyNumberFormat="1" applyFont="1" applyBorder="1"/>
    <xf numFmtId="181" fontId="12" fillId="0" borderId="20" xfId="0" applyNumberFormat="1" applyFont="1" applyBorder="1"/>
    <xf numFmtId="181" fontId="21" fillId="0" borderId="21" xfId="0" applyNumberFormat="1" applyFont="1" applyBorder="1"/>
    <xf numFmtId="181" fontId="21" fillId="0" borderId="22" xfId="0" applyNumberFormat="1" applyFont="1" applyBorder="1"/>
    <xf numFmtId="181" fontId="21" fillId="0" borderId="23" xfId="0" applyNumberFormat="1" applyFont="1" applyBorder="1"/>
    <xf numFmtId="181" fontId="7" fillId="0" borderId="19" xfId="0" applyNumberFormat="1" applyFont="1" applyBorder="1"/>
    <xf numFmtId="1" fontId="21" fillId="0" borderId="0" xfId="1" applyNumberFormat="1" applyFont="1" applyBorder="1"/>
    <xf numFmtId="3" fontId="12" fillId="0" borderId="0" xfId="1" applyNumberFormat="1" applyFont="1" applyBorder="1"/>
    <xf numFmtId="1" fontId="12" fillId="0" borderId="20" xfId="0" applyNumberFormat="1" applyFont="1" applyBorder="1"/>
    <xf numFmtId="169" fontId="12" fillId="0" borderId="20" xfId="0" applyNumberFormat="1" applyFont="1" applyBorder="1"/>
    <xf numFmtId="168" fontId="12" fillId="0" borderId="20" xfId="0" applyNumberFormat="1" applyFont="1" applyBorder="1"/>
    <xf numFmtId="175" fontId="12" fillId="0" borderId="20" xfId="7" applyFont="1" applyBorder="1" applyAlignment="1">
      <alignment horizontal="right"/>
    </xf>
    <xf numFmtId="1" fontId="12" fillId="13" borderId="0" xfId="0" applyNumberFormat="1" applyFont="1" applyFill="1"/>
    <xf numFmtId="168" fontId="12" fillId="0" borderId="3" xfId="0" applyNumberFormat="1" applyFont="1" applyBorder="1"/>
    <xf numFmtId="9" fontId="22" fillId="0" borderId="3" xfId="8" applyFont="1" applyFill="1" applyBorder="1"/>
    <xf numFmtId="1" fontId="44" fillId="0" borderId="0" xfId="0" applyNumberFormat="1" applyFont="1"/>
    <xf numFmtId="3" fontId="44" fillId="0" borderId="0" xfId="0" applyNumberFormat="1" applyFont="1"/>
    <xf numFmtId="168" fontId="22" fillId="0" borderId="3" xfId="0" applyNumberFormat="1" applyFont="1" applyBorder="1"/>
    <xf numFmtId="172" fontId="21" fillId="0" borderId="0" xfId="0" applyNumberFormat="1" applyFont="1"/>
    <xf numFmtId="172" fontId="12" fillId="0" borderId="0" xfId="0" applyNumberFormat="1" applyFont="1"/>
    <xf numFmtId="0" fontId="21" fillId="0" borderId="0" xfId="0" applyFont="1" applyAlignment="1">
      <alignment horizontal="right"/>
    </xf>
    <xf numFmtId="171" fontId="21" fillId="5" borderId="0" xfId="0" applyNumberFormat="1" applyFont="1" applyFill="1"/>
    <xf numFmtId="168" fontId="7" fillId="0" borderId="0" xfId="8" applyNumberFormat="1" applyFont="1" applyBorder="1"/>
    <xf numFmtId="0" fontId="58" fillId="9" borderId="0" xfId="0" applyFont="1" applyFill="1"/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left" indent="1"/>
    </xf>
    <xf numFmtId="164" fontId="33" fillId="0" borderId="0" xfId="0" applyNumberFormat="1" applyFont="1"/>
    <xf numFmtId="175" fontId="21" fillId="0" borderId="0" xfId="7" applyFont="1"/>
    <xf numFmtId="0" fontId="43" fillId="0" borderId="0" xfId="0" applyFont="1"/>
    <xf numFmtId="0" fontId="56" fillId="0" borderId="0" xfId="0" quotePrefix="1" applyFont="1"/>
    <xf numFmtId="175" fontId="40" fillId="0" borderId="0" xfId="7" applyFont="1"/>
    <xf numFmtId="9" fontId="61" fillId="0" borderId="0" xfId="8" applyFont="1" applyFill="1" applyBorder="1"/>
    <xf numFmtId="181" fontId="7" fillId="0" borderId="20" xfId="0" applyNumberFormat="1" applyFont="1" applyBorder="1"/>
    <xf numFmtId="0" fontId="12" fillId="0" borderId="19" xfId="0" applyFont="1" applyBorder="1"/>
    <xf numFmtId="0" fontId="21" fillId="9" borderId="16" xfId="0" applyFont="1" applyFill="1" applyBorder="1" applyAlignment="1">
      <alignment horizontal="left"/>
    </xf>
    <xf numFmtId="168" fontId="21" fillId="9" borderId="17" xfId="8" applyNumberFormat="1" applyFont="1" applyFill="1" applyBorder="1" applyAlignment="1">
      <alignment horizontal="right"/>
    </xf>
    <xf numFmtId="0" fontId="21" fillId="9" borderId="17" xfId="0" applyFont="1" applyFill="1" applyBorder="1" applyAlignment="1">
      <alignment horizontal="right" wrapText="1"/>
    </xf>
    <xf numFmtId="0" fontId="21" fillId="9" borderId="16" xfId="0" applyFont="1" applyFill="1" applyBorder="1" applyAlignment="1">
      <alignment horizontal="right"/>
    </xf>
    <xf numFmtId="0" fontId="21" fillId="9" borderId="17" xfId="0" applyFont="1" applyFill="1" applyBorder="1" applyAlignment="1">
      <alignment horizontal="right"/>
    </xf>
    <xf numFmtId="0" fontId="21" fillId="9" borderId="18" xfId="0" applyFont="1" applyFill="1" applyBorder="1" applyAlignment="1">
      <alignment horizontal="right"/>
    </xf>
    <xf numFmtId="0" fontId="33" fillId="0" borderId="21" xfId="0" applyFont="1" applyBorder="1" applyAlignment="1">
      <alignment horizontal="left"/>
    </xf>
    <xf numFmtId="9" fontId="33" fillId="0" borderId="22" xfId="8" applyFont="1" applyFill="1" applyBorder="1"/>
    <xf numFmtId="2" fontId="21" fillId="0" borderId="22" xfId="0" applyNumberFormat="1" applyFont="1" applyBorder="1"/>
    <xf numFmtId="9" fontId="33" fillId="0" borderId="17" xfId="8" applyFont="1" applyFill="1" applyBorder="1"/>
    <xf numFmtId="0" fontId="33" fillId="0" borderId="19" xfId="0" applyFont="1" applyBorder="1" applyAlignment="1">
      <alignment horizontal="left"/>
    </xf>
    <xf numFmtId="171" fontId="12" fillId="0" borderId="20" xfId="0" applyNumberFormat="1" applyFont="1" applyBorder="1" applyAlignment="1">
      <alignment horizontal="right"/>
    </xf>
    <xf numFmtId="171" fontId="21" fillId="0" borderId="20" xfId="0" applyNumberFormat="1" applyFont="1" applyBorder="1" applyAlignment="1">
      <alignment horizontal="right"/>
    </xf>
    <xf numFmtId="0" fontId="7" fillId="0" borderId="21" xfId="0" applyFont="1" applyBorder="1" applyAlignment="1">
      <alignment horizontal="left" indent="1"/>
    </xf>
    <xf numFmtId="164" fontId="33" fillId="0" borderId="22" xfId="0" applyNumberFormat="1" applyFont="1" applyBorder="1"/>
    <xf numFmtId="9" fontId="7" fillId="0" borderId="23" xfId="8" applyFont="1" applyFill="1" applyBorder="1"/>
    <xf numFmtId="0" fontId="7" fillId="0" borderId="16" xfId="0" applyFont="1" applyBorder="1" applyAlignment="1">
      <alignment horizontal="left" indent="1"/>
    </xf>
    <xf numFmtId="0" fontId="5" fillId="0" borderId="19" xfId="0" applyFont="1" applyBorder="1" applyAlignment="1">
      <alignment horizontal="left" indent="1"/>
    </xf>
    <xf numFmtId="0" fontId="7" fillId="0" borderId="19" xfId="0" applyFont="1" applyBorder="1" applyAlignment="1">
      <alignment horizontal="left" indent="1"/>
    </xf>
    <xf numFmtId="164" fontId="33" fillId="6" borderId="22" xfId="0" applyNumberFormat="1" applyFont="1" applyFill="1" applyBorder="1"/>
    <xf numFmtId="9" fontId="61" fillId="0" borderId="18" xfId="8" applyFont="1" applyFill="1" applyBorder="1"/>
    <xf numFmtId="175" fontId="21" fillId="9" borderId="16" xfId="7" applyFont="1" applyFill="1" applyBorder="1"/>
    <xf numFmtId="175" fontId="21" fillId="9" borderId="18" xfId="7" applyFont="1" applyFill="1" applyBorder="1"/>
    <xf numFmtId="175" fontId="12" fillId="0" borderId="19" xfId="7" applyFont="1" applyBorder="1"/>
    <xf numFmtId="15" fontId="39" fillId="13" borderId="20" xfId="0" applyNumberFormat="1" applyFont="1" applyFill="1" applyBorder="1"/>
    <xf numFmtId="15" fontId="12" fillId="0" borderId="20" xfId="0" applyNumberFormat="1" applyFont="1" applyBorder="1"/>
    <xf numFmtId="175" fontId="12" fillId="0" borderId="21" xfId="7" applyFont="1" applyBorder="1"/>
    <xf numFmtId="170" fontId="12" fillId="0" borderId="23" xfId="0" applyNumberFormat="1" applyFont="1" applyBorder="1"/>
    <xf numFmtId="0" fontId="12" fillId="0" borderId="19" xfId="0" applyFont="1" applyBorder="1" applyAlignment="1">
      <alignment horizontal="left" indent="1"/>
    </xf>
    <xf numFmtId="164" fontId="12" fillId="0" borderId="20" xfId="0" applyNumberFormat="1" applyFont="1" applyBorder="1"/>
    <xf numFmtId="1" fontId="12" fillId="13" borderId="20" xfId="0" applyNumberFormat="1" applyFont="1" applyFill="1" applyBorder="1"/>
    <xf numFmtId="3" fontId="12" fillId="0" borderId="20" xfId="0" applyNumberFormat="1" applyFont="1" applyBorder="1"/>
    <xf numFmtId="3" fontId="12" fillId="13" borderId="20" xfId="0" applyNumberFormat="1" applyFont="1" applyFill="1" applyBorder="1"/>
    <xf numFmtId="0" fontId="21" fillId="0" borderId="19" xfId="0" applyFont="1" applyBorder="1"/>
    <xf numFmtId="3" fontId="21" fillId="0" borderId="20" xfId="0" applyNumberFormat="1" applyFont="1" applyBorder="1"/>
    <xf numFmtId="168" fontId="61" fillId="0" borderId="20" xfId="0" applyNumberFormat="1" applyFont="1" applyBorder="1"/>
    <xf numFmtId="9" fontId="61" fillId="0" borderId="20" xfId="8" applyFont="1" applyFill="1" applyBorder="1"/>
    <xf numFmtId="0" fontId="12" fillId="0" borderId="19" xfId="0" quotePrefix="1" applyFont="1" applyBorder="1" applyAlignment="1">
      <alignment horizontal="left" indent="1"/>
    </xf>
    <xf numFmtId="9" fontId="12" fillId="0" borderId="20" xfId="8" applyFont="1" applyFill="1" applyBorder="1"/>
    <xf numFmtId="9" fontId="12" fillId="0" borderId="20" xfId="0" applyNumberFormat="1" applyFont="1" applyBorder="1"/>
    <xf numFmtId="168" fontId="21" fillId="0" borderId="20" xfId="0" applyNumberFormat="1" applyFont="1" applyBorder="1"/>
    <xf numFmtId="9" fontId="61" fillId="0" borderId="20" xfId="0" applyNumberFormat="1" applyFont="1" applyBorder="1"/>
    <xf numFmtId="0" fontId="30" fillId="0" borderId="21" xfId="0" applyFont="1" applyBorder="1"/>
    <xf numFmtId="168" fontId="33" fillId="0" borderId="23" xfId="8" applyNumberFormat="1" applyFont="1" applyFill="1" applyBorder="1"/>
    <xf numFmtId="175" fontId="21" fillId="0" borderId="16" xfId="7" applyFont="1" applyBorder="1"/>
    <xf numFmtId="175" fontId="21" fillId="0" borderId="17" xfId="7" applyFont="1" applyBorder="1" applyAlignment="1">
      <alignment horizontal="right"/>
    </xf>
    <xf numFmtId="175" fontId="21" fillId="0" borderId="18" xfId="7" applyFont="1" applyBorder="1" applyAlignment="1">
      <alignment horizontal="right"/>
    </xf>
    <xf numFmtId="175" fontId="12" fillId="0" borderId="19" xfId="7" applyFont="1" applyBorder="1" applyAlignment="1">
      <alignment horizontal="left" indent="1"/>
    </xf>
    <xf numFmtId="175" fontId="55" fillId="0" borderId="19" xfId="7" applyFont="1" applyBorder="1" applyAlignment="1">
      <alignment horizontal="left" indent="1"/>
    </xf>
    <xf numFmtId="0" fontId="21" fillId="0" borderId="19" xfId="21" applyFont="1" applyBorder="1"/>
    <xf numFmtId="175" fontId="21" fillId="0" borderId="19" xfId="7" applyFont="1" applyBorder="1"/>
    <xf numFmtId="1" fontId="21" fillId="0" borderId="20" xfId="0" applyNumberFormat="1" applyFont="1" applyBorder="1"/>
    <xf numFmtId="175" fontId="21" fillId="0" borderId="21" xfId="7" applyFont="1" applyBorder="1"/>
    <xf numFmtId="3" fontId="21" fillId="0" borderId="23" xfId="0" applyNumberFormat="1" applyFont="1" applyBorder="1"/>
    <xf numFmtId="175" fontId="21" fillId="9" borderId="17" xfId="7" applyFont="1" applyFill="1" applyBorder="1" applyAlignment="1">
      <alignment horizontal="right"/>
    </xf>
    <xf numFmtId="175" fontId="21" fillId="9" borderId="18" xfId="7" applyFont="1" applyFill="1" applyBorder="1" applyAlignment="1">
      <alignment horizontal="right"/>
    </xf>
    <xf numFmtId="164" fontId="12" fillId="0" borderId="20" xfId="2" applyNumberFormat="1" applyFont="1" applyBorder="1"/>
    <xf numFmtId="164" fontId="21" fillId="0" borderId="20" xfId="2" applyNumberFormat="1" applyFont="1" applyBorder="1"/>
    <xf numFmtId="175" fontId="33" fillId="0" borderId="21" xfId="7" applyFont="1" applyBorder="1"/>
    <xf numFmtId="0" fontId="43" fillId="0" borderId="22" xfId="0" applyFont="1" applyBorder="1"/>
    <xf numFmtId="3" fontId="61" fillId="13" borderId="0" xfId="0" applyNumberFormat="1" applyFont="1" applyFill="1"/>
    <xf numFmtId="1" fontId="63" fillId="13" borderId="0" xfId="0" applyNumberFormat="1" applyFont="1" applyFill="1"/>
    <xf numFmtId="164" fontId="33" fillId="6" borderId="23" xfId="0" applyNumberFormat="1" applyFont="1" applyFill="1" applyBorder="1"/>
    <xf numFmtId="183" fontId="39" fillId="0" borderId="20" xfId="0" applyNumberFormat="1" applyFont="1" applyBorder="1"/>
    <xf numFmtId="2" fontId="12" fillId="0" borderId="20" xfId="0" applyNumberFormat="1" applyFont="1" applyBorder="1"/>
    <xf numFmtId="183" fontId="12" fillId="0" borderId="20" xfId="0" applyNumberFormat="1" applyFont="1" applyBorder="1"/>
    <xf numFmtId="164" fontId="7" fillId="0" borderId="20" xfId="0" applyNumberFormat="1" applyFont="1" applyBorder="1"/>
    <xf numFmtId="175" fontId="21" fillId="9" borderId="19" xfId="7" applyFont="1" applyFill="1" applyBorder="1"/>
    <xf numFmtId="175" fontId="30" fillId="9" borderId="20" xfId="7" applyFont="1" applyFill="1" applyBorder="1" applyAlignment="1">
      <alignment horizontal="right"/>
    </xf>
    <xf numFmtId="0" fontId="21" fillId="0" borderId="0" xfId="0" applyFont="1" applyAlignment="1">
      <alignment vertical="center"/>
    </xf>
    <xf numFmtId="4" fontId="12" fillId="0" borderId="0" xfId="0" applyNumberFormat="1" applyFont="1"/>
    <xf numFmtId="0" fontId="37" fillId="0" borderId="15" xfId="0" applyFont="1" applyBorder="1" applyAlignment="1">
      <alignment vertical="center" wrapText="1"/>
    </xf>
    <xf numFmtId="0" fontId="37" fillId="0" borderId="0" xfId="0" applyFont="1" applyAlignment="1">
      <alignment vertical="center" wrapText="1"/>
    </xf>
    <xf numFmtId="165" fontId="39" fillId="0" borderId="0" xfId="0" applyNumberFormat="1" applyFont="1"/>
    <xf numFmtId="165" fontId="12" fillId="0" borderId="0" xfId="0" applyNumberFormat="1" applyFont="1"/>
    <xf numFmtId="172" fontId="39" fillId="0" borderId="0" xfId="0" applyNumberFormat="1" applyFont="1"/>
    <xf numFmtId="187" fontId="39" fillId="0" borderId="0" xfId="0" applyNumberFormat="1" applyFont="1"/>
    <xf numFmtId="187" fontId="12" fillId="0" borderId="0" xfId="0" applyNumberFormat="1" applyFont="1"/>
    <xf numFmtId="1" fontId="39" fillId="0" borderId="0" xfId="1" applyNumberFormat="1" applyFont="1" applyFill="1" applyBorder="1"/>
    <xf numFmtId="3" fontId="39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/>
    </xf>
    <xf numFmtId="172" fontId="39" fillId="0" borderId="0" xfId="0" applyNumberFormat="1" applyFont="1" applyAlignment="1">
      <alignment horizontal="right"/>
    </xf>
    <xf numFmtId="172" fontId="12" fillId="0" borderId="0" xfId="0" applyNumberFormat="1" applyFont="1" applyAlignment="1">
      <alignment horizontal="right"/>
    </xf>
    <xf numFmtId="178" fontId="39" fillId="0" borderId="0" xfId="31" applyNumberFormat="1" applyFont="1" applyBorder="1" applyAlignment="1">
      <alignment horizontal="right"/>
    </xf>
    <xf numFmtId="178" fontId="39" fillId="0" borderId="0" xfId="19" applyNumberFormat="1" applyFont="1" applyAlignment="1">
      <alignment horizontal="right"/>
    </xf>
    <xf numFmtId="178" fontId="12" fillId="0" borderId="0" xfId="31" applyNumberFormat="1" applyFont="1" applyBorder="1" applyAlignment="1">
      <alignment horizontal="right"/>
    </xf>
    <xf numFmtId="9" fontId="39" fillId="0" borderId="0" xfId="8" applyFont="1" applyFill="1" applyBorder="1"/>
    <xf numFmtId="186" fontId="12" fillId="0" borderId="0" xfId="0" applyNumberFormat="1" applyFont="1"/>
    <xf numFmtId="0" fontId="23" fillId="0" borderId="0" xfId="0" applyFont="1"/>
    <xf numFmtId="168" fontId="41" fillId="0" borderId="0" xfId="0" applyNumberFormat="1" applyFont="1"/>
    <xf numFmtId="2" fontId="39" fillId="0" borderId="0" xfId="0" applyNumberFormat="1" applyFont="1"/>
    <xf numFmtId="0" fontId="57" fillId="0" borderId="0" xfId="0" applyFont="1"/>
    <xf numFmtId="0" fontId="37" fillId="0" borderId="0" xfId="0" applyFont="1" applyAlignment="1">
      <alignment horizontal="center"/>
    </xf>
    <xf numFmtId="168" fontId="47" fillId="0" borderId="0" xfId="0" applyNumberFormat="1" applyFont="1"/>
    <xf numFmtId="0" fontId="22" fillId="0" borderId="0" xfId="0" applyFont="1" applyAlignment="1">
      <alignment horizontal="left" indent="1"/>
    </xf>
    <xf numFmtId="177" fontId="12" fillId="0" borderId="0" xfId="1" applyNumberFormat="1" applyFont="1" applyFill="1" applyBorder="1"/>
    <xf numFmtId="0" fontId="46" fillId="0" borderId="0" xfId="0" applyFont="1"/>
    <xf numFmtId="9" fontId="47" fillId="0" borderId="0" xfId="0" applyNumberFormat="1" applyFont="1"/>
    <xf numFmtId="9" fontId="22" fillId="0" borderId="0" xfId="0" applyNumberFormat="1" applyFont="1"/>
    <xf numFmtId="1" fontId="40" fillId="0" borderId="0" xfId="0" applyNumberFormat="1" applyFont="1"/>
    <xf numFmtId="170" fontId="21" fillId="0" borderId="0" xfId="0" applyNumberFormat="1" applyFont="1"/>
    <xf numFmtId="0" fontId="12" fillId="0" borderId="0" xfId="19" applyFont="1" applyAlignment="1">
      <alignment horizontal="center"/>
    </xf>
    <xf numFmtId="2" fontId="12" fillId="0" borderId="0" xfId="0" applyNumberFormat="1" applyFont="1" applyAlignment="1">
      <alignment vertical="center" wrapText="1"/>
    </xf>
    <xf numFmtId="169" fontId="12" fillId="0" borderId="0" xfId="0" applyNumberFormat="1" applyFont="1" applyAlignment="1">
      <alignment horizontal="center"/>
    </xf>
    <xf numFmtId="2" fontId="21" fillId="0" borderId="0" xfId="0" applyNumberFormat="1" applyFont="1"/>
    <xf numFmtId="1" fontId="63" fillId="0" borderId="0" xfId="0" applyNumberFormat="1" applyFont="1"/>
    <xf numFmtId="9" fontId="63" fillId="0" borderId="0" xfId="8" applyFont="1" applyFill="1" applyBorder="1"/>
    <xf numFmtId="169" fontId="63" fillId="0" borderId="20" xfId="0" applyNumberFormat="1" applyFont="1" applyBorder="1"/>
    <xf numFmtId="9" fontId="21" fillId="0" borderId="0" xfId="8" applyFont="1" applyFill="1" applyBorder="1"/>
    <xf numFmtId="9" fontId="12" fillId="0" borderId="0" xfId="8" applyFont="1" applyFill="1" applyBorder="1" applyAlignment="1">
      <alignment horizontal="right"/>
    </xf>
    <xf numFmtId="168" fontId="21" fillId="0" borderId="0" xfId="8" applyNumberFormat="1" applyFont="1" applyFill="1" applyBorder="1" applyAlignment="1">
      <alignment horizontal="right"/>
    </xf>
    <xf numFmtId="9" fontId="21" fillId="0" borderId="0" xfId="8" applyFont="1" applyFill="1" applyBorder="1" applyAlignment="1">
      <alignment horizontal="right"/>
    </xf>
    <xf numFmtId="9" fontId="65" fillId="0" borderId="0" xfId="8" applyFont="1" applyFill="1" applyBorder="1"/>
    <xf numFmtId="3" fontId="12" fillId="0" borderId="0" xfId="1" applyNumberFormat="1" applyFont="1" applyFill="1" applyBorder="1" applyAlignment="1">
      <alignment horizontal="right"/>
    </xf>
    <xf numFmtId="3" fontId="21" fillId="0" borderId="0" xfId="1" applyNumberFormat="1" applyFont="1" applyFill="1" applyBorder="1" applyAlignment="1">
      <alignment horizontal="right"/>
    </xf>
    <xf numFmtId="3" fontId="12" fillId="5" borderId="1" xfId="0" applyNumberFormat="1" applyFont="1" applyFill="1" applyBorder="1"/>
    <xf numFmtId="3" fontId="21" fillId="5" borderId="0" xfId="0" applyNumberFormat="1" applyFont="1" applyFill="1"/>
    <xf numFmtId="3" fontId="21" fillId="5" borderId="12" xfId="0" applyNumberFormat="1" applyFont="1" applyFill="1" applyBorder="1"/>
    <xf numFmtId="3" fontId="12" fillId="3" borderId="0" xfId="1" applyNumberFormat="1" applyFont="1" applyFill="1" applyBorder="1"/>
    <xf numFmtId="3" fontId="21" fillId="3" borderId="14" xfId="0" applyNumberFormat="1" applyFont="1" applyFill="1" applyBorder="1"/>
    <xf numFmtId="3" fontId="21" fillId="3" borderId="0" xfId="1" applyNumberFormat="1" applyFont="1" applyFill="1" applyBorder="1"/>
    <xf numFmtId="3" fontId="21" fillId="5" borderId="0" xfId="1" applyNumberFormat="1" applyFont="1" applyFill="1" applyBorder="1"/>
    <xf numFmtId="3" fontId="21" fillId="3" borderId="0" xfId="0" applyNumberFormat="1" applyFont="1" applyFill="1"/>
    <xf numFmtId="1" fontId="12" fillId="3" borderId="0" xfId="1" applyNumberFormat="1" applyFont="1" applyFill="1" applyBorder="1"/>
    <xf numFmtId="1" fontId="21" fillId="3" borderId="0" xfId="0" applyNumberFormat="1" applyFont="1" applyFill="1"/>
    <xf numFmtId="9" fontId="21" fillId="3" borderId="0" xfId="8" applyFont="1" applyFill="1" applyBorder="1" applyAlignment="1">
      <alignment horizontal="right"/>
    </xf>
    <xf numFmtId="9" fontId="12" fillId="5" borderId="0" xfId="8" applyFont="1" applyFill="1" applyBorder="1" applyAlignment="1">
      <alignment horizontal="right"/>
    </xf>
    <xf numFmtId="3" fontId="12" fillId="3" borderId="0" xfId="0" applyNumberFormat="1" applyFont="1" applyFill="1" applyAlignment="1">
      <alignment horizontal="right"/>
    </xf>
    <xf numFmtId="9" fontId="21" fillId="5" borderId="0" xfId="0" applyNumberFormat="1" applyFont="1" applyFill="1"/>
    <xf numFmtId="168" fontId="22" fillId="0" borderId="0" xfId="8" applyNumberFormat="1" applyFont="1" applyFill="1" applyBorder="1" applyAlignment="1">
      <alignment horizontal="left" indent="1"/>
    </xf>
    <xf numFmtId="9" fontId="61" fillId="0" borderId="0" xfId="0" applyNumberFormat="1" applyFont="1"/>
    <xf numFmtId="164" fontId="39" fillId="13" borderId="0" xfId="0" applyNumberFormat="1" applyFont="1" applyFill="1"/>
    <xf numFmtId="1" fontId="12" fillId="3" borderId="0" xfId="0" applyNumberFormat="1" applyFont="1" applyFill="1"/>
    <xf numFmtId="2" fontId="12" fillId="0" borderId="3" xfId="0" applyNumberFormat="1" applyFont="1" applyBorder="1"/>
    <xf numFmtId="0" fontId="9" fillId="0" borderId="0" xfId="0" applyFont="1"/>
    <xf numFmtId="0" fontId="21" fillId="6" borderId="0" xfId="0" applyFont="1" applyFill="1" applyAlignment="1">
      <alignment horizontal="right"/>
    </xf>
    <xf numFmtId="168" fontId="47" fillId="0" borderId="0" xfId="8" applyNumberFormat="1" applyFont="1" applyFill="1" applyBorder="1"/>
    <xf numFmtId="168" fontId="68" fillId="0" borderId="0" xfId="8" applyNumberFormat="1" applyFont="1" applyFill="1" applyBorder="1"/>
    <xf numFmtId="0" fontId="69" fillId="0" borderId="0" xfId="0" applyFont="1"/>
    <xf numFmtId="0" fontId="22" fillId="0" borderId="0" xfId="0" quotePrefix="1" applyFont="1" applyAlignment="1">
      <alignment horizontal="left" indent="1"/>
    </xf>
    <xf numFmtId="9" fontId="41" fillId="13" borderId="4" xfId="8" applyFont="1" applyFill="1" applyBorder="1"/>
    <xf numFmtId="168" fontId="22" fillId="0" borderId="0" xfId="8" applyNumberFormat="1" applyFont="1" applyFill="1" applyBorder="1" applyAlignment="1">
      <alignment horizontal="right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right"/>
    </xf>
    <xf numFmtId="0" fontId="37" fillId="0" borderId="0" xfId="0" applyFont="1" applyAlignment="1">
      <alignment horizontal="right"/>
    </xf>
    <xf numFmtId="0" fontId="57" fillId="0" borderId="0" xfId="0" applyFont="1" applyAlignment="1">
      <alignment horizontal="center"/>
    </xf>
    <xf numFmtId="0" fontId="21" fillId="6" borderId="0" xfId="0" applyFont="1" applyFill="1" applyAlignment="1">
      <alignment horizontal="center"/>
    </xf>
    <xf numFmtId="0" fontId="23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9" fontId="22" fillId="0" borderId="0" xfId="8" applyFont="1" applyFill="1"/>
    <xf numFmtId="0" fontId="21" fillId="6" borderId="3" xfId="0" applyFont="1" applyFill="1" applyBorder="1" applyAlignment="1">
      <alignment horizontal="right"/>
    </xf>
    <xf numFmtId="0" fontId="12" fillId="0" borderId="13" xfId="0" applyFont="1" applyBorder="1"/>
    <xf numFmtId="0" fontId="17" fillId="4" borderId="0" xfId="0" applyFont="1" applyFill="1" applyAlignment="1">
      <alignment horizontal="right"/>
    </xf>
    <xf numFmtId="0" fontId="37" fillId="0" borderId="3" xfId="0" applyFont="1" applyBorder="1"/>
    <xf numFmtId="0" fontId="37" fillId="0" borderId="3" xfId="0" applyFont="1" applyBorder="1" applyAlignment="1">
      <alignment horizontal="center"/>
    </xf>
    <xf numFmtId="0" fontId="17" fillId="4" borderId="3" xfId="0" applyFont="1" applyFill="1" applyBorder="1" applyAlignment="1">
      <alignment horizontal="right"/>
    </xf>
    <xf numFmtId="0" fontId="70" fillId="0" borderId="0" xfId="0" applyFont="1"/>
    <xf numFmtId="9" fontId="40" fillId="0" borderId="0" xfId="8" applyFont="1" applyFill="1" applyBorder="1"/>
    <xf numFmtId="188" fontId="12" fillId="0" borderId="0" xfId="0" applyNumberFormat="1" applyFont="1"/>
    <xf numFmtId="189" fontId="12" fillId="0" borderId="0" xfId="0" applyNumberFormat="1" applyFont="1"/>
    <xf numFmtId="9" fontId="12" fillId="0" borderId="0" xfId="8" applyFont="1"/>
    <xf numFmtId="0" fontId="3" fillId="0" borderId="0" xfId="0" applyFont="1"/>
    <xf numFmtId="3" fontId="40" fillId="0" borderId="3" xfId="0" applyNumberFormat="1" applyFont="1" applyBorder="1"/>
    <xf numFmtId="1" fontId="40" fillId="0" borderId="3" xfId="0" applyNumberFormat="1" applyFont="1" applyBorder="1"/>
    <xf numFmtId="1" fontId="39" fillId="0" borderId="3" xfId="0" applyNumberFormat="1" applyFont="1" applyBorder="1"/>
    <xf numFmtId="9" fontId="12" fillId="0" borderId="3" xfId="0" applyNumberFormat="1" applyFont="1" applyBorder="1"/>
    <xf numFmtId="9" fontId="12" fillId="0" borderId="3" xfId="8" applyFont="1" applyFill="1" applyBorder="1"/>
    <xf numFmtId="168" fontId="12" fillId="0" borderId="3" xfId="8" applyNumberFormat="1" applyFont="1" applyFill="1" applyBorder="1"/>
    <xf numFmtId="3" fontId="39" fillId="0" borderId="3" xfId="0" applyNumberFormat="1" applyFont="1" applyBorder="1"/>
    <xf numFmtId="168" fontId="22" fillId="0" borderId="3" xfId="8" applyNumberFormat="1" applyFont="1" applyFill="1" applyBorder="1"/>
    <xf numFmtId="1" fontId="12" fillId="0" borderId="3" xfId="0" applyNumberFormat="1" applyFont="1" applyBorder="1"/>
    <xf numFmtId="3" fontId="12" fillId="0" borderId="3" xfId="1" applyNumberFormat="1" applyFont="1" applyFill="1" applyBorder="1"/>
    <xf numFmtId="167" fontId="12" fillId="0" borderId="3" xfId="1" applyFont="1" applyFill="1" applyBorder="1"/>
    <xf numFmtId="4" fontId="12" fillId="0" borderId="3" xfId="0" applyNumberFormat="1" applyFont="1" applyBorder="1"/>
    <xf numFmtId="9" fontId="12" fillId="0" borderId="3" xfId="8" applyFont="1" applyFill="1" applyBorder="1" applyAlignment="1">
      <alignment horizontal="right"/>
    </xf>
    <xf numFmtId="9" fontId="21" fillId="0" borderId="3" xfId="8" applyFont="1" applyFill="1" applyBorder="1" applyAlignment="1">
      <alignment horizontal="right"/>
    </xf>
    <xf numFmtId="9" fontId="21" fillId="0" borderId="3" xfId="8" applyFont="1" applyFill="1" applyBorder="1"/>
    <xf numFmtId="169" fontId="12" fillId="0" borderId="3" xfId="0" applyNumberFormat="1" applyFont="1" applyBorder="1"/>
    <xf numFmtId="3" fontId="7" fillId="0" borderId="3" xfId="0" applyNumberFormat="1" applyFont="1" applyBorder="1"/>
    <xf numFmtId="168" fontId="39" fillId="0" borderId="3" xfId="8" applyNumberFormat="1" applyFont="1" applyFill="1" applyBorder="1"/>
    <xf numFmtId="1" fontId="7" fillId="0" borderId="3" xfId="0" applyNumberFormat="1" applyFont="1" applyBorder="1"/>
    <xf numFmtId="168" fontId="7" fillId="0" borderId="3" xfId="8" applyNumberFormat="1" applyFont="1" applyFill="1" applyBorder="1"/>
    <xf numFmtId="1" fontId="44" fillId="0" borderId="3" xfId="0" applyNumberFormat="1" applyFont="1" applyBorder="1"/>
    <xf numFmtId="169" fontId="7" fillId="0" borderId="3" xfId="0" applyNumberFormat="1" applyFont="1" applyBorder="1"/>
    <xf numFmtId="3" fontId="44" fillId="0" borderId="3" xfId="0" applyNumberFormat="1" applyFont="1" applyBorder="1"/>
    <xf numFmtId="3" fontId="43" fillId="0" borderId="3" xfId="0" applyNumberFormat="1" applyFont="1" applyBorder="1"/>
    <xf numFmtId="9" fontId="41" fillId="0" borderId="3" xfId="0" applyNumberFormat="1" applyFont="1" applyBorder="1"/>
    <xf numFmtId="1" fontId="12" fillId="0" borderId="3" xfId="0" applyNumberFormat="1" applyFont="1" applyBorder="1" applyAlignment="1">
      <alignment horizontal="right"/>
    </xf>
    <xf numFmtId="190" fontId="12" fillId="0" borderId="0" xfId="0" applyNumberFormat="1" applyFont="1"/>
    <xf numFmtId="0" fontId="38" fillId="12" borderId="16" xfId="0" applyFont="1" applyFill="1" applyBorder="1" applyAlignment="1">
      <alignment horizontal="left"/>
    </xf>
    <xf numFmtId="164" fontId="38" fillId="12" borderId="17" xfId="0" applyNumberFormat="1" applyFont="1" applyFill="1" applyBorder="1" applyAlignment="1">
      <alignment horizontal="right"/>
    </xf>
    <xf numFmtId="9" fontId="38" fillId="12" borderId="17" xfId="8" applyFont="1" applyFill="1" applyBorder="1" applyAlignment="1">
      <alignment horizontal="right"/>
    </xf>
    <xf numFmtId="168" fontId="38" fillId="12" borderId="18" xfId="8" applyNumberFormat="1" applyFont="1" applyFill="1" applyBorder="1" applyAlignment="1">
      <alignment horizontal="right"/>
    </xf>
    <xf numFmtId="0" fontId="6" fillId="5" borderId="16" xfId="0" applyFont="1" applyFill="1" applyBorder="1" applyAlignment="1">
      <alignment horizontal="left" indent="1"/>
    </xf>
    <xf numFmtId="164" fontId="6" fillId="5" borderId="17" xfId="0" applyNumberFormat="1" applyFont="1" applyFill="1" applyBorder="1"/>
    <xf numFmtId="9" fontId="7" fillId="5" borderId="18" xfId="8" applyFont="1" applyFill="1" applyBorder="1"/>
    <xf numFmtId="164" fontId="6" fillId="5" borderId="0" xfId="0" applyNumberFormat="1" applyFont="1" applyFill="1"/>
    <xf numFmtId="9" fontId="7" fillId="5" borderId="20" xfId="8" applyFont="1" applyFill="1" applyBorder="1"/>
    <xf numFmtId="0" fontId="3" fillId="5" borderId="19" xfId="0" applyFont="1" applyFill="1" applyBorder="1" applyAlignment="1">
      <alignment horizontal="left"/>
    </xf>
    <xf numFmtId="0" fontId="33" fillId="5" borderId="21" xfId="0" applyFont="1" applyFill="1" applyBorder="1" applyAlignment="1">
      <alignment horizontal="left"/>
    </xf>
    <xf numFmtId="164" fontId="33" fillId="5" borderId="22" xfId="0" applyNumberFormat="1" applyFont="1" applyFill="1" applyBorder="1"/>
    <xf numFmtId="9" fontId="33" fillId="5" borderId="23" xfId="8" applyFont="1" applyFill="1" applyBorder="1"/>
    <xf numFmtId="0" fontId="4" fillId="5" borderId="21" xfId="0" applyFont="1" applyFill="1" applyBorder="1" applyAlignment="1">
      <alignment horizontal="left"/>
    </xf>
    <xf numFmtId="171" fontId="7" fillId="5" borderId="22" xfId="0" applyNumberFormat="1" applyFont="1" applyFill="1" applyBorder="1"/>
    <xf numFmtId="9" fontId="7" fillId="5" borderId="23" xfId="8" applyFont="1" applyFill="1" applyBorder="1"/>
    <xf numFmtId="0" fontId="6" fillId="14" borderId="19" xfId="0" applyFont="1" applyFill="1" applyBorder="1" applyAlignment="1">
      <alignment horizontal="left" indent="1"/>
    </xf>
    <xf numFmtId="164" fontId="6" fillId="14" borderId="0" xfId="0" applyNumberFormat="1" applyFont="1" applyFill="1"/>
    <xf numFmtId="9" fontId="7" fillId="14" borderId="20" xfId="8" applyFont="1" applyFill="1" applyBorder="1"/>
    <xf numFmtId="9" fontId="6" fillId="14" borderId="0" xfId="8" applyFont="1" applyFill="1" applyBorder="1"/>
    <xf numFmtId="0" fontId="4" fillId="14" borderId="19" xfId="0" applyFont="1" applyFill="1" applyBorder="1" applyAlignment="1">
      <alignment horizontal="left"/>
    </xf>
    <xf numFmtId="171" fontId="7" fillId="14" borderId="0" xfId="0" applyNumberFormat="1" applyFont="1" applyFill="1"/>
    <xf numFmtId="4" fontId="41" fillId="0" borderId="0" xfId="0" applyNumberFormat="1" applyFont="1"/>
    <xf numFmtId="0" fontId="21" fillId="9" borderId="16" xfId="0" applyFont="1" applyFill="1" applyBorder="1"/>
    <xf numFmtId="0" fontId="21" fillId="9" borderId="17" xfId="0" applyFont="1" applyFill="1" applyBorder="1"/>
    <xf numFmtId="0" fontId="21" fillId="9" borderId="18" xfId="0" applyFont="1" applyFill="1" applyBorder="1"/>
    <xf numFmtId="2" fontId="12" fillId="8" borderId="0" xfId="0" applyNumberFormat="1" applyFont="1" applyFill="1"/>
    <xf numFmtId="2" fontId="41" fillId="5" borderId="0" xfId="0" applyNumberFormat="1" applyFont="1" applyFill="1"/>
    <xf numFmtId="2" fontId="12" fillId="8" borderId="3" xfId="0" applyNumberFormat="1" applyFont="1" applyFill="1" applyBorder="1"/>
    <xf numFmtId="2" fontId="41" fillId="5" borderId="3" xfId="0" applyNumberFormat="1" applyFont="1" applyFill="1" applyBorder="1"/>
    <xf numFmtId="2" fontId="12" fillId="0" borderId="0" xfId="8" applyNumberFormat="1" applyFont="1" applyFill="1" applyBorder="1"/>
    <xf numFmtId="2" fontId="12" fillId="0" borderId="3" xfId="8" applyNumberFormat="1" applyFont="1" applyFill="1" applyBorder="1"/>
    <xf numFmtId="9" fontId="41" fillId="0" borderId="3" xfId="8" applyFont="1" applyFill="1" applyBorder="1"/>
    <xf numFmtId="1" fontId="21" fillId="0" borderId="3" xfId="0" applyNumberFormat="1" applyFont="1" applyBorder="1"/>
    <xf numFmtId="0" fontId="21" fillId="6" borderId="3" xfId="0" applyFont="1" applyFill="1" applyBorder="1"/>
    <xf numFmtId="0" fontId="17" fillId="7" borderId="3" xfId="0" applyFont="1" applyFill="1" applyBorder="1"/>
    <xf numFmtId="0" fontId="17" fillId="0" borderId="3" xfId="0" applyFont="1" applyBorder="1"/>
    <xf numFmtId="172" fontId="21" fillId="0" borderId="3" xfId="0" applyNumberFormat="1" applyFont="1" applyBorder="1"/>
    <xf numFmtId="178" fontId="21" fillId="0" borderId="3" xfId="19" applyNumberFormat="1" applyFont="1" applyBorder="1" applyAlignment="1">
      <alignment horizontal="right"/>
    </xf>
    <xf numFmtId="3" fontId="41" fillId="0" borderId="3" xfId="0" applyNumberFormat="1" applyFont="1" applyBorder="1"/>
    <xf numFmtId="170" fontId="39" fillId="0" borderId="0" xfId="0" applyNumberFormat="1" applyFont="1"/>
    <xf numFmtId="178" fontId="21" fillId="0" borderId="3" xfId="19" applyNumberFormat="1" applyFont="1" applyBorder="1" applyAlignment="1" applyProtection="1">
      <alignment horizontal="right"/>
      <protection locked="0"/>
    </xf>
    <xf numFmtId="3" fontId="12" fillId="0" borderId="3" xfId="0" applyNumberFormat="1" applyFont="1" applyBorder="1" applyAlignment="1">
      <alignment horizontal="right"/>
    </xf>
    <xf numFmtId="178" fontId="12" fillId="0" borderId="3" xfId="31" applyNumberFormat="1" applyFont="1" applyBorder="1" applyAlignment="1">
      <alignment horizontal="right"/>
    </xf>
    <xf numFmtId="0" fontId="39" fillId="0" borderId="3" xfId="0" applyFont="1" applyBorder="1" applyAlignment="1">
      <alignment horizontal="right"/>
    </xf>
    <xf numFmtId="175" fontId="40" fillId="0" borderId="0" xfId="7" applyFont="1" applyAlignment="1">
      <alignment horizontal="right"/>
    </xf>
    <xf numFmtId="1" fontId="21" fillId="8" borderId="0" xfId="0" applyNumberFormat="1" applyFont="1" applyFill="1"/>
    <xf numFmtId="0" fontId="38" fillId="6" borderId="0" xfId="0" applyFont="1" applyFill="1" applyAlignment="1">
      <alignment horizontal="right"/>
    </xf>
    <xf numFmtId="3" fontId="40" fillId="6" borderId="0" xfId="0" applyNumberFormat="1" applyFont="1" applyFill="1"/>
    <xf numFmtId="9" fontId="22" fillId="6" borderId="0" xfId="8" applyFont="1" applyFill="1" applyBorder="1"/>
    <xf numFmtId="3" fontId="21" fillId="6" borderId="0" xfId="0" applyNumberFormat="1" applyFont="1" applyFill="1"/>
    <xf numFmtId="1" fontId="39" fillId="6" borderId="0" xfId="0" applyNumberFormat="1" applyFont="1" applyFill="1"/>
    <xf numFmtId="1" fontId="21" fillId="6" borderId="0" xfId="0" applyNumberFormat="1" applyFont="1" applyFill="1"/>
    <xf numFmtId="168" fontId="12" fillId="6" borderId="0" xfId="8" applyNumberFormat="1" applyFont="1" applyFill="1" applyBorder="1"/>
    <xf numFmtId="168" fontId="22" fillId="6" borderId="0" xfId="8" applyNumberFormat="1" applyFont="1" applyFill="1" applyBorder="1" applyAlignment="1">
      <alignment horizontal="right"/>
    </xf>
    <xf numFmtId="168" fontId="68" fillId="6" borderId="0" xfId="8" applyNumberFormat="1" applyFont="1" applyFill="1" applyBorder="1"/>
    <xf numFmtId="1" fontId="40" fillId="6" borderId="0" xfId="0" applyNumberFormat="1" applyFont="1" applyFill="1"/>
    <xf numFmtId="0" fontId="12" fillId="6" borderId="0" xfId="0" applyFont="1" applyFill="1" applyAlignment="1">
      <alignment horizontal="right"/>
    </xf>
    <xf numFmtId="0" fontId="22" fillId="6" borderId="0" xfId="0" applyFont="1" applyFill="1"/>
    <xf numFmtId="169" fontId="39" fillId="6" borderId="0" xfId="0" applyNumberFormat="1" applyFont="1" applyFill="1"/>
    <xf numFmtId="169" fontId="12" fillId="6" borderId="0" xfId="0" applyNumberFormat="1" applyFont="1" applyFill="1"/>
    <xf numFmtId="3" fontId="12" fillId="6" borderId="0" xfId="0" applyNumberFormat="1" applyFont="1" applyFill="1"/>
    <xf numFmtId="168" fontId="22" fillId="6" borderId="0" xfId="8" applyNumberFormat="1" applyFont="1" applyFill="1" applyBorder="1"/>
    <xf numFmtId="3" fontId="12" fillId="6" borderId="0" xfId="1" applyNumberFormat="1" applyFont="1" applyFill="1" applyBorder="1"/>
    <xf numFmtId="168" fontId="12" fillId="6" borderId="0" xfId="0" applyNumberFormat="1" applyFont="1" applyFill="1"/>
    <xf numFmtId="9" fontId="12" fillId="6" borderId="0" xfId="0" applyNumberFormat="1" applyFont="1" applyFill="1"/>
    <xf numFmtId="9" fontId="61" fillId="6" borderId="0" xfId="0" applyNumberFormat="1" applyFont="1" applyFill="1"/>
    <xf numFmtId="3" fontId="39" fillId="6" borderId="0" xfId="0" applyNumberFormat="1" applyFont="1" applyFill="1"/>
    <xf numFmtId="1" fontId="12" fillId="6" borderId="0" xfId="0" applyNumberFormat="1" applyFont="1" applyFill="1"/>
    <xf numFmtId="0" fontId="38" fillId="6" borderId="3" xfId="0" applyFont="1" applyFill="1" applyBorder="1" applyAlignment="1">
      <alignment horizontal="right"/>
    </xf>
    <xf numFmtId="3" fontId="40" fillId="6" borderId="3" xfId="0" applyNumberFormat="1" applyFont="1" applyFill="1" applyBorder="1"/>
    <xf numFmtId="169" fontId="39" fillId="6" borderId="3" xfId="0" applyNumberFormat="1" applyFont="1" applyFill="1" applyBorder="1"/>
    <xf numFmtId="9" fontId="22" fillId="6" borderId="3" xfId="8" applyFont="1" applyFill="1" applyBorder="1"/>
    <xf numFmtId="1" fontId="12" fillId="6" borderId="3" xfId="0" applyNumberFormat="1" applyFont="1" applyFill="1" applyBorder="1"/>
    <xf numFmtId="1" fontId="39" fillId="6" borderId="3" xfId="0" applyNumberFormat="1" applyFont="1" applyFill="1" applyBorder="1"/>
    <xf numFmtId="1" fontId="40" fillId="6" borderId="3" xfId="0" applyNumberFormat="1" applyFont="1" applyFill="1" applyBorder="1"/>
    <xf numFmtId="168" fontId="12" fillId="6" borderId="3" xfId="8" applyNumberFormat="1" applyFont="1" applyFill="1" applyBorder="1"/>
    <xf numFmtId="168" fontId="22" fillId="6" borderId="3" xfId="8" applyNumberFormat="1" applyFont="1" applyFill="1" applyBorder="1" applyAlignment="1">
      <alignment horizontal="right"/>
    </xf>
    <xf numFmtId="168" fontId="68" fillId="6" borderId="3" xfId="8" applyNumberFormat="1" applyFont="1" applyFill="1" applyBorder="1"/>
    <xf numFmtId="0" fontId="12" fillId="6" borderId="3" xfId="0" applyFont="1" applyFill="1" applyBorder="1"/>
    <xf numFmtId="3" fontId="39" fillId="6" borderId="3" xfId="0" applyNumberFormat="1" applyFont="1" applyFill="1" applyBorder="1"/>
    <xf numFmtId="168" fontId="12" fillId="6" borderId="3" xfId="0" applyNumberFormat="1" applyFont="1" applyFill="1" applyBorder="1"/>
    <xf numFmtId="3" fontId="12" fillId="6" borderId="3" xfId="0" applyNumberFormat="1" applyFont="1" applyFill="1" applyBorder="1"/>
    <xf numFmtId="0" fontId="12" fillId="6" borderId="3" xfId="0" applyFont="1" applyFill="1" applyBorder="1" applyAlignment="1">
      <alignment horizontal="right"/>
    </xf>
    <xf numFmtId="168" fontId="22" fillId="6" borderId="3" xfId="8" applyNumberFormat="1" applyFont="1" applyFill="1" applyBorder="1"/>
    <xf numFmtId="3" fontId="12" fillId="6" borderId="3" xfId="1" applyNumberFormat="1" applyFont="1" applyFill="1" applyBorder="1"/>
    <xf numFmtId="9" fontId="12" fillId="6" borderId="3" xfId="0" applyNumberFormat="1" applyFont="1" applyFill="1" applyBorder="1"/>
    <xf numFmtId="168" fontId="22" fillId="6" borderId="0" xfId="0" applyNumberFormat="1" applyFont="1" applyFill="1"/>
    <xf numFmtId="9" fontId="22" fillId="6" borderId="0" xfId="0" applyNumberFormat="1" applyFont="1" applyFill="1"/>
    <xf numFmtId="169" fontId="21" fillId="6" borderId="0" xfId="0" applyNumberFormat="1" applyFont="1" applyFill="1"/>
    <xf numFmtId="169" fontId="40" fillId="6" borderId="0" xfId="0" applyNumberFormat="1" applyFont="1" applyFill="1"/>
    <xf numFmtId="2" fontId="12" fillId="6" borderId="0" xfId="0" applyNumberFormat="1" applyFont="1" applyFill="1"/>
    <xf numFmtId="9" fontId="12" fillId="6" borderId="0" xfId="8" applyFont="1" applyFill="1" applyBorder="1"/>
    <xf numFmtId="9" fontId="41" fillId="6" borderId="4" xfId="0" applyNumberFormat="1" applyFont="1" applyFill="1" applyBorder="1"/>
    <xf numFmtId="1" fontId="12" fillId="6" borderId="0" xfId="8" applyNumberFormat="1" applyFont="1" applyFill="1" applyBorder="1"/>
    <xf numFmtId="168" fontId="47" fillId="6" borderId="0" xfId="0" applyNumberFormat="1" applyFont="1" applyFill="1"/>
    <xf numFmtId="9" fontId="47" fillId="6" borderId="0" xfId="8" applyFont="1" applyFill="1" applyBorder="1"/>
    <xf numFmtId="3" fontId="21" fillId="6" borderId="3" xfId="0" applyNumberFormat="1" applyFont="1" applyFill="1" applyBorder="1"/>
    <xf numFmtId="2" fontId="12" fillId="6" borderId="3" xfId="0" applyNumberFormat="1" applyFont="1" applyFill="1" applyBorder="1"/>
    <xf numFmtId="9" fontId="22" fillId="6" borderId="3" xfId="0" applyNumberFormat="1" applyFont="1" applyFill="1" applyBorder="1"/>
    <xf numFmtId="168" fontId="22" fillId="6" borderId="3" xfId="0" applyNumberFormat="1" applyFont="1" applyFill="1" applyBorder="1"/>
    <xf numFmtId="1" fontId="12" fillId="6" borderId="3" xfId="8" applyNumberFormat="1" applyFont="1" applyFill="1" applyBorder="1"/>
    <xf numFmtId="9" fontId="12" fillId="6" borderId="3" xfId="8" applyFont="1" applyFill="1" applyBorder="1"/>
    <xf numFmtId="0" fontId="21" fillId="5" borderId="8" xfId="0" applyFont="1" applyFill="1" applyBorder="1" applyAlignment="1">
      <alignment horizontal="center"/>
    </xf>
    <xf numFmtId="0" fontId="31" fillId="5" borderId="9" xfId="0" applyFont="1" applyFill="1" applyBorder="1" applyAlignment="1">
      <alignment horizontal="center" vertical="center" wrapText="1"/>
    </xf>
    <xf numFmtId="0" fontId="31" fillId="5" borderId="10" xfId="0" applyFont="1" applyFill="1" applyBorder="1" applyAlignment="1">
      <alignment horizontal="center" vertical="center" wrapText="1"/>
    </xf>
    <xf numFmtId="0" fontId="52" fillId="5" borderId="0" xfId="9" applyFont="1" applyFill="1" applyAlignment="1">
      <alignment horizontal="left" vertical="center"/>
    </xf>
    <xf numFmtId="184" fontId="40" fillId="0" borderId="0" xfId="7" applyNumberFormat="1" applyFont="1" applyAlignment="1">
      <alignment horizontal="left"/>
    </xf>
    <xf numFmtId="175" fontId="21" fillId="9" borderId="16" xfId="7" applyFont="1" applyFill="1" applyBorder="1" applyAlignment="1">
      <alignment horizontal="center"/>
    </xf>
    <xf numFmtId="175" fontId="21" fillId="9" borderId="17" xfId="7" applyFont="1" applyFill="1" applyBorder="1" applyAlignment="1">
      <alignment horizontal="center"/>
    </xf>
    <xf numFmtId="175" fontId="21" fillId="9" borderId="18" xfId="7" applyFont="1" applyFill="1" applyBorder="1" applyAlignment="1">
      <alignment horizontal="center"/>
    </xf>
    <xf numFmtId="185" fontId="40" fillId="0" borderId="0" xfId="7" applyNumberFormat="1" applyFont="1" applyAlignment="1">
      <alignment horizontal="left"/>
    </xf>
    <xf numFmtId="0" fontId="32" fillId="0" borderId="0" xfId="0" applyFont="1" applyAlignment="1">
      <alignment horizontal="left" vertical="center" indent="2"/>
    </xf>
    <xf numFmtId="49" fontId="71" fillId="0" borderId="0" xfId="0" applyNumberFormat="1" applyFont="1"/>
    <xf numFmtId="49" fontId="71" fillId="0" borderId="0" xfId="0" applyNumberFormat="1" applyFont="1" applyAlignment="1"/>
    <xf numFmtId="49" fontId="72" fillId="0" borderId="0" xfId="0" applyNumberFormat="1" applyFont="1" applyAlignment="1"/>
    <xf numFmtId="49" fontId="9" fillId="0" borderId="0" xfId="0" applyNumberFormat="1" applyFont="1" applyAlignment="1"/>
    <xf numFmtId="49" fontId="73" fillId="0" borderId="0" xfId="0" applyNumberFormat="1" applyFont="1" applyAlignment="1"/>
    <xf numFmtId="49" fontId="9" fillId="0" borderId="4" xfId="0" applyNumberFormat="1" applyFont="1" applyBorder="1" applyAlignment="1"/>
    <xf numFmtId="49" fontId="9" fillId="0" borderId="4" xfId="0" applyNumberFormat="1" applyFont="1" applyBorder="1" applyAlignment="1"/>
    <xf numFmtId="49" fontId="9" fillId="0" borderId="0" xfId="0" applyNumberFormat="1" applyFont="1" applyAlignment="1">
      <alignment horizontal="left" vertical="center"/>
    </xf>
    <xf numFmtId="2" fontId="71" fillId="0" borderId="0" xfId="0" applyNumberFormat="1" applyFont="1"/>
    <xf numFmtId="49" fontId="74" fillId="15" borderId="0" xfId="0" applyNumberFormat="1" applyFont="1" applyFill="1" applyAlignment="1">
      <alignment wrapText="1"/>
    </xf>
    <xf numFmtId="0" fontId="0" fillId="15" borderId="0" xfId="0" applyFill="1"/>
    <xf numFmtId="49" fontId="75" fillId="15" borderId="0" xfId="0" applyNumberFormat="1" applyFont="1" applyFill="1" applyAlignment="1">
      <alignment wrapText="1"/>
    </xf>
  </cellXfs>
  <cellStyles count="36">
    <cellStyle name="_MWA RR_1-pager " xfId="22" xr:uid="{00000000-0005-0000-0000-000000000000}"/>
    <cellStyle name="_RRS1_1_1-pager " xfId="23" xr:uid="{00000000-0005-0000-0000-000001000000}"/>
    <cellStyle name="_RRS10_1_1-pager " xfId="24" xr:uid="{00000000-0005-0000-0000-000002000000}"/>
    <cellStyle name="_SUMMARY " xfId="10" xr:uid="{00000000-0005-0000-0000-000003000000}"/>
    <cellStyle name="_SUMMARY _1-pager " xfId="25" xr:uid="{00000000-0005-0000-0000-000004000000}"/>
    <cellStyle name="0_Capex &amp; Depreciation " xfId="11" xr:uid="{00000000-0005-0000-0000-000005000000}"/>
    <cellStyle name="0_Valuing BP " xfId="12" xr:uid="{00000000-0005-0000-0000-000006000000}"/>
    <cellStyle name="c_HardInc " xfId="13" xr:uid="{00000000-0005-0000-0000-000007000000}"/>
    <cellStyle name="Comma" xfId="1" builtinId="3"/>
    <cellStyle name="Comma 5" xfId="18" xr:uid="{00000000-0005-0000-0000-000009000000}"/>
    <cellStyle name="Currency" xfId="2" builtinId="4"/>
    <cellStyle name="Heading 1" xfId="3" builtinId="16" customBuiltin="1"/>
    <cellStyle name="Heading 2" xfId="4" builtinId="17" customBuiltin="1"/>
    <cellStyle name="Heading 3" xfId="5" builtinId="18" customBuiltin="1"/>
    <cellStyle name="Input" xfId="6" builtinId="20" customBuiltin="1"/>
    <cellStyle name="Millares_2AV_M_M " xfId="26" xr:uid="{00000000-0005-0000-0000-00000F000000}"/>
    <cellStyle name="Moneda [0]_2AV_M_M " xfId="27" xr:uid="{00000000-0005-0000-0000-000010000000}"/>
    <cellStyle name="MS Heading 2" xfId="29" xr:uid="{00000000-0005-0000-0000-000011000000}"/>
    <cellStyle name="MS Shading Alt" xfId="30" xr:uid="{00000000-0005-0000-0000-000012000000}"/>
    <cellStyle name="Normal" xfId="0" builtinId="0" customBuiltin="1"/>
    <cellStyle name="Normal 2" xfId="32" xr:uid="{00000000-0005-0000-0000-000014000000}"/>
    <cellStyle name="Normal 2 2" xfId="33" xr:uid="{00D95E26-ADE3-4936-AB2A-58F861BA3040}"/>
    <cellStyle name="Normal 3" xfId="9" xr:uid="{00000000-0005-0000-0000-000015000000}"/>
    <cellStyle name="Normal 3 2" xfId="20" xr:uid="{00000000-0005-0000-0000-000016000000}"/>
    <cellStyle name="Normal 4" xfId="34" xr:uid="{A182D039-757E-4A36-9C8A-814A6E23B671}"/>
    <cellStyle name="Normal_ACH Model" xfId="19" xr:uid="{00000000-0005-0000-0000-000017000000}"/>
    <cellStyle name="Normal_Model_2" xfId="31" xr:uid="{00000000-0005-0000-0000-000018000000}"/>
    <cellStyle name="Normal_NPX" xfId="21" xr:uid="{00000000-0005-0000-0000-000019000000}"/>
    <cellStyle name="Normal_TEL" xfId="7" xr:uid="{00000000-0005-0000-0000-00001A000000}"/>
    <cellStyle name="p " xfId="14" xr:uid="{00000000-0005-0000-0000-00001B000000}"/>
    <cellStyle name="Percent" xfId="8" builtinId="5"/>
    <cellStyle name="Percent 2" xfId="35" xr:uid="{D6CFAE51-25F2-4E11-BC7B-938F76156891}"/>
    <cellStyle name="s_HardInc " xfId="15" xr:uid="{00000000-0005-0000-0000-00001D000000}"/>
    <cellStyle name="s_Valuation " xfId="16" xr:uid="{00000000-0005-0000-0000-00001E000000}"/>
    <cellStyle name="ssp " xfId="17" xr:uid="{00000000-0005-0000-0000-00001F000000}"/>
    <cellStyle name="표준_0N-HANDLING " xfId="28" xr:uid="{00000000-0005-0000-0000-000020000000}"/>
  </cellStyles>
  <dxfs count="6"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D1C24"/>
      <rgbColor rgb="00939598"/>
      <rgbColor rgb="00790008"/>
      <rgbColor rgb="00BEBEBE"/>
      <rgbColor rgb="00FFFFFF"/>
      <rgbColor rgb="00C0C0C0"/>
      <rgbColor rgb="00808080"/>
      <rgbColor rgb="00790008"/>
      <rgbColor rgb="006D6E71"/>
      <rgbColor rgb="00BCBEC0"/>
      <rgbColor rgb="00ED1C24"/>
      <rgbColor rgb="00939598"/>
      <rgbColor rgb="00000000"/>
      <rgbColor rgb="00EC008C"/>
      <rgbColor rgb="0000A651"/>
      <rgbColor rgb="00790008"/>
      <rgbColor rgb="006D6E71"/>
      <rgbColor rgb="00BCBEC0"/>
      <rgbColor rgb="00ED1C24"/>
      <rgbColor rgb="00939598"/>
      <rgbColor rgb="00000000"/>
      <rgbColor rgb="00EC008C"/>
      <rgbColor rgb="0000A651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CCFF"/>
      <color rgb="FF1F497D"/>
      <color rgb="FFB9CDE5"/>
      <color rgb="FF4F81BD"/>
      <color rgb="FF0060A9"/>
      <color rgb="FFFFFFCC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7501312335958"/>
          <c:y val="4.16666666666666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250064850051423"/>
          <c:y val="0.23333428277296051"/>
          <c:w val="0.59375181198673088"/>
          <c:h val="0.45000183106213809"/>
        </c:manualLayout>
      </c:layout>
      <c:pieChart>
        <c:varyColors val="1"/>
        <c:ser>
          <c:idx val="0"/>
          <c:order val="0"/>
          <c:tx>
            <c:v>2008 Earnings Split</c:v>
          </c:tx>
          <c:dLbls>
            <c:dLbl>
              <c:idx val="0"/>
              <c:layout>
                <c:manualLayout>
                  <c:x val="-0.37957863697349004"/>
                  <c:y val="-0.5366374191805560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66-4DD1-A8A3-B902D624C629}"/>
                </c:ext>
              </c:extLst>
            </c:dLbl>
            <c:dLbl>
              <c:idx val="1"/>
              <c:layout>
                <c:manualLayout>
                  <c:x val="0.10742533925903748"/>
                  <c:y val="-0.1479595806767020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66-4DD1-A8A3-B902D624C629}"/>
                </c:ext>
              </c:extLst>
            </c:dLbl>
            <c:dLbl>
              <c:idx val="2"/>
              <c:layout>
                <c:manualLayout>
                  <c:x val="7.4517313417311604E-2"/>
                  <c:y val="-0.1092531164489880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66-4DD1-A8A3-B902D624C6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Cement, Lime and Concrete</c:v>
              </c:pt>
              <c:pt idx="1">
                <c:v>Concrete Products</c:v>
              </c:pt>
              <c:pt idx="2">
                <c:v>Other</c:v>
              </c:pt>
            </c:strLit>
          </c:cat>
          <c:val>
            <c:numLit>
              <c:formatCode>General</c:formatCode>
              <c:ptCount val="3"/>
              <c:pt idx="0">
                <c:v>191.8</c:v>
              </c:pt>
              <c:pt idx="1">
                <c:v>8.5</c:v>
              </c:pt>
              <c:pt idx="2">
                <c:v>-11.2</c:v>
              </c:pt>
            </c:numLit>
          </c:val>
          <c:extLst>
            <c:ext xmlns:c16="http://schemas.microsoft.com/office/drawing/2014/chart" uri="{C3380CC4-5D6E-409C-BE32-E72D297353CC}">
              <c16:uniqueId val="{00000003-5666-4DD1-A8A3-B902D624C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6250131233595798"/>
          <c:y val="0.83750349956255465"/>
          <c:w val="0"/>
          <c:h val="4.1666666666666519E-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dLbl>
              <c:idx val="4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D2-4E6C-B7E9-7943184943A0}"/>
                </c:ext>
              </c:extLst>
            </c:dLbl>
            <c:dLbl>
              <c:idx val="5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6D2-4E6C-B7E9-7943184943A0}"/>
                </c:ext>
              </c:extLst>
            </c:dLbl>
            <c:dLbl>
              <c:idx val="6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D2-4E6C-B7E9-7943184943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Australia</c:v>
              </c:pt>
              <c:pt idx="1">
                <c:v>Boral Gypsum</c:v>
              </c:pt>
              <c:pt idx="2">
                <c:v>Boral North America</c:v>
              </c:pt>
              <c:pt idx="3">
                <c:v>Discountinued operations</c:v>
              </c:pt>
              <c:pt idx="4">
                <c:v>Unallocated</c:v>
              </c:pt>
              <c:pt idx="5">
                <c:v>Total underlying EBIT</c:v>
              </c:pt>
            </c:strLit>
          </c:cat>
          <c:val>
            <c:numLit>
              <c:formatCode>General</c:formatCode>
              <c:ptCount val="6"/>
              <c:pt idx="0">
                <c:v>53</c:v>
              </c:pt>
              <c:pt idx="1">
                <c:v>0</c:v>
              </c:pt>
              <c:pt idx="2">
                <c:v>0</c:v>
              </c:pt>
              <c:pt idx="3">
                <c:v>1.6</c:v>
              </c:pt>
              <c:pt idx="4">
                <c:v>-4.9000000000000004</c:v>
              </c:pt>
              <c:pt idx="5">
                <c:v>49.7</c:v>
              </c:pt>
            </c:numLit>
          </c:val>
          <c:extLst>
            <c:ext xmlns:c16="http://schemas.microsoft.com/office/drawing/2014/chart" uri="{C3380CC4-5D6E-409C-BE32-E72D297353CC}">
              <c16:uniqueId val="{00000003-16D2-4E6C-B7E9-794318494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050279329608939"/>
          <c:y val="0"/>
          <c:w val="4.4692737430167599E-2"/>
          <c:h val="0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1F497D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REH EBIT FY21a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1F497D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rgbClr val="1F497D"/>
            </a:solidFill>
          </c:spPr>
          <c:dPt>
            <c:idx val="0"/>
            <c:bubble3D val="0"/>
            <c:spPr>
              <a:solidFill>
                <a:srgbClr val="B9CDE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DDAC-4E33-9CE6-6CF573E06D34}"/>
              </c:ext>
            </c:extLst>
          </c:dPt>
          <c:dPt>
            <c:idx val="1"/>
            <c:bubble3D val="0"/>
            <c:spPr>
              <a:solidFill>
                <a:srgbClr val="4F81B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AC-4E33-9CE6-6CF573E06D34}"/>
              </c:ext>
            </c:extLst>
          </c:dPt>
          <c:dLbls>
            <c:dLbl>
              <c:idx val="0"/>
              <c:layout>
                <c:manualLayout>
                  <c:x val="0.1"/>
                  <c:y val="2.314814814814814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AC-4E33-9CE6-6CF573E06D34}"/>
                </c:ext>
              </c:extLst>
            </c:dLbl>
            <c:dLbl>
              <c:idx val="1"/>
              <c:layout>
                <c:manualLayout>
                  <c:x val="-9.7222222222222279E-2"/>
                  <c:y val="-6.944444444444448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AC-4E33-9CE6-6CF573E06D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rgbClr val="1F497D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'BS, CF and P&amp;L'!$A$30:$A$31</c:f>
              <c:strCache>
                <c:ptCount val="2"/>
                <c:pt idx="0">
                  <c:v>ANZ</c:v>
                </c:pt>
                <c:pt idx="1">
                  <c:v>USA</c:v>
                </c:pt>
              </c:strCache>
            </c:strRef>
          </c:cat>
          <c:val>
            <c:numRef>
              <c:f>'BS, CF and P&amp;L'!$AL$30:$AL$31</c:f>
              <c:numCache>
                <c:formatCode>#,##0</c:formatCode>
                <c:ptCount val="2"/>
                <c:pt idx="0">
                  <c:v>381.31799999999998</c:v>
                </c:pt>
                <c:pt idx="1">
                  <c:v>111.25400000000002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C-4E33-9CE6-6CF573E06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>
          <a:solidFill>
            <a:srgbClr val="1F497D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Fin Sum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'Fin Sum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Fin Sum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Fin Su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225EC2-C38A-E659-1A0C-46A83E1FB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177</xdr:row>
      <xdr:rowOff>0</xdr:rowOff>
    </xdr:from>
    <xdr:to>
      <xdr:col>10</xdr:col>
      <xdr:colOff>527050</xdr:colOff>
      <xdr:row>199</xdr:row>
      <xdr:rowOff>150495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68587D-1C25-70DF-1C06-2146AAB12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0038040"/>
          <a:ext cx="6496050" cy="3838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142</xdr:row>
      <xdr:rowOff>85725</xdr:rowOff>
    </xdr:from>
    <xdr:to>
      <xdr:col>2</xdr:col>
      <xdr:colOff>0</xdr:colOff>
      <xdr:row>156</xdr:row>
      <xdr:rowOff>104775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44824</xdr:colOff>
      <xdr:row>0</xdr:row>
      <xdr:rowOff>134471</xdr:rowOff>
    </xdr:from>
    <xdr:to>
      <xdr:col>3</xdr:col>
      <xdr:colOff>605118</xdr:colOff>
      <xdr:row>2</xdr:row>
      <xdr:rowOff>95825</xdr:rowOff>
    </xdr:to>
    <xdr:pic>
      <xdr:nvPicPr>
        <xdr:cNvPr id="3" name="Picture 4" descr="MS_PCLogo_Gray12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06" y="134471"/>
          <a:ext cx="2599765" cy="275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333375</xdr:colOff>
      <xdr:row>11</xdr:row>
      <xdr:rowOff>0</xdr:rowOff>
    </xdr:from>
    <xdr:to>
      <xdr:col>16</xdr:col>
      <xdr:colOff>0</xdr:colOff>
      <xdr:row>11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171450</xdr:colOff>
      <xdr:row>2</xdr:row>
      <xdr:rowOff>29308</xdr:rowOff>
    </xdr:to>
    <xdr:sp macro="" textlink="">
      <xdr:nvSpPr>
        <xdr:cNvPr id="2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32642" cy="322385"/>
        </a:xfrm>
        <a:prstGeom prst="actionButtonHome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9525</xdr:rowOff>
    </xdr:from>
    <xdr:to>
      <xdr:col>23</xdr:col>
      <xdr:colOff>180975</xdr:colOff>
      <xdr:row>1</xdr:row>
      <xdr:rowOff>0</xdr:rowOff>
    </xdr:to>
    <xdr:sp macro="[0]!Interestcal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362325" y="9525"/>
          <a:ext cx="1343025" cy="257175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 contourW="12700" prstMaterial="matte">
          <a:bevelT w="19050"/>
          <a:bevelB w="12700"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latin typeface="Arial" panose="020B0604020202020204" pitchFamily="34" charset="0"/>
              <a:cs typeface="Arial" panose="020B0604020202020204" pitchFamily="34" charset="0"/>
            </a:rPr>
            <a:t>Cash</a:t>
          </a:r>
          <a:r>
            <a:rPr lang="en-US" sz="800" b="1" baseline="0">
              <a:latin typeface="Arial" panose="020B0604020202020204" pitchFamily="34" charset="0"/>
              <a:cs typeface="Arial" panose="020B0604020202020204" pitchFamily="34" charset="0"/>
            </a:rPr>
            <a:t> balancer</a:t>
          </a:r>
          <a:endParaRPr lang="en-US" sz="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180975</xdr:colOff>
      <xdr:row>1</xdr:row>
      <xdr:rowOff>22412</xdr:rowOff>
    </xdr:to>
    <xdr:sp macro="" textlink="">
      <xdr:nvSpPr>
        <xdr:cNvPr id="5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82681" cy="291353"/>
        </a:xfrm>
        <a:prstGeom prst="actionButtonHome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</xdr:sp>
    <xdr:clientData/>
  </xdr:twoCellAnchor>
  <xdr:twoCellAnchor>
    <xdr:from>
      <xdr:col>67</xdr:col>
      <xdr:colOff>350520</xdr:colOff>
      <xdr:row>27</xdr:row>
      <xdr:rowOff>116205</xdr:rowOff>
    </xdr:from>
    <xdr:to>
      <xdr:col>73</xdr:col>
      <xdr:colOff>308610</xdr:colOff>
      <xdr:row>47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382681</xdr:colOff>
      <xdr:row>1</xdr:row>
      <xdr:rowOff>134471</xdr:rowOff>
    </xdr:to>
    <xdr:sp macro="" textlink="">
      <xdr:nvSpPr>
        <xdr:cNvPr id="6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82681" cy="291353"/>
        </a:xfrm>
        <a:prstGeom prst="actionButtonHome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382681" cy="291353"/>
        </a:xfrm>
        <a:prstGeom prst="actionButtonHome">
          <a:avLst/>
        </a:prstGeom>
        <a:solidFill>
          <a:srgbClr val="002060"/>
        </a:solidFill>
        <a:ln>
          <a:solidFill>
            <a:schemeClr val="bg1"/>
          </a:solidFill>
        </a:ln>
        <a:effectLst/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dineshs/Desktop/MS_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Page"/>
      <sheetName val="BS, CF and P&amp;L"/>
      <sheetName val="MW-Cache"/>
      <sheetName val="Segments"/>
      <sheetName val="Valuation"/>
      <sheetName val="Fin Summ"/>
      <sheetName val="Chart"/>
      <sheetName val="Charts - New"/>
      <sheetName val="Result comparison"/>
      <sheetName val="Forecast Change"/>
      <sheetName val="Upside Scenario"/>
      <sheetName val="Downside Scenario"/>
      <sheetName val="About"/>
      <sheetName val="AMP Sensitivities"/>
      <sheetName val="Results Announcements"/>
      <sheetName val="mwareDates"/>
      <sheetName val="MWA RR"/>
      <sheetName val="mwareSettings"/>
      <sheetName val="Chg Sum"/>
      <sheetName val="GRD2"/>
      <sheetName val="GRD OLD"/>
      <sheetName val="BS"/>
      <sheetName val="P&amp;L"/>
      <sheetName val="D&amp;A"/>
      <sheetName val="CF"/>
      <sheetName val="Int"/>
      <sheetName val="Tax"/>
      <sheetName val="ShareCap"/>
      <sheetName val="Val"/>
      <sheetName val="Fin Sum old"/>
      <sheetName val="Charts"/>
      <sheetName val="IPP"/>
      <sheetName val="Operations"/>
      <sheetName val="Lime"/>
      <sheetName val="Result Snapshot"/>
      <sheetName val="Returns Sheet"/>
      <sheetName val="Fin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ick, Julianna C (Research)" id="{B34B455F-FF03-4B39-84FE-DDE59CD190CB}" userId="S::Julianna.Sick@morganstanley.com::34e60967-76c6-40b7-a838-cb09369d7fd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39" dT="2023-08-23T04:37:25.94" personId="{B34B455F-FF03-4B39-84FE-DDE59CD190CB}" id="{02F14F67-3817-4A84-B7D9-BC015D54851C}">
    <text>Mgmt A$65-75m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A3CAE-0838-4863-BACD-60DCA6DD9BE3}">
  <dimension ref="B2:B9"/>
  <sheetViews>
    <sheetView showGridLines="0" showRowColHeaders="0" tabSelected="1" workbookViewId="0">
      <selection activeCell="Z1" sqref="Z1"/>
    </sheetView>
  </sheetViews>
  <sheetFormatPr defaultRowHeight="13.2"/>
  <cols>
    <col min="1" max="1" width="8.88671875" style="548"/>
    <col min="2" max="2" width="101.109375" style="548" customWidth="1"/>
    <col min="3" max="16384" width="8.88671875" style="548"/>
  </cols>
  <sheetData>
    <row r="2" spans="2:2" ht="52.2">
      <c r="B2" s="547" t="s">
        <v>1012</v>
      </c>
    </row>
    <row r="3" spans="2:2" ht="17.399999999999999">
      <c r="B3" s="547"/>
    </row>
    <row r="4" spans="2:2" ht="17.399999999999999">
      <c r="B4" s="547"/>
    </row>
    <row r="5" spans="2:2" ht="17.399999999999999">
      <c r="B5" s="547" t="s">
        <v>1013</v>
      </c>
    </row>
    <row r="6" spans="2:2" ht="17.399999999999999">
      <c r="B6" s="547" t="s">
        <v>1014</v>
      </c>
    </row>
    <row r="7" spans="2:2" ht="17.399999999999999">
      <c r="B7" s="547" t="s">
        <v>1015</v>
      </c>
    </row>
    <row r="8" spans="2:2" ht="17.399999999999999">
      <c r="B8" s="547"/>
    </row>
    <row r="9" spans="2:2" ht="34.799999999999997">
      <c r="B9" s="549" t="s">
        <v>1016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25E6B-E376-4EBD-A9F0-21E6FC482E8E}">
  <dimension ref="A1:H428"/>
  <sheetViews>
    <sheetView showGridLines="0" workbookViewId="0">
      <selection activeCell="Z1" sqref="Z1"/>
    </sheetView>
  </sheetViews>
  <sheetFormatPr defaultRowHeight="13.2"/>
  <sheetData>
    <row r="1" spans="1:8" ht="23.25" customHeight="1">
      <c r="A1" s="545"/>
      <c r="B1" s="541"/>
      <c r="C1" s="541"/>
      <c r="D1" s="541"/>
      <c r="E1" s="541"/>
      <c r="F1" s="541"/>
      <c r="G1" s="541"/>
      <c r="H1" s="541"/>
    </row>
    <row r="2" spans="1:8">
      <c r="A2" s="539" t="s">
        <v>595</v>
      </c>
      <c r="B2" s="541"/>
      <c r="C2" s="541"/>
      <c r="D2" s="541"/>
      <c r="E2" s="541"/>
      <c r="F2" s="541"/>
      <c r="G2" s="541"/>
      <c r="H2" s="541"/>
    </row>
    <row r="3" spans="1:8">
      <c r="A3" s="539" t="s">
        <v>596</v>
      </c>
      <c r="B3" s="541"/>
      <c r="C3" s="541"/>
      <c r="D3" s="541"/>
      <c r="E3" s="541"/>
      <c r="F3" s="541"/>
      <c r="G3" s="541"/>
      <c r="H3" s="541"/>
    </row>
    <row r="4" spans="1:8">
      <c r="A4" s="539" t="s">
        <v>597</v>
      </c>
      <c r="B4" s="541"/>
      <c r="C4" s="541"/>
      <c r="D4" s="541"/>
      <c r="E4" s="541"/>
      <c r="F4" s="541"/>
      <c r="G4" s="541"/>
      <c r="H4" s="541"/>
    </row>
    <row r="5" spans="1:8">
      <c r="A5" s="539" t="s">
        <v>598</v>
      </c>
      <c r="B5" s="541"/>
      <c r="C5" s="541"/>
      <c r="D5" s="541"/>
      <c r="E5" s="541"/>
      <c r="F5" s="541"/>
      <c r="G5" s="541"/>
      <c r="H5" s="541"/>
    </row>
    <row r="6" spans="1:8">
      <c r="A6" s="539"/>
      <c r="B6" s="541"/>
      <c r="C6" s="541"/>
      <c r="D6" s="541"/>
      <c r="E6" s="541"/>
      <c r="F6" s="541"/>
      <c r="G6" s="541"/>
      <c r="H6" s="541"/>
    </row>
    <row r="7" spans="1:8">
      <c r="A7" s="539" t="s">
        <v>599</v>
      </c>
      <c r="B7" s="541"/>
      <c r="C7" s="541"/>
      <c r="D7" s="541"/>
      <c r="E7" s="541"/>
      <c r="F7" s="541"/>
      <c r="G7" s="541"/>
      <c r="H7" s="541"/>
    </row>
    <row r="8" spans="1:8">
      <c r="A8" s="539" t="s">
        <v>600</v>
      </c>
      <c r="B8" s="541"/>
      <c r="C8" s="541"/>
      <c r="D8" s="541"/>
      <c r="E8" s="541"/>
      <c r="F8" s="541"/>
      <c r="G8" s="541"/>
      <c r="H8" s="541"/>
    </row>
    <row r="9" spans="1:8">
      <c r="A9" s="539"/>
      <c r="B9" s="541"/>
      <c r="C9" s="541"/>
      <c r="D9" s="541"/>
      <c r="E9" s="541"/>
      <c r="F9" s="541"/>
      <c r="G9" s="541"/>
      <c r="H9" s="541"/>
    </row>
    <row r="10" spans="1:8">
      <c r="A10" s="539" t="s">
        <v>601</v>
      </c>
      <c r="B10" s="541"/>
      <c r="C10" s="541"/>
      <c r="D10" s="541"/>
      <c r="E10" s="541"/>
      <c r="F10" s="541"/>
      <c r="G10" s="541"/>
      <c r="H10" s="541"/>
    </row>
    <row r="11" spans="1:8">
      <c r="A11" s="539" t="s">
        <v>602</v>
      </c>
      <c r="B11" s="541"/>
      <c r="C11" s="541"/>
      <c r="D11" s="541"/>
      <c r="E11" s="541"/>
      <c r="F11" s="541"/>
      <c r="G11" s="541"/>
      <c r="H11" s="541"/>
    </row>
    <row r="12" spans="1:8">
      <c r="A12" s="539" t="s">
        <v>603</v>
      </c>
      <c r="B12" s="541"/>
      <c r="C12" s="541"/>
      <c r="D12" s="541"/>
      <c r="E12" s="541"/>
      <c r="F12" s="541"/>
      <c r="G12" s="541"/>
      <c r="H12" s="541"/>
    </row>
    <row r="13" spans="1:8">
      <c r="A13" s="539" t="s">
        <v>604</v>
      </c>
      <c r="B13" s="541"/>
      <c r="C13" s="541"/>
      <c r="D13" s="541"/>
      <c r="E13" s="541"/>
      <c r="F13" s="541"/>
      <c r="G13" s="541"/>
      <c r="H13" s="541"/>
    </row>
    <row r="14" spans="1:8">
      <c r="A14" s="539" t="s">
        <v>605</v>
      </c>
      <c r="B14" s="541"/>
      <c r="C14" s="541"/>
      <c r="D14" s="541"/>
      <c r="E14" s="541"/>
      <c r="F14" s="541"/>
      <c r="G14" s="541"/>
      <c r="H14" s="541"/>
    </row>
    <row r="15" spans="1:8">
      <c r="A15" s="539" t="s">
        <v>606</v>
      </c>
      <c r="B15" s="541"/>
      <c r="C15" s="541"/>
      <c r="D15" s="541"/>
      <c r="E15" s="541"/>
      <c r="F15" s="541"/>
      <c r="G15" s="541"/>
      <c r="H15" s="541"/>
    </row>
    <row r="16" spans="1:8">
      <c r="A16" s="539"/>
      <c r="B16" s="541"/>
      <c r="C16" s="541"/>
      <c r="D16" s="541"/>
      <c r="E16" s="541"/>
      <c r="F16" s="541"/>
      <c r="G16" s="541"/>
      <c r="H16" s="541"/>
    </row>
    <row r="17" spans="1:8">
      <c r="A17" s="539" t="s">
        <v>607</v>
      </c>
      <c r="B17" s="541"/>
      <c r="C17" s="541"/>
      <c r="D17" s="541"/>
      <c r="E17" s="541"/>
      <c r="F17" s="541"/>
      <c r="G17" s="541"/>
      <c r="H17" s="541"/>
    </row>
    <row r="18" spans="1:8">
      <c r="A18" s="539"/>
      <c r="B18" s="541"/>
      <c r="C18" s="541"/>
      <c r="D18" s="541"/>
      <c r="E18" s="541"/>
      <c r="F18" s="541"/>
      <c r="G18" s="541"/>
      <c r="H18" s="541"/>
    </row>
    <row r="19" spans="1:8">
      <c r="A19" s="539" t="s">
        <v>608</v>
      </c>
      <c r="B19" s="541"/>
      <c r="C19" s="541"/>
      <c r="D19" s="541"/>
      <c r="E19" s="541"/>
      <c r="F19" s="541"/>
      <c r="G19" s="541"/>
      <c r="H19" s="541"/>
    </row>
    <row r="20" spans="1:8">
      <c r="A20" s="539"/>
      <c r="B20" s="541"/>
      <c r="C20" s="541"/>
      <c r="D20" s="541"/>
      <c r="E20" s="541"/>
      <c r="F20" s="541"/>
      <c r="G20" s="541"/>
      <c r="H20" s="541"/>
    </row>
    <row r="21" spans="1:8">
      <c r="A21" s="540" t="s">
        <v>609</v>
      </c>
      <c r="B21" s="541"/>
      <c r="C21" s="541"/>
      <c r="D21" s="541"/>
      <c r="E21" s="541"/>
      <c r="F21" s="541"/>
      <c r="G21" s="541"/>
      <c r="H21" s="541"/>
    </row>
    <row r="22" spans="1:8">
      <c r="A22" s="541"/>
      <c r="B22" s="541"/>
      <c r="C22" s="541"/>
      <c r="D22" s="541"/>
      <c r="E22" s="541"/>
      <c r="F22" s="541"/>
      <c r="G22" s="541"/>
      <c r="H22" s="541"/>
    </row>
    <row r="23" spans="1:8">
      <c r="A23" s="541" t="s">
        <v>610</v>
      </c>
      <c r="B23" s="541"/>
      <c r="C23" s="541"/>
      <c r="D23" s="541"/>
      <c r="E23" s="541"/>
      <c r="F23" s="541"/>
      <c r="G23" s="541"/>
      <c r="H23" s="541"/>
    </row>
    <row r="24" spans="1:8">
      <c r="A24" s="541" t="s">
        <v>611</v>
      </c>
      <c r="B24" s="541"/>
      <c r="C24" s="541"/>
      <c r="D24" s="541"/>
      <c r="E24" s="541"/>
      <c r="F24" s="541"/>
      <c r="G24" s="541"/>
      <c r="H24" s="541"/>
    </row>
    <row r="25" spans="1:8">
      <c r="A25" s="541" t="s">
        <v>612</v>
      </c>
      <c r="B25" s="541"/>
      <c r="C25" s="541"/>
      <c r="D25" s="541"/>
      <c r="E25" s="541"/>
      <c r="F25" s="541"/>
      <c r="G25" s="541"/>
      <c r="H25" s="541"/>
    </row>
    <row r="26" spans="1:8">
      <c r="A26" s="541" t="s">
        <v>613</v>
      </c>
      <c r="B26" s="541"/>
      <c r="C26" s="541"/>
      <c r="D26" s="541"/>
      <c r="E26" s="541"/>
      <c r="F26" s="541"/>
      <c r="G26" s="541"/>
      <c r="H26" s="541"/>
    </row>
    <row r="27" spans="1:8">
      <c r="A27" s="541"/>
      <c r="B27" s="541"/>
      <c r="C27" s="541"/>
      <c r="D27" s="541"/>
      <c r="E27" s="541"/>
      <c r="F27" s="541"/>
      <c r="G27" s="541"/>
      <c r="H27" s="541"/>
    </row>
    <row r="28" spans="1:8">
      <c r="A28" s="541" t="s">
        <v>614</v>
      </c>
      <c r="B28" s="541"/>
      <c r="C28" s="541"/>
      <c r="D28" s="541"/>
      <c r="E28" s="541"/>
      <c r="F28" s="541"/>
      <c r="G28" s="541"/>
      <c r="H28" s="541"/>
    </row>
    <row r="29" spans="1:8">
      <c r="A29" s="541" t="s">
        <v>615</v>
      </c>
      <c r="B29" s="541"/>
      <c r="C29" s="541"/>
      <c r="D29" s="541"/>
      <c r="E29" s="541"/>
      <c r="F29" s="541"/>
      <c r="G29" s="541"/>
      <c r="H29" s="541"/>
    </row>
    <row r="30" spans="1:8">
      <c r="A30" s="541" t="s">
        <v>616</v>
      </c>
      <c r="B30" s="541"/>
      <c r="C30" s="541"/>
      <c r="D30" s="541"/>
      <c r="E30" s="541"/>
      <c r="F30" s="541"/>
      <c r="G30" s="541"/>
      <c r="H30" s="541"/>
    </row>
    <row r="31" spans="1:8">
      <c r="A31" s="541" t="s">
        <v>617</v>
      </c>
      <c r="B31" s="541"/>
      <c r="C31" s="541"/>
      <c r="D31" s="541"/>
      <c r="E31" s="541"/>
      <c r="F31" s="541"/>
      <c r="G31" s="541"/>
      <c r="H31" s="541"/>
    </row>
    <row r="32" spans="1:8">
      <c r="A32" s="541" t="s">
        <v>618</v>
      </c>
      <c r="B32" s="541"/>
      <c r="C32" s="541"/>
      <c r="D32" s="541"/>
      <c r="E32" s="541"/>
      <c r="F32" s="541"/>
      <c r="G32" s="541"/>
      <c r="H32" s="541"/>
    </row>
    <row r="33" spans="1:8">
      <c r="A33" s="541" t="s">
        <v>619</v>
      </c>
      <c r="B33" s="541"/>
      <c r="C33" s="541"/>
      <c r="D33" s="541"/>
      <c r="E33" s="541"/>
      <c r="F33" s="541"/>
      <c r="G33" s="541"/>
      <c r="H33" s="541"/>
    </row>
    <row r="34" spans="1:8">
      <c r="A34" s="541" t="s">
        <v>620</v>
      </c>
      <c r="B34" s="541"/>
      <c r="C34" s="541"/>
      <c r="D34" s="541"/>
      <c r="E34" s="541"/>
      <c r="F34" s="541"/>
      <c r="G34" s="541"/>
      <c r="H34" s="541"/>
    </row>
    <row r="35" spans="1:8">
      <c r="A35" s="541" t="s">
        <v>621</v>
      </c>
      <c r="B35" s="541"/>
      <c r="C35" s="541"/>
      <c r="D35" s="541"/>
      <c r="E35" s="541"/>
      <c r="F35" s="541"/>
      <c r="G35" s="541"/>
      <c r="H35" s="541"/>
    </row>
    <row r="36" spans="1:8">
      <c r="A36" s="541" t="s">
        <v>622</v>
      </c>
      <c r="B36" s="541"/>
      <c r="C36" s="541"/>
      <c r="D36" s="541"/>
      <c r="E36" s="541"/>
      <c r="F36" s="541"/>
      <c r="G36" s="541"/>
      <c r="H36" s="541"/>
    </row>
    <row r="37" spans="1:8">
      <c r="A37" s="541" t="s">
        <v>623</v>
      </c>
      <c r="B37" s="541"/>
      <c r="C37" s="541"/>
      <c r="D37" s="541"/>
      <c r="E37" s="541"/>
      <c r="F37" s="541"/>
      <c r="G37" s="541"/>
      <c r="H37" s="541"/>
    </row>
    <row r="38" spans="1:8">
      <c r="A38" s="541" t="s">
        <v>624</v>
      </c>
      <c r="B38" s="541"/>
      <c r="C38" s="541"/>
      <c r="D38" s="541"/>
      <c r="E38" s="541"/>
      <c r="F38" s="541"/>
      <c r="G38" s="541"/>
      <c r="H38" s="541"/>
    </row>
    <row r="39" spans="1:8">
      <c r="A39" s="541" t="s">
        <v>625</v>
      </c>
      <c r="B39" s="541"/>
      <c r="C39" s="541"/>
      <c r="D39" s="541"/>
      <c r="E39" s="541"/>
      <c r="F39" s="541"/>
      <c r="G39" s="541"/>
      <c r="H39" s="541"/>
    </row>
    <row r="40" spans="1:8">
      <c r="A40" s="541" t="s">
        <v>626</v>
      </c>
      <c r="B40" s="541"/>
      <c r="C40" s="541"/>
      <c r="D40" s="541"/>
      <c r="E40" s="541"/>
      <c r="F40" s="541"/>
      <c r="G40" s="541"/>
      <c r="H40" s="541"/>
    </row>
    <row r="41" spans="1:8">
      <c r="A41" s="541" t="s">
        <v>627</v>
      </c>
      <c r="B41" s="541"/>
      <c r="C41" s="541"/>
      <c r="D41" s="541"/>
      <c r="E41" s="541"/>
      <c r="F41" s="541"/>
      <c r="G41" s="541"/>
      <c r="H41" s="541"/>
    </row>
    <row r="42" spans="1:8">
      <c r="A42" s="541" t="s">
        <v>628</v>
      </c>
      <c r="B42" s="541"/>
      <c r="C42" s="541"/>
      <c r="D42" s="541"/>
      <c r="E42" s="541"/>
      <c r="F42" s="541"/>
      <c r="G42" s="541"/>
      <c r="H42" s="541"/>
    </row>
    <row r="43" spans="1:8">
      <c r="A43" s="541" t="s">
        <v>629</v>
      </c>
      <c r="B43" s="541"/>
      <c r="C43" s="541"/>
      <c r="D43" s="541"/>
      <c r="E43" s="541"/>
      <c r="F43" s="541"/>
      <c r="G43" s="541"/>
      <c r="H43" s="541"/>
    </row>
    <row r="44" spans="1:8">
      <c r="A44" s="541" t="s">
        <v>630</v>
      </c>
      <c r="B44" s="541"/>
      <c r="C44" s="541"/>
      <c r="D44" s="541"/>
      <c r="E44" s="541"/>
      <c r="F44" s="541"/>
      <c r="G44" s="541"/>
      <c r="H44" s="541"/>
    </row>
    <row r="45" spans="1:8">
      <c r="A45" s="541" t="s">
        <v>631</v>
      </c>
      <c r="B45" s="541"/>
      <c r="C45" s="541"/>
      <c r="D45" s="541"/>
      <c r="E45" s="541"/>
      <c r="F45" s="541"/>
      <c r="G45" s="541"/>
      <c r="H45" s="541"/>
    </row>
    <row r="46" spans="1:8">
      <c r="A46" s="541" t="s">
        <v>632</v>
      </c>
      <c r="B46" s="541"/>
      <c r="C46" s="541"/>
      <c r="D46" s="541"/>
      <c r="E46" s="541"/>
      <c r="F46" s="541"/>
      <c r="G46" s="541"/>
      <c r="H46" s="541"/>
    </row>
    <row r="47" spans="1:8">
      <c r="A47" s="541" t="s">
        <v>633</v>
      </c>
      <c r="B47" s="541"/>
      <c r="C47" s="541"/>
      <c r="D47" s="541"/>
      <c r="E47" s="541"/>
      <c r="F47" s="541"/>
      <c r="G47" s="541"/>
      <c r="H47" s="541"/>
    </row>
    <row r="48" spans="1:8">
      <c r="A48" s="541" t="s">
        <v>634</v>
      </c>
      <c r="B48" s="541"/>
      <c r="C48" s="541"/>
      <c r="D48" s="541"/>
      <c r="E48" s="541"/>
      <c r="F48" s="541"/>
      <c r="G48" s="541"/>
      <c r="H48" s="541"/>
    </row>
    <row r="49" spans="1:8">
      <c r="A49" s="541" t="s">
        <v>635</v>
      </c>
      <c r="B49" s="541"/>
      <c r="C49" s="541"/>
      <c r="D49" s="541"/>
      <c r="E49" s="541"/>
      <c r="F49" s="541"/>
      <c r="G49" s="541"/>
      <c r="H49" s="541"/>
    </row>
    <row r="50" spans="1:8">
      <c r="A50" s="541" t="s">
        <v>636</v>
      </c>
      <c r="B50" s="541"/>
      <c r="C50" s="541"/>
      <c r="D50" s="541"/>
      <c r="E50" s="541"/>
      <c r="F50" s="541"/>
      <c r="G50" s="541"/>
      <c r="H50" s="541"/>
    </row>
    <row r="51" spans="1:8">
      <c r="A51" s="541"/>
      <c r="B51" s="541"/>
      <c r="C51" s="541"/>
      <c r="D51" s="541"/>
      <c r="E51" s="541"/>
      <c r="F51" s="541"/>
      <c r="G51" s="541"/>
      <c r="H51" s="541"/>
    </row>
    <row r="52" spans="1:8">
      <c r="A52" s="541" t="s">
        <v>637</v>
      </c>
      <c r="B52" s="541"/>
      <c r="C52" s="541"/>
      <c r="D52" s="541"/>
      <c r="E52" s="541"/>
      <c r="F52" s="541"/>
      <c r="G52" s="541"/>
      <c r="H52" s="541"/>
    </row>
    <row r="53" spans="1:8">
      <c r="A53" s="541" t="s">
        <v>638</v>
      </c>
      <c r="B53" s="541"/>
      <c r="C53" s="541"/>
      <c r="D53" s="541"/>
      <c r="E53" s="541"/>
      <c r="F53" s="541"/>
      <c r="G53" s="541"/>
      <c r="H53" s="541"/>
    </row>
    <row r="54" spans="1:8">
      <c r="A54" s="541" t="s">
        <v>639</v>
      </c>
      <c r="B54" s="541"/>
      <c r="C54" s="541"/>
      <c r="D54" s="541"/>
      <c r="E54" s="541"/>
      <c r="F54" s="541"/>
      <c r="G54" s="541"/>
      <c r="H54" s="541"/>
    </row>
    <row r="55" spans="1:8">
      <c r="A55" s="541" t="s">
        <v>640</v>
      </c>
      <c r="B55" s="541"/>
      <c r="C55" s="541"/>
      <c r="D55" s="541"/>
      <c r="E55" s="541"/>
      <c r="F55" s="541"/>
      <c r="G55" s="541"/>
      <c r="H55" s="541"/>
    </row>
    <row r="56" spans="1:8">
      <c r="A56" s="541"/>
      <c r="B56" s="541"/>
      <c r="C56" s="541"/>
      <c r="D56" s="541"/>
      <c r="E56" s="541"/>
      <c r="F56" s="541"/>
      <c r="G56" s="541"/>
      <c r="H56" s="541"/>
    </row>
    <row r="57" spans="1:8">
      <c r="A57" s="541" t="s">
        <v>641</v>
      </c>
      <c r="B57" s="541"/>
      <c r="C57" s="541"/>
      <c r="D57" s="541"/>
      <c r="E57" s="541"/>
      <c r="F57" s="541"/>
      <c r="G57" s="541"/>
      <c r="H57" s="541"/>
    </row>
    <row r="58" spans="1:8">
      <c r="A58" s="541" t="s">
        <v>642</v>
      </c>
      <c r="B58" s="541"/>
      <c r="C58" s="541"/>
      <c r="D58" s="541"/>
      <c r="E58" s="541"/>
      <c r="F58" s="541"/>
      <c r="G58" s="541"/>
      <c r="H58" s="541"/>
    </row>
    <row r="59" spans="1:8">
      <c r="A59" s="541" t="s">
        <v>643</v>
      </c>
      <c r="B59" s="541"/>
      <c r="C59" s="541"/>
      <c r="D59" s="541"/>
      <c r="E59" s="541"/>
      <c r="F59" s="541"/>
      <c r="G59" s="541"/>
      <c r="H59" s="541"/>
    </row>
    <row r="60" spans="1:8">
      <c r="A60" s="541" t="s">
        <v>644</v>
      </c>
      <c r="B60" s="541"/>
      <c r="C60" s="541"/>
      <c r="D60" s="541"/>
      <c r="E60" s="541"/>
      <c r="F60" s="541"/>
      <c r="G60" s="541"/>
      <c r="H60" s="541"/>
    </row>
    <row r="61" spans="1:8">
      <c r="A61" s="541" t="s">
        <v>645</v>
      </c>
      <c r="B61" s="541"/>
      <c r="C61" s="541"/>
      <c r="D61" s="541"/>
      <c r="E61" s="541"/>
      <c r="F61" s="541"/>
      <c r="G61" s="541"/>
      <c r="H61" s="541"/>
    </row>
    <row r="62" spans="1:8">
      <c r="A62" s="541" t="s">
        <v>646</v>
      </c>
      <c r="B62" s="541"/>
      <c r="C62" s="541"/>
      <c r="D62" s="541"/>
      <c r="E62" s="541"/>
      <c r="F62" s="541"/>
      <c r="G62" s="541"/>
      <c r="H62" s="541"/>
    </row>
    <row r="63" spans="1:8">
      <c r="A63" s="541"/>
      <c r="B63" s="541"/>
      <c r="C63" s="541"/>
      <c r="D63" s="541"/>
      <c r="E63" s="541"/>
      <c r="F63" s="541"/>
      <c r="G63" s="541"/>
      <c r="H63" s="541"/>
    </row>
    <row r="64" spans="1:8" ht="15.6">
      <c r="A64" s="542" t="s">
        <v>647</v>
      </c>
      <c r="B64" s="541"/>
      <c r="C64" s="541"/>
      <c r="D64" s="541"/>
      <c r="E64" s="541"/>
      <c r="F64" s="541"/>
      <c r="G64" s="541"/>
      <c r="H64" s="541"/>
    </row>
    <row r="65" spans="1:8">
      <c r="A65" s="541"/>
      <c r="B65" s="541"/>
      <c r="C65" s="541"/>
      <c r="D65" s="541"/>
      <c r="E65" s="541"/>
      <c r="F65" s="541"/>
      <c r="G65" s="541"/>
      <c r="H65" s="541"/>
    </row>
    <row r="66" spans="1:8">
      <c r="A66" s="541" t="s">
        <v>648</v>
      </c>
      <c r="B66" s="541"/>
      <c r="C66" s="541"/>
      <c r="D66" s="541"/>
      <c r="E66" s="541"/>
      <c r="F66" s="541"/>
      <c r="G66" s="541"/>
      <c r="H66" s="541"/>
    </row>
    <row r="67" spans="1:8">
      <c r="A67" s="541" t="s">
        <v>649</v>
      </c>
      <c r="B67" s="541"/>
      <c r="C67" s="541"/>
      <c r="D67" s="541"/>
      <c r="E67" s="541"/>
      <c r="F67" s="541"/>
      <c r="G67" s="541"/>
      <c r="H67" s="541"/>
    </row>
    <row r="68" spans="1:8">
      <c r="A68" s="541" t="s">
        <v>650</v>
      </c>
      <c r="B68" s="541"/>
      <c r="C68" s="541"/>
      <c r="D68" s="541"/>
      <c r="E68" s="541"/>
      <c r="F68" s="541"/>
      <c r="G68" s="541"/>
      <c r="H68" s="541"/>
    </row>
    <row r="69" spans="1:8">
      <c r="A69" s="541" t="s">
        <v>651</v>
      </c>
      <c r="B69" s="541"/>
      <c r="C69" s="541"/>
      <c r="D69" s="541"/>
      <c r="E69" s="541"/>
      <c r="F69" s="541"/>
      <c r="G69" s="541"/>
      <c r="H69" s="541"/>
    </row>
    <row r="70" spans="1:8">
      <c r="A70" s="541"/>
      <c r="B70" s="541"/>
      <c r="C70" s="541"/>
      <c r="D70" s="541"/>
      <c r="E70" s="541"/>
      <c r="F70" s="541"/>
      <c r="G70" s="541"/>
      <c r="H70" s="541"/>
    </row>
    <row r="71" spans="1:8">
      <c r="A71" s="541" t="s">
        <v>652</v>
      </c>
      <c r="B71" s="541"/>
      <c r="C71" s="541"/>
      <c r="D71" s="541"/>
      <c r="E71" s="541"/>
      <c r="F71" s="541"/>
      <c r="G71" s="541"/>
      <c r="H71" s="541"/>
    </row>
    <row r="72" spans="1:8">
      <c r="A72" s="541"/>
      <c r="B72" s="541"/>
      <c r="C72" s="541"/>
      <c r="D72" s="541"/>
      <c r="E72" s="541"/>
      <c r="F72" s="541"/>
      <c r="G72" s="541"/>
      <c r="H72" s="541"/>
    </row>
    <row r="73" spans="1:8" ht="15.6">
      <c r="A73" s="542" t="s">
        <v>653</v>
      </c>
      <c r="B73" s="541"/>
      <c r="C73" s="541"/>
      <c r="D73" s="541"/>
      <c r="E73" s="541"/>
      <c r="F73" s="541"/>
      <c r="G73" s="541"/>
      <c r="H73" s="541"/>
    </row>
    <row r="74" spans="1:8">
      <c r="A74" s="541"/>
      <c r="B74" s="541"/>
      <c r="C74" s="541"/>
      <c r="D74" s="541"/>
      <c r="E74" s="541"/>
      <c r="F74" s="541"/>
      <c r="G74" s="541"/>
      <c r="H74" s="541"/>
    </row>
    <row r="75" spans="1:8">
      <c r="A75" s="541" t="s">
        <v>654</v>
      </c>
      <c r="B75" s="541"/>
      <c r="C75" s="541"/>
      <c r="D75" s="541"/>
      <c r="E75" s="541"/>
      <c r="F75" s="541"/>
      <c r="G75" s="541"/>
      <c r="H75" s="541"/>
    </row>
    <row r="76" spans="1:8">
      <c r="A76" s="541" t="s">
        <v>655</v>
      </c>
      <c r="B76" s="541"/>
      <c r="C76" s="541"/>
      <c r="D76" s="541"/>
      <c r="E76" s="541"/>
      <c r="F76" s="541"/>
      <c r="G76" s="541"/>
      <c r="H76" s="541"/>
    </row>
    <row r="77" spans="1:8">
      <c r="A77" s="541" t="s">
        <v>656</v>
      </c>
      <c r="B77" s="541"/>
      <c r="C77" s="541"/>
      <c r="D77" s="541"/>
      <c r="E77" s="541"/>
      <c r="F77" s="541"/>
      <c r="G77" s="541"/>
      <c r="H77" s="541"/>
    </row>
    <row r="78" spans="1:8">
      <c r="A78" s="541"/>
      <c r="B78" s="541"/>
      <c r="C78" s="541"/>
      <c r="D78" s="541"/>
      <c r="E78" s="541"/>
      <c r="F78" s="541"/>
      <c r="G78" s="541"/>
      <c r="H78" s="541"/>
    </row>
    <row r="79" spans="1:8" ht="15.6">
      <c r="A79" s="542" t="s">
        <v>657</v>
      </c>
      <c r="B79" s="541"/>
      <c r="C79" s="541"/>
      <c r="D79" s="541"/>
      <c r="E79" s="541"/>
      <c r="F79" s="541"/>
      <c r="G79" s="541"/>
      <c r="H79" s="541"/>
    </row>
    <row r="80" spans="1:8">
      <c r="A80" s="541"/>
      <c r="B80" s="541"/>
      <c r="C80" s="541"/>
      <c r="D80" s="541"/>
      <c r="E80" s="541"/>
      <c r="F80" s="541"/>
      <c r="G80" s="541"/>
      <c r="H80" s="541"/>
    </row>
    <row r="81" spans="1:8">
      <c r="A81" s="541" t="s">
        <v>658</v>
      </c>
      <c r="B81" s="541"/>
      <c r="C81" s="541"/>
      <c r="D81" s="541"/>
      <c r="E81" s="541"/>
      <c r="F81" s="541"/>
      <c r="G81" s="541"/>
      <c r="H81" s="541"/>
    </row>
    <row r="82" spans="1:8">
      <c r="A82" s="541" t="s">
        <v>659</v>
      </c>
      <c r="B82" s="541"/>
      <c r="C82" s="541"/>
      <c r="D82" s="541"/>
      <c r="E82" s="541"/>
      <c r="F82" s="541"/>
      <c r="G82" s="541"/>
      <c r="H82" s="541"/>
    </row>
    <row r="83" spans="1:8">
      <c r="A83" s="541" t="s">
        <v>660</v>
      </c>
      <c r="B83" s="541"/>
      <c r="C83" s="541"/>
      <c r="D83" s="541"/>
      <c r="E83" s="541"/>
      <c r="F83" s="541"/>
      <c r="G83" s="541"/>
      <c r="H83" s="541"/>
    </row>
    <row r="84" spans="1:8">
      <c r="A84" s="541" t="s">
        <v>661</v>
      </c>
      <c r="B84" s="541"/>
      <c r="C84" s="541"/>
      <c r="D84" s="541"/>
      <c r="E84" s="541"/>
      <c r="F84" s="541"/>
      <c r="G84" s="541"/>
      <c r="H84" s="541"/>
    </row>
    <row r="85" spans="1:8">
      <c r="A85" s="541" t="s">
        <v>662</v>
      </c>
      <c r="B85" s="541"/>
      <c r="C85" s="541"/>
      <c r="D85" s="541"/>
      <c r="E85" s="541"/>
      <c r="F85" s="541"/>
      <c r="G85" s="541"/>
      <c r="H85" s="541"/>
    </row>
    <row r="86" spans="1:8">
      <c r="A86" s="541" t="s">
        <v>663</v>
      </c>
      <c r="B86" s="541"/>
      <c r="C86" s="541"/>
      <c r="D86" s="541"/>
      <c r="E86" s="541"/>
      <c r="F86" s="541"/>
      <c r="G86" s="541"/>
      <c r="H86" s="541"/>
    </row>
    <row r="87" spans="1:8">
      <c r="A87" s="541"/>
      <c r="B87" s="541"/>
      <c r="C87" s="541"/>
      <c r="D87" s="541"/>
      <c r="E87" s="541"/>
      <c r="F87" s="541"/>
      <c r="G87" s="541"/>
      <c r="H87" s="541"/>
    </row>
    <row r="88" spans="1:8">
      <c r="A88" s="541" t="s">
        <v>664</v>
      </c>
      <c r="B88" s="541"/>
      <c r="C88" s="541"/>
      <c r="D88" s="541"/>
      <c r="E88" s="541"/>
      <c r="F88" s="541"/>
      <c r="G88" s="541"/>
      <c r="H88" s="541"/>
    </row>
    <row r="89" spans="1:8">
      <c r="A89" s="541" t="s">
        <v>665</v>
      </c>
      <c r="B89" s="541"/>
      <c r="C89" s="541"/>
      <c r="D89" s="541"/>
      <c r="E89" s="541"/>
      <c r="F89" s="541"/>
      <c r="G89" s="541"/>
      <c r="H89" s="541"/>
    </row>
    <row r="90" spans="1:8">
      <c r="A90" s="541" t="s">
        <v>666</v>
      </c>
      <c r="B90" s="541"/>
      <c r="C90" s="541"/>
      <c r="D90" s="541"/>
      <c r="E90" s="541"/>
      <c r="F90" s="541"/>
      <c r="G90" s="541"/>
      <c r="H90" s="541"/>
    </row>
    <row r="91" spans="1:8">
      <c r="A91" s="541" t="s">
        <v>667</v>
      </c>
      <c r="B91" s="541"/>
      <c r="C91" s="541"/>
      <c r="D91" s="541"/>
      <c r="E91" s="541"/>
      <c r="F91" s="541"/>
      <c r="G91" s="541"/>
      <c r="H91" s="541"/>
    </row>
    <row r="92" spans="1:8">
      <c r="A92" s="541" t="s">
        <v>668</v>
      </c>
      <c r="B92" s="541"/>
      <c r="C92" s="541"/>
      <c r="D92" s="541"/>
      <c r="E92" s="541"/>
      <c r="F92" s="541"/>
      <c r="G92" s="541"/>
      <c r="H92" s="541"/>
    </row>
    <row r="93" spans="1:8">
      <c r="A93" s="541" t="s">
        <v>669</v>
      </c>
      <c r="B93" s="541"/>
      <c r="C93" s="541"/>
      <c r="D93" s="541"/>
      <c r="E93" s="541"/>
      <c r="F93" s="541"/>
      <c r="G93" s="541"/>
      <c r="H93" s="541"/>
    </row>
    <row r="94" spans="1:8">
      <c r="A94" s="541" t="s">
        <v>670</v>
      </c>
      <c r="B94" s="541"/>
      <c r="C94" s="541"/>
      <c r="D94" s="541"/>
      <c r="E94" s="541"/>
      <c r="F94" s="541"/>
      <c r="G94" s="541"/>
      <c r="H94" s="541"/>
    </row>
    <row r="95" spans="1:8">
      <c r="A95" s="541"/>
      <c r="B95" s="541"/>
      <c r="C95" s="541"/>
      <c r="D95" s="541"/>
      <c r="E95" s="541"/>
      <c r="F95" s="541"/>
      <c r="G95" s="541"/>
      <c r="H95" s="541"/>
    </row>
    <row r="96" spans="1:8">
      <c r="A96" s="541" t="s">
        <v>671</v>
      </c>
      <c r="B96" s="541"/>
      <c r="C96" s="541"/>
      <c r="D96" s="541"/>
      <c r="E96" s="541"/>
      <c r="F96" s="541"/>
      <c r="G96" s="541"/>
      <c r="H96" s="541"/>
    </row>
    <row r="97" spans="1:8">
      <c r="A97" s="541" t="s">
        <v>672</v>
      </c>
      <c r="B97" s="541"/>
      <c r="C97" s="541"/>
      <c r="D97" s="541"/>
      <c r="E97" s="541"/>
      <c r="F97" s="541"/>
      <c r="G97" s="541"/>
      <c r="H97" s="541"/>
    </row>
    <row r="98" spans="1:8">
      <c r="A98" s="541"/>
      <c r="B98" s="541"/>
      <c r="C98" s="541"/>
      <c r="D98" s="541"/>
      <c r="E98" s="541"/>
      <c r="F98" s="541"/>
      <c r="G98" s="541"/>
      <c r="H98" s="541"/>
    </row>
    <row r="99" spans="1:8" ht="15.6">
      <c r="A99" s="542" t="s">
        <v>673</v>
      </c>
      <c r="B99" s="541"/>
      <c r="C99" s="541"/>
      <c r="D99" s="541"/>
      <c r="E99" s="541"/>
      <c r="F99" s="541"/>
      <c r="G99" s="541"/>
      <c r="H99" s="541"/>
    </row>
    <row r="100" spans="1:8">
      <c r="A100" s="541"/>
      <c r="B100" s="541"/>
      <c r="C100" s="541"/>
      <c r="D100" s="541"/>
      <c r="E100" s="541"/>
      <c r="F100" s="541"/>
      <c r="G100" s="541"/>
      <c r="H100" s="541"/>
    </row>
    <row r="101" spans="1:8">
      <c r="A101" s="541" t="s">
        <v>674</v>
      </c>
      <c r="B101" s="541"/>
      <c r="C101" s="541"/>
      <c r="D101" s="541"/>
      <c r="E101" s="541"/>
      <c r="F101" s="541"/>
      <c r="G101" s="541"/>
      <c r="H101" s="541"/>
    </row>
    <row r="102" spans="1:8">
      <c r="A102" s="541" t="s">
        <v>675</v>
      </c>
      <c r="B102" s="541"/>
      <c r="C102" s="541"/>
      <c r="D102" s="541"/>
      <c r="E102" s="541"/>
      <c r="F102" s="541"/>
      <c r="G102" s="541"/>
      <c r="H102" s="541"/>
    </row>
    <row r="103" spans="1:8">
      <c r="A103" s="541" t="s">
        <v>676</v>
      </c>
      <c r="B103" s="541"/>
      <c r="C103" s="541"/>
      <c r="D103" s="541"/>
      <c r="E103" s="541"/>
      <c r="F103" s="541"/>
      <c r="G103" s="541"/>
      <c r="H103" s="541"/>
    </row>
    <row r="104" spans="1:8">
      <c r="A104" s="541" t="s">
        <v>677</v>
      </c>
      <c r="B104" s="541"/>
      <c r="C104" s="541"/>
      <c r="D104" s="541"/>
      <c r="E104" s="541"/>
      <c r="F104" s="541"/>
      <c r="G104" s="541"/>
      <c r="H104" s="541"/>
    </row>
    <row r="105" spans="1:8">
      <c r="A105" s="541" t="s">
        <v>678</v>
      </c>
      <c r="B105" s="541"/>
      <c r="C105" s="541"/>
      <c r="D105" s="541"/>
      <c r="E105" s="541"/>
      <c r="F105" s="541"/>
      <c r="G105" s="541"/>
      <c r="H105" s="541"/>
    </row>
    <row r="106" spans="1:8">
      <c r="A106" s="541" t="s">
        <v>679</v>
      </c>
      <c r="B106" s="541"/>
      <c r="C106" s="541"/>
      <c r="D106" s="541"/>
      <c r="E106" s="541"/>
      <c r="F106" s="541"/>
      <c r="G106" s="541"/>
      <c r="H106" s="541"/>
    </row>
    <row r="107" spans="1:8">
      <c r="A107" s="541" t="s">
        <v>680</v>
      </c>
      <c r="B107" s="541"/>
      <c r="C107" s="541"/>
      <c r="D107" s="541"/>
      <c r="E107" s="541"/>
      <c r="F107" s="541"/>
      <c r="G107" s="541"/>
      <c r="H107" s="541"/>
    </row>
    <row r="108" spans="1:8">
      <c r="A108" s="541" t="s">
        <v>681</v>
      </c>
      <c r="B108" s="541"/>
      <c r="C108" s="541"/>
      <c r="D108" s="541"/>
      <c r="E108" s="541"/>
      <c r="F108" s="541"/>
      <c r="G108" s="541"/>
      <c r="H108" s="541"/>
    </row>
    <row r="109" spans="1:8">
      <c r="A109" s="541" t="s">
        <v>682</v>
      </c>
      <c r="B109" s="541"/>
      <c r="C109" s="541"/>
      <c r="D109" s="541"/>
      <c r="E109" s="541"/>
      <c r="F109" s="541"/>
      <c r="G109" s="541"/>
      <c r="H109" s="541"/>
    </row>
    <row r="110" spans="1:8">
      <c r="A110" s="541"/>
      <c r="B110" s="541"/>
      <c r="C110" s="541"/>
      <c r="D110" s="541"/>
      <c r="E110" s="541"/>
      <c r="F110" s="541"/>
      <c r="G110" s="541"/>
      <c r="H110" s="541"/>
    </row>
    <row r="111" spans="1:8" ht="15.6">
      <c r="A111" s="542" t="s">
        <v>683</v>
      </c>
      <c r="B111" s="541"/>
      <c r="C111" s="541"/>
      <c r="D111" s="541"/>
      <c r="E111" s="541"/>
      <c r="F111" s="541"/>
      <c r="G111" s="541"/>
      <c r="H111" s="541"/>
    </row>
    <row r="112" spans="1:8">
      <c r="A112" s="541"/>
      <c r="B112" s="541"/>
      <c r="C112" s="541"/>
      <c r="D112" s="541"/>
      <c r="E112" s="541"/>
      <c r="F112" s="541"/>
      <c r="G112" s="541"/>
      <c r="H112" s="541"/>
    </row>
    <row r="113" spans="1:8">
      <c r="A113" s="541" t="s">
        <v>684</v>
      </c>
      <c r="B113" s="541"/>
      <c r="C113" s="541"/>
      <c r="D113" s="541"/>
      <c r="E113" s="541"/>
      <c r="F113" s="541"/>
      <c r="G113" s="541"/>
      <c r="H113" s="541"/>
    </row>
    <row r="114" spans="1:8">
      <c r="A114" s="541"/>
      <c r="B114" s="541"/>
      <c r="C114" s="541"/>
      <c r="D114" s="541"/>
      <c r="E114" s="541"/>
      <c r="F114" s="541"/>
      <c r="G114" s="541"/>
      <c r="H114" s="541"/>
    </row>
    <row r="115" spans="1:8">
      <c r="A115" s="541" t="s">
        <v>685</v>
      </c>
      <c r="B115" s="541"/>
      <c r="C115" s="541"/>
      <c r="D115" s="541"/>
      <c r="E115" s="541"/>
      <c r="F115" s="541"/>
      <c r="G115" s="541"/>
      <c r="H115" s="541"/>
    </row>
    <row r="116" spans="1:8">
      <c r="A116" s="541" t="s">
        <v>686</v>
      </c>
      <c r="B116" s="541"/>
      <c r="C116" s="541"/>
      <c r="D116" s="541"/>
      <c r="E116" s="541"/>
      <c r="F116" s="541"/>
      <c r="G116" s="541"/>
      <c r="H116" s="541"/>
    </row>
    <row r="117" spans="1:8">
      <c r="A117" s="541"/>
      <c r="B117" s="541"/>
      <c r="C117" s="541"/>
      <c r="D117" s="541"/>
      <c r="E117" s="541"/>
      <c r="F117" s="541"/>
      <c r="G117" s="541"/>
      <c r="H117" s="541"/>
    </row>
    <row r="118" spans="1:8">
      <c r="A118" s="541" t="s">
        <v>687</v>
      </c>
      <c r="B118" s="541"/>
      <c r="C118" s="541"/>
      <c r="D118" s="541"/>
      <c r="E118" s="541"/>
      <c r="F118" s="541"/>
      <c r="G118" s="541"/>
      <c r="H118" s="541"/>
    </row>
    <row r="119" spans="1:8">
      <c r="A119" s="541" t="s">
        <v>688</v>
      </c>
      <c r="B119" s="541"/>
      <c r="C119" s="541"/>
      <c r="D119" s="541"/>
      <c r="E119" s="541"/>
      <c r="F119" s="541"/>
      <c r="G119" s="541"/>
      <c r="H119" s="541"/>
    </row>
    <row r="120" spans="1:8">
      <c r="A120" s="541" t="s">
        <v>689</v>
      </c>
      <c r="B120" s="541"/>
      <c r="C120" s="541"/>
      <c r="D120" s="541"/>
      <c r="E120" s="541"/>
      <c r="F120" s="541"/>
      <c r="G120" s="541"/>
      <c r="H120" s="541"/>
    </row>
    <row r="121" spans="1:8">
      <c r="A121" s="541" t="s">
        <v>690</v>
      </c>
      <c r="B121" s="541"/>
      <c r="C121" s="541"/>
      <c r="D121" s="541"/>
      <c r="E121" s="541"/>
      <c r="F121" s="541"/>
      <c r="G121" s="541"/>
      <c r="H121" s="541"/>
    </row>
    <row r="122" spans="1:8">
      <c r="A122" s="541" t="s">
        <v>691</v>
      </c>
      <c r="B122" s="541"/>
      <c r="C122" s="541"/>
      <c r="D122" s="541"/>
      <c r="E122" s="541"/>
      <c r="F122" s="541"/>
      <c r="G122" s="541"/>
      <c r="H122" s="541"/>
    </row>
    <row r="123" spans="1:8">
      <c r="A123" s="541" t="s">
        <v>692</v>
      </c>
      <c r="B123" s="541"/>
      <c r="C123" s="541"/>
      <c r="D123" s="541"/>
      <c r="E123" s="541"/>
      <c r="F123" s="541"/>
      <c r="G123" s="541"/>
      <c r="H123" s="541"/>
    </row>
    <row r="124" spans="1:8">
      <c r="A124" s="541" t="s">
        <v>693</v>
      </c>
      <c r="B124" s="541"/>
      <c r="C124" s="541"/>
      <c r="D124" s="541"/>
      <c r="E124" s="541"/>
      <c r="F124" s="541"/>
      <c r="G124" s="541"/>
      <c r="H124" s="541"/>
    </row>
    <row r="125" spans="1:8">
      <c r="A125" s="541"/>
      <c r="B125" s="541"/>
      <c r="C125" s="541"/>
      <c r="D125" s="541"/>
      <c r="E125" s="541"/>
      <c r="F125" s="541"/>
      <c r="G125" s="541"/>
      <c r="H125" s="541"/>
    </row>
    <row r="126" spans="1:8">
      <c r="A126" s="543"/>
      <c r="B126" s="544" t="s">
        <v>694</v>
      </c>
      <c r="C126" s="544"/>
      <c r="D126" s="544" t="s">
        <v>695</v>
      </c>
      <c r="E126" s="544"/>
      <c r="F126" s="544"/>
      <c r="G126" s="544" t="s">
        <v>696</v>
      </c>
      <c r="H126" s="544"/>
    </row>
    <row r="127" spans="1:8">
      <c r="A127" s="543" t="s">
        <v>697</v>
      </c>
      <c r="B127" s="543" t="s">
        <v>698</v>
      </c>
      <c r="C127" s="543" t="s">
        <v>699</v>
      </c>
      <c r="D127" s="543" t="s">
        <v>698</v>
      </c>
      <c r="E127" s="543" t="s">
        <v>700</v>
      </c>
      <c r="F127" s="543" t="s">
        <v>701</v>
      </c>
      <c r="G127" s="543" t="s">
        <v>698</v>
      </c>
      <c r="H127" s="543" t="s">
        <v>702</v>
      </c>
    </row>
    <row r="128" spans="1:8">
      <c r="A128" s="543" t="s">
        <v>703</v>
      </c>
      <c r="B128" s="543">
        <v>1519</v>
      </c>
      <c r="C128" s="543">
        <v>0.41</v>
      </c>
      <c r="D128" s="543">
        <v>415</v>
      </c>
      <c r="E128" s="543">
        <v>0.48</v>
      </c>
      <c r="F128" s="543">
        <v>0.27</v>
      </c>
      <c r="G128" s="543">
        <v>674</v>
      </c>
      <c r="H128" s="543">
        <v>0.42</v>
      </c>
    </row>
    <row r="129" spans="1:8">
      <c r="A129" s="543" t="s">
        <v>704</v>
      </c>
      <c r="B129" s="543">
        <v>1583</v>
      </c>
      <c r="C129" s="543">
        <v>0.43</v>
      </c>
      <c r="D129" s="543">
        <v>362</v>
      </c>
      <c r="E129" s="543">
        <v>0.42</v>
      </c>
      <c r="F129" s="543">
        <v>0.23</v>
      </c>
      <c r="G129" s="543">
        <v>720</v>
      </c>
      <c r="H129" s="543">
        <v>0.45</v>
      </c>
    </row>
    <row r="130" spans="1:8">
      <c r="A130" s="543" t="s">
        <v>705</v>
      </c>
      <c r="B130" s="543">
        <v>4</v>
      </c>
      <c r="C130" s="543">
        <v>0</v>
      </c>
      <c r="D130" s="543">
        <v>1</v>
      </c>
      <c r="E130" s="543">
        <v>0</v>
      </c>
      <c r="F130" s="543">
        <v>0.25</v>
      </c>
      <c r="G130" s="543">
        <v>1</v>
      </c>
      <c r="H130" s="543">
        <v>0</v>
      </c>
    </row>
    <row r="131" spans="1:8">
      <c r="A131" s="543" t="s">
        <v>706</v>
      </c>
      <c r="B131" s="543">
        <v>564</v>
      </c>
      <c r="C131" s="543">
        <v>0.15</v>
      </c>
      <c r="D131" s="543">
        <v>87</v>
      </c>
      <c r="E131" s="543">
        <v>0.1</v>
      </c>
      <c r="F131" s="543">
        <v>0.15</v>
      </c>
      <c r="G131" s="543">
        <v>216</v>
      </c>
      <c r="H131" s="543">
        <v>0.13</v>
      </c>
    </row>
    <row r="132" spans="1:8">
      <c r="A132" s="543" t="s">
        <v>122</v>
      </c>
      <c r="B132" s="543">
        <v>3670</v>
      </c>
      <c r="C132" s="543"/>
      <c r="D132" s="543">
        <v>865</v>
      </c>
      <c r="E132" s="543"/>
      <c r="F132" s="543"/>
      <c r="G132" s="543">
        <v>1611</v>
      </c>
      <c r="H132" s="543"/>
    </row>
    <row r="133" spans="1:8">
      <c r="A133" s="541"/>
      <c r="B133" s="541"/>
      <c r="C133" s="541"/>
      <c r="D133" s="541"/>
      <c r="E133" s="541"/>
      <c r="F133" s="541"/>
      <c r="G133" s="541"/>
      <c r="H133" s="541"/>
    </row>
    <row r="134" spans="1:8">
      <c r="A134" s="541" t="s">
        <v>707</v>
      </c>
      <c r="B134" s="541"/>
      <c r="C134" s="541"/>
      <c r="D134" s="541"/>
      <c r="E134" s="541"/>
      <c r="F134" s="541"/>
      <c r="G134" s="541"/>
      <c r="H134" s="541"/>
    </row>
    <row r="135" spans="1:8">
      <c r="A135" s="541" t="s">
        <v>708</v>
      </c>
      <c r="B135" s="541"/>
      <c r="C135" s="541"/>
      <c r="D135" s="541"/>
      <c r="E135" s="541"/>
      <c r="F135" s="541"/>
      <c r="G135" s="541"/>
      <c r="H135" s="541"/>
    </row>
    <row r="136" spans="1:8">
      <c r="A136" s="541" t="s">
        <v>709</v>
      </c>
      <c r="B136" s="541"/>
      <c r="C136" s="541"/>
      <c r="D136" s="541"/>
      <c r="E136" s="541"/>
      <c r="F136" s="541"/>
      <c r="G136" s="541"/>
      <c r="H136" s="541"/>
    </row>
    <row r="137" spans="1:8">
      <c r="A137" s="541" t="s">
        <v>710</v>
      </c>
      <c r="B137" s="541"/>
      <c r="C137" s="541"/>
      <c r="D137" s="541"/>
      <c r="E137" s="541"/>
      <c r="F137" s="541"/>
      <c r="G137" s="541"/>
      <c r="H137" s="541"/>
    </row>
    <row r="138" spans="1:8">
      <c r="A138" s="541"/>
      <c r="B138" s="541"/>
      <c r="C138" s="541"/>
      <c r="D138" s="541"/>
      <c r="E138" s="541"/>
      <c r="F138" s="541"/>
      <c r="G138" s="541"/>
      <c r="H138" s="541"/>
    </row>
    <row r="139" spans="1:8" ht="15.6">
      <c r="A139" s="542" t="s">
        <v>711</v>
      </c>
      <c r="B139" s="541"/>
      <c r="C139" s="541"/>
      <c r="D139" s="541"/>
      <c r="E139" s="541"/>
      <c r="F139" s="541"/>
      <c r="G139" s="541"/>
      <c r="H139" s="541"/>
    </row>
    <row r="140" spans="1:8">
      <c r="A140" s="541"/>
      <c r="B140" s="541"/>
      <c r="C140" s="541"/>
      <c r="D140" s="541"/>
      <c r="E140" s="541"/>
      <c r="F140" s="541"/>
      <c r="G140" s="541"/>
      <c r="H140" s="541"/>
    </row>
    <row r="141" spans="1:8">
      <c r="A141" s="541" t="s">
        <v>712</v>
      </c>
      <c r="B141" s="541"/>
      <c r="C141" s="541"/>
      <c r="D141" s="541"/>
      <c r="E141" s="541"/>
      <c r="F141" s="541"/>
      <c r="G141" s="541"/>
      <c r="H141" s="541"/>
    </row>
    <row r="142" spans="1:8">
      <c r="A142" s="541" t="s">
        <v>713</v>
      </c>
      <c r="B142" s="541"/>
      <c r="C142" s="541"/>
      <c r="D142" s="541"/>
      <c r="E142" s="541"/>
      <c r="F142" s="541"/>
      <c r="G142" s="541"/>
      <c r="H142" s="541"/>
    </row>
    <row r="143" spans="1:8">
      <c r="A143" s="541"/>
      <c r="B143" s="541"/>
      <c r="C143" s="541"/>
      <c r="D143" s="541"/>
      <c r="E143" s="541"/>
      <c r="F143" s="541"/>
      <c r="G143" s="541"/>
      <c r="H143" s="541"/>
    </row>
    <row r="144" spans="1:8">
      <c r="A144" s="541" t="s">
        <v>714</v>
      </c>
      <c r="B144" s="541"/>
      <c r="C144" s="541"/>
      <c r="D144" s="541"/>
      <c r="E144" s="541"/>
      <c r="F144" s="541"/>
      <c r="G144" s="541"/>
      <c r="H144" s="541"/>
    </row>
    <row r="145" spans="1:8">
      <c r="A145" s="541" t="s">
        <v>715</v>
      </c>
      <c r="B145" s="541"/>
      <c r="C145" s="541"/>
      <c r="D145" s="541"/>
      <c r="E145" s="541"/>
      <c r="F145" s="541"/>
      <c r="G145" s="541"/>
      <c r="H145" s="541"/>
    </row>
    <row r="146" spans="1:8">
      <c r="A146" s="541" t="s">
        <v>716</v>
      </c>
      <c r="B146" s="541"/>
      <c r="C146" s="541"/>
      <c r="D146" s="541"/>
      <c r="E146" s="541"/>
      <c r="F146" s="541"/>
      <c r="G146" s="541"/>
      <c r="H146" s="541"/>
    </row>
    <row r="147" spans="1:8">
      <c r="A147" s="541"/>
      <c r="B147" s="541"/>
      <c r="C147" s="541"/>
      <c r="D147" s="541"/>
      <c r="E147" s="541"/>
      <c r="F147" s="541"/>
      <c r="G147" s="541"/>
      <c r="H147" s="541"/>
    </row>
    <row r="148" spans="1:8">
      <c r="A148" s="541" t="s">
        <v>717</v>
      </c>
      <c r="B148" s="541"/>
      <c r="C148" s="541"/>
      <c r="D148" s="541"/>
      <c r="E148" s="541"/>
      <c r="F148" s="541"/>
      <c r="G148" s="541"/>
      <c r="H148" s="541"/>
    </row>
    <row r="149" spans="1:8">
      <c r="A149" s="541" t="s">
        <v>718</v>
      </c>
      <c r="B149" s="541"/>
      <c r="C149" s="541"/>
      <c r="D149" s="541"/>
      <c r="E149" s="541"/>
      <c r="F149" s="541"/>
      <c r="G149" s="541"/>
      <c r="H149" s="541"/>
    </row>
    <row r="150" spans="1:8">
      <c r="A150" s="541" t="s">
        <v>719</v>
      </c>
      <c r="B150" s="541"/>
      <c r="C150" s="541"/>
      <c r="D150" s="541"/>
      <c r="E150" s="541"/>
      <c r="F150" s="541"/>
      <c r="G150" s="541"/>
      <c r="H150" s="541"/>
    </row>
    <row r="151" spans="1:8">
      <c r="A151" s="541"/>
      <c r="B151" s="541"/>
      <c r="C151" s="541"/>
      <c r="D151" s="541"/>
      <c r="E151" s="541"/>
      <c r="F151" s="541"/>
      <c r="G151" s="541"/>
      <c r="H151" s="541"/>
    </row>
    <row r="152" spans="1:8">
      <c r="A152" s="541" t="s">
        <v>720</v>
      </c>
      <c r="B152" s="541"/>
      <c r="C152" s="541"/>
      <c r="D152" s="541"/>
      <c r="E152" s="541"/>
      <c r="F152" s="541"/>
      <c r="G152" s="541"/>
      <c r="H152" s="541"/>
    </row>
    <row r="153" spans="1:8">
      <c r="A153" s="541" t="s">
        <v>721</v>
      </c>
      <c r="B153" s="541"/>
      <c r="C153" s="541"/>
      <c r="D153" s="541"/>
      <c r="E153" s="541"/>
      <c r="F153" s="541"/>
      <c r="G153" s="541"/>
      <c r="H153" s="541"/>
    </row>
    <row r="154" spans="1:8">
      <c r="A154" s="541" t="s">
        <v>722</v>
      </c>
      <c r="B154" s="541"/>
      <c r="C154" s="541"/>
      <c r="D154" s="541"/>
      <c r="E154" s="541"/>
      <c r="F154" s="541"/>
      <c r="G154" s="541"/>
      <c r="H154" s="541"/>
    </row>
    <row r="155" spans="1:8">
      <c r="A155" s="541"/>
      <c r="B155" s="541"/>
      <c r="C155" s="541"/>
      <c r="D155" s="541"/>
      <c r="E155" s="541"/>
      <c r="F155" s="541"/>
      <c r="G155" s="541"/>
      <c r="H155" s="541"/>
    </row>
    <row r="156" spans="1:8">
      <c r="A156" s="541" t="s">
        <v>723</v>
      </c>
      <c r="B156" s="541"/>
      <c r="C156" s="541"/>
      <c r="D156" s="541"/>
      <c r="E156" s="541"/>
      <c r="F156" s="541"/>
      <c r="G156" s="541"/>
      <c r="H156" s="541"/>
    </row>
    <row r="157" spans="1:8">
      <c r="A157" s="541" t="s">
        <v>724</v>
      </c>
      <c r="B157" s="541"/>
      <c r="C157" s="541"/>
      <c r="D157" s="541"/>
      <c r="E157" s="541"/>
      <c r="F157" s="541"/>
      <c r="G157" s="541"/>
      <c r="H157" s="541"/>
    </row>
    <row r="158" spans="1:8">
      <c r="A158" s="541"/>
      <c r="B158" s="541"/>
      <c r="C158" s="541"/>
      <c r="D158" s="541"/>
      <c r="E158" s="541"/>
      <c r="F158" s="541"/>
      <c r="G158" s="541"/>
      <c r="H158" s="541"/>
    </row>
    <row r="159" spans="1:8" ht="15.6">
      <c r="A159" s="542" t="s">
        <v>725</v>
      </c>
      <c r="B159" s="541"/>
      <c r="C159" s="541"/>
      <c r="D159" s="541"/>
      <c r="E159" s="541"/>
      <c r="F159" s="541"/>
      <c r="G159" s="541"/>
      <c r="H159" s="541"/>
    </row>
    <row r="160" spans="1:8">
      <c r="A160" s="541"/>
      <c r="B160" s="541"/>
      <c r="C160" s="541"/>
      <c r="D160" s="541"/>
      <c r="E160" s="541"/>
      <c r="F160" s="541"/>
      <c r="G160" s="541"/>
      <c r="H160" s="541"/>
    </row>
    <row r="161" spans="1:8">
      <c r="A161" s="541" t="s">
        <v>726</v>
      </c>
      <c r="B161" s="541"/>
      <c r="C161" s="541"/>
      <c r="D161" s="541"/>
      <c r="E161" s="541"/>
      <c r="F161" s="541"/>
      <c r="G161" s="541"/>
      <c r="H161" s="541"/>
    </row>
    <row r="162" spans="1:8">
      <c r="A162" s="541" t="s">
        <v>727</v>
      </c>
      <c r="B162" s="541"/>
      <c r="C162" s="541"/>
      <c r="D162" s="541"/>
      <c r="E162" s="541"/>
      <c r="F162" s="541"/>
      <c r="G162" s="541"/>
      <c r="H162" s="541"/>
    </row>
    <row r="163" spans="1:8">
      <c r="A163" s="541"/>
      <c r="B163" s="541"/>
      <c r="C163" s="541"/>
      <c r="D163" s="541"/>
      <c r="E163" s="541"/>
      <c r="F163" s="541"/>
      <c r="G163" s="541"/>
      <c r="H163" s="541"/>
    </row>
    <row r="164" spans="1:8">
      <c r="A164" s="541" t="s">
        <v>728</v>
      </c>
      <c r="B164" s="541"/>
      <c r="C164" s="541"/>
      <c r="D164" s="541"/>
      <c r="E164" s="541"/>
      <c r="F164" s="541"/>
      <c r="G164" s="541"/>
      <c r="H164" s="541"/>
    </row>
    <row r="165" spans="1:8">
      <c r="A165" s="541" t="s">
        <v>729</v>
      </c>
      <c r="B165" s="541"/>
      <c r="C165" s="541"/>
      <c r="D165" s="541"/>
      <c r="E165" s="541"/>
      <c r="F165" s="541"/>
      <c r="G165" s="541"/>
      <c r="H165" s="541"/>
    </row>
    <row r="166" spans="1:8">
      <c r="A166" s="541"/>
      <c r="B166" s="541"/>
      <c r="C166" s="541"/>
      <c r="D166" s="541"/>
      <c r="E166" s="541"/>
      <c r="F166" s="541"/>
      <c r="G166" s="541"/>
      <c r="H166" s="541"/>
    </row>
    <row r="167" spans="1:8">
      <c r="A167" s="541" t="s">
        <v>730</v>
      </c>
      <c r="B167" s="541"/>
      <c r="C167" s="541"/>
      <c r="D167" s="541"/>
      <c r="E167" s="541"/>
      <c r="F167" s="541"/>
      <c r="G167" s="541"/>
      <c r="H167" s="541"/>
    </row>
    <row r="168" spans="1:8">
      <c r="A168" s="541" t="s">
        <v>731</v>
      </c>
      <c r="B168" s="541"/>
      <c r="C168" s="541"/>
      <c r="D168" s="541"/>
      <c r="E168" s="541"/>
      <c r="F168" s="541"/>
      <c r="G168" s="541"/>
      <c r="H168" s="541"/>
    </row>
    <row r="169" spans="1:8">
      <c r="A169" s="541"/>
      <c r="B169" s="541"/>
      <c r="C169" s="541"/>
      <c r="D169" s="541"/>
      <c r="E169" s="541"/>
      <c r="F169" s="541"/>
      <c r="G169" s="541"/>
      <c r="H169" s="541"/>
    </row>
    <row r="170" spans="1:8">
      <c r="A170" s="541" t="s">
        <v>732</v>
      </c>
      <c r="B170" s="541"/>
      <c r="C170" s="541"/>
      <c r="D170" s="541"/>
      <c r="E170" s="541"/>
      <c r="F170" s="541"/>
      <c r="G170" s="541"/>
      <c r="H170" s="541"/>
    </row>
    <row r="171" spans="1:8">
      <c r="A171" s="541" t="s">
        <v>733</v>
      </c>
      <c r="B171" s="541"/>
      <c r="C171" s="541"/>
      <c r="D171" s="541"/>
      <c r="E171" s="541"/>
      <c r="F171" s="541"/>
      <c r="G171" s="541"/>
      <c r="H171" s="541"/>
    </row>
    <row r="172" spans="1:8">
      <c r="A172" s="541" t="s">
        <v>734</v>
      </c>
      <c r="B172" s="541"/>
      <c r="C172" s="541"/>
      <c r="D172" s="541"/>
      <c r="E172" s="541"/>
      <c r="F172" s="541"/>
      <c r="G172" s="541"/>
      <c r="H172" s="541"/>
    </row>
    <row r="173" spans="1:8">
      <c r="A173" s="541"/>
      <c r="B173" s="541"/>
      <c r="C173" s="541"/>
      <c r="D173" s="541"/>
      <c r="E173" s="541"/>
      <c r="F173" s="541"/>
      <c r="G173" s="541"/>
      <c r="H173" s="541"/>
    </row>
    <row r="174" spans="1:8">
      <c r="A174" s="541" t="s">
        <v>652</v>
      </c>
      <c r="B174" s="541"/>
      <c r="C174" s="541"/>
      <c r="D174" s="541"/>
      <c r="E174" s="541"/>
      <c r="F174" s="541"/>
      <c r="G174" s="541"/>
      <c r="H174" s="541"/>
    </row>
    <row r="175" spans="1:8">
      <c r="A175" s="541"/>
      <c r="B175" s="541"/>
      <c r="C175" s="541"/>
      <c r="D175" s="541"/>
      <c r="E175" s="541"/>
      <c r="F175" s="541"/>
      <c r="G175" s="541"/>
      <c r="H175" s="541"/>
    </row>
    <row r="176" spans="1:8" ht="15.6">
      <c r="A176" s="542" t="s">
        <v>735</v>
      </c>
      <c r="B176" s="541"/>
      <c r="C176" s="541"/>
      <c r="D176" s="541"/>
      <c r="E176" s="541"/>
      <c r="F176" s="541"/>
      <c r="G176" s="541"/>
      <c r="H176" s="541"/>
    </row>
    <row r="177" spans="1:8">
      <c r="A177" s="541"/>
      <c r="B177" s="541"/>
      <c r="C177" s="541"/>
      <c r="D177" s="541"/>
      <c r="E177" s="541"/>
      <c r="F177" s="541"/>
      <c r="G177" s="541"/>
      <c r="H177" s="541"/>
    </row>
    <row r="178" spans="1:8">
      <c r="A178" s="541"/>
      <c r="B178" s="541"/>
      <c r="C178" s="541"/>
      <c r="D178" s="541"/>
      <c r="E178" s="541"/>
      <c r="F178" s="541"/>
      <c r="G178" s="541"/>
      <c r="H178" s="541"/>
    </row>
    <row r="179" spans="1:8">
      <c r="A179" s="541"/>
      <c r="B179" s="541"/>
      <c r="C179" s="541"/>
      <c r="D179" s="541"/>
      <c r="E179" s="541"/>
      <c r="F179" s="541"/>
      <c r="G179" s="541"/>
      <c r="H179" s="541"/>
    </row>
    <row r="180" spans="1:8">
      <c r="A180" s="541"/>
      <c r="B180" s="541"/>
      <c r="C180" s="541"/>
      <c r="D180" s="541"/>
      <c r="E180" s="541"/>
      <c r="F180" s="541"/>
      <c r="G180" s="541"/>
      <c r="H180" s="541"/>
    </row>
    <row r="181" spans="1:8">
      <c r="A181" s="541"/>
      <c r="B181" s="541"/>
      <c r="C181" s="541"/>
      <c r="D181" s="541"/>
      <c r="E181" s="541"/>
      <c r="F181" s="541"/>
      <c r="G181" s="541"/>
      <c r="H181" s="541"/>
    </row>
    <row r="182" spans="1:8">
      <c r="A182" s="541"/>
      <c r="B182" s="541"/>
      <c r="C182" s="541"/>
      <c r="D182" s="541"/>
      <c r="E182" s="541"/>
      <c r="F182" s="541"/>
      <c r="G182" s="541"/>
      <c r="H182" s="541"/>
    </row>
    <row r="183" spans="1:8">
      <c r="A183" s="541"/>
      <c r="B183" s="541"/>
      <c r="C183" s="541"/>
      <c r="D183" s="541"/>
      <c r="E183" s="541"/>
      <c r="F183" s="541"/>
      <c r="G183" s="541"/>
      <c r="H183" s="541"/>
    </row>
    <row r="184" spans="1:8">
      <c r="A184" s="541"/>
      <c r="B184" s="541"/>
      <c r="C184" s="541"/>
      <c r="D184" s="541"/>
      <c r="E184" s="541"/>
      <c r="F184" s="541"/>
      <c r="G184" s="541"/>
      <c r="H184" s="541"/>
    </row>
    <row r="185" spans="1:8">
      <c r="A185" s="541"/>
      <c r="B185" s="541"/>
      <c r="C185" s="541"/>
      <c r="D185" s="541"/>
      <c r="E185" s="541"/>
      <c r="F185" s="541"/>
      <c r="G185" s="541"/>
      <c r="H185" s="541"/>
    </row>
    <row r="186" spans="1:8">
      <c r="A186" s="541"/>
      <c r="B186" s="541"/>
      <c r="C186" s="541"/>
      <c r="D186" s="541"/>
      <c r="E186" s="541"/>
      <c r="F186" s="541"/>
      <c r="G186" s="541"/>
      <c r="H186" s="541"/>
    </row>
    <row r="187" spans="1:8">
      <c r="A187" s="541"/>
      <c r="B187" s="541"/>
      <c r="C187" s="541"/>
      <c r="D187" s="541"/>
      <c r="E187" s="541"/>
      <c r="F187" s="541"/>
      <c r="G187" s="541"/>
      <c r="H187" s="541"/>
    </row>
    <row r="188" spans="1:8">
      <c r="A188" s="541"/>
      <c r="B188" s="541"/>
      <c r="C188" s="541"/>
      <c r="D188" s="541"/>
      <c r="E188" s="541"/>
      <c r="F188" s="541"/>
      <c r="G188" s="541"/>
      <c r="H188" s="541"/>
    </row>
    <row r="189" spans="1:8">
      <c r="A189" s="541"/>
      <c r="B189" s="541"/>
      <c r="C189" s="541"/>
      <c r="D189" s="541"/>
      <c r="E189" s="541"/>
      <c r="F189" s="541"/>
      <c r="G189" s="541"/>
      <c r="H189" s="541"/>
    </row>
    <row r="190" spans="1:8">
      <c r="A190" s="541"/>
      <c r="B190" s="541"/>
      <c r="C190" s="541"/>
      <c r="D190" s="541"/>
      <c r="E190" s="541"/>
      <c r="F190" s="541"/>
      <c r="G190" s="541"/>
      <c r="H190" s="541"/>
    </row>
    <row r="191" spans="1:8">
      <c r="A191" s="541"/>
      <c r="B191" s="541"/>
      <c r="C191" s="541"/>
      <c r="D191" s="541"/>
      <c r="E191" s="541"/>
      <c r="F191" s="541"/>
      <c r="G191" s="541"/>
      <c r="H191" s="541"/>
    </row>
    <row r="192" spans="1:8">
      <c r="A192" s="541"/>
      <c r="B192" s="541"/>
      <c r="C192" s="541"/>
      <c r="D192" s="541"/>
      <c r="E192" s="541"/>
      <c r="F192" s="541"/>
      <c r="G192" s="541"/>
      <c r="H192" s="541"/>
    </row>
    <row r="193" spans="1:8">
      <c r="A193" s="541"/>
      <c r="B193" s="541"/>
      <c r="C193" s="541"/>
      <c r="D193" s="541"/>
      <c r="E193" s="541"/>
      <c r="F193" s="541"/>
      <c r="G193" s="541"/>
      <c r="H193" s="541"/>
    </row>
    <row r="194" spans="1:8">
      <c r="A194" s="541"/>
      <c r="B194" s="541"/>
      <c r="C194" s="541"/>
      <c r="D194" s="541"/>
      <c r="E194" s="541"/>
      <c r="F194" s="541"/>
      <c r="G194" s="541"/>
      <c r="H194" s="541"/>
    </row>
    <row r="195" spans="1:8">
      <c r="A195" s="541"/>
      <c r="B195" s="541"/>
      <c r="C195" s="541"/>
      <c r="D195" s="541"/>
      <c r="E195" s="541"/>
      <c r="F195" s="541"/>
      <c r="G195" s="541"/>
      <c r="H195" s="541"/>
    </row>
    <row r="196" spans="1:8">
      <c r="A196" s="541"/>
      <c r="B196" s="541"/>
      <c r="C196" s="541"/>
      <c r="D196" s="541"/>
      <c r="E196" s="541"/>
      <c r="F196" s="541"/>
      <c r="G196" s="541"/>
      <c r="H196" s="541"/>
    </row>
    <row r="197" spans="1:8">
      <c r="A197" s="541"/>
      <c r="B197" s="541"/>
      <c r="C197" s="541"/>
      <c r="D197" s="541"/>
      <c r="E197" s="541"/>
      <c r="F197" s="541"/>
      <c r="G197" s="541"/>
      <c r="H197" s="541"/>
    </row>
    <row r="198" spans="1:8">
      <c r="A198" s="541"/>
      <c r="B198" s="541"/>
      <c r="C198" s="541"/>
      <c r="D198" s="541"/>
      <c r="E198" s="541"/>
      <c r="F198" s="541"/>
      <c r="G198" s="541"/>
      <c r="H198" s="541"/>
    </row>
    <row r="199" spans="1:8">
      <c r="A199" s="541"/>
      <c r="B199" s="541"/>
      <c r="C199" s="541"/>
      <c r="D199" s="541"/>
      <c r="E199" s="541"/>
      <c r="F199" s="541"/>
      <c r="G199" s="541"/>
      <c r="H199" s="541"/>
    </row>
    <row r="200" spans="1:8">
      <c r="A200" s="541"/>
      <c r="B200" s="541"/>
      <c r="C200" s="541"/>
      <c r="D200" s="541"/>
      <c r="E200" s="541"/>
      <c r="F200" s="541"/>
      <c r="G200" s="541"/>
      <c r="H200" s="541"/>
    </row>
    <row r="201" spans="1:8">
      <c r="A201" s="541"/>
      <c r="B201" s="541"/>
      <c r="C201" s="541"/>
      <c r="D201" s="541"/>
      <c r="E201" s="541"/>
      <c r="F201" s="541"/>
      <c r="G201" s="541"/>
      <c r="H201" s="541"/>
    </row>
    <row r="202" spans="1:8" ht="15.6">
      <c r="A202" s="542" t="s">
        <v>736</v>
      </c>
      <c r="B202" s="541"/>
      <c r="C202" s="541"/>
      <c r="D202" s="541"/>
      <c r="E202" s="541"/>
      <c r="F202" s="541"/>
      <c r="G202" s="541"/>
      <c r="H202" s="541"/>
    </row>
    <row r="203" spans="1:8">
      <c r="A203" s="541"/>
      <c r="B203" s="541"/>
      <c r="C203" s="541"/>
      <c r="D203" s="541"/>
      <c r="E203" s="541"/>
      <c r="F203" s="541"/>
      <c r="G203" s="541"/>
      <c r="H203" s="541"/>
    </row>
    <row r="204" spans="1:8">
      <c r="A204" s="541" t="s">
        <v>737</v>
      </c>
      <c r="B204" s="541"/>
      <c r="C204" s="541"/>
      <c r="D204" s="541"/>
      <c r="E204" s="541"/>
      <c r="F204" s="541"/>
      <c r="G204" s="541"/>
      <c r="H204" s="541"/>
    </row>
    <row r="205" spans="1:8">
      <c r="A205" s="541" t="s">
        <v>738</v>
      </c>
      <c r="B205" s="541"/>
      <c r="C205" s="541"/>
      <c r="D205" s="541"/>
      <c r="E205" s="541"/>
      <c r="F205" s="541"/>
      <c r="G205" s="541"/>
      <c r="H205" s="541"/>
    </row>
    <row r="206" spans="1:8">
      <c r="A206" s="541" t="s">
        <v>739</v>
      </c>
      <c r="B206" s="541"/>
      <c r="C206" s="541"/>
      <c r="D206" s="541"/>
      <c r="E206" s="541"/>
      <c r="F206" s="541"/>
      <c r="G206" s="541"/>
      <c r="H206" s="541"/>
    </row>
    <row r="207" spans="1:8">
      <c r="A207" s="541" t="s">
        <v>740</v>
      </c>
      <c r="B207" s="541"/>
      <c r="C207" s="541"/>
      <c r="D207" s="541"/>
      <c r="E207" s="541"/>
      <c r="F207" s="541"/>
      <c r="G207" s="541"/>
      <c r="H207" s="541"/>
    </row>
    <row r="208" spans="1:8">
      <c r="A208" s="541" t="s">
        <v>741</v>
      </c>
      <c r="B208" s="541"/>
      <c r="C208" s="541"/>
      <c r="D208" s="541"/>
      <c r="E208" s="541"/>
      <c r="F208" s="541"/>
      <c r="G208" s="541"/>
      <c r="H208" s="541"/>
    </row>
    <row r="209" spans="1:8">
      <c r="A209" s="541"/>
      <c r="B209" s="541"/>
      <c r="C209" s="541"/>
      <c r="D209" s="541"/>
      <c r="E209" s="541"/>
      <c r="F209" s="541"/>
      <c r="G209" s="541"/>
      <c r="H209" s="541"/>
    </row>
    <row r="210" spans="1:8">
      <c r="A210" s="541" t="s">
        <v>742</v>
      </c>
      <c r="B210" s="541"/>
      <c r="C210" s="541"/>
      <c r="D210" s="541"/>
      <c r="E210" s="541"/>
      <c r="F210" s="541"/>
      <c r="G210" s="541"/>
      <c r="H210" s="541"/>
    </row>
    <row r="211" spans="1:8">
      <c r="A211" s="541" t="s">
        <v>743</v>
      </c>
      <c r="B211" s="541"/>
      <c r="C211" s="541"/>
      <c r="D211" s="541"/>
      <c r="E211" s="541"/>
      <c r="F211" s="541"/>
      <c r="G211" s="541"/>
      <c r="H211" s="541"/>
    </row>
    <row r="212" spans="1:8">
      <c r="A212" s="541" t="s">
        <v>744</v>
      </c>
      <c r="B212" s="541"/>
      <c r="C212" s="541"/>
      <c r="D212" s="541"/>
      <c r="E212" s="541"/>
      <c r="F212" s="541"/>
      <c r="G212" s="541"/>
      <c r="H212" s="541"/>
    </row>
    <row r="213" spans="1:8">
      <c r="A213" s="541"/>
      <c r="B213" s="541"/>
      <c r="C213" s="541"/>
      <c r="D213" s="541"/>
      <c r="E213" s="541"/>
      <c r="F213" s="541"/>
      <c r="G213" s="541"/>
      <c r="H213" s="541"/>
    </row>
    <row r="214" spans="1:8" ht="15.6">
      <c r="A214" s="542" t="s">
        <v>745</v>
      </c>
      <c r="B214" s="541"/>
      <c r="C214" s="541"/>
      <c r="D214" s="541"/>
      <c r="E214" s="541"/>
      <c r="F214" s="541"/>
      <c r="G214" s="541"/>
      <c r="H214" s="541"/>
    </row>
    <row r="215" spans="1:8">
      <c r="A215" s="541"/>
      <c r="B215" s="541"/>
      <c r="C215" s="541"/>
      <c r="D215" s="541"/>
      <c r="E215" s="541"/>
      <c r="F215" s="541"/>
      <c r="G215" s="541"/>
      <c r="H215" s="541"/>
    </row>
    <row r="216" spans="1:8">
      <c r="A216" s="541" t="s">
        <v>746</v>
      </c>
      <c r="B216" s="541"/>
      <c r="C216" s="541"/>
      <c r="D216" s="541"/>
      <c r="E216" s="541"/>
      <c r="F216" s="541"/>
      <c r="G216" s="541"/>
      <c r="H216" s="541"/>
    </row>
    <row r="217" spans="1:8">
      <c r="A217" s="541" t="s">
        <v>747</v>
      </c>
      <c r="B217" s="541"/>
      <c r="C217" s="541"/>
      <c r="D217" s="541"/>
      <c r="E217" s="541"/>
      <c r="F217" s="541"/>
      <c r="G217" s="541"/>
      <c r="H217" s="541"/>
    </row>
    <row r="218" spans="1:8">
      <c r="A218" s="541" t="s">
        <v>748</v>
      </c>
      <c r="B218" s="541"/>
      <c r="C218" s="541"/>
      <c r="D218" s="541"/>
      <c r="E218" s="541"/>
      <c r="F218" s="541"/>
      <c r="G218" s="541"/>
      <c r="H218" s="541"/>
    </row>
    <row r="219" spans="1:8">
      <c r="A219" s="541" t="s">
        <v>749</v>
      </c>
      <c r="B219" s="541"/>
      <c r="C219" s="541"/>
      <c r="D219" s="541"/>
      <c r="E219" s="541"/>
      <c r="F219" s="541"/>
      <c r="G219" s="541"/>
      <c r="H219" s="541"/>
    </row>
    <row r="220" spans="1:8">
      <c r="A220" s="541" t="s">
        <v>750</v>
      </c>
      <c r="B220" s="541"/>
      <c r="C220" s="541"/>
      <c r="D220" s="541"/>
      <c r="E220" s="541"/>
      <c r="F220" s="541"/>
      <c r="G220" s="541"/>
      <c r="H220" s="541"/>
    </row>
    <row r="221" spans="1:8">
      <c r="A221" s="541" t="s">
        <v>751</v>
      </c>
      <c r="B221" s="541"/>
      <c r="C221" s="541"/>
      <c r="D221" s="541"/>
      <c r="E221" s="541"/>
      <c r="F221" s="541"/>
      <c r="G221" s="541"/>
      <c r="H221" s="541"/>
    </row>
    <row r="222" spans="1:8">
      <c r="A222" s="541" t="s">
        <v>752</v>
      </c>
      <c r="B222" s="541"/>
      <c r="C222" s="541"/>
      <c r="D222" s="541"/>
      <c r="E222" s="541"/>
      <c r="F222" s="541"/>
      <c r="G222" s="541"/>
      <c r="H222" s="541"/>
    </row>
    <row r="223" spans="1:8">
      <c r="A223" s="541"/>
      <c r="B223" s="541"/>
      <c r="C223" s="541"/>
      <c r="D223" s="541"/>
      <c r="E223" s="541"/>
      <c r="F223" s="541"/>
      <c r="G223" s="541"/>
      <c r="H223" s="541"/>
    </row>
    <row r="224" spans="1:8">
      <c r="A224" s="541" t="s">
        <v>753</v>
      </c>
      <c r="B224" s="541"/>
      <c r="C224" s="541"/>
      <c r="D224" s="541"/>
      <c r="E224" s="541"/>
      <c r="F224" s="541"/>
      <c r="G224" s="541"/>
      <c r="H224" s="541"/>
    </row>
    <row r="225" spans="1:8">
      <c r="A225" s="541" t="s">
        <v>754</v>
      </c>
      <c r="B225" s="541"/>
      <c r="C225" s="541"/>
      <c r="D225" s="541"/>
      <c r="E225" s="541"/>
      <c r="F225" s="541"/>
      <c r="G225" s="541"/>
      <c r="H225" s="541"/>
    </row>
    <row r="226" spans="1:8">
      <c r="A226" s="541" t="s">
        <v>755</v>
      </c>
      <c r="B226" s="541"/>
      <c r="C226" s="541"/>
      <c r="D226" s="541"/>
      <c r="E226" s="541"/>
      <c r="F226" s="541"/>
      <c r="G226" s="541"/>
      <c r="H226" s="541"/>
    </row>
    <row r="227" spans="1:8">
      <c r="A227" s="541"/>
      <c r="B227" s="541"/>
      <c r="C227" s="541"/>
      <c r="D227" s="541"/>
      <c r="E227" s="541"/>
      <c r="F227" s="541"/>
      <c r="G227" s="541"/>
      <c r="H227" s="541"/>
    </row>
    <row r="228" spans="1:8">
      <c r="A228" s="541" t="s">
        <v>756</v>
      </c>
      <c r="B228" s="541"/>
      <c r="C228" s="541"/>
      <c r="D228" s="541"/>
      <c r="E228" s="541"/>
      <c r="F228" s="541"/>
      <c r="G228" s="541"/>
      <c r="H228" s="541"/>
    </row>
    <row r="229" spans="1:8">
      <c r="A229" s="541" t="s">
        <v>757</v>
      </c>
      <c r="B229" s="541"/>
      <c r="C229" s="541"/>
      <c r="D229" s="541"/>
      <c r="E229" s="541"/>
      <c r="F229" s="541"/>
      <c r="G229" s="541"/>
      <c r="H229" s="541"/>
    </row>
    <row r="230" spans="1:8">
      <c r="A230" s="541" t="s">
        <v>758</v>
      </c>
      <c r="B230" s="541"/>
      <c r="C230" s="541"/>
      <c r="D230" s="541"/>
      <c r="E230" s="541"/>
      <c r="F230" s="541"/>
      <c r="G230" s="541"/>
      <c r="H230" s="541"/>
    </row>
    <row r="231" spans="1:8">
      <c r="A231" s="541" t="s">
        <v>759</v>
      </c>
      <c r="B231" s="541"/>
      <c r="C231" s="541"/>
      <c r="D231" s="541"/>
      <c r="E231" s="541"/>
      <c r="F231" s="541"/>
      <c r="G231" s="541"/>
      <c r="H231" s="541"/>
    </row>
    <row r="232" spans="1:8">
      <c r="A232" s="541" t="s">
        <v>760</v>
      </c>
      <c r="B232" s="541"/>
      <c r="C232" s="541"/>
      <c r="D232" s="541"/>
      <c r="E232" s="541"/>
      <c r="F232" s="541"/>
      <c r="G232" s="541"/>
      <c r="H232" s="541"/>
    </row>
    <row r="233" spans="1:8">
      <c r="A233" s="541"/>
      <c r="B233" s="541"/>
      <c r="C233" s="541"/>
      <c r="D233" s="541"/>
      <c r="E233" s="541"/>
      <c r="F233" s="541"/>
      <c r="G233" s="541"/>
      <c r="H233" s="541"/>
    </row>
    <row r="234" spans="1:8">
      <c r="A234" s="541" t="s">
        <v>761</v>
      </c>
      <c r="B234" s="541"/>
      <c r="C234" s="541"/>
      <c r="D234" s="541"/>
      <c r="E234" s="541"/>
      <c r="F234" s="541"/>
      <c r="G234" s="541"/>
      <c r="H234" s="541"/>
    </row>
    <row r="235" spans="1:8">
      <c r="A235" s="541" t="s">
        <v>762</v>
      </c>
      <c r="B235" s="541"/>
      <c r="C235" s="541"/>
      <c r="D235" s="541"/>
      <c r="E235" s="541"/>
      <c r="F235" s="541"/>
      <c r="G235" s="541"/>
      <c r="H235" s="541"/>
    </row>
    <row r="236" spans="1:8">
      <c r="A236" s="541" t="s">
        <v>763</v>
      </c>
      <c r="B236" s="541"/>
      <c r="C236" s="541"/>
      <c r="D236" s="541"/>
      <c r="E236" s="541"/>
      <c r="F236" s="541"/>
      <c r="G236" s="541"/>
      <c r="H236" s="541"/>
    </row>
    <row r="237" spans="1:8">
      <c r="A237" s="541" t="s">
        <v>764</v>
      </c>
      <c r="B237" s="541"/>
      <c r="C237" s="541"/>
      <c r="D237" s="541"/>
      <c r="E237" s="541"/>
      <c r="F237" s="541"/>
      <c r="G237" s="541"/>
      <c r="H237" s="541"/>
    </row>
    <row r="238" spans="1:8">
      <c r="A238" s="541" t="s">
        <v>765</v>
      </c>
      <c r="B238" s="541"/>
      <c r="C238" s="541"/>
      <c r="D238" s="541"/>
      <c r="E238" s="541"/>
      <c r="F238" s="541"/>
      <c r="G238" s="541"/>
      <c r="H238" s="541"/>
    </row>
    <row r="239" spans="1:8">
      <c r="A239" s="541" t="s">
        <v>766</v>
      </c>
      <c r="B239" s="541"/>
      <c r="C239" s="541"/>
      <c r="D239" s="541"/>
      <c r="E239" s="541"/>
      <c r="F239" s="541"/>
      <c r="G239" s="541"/>
      <c r="H239" s="541"/>
    </row>
    <row r="240" spans="1:8">
      <c r="A240" s="541"/>
      <c r="B240" s="541"/>
      <c r="C240" s="541"/>
      <c r="D240" s="541"/>
      <c r="E240" s="541"/>
      <c r="F240" s="541"/>
      <c r="G240" s="541"/>
      <c r="H240" s="541"/>
    </row>
    <row r="241" spans="1:8">
      <c r="A241" s="541" t="s">
        <v>767</v>
      </c>
      <c r="B241" s="541"/>
      <c r="C241" s="541"/>
      <c r="D241" s="541"/>
      <c r="E241" s="541"/>
      <c r="F241" s="541"/>
      <c r="G241" s="541"/>
      <c r="H241" s="541"/>
    </row>
    <row r="242" spans="1:8">
      <c r="A242" s="541" t="s">
        <v>768</v>
      </c>
      <c r="B242" s="541"/>
      <c r="C242" s="541"/>
      <c r="D242" s="541"/>
      <c r="E242" s="541"/>
      <c r="F242" s="541"/>
      <c r="G242" s="541"/>
      <c r="H242" s="541"/>
    </row>
    <row r="243" spans="1:8">
      <c r="A243" s="541" t="s">
        <v>769</v>
      </c>
      <c r="B243" s="541"/>
      <c r="C243" s="541"/>
      <c r="D243" s="541"/>
      <c r="E243" s="541"/>
      <c r="F243" s="541"/>
      <c r="G243" s="541"/>
      <c r="H243" s="541"/>
    </row>
    <row r="244" spans="1:8">
      <c r="A244" s="541" t="s">
        <v>770</v>
      </c>
      <c r="B244" s="541"/>
      <c r="C244" s="541"/>
      <c r="D244" s="541"/>
      <c r="E244" s="541"/>
      <c r="F244" s="541"/>
      <c r="G244" s="541"/>
      <c r="H244" s="541"/>
    </row>
    <row r="245" spans="1:8">
      <c r="A245" s="541" t="s">
        <v>771</v>
      </c>
      <c r="B245" s="541"/>
      <c r="C245" s="541"/>
      <c r="D245" s="541"/>
      <c r="E245" s="541"/>
      <c r="F245" s="541"/>
      <c r="G245" s="541"/>
      <c r="H245" s="541"/>
    </row>
    <row r="246" spans="1:8">
      <c r="A246" s="541" t="s">
        <v>772</v>
      </c>
      <c r="B246" s="541"/>
      <c r="C246" s="541"/>
      <c r="D246" s="541"/>
      <c r="E246" s="541"/>
      <c r="F246" s="541"/>
      <c r="G246" s="541"/>
      <c r="H246" s="541"/>
    </row>
    <row r="247" spans="1:8">
      <c r="A247" s="541" t="s">
        <v>773</v>
      </c>
      <c r="B247" s="541"/>
      <c r="C247" s="541"/>
      <c r="D247" s="541"/>
      <c r="E247" s="541"/>
      <c r="F247" s="541"/>
      <c r="G247" s="541"/>
      <c r="H247" s="541"/>
    </row>
    <row r="248" spans="1:8">
      <c r="A248" s="541" t="s">
        <v>774</v>
      </c>
      <c r="B248" s="541"/>
      <c r="C248" s="541"/>
      <c r="D248" s="541"/>
      <c r="E248" s="541"/>
      <c r="F248" s="541"/>
      <c r="G248" s="541"/>
      <c r="H248" s="541"/>
    </row>
    <row r="249" spans="1:8">
      <c r="A249" s="541" t="s">
        <v>775</v>
      </c>
      <c r="B249" s="541"/>
      <c r="C249" s="541"/>
      <c r="D249" s="541"/>
      <c r="E249" s="541"/>
      <c r="F249" s="541"/>
      <c r="G249" s="541"/>
      <c r="H249" s="541"/>
    </row>
    <row r="250" spans="1:8">
      <c r="A250" s="541" t="s">
        <v>776</v>
      </c>
      <c r="B250" s="541"/>
      <c r="C250" s="541"/>
      <c r="D250" s="541"/>
      <c r="E250" s="541"/>
      <c r="F250" s="541"/>
      <c r="G250" s="541"/>
      <c r="H250" s="541"/>
    </row>
    <row r="251" spans="1:8">
      <c r="A251" s="541" t="s">
        <v>777</v>
      </c>
      <c r="B251" s="541"/>
      <c r="C251" s="541"/>
      <c r="D251" s="541"/>
      <c r="E251" s="541"/>
      <c r="F251" s="541"/>
      <c r="G251" s="541"/>
      <c r="H251" s="541"/>
    </row>
    <row r="252" spans="1:8">
      <c r="A252" s="541" t="s">
        <v>778</v>
      </c>
      <c r="B252" s="541"/>
      <c r="C252" s="541"/>
      <c r="D252" s="541"/>
      <c r="E252" s="541"/>
      <c r="F252" s="541"/>
      <c r="G252" s="541"/>
      <c r="H252" s="541"/>
    </row>
    <row r="253" spans="1:8">
      <c r="A253" s="541" t="s">
        <v>779</v>
      </c>
      <c r="B253" s="541"/>
      <c r="C253" s="541"/>
      <c r="D253" s="541"/>
      <c r="E253" s="541"/>
      <c r="F253" s="541"/>
      <c r="G253" s="541"/>
      <c r="H253" s="541"/>
    </row>
    <row r="254" spans="1:8">
      <c r="A254" s="541" t="s">
        <v>780</v>
      </c>
      <c r="B254" s="541"/>
      <c r="C254" s="541"/>
      <c r="D254" s="541"/>
      <c r="E254" s="541"/>
      <c r="F254" s="541"/>
      <c r="G254" s="541"/>
      <c r="H254" s="541"/>
    </row>
    <row r="255" spans="1:8">
      <c r="A255" s="541"/>
      <c r="B255" s="541"/>
      <c r="C255" s="541"/>
      <c r="D255" s="541"/>
      <c r="E255" s="541"/>
      <c r="F255" s="541"/>
      <c r="G255" s="541"/>
      <c r="H255" s="541"/>
    </row>
    <row r="256" spans="1:8">
      <c r="A256" s="541" t="s">
        <v>781</v>
      </c>
      <c r="B256" s="541"/>
      <c r="C256" s="541"/>
      <c r="D256" s="541"/>
      <c r="E256" s="541"/>
      <c r="F256" s="541"/>
      <c r="G256" s="541"/>
      <c r="H256" s="541"/>
    </row>
    <row r="257" spans="1:8">
      <c r="A257" s="541" t="s">
        <v>782</v>
      </c>
      <c r="B257" s="541"/>
      <c r="C257" s="541"/>
      <c r="D257" s="541"/>
      <c r="E257" s="541"/>
      <c r="F257" s="541"/>
      <c r="G257" s="541"/>
      <c r="H257" s="541"/>
    </row>
    <row r="258" spans="1:8">
      <c r="A258" s="541"/>
      <c r="B258" s="541"/>
      <c r="C258" s="541"/>
      <c r="D258" s="541"/>
      <c r="E258" s="541"/>
      <c r="F258" s="541"/>
      <c r="G258" s="541"/>
      <c r="H258" s="541"/>
    </row>
    <row r="259" spans="1:8">
      <c r="A259" s="541" t="s">
        <v>783</v>
      </c>
      <c r="B259" s="541"/>
      <c r="C259" s="541"/>
      <c r="D259" s="541"/>
      <c r="E259" s="541"/>
      <c r="F259" s="541"/>
      <c r="G259" s="541"/>
      <c r="H259" s="541"/>
    </row>
    <row r="260" spans="1:8">
      <c r="A260" s="541" t="s">
        <v>784</v>
      </c>
      <c r="B260" s="541"/>
      <c r="C260" s="541"/>
      <c r="D260" s="541"/>
      <c r="E260" s="541"/>
      <c r="F260" s="541"/>
      <c r="G260" s="541"/>
      <c r="H260" s="541"/>
    </row>
    <row r="261" spans="1:8">
      <c r="A261" s="541" t="s">
        <v>785</v>
      </c>
      <c r="B261" s="541"/>
      <c r="C261" s="541"/>
      <c r="D261" s="541"/>
      <c r="E261" s="541"/>
      <c r="F261" s="541"/>
      <c r="G261" s="541"/>
      <c r="H261" s="541"/>
    </row>
    <row r="262" spans="1:8">
      <c r="A262" s="541" t="s">
        <v>786</v>
      </c>
      <c r="B262" s="541"/>
      <c r="C262" s="541"/>
      <c r="D262" s="541"/>
      <c r="E262" s="541"/>
      <c r="F262" s="541"/>
      <c r="G262" s="541"/>
      <c r="H262" s="541"/>
    </row>
    <row r="263" spans="1:8">
      <c r="A263" s="541" t="s">
        <v>787</v>
      </c>
      <c r="B263" s="541"/>
      <c r="C263" s="541"/>
      <c r="D263" s="541"/>
      <c r="E263" s="541"/>
      <c r="F263" s="541"/>
      <c r="G263" s="541"/>
      <c r="H263" s="541"/>
    </row>
    <row r="264" spans="1:8">
      <c r="A264" s="541" t="s">
        <v>788</v>
      </c>
      <c r="B264" s="541"/>
      <c r="C264" s="541"/>
      <c r="D264" s="541"/>
      <c r="E264" s="541"/>
      <c r="F264" s="541"/>
      <c r="G264" s="541"/>
      <c r="H264" s="541"/>
    </row>
    <row r="265" spans="1:8">
      <c r="A265" s="541" t="s">
        <v>789</v>
      </c>
      <c r="B265" s="541"/>
      <c r="C265" s="541"/>
      <c r="D265" s="541"/>
      <c r="E265" s="541"/>
      <c r="F265" s="541"/>
      <c r="G265" s="541"/>
      <c r="H265" s="541"/>
    </row>
    <row r="266" spans="1:8">
      <c r="A266" s="541" t="s">
        <v>790</v>
      </c>
      <c r="B266" s="541"/>
      <c r="C266" s="541"/>
      <c r="D266" s="541"/>
      <c r="E266" s="541"/>
      <c r="F266" s="541"/>
      <c r="G266" s="541"/>
      <c r="H266" s="541"/>
    </row>
    <row r="267" spans="1:8">
      <c r="A267" s="541" t="s">
        <v>791</v>
      </c>
      <c r="B267" s="541"/>
      <c r="C267" s="541"/>
      <c r="D267" s="541"/>
      <c r="E267" s="541"/>
      <c r="F267" s="541"/>
      <c r="G267" s="541"/>
      <c r="H267" s="541"/>
    </row>
    <row r="268" spans="1:8">
      <c r="A268" s="541" t="s">
        <v>792</v>
      </c>
      <c r="B268" s="541"/>
      <c r="C268" s="541"/>
      <c r="D268" s="541"/>
      <c r="E268" s="541"/>
      <c r="F268" s="541"/>
      <c r="G268" s="541"/>
      <c r="H268" s="541"/>
    </row>
    <row r="269" spans="1:8">
      <c r="A269" s="541" t="s">
        <v>793</v>
      </c>
      <c r="B269" s="541"/>
      <c r="C269" s="541"/>
      <c r="D269" s="541"/>
      <c r="E269" s="541"/>
      <c r="F269" s="541"/>
      <c r="G269" s="541"/>
      <c r="H269" s="541"/>
    </row>
    <row r="270" spans="1:8">
      <c r="A270" s="541" t="s">
        <v>794</v>
      </c>
      <c r="B270" s="541"/>
      <c r="C270" s="541"/>
      <c r="D270" s="541"/>
      <c r="E270" s="541"/>
      <c r="F270" s="541"/>
      <c r="G270" s="541"/>
      <c r="H270" s="541"/>
    </row>
    <row r="271" spans="1:8">
      <c r="A271" s="541" t="s">
        <v>795</v>
      </c>
      <c r="B271" s="541"/>
      <c r="C271" s="541"/>
      <c r="D271" s="541"/>
      <c r="E271" s="541"/>
      <c r="F271" s="541"/>
      <c r="G271" s="541"/>
      <c r="H271" s="541"/>
    </row>
    <row r="272" spans="1:8">
      <c r="A272" s="541" t="s">
        <v>796</v>
      </c>
      <c r="B272" s="541"/>
      <c r="C272" s="541"/>
      <c r="D272" s="541"/>
      <c r="E272" s="541"/>
      <c r="F272" s="541"/>
      <c r="G272" s="541"/>
      <c r="H272" s="541"/>
    </row>
    <row r="273" spans="1:8">
      <c r="A273" s="541" t="s">
        <v>797</v>
      </c>
      <c r="B273" s="541"/>
      <c r="C273" s="541"/>
      <c r="D273" s="541"/>
      <c r="E273" s="541"/>
      <c r="F273" s="541"/>
      <c r="G273" s="541"/>
      <c r="H273" s="541"/>
    </row>
    <row r="274" spans="1:8">
      <c r="A274" s="541" t="s">
        <v>798</v>
      </c>
      <c r="B274" s="541"/>
      <c r="C274" s="541"/>
      <c r="D274" s="541"/>
      <c r="E274" s="541"/>
      <c r="F274" s="541"/>
      <c r="G274" s="541"/>
      <c r="H274" s="541"/>
    </row>
    <row r="275" spans="1:8">
      <c r="A275" s="541"/>
      <c r="B275" s="541"/>
      <c r="C275" s="541"/>
      <c r="D275" s="541"/>
      <c r="E275" s="541"/>
      <c r="F275" s="541"/>
      <c r="G275" s="541"/>
      <c r="H275" s="541"/>
    </row>
    <row r="276" spans="1:8">
      <c r="A276" s="541" t="s">
        <v>799</v>
      </c>
      <c r="B276" s="541"/>
      <c r="C276" s="541"/>
      <c r="D276" s="541"/>
      <c r="E276" s="541"/>
      <c r="F276" s="541"/>
      <c r="G276" s="541"/>
      <c r="H276" s="541"/>
    </row>
    <row r="277" spans="1:8">
      <c r="A277" s="541" t="s">
        <v>800</v>
      </c>
      <c r="B277" s="541"/>
      <c r="C277" s="541"/>
      <c r="D277" s="541"/>
      <c r="E277" s="541"/>
      <c r="F277" s="541"/>
      <c r="G277" s="541"/>
      <c r="H277" s="541"/>
    </row>
    <row r="278" spans="1:8">
      <c r="A278" s="541" t="s">
        <v>801</v>
      </c>
      <c r="B278" s="541"/>
      <c r="C278" s="541"/>
      <c r="D278" s="541"/>
      <c r="E278" s="541"/>
      <c r="F278" s="541"/>
      <c r="G278" s="541"/>
      <c r="H278" s="541"/>
    </row>
    <row r="279" spans="1:8">
      <c r="A279" s="541" t="s">
        <v>802</v>
      </c>
      <c r="B279" s="541"/>
      <c r="C279" s="541"/>
      <c r="D279" s="541"/>
      <c r="E279" s="541"/>
      <c r="F279" s="541"/>
      <c r="G279" s="541"/>
      <c r="H279" s="541"/>
    </row>
    <row r="280" spans="1:8">
      <c r="A280" s="541" t="s">
        <v>803</v>
      </c>
      <c r="B280" s="541"/>
      <c r="C280" s="541"/>
      <c r="D280" s="541"/>
      <c r="E280" s="541"/>
      <c r="F280" s="541"/>
      <c r="G280" s="541"/>
      <c r="H280" s="541"/>
    </row>
    <row r="281" spans="1:8">
      <c r="A281" s="541" t="s">
        <v>804</v>
      </c>
      <c r="B281" s="541"/>
      <c r="C281" s="541"/>
      <c r="D281" s="541"/>
      <c r="E281" s="541"/>
      <c r="F281" s="541"/>
      <c r="G281" s="541"/>
      <c r="H281" s="541"/>
    </row>
    <row r="282" spans="1:8">
      <c r="A282" s="541" t="s">
        <v>663</v>
      </c>
      <c r="B282" s="541"/>
      <c r="C282" s="541"/>
      <c r="D282" s="541"/>
      <c r="E282" s="541"/>
      <c r="F282" s="541"/>
      <c r="G282" s="541"/>
      <c r="H282" s="541"/>
    </row>
    <row r="283" spans="1:8">
      <c r="A283" s="541"/>
      <c r="B283" s="541"/>
      <c r="C283" s="541"/>
      <c r="D283" s="541"/>
      <c r="E283" s="541"/>
      <c r="F283" s="541"/>
      <c r="G283" s="541"/>
      <c r="H283" s="541"/>
    </row>
    <row r="284" spans="1:8">
      <c r="A284" s="541" t="s">
        <v>805</v>
      </c>
      <c r="B284" s="541"/>
      <c r="C284" s="541"/>
      <c r="D284" s="541"/>
      <c r="E284" s="541"/>
      <c r="F284" s="541"/>
      <c r="G284" s="541"/>
      <c r="H284" s="541"/>
    </row>
    <row r="285" spans="1:8">
      <c r="A285" s="541" t="s">
        <v>806</v>
      </c>
      <c r="B285" s="541"/>
      <c r="C285" s="541"/>
      <c r="D285" s="541"/>
      <c r="E285" s="541"/>
      <c r="F285" s="541"/>
      <c r="G285" s="541"/>
      <c r="H285" s="541"/>
    </row>
    <row r="286" spans="1:8">
      <c r="A286" s="541" t="s">
        <v>807</v>
      </c>
      <c r="B286" s="541"/>
      <c r="C286" s="541"/>
      <c r="D286" s="541"/>
      <c r="E286" s="541"/>
      <c r="F286" s="541"/>
      <c r="G286" s="541"/>
      <c r="H286" s="541"/>
    </row>
    <row r="287" spans="1:8">
      <c r="A287" s="541" t="s">
        <v>808</v>
      </c>
      <c r="B287" s="541"/>
      <c r="C287" s="541"/>
      <c r="D287" s="541"/>
      <c r="E287" s="541"/>
      <c r="F287" s="541"/>
      <c r="G287" s="541"/>
      <c r="H287" s="541"/>
    </row>
    <row r="288" spans="1:8">
      <c r="A288" s="541" t="s">
        <v>809</v>
      </c>
      <c r="B288" s="541"/>
      <c r="C288" s="541"/>
      <c r="D288" s="541"/>
      <c r="E288" s="541"/>
      <c r="F288" s="541"/>
      <c r="G288" s="541"/>
      <c r="H288" s="541"/>
    </row>
    <row r="289" spans="1:8">
      <c r="A289" s="541" t="s">
        <v>810</v>
      </c>
      <c r="B289" s="541"/>
      <c r="C289" s="541"/>
      <c r="D289" s="541"/>
      <c r="E289" s="541"/>
      <c r="F289" s="541"/>
      <c r="G289" s="541"/>
      <c r="H289" s="541"/>
    </row>
    <row r="290" spans="1:8">
      <c r="A290" s="541" t="s">
        <v>811</v>
      </c>
      <c r="B290" s="541"/>
      <c r="C290" s="541"/>
      <c r="D290" s="541"/>
      <c r="E290" s="541"/>
      <c r="F290" s="541"/>
      <c r="G290" s="541"/>
      <c r="H290" s="541"/>
    </row>
    <row r="291" spans="1:8">
      <c r="A291" s="541" t="s">
        <v>812</v>
      </c>
      <c r="B291" s="541"/>
      <c r="C291" s="541"/>
      <c r="D291" s="541"/>
      <c r="E291" s="541"/>
      <c r="F291" s="541"/>
      <c r="G291" s="541"/>
      <c r="H291" s="541"/>
    </row>
    <row r="292" spans="1:8">
      <c r="A292" s="541" t="s">
        <v>813</v>
      </c>
      <c r="B292" s="541"/>
      <c r="C292" s="541"/>
      <c r="D292" s="541"/>
      <c r="E292" s="541"/>
      <c r="F292" s="541"/>
      <c r="G292" s="541"/>
      <c r="H292" s="541"/>
    </row>
    <row r="293" spans="1:8">
      <c r="A293" s="541"/>
      <c r="B293" s="541"/>
      <c r="C293" s="541"/>
      <c r="D293" s="541"/>
      <c r="E293" s="541"/>
      <c r="F293" s="541"/>
      <c r="G293" s="541"/>
      <c r="H293" s="541"/>
    </row>
    <row r="294" spans="1:8">
      <c r="A294" s="541" t="s">
        <v>814</v>
      </c>
      <c r="B294" s="541"/>
      <c r="C294" s="541"/>
      <c r="D294" s="541"/>
      <c r="E294" s="541"/>
      <c r="F294" s="541"/>
      <c r="G294" s="541"/>
      <c r="H294" s="541"/>
    </row>
    <row r="295" spans="1:8">
      <c r="A295" s="541" t="s">
        <v>815</v>
      </c>
      <c r="B295" s="541"/>
      <c r="C295" s="541"/>
      <c r="D295" s="541"/>
      <c r="E295" s="541"/>
      <c r="F295" s="541"/>
      <c r="G295" s="541"/>
      <c r="H295" s="541"/>
    </row>
    <row r="296" spans="1:8">
      <c r="A296" s="541" t="s">
        <v>816</v>
      </c>
      <c r="B296" s="541"/>
      <c r="C296" s="541"/>
      <c r="D296" s="541"/>
      <c r="E296" s="541"/>
      <c r="F296" s="541"/>
      <c r="G296" s="541"/>
      <c r="H296" s="541"/>
    </row>
    <row r="297" spans="1:8">
      <c r="A297" s="541" t="s">
        <v>817</v>
      </c>
      <c r="B297" s="541"/>
      <c r="C297" s="541"/>
      <c r="D297" s="541"/>
      <c r="E297" s="541"/>
      <c r="F297" s="541"/>
      <c r="G297" s="541"/>
      <c r="H297" s="541"/>
    </row>
    <row r="298" spans="1:8">
      <c r="A298" s="541" t="s">
        <v>818</v>
      </c>
      <c r="B298" s="541"/>
      <c r="C298" s="541"/>
      <c r="D298" s="541"/>
      <c r="E298" s="541"/>
      <c r="F298" s="541"/>
      <c r="G298" s="541"/>
      <c r="H298" s="541"/>
    </row>
    <row r="299" spans="1:8">
      <c r="A299" s="541" t="s">
        <v>819</v>
      </c>
      <c r="B299" s="541"/>
      <c r="C299" s="541"/>
      <c r="D299" s="541"/>
      <c r="E299" s="541"/>
      <c r="F299" s="541"/>
      <c r="G299" s="541"/>
      <c r="H299" s="541"/>
    </row>
    <row r="300" spans="1:8">
      <c r="A300" s="541" t="s">
        <v>820</v>
      </c>
      <c r="B300" s="541"/>
      <c r="C300" s="541"/>
      <c r="D300" s="541"/>
      <c r="E300" s="541"/>
      <c r="F300" s="541"/>
      <c r="G300" s="541"/>
      <c r="H300" s="541"/>
    </row>
    <row r="301" spans="1:8">
      <c r="A301" s="541"/>
      <c r="B301" s="541"/>
      <c r="C301" s="541"/>
      <c r="D301" s="541"/>
      <c r="E301" s="541"/>
      <c r="F301" s="541"/>
      <c r="G301" s="541"/>
      <c r="H301" s="541"/>
    </row>
    <row r="302" spans="1:8">
      <c r="A302" s="541" t="s">
        <v>821</v>
      </c>
      <c r="B302" s="541"/>
      <c r="C302" s="541"/>
      <c r="D302" s="541"/>
      <c r="E302" s="541"/>
      <c r="F302" s="541"/>
      <c r="G302" s="541"/>
      <c r="H302" s="541"/>
    </row>
    <row r="303" spans="1:8">
      <c r="A303" s="541" t="s">
        <v>822</v>
      </c>
      <c r="B303" s="541"/>
      <c r="C303" s="541"/>
      <c r="D303" s="541"/>
      <c r="E303" s="541"/>
      <c r="F303" s="541"/>
      <c r="G303" s="541"/>
      <c r="H303" s="541"/>
    </row>
    <row r="304" spans="1:8">
      <c r="A304" s="541" t="s">
        <v>823</v>
      </c>
      <c r="B304" s="541"/>
      <c r="C304" s="541"/>
      <c r="D304" s="541"/>
      <c r="E304" s="541"/>
      <c r="F304" s="541"/>
      <c r="G304" s="541"/>
      <c r="H304" s="541"/>
    </row>
    <row r="305" spans="1:8">
      <c r="A305" s="541"/>
      <c r="B305" s="541"/>
      <c r="C305" s="541"/>
      <c r="D305" s="541"/>
      <c r="E305" s="541"/>
      <c r="F305" s="541"/>
      <c r="G305" s="541"/>
      <c r="H305" s="541"/>
    </row>
    <row r="306" spans="1:8">
      <c r="A306" s="541" t="s">
        <v>824</v>
      </c>
      <c r="B306" s="541"/>
      <c r="C306" s="541"/>
      <c r="D306" s="541"/>
      <c r="E306" s="541"/>
      <c r="F306" s="541"/>
      <c r="G306" s="541"/>
      <c r="H306" s="541"/>
    </row>
    <row r="307" spans="1:8">
      <c r="A307" s="541" t="s">
        <v>825</v>
      </c>
      <c r="B307" s="541"/>
      <c r="C307" s="541"/>
      <c r="D307" s="541"/>
      <c r="E307" s="541"/>
      <c r="F307" s="541"/>
      <c r="G307" s="541"/>
      <c r="H307" s="541"/>
    </row>
    <row r="308" spans="1:8">
      <c r="A308" s="541"/>
      <c r="B308" s="541"/>
      <c r="C308" s="541"/>
      <c r="D308" s="541"/>
      <c r="E308" s="541"/>
      <c r="F308" s="541"/>
      <c r="G308" s="541"/>
      <c r="H308" s="541"/>
    </row>
    <row r="309" spans="1:8">
      <c r="A309" s="541" t="s">
        <v>826</v>
      </c>
      <c r="B309" s="541"/>
      <c r="C309" s="541"/>
      <c r="D309" s="541"/>
      <c r="E309" s="541"/>
      <c r="F309" s="541"/>
      <c r="G309" s="541"/>
      <c r="H309" s="541"/>
    </row>
    <row r="310" spans="1:8">
      <c r="A310" s="541" t="s">
        <v>827</v>
      </c>
      <c r="B310" s="541"/>
      <c r="C310" s="541"/>
      <c r="D310" s="541"/>
      <c r="E310" s="541"/>
      <c r="F310" s="541"/>
      <c r="G310" s="541"/>
      <c r="H310" s="541"/>
    </row>
    <row r="311" spans="1:8">
      <c r="A311" s="541" t="s">
        <v>828</v>
      </c>
      <c r="B311" s="541"/>
      <c r="C311" s="541"/>
      <c r="D311" s="541"/>
      <c r="E311" s="541"/>
      <c r="F311" s="541"/>
      <c r="G311" s="541"/>
      <c r="H311" s="541"/>
    </row>
    <row r="312" spans="1:8">
      <c r="A312" s="541" t="s">
        <v>829</v>
      </c>
      <c r="B312" s="541"/>
      <c r="C312" s="541"/>
      <c r="D312" s="541"/>
      <c r="E312" s="541"/>
      <c r="F312" s="541"/>
      <c r="G312" s="541"/>
      <c r="H312" s="541"/>
    </row>
    <row r="313" spans="1:8">
      <c r="A313" s="541" t="s">
        <v>830</v>
      </c>
      <c r="B313" s="541"/>
      <c r="C313" s="541"/>
      <c r="D313" s="541"/>
      <c r="E313" s="541"/>
      <c r="F313" s="541"/>
      <c r="G313" s="541"/>
      <c r="H313" s="541"/>
    </row>
    <row r="314" spans="1:8">
      <c r="A314" s="541" t="s">
        <v>831</v>
      </c>
      <c r="B314" s="541"/>
      <c r="C314" s="541"/>
      <c r="D314" s="541"/>
      <c r="E314" s="541"/>
      <c r="F314" s="541"/>
      <c r="G314" s="541"/>
      <c r="H314" s="541"/>
    </row>
    <row r="315" spans="1:8">
      <c r="A315" s="541" t="s">
        <v>832</v>
      </c>
      <c r="B315" s="541"/>
      <c r="C315" s="541"/>
      <c r="D315" s="541"/>
      <c r="E315" s="541"/>
      <c r="F315" s="541"/>
      <c r="G315" s="541"/>
      <c r="H315" s="541"/>
    </row>
    <row r="316" spans="1:8">
      <c r="A316" s="541" t="s">
        <v>833</v>
      </c>
      <c r="B316" s="541"/>
      <c r="C316" s="541"/>
      <c r="D316" s="541"/>
      <c r="E316" s="541"/>
      <c r="F316" s="541"/>
      <c r="G316" s="541"/>
      <c r="H316" s="541"/>
    </row>
    <row r="317" spans="1:8">
      <c r="A317" s="541" t="s">
        <v>834</v>
      </c>
      <c r="B317" s="541"/>
      <c r="C317" s="541"/>
      <c r="D317" s="541"/>
      <c r="E317" s="541"/>
      <c r="F317" s="541"/>
      <c r="G317" s="541"/>
      <c r="H317" s="541"/>
    </row>
    <row r="318" spans="1:8">
      <c r="A318" s="541" t="s">
        <v>835</v>
      </c>
      <c r="B318" s="541"/>
      <c r="C318" s="541"/>
      <c r="D318" s="541"/>
      <c r="E318" s="541"/>
      <c r="F318" s="541"/>
      <c r="G318" s="541"/>
      <c r="H318" s="541"/>
    </row>
    <row r="319" spans="1:8">
      <c r="A319" s="541" t="s">
        <v>836</v>
      </c>
      <c r="B319" s="541"/>
      <c r="C319" s="541"/>
      <c r="D319" s="541"/>
      <c r="E319" s="541"/>
      <c r="F319" s="541"/>
      <c r="G319" s="541"/>
      <c r="H319" s="541"/>
    </row>
    <row r="320" spans="1:8">
      <c r="A320" s="541" t="s">
        <v>837</v>
      </c>
      <c r="B320" s="541"/>
      <c r="C320" s="541"/>
      <c r="D320" s="541"/>
      <c r="E320" s="541"/>
      <c r="F320" s="541"/>
      <c r="G320" s="541"/>
      <c r="H320" s="541"/>
    </row>
    <row r="321" spans="1:8">
      <c r="A321" s="541" t="s">
        <v>838</v>
      </c>
      <c r="B321" s="541"/>
      <c r="C321" s="541"/>
      <c r="D321" s="541"/>
      <c r="E321" s="541"/>
      <c r="F321" s="541"/>
      <c r="G321" s="541"/>
      <c r="H321" s="541"/>
    </row>
    <row r="322" spans="1:8">
      <c r="A322" s="541"/>
      <c r="B322" s="541"/>
      <c r="C322" s="541"/>
      <c r="D322" s="541"/>
      <c r="E322" s="541"/>
      <c r="F322" s="541"/>
      <c r="G322" s="541"/>
      <c r="H322" s="541"/>
    </row>
    <row r="323" spans="1:8">
      <c r="A323" s="541" t="s">
        <v>839</v>
      </c>
      <c r="B323" s="541"/>
      <c r="C323" s="541"/>
      <c r="D323" s="541"/>
      <c r="E323" s="541"/>
      <c r="F323" s="541"/>
      <c r="G323" s="541"/>
      <c r="H323" s="541"/>
    </row>
    <row r="324" spans="1:8">
      <c r="A324" s="541" t="s">
        <v>840</v>
      </c>
      <c r="B324" s="541"/>
      <c r="C324" s="541"/>
      <c r="D324" s="541"/>
      <c r="E324" s="541"/>
      <c r="F324" s="541"/>
      <c r="G324" s="541"/>
      <c r="H324" s="541"/>
    </row>
    <row r="325" spans="1:8">
      <c r="A325" s="541"/>
      <c r="B325" s="541"/>
      <c r="C325" s="541"/>
      <c r="D325" s="541"/>
      <c r="E325" s="541"/>
      <c r="F325" s="541"/>
      <c r="G325" s="541"/>
      <c r="H325" s="541"/>
    </row>
    <row r="326" spans="1:8">
      <c r="A326" s="541" t="s">
        <v>841</v>
      </c>
      <c r="B326" s="541"/>
      <c r="C326" s="541"/>
      <c r="D326" s="541"/>
      <c r="E326" s="541"/>
      <c r="F326" s="541"/>
      <c r="G326" s="541"/>
      <c r="H326" s="541"/>
    </row>
    <row r="327" spans="1:8">
      <c r="A327" s="541" t="s">
        <v>842</v>
      </c>
      <c r="B327" s="541"/>
      <c r="C327" s="541"/>
      <c r="D327" s="541"/>
      <c r="E327" s="541"/>
      <c r="F327" s="541"/>
      <c r="G327" s="541"/>
      <c r="H327" s="541"/>
    </row>
    <row r="328" spans="1:8">
      <c r="A328" s="541" t="s">
        <v>843</v>
      </c>
      <c r="B328" s="541"/>
      <c r="C328" s="541"/>
      <c r="D328" s="541"/>
      <c r="E328" s="541"/>
      <c r="F328" s="541"/>
      <c r="G328" s="541"/>
      <c r="H328" s="541"/>
    </row>
    <row r="329" spans="1:8">
      <c r="A329" s="541" t="s">
        <v>844</v>
      </c>
      <c r="B329" s="541"/>
      <c r="C329" s="541"/>
      <c r="D329" s="541"/>
      <c r="E329" s="541"/>
      <c r="F329" s="541"/>
      <c r="G329" s="541"/>
      <c r="H329" s="541"/>
    </row>
    <row r="330" spans="1:8">
      <c r="A330" s="541" t="s">
        <v>845</v>
      </c>
      <c r="B330" s="541"/>
      <c r="C330" s="541"/>
      <c r="D330" s="541"/>
      <c r="E330" s="541"/>
      <c r="F330" s="541"/>
      <c r="G330" s="541"/>
      <c r="H330" s="541"/>
    </row>
    <row r="331" spans="1:8">
      <c r="A331" s="541" t="s">
        <v>846</v>
      </c>
      <c r="B331" s="541"/>
      <c r="C331" s="541"/>
      <c r="D331" s="541"/>
      <c r="E331" s="541"/>
      <c r="F331" s="541"/>
      <c r="G331" s="541"/>
      <c r="H331" s="541"/>
    </row>
    <row r="332" spans="1:8">
      <c r="A332" s="541" t="s">
        <v>847</v>
      </c>
      <c r="B332" s="541"/>
      <c r="C332" s="541"/>
      <c r="D332" s="541"/>
      <c r="E332" s="541"/>
      <c r="F332" s="541"/>
      <c r="G332" s="541"/>
      <c r="H332" s="541"/>
    </row>
    <row r="333" spans="1:8">
      <c r="A333" s="541" t="s">
        <v>848</v>
      </c>
      <c r="B333" s="541"/>
      <c r="C333" s="541"/>
      <c r="D333" s="541"/>
      <c r="E333" s="541"/>
      <c r="F333" s="541"/>
      <c r="G333" s="541"/>
      <c r="H333" s="541"/>
    </row>
    <row r="334" spans="1:8">
      <c r="A334" s="541"/>
      <c r="B334" s="541"/>
      <c r="C334" s="541"/>
      <c r="D334" s="541"/>
      <c r="E334" s="541"/>
      <c r="F334" s="541"/>
      <c r="G334" s="541"/>
      <c r="H334" s="541"/>
    </row>
    <row r="335" spans="1:8">
      <c r="A335" s="541" t="s">
        <v>849</v>
      </c>
      <c r="B335" s="541"/>
      <c r="C335" s="541"/>
      <c r="D335" s="541"/>
      <c r="E335" s="541"/>
      <c r="F335" s="541"/>
      <c r="G335" s="541"/>
      <c r="H335" s="541"/>
    </row>
    <row r="336" spans="1:8">
      <c r="A336" s="541" t="s">
        <v>850</v>
      </c>
      <c r="B336" s="541"/>
      <c r="C336" s="541"/>
      <c r="D336" s="541"/>
      <c r="E336" s="541"/>
      <c r="F336" s="541"/>
      <c r="G336" s="541"/>
      <c r="H336" s="541"/>
    </row>
    <row r="337" spans="1:8">
      <c r="A337" s="541" t="s">
        <v>851</v>
      </c>
      <c r="B337" s="541"/>
      <c r="C337" s="541"/>
      <c r="D337" s="541"/>
      <c r="E337" s="541"/>
      <c r="F337" s="541"/>
      <c r="G337" s="541"/>
      <c r="H337" s="541"/>
    </row>
    <row r="338" spans="1:8">
      <c r="A338" s="541" t="s">
        <v>852</v>
      </c>
      <c r="B338" s="541"/>
      <c r="C338" s="541"/>
      <c r="D338" s="541"/>
      <c r="E338" s="541"/>
      <c r="F338" s="541"/>
      <c r="G338" s="541"/>
      <c r="H338" s="541"/>
    </row>
    <row r="339" spans="1:8">
      <c r="A339" s="541" t="s">
        <v>853</v>
      </c>
      <c r="B339" s="541"/>
      <c r="C339" s="541"/>
      <c r="D339" s="541"/>
      <c r="E339" s="541"/>
      <c r="F339" s="541"/>
      <c r="G339" s="541"/>
      <c r="H339" s="541"/>
    </row>
    <row r="340" spans="1:8">
      <c r="A340" s="541" t="s">
        <v>854</v>
      </c>
      <c r="B340" s="541"/>
      <c r="C340" s="541"/>
      <c r="D340" s="541"/>
      <c r="E340" s="541"/>
      <c r="F340" s="541"/>
      <c r="G340" s="541"/>
      <c r="H340" s="541"/>
    </row>
    <row r="341" spans="1:8">
      <c r="A341" s="541" t="s">
        <v>855</v>
      </c>
      <c r="B341" s="541"/>
      <c r="C341" s="541"/>
      <c r="D341" s="541"/>
      <c r="E341" s="541"/>
      <c r="F341" s="541"/>
      <c r="G341" s="541"/>
      <c r="H341" s="541"/>
    </row>
    <row r="342" spans="1:8">
      <c r="A342" s="541" t="s">
        <v>856</v>
      </c>
      <c r="B342" s="541"/>
      <c r="C342" s="541"/>
      <c r="D342" s="541"/>
      <c r="E342" s="541"/>
      <c r="F342" s="541"/>
      <c r="G342" s="541"/>
      <c r="H342" s="541"/>
    </row>
    <row r="343" spans="1:8">
      <c r="A343" s="541" t="s">
        <v>857</v>
      </c>
      <c r="B343" s="541"/>
      <c r="C343" s="541"/>
      <c r="D343" s="541"/>
      <c r="E343" s="541"/>
      <c r="F343" s="541"/>
      <c r="G343" s="541"/>
      <c r="H343" s="541"/>
    </row>
    <row r="344" spans="1:8">
      <c r="A344" s="541" t="s">
        <v>858</v>
      </c>
      <c r="B344" s="541"/>
      <c r="C344" s="541"/>
      <c r="D344" s="541"/>
      <c r="E344" s="541"/>
      <c r="F344" s="541"/>
      <c r="G344" s="541"/>
      <c r="H344" s="541"/>
    </row>
    <row r="345" spans="1:8">
      <c r="A345" s="541" t="s">
        <v>859</v>
      </c>
      <c r="B345" s="541"/>
      <c r="C345" s="541"/>
      <c r="D345" s="541"/>
      <c r="E345" s="541"/>
      <c r="F345" s="541"/>
      <c r="G345" s="541"/>
      <c r="H345" s="541"/>
    </row>
    <row r="346" spans="1:8">
      <c r="A346" s="541" t="s">
        <v>860</v>
      </c>
      <c r="B346" s="541"/>
      <c r="C346" s="541"/>
      <c r="D346" s="541"/>
      <c r="E346" s="541"/>
      <c r="F346" s="541"/>
      <c r="G346" s="541"/>
      <c r="H346" s="541"/>
    </row>
    <row r="347" spans="1:8">
      <c r="A347" s="541" t="s">
        <v>861</v>
      </c>
      <c r="B347" s="541"/>
      <c r="C347" s="541"/>
      <c r="D347" s="541"/>
      <c r="E347" s="541"/>
      <c r="F347" s="541"/>
      <c r="G347" s="541"/>
      <c r="H347" s="541"/>
    </row>
    <row r="348" spans="1:8">
      <c r="A348" s="541" t="s">
        <v>862</v>
      </c>
      <c r="B348" s="541"/>
      <c r="C348" s="541"/>
      <c r="D348" s="541"/>
      <c r="E348" s="541"/>
      <c r="F348" s="541"/>
      <c r="G348" s="541"/>
      <c r="H348" s="541"/>
    </row>
    <row r="349" spans="1:8">
      <c r="A349" s="541" t="s">
        <v>863</v>
      </c>
      <c r="B349" s="541"/>
      <c r="C349" s="541"/>
      <c r="D349" s="541"/>
      <c r="E349" s="541"/>
      <c r="F349" s="541"/>
      <c r="G349" s="541"/>
      <c r="H349" s="541"/>
    </row>
    <row r="350" spans="1:8">
      <c r="A350" s="541" t="s">
        <v>864</v>
      </c>
      <c r="B350" s="541"/>
      <c r="C350" s="541"/>
      <c r="D350" s="541"/>
      <c r="E350" s="541"/>
      <c r="F350" s="541"/>
      <c r="G350" s="541"/>
      <c r="H350" s="541"/>
    </row>
    <row r="351" spans="1:8">
      <c r="A351" s="541" t="s">
        <v>865</v>
      </c>
      <c r="B351" s="541"/>
      <c r="C351" s="541"/>
      <c r="D351" s="541"/>
      <c r="E351" s="541"/>
      <c r="F351" s="541"/>
      <c r="G351" s="541"/>
      <c r="H351" s="541"/>
    </row>
    <row r="352" spans="1:8">
      <c r="A352" s="541" t="s">
        <v>866</v>
      </c>
      <c r="B352" s="541"/>
      <c r="C352" s="541"/>
      <c r="D352" s="541"/>
      <c r="E352" s="541"/>
      <c r="F352" s="541"/>
      <c r="G352" s="541"/>
      <c r="H352" s="541"/>
    </row>
    <row r="353" spans="1:8">
      <c r="A353" s="541" t="s">
        <v>867</v>
      </c>
      <c r="B353" s="541"/>
      <c r="C353" s="541"/>
      <c r="D353" s="541"/>
      <c r="E353" s="541"/>
      <c r="F353" s="541"/>
      <c r="G353" s="541"/>
      <c r="H353" s="541"/>
    </row>
    <row r="354" spans="1:8">
      <c r="A354" s="541" t="s">
        <v>868</v>
      </c>
      <c r="B354" s="541"/>
      <c r="C354" s="541"/>
      <c r="D354" s="541"/>
      <c r="E354" s="541"/>
      <c r="F354" s="541"/>
      <c r="G354" s="541"/>
      <c r="H354" s="541"/>
    </row>
    <row r="355" spans="1:8">
      <c r="A355" s="541" t="s">
        <v>869</v>
      </c>
      <c r="B355" s="541"/>
      <c r="C355" s="541"/>
      <c r="D355" s="541"/>
      <c r="E355" s="541"/>
      <c r="F355" s="541"/>
      <c r="G355" s="541"/>
      <c r="H355" s="541"/>
    </row>
    <row r="356" spans="1:8">
      <c r="A356" s="541" t="s">
        <v>870</v>
      </c>
      <c r="B356" s="541"/>
      <c r="C356" s="541"/>
      <c r="D356" s="541"/>
      <c r="E356" s="541"/>
      <c r="F356" s="541"/>
      <c r="G356" s="541"/>
      <c r="H356" s="541"/>
    </row>
    <row r="357" spans="1:8">
      <c r="A357" s="541" t="s">
        <v>871</v>
      </c>
      <c r="B357" s="541"/>
      <c r="C357" s="541"/>
      <c r="D357" s="541"/>
      <c r="E357" s="541"/>
      <c r="F357" s="541"/>
      <c r="G357" s="541"/>
      <c r="H357" s="541"/>
    </row>
    <row r="358" spans="1:8">
      <c r="A358" s="541" t="s">
        <v>872</v>
      </c>
      <c r="B358" s="541"/>
      <c r="C358" s="541"/>
      <c r="D358" s="541"/>
      <c r="E358" s="541"/>
      <c r="F358" s="541"/>
      <c r="G358" s="541"/>
      <c r="H358" s="541"/>
    </row>
    <row r="359" spans="1:8">
      <c r="A359" s="541" t="s">
        <v>873</v>
      </c>
      <c r="B359" s="541"/>
      <c r="C359" s="541"/>
      <c r="D359" s="541"/>
      <c r="E359" s="541"/>
      <c r="F359" s="541"/>
      <c r="G359" s="541"/>
      <c r="H359" s="541"/>
    </row>
    <row r="360" spans="1:8">
      <c r="A360" s="541" t="s">
        <v>874</v>
      </c>
      <c r="B360" s="541"/>
      <c r="C360" s="541"/>
      <c r="D360" s="541"/>
      <c r="E360" s="541"/>
      <c r="F360" s="541"/>
      <c r="G360" s="541"/>
      <c r="H360" s="541"/>
    </row>
    <row r="361" spans="1:8">
      <c r="A361" s="541" t="s">
        <v>875</v>
      </c>
      <c r="B361" s="541"/>
      <c r="C361" s="541"/>
      <c r="D361" s="541"/>
      <c r="E361" s="541"/>
      <c r="F361" s="541"/>
      <c r="G361" s="541"/>
      <c r="H361" s="541"/>
    </row>
    <row r="362" spans="1:8">
      <c r="A362" s="541" t="s">
        <v>876</v>
      </c>
      <c r="B362" s="541"/>
      <c r="C362" s="541"/>
      <c r="D362" s="541"/>
      <c r="E362" s="541"/>
      <c r="F362" s="541"/>
      <c r="G362" s="541"/>
      <c r="H362" s="541"/>
    </row>
    <row r="363" spans="1:8">
      <c r="A363" s="541" t="s">
        <v>877</v>
      </c>
      <c r="B363" s="541"/>
      <c r="C363" s="541"/>
      <c r="D363" s="541"/>
      <c r="E363" s="541"/>
      <c r="F363" s="541"/>
      <c r="G363" s="541"/>
      <c r="H363" s="541"/>
    </row>
    <row r="364" spans="1:8">
      <c r="A364" s="541" t="s">
        <v>878</v>
      </c>
      <c r="B364" s="541"/>
      <c r="C364" s="541"/>
      <c r="D364" s="541"/>
      <c r="E364" s="541"/>
      <c r="F364" s="541"/>
      <c r="G364" s="541"/>
      <c r="H364" s="541"/>
    </row>
    <row r="365" spans="1:8">
      <c r="A365" s="541" t="s">
        <v>879</v>
      </c>
      <c r="B365" s="541"/>
      <c r="C365" s="541"/>
      <c r="D365" s="541"/>
      <c r="E365" s="541"/>
      <c r="F365" s="541"/>
      <c r="G365" s="541"/>
      <c r="H365" s="541"/>
    </row>
    <row r="366" spans="1:8">
      <c r="A366" s="541" t="s">
        <v>880</v>
      </c>
      <c r="B366" s="541"/>
      <c r="C366" s="541"/>
      <c r="D366" s="541"/>
      <c r="E366" s="541"/>
      <c r="F366" s="541"/>
      <c r="G366" s="541"/>
      <c r="H366" s="541"/>
    </row>
    <row r="367" spans="1:8">
      <c r="A367" s="541" t="s">
        <v>881</v>
      </c>
      <c r="B367" s="541"/>
      <c r="C367" s="541"/>
      <c r="D367" s="541"/>
      <c r="E367" s="541"/>
      <c r="F367" s="541"/>
      <c r="G367" s="541"/>
      <c r="H367" s="541"/>
    </row>
    <row r="368" spans="1:8">
      <c r="A368" s="541" t="s">
        <v>882</v>
      </c>
      <c r="B368" s="541"/>
      <c r="C368" s="541"/>
      <c r="D368" s="541"/>
      <c r="E368" s="541"/>
      <c r="F368" s="541"/>
      <c r="G368" s="541"/>
      <c r="H368" s="541"/>
    </row>
    <row r="369" spans="1:8">
      <c r="A369" s="541" t="s">
        <v>883</v>
      </c>
      <c r="B369" s="541"/>
      <c r="C369" s="541"/>
      <c r="D369" s="541"/>
      <c r="E369" s="541"/>
      <c r="F369" s="541"/>
      <c r="G369" s="541"/>
      <c r="H369" s="541"/>
    </row>
    <row r="370" spans="1:8">
      <c r="A370" s="541" t="s">
        <v>884</v>
      </c>
      <c r="B370" s="541"/>
      <c r="C370" s="541"/>
      <c r="D370" s="541"/>
      <c r="E370" s="541"/>
      <c r="F370" s="541"/>
      <c r="G370" s="541"/>
      <c r="H370" s="541"/>
    </row>
    <row r="371" spans="1:8">
      <c r="A371" s="541" t="s">
        <v>885</v>
      </c>
      <c r="B371" s="541"/>
      <c r="C371" s="541"/>
      <c r="D371" s="541"/>
      <c r="E371" s="541"/>
      <c r="F371" s="541"/>
      <c r="G371" s="541"/>
      <c r="H371" s="541"/>
    </row>
    <row r="372" spans="1:8">
      <c r="A372" s="541" t="s">
        <v>886</v>
      </c>
      <c r="B372" s="541"/>
      <c r="C372" s="541"/>
      <c r="D372" s="541"/>
      <c r="E372" s="541"/>
      <c r="F372" s="541"/>
      <c r="G372" s="541"/>
      <c r="H372" s="541"/>
    </row>
    <row r="373" spans="1:8">
      <c r="A373" s="541" t="s">
        <v>887</v>
      </c>
      <c r="B373" s="541"/>
      <c r="C373" s="541"/>
      <c r="D373" s="541"/>
      <c r="E373" s="541"/>
      <c r="F373" s="541"/>
      <c r="G373" s="541"/>
      <c r="H373" s="541"/>
    </row>
    <row r="374" spans="1:8">
      <c r="A374" s="541" t="s">
        <v>888</v>
      </c>
      <c r="B374" s="541"/>
      <c r="C374" s="541"/>
      <c r="D374" s="541"/>
      <c r="E374" s="541"/>
      <c r="F374" s="541"/>
      <c r="G374" s="541"/>
      <c r="H374" s="541"/>
    </row>
    <row r="375" spans="1:8">
      <c r="A375" s="541" t="s">
        <v>889</v>
      </c>
      <c r="B375" s="541"/>
      <c r="C375" s="541"/>
      <c r="D375" s="541"/>
      <c r="E375" s="541"/>
      <c r="F375" s="541"/>
      <c r="G375" s="541"/>
      <c r="H375" s="541"/>
    </row>
    <row r="376" spans="1:8">
      <c r="A376" s="541" t="s">
        <v>890</v>
      </c>
      <c r="B376" s="541"/>
      <c r="C376" s="541"/>
      <c r="D376" s="541"/>
      <c r="E376" s="541"/>
      <c r="F376" s="541"/>
      <c r="G376" s="541"/>
      <c r="H376" s="541"/>
    </row>
    <row r="377" spans="1:8">
      <c r="A377" s="541" t="s">
        <v>891</v>
      </c>
      <c r="B377" s="541"/>
      <c r="C377" s="541"/>
      <c r="D377" s="541"/>
      <c r="E377" s="541"/>
      <c r="F377" s="541"/>
      <c r="G377" s="541"/>
      <c r="H377" s="541"/>
    </row>
    <row r="378" spans="1:8">
      <c r="A378" s="541" t="s">
        <v>892</v>
      </c>
      <c r="B378" s="541"/>
      <c r="C378" s="541"/>
      <c r="D378" s="541"/>
      <c r="E378" s="541"/>
      <c r="F378" s="541"/>
      <c r="G378" s="541"/>
      <c r="H378" s="541"/>
    </row>
    <row r="379" spans="1:8">
      <c r="A379" s="541" t="s">
        <v>893</v>
      </c>
      <c r="B379" s="541"/>
      <c r="C379" s="541"/>
      <c r="D379" s="541"/>
      <c r="E379" s="541"/>
      <c r="F379" s="541"/>
      <c r="G379" s="541"/>
      <c r="H379" s="541"/>
    </row>
    <row r="380" spans="1:8">
      <c r="A380" s="541" t="s">
        <v>894</v>
      </c>
      <c r="B380" s="541"/>
      <c r="C380" s="541"/>
      <c r="D380" s="541"/>
      <c r="E380" s="541"/>
      <c r="F380" s="541"/>
      <c r="G380" s="541"/>
      <c r="H380" s="541"/>
    </row>
    <row r="381" spans="1:8">
      <c r="A381" s="541"/>
      <c r="B381" s="541"/>
      <c r="C381" s="541"/>
      <c r="D381" s="541"/>
      <c r="E381" s="541"/>
      <c r="F381" s="541"/>
      <c r="G381" s="541"/>
      <c r="H381" s="541"/>
    </row>
    <row r="382" spans="1:8">
      <c r="A382" s="541" t="s">
        <v>895</v>
      </c>
      <c r="B382" s="541"/>
      <c r="C382" s="541"/>
      <c r="D382" s="541"/>
      <c r="E382" s="541"/>
      <c r="F382" s="541"/>
      <c r="G382" s="541"/>
      <c r="H382" s="541"/>
    </row>
    <row r="383" spans="1:8">
      <c r="A383" s="541" t="s">
        <v>896</v>
      </c>
      <c r="B383" s="541"/>
      <c r="C383" s="541"/>
      <c r="D383" s="541"/>
      <c r="E383" s="541"/>
      <c r="F383" s="541"/>
      <c r="G383" s="541"/>
      <c r="H383" s="541"/>
    </row>
    <row r="384" spans="1:8">
      <c r="A384" s="541" t="s">
        <v>897</v>
      </c>
      <c r="B384" s="541"/>
      <c r="C384" s="541"/>
      <c r="D384" s="541"/>
      <c r="E384" s="541"/>
      <c r="F384" s="541"/>
      <c r="G384" s="541"/>
      <c r="H384" s="541"/>
    </row>
    <row r="385" spans="1:8">
      <c r="A385" s="541" t="s">
        <v>898</v>
      </c>
      <c r="B385" s="541"/>
      <c r="C385" s="541"/>
      <c r="D385" s="541"/>
      <c r="E385" s="541"/>
      <c r="F385" s="541"/>
      <c r="G385" s="541"/>
      <c r="H385" s="541"/>
    </row>
    <row r="386" spans="1:8">
      <c r="A386" s="541" t="s">
        <v>899</v>
      </c>
      <c r="B386" s="541"/>
      <c r="C386" s="541"/>
      <c r="D386" s="541"/>
      <c r="E386" s="541"/>
      <c r="F386" s="541"/>
      <c r="G386" s="541"/>
      <c r="H386" s="541"/>
    </row>
    <row r="387" spans="1:8">
      <c r="A387" s="541" t="s">
        <v>900</v>
      </c>
      <c r="B387" s="541"/>
      <c r="C387" s="541"/>
      <c r="D387" s="541"/>
      <c r="E387" s="541"/>
      <c r="F387" s="541"/>
      <c r="G387" s="541"/>
      <c r="H387" s="541"/>
    </row>
    <row r="388" spans="1:8">
      <c r="A388" s="541" t="s">
        <v>901</v>
      </c>
      <c r="B388" s="541"/>
      <c r="C388" s="541"/>
      <c r="D388" s="541"/>
      <c r="E388" s="541"/>
      <c r="F388" s="541"/>
      <c r="G388" s="541"/>
      <c r="H388" s="541"/>
    </row>
    <row r="389" spans="1:8">
      <c r="A389" s="541" t="s">
        <v>902</v>
      </c>
      <c r="B389" s="541"/>
      <c r="C389" s="541"/>
      <c r="D389" s="541"/>
      <c r="E389" s="541"/>
      <c r="F389" s="541"/>
      <c r="G389" s="541"/>
      <c r="H389" s="541"/>
    </row>
    <row r="390" spans="1:8">
      <c r="A390" s="541"/>
      <c r="B390" s="541"/>
      <c r="C390" s="541"/>
      <c r="D390" s="541"/>
      <c r="E390" s="541"/>
      <c r="F390" s="541"/>
      <c r="G390" s="541"/>
      <c r="H390" s="541"/>
    </row>
    <row r="391" spans="1:8">
      <c r="A391" s="541" t="s">
        <v>895</v>
      </c>
      <c r="B391" s="541"/>
      <c r="C391" s="541"/>
      <c r="D391" s="541"/>
      <c r="E391" s="541"/>
      <c r="F391" s="541"/>
      <c r="G391" s="541"/>
      <c r="H391" s="541"/>
    </row>
    <row r="392" spans="1:8">
      <c r="A392" s="541" t="s">
        <v>903</v>
      </c>
      <c r="B392" s="541"/>
      <c r="C392" s="541"/>
      <c r="D392" s="541"/>
      <c r="E392" s="541"/>
      <c r="F392" s="541"/>
      <c r="G392" s="541"/>
      <c r="H392" s="541"/>
    </row>
    <row r="393" spans="1:8">
      <c r="A393" s="541" t="s">
        <v>904</v>
      </c>
      <c r="B393" s="541"/>
      <c r="C393" s="541"/>
      <c r="D393" s="541"/>
      <c r="E393" s="541"/>
      <c r="F393" s="541"/>
      <c r="G393" s="541"/>
      <c r="H393" s="541"/>
    </row>
    <row r="394" spans="1:8">
      <c r="A394" s="541" t="s">
        <v>905</v>
      </c>
      <c r="B394" s="541"/>
      <c r="C394" s="541"/>
      <c r="D394" s="541"/>
      <c r="E394" s="541"/>
      <c r="F394" s="541"/>
      <c r="G394" s="541"/>
      <c r="H394" s="541"/>
    </row>
    <row r="395" spans="1:8">
      <c r="A395" s="541"/>
      <c r="B395" s="541"/>
      <c r="C395" s="541"/>
      <c r="D395" s="541"/>
      <c r="E395" s="541"/>
      <c r="F395" s="541"/>
      <c r="G395" s="541"/>
      <c r="H395" s="541"/>
    </row>
    <row r="396" spans="1:8">
      <c r="A396" s="541" t="s">
        <v>906</v>
      </c>
      <c r="B396" s="541"/>
      <c r="C396" s="541"/>
      <c r="D396" s="541"/>
      <c r="E396" s="541"/>
      <c r="F396" s="541"/>
      <c r="G396" s="541"/>
      <c r="H396" s="541"/>
    </row>
    <row r="397" spans="1:8">
      <c r="A397" s="541" t="s">
        <v>907</v>
      </c>
      <c r="B397" s="541"/>
      <c r="C397" s="541"/>
      <c r="D397" s="541"/>
      <c r="E397" s="541"/>
      <c r="F397" s="541"/>
      <c r="G397" s="541"/>
      <c r="H397" s="541"/>
    </row>
    <row r="398" spans="1:8">
      <c r="A398" s="541" t="s">
        <v>908</v>
      </c>
      <c r="B398" s="541"/>
      <c r="C398" s="541"/>
      <c r="D398" s="541"/>
      <c r="E398" s="541"/>
      <c r="F398" s="541"/>
      <c r="G398" s="541"/>
      <c r="H398" s="541"/>
    </row>
    <row r="399" spans="1:8">
      <c r="A399" s="541" t="s">
        <v>909</v>
      </c>
      <c r="B399" s="541"/>
      <c r="C399" s="541"/>
      <c r="D399" s="541"/>
      <c r="E399" s="541"/>
      <c r="F399" s="541"/>
      <c r="G399" s="541"/>
      <c r="H399" s="541"/>
    </row>
    <row r="400" spans="1:8">
      <c r="A400" s="541" t="s">
        <v>910</v>
      </c>
      <c r="B400" s="541"/>
      <c r="C400" s="541"/>
      <c r="D400" s="541"/>
      <c r="E400" s="541"/>
      <c r="F400" s="541"/>
      <c r="G400" s="541"/>
      <c r="H400" s="541"/>
    </row>
    <row r="401" spans="1:8">
      <c r="A401" s="541" t="s">
        <v>911</v>
      </c>
      <c r="B401" s="541"/>
      <c r="C401" s="541"/>
      <c r="D401" s="541"/>
      <c r="E401" s="541"/>
      <c r="F401" s="541"/>
      <c r="G401" s="541"/>
      <c r="H401" s="541"/>
    </row>
    <row r="402" spans="1:8">
      <c r="A402" s="541"/>
      <c r="B402" s="541"/>
      <c r="C402" s="541"/>
      <c r="D402" s="541"/>
      <c r="E402" s="541"/>
      <c r="F402" s="541"/>
      <c r="G402" s="541"/>
      <c r="H402" s="541"/>
    </row>
    <row r="403" spans="1:8">
      <c r="A403" s="541" t="s">
        <v>912</v>
      </c>
      <c r="B403" s="541"/>
      <c r="C403" s="541"/>
      <c r="D403" s="541"/>
      <c r="E403" s="541"/>
      <c r="F403" s="541"/>
      <c r="G403" s="541"/>
      <c r="H403" s="541"/>
    </row>
    <row r="404" spans="1:8">
      <c r="A404" s="541" t="s">
        <v>913</v>
      </c>
      <c r="B404" s="541"/>
      <c r="C404" s="541"/>
      <c r="D404" s="541"/>
      <c r="E404" s="541"/>
      <c r="F404" s="541"/>
      <c r="G404" s="541"/>
      <c r="H404" s="541"/>
    </row>
    <row r="405" spans="1:8">
      <c r="A405" s="541" t="s">
        <v>914</v>
      </c>
      <c r="B405" s="541"/>
      <c r="C405" s="541"/>
      <c r="D405" s="541"/>
      <c r="E405" s="541"/>
      <c r="F405" s="541"/>
      <c r="G405" s="541"/>
      <c r="H405" s="541"/>
    </row>
    <row r="406" spans="1:8">
      <c r="A406" s="541" t="s">
        <v>915</v>
      </c>
      <c r="B406" s="541"/>
      <c r="C406" s="541"/>
      <c r="D406" s="541"/>
      <c r="E406" s="541"/>
      <c r="F406" s="541"/>
      <c r="G406" s="541"/>
      <c r="H406" s="541"/>
    </row>
    <row r="407" spans="1:8">
      <c r="A407" s="541" t="s">
        <v>916</v>
      </c>
      <c r="B407" s="541"/>
      <c r="C407" s="541"/>
      <c r="D407" s="541"/>
      <c r="E407" s="541"/>
      <c r="F407" s="541"/>
      <c r="G407" s="541"/>
      <c r="H407" s="541"/>
    </row>
    <row r="408" spans="1:8">
      <c r="A408" s="541"/>
      <c r="B408" s="541"/>
      <c r="C408" s="541"/>
      <c r="D408" s="541"/>
      <c r="E408" s="541"/>
      <c r="F408" s="541"/>
      <c r="G408" s="541"/>
      <c r="H408" s="541"/>
    </row>
    <row r="409" spans="1:8">
      <c r="A409" s="541" t="s">
        <v>917</v>
      </c>
      <c r="B409" s="541"/>
      <c r="C409" s="541"/>
      <c r="D409" s="541"/>
      <c r="E409" s="541"/>
      <c r="F409" s="541"/>
      <c r="G409" s="541"/>
      <c r="H409" s="541"/>
    </row>
    <row r="410" spans="1:8">
      <c r="A410" s="541" t="s">
        <v>918</v>
      </c>
      <c r="B410" s="541"/>
      <c r="C410" s="541"/>
      <c r="D410" s="541"/>
      <c r="E410" s="541"/>
      <c r="F410" s="541"/>
      <c r="G410" s="541"/>
      <c r="H410" s="541"/>
    </row>
    <row r="411" spans="1:8">
      <c r="A411" s="541"/>
      <c r="B411" s="541"/>
      <c r="C411" s="541"/>
      <c r="D411" s="541"/>
      <c r="E411" s="541"/>
      <c r="F411" s="541"/>
      <c r="G411" s="541"/>
      <c r="H411" s="541"/>
    </row>
    <row r="412" spans="1:8">
      <c r="A412" s="541" t="s">
        <v>919</v>
      </c>
      <c r="B412" s="541"/>
      <c r="C412" s="541"/>
      <c r="D412" s="541"/>
      <c r="E412" s="541"/>
      <c r="F412" s="541"/>
      <c r="G412" s="541"/>
      <c r="H412" s="541"/>
    </row>
    <row r="413" spans="1:8">
      <c r="A413" s="541" t="s">
        <v>920</v>
      </c>
      <c r="B413" s="541"/>
      <c r="C413" s="541"/>
      <c r="D413" s="541"/>
      <c r="E413" s="541"/>
      <c r="F413" s="541"/>
      <c r="G413" s="541"/>
      <c r="H413" s="541"/>
    </row>
    <row r="414" spans="1:8">
      <c r="A414" s="541"/>
      <c r="B414" s="541"/>
      <c r="C414" s="541"/>
      <c r="D414" s="541"/>
      <c r="E414" s="541"/>
      <c r="F414" s="541"/>
      <c r="G414" s="541"/>
      <c r="H414" s="541"/>
    </row>
    <row r="415" spans="1:8">
      <c r="A415" s="541" t="s">
        <v>921</v>
      </c>
      <c r="B415" s="541"/>
      <c r="C415" s="541"/>
      <c r="D415" s="541"/>
      <c r="E415" s="541"/>
      <c r="F415" s="541"/>
      <c r="G415" s="541"/>
      <c r="H415" s="541"/>
    </row>
    <row r="416" spans="1:8">
      <c r="A416" s="541" t="s">
        <v>922</v>
      </c>
      <c r="B416" s="541"/>
      <c r="C416" s="541"/>
      <c r="D416" s="541"/>
      <c r="E416" s="541"/>
      <c r="F416" s="541"/>
      <c r="G416" s="541"/>
      <c r="H416" s="541"/>
    </row>
    <row r="417" spans="1:8">
      <c r="A417" s="541" t="s">
        <v>923</v>
      </c>
      <c r="B417" s="541"/>
      <c r="C417" s="541"/>
      <c r="D417" s="541"/>
      <c r="E417" s="541"/>
      <c r="F417" s="541"/>
      <c r="G417" s="541"/>
      <c r="H417" s="541"/>
    </row>
    <row r="418" spans="1:8">
      <c r="A418" s="541" t="s">
        <v>924</v>
      </c>
      <c r="B418" s="541"/>
      <c r="C418" s="541"/>
      <c r="D418" s="541"/>
      <c r="E418" s="541"/>
      <c r="F418" s="541"/>
      <c r="G418" s="541"/>
      <c r="H418" s="541"/>
    </row>
    <row r="419" spans="1:8">
      <c r="A419" s="541"/>
      <c r="B419" s="541"/>
      <c r="C419" s="541"/>
      <c r="D419" s="541"/>
      <c r="E419" s="541"/>
      <c r="F419" s="541"/>
      <c r="G419" s="541"/>
      <c r="H419" s="541"/>
    </row>
    <row r="420" spans="1:8">
      <c r="A420" s="541" t="s">
        <v>925</v>
      </c>
      <c r="B420" s="541"/>
      <c r="C420" s="541"/>
      <c r="D420" s="541"/>
      <c r="E420" s="541"/>
      <c r="F420" s="541"/>
      <c r="G420" s="541"/>
      <c r="H420" s="541"/>
    </row>
    <row r="421" spans="1:8">
      <c r="A421" s="541" t="s">
        <v>926</v>
      </c>
      <c r="B421" s="541"/>
      <c r="C421" s="541"/>
      <c r="D421" s="541"/>
      <c r="E421" s="541"/>
      <c r="F421" s="541"/>
      <c r="G421" s="541"/>
      <c r="H421" s="541"/>
    </row>
    <row r="422" spans="1:8">
      <c r="A422" s="541"/>
      <c r="B422" s="541"/>
      <c r="C422" s="541"/>
      <c r="D422" s="541"/>
      <c r="E422" s="541"/>
      <c r="F422" s="541"/>
      <c r="G422" s="541"/>
      <c r="H422" s="541"/>
    </row>
    <row r="423" spans="1:8">
      <c r="A423" s="541" t="s">
        <v>927</v>
      </c>
      <c r="B423" s="541"/>
      <c r="C423" s="541"/>
      <c r="D423" s="541"/>
      <c r="E423" s="541"/>
      <c r="F423" s="541"/>
      <c r="G423" s="541"/>
      <c r="H423" s="541"/>
    </row>
    <row r="424" spans="1:8">
      <c r="A424" s="541" t="s">
        <v>928</v>
      </c>
      <c r="B424" s="541"/>
      <c r="C424" s="541"/>
      <c r="D424" s="541"/>
      <c r="E424" s="541"/>
      <c r="F424" s="541"/>
      <c r="G424" s="541"/>
      <c r="H424" s="541"/>
    </row>
    <row r="425" spans="1:8">
      <c r="A425" s="541" t="s">
        <v>929</v>
      </c>
      <c r="B425" s="541"/>
      <c r="C425" s="541"/>
      <c r="D425" s="541"/>
      <c r="E425" s="541"/>
      <c r="F425" s="541"/>
      <c r="G425" s="541"/>
      <c r="H425" s="541"/>
    </row>
    <row r="426" spans="1:8">
      <c r="A426" s="541" t="s">
        <v>930</v>
      </c>
      <c r="B426" s="541"/>
      <c r="C426" s="541"/>
      <c r="D426" s="541"/>
      <c r="E426" s="541"/>
      <c r="F426" s="541"/>
      <c r="G426" s="541"/>
      <c r="H426" s="541"/>
    </row>
    <row r="428" spans="1:8">
      <c r="A428" s="369" t="s">
        <v>931</v>
      </c>
    </row>
  </sheetData>
  <mergeCells count="3">
    <mergeCell ref="B126:C126"/>
    <mergeCell ref="D126:F126"/>
    <mergeCell ref="G126:H12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CC"/>
    <pageSetUpPr fitToPage="1"/>
  </sheetPr>
  <dimension ref="A3:AO210"/>
  <sheetViews>
    <sheetView zoomScaleNormal="100" zoomScaleSheetLayoutView="100" workbookViewId="0">
      <selection activeCell="AG22" sqref="AG22"/>
    </sheetView>
  </sheetViews>
  <sheetFormatPr defaultColWidth="9.109375" defaultRowHeight="10.199999999999999" outlineLevelCol="1"/>
  <cols>
    <col min="1" max="1" width="2.44140625" style="7" customWidth="1"/>
    <col min="2" max="2" width="23.44140625" style="110" customWidth="1"/>
    <col min="3" max="7" width="8.6640625" style="110" hidden="1" customWidth="1" outlineLevel="1"/>
    <col min="8" max="8" width="8.6640625" style="110" hidden="1" customWidth="1" collapsed="1"/>
    <col min="9" max="9" width="8.6640625" style="110" hidden="1" customWidth="1"/>
    <col min="10" max="14" width="8.6640625" style="110" customWidth="1"/>
    <col min="15" max="15" width="2.5546875" style="7" customWidth="1"/>
    <col min="16" max="16" width="26.33203125" style="110" customWidth="1"/>
    <col min="17" max="17" width="11.109375" style="110" hidden="1" customWidth="1" outlineLevel="1"/>
    <col min="18" max="19" width="9.33203125" style="110" hidden="1" customWidth="1" outlineLevel="1"/>
    <col min="20" max="21" width="7.88671875" style="110" hidden="1" customWidth="1" outlineLevel="1"/>
    <col min="22" max="22" width="7.88671875" style="110" hidden="1" customWidth="1" collapsed="1"/>
    <col min="23" max="23" width="7.88671875" style="110" hidden="1" customWidth="1"/>
    <col min="24" max="25" width="7.88671875" style="110" customWidth="1"/>
    <col min="26" max="26" width="6.5546875" style="7" customWidth="1"/>
    <col min="27" max="28" width="7" style="7" customWidth="1"/>
    <col min="29" max="29" width="6" style="7" customWidth="1"/>
    <col min="30" max="30" width="11.33203125" style="7" customWidth="1"/>
    <col min="31" max="31" width="9.5546875" style="7" customWidth="1"/>
    <col min="32" max="34" width="9.109375" style="6"/>
    <col min="35" max="36" width="0" style="6" hidden="1" customWidth="1"/>
    <col min="37" max="37" width="14.5546875" style="6" hidden="1" customWidth="1"/>
    <col min="38" max="16384" width="9.109375" style="6"/>
  </cols>
  <sheetData>
    <row r="3" spans="2:41">
      <c r="H3" s="111"/>
    </row>
    <row r="4" spans="2:41">
      <c r="B4" s="112" t="str">
        <f ca="1">+"Reece Ltd - Financial Summary" &amp; "  (" &amp; TEXT("PT",3) &amp; ":" &amp; TEXT(AE9,"$0.00") &amp; ")"</f>
        <v>Reece Ltd - Financial Summary  (PT:$16.00)</v>
      </c>
      <c r="C4" s="112"/>
      <c r="D4" s="7"/>
      <c r="E4" s="7"/>
      <c r="F4" s="7"/>
      <c r="G4" s="7"/>
      <c r="H4" s="7"/>
    </row>
    <row r="5" spans="2:41">
      <c r="B5" s="4"/>
      <c r="C5" s="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V5" s="7"/>
      <c r="W5" s="113"/>
      <c r="X5" s="113"/>
      <c r="Y5" s="113"/>
      <c r="Z5" s="113"/>
      <c r="AA5" s="113"/>
      <c r="AB5" s="113"/>
      <c r="AC5" s="113"/>
      <c r="AD5" s="113"/>
    </row>
    <row r="6" spans="2:41">
      <c r="B6" s="114" t="s">
        <v>272</v>
      </c>
      <c r="C6" s="115" t="s">
        <v>418</v>
      </c>
      <c r="D6" s="115" t="s">
        <v>494</v>
      </c>
      <c r="E6" s="115" t="s">
        <v>417</v>
      </c>
      <c r="F6" s="115" t="s">
        <v>442</v>
      </c>
      <c r="G6" s="115" t="s">
        <v>552</v>
      </c>
      <c r="H6" s="115" t="s">
        <v>559</v>
      </c>
      <c r="I6" s="115" t="s">
        <v>560</v>
      </c>
      <c r="J6" s="115" t="s">
        <v>561</v>
      </c>
      <c r="K6" s="115" t="s">
        <v>593</v>
      </c>
      <c r="L6" s="115" t="s">
        <v>518</v>
      </c>
      <c r="M6" s="115" t="s">
        <v>519</v>
      </c>
      <c r="N6" s="115" t="s">
        <v>583</v>
      </c>
      <c r="P6" s="114" t="s">
        <v>320</v>
      </c>
      <c r="Q6" s="114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 t="s">
        <v>273</v>
      </c>
      <c r="AC6" s="116"/>
      <c r="AD6" s="117" t="s">
        <v>274</v>
      </c>
      <c r="AE6" s="118">
        <f ca="1">TODAY()</f>
        <v>46051</v>
      </c>
    </row>
    <row r="7" spans="2:41">
      <c r="B7" s="119" t="s">
        <v>181</v>
      </c>
      <c r="C7" s="355">
        <f>+'BS, CF and P&amp;L'!Z11</f>
        <v>2429.3069999999998</v>
      </c>
      <c r="D7" s="355">
        <f>+'BS, CF and P&amp;L'!AC11</f>
        <v>2688.576</v>
      </c>
      <c r="E7" s="355">
        <f>+'BS, CF and P&amp;L'!AF11</f>
        <v>5470.4459999999999</v>
      </c>
      <c r="F7" s="355">
        <f>+'BS, CF and P&amp;L'!AI11</f>
        <v>6013.741</v>
      </c>
      <c r="G7" s="355">
        <f>+'BS, CF and P&amp;L'!AL11</f>
        <v>6270.7060000000001</v>
      </c>
      <c r="H7" s="355">
        <f>+'BS, CF and P&amp;L'!AO11</f>
        <v>7654</v>
      </c>
      <c r="I7" s="355">
        <f>+'BS, CF and P&amp;L'!AR11</f>
        <v>8839.6810000000005</v>
      </c>
      <c r="J7" s="355">
        <f>+'BS, CF and P&amp;L'!AU11</f>
        <v>9105</v>
      </c>
      <c r="K7" s="355">
        <f>+'BS, CF and P&amp;L'!AX11</f>
        <v>8978.0450000000001</v>
      </c>
      <c r="L7" s="355">
        <f>+'BS, CF and P&amp;L'!BA11</f>
        <v>9329.1410290115891</v>
      </c>
      <c r="M7" s="355">
        <f>+'BS, CF and P&amp;L'!BD11</f>
        <v>9741.3387498783577</v>
      </c>
      <c r="N7" s="355">
        <f>+'BS, CF and P&amp;L'!BG11</f>
        <v>10244.126855826795</v>
      </c>
      <c r="P7" s="172">
        <f ca="1">+AE6</f>
        <v>46051</v>
      </c>
      <c r="Q7" s="7"/>
      <c r="AB7" s="120">
        <f>AE7</f>
        <v>13.73</v>
      </c>
      <c r="AC7" s="43"/>
      <c r="AD7" s="117" t="s">
        <v>276</v>
      </c>
      <c r="AE7" s="366">
        <v>13.73</v>
      </c>
    </row>
    <row r="8" spans="2:41">
      <c r="B8" s="110" t="s">
        <v>182</v>
      </c>
      <c r="C8" s="353">
        <f>+'BS, CF and P&amp;L'!Z27</f>
        <v>358.904</v>
      </c>
      <c r="D8" s="353">
        <f>+'BS, CF and P&amp;L'!AC27</f>
        <v>378.32299999999998</v>
      </c>
      <c r="E8" s="353">
        <f>+'BS, CF and P&amp;L'!AF27</f>
        <v>521.94999999999993</v>
      </c>
      <c r="F8" s="353">
        <f>+'BS, CF and P&amp;L'!AI27</f>
        <v>649.60400000000004</v>
      </c>
      <c r="G8" s="353">
        <f>+'BS, CF and P&amp;L'!AL27</f>
        <v>720.11800000000005</v>
      </c>
      <c r="H8" s="353">
        <f>+'BS, CF and P&amp;L'!AO27</f>
        <v>820.03899999999999</v>
      </c>
      <c r="I8" s="353">
        <f>+'BS, CF and P&amp;L'!AR27</f>
        <v>958.26</v>
      </c>
      <c r="J8" s="353">
        <f>+'BS, CF and P&amp;L'!AU27</f>
        <v>1006.722</v>
      </c>
      <c r="K8" s="353">
        <f>+'BS, CF and P&amp;L'!AX27</f>
        <v>900.197</v>
      </c>
      <c r="L8" s="353">
        <f>+'BS, CF and P&amp;L'!BA27</f>
        <v>887.08249374861384</v>
      </c>
      <c r="M8" s="353">
        <f>+'BS, CF and P&amp;L'!BD27</f>
        <v>982.94724295849858</v>
      </c>
      <c r="N8" s="353">
        <f>+'BS, CF and P&amp;L'!BG27</f>
        <v>1080.0500978737095</v>
      </c>
      <c r="P8" s="110" t="s">
        <v>277</v>
      </c>
      <c r="AB8" s="120">
        <f ca="1">AE9</f>
        <v>16</v>
      </c>
      <c r="AC8" s="43"/>
      <c r="AD8" s="117"/>
      <c r="AE8" s="43"/>
    </row>
    <row r="9" spans="2:41">
      <c r="B9" s="110" t="s">
        <v>81</v>
      </c>
      <c r="C9" s="353">
        <f>+'BS, CF and P&amp;L'!Z23</f>
        <v>49.956000000000003</v>
      </c>
      <c r="D9" s="353">
        <f>+'BS, CF and P&amp;L'!AC23</f>
        <v>53.847000000000001</v>
      </c>
      <c r="E9" s="353">
        <f>+'BS, CF and P&amp;L'!AF23</f>
        <v>128.072</v>
      </c>
      <c r="F9" s="353">
        <f>+'BS, CF and P&amp;L'!AI23</f>
        <v>232.44799999999998</v>
      </c>
      <c r="G9" s="353">
        <f>+'BS, CF and P&amp;L'!AL23</f>
        <v>227.54599999999999</v>
      </c>
      <c r="H9" s="353">
        <f>+'BS, CF and P&amp;L'!AO23</f>
        <v>258.23099999999999</v>
      </c>
      <c r="I9" s="353">
        <f>+'BS, CF and P&amp;L'!AR23</f>
        <v>289.90500000000003</v>
      </c>
      <c r="J9" s="353">
        <f>+'BS, CF and P&amp;L'!AU23</f>
        <v>325.72199999999998</v>
      </c>
      <c r="K9" s="353">
        <f>+'BS, CF and P&amp;L'!AX23</f>
        <v>352.197</v>
      </c>
      <c r="L9" s="353">
        <f>+'BS, CF and P&amp;L'!BA23</f>
        <v>374.81162</v>
      </c>
      <c r="M9" s="353">
        <f>+'BS, CF and P&amp;L'!BD23</f>
        <v>387.40611469999999</v>
      </c>
      <c r="N9" s="353">
        <f>+'BS, CF and P&amp;L'!BG23</f>
        <v>400.44887279300002</v>
      </c>
      <c r="P9" s="119" t="s">
        <v>279</v>
      </c>
      <c r="Q9" s="119"/>
      <c r="AB9" s="360">
        <f ca="1">+AB8/AB7-1</f>
        <v>0.16533139111434814</v>
      </c>
      <c r="AC9" s="43"/>
      <c r="AD9" s="123" t="s">
        <v>278</v>
      </c>
      <c r="AE9" s="43">
        <f ca="1">Valuation!D12</f>
        <v>16</v>
      </c>
    </row>
    <row r="10" spans="2:41">
      <c r="B10" s="21" t="s">
        <v>183</v>
      </c>
      <c r="C10" s="356">
        <f>+'BS, CF and P&amp;L'!Z32</f>
        <v>308.94799999999998</v>
      </c>
      <c r="D10" s="356">
        <f>+'BS, CF and P&amp;L'!AC32</f>
        <v>324.476</v>
      </c>
      <c r="E10" s="356">
        <f>+'BS, CF and P&amp;L'!AF32</f>
        <v>393.87799999999993</v>
      </c>
      <c r="F10" s="356">
        <f>+'BS, CF and P&amp;L'!AI32</f>
        <v>417.15600000000006</v>
      </c>
      <c r="G10" s="356">
        <f>+'BS, CF and P&amp;L'!AL32</f>
        <v>492.57200000000006</v>
      </c>
      <c r="H10" s="356">
        <f>+'BS, CF and P&amp;L'!AO32</f>
        <v>561.80799999999999</v>
      </c>
      <c r="I10" s="356">
        <f>+'BS, CF and P&amp;L'!AR32</f>
        <v>667.73699999999997</v>
      </c>
      <c r="J10" s="356">
        <f>+'BS, CF and P&amp;L'!AU32</f>
        <v>681</v>
      </c>
      <c r="K10" s="356">
        <f>+'BS, CF and P&amp;L'!AX32</f>
        <v>548</v>
      </c>
      <c r="L10" s="356">
        <f>+'BS, CF and P&amp;L'!BA32</f>
        <v>512.27087374861389</v>
      </c>
      <c r="M10" s="356">
        <f>+'BS, CF and P&amp;L'!BD32</f>
        <v>595.54112825849847</v>
      </c>
      <c r="N10" s="356">
        <f>+'BS, CF and P&amp;L'!BG32</f>
        <v>679.60122508070958</v>
      </c>
      <c r="O10" s="165"/>
      <c r="P10" s="7" t="s">
        <v>280</v>
      </c>
      <c r="Q10" s="7"/>
      <c r="R10" s="7"/>
      <c r="S10" s="7"/>
      <c r="T10" s="7"/>
      <c r="U10" s="7"/>
      <c r="V10" s="7"/>
      <c r="AB10" s="361">
        <f ca="1">AB9+U34</f>
        <v>0.17844136926438456</v>
      </c>
      <c r="AC10" s="123"/>
    </row>
    <row r="11" spans="2:41">
      <c r="B11" s="110" t="s">
        <v>147</v>
      </c>
      <c r="C11" s="163">
        <f>+'BS, CF and P&amp;L'!Z39</f>
        <v>-5.9009999999999998</v>
      </c>
      <c r="D11" s="163">
        <f>+'BS, CF and P&amp;L'!AC39</f>
        <v>-5.0350000000000001</v>
      </c>
      <c r="E11" s="163">
        <f>+'BS, CF and P&amp;L'!AF39</f>
        <v>-59.356000000000002</v>
      </c>
      <c r="F11" s="163">
        <f>+'BS, CF and P&amp;L'!AI39</f>
        <v>-98.106999999999999</v>
      </c>
      <c r="G11" s="163">
        <f>+'BS, CF and P&amp;L'!AL39</f>
        <v>-112.28900000000002</v>
      </c>
      <c r="H11" s="163">
        <f>+'BS, CF and P&amp;L'!AO39</f>
        <v>-55.295334000000004</v>
      </c>
      <c r="I11" s="163">
        <f>+'BS, CF and P&amp;L'!AR39</f>
        <v>-86.265000000000001</v>
      </c>
      <c r="J11" s="163">
        <f>+'BS, CF and P&amp;L'!AU39</f>
        <v>-91.808999999999997</v>
      </c>
      <c r="K11" s="163">
        <f>+'BS, CF and P&amp;L'!AX39</f>
        <v>-97.614000000000004</v>
      </c>
      <c r="L11" s="163">
        <f>+'BS, CF and P&amp;L'!BA39</f>
        <v>-115.72357724715329</v>
      </c>
      <c r="M11" s="163">
        <f>+'BS, CF and P&amp;L'!BD39</f>
        <v>-111.23576935625226</v>
      </c>
      <c r="N11" s="163">
        <f>+'BS, CF and P&amp;L'!BG39</f>
        <v>-112.57752976472578</v>
      </c>
      <c r="P11" s="110" t="s">
        <v>282</v>
      </c>
      <c r="AB11" s="173">
        <f>Valuation!C45</f>
        <v>616.07824700000003</v>
      </c>
      <c r="AC11" s="41"/>
      <c r="AD11" s="528" t="s">
        <v>281</v>
      </c>
      <c r="AE11" s="528"/>
    </row>
    <row r="12" spans="2:41">
      <c r="B12" s="110" t="s">
        <v>224</v>
      </c>
      <c r="C12" s="353">
        <f>+'BS, CF and P&amp;L'!Z41</f>
        <v>303.04699999999997</v>
      </c>
      <c r="D12" s="353">
        <f>+'BS, CF and P&amp;L'!AC41</f>
        <v>319.44099999999997</v>
      </c>
      <c r="E12" s="353">
        <f>+'BS, CF and P&amp;L'!AF41</f>
        <v>334.52199999999993</v>
      </c>
      <c r="F12" s="353">
        <f>+'BS, CF and P&amp;L'!AI41</f>
        <v>319.04900000000009</v>
      </c>
      <c r="G12" s="353">
        <f>+'BS, CF and P&amp;L'!AL41</f>
        <v>380.28300000000002</v>
      </c>
      <c r="H12" s="353">
        <f>+'BS, CF and P&amp;L'!AO41</f>
        <v>506.51266599999997</v>
      </c>
      <c r="I12" s="353">
        <f>+'BS, CF and P&amp;L'!AR41</f>
        <v>581.47199999999998</v>
      </c>
      <c r="J12" s="353">
        <f>+'BS, CF and P&amp;L'!AU41</f>
        <v>589.19100000000003</v>
      </c>
      <c r="K12" s="353">
        <f>+'BS, CF and P&amp;L'!AX41</f>
        <v>450.38599999999997</v>
      </c>
      <c r="L12" s="353">
        <f>+'BS, CF and P&amp;L'!BA41</f>
        <v>396.54729650146061</v>
      </c>
      <c r="M12" s="353">
        <f>+'BS, CF and P&amp;L'!BD41</f>
        <v>484.30535890224621</v>
      </c>
      <c r="N12" s="353">
        <f>+'BS, CF and P&amp;L'!BG41</f>
        <v>567.02369531598379</v>
      </c>
      <c r="P12" s="110" t="s">
        <v>468</v>
      </c>
      <c r="AB12" s="362">
        <f>AB11*AB7</f>
        <v>8458.7543313100014</v>
      </c>
      <c r="AC12" s="22"/>
      <c r="AD12" s="529" t="str">
        <f>'BS, CF and P&amp;L'!B1</f>
        <v>&lt;-- Run cash balancer</v>
      </c>
      <c r="AE12" s="530"/>
    </row>
    <row r="13" spans="2:41" ht="12.75" customHeight="1">
      <c r="B13" s="110" t="s">
        <v>283</v>
      </c>
      <c r="C13" s="163">
        <f>+'BS, CF and P&amp;L'!Z42</f>
        <v>-92.187999999999974</v>
      </c>
      <c r="D13" s="163">
        <f>+'BS, CF and P&amp;L'!AC42</f>
        <v>-94.820999999999998</v>
      </c>
      <c r="E13" s="163">
        <f>+'BS, CF and P&amp;L'!AF42</f>
        <v>-96.521999999999935</v>
      </c>
      <c r="F13" s="163">
        <f>+'BS, CF and P&amp;L'!AI42</f>
        <v>-90.050000000000068</v>
      </c>
      <c r="G13" s="163">
        <f>+'BS, CF and P&amp;L'!AL42</f>
        <v>-94.688000000000002</v>
      </c>
      <c r="H13" s="163">
        <f>+'BS, CF and P&amp;L'!AO42</f>
        <v>-144.48400000000001</v>
      </c>
      <c r="I13" s="163">
        <f>+'BS, CF and P&amp;L'!AR42</f>
        <v>-176.916</v>
      </c>
      <c r="J13" s="163">
        <f>+'BS, CF and P&amp;L'!AU42</f>
        <v>-173.67300000000003</v>
      </c>
      <c r="K13" s="163">
        <f>+'BS, CF and P&amp;L'!AX42</f>
        <v>-110.81300000000002</v>
      </c>
      <c r="L13" s="163">
        <f>+'BS, CF and P&amp;L'!BA42</f>
        <v>-117.2263744752255</v>
      </c>
      <c r="M13" s="163">
        <f>+'BS, CF and P&amp;L'!BD42</f>
        <v>-142.66679600793344</v>
      </c>
      <c r="N13" s="163">
        <f>+'BS, CF and P&amp;L'!BG42</f>
        <v>-166.71612455317171</v>
      </c>
      <c r="AB13" s="110"/>
      <c r="AC13" s="126"/>
      <c r="AD13" s="529" t="str">
        <f>'BS, CF and P&amp;L'!B2</f>
        <v>Balancing error</v>
      </c>
      <c r="AE13" s="530"/>
    </row>
    <row r="14" spans="2:41">
      <c r="B14" s="21" t="s">
        <v>184</v>
      </c>
      <c r="C14" s="355">
        <f>+'BS, CF and P&amp;L'!Z44</f>
        <v>210.85900000000001</v>
      </c>
      <c r="D14" s="355">
        <f>+'BS, CF and P&amp;L'!AC44</f>
        <v>224.62</v>
      </c>
      <c r="E14" s="355">
        <f>+'BS, CF and P&amp;L'!AF44</f>
        <v>238</v>
      </c>
      <c r="F14" s="355">
        <f>+'BS, CF and P&amp;L'!AI44</f>
        <v>228.999</v>
      </c>
      <c r="G14" s="355">
        <f>+'BS, CF and P&amp;L'!AL44</f>
        <v>285.59500000000003</v>
      </c>
      <c r="H14" s="355">
        <f>+'BS, CF and P&amp;L'!AO44</f>
        <v>362.02866599999999</v>
      </c>
      <c r="I14" s="355">
        <f>+'BS, CF and P&amp;L'!AR44</f>
        <v>404.55599999999998</v>
      </c>
      <c r="J14" s="355">
        <f>+'BS, CF and P&amp;L'!AU44</f>
        <v>415.51799999999997</v>
      </c>
      <c r="K14" s="355">
        <f>+'BS, CF and P&amp;L'!AX44</f>
        <v>339.57299999999998</v>
      </c>
      <c r="L14" s="355">
        <f>+'BS, CF and P&amp;L'!BA44</f>
        <v>279.32092202623511</v>
      </c>
      <c r="M14" s="355">
        <f>+'BS, CF and P&amp;L'!BD44</f>
        <v>341.63856289431277</v>
      </c>
      <c r="N14" s="355">
        <f>+'BS, CF and P&amp;L'!BG44</f>
        <v>400.30757076281208</v>
      </c>
      <c r="P14" s="114" t="s">
        <v>321</v>
      </c>
      <c r="Q14" s="114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 t="s">
        <v>329</v>
      </c>
    </row>
    <row r="15" spans="2:41">
      <c r="B15" s="110" t="s">
        <v>284</v>
      </c>
      <c r="C15" s="163">
        <f>'BS, CF and P&amp;L'!Z47+'BS, CF and P&amp;L'!Z48</f>
        <v>0</v>
      </c>
      <c r="D15" s="163">
        <f>'BS, CF and P&amp;L'!AC47+'BS, CF and P&amp;L'!AC48</f>
        <v>0</v>
      </c>
      <c r="E15" s="163">
        <f>'BS, CF and P&amp;L'!AF47+'BS, CF and P&amp;L'!AF48</f>
        <v>-35.900000000000006</v>
      </c>
      <c r="F15" s="163">
        <f>'BS, CF and P&amp;L'!AI47+'BS, CF and P&amp;L'!AI48</f>
        <v>0</v>
      </c>
      <c r="G15" s="163">
        <f>'BS, CF and P&amp;L'!AL47+'BS, CF and P&amp;L'!AL48</f>
        <v>0</v>
      </c>
      <c r="H15" s="163">
        <f>'BS, CF and P&amp;L'!AO47+'BS, CF and P&amp;L'!AO48</f>
        <v>30</v>
      </c>
      <c r="I15" s="163">
        <f>'BS, CF and P&amp;L'!AR47+'BS, CF and P&amp;L'!AR48</f>
        <v>-16.948999999999984</v>
      </c>
      <c r="J15" s="163">
        <f>'BS, CF and P&amp;L'!AU47+'BS, CF and P&amp;L'!AU48</f>
        <v>3.65300000000002</v>
      </c>
      <c r="K15" s="163">
        <f>'BS, CF and P&amp;L'!AX47+'BS, CF and P&amp;L'!AX48</f>
        <v>-22.635999999999967</v>
      </c>
      <c r="L15" s="163">
        <f>'BS, CF and P&amp;L'!BA47+'BS, CF and P&amp;L'!BA48</f>
        <v>0</v>
      </c>
      <c r="M15" s="163">
        <f>'BS, CF and P&amp;L'!BD47+'BS, CF and P&amp;L'!BD48</f>
        <v>0</v>
      </c>
      <c r="N15" s="163">
        <f>'BS, CF and P&amp;L'!BG47+'BS, CF and P&amp;L'!BG48</f>
        <v>0</v>
      </c>
      <c r="P15" s="110" t="s">
        <v>53</v>
      </c>
      <c r="AB15" s="127">
        <f ca="1">Valuation!D8</f>
        <v>16.939674938565958</v>
      </c>
      <c r="AC15" s="116"/>
      <c r="AD15" s="116"/>
    </row>
    <row r="16" spans="2:41">
      <c r="B16" s="119" t="s">
        <v>476</v>
      </c>
      <c r="C16" s="357">
        <f t="shared" ref="C16:I16" si="0">C14+C15</f>
        <v>210.85900000000001</v>
      </c>
      <c r="D16" s="357">
        <f t="shared" si="0"/>
        <v>224.62</v>
      </c>
      <c r="E16" s="357">
        <f>E14+E15</f>
        <v>202.1</v>
      </c>
      <c r="F16" s="357">
        <f t="shared" si="0"/>
        <v>228.999</v>
      </c>
      <c r="G16" s="357">
        <f t="shared" si="0"/>
        <v>285.59500000000003</v>
      </c>
      <c r="H16" s="357">
        <f t="shared" si="0"/>
        <v>392.02866599999999</v>
      </c>
      <c r="I16" s="357">
        <f t="shared" si="0"/>
        <v>387.60699999999997</v>
      </c>
      <c r="J16" s="357">
        <f>J14+J15</f>
        <v>419.17099999999999</v>
      </c>
      <c r="K16" s="357">
        <f>K14+K15</f>
        <v>316.93700000000001</v>
      </c>
      <c r="L16" s="357">
        <f>L14+L15</f>
        <v>279.32092202623511</v>
      </c>
      <c r="M16" s="357">
        <f t="shared" ref="M16:N16" si="1">M14+M15</f>
        <v>341.63856289431277</v>
      </c>
      <c r="N16" s="357">
        <f t="shared" si="1"/>
        <v>400.30757076281208</v>
      </c>
      <c r="P16" s="110" t="s">
        <v>285</v>
      </c>
      <c r="AB16" s="127">
        <f>Valuation!D7</f>
        <v>14.373615029164611</v>
      </c>
      <c r="AC16" s="128"/>
      <c r="AD16" s="128"/>
      <c r="AL16" s="3"/>
      <c r="AM16" s="3"/>
      <c r="AN16" s="3"/>
      <c r="AO16" s="3"/>
    </row>
    <row r="17" spans="2:41">
      <c r="B17" s="119" t="s">
        <v>286</v>
      </c>
      <c r="C17" s="121">
        <f>+'BS, CF and P&amp;L'!Z238</f>
        <v>42.34116465863454</v>
      </c>
      <c r="D17" s="121">
        <f>+'BS, CF and P&amp;L'!AC238</f>
        <v>44.626253635742323</v>
      </c>
      <c r="E17" s="121">
        <f>+'BS, CF and P&amp;L'!AF238</f>
        <v>36.036334503521616</v>
      </c>
      <c r="F17" s="121">
        <f>+'BS, CF and P&amp;L'!AI238</f>
        <v>39.886818481089385</v>
      </c>
      <c r="G17" s="121">
        <f>+'BS, CF and P&amp;L'!AL238</f>
        <v>44.21084732748799</v>
      </c>
      <c r="H17" s="121">
        <f>+'BS, CF and P&amp;L'!AO238</f>
        <v>60.687038093274914</v>
      </c>
      <c r="I17" s="121">
        <f>+'BS, CF and P&amp;L'!AR238</f>
        <v>60.027008568716212</v>
      </c>
      <c r="J17" s="121">
        <f>+'BS, CF and P&amp;L'!AU238</f>
        <v>64.91518782879912</v>
      </c>
      <c r="K17" s="121">
        <f>+'BS, CF and P&amp;L'!AX238</f>
        <v>49.200373810883981</v>
      </c>
      <c r="L17" s="121">
        <f>+'BS, CF and P&amp;L'!BA238</f>
        <v>44.327709696856921</v>
      </c>
      <c r="M17" s="121">
        <f>+'BS, CF and P&amp;L'!BD238</f>
        <v>55.453761686591861</v>
      </c>
      <c r="N17" s="121">
        <f>+'BS, CF and P&amp;L'!BG238</f>
        <v>64.976741625290984</v>
      </c>
      <c r="P17" s="119" t="s">
        <v>287</v>
      </c>
      <c r="Q17" s="119"/>
      <c r="AB17" s="129">
        <f ca="1">AVERAGE(AB15:AB16)</f>
        <v>15.656644983865284</v>
      </c>
      <c r="AC17" s="128"/>
      <c r="AD17" s="128"/>
      <c r="AL17" s="65"/>
      <c r="AM17" s="65"/>
      <c r="AN17" s="65"/>
      <c r="AO17" s="65"/>
    </row>
    <row r="18" spans="2:41">
      <c r="B18" s="110" t="s">
        <v>180</v>
      </c>
      <c r="C18" s="121">
        <f>+'BS, CF and P&amp;L'!Z246</f>
        <v>20</v>
      </c>
      <c r="D18" s="121">
        <f>+'BS, CF and P&amp;L'!AC246</f>
        <v>20.25</v>
      </c>
      <c r="E18" s="121">
        <f>+'BS, CF and P&amp;L'!AF246</f>
        <v>20.25</v>
      </c>
      <c r="F18" s="121">
        <f>+'BS, CF and P&amp;L'!AI246</f>
        <v>12</v>
      </c>
      <c r="G18" s="121">
        <f>+'BS, CF and P&amp;L'!AL246</f>
        <v>18</v>
      </c>
      <c r="H18" s="121">
        <f>+'BS, CF and P&amp;L'!AO246</f>
        <v>21.5</v>
      </c>
      <c r="I18" s="121">
        <f>+'BS, CF and P&amp;L'!AR246</f>
        <v>25</v>
      </c>
      <c r="J18" s="121">
        <f>+'BS, CF and P&amp;L'!AU246</f>
        <v>25.75</v>
      </c>
      <c r="K18" s="121">
        <f>+'BS, CF and P&amp;L'!AX246</f>
        <v>18.36</v>
      </c>
      <c r="L18" s="121">
        <f>+'BS, CF and P&amp;L'!BA246</f>
        <v>16</v>
      </c>
      <c r="M18" s="121">
        <f>+'BS, CF and P&amp;L'!BD246</f>
        <v>19</v>
      </c>
      <c r="N18" s="121">
        <f>+'BS, CF and P&amp;L'!BG246</f>
        <v>24</v>
      </c>
      <c r="P18" s="130" t="s">
        <v>288</v>
      </c>
      <c r="Q18" s="130"/>
      <c r="AB18" s="131">
        <f>Valuation!D10</f>
        <v>0</v>
      </c>
      <c r="AC18" s="128"/>
      <c r="AD18" s="128"/>
    </row>
    <row r="19" spans="2:41">
      <c r="B19" s="110" t="s">
        <v>289</v>
      </c>
      <c r="C19" s="135">
        <f>+'BS, CF and P&amp;L'!Z259</f>
        <v>1</v>
      </c>
      <c r="D19" s="135">
        <f>+'BS, CF and P&amp;L'!AC259</f>
        <v>1</v>
      </c>
      <c r="E19" s="135">
        <f>+'BS, CF and P&amp;L'!AF259</f>
        <v>1</v>
      </c>
      <c r="F19" s="135">
        <f>+'BS, CF and P&amp;L'!AI259</f>
        <v>1</v>
      </c>
      <c r="G19" s="135">
        <f>+'BS, CF and P&amp;L'!AL259</f>
        <v>1</v>
      </c>
      <c r="H19" s="135">
        <f>+'BS, CF and P&amp;L'!AO259</f>
        <v>1</v>
      </c>
      <c r="I19" s="135">
        <f>+'BS, CF and P&amp;L'!AR259</f>
        <v>1</v>
      </c>
      <c r="J19" s="135">
        <f>+'BS, CF and P&amp;L'!AU259</f>
        <v>1</v>
      </c>
      <c r="K19" s="135">
        <f>+'BS, CF and P&amp;L'!AX259</f>
        <v>1</v>
      </c>
      <c r="L19" s="135">
        <f>+'BS, CF and P&amp;L'!BA259</f>
        <v>1</v>
      </c>
      <c r="M19" s="135">
        <f>+'BS, CF and P&amp;L'!BD259</f>
        <v>1</v>
      </c>
      <c r="N19" s="135">
        <f>+'BS, CF and P&amp;L'!BG259</f>
        <v>1</v>
      </c>
      <c r="O19" s="22"/>
      <c r="P19" s="133" t="s">
        <v>477</v>
      </c>
      <c r="Q19" s="133"/>
      <c r="AB19" s="222">
        <f ca="1">+Valuation!C20</f>
        <v>16</v>
      </c>
      <c r="AC19" s="132"/>
      <c r="AD19" s="132"/>
    </row>
    <row r="20" spans="2:41">
      <c r="P20" s="134" t="s">
        <v>275</v>
      </c>
      <c r="Q20" s="134"/>
      <c r="AB20" s="120">
        <f>AB7</f>
        <v>13.73</v>
      </c>
    </row>
    <row r="21" spans="2:41">
      <c r="P21" s="134" t="s">
        <v>291</v>
      </c>
      <c r="Q21" s="134"/>
      <c r="AB21" s="131">
        <f ca="1">AB9</f>
        <v>0.16533139111434814</v>
      </c>
    </row>
    <row r="22" spans="2:41">
      <c r="B22" s="114" t="s">
        <v>294</v>
      </c>
      <c r="C22" s="115" t="str">
        <f t="shared" ref="C22:I22" si="2">C$6</f>
        <v>FY17A</v>
      </c>
      <c r="D22" s="115" t="str">
        <f t="shared" si="2"/>
        <v>FY18A</v>
      </c>
      <c r="E22" s="115" t="str">
        <f t="shared" si="2"/>
        <v>FY19A</v>
      </c>
      <c r="F22" s="115" t="str">
        <f t="shared" si="2"/>
        <v>FY20A</v>
      </c>
      <c r="G22" s="115" t="str">
        <f t="shared" si="2"/>
        <v>FY21A</v>
      </c>
      <c r="H22" s="115" t="str">
        <f t="shared" si="2"/>
        <v>FY22A</v>
      </c>
      <c r="I22" s="115" t="str">
        <f t="shared" si="2"/>
        <v>FY23A</v>
      </c>
      <c r="J22" s="115" t="str">
        <f>J$6</f>
        <v>FY24A</v>
      </c>
      <c r="K22" s="115" t="str">
        <f>K$6</f>
        <v>FY25A</v>
      </c>
      <c r="L22" s="115" t="str">
        <f>L$6</f>
        <v>FY26E</v>
      </c>
      <c r="M22" s="115" t="str">
        <f t="shared" ref="M22:N22" si="3">M$6</f>
        <v>FY27E</v>
      </c>
      <c r="N22" s="115" t="str">
        <f t="shared" si="3"/>
        <v>FY28E</v>
      </c>
      <c r="P22" s="110" t="s">
        <v>292</v>
      </c>
      <c r="AB22" s="41">
        <f>Y34</f>
        <v>1.3372177713037144E-2</v>
      </c>
    </row>
    <row r="23" spans="2:41">
      <c r="B23" s="7" t="s">
        <v>295</v>
      </c>
      <c r="C23" s="353">
        <f>+'BS, CF and P&amp;L'!Z77</f>
        <v>358.904</v>
      </c>
      <c r="D23" s="353">
        <f>+'BS, CF and P&amp;L'!AC77</f>
        <v>378.32299999999998</v>
      </c>
      <c r="E23" s="353">
        <f>+'BS, CF and P&amp;L'!AF77</f>
        <v>521.94999999999993</v>
      </c>
      <c r="F23" s="353">
        <f>+'BS, CF and P&amp;L'!AI77</f>
        <v>649.60400000000004</v>
      </c>
      <c r="G23" s="353">
        <f>+'BS, CF and P&amp;L'!AL77</f>
        <v>720.11800000000005</v>
      </c>
      <c r="H23" s="353">
        <f>+'BS, CF and P&amp;L'!AO77</f>
        <v>850.03899999999999</v>
      </c>
      <c r="I23" s="353">
        <f>+'BS, CF and P&amp;L'!AR77</f>
        <v>941.31100000000004</v>
      </c>
      <c r="J23" s="353">
        <f>+'BS, CF and P&amp;L'!AU77</f>
        <v>1010.375</v>
      </c>
      <c r="K23" s="353">
        <f>+'BS, CF and P&amp;L'!AX77</f>
        <v>877.56100000000004</v>
      </c>
      <c r="L23" s="353">
        <f>+'BS, CF and P&amp;L'!BA77</f>
        <v>887.08249374861384</v>
      </c>
      <c r="M23" s="353">
        <f>+'BS, CF and P&amp;L'!BD77</f>
        <v>982.94724295849846</v>
      </c>
      <c r="N23" s="353">
        <f>+'BS, CF and P&amp;L'!BG77</f>
        <v>1080.0500978737095</v>
      </c>
      <c r="P23" s="119" t="s">
        <v>293</v>
      </c>
      <c r="Q23" s="119"/>
      <c r="AB23" s="363">
        <f ca="1">AB21+AB22</f>
        <v>0.17870356882738528</v>
      </c>
      <c r="AH23" s="92"/>
    </row>
    <row r="24" spans="2:41">
      <c r="B24" s="110" t="s">
        <v>296</v>
      </c>
      <c r="C24" s="163">
        <f>+'BS, CF and P&amp;L'!Z78</f>
        <v>-5.3070000000000004</v>
      </c>
      <c r="D24" s="163">
        <f>+'BS, CF and P&amp;L'!AC78</f>
        <v>-3.766</v>
      </c>
      <c r="E24" s="163">
        <f>+'BS, CF and P&amp;L'!AF78</f>
        <v>-80.739000000000004</v>
      </c>
      <c r="F24" s="163">
        <f>+'BS, CF and P&amp;L'!AI78</f>
        <v>-82.891000000000005</v>
      </c>
      <c r="G24" s="163">
        <f>+'BS, CF and P&amp;L'!AL78</f>
        <v>-72.691999999999993</v>
      </c>
      <c r="H24" s="163">
        <f>+'BS, CF and P&amp;L'!AO78</f>
        <v>-63.295000000000002</v>
      </c>
      <c r="I24" s="163">
        <f>+'BS, CF and P&amp;L'!AR78</f>
        <v>-86.265000000000001</v>
      </c>
      <c r="J24" s="163">
        <f>+'BS, CF and P&amp;L'!AU78</f>
        <v>-91.808999999999997</v>
      </c>
      <c r="K24" s="163">
        <f>+'BS, CF and P&amp;L'!AX78</f>
        <v>-93.301000000000002</v>
      </c>
      <c r="L24" s="163">
        <f>+'BS, CF and P&amp;L'!BA78</f>
        <v>-115.72357724715329</v>
      </c>
      <c r="M24" s="163">
        <f>+'BS, CF and P&amp;L'!BD78</f>
        <v>-111.23576935625226</v>
      </c>
      <c r="N24" s="163">
        <f>+'BS, CF and P&amp;L'!BG78</f>
        <v>-112.57752976472578</v>
      </c>
    </row>
    <row r="25" spans="2:41">
      <c r="B25" s="110" t="s">
        <v>297</v>
      </c>
      <c r="C25" s="163">
        <f>+'BS, CF and P&amp;L'!Z79</f>
        <v>-97.715000000000003</v>
      </c>
      <c r="D25" s="163">
        <f>+'BS, CF and P&amp;L'!AC79</f>
        <v>-108.54600000000001</v>
      </c>
      <c r="E25" s="163">
        <f>+'BS, CF and P&amp;L'!AF79</f>
        <v>-92.350999999999999</v>
      </c>
      <c r="F25" s="163">
        <f>+'BS, CF and P&amp;L'!AI79</f>
        <v>-89.736999999999995</v>
      </c>
      <c r="G25" s="163">
        <f>+'BS, CF and P&amp;L'!AL79</f>
        <v>-119.274</v>
      </c>
      <c r="H25" s="163">
        <f>+'BS, CF and P&amp;L'!AO79</f>
        <v>-144.31</v>
      </c>
      <c r="I25" s="163">
        <f>+'BS, CF and P&amp;L'!AR79</f>
        <v>-200.1</v>
      </c>
      <c r="J25" s="163">
        <f>+'BS, CF and P&amp;L'!AU79</f>
        <v>-193.887</v>
      </c>
      <c r="K25" s="163">
        <f>+'BS, CF and P&amp;L'!AX79</f>
        <v>-145.93100000000001</v>
      </c>
      <c r="L25" s="163">
        <f>+'BS, CF and P&amp;L'!BA79</f>
        <v>-117.2263744752255</v>
      </c>
      <c r="M25" s="163">
        <f>+'BS, CF and P&amp;L'!BD79</f>
        <v>-142.66679600793344</v>
      </c>
      <c r="N25" s="163">
        <f>+'BS, CF and P&amp;L'!BG79</f>
        <v>-166.71612455317171</v>
      </c>
      <c r="P25" s="114" t="s">
        <v>322</v>
      </c>
      <c r="Q25" s="115" t="str">
        <f t="shared" ref="Q25:AB25" si="4">C$6</f>
        <v>FY17A</v>
      </c>
      <c r="R25" s="115" t="str">
        <f t="shared" si="4"/>
        <v>FY18A</v>
      </c>
      <c r="S25" s="115" t="str">
        <f t="shared" si="4"/>
        <v>FY19A</v>
      </c>
      <c r="T25" s="115" t="str">
        <f t="shared" si="4"/>
        <v>FY20A</v>
      </c>
      <c r="U25" s="115" t="str">
        <f t="shared" si="4"/>
        <v>FY21A</v>
      </c>
      <c r="V25" s="115" t="str">
        <f t="shared" si="4"/>
        <v>FY22A</v>
      </c>
      <c r="W25" s="115" t="str">
        <f t="shared" si="4"/>
        <v>FY23A</v>
      </c>
      <c r="X25" s="115" t="str">
        <f t="shared" si="4"/>
        <v>FY24A</v>
      </c>
      <c r="Y25" s="115" t="str">
        <f t="shared" si="4"/>
        <v>FY25A</v>
      </c>
      <c r="Z25" s="115" t="str">
        <f t="shared" si="4"/>
        <v>FY26E</v>
      </c>
      <c r="AA25" s="115" t="str">
        <f t="shared" si="4"/>
        <v>FY27E</v>
      </c>
      <c r="AB25" s="115" t="str">
        <f t="shared" si="4"/>
        <v>FY28E</v>
      </c>
      <c r="AD25" s="6"/>
      <c r="AE25" s="6"/>
    </row>
    <row r="26" spans="2:41">
      <c r="B26" s="110" t="s">
        <v>198</v>
      </c>
      <c r="C26" s="163">
        <f>+'BS, CF and P&amp;L'!Z80</f>
        <v>28.25099999999992</v>
      </c>
      <c r="D26" s="163">
        <f>+'BS, CF and P&amp;L'!AC80</f>
        <v>-112.70700000000011</v>
      </c>
      <c r="E26" s="163">
        <f>+'BS, CF and P&amp;L'!AF80</f>
        <v>-554.40200000000004</v>
      </c>
      <c r="F26" s="163">
        <f>+'BS, CF and P&amp;L'!AI80</f>
        <v>24.980999999999767</v>
      </c>
      <c r="G26" s="163">
        <f>+'BS, CF and P&amp;L'!AL80</f>
        <v>-91.968999999999824</v>
      </c>
      <c r="H26" s="163">
        <f>+'BS, CF and P&amp;L'!AO80</f>
        <v>-481.80899999999974</v>
      </c>
      <c r="I26" s="163">
        <f>+'BS, CF and P&amp;L'!AR80</f>
        <v>14.529999999999745</v>
      </c>
      <c r="J26" s="163">
        <f>+'BS, CF and P&amp;L'!AU80</f>
        <v>40.154000000000451</v>
      </c>
      <c r="K26" s="163">
        <f>+'BS, CF and P&amp;L'!AX80</f>
        <v>-111.03000000000065</v>
      </c>
      <c r="L26" s="163">
        <f>+'BS, CF and P&amp;L'!BA80</f>
        <v>-87.185991059052412</v>
      </c>
      <c r="M26" s="163">
        <f>+'BS, CF and P&amp;L'!BD80</f>
        <v>-108.51473304080946</v>
      </c>
      <c r="N26" s="163">
        <f>+'BS, CF and P&amp;L'!BG80</f>
        <v>-126.84905836085863</v>
      </c>
      <c r="P26" s="110" t="s">
        <v>430</v>
      </c>
      <c r="Q26" s="136">
        <f>Valuation!$C$49/'BS, CF and P&amp;L'!Z27</f>
        <v>25.213069041610019</v>
      </c>
      <c r="R26" s="136">
        <f>Valuation!$C$49/'BS, CF and P&amp;L'!AC27</f>
        <v>23.918903506553931</v>
      </c>
      <c r="S26" s="136">
        <f>Valuation!$C$49/'BS, CF and P&amp;L'!AF27</f>
        <v>17.33704632878629</v>
      </c>
      <c r="T26" s="136">
        <f>Valuation!$C$49/'BS, CF and P&amp;L'!AI27</f>
        <v>13.930134868796992</v>
      </c>
      <c r="U26" s="136">
        <f>Valuation!$C$49/'BS, CF and P&amp;L'!AL27</f>
        <v>12.56609518344216</v>
      </c>
      <c r="V26" s="136">
        <f>Valuation!$C$49/'BS, CF and P&amp;L'!AO27</f>
        <v>11.034928011118986</v>
      </c>
      <c r="W26" s="136">
        <f>Valuation!$C$49/'BS, CF and P&amp;L'!AR27</f>
        <v>9.4432318278024781</v>
      </c>
      <c r="X26" s="136">
        <f>Valuation!$C$49/'BS, CF and P&amp;L'!AU27</f>
        <v>8.9886496285071775</v>
      </c>
      <c r="Y26" s="136">
        <f>Valuation!$C$49/'BS, CF and P&amp;L'!AX27</f>
        <v>10.052323359564632</v>
      </c>
      <c r="Z26" s="136">
        <f>Valuation!$C$49/'BS, CF and P&amp;L'!BA27</f>
        <v>10.200935533143749</v>
      </c>
      <c r="AA26" s="136">
        <f>Valuation!$C$49/'BS, CF and P&amp;L'!BD27</f>
        <v>9.206060036420558</v>
      </c>
      <c r="AB26" s="136">
        <f>Valuation!$C$49/'BS, CF and P&amp;L'!BG27</f>
        <v>8.3783811039181177</v>
      </c>
      <c r="AD26" s="6"/>
      <c r="AE26" s="6"/>
    </row>
    <row r="27" spans="2:41">
      <c r="B27" s="110" t="s">
        <v>217</v>
      </c>
      <c r="C27" s="163">
        <f t="shared" ref="C27:I27" si="5">C28-SUM(C23:C26)</f>
        <v>-69.323999999999927</v>
      </c>
      <c r="D27" s="163">
        <f t="shared" si="5"/>
        <v>27.621000000000151</v>
      </c>
      <c r="E27" s="163">
        <f>E28-SUM(E23:E26)</f>
        <v>460.00800000000015</v>
      </c>
      <c r="F27" s="163">
        <f t="shared" si="5"/>
        <v>99.005000000000109</v>
      </c>
      <c r="G27" s="163">
        <f t="shared" si="5"/>
        <v>-64.547000000000196</v>
      </c>
      <c r="H27" s="163">
        <f t="shared" si="5"/>
        <v>61.160999999999774</v>
      </c>
      <c r="I27" s="163">
        <f t="shared" si="5"/>
        <v>96.906000000000176</v>
      </c>
      <c r="J27" s="163">
        <f>J28-SUM(J23:J26)</f>
        <v>-13.928000000000566</v>
      </c>
      <c r="K27" s="163">
        <f>K28-SUM(K23:K26)</f>
        <v>72.484000000000719</v>
      </c>
      <c r="L27" s="163">
        <f>L28-SUM(L23:L26)</f>
        <v>0</v>
      </c>
      <c r="M27" s="163">
        <f t="shared" ref="M27:N27" si="6">M28-SUM(M23:M26)</f>
        <v>0</v>
      </c>
      <c r="N27" s="163">
        <f t="shared" si="6"/>
        <v>0</v>
      </c>
      <c r="P27" s="110" t="s">
        <v>431</v>
      </c>
      <c r="Q27" s="136">
        <f>Valuation!$C$49/'BS, CF and P&amp;L'!Z32</f>
        <v>29.289949542673856</v>
      </c>
      <c r="R27" s="136">
        <f>Valuation!$C$49/'BS, CF and P&amp;L'!AC32</f>
        <v>27.888260861542925</v>
      </c>
      <c r="S27" s="136">
        <f>Valuation!$C$49/'BS, CF and P&amp;L'!AF32</f>
        <v>22.974299989616085</v>
      </c>
      <c r="T27" s="136">
        <f>Valuation!$C$49/'BS, CF and P&amp;L'!AI32</f>
        <v>21.692295762999937</v>
      </c>
      <c r="U27" s="136">
        <f>Valuation!$C$49/'BS, CF and P&amp;L'!AL32</f>
        <v>18.37106317718019</v>
      </c>
      <c r="V27" s="136">
        <f>Valuation!$C$49/'BS, CF and P&amp;L'!AO32</f>
        <v>16.107053177081855</v>
      </c>
      <c r="W27" s="136">
        <f>Valuation!$C$49/'BS, CF and P&amp;L'!AR32</f>
        <v>13.551849502588599</v>
      </c>
      <c r="X27" s="136">
        <f>Valuation!$C$49/'BS, CF and P&amp;L'!AU32</f>
        <v>13.287916786064613</v>
      </c>
      <c r="Y27" s="136">
        <f>Valuation!$C$49/'BS, CF and P&amp;L'!AX32</f>
        <v>16.512903889251827</v>
      </c>
      <c r="Z27" s="136">
        <f>Valuation!$C$49/'BS, CF and P&amp;L'!BA32</f>
        <v>17.664621970583951</v>
      </c>
      <c r="AA27" s="136">
        <f>Valuation!$C$49/'BS, CF and P&amp;L'!BD32</f>
        <v>15.194704281418149</v>
      </c>
      <c r="AB27" s="136">
        <f>Valuation!$C$49/'BS, CF and P&amp;L'!BG32</f>
        <v>13.31526636114485</v>
      </c>
      <c r="AD27" s="6"/>
      <c r="AE27" s="6"/>
    </row>
    <row r="28" spans="2:41">
      <c r="B28" s="138" t="s">
        <v>317</v>
      </c>
      <c r="C28" s="354">
        <f>+'BS, CF and P&amp;L'!Z82</f>
        <v>214.809</v>
      </c>
      <c r="D28" s="354">
        <f>+'BS, CF and P&amp;L'!AC82</f>
        <v>180.92500000000001</v>
      </c>
      <c r="E28" s="354">
        <f>+'BS, CF and P&amp;L'!AF82</f>
        <v>254.46600000000001</v>
      </c>
      <c r="F28" s="354">
        <f>+'BS, CF and P&amp;L'!AI82</f>
        <v>600.96199999999999</v>
      </c>
      <c r="G28" s="354">
        <f>+'BS, CF and P&amp;L'!AL82</f>
        <v>371.63600000000002</v>
      </c>
      <c r="H28" s="354">
        <f>+'BS, CF and P&amp;L'!AO82</f>
        <v>221.786</v>
      </c>
      <c r="I28" s="354">
        <f>+'BS, CF and P&amp;L'!AR82</f>
        <v>766.38199999999995</v>
      </c>
      <c r="J28" s="354">
        <f>+'BS, CF and P&amp;L'!AU82</f>
        <v>750.90499999999997</v>
      </c>
      <c r="K28" s="354">
        <f>+'BS, CF and P&amp;L'!AX82</f>
        <v>599.78300000000002</v>
      </c>
      <c r="L28" s="354">
        <f>+'BS, CF and P&amp;L'!BA82</f>
        <v>566.94655096718259</v>
      </c>
      <c r="M28" s="354">
        <f>+'BS, CF and P&amp;L'!BD82</f>
        <v>620.52994455350336</v>
      </c>
      <c r="N28" s="354">
        <f>+'BS, CF and P&amp;L'!BG82</f>
        <v>673.90738519495335</v>
      </c>
      <c r="P28" s="110" t="s">
        <v>10</v>
      </c>
      <c r="Q28" s="136">
        <f>($AE$7*100)/'BS, CF and P&amp;L'!Z239</f>
        <v>32.427072119283501</v>
      </c>
      <c r="R28" s="136">
        <f>($AE$7*100)/'BS, CF and P&amp;L'!AC239</f>
        <v>30.766642685424276</v>
      </c>
      <c r="S28" s="136">
        <f>($AE$7*100)/'BS, CF and P&amp;L'!AF239</f>
        <v>32.35335209726891</v>
      </c>
      <c r="T28" s="136">
        <f>($AE$7*100)/'BS, CF and P&amp;L'!AI239</f>
        <v>34.422399486460641</v>
      </c>
      <c r="U28" s="136">
        <f>($AE$7*100)/'BS, CF and P&amp;L'!AL239</f>
        <v>31.055726885974892</v>
      </c>
      <c r="V28" s="136">
        <f>($AE$7*100)/'BS, CF and P&amp;L'!AO239</f>
        <v>24.499062196168747</v>
      </c>
      <c r="W28" s="136">
        <f>($AE$7*100)/'BS, CF and P&amp;L'!AR239</f>
        <v>21.914764161203891</v>
      </c>
      <c r="X28" s="136">
        <f>($AE$7*100)/'BS, CF and P&amp;L'!AU239</f>
        <v>21.336619183765805</v>
      </c>
      <c r="Y28" s="136">
        <f>($AE$7*100)/'BS, CF and P&amp;L'!AX239</f>
        <v>26.046053367022708</v>
      </c>
      <c r="Z28" s="136">
        <f>($AE$7*100)/'BS, CF and P&amp;L'!BA239</f>
        <v>30.973853812649232</v>
      </c>
      <c r="AA28" s="136">
        <f>($AE$7*100)/'BS, CF and P&amp;L'!BD239</f>
        <v>24.759366330453595</v>
      </c>
      <c r="AB28" s="136">
        <f>($AE$7*100)/'BS, CF and P&amp;L'!BG239</f>
        <v>21.130637912221584</v>
      </c>
      <c r="AD28" s="6"/>
      <c r="AE28" s="6"/>
      <c r="AI28" s="6" cm="1">
        <f t="array" ref="AI28">_xll.VAData("REH_AU", "FY-2026", "EPS Diluted", "Consensus", "SD", "","","")*100</f>
        <v>43.927291030565002</v>
      </c>
      <c r="AJ28" s="6" cm="1">
        <f t="array" ref="AJ28">_xll.VAData("REH_AU", "FY-2027", "EPS Diluted", "Consensus", "SD", "","","")*100</f>
        <v>52.240541720819003</v>
      </c>
      <c r="AK28" s="6" cm="1">
        <f t="array" ref="AK28">_xll.VAData("REH_AU", "FY-2028", "EPS Diluted", "Consensus", "SD", "","","")*100</f>
        <v>61.380255839611095</v>
      </c>
    </row>
    <row r="29" spans="2:41">
      <c r="B29" s="110" t="s">
        <v>29</v>
      </c>
      <c r="C29" s="163">
        <f>+'BS, CF and P&amp;L'!Z84</f>
        <v>-94.882999999999996</v>
      </c>
      <c r="D29" s="163">
        <f>+'BS, CF and P&amp;L'!AC84</f>
        <v>-88.244</v>
      </c>
      <c r="E29" s="163">
        <f>+'BS, CF and P&amp;L'!AF84</f>
        <v>-99.198999999999998</v>
      </c>
      <c r="F29" s="163">
        <f>+'BS, CF and P&amp;L'!AI84</f>
        <v>-83.328000000000003</v>
      </c>
      <c r="G29" s="163">
        <f>+'BS, CF and P&amp;L'!AL84</f>
        <v>-69.608000000000004</v>
      </c>
      <c r="H29" s="163">
        <f>+'BS, CF and P&amp;L'!AO84</f>
        <v>-128.0506</v>
      </c>
      <c r="I29" s="163">
        <f>+'BS, CF and P&amp;L'!AR84</f>
        <v>-115.0061</v>
      </c>
      <c r="J29" s="163">
        <f>+'BS, CF and P&amp;L'!AU84</f>
        <v>-129.50459999999998</v>
      </c>
      <c r="K29" s="163">
        <f>+'BS, CF and P&amp;L'!AX84</f>
        <v>-139.7533</v>
      </c>
      <c r="L29" s="163">
        <f>+'BS, CF and P&amp;L'!BA84</f>
        <v>-187.40581</v>
      </c>
      <c r="M29" s="163">
        <f>+'BS, CF and P&amp;L'!BD84</f>
        <v>-193.70305734999999</v>
      </c>
      <c r="N29" s="163">
        <f>+'BS, CF and P&amp;L'!BG84</f>
        <v>-200.22443639650001</v>
      </c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D29" s="6"/>
      <c r="AE29" s="6"/>
      <c r="AI29" s="396">
        <f>L17/AI28-1</f>
        <v>9.1154873632728339E-3</v>
      </c>
      <c r="AJ29" s="396">
        <f>M17/AJ28-1</f>
        <v>6.150816702753148E-2</v>
      </c>
      <c r="AK29" s="396">
        <f>N17/AK28-1</f>
        <v>5.8593528757482582E-2</v>
      </c>
    </row>
    <row r="30" spans="2:41">
      <c r="B30" s="110" t="s">
        <v>414</v>
      </c>
      <c r="C30" s="163">
        <f>+'BS, CF and P&amp;L'!Z85</f>
        <v>0</v>
      </c>
      <c r="D30" s="163">
        <f>+'BS, CF and P&amp;L'!AC85</f>
        <v>0</v>
      </c>
      <c r="E30" s="163">
        <f>+'BS, CF and P&amp;L'!AF85</f>
        <v>0</v>
      </c>
      <c r="F30" s="163">
        <f>+'BS, CF and P&amp;L'!AI85</f>
        <v>0</v>
      </c>
      <c r="G30" s="163">
        <f>+'BS, CF and P&amp;L'!AL85</f>
        <v>0</v>
      </c>
      <c r="H30" s="163">
        <f>+'BS, CF and P&amp;L'!AO85</f>
        <v>-56.181399999999996</v>
      </c>
      <c r="I30" s="163">
        <f>+'BS, CF and P&amp;L'!AR85</f>
        <v>-36.660899999999998</v>
      </c>
      <c r="J30" s="163">
        <f>+'BS, CF and P&amp;L'!AU85</f>
        <v>-106.80540000000002</v>
      </c>
      <c r="K30" s="163">
        <f>+'BS, CF and P&amp;L'!AX85</f>
        <v>-102.13470000000001</v>
      </c>
      <c r="L30" s="163">
        <f>+'BS, CF and P&amp;L'!BA85</f>
        <v>-100</v>
      </c>
      <c r="M30" s="163">
        <f>+'BS, CF and P&amp;L'!BD85</f>
        <v>-100</v>
      </c>
      <c r="N30" s="163">
        <f>+'BS, CF and P&amp;L'!BG85</f>
        <v>-100</v>
      </c>
      <c r="P30" s="114" t="s">
        <v>298</v>
      </c>
      <c r="Q30" s="115" t="str">
        <f t="shared" ref="Q30:AB30" si="7">C$6</f>
        <v>FY17A</v>
      </c>
      <c r="R30" s="115" t="str">
        <f t="shared" si="7"/>
        <v>FY18A</v>
      </c>
      <c r="S30" s="115" t="str">
        <f t="shared" si="7"/>
        <v>FY19A</v>
      </c>
      <c r="T30" s="115" t="str">
        <f t="shared" si="7"/>
        <v>FY20A</v>
      </c>
      <c r="U30" s="115" t="str">
        <f t="shared" si="7"/>
        <v>FY21A</v>
      </c>
      <c r="V30" s="115" t="str">
        <f t="shared" si="7"/>
        <v>FY22A</v>
      </c>
      <c r="W30" s="115" t="str">
        <f t="shared" si="7"/>
        <v>FY23A</v>
      </c>
      <c r="X30" s="115" t="str">
        <f t="shared" si="7"/>
        <v>FY24A</v>
      </c>
      <c r="Y30" s="115" t="str">
        <f t="shared" si="7"/>
        <v>FY25A</v>
      </c>
      <c r="Z30" s="115" t="str">
        <f t="shared" si="7"/>
        <v>FY26E</v>
      </c>
      <c r="AA30" s="115" t="str">
        <f t="shared" si="7"/>
        <v>FY27E</v>
      </c>
      <c r="AB30" s="115" t="str">
        <f t="shared" si="7"/>
        <v>FY28E</v>
      </c>
      <c r="AD30" s="6"/>
      <c r="AE30" s="6"/>
    </row>
    <row r="31" spans="2:41">
      <c r="B31" s="110" t="s">
        <v>551</v>
      </c>
      <c r="C31" s="163">
        <f t="shared" ref="C31:I31" si="8">C32-SUM(C29:C30)</f>
        <v>15.661999999999992</v>
      </c>
      <c r="D31" s="163">
        <f t="shared" si="8"/>
        <v>-48.387999999999977</v>
      </c>
      <c r="E31" s="163">
        <f>E32-SUM(E29:E30)</f>
        <v>-1996.3890000000001</v>
      </c>
      <c r="F31" s="163">
        <f t="shared" si="8"/>
        <v>-196.17499999999998</v>
      </c>
      <c r="G31" s="163">
        <f t="shared" si="8"/>
        <v>1.6880000000000024</v>
      </c>
      <c r="H31" s="163">
        <f t="shared" si="8"/>
        <v>-96.748999999999995</v>
      </c>
      <c r="I31" s="163">
        <f t="shared" si="8"/>
        <v>-157.85600000000002</v>
      </c>
      <c r="J31" s="163">
        <f>J32-SUM(J29:J30)</f>
        <v>-7.6499999999999773</v>
      </c>
      <c r="K31" s="163">
        <f>K32-SUM(K29:K30)</f>
        <v>-100.61199999999999</v>
      </c>
      <c r="L31" s="163">
        <f>L32-SUM(L29:L30)</f>
        <v>0</v>
      </c>
      <c r="M31" s="163">
        <f t="shared" ref="M31:N31" si="9">M32-SUM(M29:M30)</f>
        <v>0</v>
      </c>
      <c r="N31" s="163">
        <f t="shared" si="9"/>
        <v>0</v>
      </c>
      <c r="P31" s="110" t="s">
        <v>299</v>
      </c>
      <c r="Q31" s="122">
        <f>'BS, CF and P&amp;L'!Z55</f>
        <v>6.7192566355042338E-2</v>
      </c>
      <c r="R31" s="122">
        <f>'BS, CF and P&amp;L'!AC55</f>
        <v>0.10672549825938016</v>
      </c>
      <c r="S31" s="122">
        <f>'BS, CF and P&amp;L'!AF55</f>
        <v>1.0347001535385276</v>
      </c>
      <c r="T31" s="122">
        <f>+'BS, CF and P&amp;L'!AI55</f>
        <v>9.9314571426168952E-2</v>
      </c>
      <c r="U31" s="122">
        <f>+'BS, CF and P&amp;L'!AL55</f>
        <v>4.2729641998217049E-2</v>
      </c>
      <c r="V31" s="122">
        <f>+'BS, CF and P&amp;L'!AO55</f>
        <v>0.22059621356829684</v>
      </c>
      <c r="W31" s="122">
        <f>+'BS, CF and P&amp;L'!AR55</f>
        <v>0.15490998170891035</v>
      </c>
      <c r="X31" s="122">
        <f>+'BS, CF and P&amp;L'!AU55</f>
        <v>3.0014544642504637E-2</v>
      </c>
      <c r="Y31" s="122">
        <f>+'BS, CF and P&amp;L'!AX55</f>
        <v>-1.3943437671608994E-2</v>
      </c>
      <c r="Z31" s="122">
        <f>+'BS, CF and P&amp;L'!BA55</f>
        <v>3.9106066967985686E-2</v>
      </c>
      <c r="AA31" s="122">
        <f>+'BS, CF and P&amp;L'!BD55</f>
        <v>4.4183887839718938E-2</v>
      </c>
      <c r="AB31" s="122">
        <f>+'BS, CF and P&amp;L'!BG55</f>
        <v>5.1613861180499043E-2</v>
      </c>
      <c r="AD31" s="6"/>
      <c r="AE31" s="6"/>
    </row>
    <row r="32" spans="2:41">
      <c r="B32" s="138" t="s">
        <v>318</v>
      </c>
      <c r="C32" s="354">
        <f>+'BS, CF and P&amp;L'!Z90</f>
        <v>-79.221000000000004</v>
      </c>
      <c r="D32" s="354">
        <f>+'BS, CF and P&amp;L'!AC90</f>
        <v>-136.63199999999998</v>
      </c>
      <c r="E32" s="354">
        <f>+'BS, CF and P&amp;L'!AF90</f>
        <v>-2095.5880000000002</v>
      </c>
      <c r="F32" s="354">
        <f>+'BS, CF and P&amp;L'!AI90</f>
        <v>-279.50299999999999</v>
      </c>
      <c r="G32" s="354">
        <f>+'BS, CF and P&amp;L'!AL90</f>
        <v>-67.92</v>
      </c>
      <c r="H32" s="354">
        <f>+'BS, CF and P&amp;L'!AO90</f>
        <v>-280.98099999999999</v>
      </c>
      <c r="I32" s="354">
        <f>+'BS, CF and P&amp;L'!AR90</f>
        <v>-309.52300000000002</v>
      </c>
      <c r="J32" s="354">
        <f>+'BS, CF and P&amp;L'!AU90</f>
        <v>-243.95999999999998</v>
      </c>
      <c r="K32" s="354">
        <f>+'BS, CF and P&amp;L'!AX90</f>
        <v>-342.5</v>
      </c>
      <c r="L32" s="354">
        <f>+'BS, CF and P&amp;L'!BA90</f>
        <v>-287.40581000000003</v>
      </c>
      <c r="M32" s="354">
        <f>+'BS, CF and P&amp;L'!BD90</f>
        <v>-293.70305734999999</v>
      </c>
      <c r="N32" s="354">
        <f>+'BS, CF and P&amp;L'!BG90</f>
        <v>-300.22443639649998</v>
      </c>
      <c r="P32" s="110" t="s">
        <v>300</v>
      </c>
      <c r="Q32" s="122">
        <f>'BS, CF and P&amp;L'!Z241</f>
        <v>9.6978430740097377E-2</v>
      </c>
      <c r="R32" s="122">
        <f>'BS, CF and P&amp;L'!AC241</f>
        <v>5.3968496037621216E-2</v>
      </c>
      <c r="S32" s="122">
        <f>'BS, CF and P&amp;L'!AF241</f>
        <v>-4.9043122551081009E-2</v>
      </c>
      <c r="T32" s="122">
        <f>'BS, CF and P&amp;L'!AI241</f>
        <v>-6.0107587502886028E-2</v>
      </c>
      <c r="U32" s="122">
        <f>'BS, CF and P&amp;L'!AL241</f>
        <v>0.1084074641964401</v>
      </c>
      <c r="V32" s="122">
        <f>'BS, CF and P&amp;L'!AO241</f>
        <v>0.26762921116349925</v>
      </c>
      <c r="W32" s="122">
        <f>'BS, CF and P&amp;L'!AR241</f>
        <v>0.11792497587265349</v>
      </c>
      <c r="X32" s="122">
        <f>'BS, CF and P&amp;L'!AU241</f>
        <v>2.7096372319283413E-2</v>
      </c>
      <c r="Y32" s="122">
        <f>'BS, CF and P&amp;L'!AX241</f>
        <v>-0.18081181501453825</v>
      </c>
      <c r="Z32" s="122">
        <f>'BS, CF and P&amp;L'!BA241</f>
        <v>-0.15909548987456279</v>
      </c>
      <c r="AA32" s="122">
        <f>'BS, CF and P&amp;L'!BD241</f>
        <v>0.25099541721921703</v>
      </c>
      <c r="AB32" s="122">
        <f>'BS, CF and P&amp;L'!BG241</f>
        <v>0.17172829487240504</v>
      </c>
      <c r="AD32" s="6"/>
      <c r="AE32" s="6"/>
    </row>
    <row r="33" spans="2:34">
      <c r="B33" s="110" t="s">
        <v>34</v>
      </c>
      <c r="C33" s="163">
        <f>+'BS, CF and P&amp;L'!Z92</f>
        <v>-93.623999999999995</v>
      </c>
      <c r="D33" s="163">
        <f>+'BS, CF and P&amp;L'!AC92</f>
        <v>-100.596</v>
      </c>
      <c r="E33" s="163">
        <f>+'BS, CF and P&amp;L'!AF92</f>
        <v>-113.566</v>
      </c>
      <c r="F33" s="163">
        <f>+'BS, CF and P&amp;L'!AI92</f>
        <v>-113.566</v>
      </c>
      <c r="G33" s="163">
        <f>+'BS, CF and P&amp;L'!AL92</f>
        <v>-77.518000000000001</v>
      </c>
      <c r="H33" s="163">
        <f>+'BS, CF and P&amp;L'!AO92</f>
        <v>-125.96599999999999</v>
      </c>
      <c r="I33" s="163">
        <f>+'BS, CF and P&amp;L'!AR92</f>
        <v>-148.577</v>
      </c>
      <c r="J33" s="163">
        <f>+'BS, CF and P&amp;L'!AU92</f>
        <v>-161.49600000000001</v>
      </c>
      <c r="K33" s="163">
        <f>+'BS, CF and P&amp;L'!AX92</f>
        <v>-156.65100000000001</v>
      </c>
      <c r="L33" s="163">
        <f>+'BS, CF and P&amp;L'!BA92</f>
        <v>-108.7913106</v>
      </c>
      <c r="M33" s="163">
        <f>+'BS, CF and P&amp;L'!BD92</f>
        <v>-104.73330199000002</v>
      </c>
      <c r="N33" s="163">
        <f>+'BS, CF and P&amp;L'!BG92</f>
        <v>-129.37643187</v>
      </c>
      <c r="P33" s="7" t="s">
        <v>301</v>
      </c>
      <c r="Q33" s="29">
        <f>((C28+C29)/'BS, CF and P&amp;L'!Z226/$AE$7)</f>
        <v>1.753934894713596E-2</v>
      </c>
      <c r="R33" s="29">
        <f>((D28+D29)/'BS, CF and P&amp;L'!AC226/$AE$7)</f>
        <v>1.3411031430777466E-2</v>
      </c>
      <c r="S33" s="29">
        <f>((E28+E29)/'BS, CF and P&amp;L'!AF226/$AE$7)</f>
        <v>2.0164289344109323E-2</v>
      </c>
      <c r="T33" s="29">
        <f>((F28+F29)/'BS, CF and P&amp;L'!AI226/$AE$7)</f>
        <v>6.5667134915149181E-2</v>
      </c>
      <c r="U33" s="29">
        <f>((G28+G29)/'BS, CF and P&amp;L'!AL226/$AE$7)</f>
        <v>3.4052963134098939E-2</v>
      </c>
      <c r="V33" s="29">
        <f>((H28+H29)/'BS, CF and P&amp;L'!AO226/$AE$7)</f>
        <v>1.0568448045194844E-2</v>
      </c>
      <c r="W33" s="29">
        <f>((I28+I29)/'BS, CF and P&amp;L'!AR226/$AE$7)</f>
        <v>7.3471048611296566E-2</v>
      </c>
      <c r="X33" s="29">
        <f>((J28+J29)/'BS, CF and P&amp;L'!AU226/$AE$7)</f>
        <v>7.0090003322934011E-2</v>
      </c>
      <c r="Y33" s="29">
        <f>((K28+K29)/'BS, CF and P&amp;L'!AX226/$AE$7)</f>
        <v>5.2012867043994604E-2</v>
      </c>
      <c r="Z33" s="29">
        <f>((L28+L29)/'BS, CF and P&amp;L'!BA226/$AE$7)</f>
        <v>4.3869197496132037E-2</v>
      </c>
      <c r="AA33" s="29">
        <f>((M28+M29)/'BS, CF and P&amp;L'!BD226/$AE$7)</f>
        <v>5.0459780540452345E-2</v>
      </c>
      <c r="AB33" s="29">
        <f>((N28+N29)/'BS, CF and P&amp;L'!BG226/$AE$7)</f>
        <v>5.5999137727067015E-2</v>
      </c>
      <c r="AD33" s="6"/>
      <c r="AE33" s="6"/>
    </row>
    <row r="34" spans="2:34">
      <c r="B34" s="110" t="s">
        <v>303</v>
      </c>
      <c r="C34" s="163">
        <f>+'BS, CF and P&amp;L'!Z93</f>
        <v>0</v>
      </c>
      <c r="D34" s="163">
        <f>+'BS, CF and P&amp;L'!AC93</f>
        <v>594.38900000000001</v>
      </c>
      <c r="E34" s="163">
        <f>+'BS, CF and P&amp;L'!AF93</f>
        <v>0</v>
      </c>
      <c r="F34" s="163">
        <f>+'BS, CF and P&amp;L'!AI93</f>
        <v>642.06899999999996</v>
      </c>
      <c r="G34" s="163">
        <f>+'BS, CF and P&amp;L'!AL93</f>
        <v>0</v>
      </c>
      <c r="H34" s="163">
        <f>+'BS, CF and P&amp;L'!AO93</f>
        <v>0</v>
      </c>
      <c r="I34" s="163">
        <f>+'BS, CF and P&amp;L'!AR93</f>
        <v>0</v>
      </c>
      <c r="J34" s="163">
        <f>+'BS, CF and P&amp;L'!AU93</f>
        <v>0</v>
      </c>
      <c r="K34" s="163">
        <f>+'BS, CF and P&amp;L'!AX93</f>
        <v>-22.55</v>
      </c>
      <c r="L34" s="163">
        <f>+'BS, CF and P&amp;L'!BA93</f>
        <v>0</v>
      </c>
      <c r="M34" s="163">
        <f>+'BS, CF and P&amp;L'!BD93</f>
        <v>0</v>
      </c>
      <c r="N34" s="163">
        <f>+'BS, CF and P&amp;L'!BG93</f>
        <v>0</v>
      </c>
      <c r="P34" s="110" t="s">
        <v>176</v>
      </c>
      <c r="Q34" s="122">
        <f>'BS, CF and P&amp;L'!Z249</f>
        <v>1.4566642388929352E-2</v>
      </c>
      <c r="R34" s="122">
        <f>'BS, CF and P&amp;L'!AC249</f>
        <v>1.474872541879097E-2</v>
      </c>
      <c r="S34" s="122">
        <f>'BS, CF and P&amp;L'!AF249</f>
        <v>1.474872541879097E-2</v>
      </c>
      <c r="T34" s="122">
        <f>'BS, CF and P&amp;L'!AI249</f>
        <v>8.7399854333576107E-3</v>
      </c>
      <c r="U34" s="122">
        <f>'BS, CF and P&amp;L'!AL249</f>
        <v>1.3109978150036415E-2</v>
      </c>
      <c r="V34" s="122">
        <f>'BS, CF and P&amp;L'!AO249</f>
        <v>1.5659140568099052E-2</v>
      </c>
      <c r="W34" s="122">
        <f>'BS, CF and P&amp;L'!AR249</f>
        <v>1.820830298616169E-2</v>
      </c>
      <c r="X34" s="122">
        <f>'BS, CF and P&amp;L'!AU249</f>
        <v>1.8754552075746542E-2</v>
      </c>
      <c r="Y34" s="122">
        <f>'BS, CF and P&amp;L'!AX249</f>
        <v>1.3372177713037144E-2</v>
      </c>
      <c r="Z34" s="122">
        <f>'BS, CF and P&amp;L'!BA249</f>
        <v>1.1653313911143482E-2</v>
      </c>
      <c r="AA34" s="122">
        <f>'BS, CF and P&amp;L'!BD249</f>
        <v>1.3838310269482883E-2</v>
      </c>
      <c r="AB34" s="122">
        <f>'BS, CF and P&amp;L'!BG249</f>
        <v>1.7479970866715221E-2</v>
      </c>
      <c r="AD34" s="6"/>
      <c r="AE34" s="6"/>
    </row>
    <row r="35" spans="2:34">
      <c r="B35" s="110" t="s">
        <v>304</v>
      </c>
      <c r="C35" s="163">
        <f>+'BS, CF and P&amp;L'!Z94</f>
        <v>-45</v>
      </c>
      <c r="D35" s="163">
        <f>+'BS, CF and P&amp;L'!AC94</f>
        <v>-100</v>
      </c>
      <c r="E35" s="163">
        <f>+'BS, CF and P&amp;L'!AF94</f>
        <v>1540.63</v>
      </c>
      <c r="F35" s="163">
        <f>+'BS, CF and P&amp;L'!AI94</f>
        <v>123.28200000000001</v>
      </c>
      <c r="G35" s="163">
        <f>+'BS, CF and P&amp;L'!AL94</f>
        <v>-276.36500000000001</v>
      </c>
      <c r="H35" s="163">
        <f>+'BS, CF and P&amp;L'!AO94</f>
        <v>-341.76800000000003</v>
      </c>
      <c r="I35" s="163">
        <f>+'BS, CF and P&amp;L'!AR94</f>
        <v>-30</v>
      </c>
      <c r="J35" s="163">
        <f>+'BS, CF and P&amp;L'!AU94</f>
        <v>-239.17499999999995</v>
      </c>
      <c r="K35" s="163">
        <f>+'BS, CF and P&amp;L'!AX94</f>
        <v>-3.0079999999999956</v>
      </c>
      <c r="L35" s="163">
        <f>+'BS, CF and P&amp;L'!BA94</f>
        <v>-30.129430367182692</v>
      </c>
      <c r="M35" s="163">
        <f>+'BS, CF and P&amp;L'!BD94</f>
        <v>-81.473585213503313</v>
      </c>
      <c r="N35" s="163">
        <f>+'BS, CF and P&amp;L'!BG94</f>
        <v>-103.68651692845347</v>
      </c>
      <c r="P35" s="110" t="s">
        <v>302</v>
      </c>
      <c r="Q35" s="122">
        <f>'BS, CF and P&amp;L'!Z254</f>
        <v>0.4723535632816242</v>
      </c>
      <c r="R35" s="122">
        <f>'BS, CF and P&amp;L'!AC254</f>
        <v>0.45376876502537622</v>
      </c>
      <c r="S35" s="122">
        <f>'BS, CF and P&amp;L'!AF254</f>
        <v>0.47717070646008403</v>
      </c>
      <c r="T35" s="122">
        <f>'BS, CF and P&amp;L'!AI254</f>
        <v>0.30085127009288248</v>
      </c>
      <c r="U35" s="122">
        <f>'BS, CF and P&amp;L'!AL254</f>
        <v>0.40713990090862934</v>
      </c>
      <c r="V35" s="122">
        <f>'BS, CF and P&amp;L'!AO254</f>
        <v>0.38363425871640794</v>
      </c>
      <c r="W35" s="122">
        <f>'BS, CF and P&amp;L'!AR254</f>
        <v>0.39903066571747797</v>
      </c>
      <c r="X35" s="122">
        <f>'BS, CF and P&amp;L'!AU254</f>
        <v>0.40015873560230847</v>
      </c>
      <c r="Y35" s="122">
        <f>'BS, CF and P&amp;L'!AX254</f>
        <v>0.34829245434707712</v>
      </c>
      <c r="Z35" s="122">
        <f>'BS, CF and P&amp;L'!BA254</f>
        <v>0.36094804151666982</v>
      </c>
      <c r="AA35" s="122">
        <f>'BS, CF and P&amp;L'!BD254</f>
        <v>0.3426277933566047</v>
      </c>
      <c r="AB35" s="122">
        <f>'BS, CF and P&amp;L'!BG254</f>
        <v>0.36936293510074147</v>
      </c>
      <c r="AD35" s="6"/>
      <c r="AE35" s="6"/>
    </row>
    <row r="36" spans="2:34">
      <c r="B36" s="110" t="s">
        <v>217</v>
      </c>
      <c r="C36" s="163">
        <f>+'BS, CF and P&amp;L'!Z96</f>
        <v>0</v>
      </c>
      <c r="D36" s="163">
        <f>+'BS, CF and P&amp;L'!AC96</f>
        <v>0</v>
      </c>
      <c r="E36" s="163">
        <f>+'BS, CF and P&amp;L'!AF96</f>
        <v>0</v>
      </c>
      <c r="F36" s="163">
        <f>+'BS, CF and P&amp;L'!AI96</f>
        <v>0</v>
      </c>
      <c r="G36" s="163">
        <f>+'BS, CF and P&amp;L'!AL96</f>
        <v>0</v>
      </c>
      <c r="H36" s="163">
        <f>+'BS, CF and P&amp;L'!AO96</f>
        <v>0</v>
      </c>
      <c r="I36" s="163">
        <f>+'BS, CF and P&amp;L'!AR96</f>
        <v>-5.2779999999999996</v>
      </c>
      <c r="J36" s="163">
        <f>+'BS, CF and P&amp;L'!AU96</f>
        <v>0</v>
      </c>
      <c r="K36" s="163">
        <f>+'BS, CF and P&amp;L'!AX96</f>
        <v>0</v>
      </c>
      <c r="L36" s="163">
        <f>+'BS, CF and P&amp;L'!BA96</f>
        <v>0</v>
      </c>
      <c r="M36" s="163">
        <f>+'BS, CF and P&amp;L'!BD96</f>
        <v>0</v>
      </c>
      <c r="N36" s="163">
        <f>+'BS, CF and P&amp;L'!BG96</f>
        <v>0</v>
      </c>
      <c r="P36" s="110" t="s">
        <v>194</v>
      </c>
      <c r="Q36" s="122">
        <f>'BS, CF and P&amp;L'!Z70</f>
        <v>0.30420363837952519</v>
      </c>
      <c r="R36" s="122">
        <f>'BS, CF and P&amp;L'!AC70</f>
        <v>0.29683415716830336</v>
      </c>
      <c r="S36" s="122">
        <f>'BS, CF and P&amp;L'!AF70</f>
        <v>0.28853707678418744</v>
      </c>
      <c r="T36" s="122">
        <f>'BS, CF and P&amp;L'!AI70</f>
        <v>0.28224504699905045</v>
      </c>
      <c r="U36" s="122">
        <f>'BS, CF and P&amp;L'!AL70</f>
        <v>0.24211183046444312</v>
      </c>
      <c r="V36" s="122">
        <f>'BS, CF and P&amp;L'!AO70</f>
        <v>0.28525249159317179</v>
      </c>
      <c r="W36" s="122">
        <f>'BS, CF and P&amp;L'!AR70</f>
        <v>0.30425540696714548</v>
      </c>
      <c r="X36" s="122">
        <f>'BS, CF and P&amp;L'!AU70</f>
        <v>0.29476519498770354</v>
      </c>
      <c r="Y36" s="122">
        <f>'BS, CF and P&amp;L'!AX70</f>
        <v>0.24604006341227308</v>
      </c>
      <c r="Z36" s="122">
        <f>'BS, CF and P&amp;L'!BA70</f>
        <v>0.29561763630582139</v>
      </c>
      <c r="AA36" s="122">
        <f>'BS, CF and P&amp;L'!BD70</f>
        <v>0.29458025476180982</v>
      </c>
      <c r="AB36" s="122">
        <f>'BS, CF and P&amp;L'!BG70</f>
        <v>0.29401967841972859</v>
      </c>
      <c r="AD36" s="6"/>
      <c r="AE36" s="6"/>
    </row>
    <row r="37" spans="2:34">
      <c r="B37" s="138" t="s">
        <v>319</v>
      </c>
      <c r="C37" s="354">
        <f t="shared" ref="C37:I37" si="10">SUM(C33:C36)</f>
        <v>-138.624</v>
      </c>
      <c r="D37" s="354">
        <f t="shared" si="10"/>
        <v>393.79300000000001</v>
      </c>
      <c r="E37" s="354">
        <f>SUM(E33:E36)</f>
        <v>1427.0640000000001</v>
      </c>
      <c r="F37" s="354">
        <f t="shared" si="10"/>
        <v>651.78499999999997</v>
      </c>
      <c r="G37" s="354">
        <f t="shared" si="10"/>
        <v>-353.88300000000004</v>
      </c>
      <c r="H37" s="354">
        <f t="shared" si="10"/>
        <v>-467.73400000000004</v>
      </c>
      <c r="I37" s="354">
        <f t="shared" si="10"/>
        <v>-183.85499999999999</v>
      </c>
      <c r="J37" s="354">
        <f>SUM(J33:J36)</f>
        <v>-400.67099999999994</v>
      </c>
      <c r="K37" s="354">
        <f>SUM(K33:K36)</f>
        <v>-182.209</v>
      </c>
      <c r="L37" s="354">
        <f>SUM(L33:L36)</f>
        <v>-138.9207409671827</v>
      </c>
      <c r="M37" s="354">
        <f t="shared" ref="M37:N37" si="11">SUM(M33:M36)</f>
        <v>-186.20688720350333</v>
      </c>
      <c r="N37" s="354">
        <f t="shared" si="11"/>
        <v>-233.06294879845348</v>
      </c>
      <c r="Z37" s="110"/>
      <c r="AA37" s="110"/>
      <c r="AB37" s="110"/>
      <c r="AD37" s="6"/>
      <c r="AE37" s="6"/>
    </row>
    <row r="38" spans="2:34">
      <c r="B38" s="110" t="s">
        <v>38</v>
      </c>
      <c r="C38" s="163">
        <f>+'BS, CF and P&amp;L'!Z99</f>
        <v>2E-3</v>
      </c>
      <c r="D38" s="163">
        <f>+'BS, CF and P&amp;L'!AC99</f>
        <v>0</v>
      </c>
      <c r="E38" s="163">
        <f>+'BS, CF and P&amp;L'!AF99</f>
        <v>1.8740000000000001</v>
      </c>
      <c r="F38" s="163">
        <f>+'BS, CF and P&amp;L'!AI99</f>
        <v>-0.74</v>
      </c>
      <c r="G38" s="163">
        <f>+'BS, CF and P&amp;L'!AL99</f>
        <v>-17.329000000000001</v>
      </c>
      <c r="H38" s="163">
        <f>+'BS, CF and P&amp;L'!AO99</f>
        <v>25.373999999999999</v>
      </c>
      <c r="I38" s="163">
        <f>+'BS, CF and P&amp;L'!AR99</f>
        <v>2.48</v>
      </c>
      <c r="J38" s="163">
        <f>+'BS, CF and P&amp;L'!AU99</f>
        <v>0.53100000000000003</v>
      </c>
      <c r="K38" s="163">
        <f>+'BS, CF and P&amp;L'!AX99</f>
        <v>0.27700000000000002</v>
      </c>
      <c r="L38" s="163">
        <f>+'BS, CF and P&amp;L'!BA99</f>
        <v>0</v>
      </c>
      <c r="M38" s="163">
        <f>+'BS, CF and P&amp;L'!BD99</f>
        <v>0</v>
      </c>
      <c r="N38" s="163">
        <f>+'BS, CF and P&amp;L'!BG99</f>
        <v>0</v>
      </c>
      <c r="P38" s="114" t="s">
        <v>290</v>
      </c>
      <c r="Q38" s="115" t="str">
        <f t="shared" ref="Q38:AB38" si="12">C$6</f>
        <v>FY17A</v>
      </c>
      <c r="R38" s="115" t="str">
        <f t="shared" si="12"/>
        <v>FY18A</v>
      </c>
      <c r="S38" s="115" t="str">
        <f t="shared" si="12"/>
        <v>FY19A</v>
      </c>
      <c r="T38" s="115" t="str">
        <f t="shared" si="12"/>
        <v>FY20A</v>
      </c>
      <c r="U38" s="115" t="str">
        <f t="shared" si="12"/>
        <v>FY21A</v>
      </c>
      <c r="V38" s="115" t="str">
        <f t="shared" si="12"/>
        <v>FY22A</v>
      </c>
      <c r="W38" s="115" t="str">
        <f t="shared" si="12"/>
        <v>FY23A</v>
      </c>
      <c r="X38" s="115" t="str">
        <f t="shared" si="12"/>
        <v>FY24A</v>
      </c>
      <c r="Y38" s="115" t="str">
        <f t="shared" si="12"/>
        <v>FY25A</v>
      </c>
      <c r="Z38" s="115" t="str">
        <f t="shared" si="12"/>
        <v>FY26E</v>
      </c>
      <c r="AA38" s="115" t="str">
        <f t="shared" si="12"/>
        <v>FY27E</v>
      </c>
      <c r="AB38" s="115" t="str">
        <f t="shared" si="12"/>
        <v>FY28E</v>
      </c>
      <c r="AD38" s="6"/>
      <c r="AE38" s="6"/>
    </row>
    <row r="39" spans="2:34">
      <c r="B39" s="110" t="s">
        <v>39</v>
      </c>
      <c r="C39" s="163">
        <f t="shared" ref="C39:I39" si="13">C38+C37+C32+C28</f>
        <v>-3.0339999999999918</v>
      </c>
      <c r="D39" s="163">
        <f t="shared" si="13"/>
        <v>438.08600000000007</v>
      </c>
      <c r="E39" s="163">
        <f>E38+E37+E32+E28</f>
        <v>-412.18400000000008</v>
      </c>
      <c r="F39" s="163">
        <f t="shared" si="13"/>
        <v>972.50399999999991</v>
      </c>
      <c r="G39" s="163">
        <f t="shared" si="13"/>
        <v>-67.496000000000038</v>
      </c>
      <c r="H39" s="163">
        <f t="shared" si="13"/>
        <v>-501.55500000000001</v>
      </c>
      <c r="I39" s="163">
        <f t="shared" si="13"/>
        <v>275.48399999999992</v>
      </c>
      <c r="J39" s="163">
        <f>J38+J37+J32+J28</f>
        <v>106.80500000000006</v>
      </c>
      <c r="K39" s="163">
        <f>K38+K37+K32+K28</f>
        <v>75.350999999999999</v>
      </c>
      <c r="L39" s="163">
        <f>L38+L37+L32+L28</f>
        <v>140.61999999999989</v>
      </c>
      <c r="M39" s="163">
        <f t="shared" ref="M39:N39" si="14">M38+M37+M32+M28</f>
        <v>140.62</v>
      </c>
      <c r="N39" s="163">
        <f t="shared" si="14"/>
        <v>140.61999999999989</v>
      </c>
      <c r="P39" s="7" t="s">
        <v>469</v>
      </c>
      <c r="Q39" s="353">
        <f>+'BS, CF and P&amp;L'!Z30</f>
        <v>308.94799999999998</v>
      </c>
      <c r="R39" s="353">
        <f>+'BS, CF and P&amp;L'!AC30</f>
        <v>324.476</v>
      </c>
      <c r="S39" s="353">
        <f>+'BS, CF and P&amp;L'!AF30</f>
        <v>313.72799999999995</v>
      </c>
      <c r="T39" s="358">
        <f>+'BS, CF and P&amp;L'!AI30</f>
        <v>307.548</v>
      </c>
      <c r="U39" s="358">
        <f>+'BS, CF and P&amp;L'!AL30</f>
        <v>381.31799999999998</v>
      </c>
      <c r="V39" s="358">
        <f>+'BS, CF and P&amp;L'!AO30</f>
        <v>379.322</v>
      </c>
      <c r="W39" s="358">
        <f>+'BS, CF and P&amp;L'!AR30</f>
        <v>421.25</v>
      </c>
      <c r="X39" s="358">
        <f>+'BS, CF and P&amp;L'!AU30</f>
        <v>410</v>
      </c>
      <c r="Y39" s="358">
        <f>+'BS, CF and P&amp;L'!AX30</f>
        <v>339</v>
      </c>
      <c r="Z39" s="358">
        <f>+'BS, CF and P&amp;L'!BA30</f>
        <v>333.79696437253932</v>
      </c>
      <c r="AA39" s="358">
        <f>+'BS, CF and P&amp;L'!BD30</f>
        <v>379.24340769764251</v>
      </c>
      <c r="AB39" s="358">
        <f>+'BS, CF and P&amp;L'!BG30</f>
        <v>427.34375763891319</v>
      </c>
      <c r="AD39" s="6"/>
      <c r="AE39" s="6"/>
    </row>
    <row r="40" spans="2:34">
      <c r="P40" s="7" t="s">
        <v>470</v>
      </c>
      <c r="Q40" s="353">
        <v>0</v>
      </c>
      <c r="R40" s="353">
        <v>0</v>
      </c>
      <c r="S40" s="358">
        <f>+'BS, CF and P&amp;L'!AF31</f>
        <v>80.149999999999977</v>
      </c>
      <c r="T40" s="358">
        <f>+'BS, CF and P&amp;L'!AI31</f>
        <v>109.608</v>
      </c>
      <c r="U40" s="358">
        <f>+'BS, CF and P&amp;L'!AL31</f>
        <v>111.25400000000002</v>
      </c>
      <c r="V40" s="358">
        <f>+'BS, CF and P&amp;L'!AO31</f>
        <v>182.48599999999999</v>
      </c>
      <c r="W40" s="358">
        <f>+'BS, CF and P&amp;L'!AR31</f>
        <v>247.10499999999996</v>
      </c>
      <c r="X40" s="358">
        <f>+'BS, CF and P&amp;L'!AU31</f>
        <v>271</v>
      </c>
      <c r="Y40" s="358">
        <f>+'BS, CF and P&amp;L'!AX31</f>
        <v>209</v>
      </c>
      <c r="Z40" s="358">
        <f>+'BS, CF and P&amp;L'!BA31</f>
        <v>178.47390937607454</v>
      </c>
      <c r="AA40" s="358">
        <f>+'BS, CF and P&amp;L'!BD31</f>
        <v>216.29772056085596</v>
      </c>
      <c r="AB40" s="358">
        <f>+'BS, CF and P&amp;L'!BG31</f>
        <v>252.25746744179642</v>
      </c>
      <c r="AD40" s="6"/>
      <c r="AE40" s="6"/>
    </row>
    <row r="41" spans="2:34">
      <c r="B41" s="114" t="s">
        <v>305</v>
      </c>
      <c r="C41" s="115" t="str">
        <f t="shared" ref="C41:I41" si="15">C$6</f>
        <v>FY17A</v>
      </c>
      <c r="D41" s="115" t="str">
        <f t="shared" si="15"/>
        <v>FY18A</v>
      </c>
      <c r="E41" s="115" t="str">
        <f t="shared" si="15"/>
        <v>FY19A</v>
      </c>
      <c r="F41" s="115" t="str">
        <f t="shared" si="15"/>
        <v>FY20A</v>
      </c>
      <c r="G41" s="115" t="str">
        <f t="shared" si="15"/>
        <v>FY21A</v>
      </c>
      <c r="H41" s="115" t="str">
        <f t="shared" si="15"/>
        <v>FY22A</v>
      </c>
      <c r="I41" s="115" t="str">
        <f t="shared" si="15"/>
        <v>FY23A</v>
      </c>
      <c r="J41" s="115" t="str">
        <f>J$6</f>
        <v>FY24A</v>
      </c>
      <c r="K41" s="115" t="str">
        <f>K$6</f>
        <v>FY25A</v>
      </c>
      <c r="L41" s="115" t="str">
        <f>L$6</f>
        <v>FY26E</v>
      </c>
      <c r="M41" s="115" t="str">
        <f t="shared" ref="M41:N41" si="16">M$6</f>
        <v>FY27E</v>
      </c>
      <c r="N41" s="115" t="str">
        <f t="shared" si="16"/>
        <v>FY28E</v>
      </c>
      <c r="P41" s="119" t="s">
        <v>478</v>
      </c>
      <c r="Q41" s="357">
        <f>+Q40+Q39</f>
        <v>308.94799999999998</v>
      </c>
      <c r="R41" s="357">
        <f>+R40+R39</f>
        <v>324.476</v>
      </c>
      <c r="S41" s="357">
        <f>+S40+S39</f>
        <v>393.87799999999993</v>
      </c>
      <c r="T41" s="359">
        <f t="shared" ref="T41:Y41" si="17">SUM(T39:T40)</f>
        <v>417.15600000000001</v>
      </c>
      <c r="U41" s="359">
        <f t="shared" si="17"/>
        <v>492.572</v>
      </c>
      <c r="V41" s="359">
        <f t="shared" si="17"/>
        <v>561.80799999999999</v>
      </c>
      <c r="W41" s="359">
        <f t="shared" si="17"/>
        <v>668.35500000000002</v>
      </c>
      <c r="X41" s="359">
        <f t="shared" si="17"/>
        <v>681</v>
      </c>
      <c r="Y41" s="359">
        <f t="shared" si="17"/>
        <v>548</v>
      </c>
      <c r="Z41" s="359">
        <f>SUM(Z39:Z40)</f>
        <v>512.27087374861389</v>
      </c>
      <c r="AA41" s="359">
        <f t="shared" ref="AA41:AB41" si="18">SUM(AA39:AA40)</f>
        <v>595.54112825849847</v>
      </c>
      <c r="AB41" s="359">
        <f t="shared" si="18"/>
        <v>679.60122508070958</v>
      </c>
      <c r="AD41" s="6"/>
      <c r="AE41" s="6"/>
    </row>
    <row r="42" spans="2:34">
      <c r="B42" s="7" t="s">
        <v>306</v>
      </c>
      <c r="C42" s="165">
        <f>+'BS, CF and P&amp;L'!Z151</f>
        <v>101.80500000000001</v>
      </c>
      <c r="D42" s="165">
        <f>+'BS, CF and P&amp;L'!AC151</f>
        <v>539.89099999999996</v>
      </c>
      <c r="E42" s="165">
        <f>+'BS, CF and P&amp;L'!AF151</f>
        <v>127.70699999999999</v>
      </c>
      <c r="F42" s="165">
        <f>+'BS, CF and P&amp;L'!AI151</f>
        <v>1004.708</v>
      </c>
      <c r="G42" s="165">
        <f>+'BS, CF and P&amp;L'!AL151</f>
        <v>828.96600000000001</v>
      </c>
      <c r="H42" s="165">
        <f>+'BS, CF and P&amp;L'!AO151</f>
        <v>220.483</v>
      </c>
      <c r="I42" s="165">
        <f>+'BS, CF and P&amp;L'!AR151</f>
        <v>372.70600000000002</v>
      </c>
      <c r="J42" s="165">
        <f>+'BS, CF and P&amp;L'!AU151</f>
        <v>341.38</v>
      </c>
      <c r="K42" s="165">
        <f>+'BS, CF and P&amp;L'!AX151</f>
        <v>275.411</v>
      </c>
      <c r="L42" s="165">
        <f>+'BS, CF and P&amp;L'!BA151</f>
        <v>275.411</v>
      </c>
      <c r="M42" s="165">
        <f>+'BS, CF and P&amp;L'!BD151</f>
        <v>275.411</v>
      </c>
      <c r="N42" s="165">
        <f>+'BS, CF and P&amp;L'!BG151</f>
        <v>275.411</v>
      </c>
      <c r="Z42" s="110"/>
      <c r="AA42" s="110"/>
      <c r="AB42" s="110"/>
      <c r="AD42" s="6"/>
      <c r="AE42" s="6"/>
    </row>
    <row r="43" spans="2:34">
      <c r="B43" s="7" t="s">
        <v>215</v>
      </c>
      <c r="C43" s="165">
        <f>+'BS, CF and P&amp;L'!Z152</f>
        <v>360.91199999999998</v>
      </c>
      <c r="D43" s="165">
        <f>+'BS, CF and P&amp;L'!AC152</f>
        <v>405.733</v>
      </c>
      <c r="E43" s="165">
        <f>+'BS, CF and P&amp;L'!AF152</f>
        <v>875.32399999999996</v>
      </c>
      <c r="F43" s="165">
        <f>+'BS, CF and P&amp;L'!AI152</f>
        <v>931.62800000000004</v>
      </c>
      <c r="G43" s="165">
        <f>+'BS, CF and P&amp;L'!AL152</f>
        <v>1044.037</v>
      </c>
      <c r="H43" s="165">
        <f>+'BS, CF and P&amp;L'!AO152</f>
        <v>1367.5029999999999</v>
      </c>
      <c r="I43" s="165">
        <f>+'BS, CF and P&amp;L'!AR152</f>
        <v>1338.414</v>
      </c>
      <c r="J43" s="165">
        <f>+'BS, CF and P&amp;L'!AU152</f>
        <v>1369.3019999999999</v>
      </c>
      <c r="K43" s="165">
        <f>+'BS, CF and P&amp;L'!AX152</f>
        <v>1376.482</v>
      </c>
      <c r="L43" s="165">
        <f>+'BS, CF and P&amp;L'!BA152</f>
        <v>1423.0993244576296</v>
      </c>
      <c r="M43" s="165">
        <f>+'BS, CF and P&amp;L'!BD152</f>
        <v>1484.678204206052</v>
      </c>
      <c r="N43" s="165">
        <f>+'BS, CF and P&amp;L'!BG152</f>
        <v>1558.2746900219431</v>
      </c>
      <c r="P43" s="114" t="s">
        <v>323</v>
      </c>
      <c r="Q43" s="115" t="str">
        <f t="shared" ref="Q43:AB43" si="19">C$6</f>
        <v>FY17A</v>
      </c>
      <c r="R43" s="115" t="str">
        <f t="shared" si="19"/>
        <v>FY18A</v>
      </c>
      <c r="S43" s="115" t="str">
        <f t="shared" si="19"/>
        <v>FY19A</v>
      </c>
      <c r="T43" s="115" t="str">
        <f t="shared" si="19"/>
        <v>FY20A</v>
      </c>
      <c r="U43" s="115" t="str">
        <f t="shared" si="19"/>
        <v>FY21A</v>
      </c>
      <c r="V43" s="115" t="str">
        <f t="shared" si="19"/>
        <v>FY22A</v>
      </c>
      <c r="W43" s="115" t="str">
        <f t="shared" si="19"/>
        <v>FY23A</v>
      </c>
      <c r="X43" s="115" t="str">
        <f t="shared" si="19"/>
        <v>FY24A</v>
      </c>
      <c r="Y43" s="115" t="str">
        <f t="shared" si="19"/>
        <v>FY25A</v>
      </c>
      <c r="Z43" s="115" t="str">
        <f t="shared" si="19"/>
        <v>FY26E</v>
      </c>
      <c r="AA43" s="115" t="str">
        <f t="shared" si="19"/>
        <v>FY27E</v>
      </c>
      <c r="AB43" s="115" t="str">
        <f t="shared" si="19"/>
        <v>FY28E</v>
      </c>
      <c r="AD43" s="6"/>
      <c r="AE43" s="6"/>
    </row>
    <row r="44" spans="2:34">
      <c r="B44" s="7" t="s">
        <v>216</v>
      </c>
      <c r="C44" s="165">
        <f>+'BS, CF and P&amp;L'!Z153</f>
        <v>457.06299999999999</v>
      </c>
      <c r="D44" s="165">
        <f>+'BS, CF and P&amp;L'!AC153</f>
        <v>540.56399999999996</v>
      </c>
      <c r="E44" s="165">
        <f>+'BS, CF and P&amp;L'!AF153</f>
        <v>955.71100000000001</v>
      </c>
      <c r="F44" s="165">
        <f>+'BS, CF and P&amp;L'!AI153</f>
        <v>967.51</v>
      </c>
      <c r="G44" s="165">
        <f>+'BS, CF and P&amp;L'!AL153</f>
        <v>1138.117</v>
      </c>
      <c r="H44" s="165">
        <f>+'BS, CF and P&amp;L'!AO153</f>
        <v>1528.4110000000001</v>
      </c>
      <c r="I44" s="165">
        <f>+'BS, CF and P&amp;L'!AR153</f>
        <v>1504.8920000000001</v>
      </c>
      <c r="J44" s="165">
        <f>+'BS, CF and P&amp;L'!AU153</f>
        <v>1496.348</v>
      </c>
      <c r="K44" s="165">
        <f>+'BS, CF and P&amp;L'!AX153</f>
        <v>1617.171</v>
      </c>
      <c r="L44" s="165">
        <f>+'BS, CF and P&amp;L'!BA153</f>
        <v>1700.3229564799981</v>
      </c>
      <c r="M44" s="165">
        <f>+'BS, CF and P&amp;L'!BD153</f>
        <v>1803.5089553402274</v>
      </c>
      <c r="N44" s="165">
        <f>+'BS, CF and P&amp;L'!BG153</f>
        <v>1923.9893348433359</v>
      </c>
      <c r="P44" s="110" t="s">
        <v>168</v>
      </c>
      <c r="Q44" s="163">
        <f>'BS, CF and P&amp;L'!Z109</f>
        <v>-1.8050000000000068</v>
      </c>
      <c r="R44" s="163">
        <f>'BS, CF and P&amp;L'!AC109</f>
        <v>-539.89099999999996</v>
      </c>
      <c r="S44" s="163">
        <f>'BS, CF and P&amp;L'!AF109</f>
        <v>1481.5900000000001</v>
      </c>
      <c r="T44" s="163">
        <f>'BS, CF and P&amp;L'!AI109</f>
        <v>760.524</v>
      </c>
      <c r="U44" s="163">
        <f>'BS, CF and P&amp;L'!AL109</f>
        <v>506.65</v>
      </c>
      <c r="V44" s="163">
        <f>'BS, CF and P&amp;L'!AO109</f>
        <v>869.60500000000002</v>
      </c>
      <c r="W44" s="163">
        <f>'BS, CF and P&amp;L'!AR109</f>
        <v>724.78399999999999</v>
      </c>
      <c r="X44" s="163">
        <f>'BS, CF and P&amp;L'!AU109</f>
        <v>517.94200000000001</v>
      </c>
      <c r="Y44" s="163">
        <f>'BS, CF and P&amp;L'!AX109</f>
        <v>590.31700000000001</v>
      </c>
      <c r="Z44" s="163">
        <f>'BS, CF and P&amp;L'!BA109</f>
        <v>560.18756963281726</v>
      </c>
      <c r="AA44" s="163">
        <f>'BS, CF and P&amp;L'!BD109</f>
        <v>478.71398441931393</v>
      </c>
      <c r="AB44" s="163">
        <f>'BS, CF and P&amp;L'!BG109</f>
        <v>375.02746749086037</v>
      </c>
      <c r="AD44" s="6"/>
      <c r="AE44" s="6"/>
    </row>
    <row r="45" spans="2:34">
      <c r="B45" s="166" t="s">
        <v>308</v>
      </c>
      <c r="C45" s="350">
        <f>+'BS, CF and P&amp;L'!Z154</f>
        <v>0</v>
      </c>
      <c r="D45" s="350">
        <f>+'BS, CF and P&amp;L'!AC154</f>
        <v>4.4790000000000001</v>
      </c>
      <c r="E45" s="350">
        <f>+'BS, CF and P&amp;L'!AF154</f>
        <v>2.2090000000000001</v>
      </c>
      <c r="F45" s="350">
        <f>+'BS, CF and P&amp;L'!AI154</f>
        <v>0</v>
      </c>
      <c r="G45" s="350">
        <f>+'BS, CF and P&amp;L'!AL154</f>
        <v>1.0289999999999999</v>
      </c>
      <c r="H45" s="350">
        <f>+'BS, CF and P&amp;L'!AO154</f>
        <v>6.7190000000000003</v>
      </c>
      <c r="I45" s="350">
        <f>+'BS, CF and P&amp;L'!AR154</f>
        <v>3.0470000000000002</v>
      </c>
      <c r="J45" s="350">
        <f>+'BS, CF and P&amp;L'!AU154</f>
        <v>0</v>
      </c>
      <c r="K45" s="350">
        <f>+'BS, CF and P&amp;L'!AX154</f>
        <v>0</v>
      </c>
      <c r="L45" s="350">
        <f>+'BS, CF and P&amp;L'!BA154</f>
        <v>0</v>
      </c>
      <c r="M45" s="350">
        <f>+'BS, CF and P&amp;L'!BD154</f>
        <v>0</v>
      </c>
      <c r="N45" s="350">
        <f>+'BS, CF and P&amp;L'!BG154</f>
        <v>0</v>
      </c>
      <c r="P45" s="110" t="s">
        <v>52</v>
      </c>
      <c r="Q45" s="139">
        <f>'BS, CF and P&amp;L'!Z212</f>
        <v>-1.558316879636646E-3</v>
      </c>
      <c r="R45" s="139">
        <f>'BS, CF and P&amp;L'!AC212</f>
        <v>-0.28704811365997496</v>
      </c>
      <c r="S45" s="139">
        <f>'BS, CF and P&amp;L'!AF212</f>
        <v>0.74392693238534235</v>
      </c>
      <c r="T45" s="139">
        <f>'BS, CF and P&amp;L'!AI212</f>
        <v>0.27656564672135497</v>
      </c>
      <c r="U45" s="139">
        <f>'BS, CF and P&amp;L'!AL212</f>
        <v>0.17542620448189455</v>
      </c>
      <c r="V45" s="139">
        <f>'BS, CF and P&amp;L'!AO212</f>
        <v>0.26186067562436222</v>
      </c>
      <c r="W45" s="139">
        <f>'BS, CF and P&amp;L'!AR212</f>
        <v>0.19991703039423803</v>
      </c>
      <c r="X45" s="139">
        <f>'BS, CF and P&amp;L'!AU212</f>
        <v>0.13334781958336756</v>
      </c>
      <c r="Y45" s="139">
        <f>'BS, CF and P&amp;L'!AX212</f>
        <v>0.14592601766437588</v>
      </c>
      <c r="Z45" s="139">
        <f>'BS, CF and P&amp;L'!BA212</f>
        <v>0.13287664881225458</v>
      </c>
      <c r="AA45" s="139">
        <f>'BS, CF and P&amp;L'!BD212</f>
        <v>0.10750969246547248</v>
      </c>
      <c r="AB45" s="139">
        <f>'BS, CF and P&amp;L'!BG212</f>
        <v>7.9393021631596353E-2</v>
      </c>
      <c r="AD45" s="6"/>
      <c r="AE45" s="6"/>
    </row>
    <row r="46" spans="2:34">
      <c r="B46" s="21" t="s">
        <v>218</v>
      </c>
      <c r="C46" s="351">
        <f t="shared" ref="C46:I46" si="20">SUM(C42:C45)</f>
        <v>919.78</v>
      </c>
      <c r="D46" s="351">
        <f t="shared" si="20"/>
        <v>1490.6670000000001</v>
      </c>
      <c r="E46" s="351">
        <f>SUM(E42:E45)</f>
        <v>1960.951</v>
      </c>
      <c r="F46" s="351">
        <f t="shared" si="20"/>
        <v>2903.846</v>
      </c>
      <c r="G46" s="351">
        <f t="shared" si="20"/>
        <v>3012.1489999999999</v>
      </c>
      <c r="H46" s="351">
        <f t="shared" si="20"/>
        <v>3123.116</v>
      </c>
      <c r="I46" s="351">
        <f t="shared" si="20"/>
        <v>3219.0589999999997</v>
      </c>
      <c r="J46" s="351">
        <f>SUM(J42:J45)</f>
        <v>3207.0299999999997</v>
      </c>
      <c r="K46" s="351">
        <f>SUM(K42:K45)</f>
        <v>3269.0640000000003</v>
      </c>
      <c r="L46" s="351">
        <f>SUM(L42:L45)</f>
        <v>3398.8332809376279</v>
      </c>
      <c r="M46" s="351">
        <f t="shared" ref="M46:N46" si="21">SUM(M42:M45)</f>
        <v>3563.5981595462795</v>
      </c>
      <c r="N46" s="351">
        <f t="shared" si="21"/>
        <v>3757.6750248652788</v>
      </c>
      <c r="P46" s="110" t="s">
        <v>42</v>
      </c>
      <c r="Q46" s="139">
        <f>'BS, CF and P&amp;L'!Z211</f>
        <v>-1.560749021181229E-3</v>
      </c>
      <c r="R46" s="139">
        <f>'BS, CF and P&amp;L'!AC211</f>
        <v>-0.40261919374889532</v>
      </c>
      <c r="S46" s="139">
        <f>'BS, CF and P&amp;L'!AF211</f>
        <v>0.42658148031913212</v>
      </c>
      <c r="T46" s="139">
        <f>'BS, CF and P&amp;L'!AI211</f>
        <v>0.21664819778886227</v>
      </c>
      <c r="U46" s="139">
        <f>'BS, CF and P&amp;L'!AL211</f>
        <v>0.14924476229387712</v>
      </c>
      <c r="V46" s="139">
        <f>'BS, CF and P&amp;L'!AO211</f>
        <v>0.20751948347609364</v>
      </c>
      <c r="W46" s="139">
        <f>'BS, CF and P&amp;L'!AR211</f>
        <v>0.16660904490084152</v>
      </c>
      <c r="X46" s="139">
        <f>'BS, CF and P&amp;L'!AU211</f>
        <v>0.11765833690171816</v>
      </c>
      <c r="Y46" s="139">
        <f>'BS, CF and P&amp;L'!AX211</f>
        <v>0.12734331485186276</v>
      </c>
      <c r="Z46" s="139">
        <f>'BS, CF and P&amp;L'!BA211</f>
        <v>0.11729136526166981</v>
      </c>
      <c r="AA46" s="139">
        <f>'BS, CF and P&amp;L'!BD211</f>
        <v>9.7073364862514888E-2</v>
      </c>
      <c r="AB46" s="139">
        <f>'BS, CF and P&amp;L'!BG211</f>
        <v>7.3553395325445872E-2</v>
      </c>
      <c r="AD46" s="6"/>
      <c r="AE46" s="6"/>
    </row>
    <row r="47" spans="2:34">
      <c r="B47" s="167" t="s">
        <v>310</v>
      </c>
      <c r="C47" s="165">
        <f>+'BS, CF and P&amp;L'!Z157</f>
        <v>528.90800000000002</v>
      </c>
      <c r="D47" s="165">
        <f>+'BS, CF and P&amp;L'!AC157</f>
        <v>568.71400000000006</v>
      </c>
      <c r="E47" s="165">
        <f>+'BS, CF and P&amp;L'!AF157</f>
        <v>664.00900000000001</v>
      </c>
      <c r="F47" s="165">
        <f>+'BS, CF and P&amp;L'!AI157</f>
        <v>656.93200000000002</v>
      </c>
      <c r="G47" s="165">
        <f>+'BS, CF and P&amp;L'!AL157</f>
        <v>624.09900000000005</v>
      </c>
      <c r="H47" s="165">
        <f>+'BS, CF and P&amp;L'!AO157</f>
        <v>729.40499999999997</v>
      </c>
      <c r="I47" s="165">
        <f>+'BS, CF and P&amp;L'!AR157</f>
        <v>786.92200000000003</v>
      </c>
      <c r="J47" s="165">
        <f>+'BS, CF and P&amp;L'!AU157</f>
        <v>909.36900000000003</v>
      </c>
      <c r="K47" s="165">
        <f>+'BS, CF and P&amp;L'!AX157</f>
        <v>1036.2670000000001</v>
      </c>
      <c r="L47" s="165">
        <f>+'BS, CF and P&amp;L'!BA157</f>
        <v>948.86119000000008</v>
      </c>
      <c r="M47" s="165">
        <f>+'BS, CF and P&amp;L'!BD157</f>
        <v>855.1581326500002</v>
      </c>
      <c r="N47" s="165">
        <f>+'BS, CF and P&amp;L'!BG157</f>
        <v>754.9336962535001</v>
      </c>
      <c r="P47" s="110" t="s">
        <v>118</v>
      </c>
      <c r="Q47" s="125">
        <f>'BS, CF and P&amp;L'!Z112</f>
        <v>60.820877817319101</v>
      </c>
      <c r="R47" s="125">
        <f>'BS, CF and P&amp;L'!AC112</f>
        <v>75.138629592850037</v>
      </c>
      <c r="S47" s="125">
        <f>'BS, CF and P&amp;L'!AF112</f>
        <v>8.7935507783543354</v>
      </c>
      <c r="T47" s="125">
        <f>'BS, CF and P&amp;L'!AI112</f>
        <v>6.6213827759487094</v>
      </c>
      <c r="U47" s="125">
        <f>'BS, CF and P&amp;L'!AL112</f>
        <v>6.413076971030109</v>
      </c>
      <c r="V47" s="125">
        <f>'BS, CF and P&amp;L'!AO112</f>
        <v>14.830166321085969</v>
      </c>
      <c r="W47" s="125">
        <f>'BS, CF and P&amp;L'!AR112</f>
        <v>11.108328986263258</v>
      </c>
      <c r="X47" s="125">
        <f>'BS, CF and P&amp;L'!AU112</f>
        <v>10.965395549455936</v>
      </c>
      <c r="Y47" s="125">
        <f>'BS, CF and P&amp;L'!AX112</f>
        <v>9.2220070891470485</v>
      </c>
      <c r="Z47" s="125">
        <f>'BS, CF and P&amp;L'!BA112</f>
        <v>7.6655294871679693</v>
      </c>
      <c r="AA47" s="125">
        <f>'BS, CF and P&amp;L'!BD112</f>
        <v>8.8366111786437678</v>
      </c>
      <c r="AB47" s="125">
        <f>'BS, CF and P&amp;L'!BG112</f>
        <v>9.5938336907097828</v>
      </c>
      <c r="AD47" s="6"/>
      <c r="AE47" s="6"/>
    </row>
    <row r="48" spans="2:34">
      <c r="B48" s="167" t="s">
        <v>264</v>
      </c>
      <c r="C48" s="165">
        <f>+'BS, CF and P&amp;L'!Z160</f>
        <v>34.088999999999999</v>
      </c>
      <c r="D48" s="165">
        <f>+'BS, CF and P&amp;L'!AC160</f>
        <v>39.125</v>
      </c>
      <c r="E48" s="165">
        <f>+'BS, CF and P&amp;L'!AF160</f>
        <v>39.262999999999998</v>
      </c>
      <c r="F48" s="165">
        <f>+'BS, CF and P&amp;L'!AI160</f>
        <v>49.808</v>
      </c>
      <c r="G48" s="165">
        <f>+'BS, CF and P&amp;L'!AL160</f>
        <v>53.670999999999999</v>
      </c>
      <c r="H48" s="165">
        <f>+'BS, CF and P&amp;L'!AO160</f>
        <v>63.872</v>
      </c>
      <c r="I48" s="165">
        <f>+'BS, CF and P&amp;L'!AR160</f>
        <v>72.614000000000004</v>
      </c>
      <c r="J48" s="165">
        <f>+'BS, CF and P&amp;L'!AU160</f>
        <v>79.902000000000001</v>
      </c>
      <c r="K48" s="165">
        <f>+'BS, CF and P&amp;L'!AX160</f>
        <v>90.251999999999995</v>
      </c>
      <c r="L48" s="165">
        <f>+'BS, CF and P&amp;L'!BA160</f>
        <v>90.251999999999995</v>
      </c>
      <c r="M48" s="165">
        <f>+'BS, CF and P&amp;L'!BD160</f>
        <v>90.251999999999995</v>
      </c>
      <c r="N48" s="165">
        <f>+'BS, CF and P&amp;L'!BG160</f>
        <v>90.251999999999995</v>
      </c>
      <c r="P48" s="110" t="s">
        <v>43</v>
      </c>
      <c r="Q48" s="125">
        <f>'BS, CF and P&amp;L'!Z113</f>
        <v>-5.0292000089160521E-3</v>
      </c>
      <c r="R48" s="125">
        <f>'BS, CF and P&amp;L'!AC113</f>
        <v>-1.4270636466722879</v>
      </c>
      <c r="S48" s="125">
        <f>'BS, CF and P&amp;L'!AF113</f>
        <v>2.8385669125395161</v>
      </c>
      <c r="T48" s="125">
        <f>'BS, CF and P&amp;L'!AI113</f>
        <v>1.1707501801097284</v>
      </c>
      <c r="U48" s="125">
        <f>'BS, CF and P&amp;L'!AL113</f>
        <v>0.70356524902863138</v>
      </c>
      <c r="V48" s="125">
        <f>'BS, CF and P&amp;L'!AO113</f>
        <v>1.0604434667131686</v>
      </c>
      <c r="W48" s="125">
        <f>'BS, CF and P&amp;L'!AR113</f>
        <v>0.75635422536681063</v>
      </c>
      <c r="X48" s="125">
        <f>'BS, CF and P&amp;L'!AU113</f>
        <v>0.51448364096543042</v>
      </c>
      <c r="Y48" s="125">
        <f>'BS, CF and P&amp;L'!AX113</f>
        <v>0.65576423827228925</v>
      </c>
      <c r="Z48" s="125">
        <f>'BS, CF and P&amp;L'!BA113</f>
        <v>0.63149433517235676</v>
      </c>
      <c r="AA48" s="125">
        <f>'BS, CF and P&amp;L'!BD113</f>
        <v>0.48701900112000812</v>
      </c>
      <c r="AB48" s="125">
        <f>'BS, CF and P&amp;L'!BG113</f>
        <v>0.34723154808205242</v>
      </c>
      <c r="AD48" s="6"/>
      <c r="AE48" s="6"/>
      <c r="AF48" s="221"/>
      <c r="AG48" s="221"/>
      <c r="AH48" s="221"/>
    </row>
    <row r="49" spans="2:34">
      <c r="B49" s="168" t="s">
        <v>96</v>
      </c>
      <c r="C49" s="165">
        <f>+'BS, CF and P&amp;L'!Z159</f>
        <v>205.16900000000001</v>
      </c>
      <c r="D49" s="165">
        <f>+'BS, CF and P&amp;L'!AC159</f>
        <v>225.74100000000001</v>
      </c>
      <c r="E49" s="165">
        <f>+'BS, CF and P&amp;L'!AF159</f>
        <v>1772.1659999999999</v>
      </c>
      <c r="F49" s="165">
        <f>+'BS, CF and P&amp;L'!AI159</f>
        <v>1970.942</v>
      </c>
      <c r="G49" s="165">
        <f>+'BS, CF and P&amp;L'!AL159</f>
        <v>1780.63</v>
      </c>
      <c r="H49" s="165">
        <f>+'BS, CF and P&amp;L'!AO159</f>
        <v>1906.34</v>
      </c>
      <c r="I49" s="165">
        <f>+'BS, CF and P&amp;L'!AR159</f>
        <v>2020.8879999999999</v>
      </c>
      <c r="J49" s="165">
        <f>+'BS, CF and P&amp;L'!AU159</f>
        <v>1983.2190000000001</v>
      </c>
      <c r="K49" s="165">
        <f>+'BS, CF and P&amp;L'!AX159</f>
        <v>2015.5609999999999</v>
      </c>
      <c r="L49" s="165">
        <f>+'BS, CF and P&amp;L'!BA159</f>
        <v>2015.5609999999999</v>
      </c>
      <c r="M49" s="165">
        <f>+'BS, CF and P&amp;L'!BD159</f>
        <v>2015.5609999999999</v>
      </c>
      <c r="N49" s="165">
        <f>+'BS, CF and P&amp;L'!BG159</f>
        <v>2015.5609999999999</v>
      </c>
      <c r="Z49" s="110"/>
      <c r="AA49" s="110"/>
      <c r="AB49" s="110"/>
      <c r="AD49" s="6"/>
      <c r="AE49" s="6"/>
      <c r="AF49" s="25"/>
      <c r="AG49" s="25"/>
      <c r="AH49" s="25"/>
    </row>
    <row r="50" spans="2:34">
      <c r="B50" s="169" t="s">
        <v>330</v>
      </c>
      <c r="C50" s="350">
        <f>+'BS, CF and P&amp;L'!Z161</f>
        <v>0</v>
      </c>
      <c r="D50" s="350">
        <f>+'BS, CF and P&amp;L'!AC161</f>
        <v>0</v>
      </c>
      <c r="E50" s="350">
        <f>+'BS, CF and P&amp;L'!AF161</f>
        <v>37.720999999999997</v>
      </c>
      <c r="F50" s="350">
        <f>+'BS, CF and P&amp;L'!AI161</f>
        <v>73.948999999999998</v>
      </c>
      <c r="G50" s="350">
        <f>+'BS, CF and P&amp;L'!AL161</f>
        <v>14.468</v>
      </c>
      <c r="H50" s="350">
        <f>+'BS, CF and P&amp;L'!AO161</f>
        <v>21.326000000000001</v>
      </c>
      <c r="I50" s="350">
        <f>+'BS, CF and P&amp;L'!AR161</f>
        <v>25.423999999999999</v>
      </c>
      <c r="J50" s="350">
        <f>+'BS, CF and P&amp;L'!AU161</f>
        <v>22.98</v>
      </c>
      <c r="K50" s="350">
        <f>+'BS, CF and P&amp;L'!AX161</f>
        <v>20.367999999999999</v>
      </c>
      <c r="L50" s="350">
        <f>+'BS, CF and P&amp;L'!BA161</f>
        <v>20.367999999999999</v>
      </c>
      <c r="M50" s="350">
        <f>+'BS, CF and P&amp;L'!BD161</f>
        <v>20.367999999999999</v>
      </c>
      <c r="N50" s="350">
        <f>+'BS, CF and P&amp;L'!BG161</f>
        <v>20.367999999999999</v>
      </c>
      <c r="P50" s="114" t="s">
        <v>324</v>
      </c>
      <c r="Q50" s="115" t="str">
        <f t="shared" ref="Q50:AB50" si="22">C$6</f>
        <v>FY17A</v>
      </c>
      <c r="R50" s="115" t="str">
        <f t="shared" si="22"/>
        <v>FY18A</v>
      </c>
      <c r="S50" s="115" t="str">
        <f t="shared" si="22"/>
        <v>FY19A</v>
      </c>
      <c r="T50" s="115" t="str">
        <f t="shared" si="22"/>
        <v>FY20A</v>
      </c>
      <c r="U50" s="115" t="str">
        <f t="shared" si="22"/>
        <v>FY21A</v>
      </c>
      <c r="V50" s="115" t="str">
        <f t="shared" si="22"/>
        <v>FY22A</v>
      </c>
      <c r="W50" s="115" t="str">
        <f t="shared" si="22"/>
        <v>FY23A</v>
      </c>
      <c r="X50" s="115" t="str">
        <f t="shared" si="22"/>
        <v>FY24A</v>
      </c>
      <c r="Y50" s="115" t="str">
        <f t="shared" si="22"/>
        <v>FY25A</v>
      </c>
      <c r="Z50" s="115" t="str">
        <f t="shared" si="22"/>
        <v>FY26E</v>
      </c>
      <c r="AA50" s="115" t="str">
        <f t="shared" si="22"/>
        <v>FY27E</v>
      </c>
      <c r="AB50" s="115" t="str">
        <f t="shared" si="22"/>
        <v>FY28E</v>
      </c>
      <c r="AC50" s="140"/>
      <c r="AD50" s="6"/>
      <c r="AE50" s="6"/>
    </row>
    <row r="51" spans="2:34">
      <c r="B51" s="170" t="s">
        <v>178</v>
      </c>
      <c r="C51" s="351">
        <f t="shared" ref="C51:I51" si="23">SUM(C47:C50)</f>
        <v>768.16600000000005</v>
      </c>
      <c r="D51" s="351">
        <f t="shared" si="23"/>
        <v>833.58</v>
      </c>
      <c r="E51" s="351">
        <f>SUM(E47:E50)</f>
        <v>2513.1590000000001</v>
      </c>
      <c r="F51" s="351">
        <f t="shared" si="23"/>
        <v>2751.6309999999999</v>
      </c>
      <c r="G51" s="351">
        <f t="shared" si="23"/>
        <v>2472.8679999999999</v>
      </c>
      <c r="H51" s="351">
        <f t="shared" si="23"/>
        <v>2720.9429999999998</v>
      </c>
      <c r="I51" s="351">
        <f t="shared" si="23"/>
        <v>2905.848</v>
      </c>
      <c r="J51" s="351">
        <f>SUM(J47:J50)</f>
        <v>2995.4700000000003</v>
      </c>
      <c r="K51" s="351">
        <f>SUM(K47:K50)</f>
        <v>3162.4479999999999</v>
      </c>
      <c r="L51" s="351">
        <f>SUM(L47:L50)</f>
        <v>3075.0421899999997</v>
      </c>
      <c r="M51" s="351">
        <f t="shared" ref="M51:N51" si="24">SUM(M47:M50)</f>
        <v>2981.33913265</v>
      </c>
      <c r="N51" s="351">
        <f t="shared" si="24"/>
        <v>2881.1146962534999</v>
      </c>
      <c r="P51" s="110" t="s">
        <v>68</v>
      </c>
      <c r="Q51" s="139">
        <f>'BS, CF and P&amp;L'!Z215</f>
        <v>0.42525531030021102</v>
      </c>
      <c r="R51" s="139">
        <f>'BS, CF and P&amp;L'!AC215</f>
        <v>0.32554457422124233</v>
      </c>
      <c r="S51" s="139">
        <f>'BS, CF and P&amp;L'!AF215</f>
        <v>0.23332014635312939</v>
      </c>
      <c r="T51" s="139">
        <f>'BS, CF and P&amp;L'!AI215</f>
        <v>0.20479690284423505</v>
      </c>
      <c r="U51" s="139">
        <f>'BS, CF and P&amp;L'!AL215</f>
        <v>0.23540695601831235</v>
      </c>
      <c r="V51" s="139">
        <f>'BS, CF and P&amp;L'!AO215</f>
        <v>0.24821182479378964</v>
      </c>
      <c r="W51" s="139">
        <f>'BS, CF and P&amp;L'!AR215</f>
        <v>0.27678232817073123</v>
      </c>
      <c r="X51" s="139">
        <f>'BS, CF and P&amp;L'!AU215</f>
        <v>0.2837887493060125</v>
      </c>
      <c r="Y51" s="139">
        <f>'BS, CF and P&amp;L'!AX215</f>
        <v>0.2427240186085439</v>
      </c>
      <c r="Z51" s="139">
        <f>'BS, CF and P&amp;L'!BA215</f>
        <v>0.23782957588958378</v>
      </c>
      <c r="AA51" s="139">
        <f>'BS, CF and P&amp;L'!BD215</f>
        <v>0.2610445169395601</v>
      </c>
      <c r="AB51" s="139">
        <f>'BS, CF and P&amp;L'!BG215</f>
        <v>0.2833018338292827</v>
      </c>
      <c r="AD51" s="6"/>
      <c r="AE51" s="6"/>
      <c r="AF51" s="86"/>
      <c r="AG51" s="86"/>
      <c r="AH51" s="86"/>
    </row>
    <row r="52" spans="2:34">
      <c r="B52" s="171" t="s">
        <v>148</v>
      </c>
      <c r="C52" s="352">
        <f t="shared" ref="C52:I52" si="25">C51+C46</f>
        <v>1687.9459999999999</v>
      </c>
      <c r="D52" s="352">
        <f t="shared" si="25"/>
        <v>2324.2470000000003</v>
      </c>
      <c r="E52" s="352">
        <f>E51+E46</f>
        <v>4474.1100000000006</v>
      </c>
      <c r="F52" s="352">
        <f t="shared" si="25"/>
        <v>5655.4769999999999</v>
      </c>
      <c r="G52" s="352">
        <f t="shared" si="25"/>
        <v>5485.0169999999998</v>
      </c>
      <c r="H52" s="352">
        <f t="shared" si="25"/>
        <v>5844.0589999999993</v>
      </c>
      <c r="I52" s="352">
        <f t="shared" si="25"/>
        <v>6124.9069999999992</v>
      </c>
      <c r="J52" s="352">
        <f>J51+J46</f>
        <v>6202.5</v>
      </c>
      <c r="K52" s="352">
        <f>K51+K46</f>
        <v>6431.5120000000006</v>
      </c>
      <c r="L52" s="352">
        <f>L51+L46</f>
        <v>6473.8754709376281</v>
      </c>
      <c r="M52" s="352">
        <f t="shared" ref="M52:N52" si="26">M51+M46</f>
        <v>6544.9372921962795</v>
      </c>
      <c r="N52" s="352">
        <f t="shared" si="26"/>
        <v>6638.7897211187792</v>
      </c>
      <c r="P52" s="110" t="s">
        <v>307</v>
      </c>
      <c r="Q52" s="139">
        <f>'BS, CF and P&amp;L'!Z217</f>
        <v>0.19174865765754703</v>
      </c>
      <c r="R52" s="139">
        <f>'BS, CF and P&amp;L'!AC217</f>
        <v>0.14781818139940292</v>
      </c>
      <c r="S52" s="139">
        <f>'BS, CF and P&amp;L'!AF217</f>
        <v>0.1229206144584598</v>
      </c>
      <c r="T52" s="139">
        <f>'BS, CF and P&amp;L'!AI217</f>
        <v>9.6594175725397996E-2</v>
      </c>
      <c r="U52" s="139">
        <f>'BS, CF and P&amp;L'!AL217</f>
        <v>0.10131083833880662</v>
      </c>
      <c r="V52" s="139">
        <f>'BS, CF and P&amp;L'!AO217</f>
        <v>0.1166145752167265</v>
      </c>
      <c r="W52" s="139">
        <f>'BS, CF and P&amp;L'!AR217</f>
        <v>0.11648112165726381</v>
      </c>
      <c r="X52" s="139">
        <f>'BS, CF and P&amp;L'!AU217</f>
        <v>0.11066363746405085</v>
      </c>
      <c r="Y52" s="139">
        <f>'BS, CF and P&amp;L'!AX217</f>
        <v>8.5648455254203948E-2</v>
      </c>
      <c r="Z52" s="139">
        <f>'BS, CF and P&amp;L'!BA217</f>
        <v>6.762265829958844E-2</v>
      </c>
      <c r="AA52" s="139">
        <f>'BS, CF and P&amp;L'!BD217</f>
        <v>7.8822098758980497E-2</v>
      </c>
      <c r="AB52" s="139">
        <f>'BS, CF and P&amp;L'!BG217</f>
        <v>8.7246861301276624E-2</v>
      </c>
      <c r="AD52" s="6"/>
      <c r="AE52" s="6"/>
      <c r="AF52" s="81"/>
      <c r="AG52" s="81"/>
      <c r="AH52" s="81"/>
    </row>
    <row r="53" spans="2:34">
      <c r="B53" s="7" t="s">
        <v>313</v>
      </c>
      <c r="C53" s="165">
        <f>+'BS, CF and P&amp;L'!Z165</f>
        <v>353.94200000000001</v>
      </c>
      <c r="D53" s="165">
        <f>+'BS, CF and P&amp;L'!AC165</f>
        <v>369.55700000000002</v>
      </c>
      <c r="E53" s="165">
        <f>+'BS, CF and P&amp;L'!AF165</f>
        <v>699.89300000000003</v>
      </c>
      <c r="F53" s="165">
        <f>+'BS, CF and P&amp;L'!AI165</f>
        <v>792.97699999999998</v>
      </c>
      <c r="G53" s="165">
        <f>+'BS, CF and P&amp;L'!AL165</f>
        <v>984.024</v>
      </c>
      <c r="H53" s="165">
        <f>+'BS, CF and P&amp;L'!AO165</f>
        <v>1215.9749999999999</v>
      </c>
      <c r="I53" s="165">
        <f>+'BS, CF and P&amp;L'!AR165</f>
        <v>1177.8969999999999</v>
      </c>
      <c r="J53" s="165">
        <f>+'BS, CF and P&amp;L'!AU165</f>
        <v>1240.395</v>
      </c>
      <c r="K53" s="165">
        <f>+'BS, CF and P&amp;L'!AX165</f>
        <v>1257.3679999999999</v>
      </c>
      <c r="L53" s="165">
        <f>+'BS, CF and P&amp;L'!BA165</f>
        <v>1299.9512898785752</v>
      </c>
      <c r="M53" s="165">
        <f>+'BS, CF and P&amp;L'!BD165</f>
        <v>1356.2014354464172</v>
      </c>
      <c r="N53" s="165">
        <f>+'BS, CF and P&amp;L'!BG165</f>
        <v>1423.429242404558</v>
      </c>
      <c r="Z53" s="110"/>
      <c r="AA53" s="110"/>
      <c r="AB53" s="110"/>
      <c r="AD53" s="6"/>
      <c r="AE53" s="6"/>
      <c r="AF53" s="81"/>
      <c r="AG53" s="81"/>
      <c r="AH53" s="81"/>
    </row>
    <row r="54" spans="2:34">
      <c r="B54" s="7" t="s">
        <v>314</v>
      </c>
      <c r="C54" s="165">
        <f>+'BS, CF and P&amp;L'!Z167</f>
        <v>0</v>
      </c>
      <c r="D54" s="165">
        <f>+'BS, CF and P&amp;L'!AC167</f>
        <v>0</v>
      </c>
      <c r="E54" s="165">
        <f>+'BS, CF and P&amp;L'!AF167</f>
        <v>16.256</v>
      </c>
      <c r="F54" s="165">
        <f>+'BS, CF and P&amp;L'!AI167</f>
        <v>18.013000000000002</v>
      </c>
      <c r="G54" s="165">
        <f>+'BS, CF and P&amp;L'!AL167</f>
        <v>16.443000000000001</v>
      </c>
      <c r="H54" s="165">
        <f>+'BS, CF and P&amp;L'!AO167</f>
        <v>0</v>
      </c>
      <c r="I54" s="165">
        <f>+'BS, CF and P&amp;L'!AR167</f>
        <v>0</v>
      </c>
      <c r="J54" s="165">
        <f>+'BS, CF and P&amp;L'!AU167</f>
        <v>0</v>
      </c>
      <c r="K54" s="165">
        <f>+'BS, CF and P&amp;L'!AX167</f>
        <v>0</v>
      </c>
      <c r="L54" s="165">
        <f>+'BS, CF and P&amp;L'!BA167</f>
        <v>0</v>
      </c>
      <c r="M54" s="165">
        <f>+'BS, CF and P&amp;L'!BD167</f>
        <v>0</v>
      </c>
      <c r="N54" s="165">
        <f>+'BS, CF and P&amp;L'!BG167</f>
        <v>0</v>
      </c>
      <c r="P54" s="114" t="s">
        <v>309</v>
      </c>
      <c r="Q54" s="115" t="str">
        <f t="shared" ref="Q54:AB54" si="27">C$6</f>
        <v>FY17A</v>
      </c>
      <c r="R54" s="115" t="str">
        <f t="shared" si="27"/>
        <v>FY18A</v>
      </c>
      <c r="S54" s="115" t="str">
        <f t="shared" si="27"/>
        <v>FY19A</v>
      </c>
      <c r="T54" s="115" t="str">
        <f t="shared" si="27"/>
        <v>FY20A</v>
      </c>
      <c r="U54" s="115" t="str">
        <f t="shared" si="27"/>
        <v>FY21A</v>
      </c>
      <c r="V54" s="115" t="str">
        <f t="shared" si="27"/>
        <v>FY22A</v>
      </c>
      <c r="W54" s="115" t="str">
        <f t="shared" si="27"/>
        <v>FY23A</v>
      </c>
      <c r="X54" s="115" t="str">
        <f t="shared" si="27"/>
        <v>FY24A</v>
      </c>
      <c r="Y54" s="115" t="str">
        <f t="shared" si="27"/>
        <v>FY25A</v>
      </c>
      <c r="Z54" s="115" t="str">
        <f t="shared" si="27"/>
        <v>FY26E</v>
      </c>
      <c r="AA54" s="115" t="str">
        <f t="shared" si="27"/>
        <v>FY27E</v>
      </c>
      <c r="AB54" s="115" t="str">
        <f t="shared" si="27"/>
        <v>FY28E</v>
      </c>
      <c r="AD54" s="6"/>
      <c r="AE54" s="6"/>
    </row>
    <row r="55" spans="2:34">
      <c r="B55" s="7" t="s">
        <v>190</v>
      </c>
      <c r="C55" s="165">
        <f>+'BS, CF and P&amp;L'!Z169</f>
        <v>54.585000000000001</v>
      </c>
      <c r="D55" s="165">
        <f>+'BS, CF and P&amp;L'!AC169</f>
        <v>60.012999999999998</v>
      </c>
      <c r="E55" s="165">
        <f>+'BS, CF and P&amp;L'!AF169</f>
        <v>66.808000000000007</v>
      </c>
      <c r="F55" s="165">
        <f>+'BS, CF and P&amp;L'!AI169</f>
        <v>69.373999999999995</v>
      </c>
      <c r="G55" s="165">
        <f>+'BS, CF and P&amp;L'!AL169</f>
        <v>76.697999999999993</v>
      </c>
      <c r="H55" s="165">
        <f>+'BS, CF and P&amp;L'!AO169</f>
        <v>93.207999999999998</v>
      </c>
      <c r="I55" s="165">
        <f>+'BS, CF and P&amp;L'!AR169</f>
        <v>98.822999999999993</v>
      </c>
      <c r="J55" s="165">
        <f>+'BS, CF and P&amp;L'!AU169</f>
        <v>102.08799999999999</v>
      </c>
      <c r="K55" s="165">
        <f>+'BS, CF and P&amp;L'!AX169</f>
        <v>100.267</v>
      </c>
      <c r="L55" s="165">
        <f>+'BS, CF and P&amp;L'!BA169</f>
        <v>100.267</v>
      </c>
      <c r="M55" s="165">
        <f>+'BS, CF and P&amp;L'!BD169</f>
        <v>100.267</v>
      </c>
      <c r="N55" s="165">
        <f>+'BS, CF and P&amp;L'!BG169</f>
        <v>100.267</v>
      </c>
      <c r="P55" s="110" t="s">
        <v>156</v>
      </c>
      <c r="Q55" s="122">
        <f t="shared" ref="Q55:AB55" si="28">C8/C7</f>
        <v>0.14773925238761507</v>
      </c>
      <c r="R55" s="122">
        <f t="shared" si="28"/>
        <v>0.14071501047394605</v>
      </c>
      <c r="S55" s="122">
        <f t="shared" si="28"/>
        <v>9.5412695783853807E-2</v>
      </c>
      <c r="T55" s="122">
        <f t="shared" si="28"/>
        <v>0.10801994964532062</v>
      </c>
      <c r="U55" s="122">
        <f t="shared" si="28"/>
        <v>0.11483842489187024</v>
      </c>
      <c r="V55" s="122">
        <f t="shared" si="28"/>
        <v>0.10713862032923961</v>
      </c>
      <c r="W55" s="122">
        <f t="shared" si="28"/>
        <v>0.10840436436563716</v>
      </c>
      <c r="X55" s="122">
        <f t="shared" si="28"/>
        <v>0.110568039538715</v>
      </c>
      <c r="Y55" s="122">
        <f t="shared" si="28"/>
        <v>0.1002664834047947</v>
      </c>
      <c r="Z55" s="122">
        <f t="shared" si="28"/>
        <v>9.5087263767369493E-2</v>
      </c>
      <c r="AA55" s="122">
        <f t="shared" si="28"/>
        <v>0.10090473888620009</v>
      </c>
      <c r="AB55" s="122">
        <f t="shared" si="28"/>
        <v>0.10543115221766157</v>
      </c>
      <c r="AD55" s="6"/>
      <c r="AE55" s="6"/>
    </row>
    <row r="56" spans="2:34">
      <c r="B56" s="166" t="s">
        <v>217</v>
      </c>
      <c r="C56" s="350">
        <f>+'BS, CF and P&amp;L'!Z$168+'BS, CF and P&amp;L'!Z$170</f>
        <v>16.170999999999999</v>
      </c>
      <c r="D56" s="350">
        <f>+'BS, CF and P&amp;L'!AC$168+'BS, CF and P&amp;L'!AC$170</f>
        <v>7.6239999999999997</v>
      </c>
      <c r="E56" s="350">
        <f>+'BS, CF and P&amp;L'!AF$168+'BS, CF and P&amp;L'!AF$170</f>
        <v>10.234999999999999</v>
      </c>
      <c r="F56" s="350">
        <f>+'BS, CF and P&amp;L'!AI$168+'BS, CF and P&amp;L'!AI$170</f>
        <v>113.154</v>
      </c>
      <c r="G56" s="350">
        <f>+'BS, CF and P&amp;L'!AL$168+'BS, CF and P&amp;L'!AL$170</f>
        <v>85.727999999999994</v>
      </c>
      <c r="H56" s="350">
        <f>+'BS, CF and P&amp;L'!AO$168+'BS, CF and P&amp;L'!AO$170</f>
        <v>32.234000000000002</v>
      </c>
      <c r="I56" s="350">
        <f>+'BS, CF and P&amp;L'!AR$168+'BS, CF and P&amp;L'!AR$170</f>
        <v>12.948</v>
      </c>
      <c r="J56" s="350">
        <f>+'BS, CF and P&amp;L'!AU$168+'BS, CF and P&amp;L'!AU$170</f>
        <v>0.68200000000000005</v>
      </c>
      <c r="K56" s="350">
        <f>+'BS, CF and P&amp;L'!AX$168+'BS, CF and P&amp;L'!AX$170</f>
        <v>3.9319999999999999</v>
      </c>
      <c r="L56" s="350">
        <f>+'BS, CF and P&amp;L'!BA$168+'BS, CF and P&amp;L'!BA$170</f>
        <v>3.9319999999999999</v>
      </c>
      <c r="M56" s="350">
        <f>+'BS, CF and P&amp;L'!BD$168+'BS, CF and P&amp;L'!BD$170</f>
        <v>3.9319999999999999</v>
      </c>
      <c r="N56" s="350">
        <f>+'BS, CF and P&amp;L'!BG$168+'BS, CF and P&amp;L'!BG$170</f>
        <v>3.9319999999999999</v>
      </c>
      <c r="P56" s="110" t="s">
        <v>226</v>
      </c>
      <c r="Q56" s="122">
        <f t="shared" ref="Q56:AB56" si="29">C10/C7</f>
        <v>0.12717536317970515</v>
      </c>
      <c r="R56" s="122">
        <f t="shared" si="29"/>
        <v>0.12068693613273346</v>
      </c>
      <c r="S56" s="122">
        <f t="shared" si="29"/>
        <v>7.2001076329059818E-2</v>
      </c>
      <c r="T56" s="122">
        <f t="shared" si="29"/>
        <v>6.9367137693492301E-2</v>
      </c>
      <c r="U56" s="122">
        <f t="shared" si="29"/>
        <v>7.8551282742325992E-2</v>
      </c>
      <c r="V56" s="122">
        <f t="shared" si="29"/>
        <v>7.3400574862816828E-2</v>
      </c>
      <c r="W56" s="122">
        <f t="shared" si="29"/>
        <v>7.5538585611856349E-2</v>
      </c>
      <c r="X56" s="122">
        <f t="shared" si="29"/>
        <v>7.4794069192751236E-2</v>
      </c>
      <c r="Y56" s="122">
        <f t="shared" si="29"/>
        <v>6.1037787179725654E-2</v>
      </c>
      <c r="Z56" s="122">
        <f t="shared" si="29"/>
        <v>5.4910829641824845E-2</v>
      </c>
      <c r="AA56" s="122">
        <f t="shared" si="29"/>
        <v>6.1135450018708681E-2</v>
      </c>
      <c r="AB56" s="122">
        <f t="shared" si="29"/>
        <v>6.634057100670876E-2</v>
      </c>
      <c r="AD56" s="6"/>
      <c r="AE56" s="6"/>
    </row>
    <row r="57" spans="2:34">
      <c r="B57" s="21" t="s">
        <v>191</v>
      </c>
      <c r="C57" s="351">
        <f t="shared" ref="C57:I57" si="30">SUM(C53:C56)</f>
        <v>424.69799999999998</v>
      </c>
      <c r="D57" s="351">
        <f t="shared" si="30"/>
        <v>437.19400000000002</v>
      </c>
      <c r="E57" s="351">
        <f>SUM(E53:E56)</f>
        <v>793.19200000000001</v>
      </c>
      <c r="F57" s="351">
        <f t="shared" si="30"/>
        <v>993.51800000000003</v>
      </c>
      <c r="G57" s="351">
        <f t="shared" si="30"/>
        <v>1162.893</v>
      </c>
      <c r="H57" s="351">
        <f t="shared" si="30"/>
        <v>1341.4169999999999</v>
      </c>
      <c r="I57" s="351">
        <f t="shared" si="30"/>
        <v>1289.6680000000001</v>
      </c>
      <c r="J57" s="351">
        <f>SUM(J53:J56)</f>
        <v>1343.165</v>
      </c>
      <c r="K57" s="351">
        <f>SUM(K53:K56)</f>
        <v>1361.567</v>
      </c>
      <c r="L57" s="351">
        <f>SUM(L53:L56)</f>
        <v>1404.1502898785752</v>
      </c>
      <c r="M57" s="351">
        <f t="shared" ref="M57:N57" si="31">SUM(M53:M56)</f>
        <v>1460.4004354464173</v>
      </c>
      <c r="N57" s="351">
        <f t="shared" si="31"/>
        <v>1527.628242404558</v>
      </c>
      <c r="P57" s="110" t="s">
        <v>311</v>
      </c>
      <c r="Q57" s="141">
        <f>'BS, CF and P&amp;L'!Z133</f>
        <v>1.8993314116422451</v>
      </c>
      <c r="R57" s="141">
        <f>'BS, CF and P&amp;L'!AC133</f>
        <v>1.6387913904210076</v>
      </c>
      <c r="S57" s="141">
        <f>'BS, CF and P&amp;L'!AF133</f>
        <v>0.77455649946904859</v>
      </c>
      <c r="T57" s="141">
        <f>'BS, CF and P&amp;L'!AI133</f>
        <v>0.63846513374146652</v>
      </c>
      <c r="U57" s="141">
        <f>'BS, CF and P&amp;L'!AL133</f>
        <v>0.54586803431672404</v>
      </c>
      <c r="V57" s="141">
        <f>'BS, CF and P&amp;L'!AO133</f>
        <v>0.49587617288396824</v>
      </c>
      <c r="W57" s="141">
        <f>'BS, CF and P&amp;L'!AR133</f>
        <v>0.39670271295769299</v>
      </c>
      <c r="X57" s="141">
        <f>'BS, CF and P&amp;L'!AU133</f>
        <v>0.3975924254425553</v>
      </c>
      <c r="Y57" s="141">
        <f>'BS, CF and P&amp;L'!AX133</f>
        <v>0.39680434529538866</v>
      </c>
      <c r="Z57" s="141">
        <f>'BS, CF and P&amp;L'!BA133</f>
        <v>0.5</v>
      </c>
      <c r="AA57" s="141">
        <f>'BS, CF and P&amp;L'!BD133</f>
        <v>0.5</v>
      </c>
      <c r="AB57" s="141">
        <f>'BS, CF and P&amp;L'!BG133</f>
        <v>0.5</v>
      </c>
      <c r="AD57" s="6"/>
      <c r="AE57" s="6"/>
    </row>
    <row r="58" spans="2:34">
      <c r="B58" s="7" t="s">
        <v>315</v>
      </c>
      <c r="C58" s="165">
        <f>+'BS, CF and P&amp;L'!Z174</f>
        <v>100</v>
      </c>
      <c r="D58" s="165">
        <f>+'BS, CF and P&amp;L'!AC174</f>
        <v>0</v>
      </c>
      <c r="E58" s="165">
        <f>+'BS, CF and P&amp;L'!AF174</f>
        <v>1593.0409999999999</v>
      </c>
      <c r="F58" s="165">
        <f>+'BS, CF and P&amp;L'!AI174</f>
        <v>1747.2190000000001</v>
      </c>
      <c r="G58" s="165">
        <f>+'BS, CF and P&amp;L'!AL174</f>
        <v>1319.173</v>
      </c>
      <c r="H58" s="165">
        <f>+'BS, CF and P&amp;L'!AO174</f>
        <v>1090.088</v>
      </c>
      <c r="I58" s="165">
        <f>+'BS, CF and P&amp;L'!AR174</f>
        <v>1097.49</v>
      </c>
      <c r="J58" s="165">
        <f>+'BS, CF and P&amp;L'!AU174</f>
        <v>859.322</v>
      </c>
      <c r="K58" s="165">
        <f>+'BS, CF and P&amp;L'!AX174</f>
        <v>865.72799999999995</v>
      </c>
      <c r="L58" s="165">
        <f>+'BS, CF and P&amp;L'!BA174</f>
        <v>835.59856963281732</v>
      </c>
      <c r="M58" s="165">
        <f>+'BS, CF and P&amp;L'!BD174</f>
        <v>754.12498441931393</v>
      </c>
      <c r="N58" s="165">
        <f>+'BS, CF and P&amp;L'!BG174</f>
        <v>650.43846749086038</v>
      </c>
      <c r="Z58" s="110"/>
      <c r="AA58" s="110"/>
      <c r="AB58" s="110"/>
      <c r="AD58" s="6"/>
      <c r="AE58" s="6"/>
    </row>
    <row r="59" spans="2:34">
      <c r="B59" s="7" t="s">
        <v>136</v>
      </c>
      <c r="C59" s="165">
        <f>+'BS, CF and P&amp;L'!Z177</f>
        <v>3.0840000000000001</v>
      </c>
      <c r="D59" s="165">
        <f>+'BS, CF and P&amp;L'!AC177</f>
        <v>4.0030000000000001</v>
      </c>
      <c r="E59" s="165">
        <f>+'BS, CF and P&amp;L'!AF177</f>
        <v>5.008</v>
      </c>
      <c r="F59" s="165">
        <f>+'BS, CF and P&amp;L'!AI177</f>
        <v>5.444</v>
      </c>
      <c r="G59" s="165">
        <f>+'BS, CF and P&amp;L'!AL177</f>
        <v>4.9580000000000002</v>
      </c>
      <c r="H59" s="165">
        <f>+'BS, CF and P&amp;L'!AO177</f>
        <v>4.7240000000000002</v>
      </c>
      <c r="I59" s="165">
        <f>+'BS, CF and P&amp;L'!AR177</f>
        <v>6.0640000000000001</v>
      </c>
      <c r="J59" s="165">
        <f>+'BS, CF and P&amp;L'!AU177</f>
        <v>14.201000000000001</v>
      </c>
      <c r="K59" s="165">
        <f>+'BS, CF and P&amp;L'!AX177</f>
        <v>10.449</v>
      </c>
      <c r="L59" s="165">
        <f>+'BS, CF and P&amp;L'!BA177</f>
        <v>10.449</v>
      </c>
      <c r="M59" s="165">
        <f>+'BS, CF and P&amp;L'!BD177</f>
        <v>10.449</v>
      </c>
      <c r="N59" s="165">
        <f>+'BS, CF and P&amp;L'!BG177</f>
        <v>10.449</v>
      </c>
      <c r="P59" s="114" t="s">
        <v>325</v>
      </c>
      <c r="Q59" s="115" t="str">
        <f t="shared" ref="Q59:AB59" si="32">C$6</f>
        <v>FY17A</v>
      </c>
      <c r="R59" s="115" t="str">
        <f t="shared" si="32"/>
        <v>FY18A</v>
      </c>
      <c r="S59" s="115" t="str">
        <f t="shared" si="32"/>
        <v>FY19A</v>
      </c>
      <c r="T59" s="115" t="str">
        <f t="shared" si="32"/>
        <v>FY20A</v>
      </c>
      <c r="U59" s="115" t="str">
        <f t="shared" si="32"/>
        <v>FY21A</v>
      </c>
      <c r="V59" s="115" t="str">
        <f t="shared" si="32"/>
        <v>FY22A</v>
      </c>
      <c r="W59" s="115" t="str">
        <f t="shared" si="32"/>
        <v>FY23A</v>
      </c>
      <c r="X59" s="115" t="str">
        <f t="shared" si="32"/>
        <v>FY24A</v>
      </c>
      <c r="Y59" s="115" t="str">
        <f t="shared" si="32"/>
        <v>FY25A</v>
      </c>
      <c r="Z59" s="115" t="str">
        <f t="shared" si="32"/>
        <v>FY26E</v>
      </c>
      <c r="AA59" s="115" t="str">
        <f t="shared" si="32"/>
        <v>FY27E</v>
      </c>
      <c r="AB59" s="115" t="str">
        <f t="shared" si="32"/>
        <v>FY28E</v>
      </c>
      <c r="AD59" s="6"/>
      <c r="AE59" s="6"/>
    </row>
    <row r="60" spans="2:34">
      <c r="B60" s="166" t="s">
        <v>217</v>
      </c>
      <c r="C60" s="350">
        <f>+'BS, CF and P&amp;L'!Z$176+'BS, CF and P&amp;L'!Z$178</f>
        <v>0</v>
      </c>
      <c r="D60" s="350">
        <f>+'BS, CF and P&amp;L'!AC$176+'BS, CF and P&amp;L'!AC$178</f>
        <v>0</v>
      </c>
      <c r="E60" s="350">
        <f>+'BS, CF and P&amp;L'!AF$176+'BS, CF and P&amp;L'!AF$178</f>
        <v>61.954000000000001</v>
      </c>
      <c r="F60" s="350">
        <f>+'BS, CF and P&amp;L'!AI$176+'BS, CF and P&amp;L'!AI$178</f>
        <v>100.742</v>
      </c>
      <c r="G60" s="350">
        <f>+'BS, CF and P&amp;L'!AL$176+'BS, CF and P&amp;L'!AL$178</f>
        <v>57.794999999999995</v>
      </c>
      <c r="H60" s="350">
        <f>+'BS, CF and P&amp;L'!AO$176+'BS, CF and P&amp;L'!AO$178</f>
        <v>29.625</v>
      </c>
      <c r="I60" s="350">
        <f>+'BS, CF and P&amp;L'!AR$176+'BS, CF and P&amp;L'!AR$178</f>
        <v>23.818000000000001</v>
      </c>
      <c r="J60" s="350">
        <f>+'BS, CF and P&amp;L'!AU$176+'BS, CF and P&amp;L'!AU$178</f>
        <v>21.097000000000001</v>
      </c>
      <c r="K60" s="350">
        <f>+'BS, CF and P&amp;L'!AX$176+'BS, CF and P&amp;L'!AX$178</f>
        <v>28.902999999999999</v>
      </c>
      <c r="L60" s="350">
        <f>+'BS, CF and P&amp;L'!BA$176+'BS, CF and P&amp;L'!BA$178</f>
        <v>28.902999999999999</v>
      </c>
      <c r="M60" s="350">
        <f>+'BS, CF and P&amp;L'!BD$176+'BS, CF and P&amp;L'!BD$178</f>
        <v>28.902999999999999</v>
      </c>
      <c r="N60" s="350">
        <f>+'BS, CF and P&amp;L'!BG$176+'BS, CF and P&amp;L'!BG$178</f>
        <v>28.902999999999999</v>
      </c>
      <c r="P60" s="110" t="s">
        <v>312</v>
      </c>
      <c r="Q60" s="142">
        <f>'Market Drivers'!O48</f>
        <v>221394</v>
      </c>
      <c r="R60" s="142">
        <f>'Market Drivers'!U48</f>
        <v>197041</v>
      </c>
      <c r="S60" s="142">
        <f>'Market Drivers'!X48</f>
        <v>173342</v>
      </c>
      <c r="T60" s="163">
        <f>'Market Drivers'!X48</f>
        <v>173342</v>
      </c>
      <c r="U60" s="163">
        <f>'Market Drivers'!AA48</f>
        <v>213379</v>
      </c>
      <c r="V60" s="163">
        <f>'Market Drivers'!AD48</f>
        <v>206128</v>
      </c>
      <c r="W60" s="163">
        <f>'Market Drivers'!AG48</f>
        <v>173966</v>
      </c>
      <c r="X60" s="163">
        <f>'Market Drivers'!AJ48</f>
        <v>159677</v>
      </c>
      <c r="Y60" s="163">
        <f>'Market Drivers'!AM48</f>
        <v>162863.27000000002</v>
      </c>
      <c r="Z60" s="163">
        <f>'Market Drivers'!AP48</f>
        <v>170320.71640000003</v>
      </c>
      <c r="AA60" s="163">
        <f>'Market Drivers'!AS48</f>
        <v>184996.90004000004</v>
      </c>
      <c r="AB60" s="163">
        <f>'Market Drivers'!AV48</f>
        <v>188392.48669600004</v>
      </c>
      <c r="AD60" s="6"/>
      <c r="AE60" s="6"/>
    </row>
    <row r="61" spans="2:34">
      <c r="B61" s="21" t="s">
        <v>138</v>
      </c>
      <c r="C61" s="351">
        <f t="shared" ref="C61:I61" si="33">SUM(C58:C60)</f>
        <v>103.084</v>
      </c>
      <c r="D61" s="351">
        <f t="shared" si="33"/>
        <v>4.0030000000000001</v>
      </c>
      <c r="E61" s="351">
        <f>SUM(E58:E60)</f>
        <v>1660.0029999999999</v>
      </c>
      <c r="F61" s="351">
        <f t="shared" si="33"/>
        <v>1853.405</v>
      </c>
      <c r="G61" s="351">
        <f t="shared" si="33"/>
        <v>1381.9260000000002</v>
      </c>
      <c r="H61" s="351">
        <f t="shared" si="33"/>
        <v>1124.4369999999999</v>
      </c>
      <c r="I61" s="351">
        <f t="shared" si="33"/>
        <v>1127.3720000000001</v>
      </c>
      <c r="J61" s="351">
        <f>SUM(J58:J60)</f>
        <v>894.62</v>
      </c>
      <c r="K61" s="351">
        <f>SUM(K58:K60)</f>
        <v>905.07999999999993</v>
      </c>
      <c r="L61" s="351">
        <f>SUM(L58:L60)</f>
        <v>874.95056963281729</v>
      </c>
      <c r="M61" s="351">
        <f t="shared" ref="M61:N61" si="34">SUM(M58:M60)</f>
        <v>793.47698441931391</v>
      </c>
      <c r="N61" s="351">
        <f t="shared" si="34"/>
        <v>689.79046749086035</v>
      </c>
      <c r="P61" s="110" t="s">
        <v>326</v>
      </c>
      <c r="Q61" s="143">
        <f>'Market Drivers'!O49</f>
        <v>-5.5647500426548424E-2</v>
      </c>
      <c r="R61" s="143">
        <f>'Market Drivers'!R49</f>
        <v>3.5547485478377938E-2</v>
      </c>
      <c r="S61" s="143">
        <f>'Market Drivers'!U49</f>
        <v>-0.1405497592295345</v>
      </c>
      <c r="T61" s="143">
        <f>T60/R60-1</f>
        <v>-0.12027446064524638</v>
      </c>
      <c r="U61" s="143">
        <f t="shared" ref="U61:Y61" si="35">U60/T60-1</f>
        <v>0.23097114375050487</v>
      </c>
      <c r="V61" s="143">
        <f t="shared" si="35"/>
        <v>-3.3981788273447666E-2</v>
      </c>
      <c r="W61" s="143">
        <f t="shared" si="35"/>
        <v>-0.15602926337033296</v>
      </c>
      <c r="X61" s="143">
        <f t="shared" si="35"/>
        <v>-8.2136739362864031E-2</v>
      </c>
      <c r="Y61" s="143">
        <f t="shared" si="35"/>
        <v>1.9954470587498552E-2</v>
      </c>
      <c r="Z61" s="143">
        <f>Z60/Y60-1</f>
        <v>4.5789614810018309E-2</v>
      </c>
      <c r="AA61" s="143">
        <f>AA60/Z60-1</f>
        <v>8.6167930420940841E-2</v>
      </c>
      <c r="AB61" s="143">
        <f>AB60/AA60-1</f>
        <v>1.8354830028318281E-2</v>
      </c>
      <c r="AD61" s="6"/>
      <c r="AE61" s="6"/>
    </row>
    <row r="62" spans="2:34">
      <c r="B62" s="47" t="s">
        <v>59</v>
      </c>
      <c r="C62" s="352">
        <f t="shared" ref="C62:I62" si="36">C61+C57</f>
        <v>527.78199999999993</v>
      </c>
      <c r="D62" s="352">
        <f t="shared" si="36"/>
        <v>441.197</v>
      </c>
      <c r="E62" s="352">
        <f>E61+E57</f>
        <v>2453.1949999999997</v>
      </c>
      <c r="F62" s="352">
        <f t="shared" si="36"/>
        <v>2846.9229999999998</v>
      </c>
      <c r="G62" s="352">
        <f t="shared" si="36"/>
        <v>2544.8190000000004</v>
      </c>
      <c r="H62" s="352">
        <f t="shared" si="36"/>
        <v>2465.8539999999998</v>
      </c>
      <c r="I62" s="352">
        <f t="shared" si="36"/>
        <v>2417.04</v>
      </c>
      <c r="J62" s="352">
        <f>J61+J57</f>
        <v>2237.7849999999999</v>
      </c>
      <c r="K62" s="352">
        <f>K61+K57</f>
        <v>2266.6469999999999</v>
      </c>
      <c r="L62" s="352">
        <f>L61+L57</f>
        <v>2279.1008595113926</v>
      </c>
      <c r="M62" s="352">
        <f t="shared" ref="M62:N62" si="37">M61+M57</f>
        <v>2253.8774198657311</v>
      </c>
      <c r="N62" s="352">
        <f t="shared" si="37"/>
        <v>2217.4187098954185</v>
      </c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D62" s="6"/>
      <c r="AE62" s="6"/>
    </row>
    <row r="63" spans="2:34">
      <c r="B63" s="47" t="s">
        <v>60</v>
      </c>
      <c r="C63" s="352">
        <f t="shared" ref="C63:I63" si="38">C52-C62</f>
        <v>1160.164</v>
      </c>
      <c r="D63" s="352">
        <f t="shared" si="38"/>
        <v>1883.0500000000002</v>
      </c>
      <c r="E63" s="352">
        <f>E52-E62</f>
        <v>2020.9150000000009</v>
      </c>
      <c r="F63" s="352">
        <f t="shared" si="38"/>
        <v>2808.5540000000001</v>
      </c>
      <c r="G63" s="352">
        <f t="shared" si="38"/>
        <v>2940.1979999999994</v>
      </c>
      <c r="H63" s="352">
        <f t="shared" si="38"/>
        <v>3378.2049999999995</v>
      </c>
      <c r="I63" s="352">
        <f t="shared" si="38"/>
        <v>3707.8669999999993</v>
      </c>
      <c r="J63" s="352">
        <f>J52-J62</f>
        <v>3964.7150000000001</v>
      </c>
      <c r="K63" s="352">
        <f>K52-K62</f>
        <v>4164.8650000000007</v>
      </c>
      <c r="L63" s="352">
        <f>L52-L62</f>
        <v>4194.7746114262354</v>
      </c>
      <c r="M63" s="352">
        <f t="shared" ref="M63:N63" si="39">M52-M62</f>
        <v>4291.0598723305484</v>
      </c>
      <c r="N63" s="352">
        <f t="shared" si="39"/>
        <v>4421.3710112233603</v>
      </c>
      <c r="P63" s="110" t="s">
        <v>415</v>
      </c>
      <c r="Q63" s="142">
        <f>'Market Drivers'!O77</f>
        <v>812.4</v>
      </c>
      <c r="R63" s="142">
        <f>'Market Drivers'!U77</f>
        <v>854.3</v>
      </c>
      <c r="S63" s="142">
        <f>'Market Drivers'!X77</f>
        <v>888.8</v>
      </c>
      <c r="T63" s="367">
        <f>'Market Drivers'!X77</f>
        <v>888.8</v>
      </c>
      <c r="U63" s="367">
        <f>'Market Drivers'!AA77</f>
        <v>1123.2999999999997</v>
      </c>
      <c r="V63" s="367">
        <f>'Market Drivers'!AD77</f>
        <v>1132.3000000000002</v>
      </c>
      <c r="W63" s="367">
        <f>'Market Drivers'!AG77</f>
        <v>884.5</v>
      </c>
      <c r="X63" s="367">
        <f>'Market Drivers'!AJ77</f>
        <v>1020.5</v>
      </c>
      <c r="Y63" s="367">
        <f>'Market Drivers'!AM77</f>
        <v>1015.702</v>
      </c>
      <c r="Z63" s="367">
        <f>'Market Drivers'!AP77</f>
        <v>1049.01404</v>
      </c>
      <c r="AA63" s="367">
        <f>'Market Drivers'!AS77</f>
        <v>1075.3850411999999</v>
      </c>
      <c r="AB63" s="367">
        <f>'Market Drivers'!AV77</f>
        <v>1068.7794983519998</v>
      </c>
      <c r="AD63" s="6"/>
      <c r="AE63" s="6"/>
    </row>
    <row r="64" spans="2:34">
      <c r="B64" s="21" t="s">
        <v>61</v>
      </c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P64" s="110" t="s">
        <v>416</v>
      </c>
      <c r="Q64" s="143">
        <f>'Market Drivers'!O78</f>
        <v>7.2616847108529115E-2</v>
      </c>
      <c r="R64" s="143">
        <f>'Market Drivers'!R78</f>
        <v>8.5672082717872966E-2</v>
      </c>
      <c r="S64" s="143">
        <f>'Market Drivers'!U78</f>
        <v>-3.1405895691610008E-2</v>
      </c>
      <c r="T64" s="143">
        <f>T63/R63-1</f>
        <v>4.038394006789181E-2</v>
      </c>
      <c r="U64" s="143">
        <f t="shared" ref="U64:AB64" si="40">U63/T63-1</f>
        <v>0.2638388838883885</v>
      </c>
      <c r="V64" s="143">
        <f t="shared" si="40"/>
        <v>8.0121071841898761E-3</v>
      </c>
      <c r="W64" s="143">
        <f t="shared" si="40"/>
        <v>-0.21884659542524076</v>
      </c>
      <c r="X64" s="143">
        <f t="shared" si="40"/>
        <v>0.15375918598078009</v>
      </c>
      <c r="Y64" s="143">
        <f t="shared" si="40"/>
        <v>-4.7016168544831149E-3</v>
      </c>
      <c r="Z64" s="143">
        <f t="shared" si="40"/>
        <v>3.2797060555162849E-2</v>
      </c>
      <c r="AA64" s="143">
        <f t="shared" si="40"/>
        <v>2.5138844852829578E-2</v>
      </c>
      <c r="AB64" s="143">
        <f t="shared" si="40"/>
        <v>-6.1424909171408082E-3</v>
      </c>
      <c r="AD64" s="6"/>
      <c r="AE64" s="6"/>
    </row>
    <row r="65" spans="2:31">
      <c r="B65" s="7" t="s">
        <v>229</v>
      </c>
      <c r="C65" s="165">
        <f>+'BS, CF and P&amp;L'!Z183</f>
        <v>9.9600000000000009</v>
      </c>
      <c r="D65" s="165">
        <f>+'BS, CF and P&amp;L'!AC183</f>
        <v>604.34900000000005</v>
      </c>
      <c r="E65" s="165">
        <f>+'BS, CF and P&amp;L'!AF183</f>
        <v>604.84900000000005</v>
      </c>
      <c r="F65" s="165">
        <f>+'BS, CF and P&amp;L'!AI183</f>
        <v>1246.9179999999999</v>
      </c>
      <c r="G65" s="165">
        <f>+'BS, CF and P&amp;L'!AL183</f>
        <v>1246.9179999999999</v>
      </c>
      <c r="H65" s="165">
        <f>+'BS, CF and P&amp;L'!AO183</f>
        <v>1246.9179999999999</v>
      </c>
      <c r="I65" s="165">
        <f>+'BS, CF and P&amp;L'!AR183</f>
        <v>1246.9179999999999</v>
      </c>
      <c r="J65" s="165">
        <f>+'BS, CF and P&amp;L'!AU183</f>
        <v>1246.9179999999999</v>
      </c>
      <c r="K65" s="165">
        <f>+'BS, CF and P&amp;L'!AX183</f>
        <v>1246.9179999999999</v>
      </c>
      <c r="L65" s="165">
        <f>+'BS, CF and P&amp;L'!BA183</f>
        <v>1246.9179999999999</v>
      </c>
      <c r="M65" s="165">
        <f>+'BS, CF and P&amp;L'!BD183</f>
        <v>1246.9179999999999</v>
      </c>
      <c r="N65" s="165">
        <f>+'BS, CF and P&amp;L'!BG183</f>
        <v>1246.9179999999999</v>
      </c>
      <c r="P65" s="110" t="s">
        <v>331</v>
      </c>
      <c r="Q65" s="143">
        <f>'Market Drivers'!O86</f>
        <v>0.14132552962392908</v>
      </c>
      <c r="R65" s="143">
        <f>'Market Drivers'!R86</f>
        <v>0.15150340037621191</v>
      </c>
      <c r="S65" s="143">
        <f>'Market Drivers'!U86</f>
        <v>-9.4445365944378246E-2</v>
      </c>
      <c r="T65" s="143">
        <f>'Market Drivers'!X86</f>
        <v>8.8021269864177132E-2</v>
      </c>
      <c r="U65" s="143">
        <f>'Market Drivers'!AA86</f>
        <v>0.22601380478423017</v>
      </c>
      <c r="V65" s="143">
        <f>'Market Drivers'!AD86</f>
        <v>0.20777124025266103</v>
      </c>
      <c r="W65" s="143">
        <f>'Market Drivers'!AG86</f>
        <v>0.21423649631012842</v>
      </c>
      <c r="X65" s="143">
        <f>'Market Drivers'!AJ86</f>
        <v>-7.7927913357564549E-2</v>
      </c>
      <c r="Y65" s="143">
        <f>'Market Drivers'!AM86</f>
        <v>-7.8304256805625805E-2</v>
      </c>
      <c r="Z65" s="143">
        <f>'Market Drivers'!AP86</f>
        <v>-5.8076984964529066E-3</v>
      </c>
      <c r="AA65" s="143">
        <f>'Market Drivers'!AS86</f>
        <v>5.7658093866597149E-3</v>
      </c>
      <c r="AB65" s="143">
        <f>'Market Drivers'!AV86</f>
        <v>2.4023145446190552E-2</v>
      </c>
      <c r="AD65" s="6"/>
      <c r="AE65" s="6"/>
    </row>
    <row r="66" spans="2:31">
      <c r="B66" s="7" t="s">
        <v>58</v>
      </c>
      <c r="C66" s="165">
        <f>+'BS, CF and P&amp;L'!Z184</f>
        <v>3.7480000000000002</v>
      </c>
      <c r="D66" s="165">
        <f>+'BS, CF and P&amp;L'!AC184</f>
        <v>7.8719999999999999</v>
      </c>
      <c r="E66" s="165">
        <f>+'BS, CF and P&amp;L'!AF184</f>
        <v>29.58</v>
      </c>
      <c r="F66" s="165">
        <f>+'BS, CF and P&amp;L'!AI184</f>
        <v>30.384</v>
      </c>
      <c r="G66" s="165">
        <f>+'BS, CF and P&amp;L'!AL184</f>
        <v>-39.47</v>
      </c>
      <c r="H66" s="165">
        <f>+'BS, CF and P&amp;L'!AO184</f>
        <v>126.76900000000001</v>
      </c>
      <c r="I66" s="165">
        <f>+'BS, CF and P&amp;L'!AR184</f>
        <v>192.29400000000001</v>
      </c>
      <c r="J66" s="165">
        <f>+'BS, CF and P&amp;L'!AU184</f>
        <v>193.33799999999999</v>
      </c>
      <c r="K66" s="165">
        <f>+'BS, CF and P&amp;L'!AX184</f>
        <v>194.226</v>
      </c>
      <c r="L66" s="165">
        <f>+'BS, CF and P&amp;L'!BA184</f>
        <v>194.226</v>
      </c>
      <c r="M66" s="165">
        <f>+'BS, CF and P&amp;L'!BD184</f>
        <v>194.226</v>
      </c>
      <c r="N66" s="165">
        <f>+'BS, CF and P&amp;L'!BG184</f>
        <v>194.226</v>
      </c>
      <c r="Z66" s="110"/>
      <c r="AA66" s="110"/>
      <c r="AB66" s="110"/>
      <c r="AD66" s="6"/>
      <c r="AE66" s="6"/>
    </row>
    <row r="67" spans="2:31">
      <c r="B67" s="7" t="s">
        <v>202</v>
      </c>
      <c r="C67" s="165">
        <f>+'BS, CF and P&amp;L'!Z185</f>
        <v>1144.5930000000001</v>
      </c>
      <c r="D67" s="165">
        <f>+'BS, CF and P&amp;L'!AC185</f>
        <v>1268.617</v>
      </c>
      <c r="E67" s="165">
        <f>+'BS, CF and P&amp;L'!AF185</f>
        <v>1357.1510000000001</v>
      </c>
      <c r="F67" s="165">
        <f>+'BS, CF and P&amp;L'!AI185</f>
        <v>1472.5840000000001</v>
      </c>
      <c r="G67" s="165">
        <f>+'BS, CF and P&amp;L'!AL185</f>
        <v>1680.6610000000001</v>
      </c>
      <c r="H67" s="165">
        <f>+'BS, CF and P&amp;L'!AO185</f>
        <v>1947.182</v>
      </c>
      <c r="I67" s="165">
        <f>+'BS, CF and P&amp;L'!AR185</f>
        <v>2186.212</v>
      </c>
      <c r="J67" s="165">
        <f>+'BS, CF and P&amp;L'!AU185</f>
        <v>2443.8870000000002</v>
      </c>
      <c r="K67" s="165">
        <f>+'BS, CF and P&amp;L'!AX185</f>
        <v>2604.1729999999998</v>
      </c>
      <c r="L67" s="165">
        <f>+'BS, CF and P&amp;L'!BA185</f>
        <v>2774.7026114262349</v>
      </c>
      <c r="M67" s="165">
        <f>+'BS, CF and P&amp;L'!BD185</f>
        <v>3011.6078723305473</v>
      </c>
      <c r="N67" s="165">
        <f>+'BS, CF and P&amp;L'!BG185</f>
        <v>3282.5390112233595</v>
      </c>
      <c r="P67" s="110" t="s">
        <v>327</v>
      </c>
      <c r="Q67" s="127">
        <f>'Market Drivers'!O32</f>
        <v>0.75410840326340312</v>
      </c>
      <c r="R67" s="127">
        <f>'Market Drivers'!R32</f>
        <v>0.77110884615384623</v>
      </c>
      <c r="S67" s="127">
        <f>'Market Drivers'!U32</f>
        <v>0.70562226562499997</v>
      </c>
      <c r="T67" s="127">
        <f>'Market Drivers'!X32</f>
        <v>0.70750000000000002</v>
      </c>
      <c r="U67" s="127">
        <f>'Market Drivers'!AA32</f>
        <v>0.74354999999999993</v>
      </c>
      <c r="V67" s="127">
        <f>'Market Drivers'!AD32</f>
        <v>0.72873750000000004</v>
      </c>
      <c r="W67" s="127">
        <f>'Market Drivers'!AG32</f>
        <v>0.67999999999999994</v>
      </c>
      <c r="X67" s="127">
        <f>'Market Drivers'!AJ32</f>
        <v>0.65570461538461533</v>
      </c>
      <c r="Y67" s="127">
        <f>'Market Drivers'!AM32</f>
        <v>0.64904651515958089</v>
      </c>
      <c r="Z67" s="127">
        <f>'Market Drivers'!AP32</f>
        <v>0.66</v>
      </c>
      <c r="AA67" s="127">
        <f>'Market Drivers'!AS32</f>
        <v>0.67</v>
      </c>
      <c r="AB67" s="127">
        <f>'Market Drivers'!AV32</f>
        <v>0.67</v>
      </c>
      <c r="AD67" s="6"/>
      <c r="AE67" s="6"/>
    </row>
    <row r="68" spans="2:31">
      <c r="B68" s="166" t="s">
        <v>137</v>
      </c>
      <c r="C68" s="350">
        <f>+'BS, CF and P&amp;L'!Z186</f>
        <v>0</v>
      </c>
      <c r="D68" s="350">
        <f>+'BS, CF and P&amp;L'!AC186</f>
        <v>0</v>
      </c>
      <c r="E68" s="350">
        <f>+'BS, CF and P&amp;L'!AF186</f>
        <v>0</v>
      </c>
      <c r="F68" s="350">
        <f>+'BS, CF and P&amp;L'!AI186</f>
        <v>0</v>
      </c>
      <c r="G68" s="350">
        <f>+'BS, CF and P&amp;L'!AL186</f>
        <v>0</v>
      </c>
      <c r="H68" s="350">
        <f>+'BS, CF and P&amp;L'!AO186</f>
        <v>0</v>
      </c>
      <c r="I68" s="350">
        <f>+'BS, CF and P&amp;L'!AR186</f>
        <v>0</v>
      </c>
      <c r="J68" s="350">
        <f>+'BS, CF and P&amp;L'!AU186</f>
        <v>0</v>
      </c>
      <c r="K68" s="350">
        <f>+'BS, CF and P&amp;L'!AX186</f>
        <v>0</v>
      </c>
      <c r="L68" s="350">
        <f>+'BS, CF and P&amp;L'!BA186</f>
        <v>0</v>
      </c>
      <c r="M68" s="350">
        <f>+'BS, CF and P&amp;L'!BD186</f>
        <v>0</v>
      </c>
      <c r="N68" s="350">
        <f>+'BS, CF and P&amp;L'!BG186</f>
        <v>0</v>
      </c>
    </row>
    <row r="69" spans="2:31">
      <c r="B69" s="21" t="s">
        <v>316</v>
      </c>
      <c r="C69" s="351">
        <f t="shared" ref="C69:I69" si="41">SUM(C65:C68)</f>
        <v>1158.3010000000002</v>
      </c>
      <c r="D69" s="351">
        <f t="shared" si="41"/>
        <v>1880.838</v>
      </c>
      <c r="E69" s="351">
        <f>SUM(E65:E68)</f>
        <v>1991.5800000000002</v>
      </c>
      <c r="F69" s="351">
        <f t="shared" si="41"/>
        <v>2749.886</v>
      </c>
      <c r="G69" s="351">
        <f t="shared" si="41"/>
        <v>2888.1089999999999</v>
      </c>
      <c r="H69" s="351">
        <f t="shared" si="41"/>
        <v>3320.8689999999997</v>
      </c>
      <c r="I69" s="351">
        <f t="shared" si="41"/>
        <v>3625.424</v>
      </c>
      <c r="J69" s="351">
        <f>SUM(J65:J68)</f>
        <v>3884.143</v>
      </c>
      <c r="K69" s="351">
        <f>SUM(K65:K68)</f>
        <v>4045.3169999999996</v>
      </c>
      <c r="L69" s="351">
        <f>SUM(L65:L68)</f>
        <v>4215.8466114262346</v>
      </c>
      <c r="M69" s="351">
        <f t="shared" ref="M69:N69" si="42">SUM(M65:M68)</f>
        <v>4452.7518723305475</v>
      </c>
      <c r="N69" s="351">
        <f t="shared" si="42"/>
        <v>4723.6830112233592</v>
      </c>
      <c r="P69" s="174" t="s">
        <v>328</v>
      </c>
    </row>
    <row r="72" spans="2:31"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2:31"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2:31"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P74" s="6"/>
      <c r="Q74" s="5"/>
    </row>
    <row r="75" spans="2:31"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</row>
    <row r="76" spans="2:31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</row>
    <row r="77" spans="2:31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</row>
    <row r="78" spans="2:31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P78" s="7"/>
      <c r="Q78" s="7"/>
      <c r="R78" s="7"/>
      <c r="S78" s="7"/>
      <c r="T78" s="7"/>
      <c r="U78" s="7"/>
      <c r="V78" s="7"/>
    </row>
    <row r="79" spans="2:31">
      <c r="P79" s="144"/>
      <c r="Q79" s="144"/>
      <c r="R79" s="145"/>
      <c r="S79" s="145"/>
      <c r="T79" s="145"/>
      <c r="U79" s="145"/>
      <c r="V79" s="145"/>
    </row>
    <row r="80" spans="2:31">
      <c r="P80" s="146"/>
      <c r="Q80" s="146"/>
      <c r="R80" s="145"/>
      <c r="S80" s="145"/>
      <c r="T80" s="145"/>
      <c r="U80" s="145"/>
      <c r="V80" s="147"/>
    </row>
    <row r="81" spans="15:22">
      <c r="P81" s="146"/>
      <c r="Q81" s="146"/>
      <c r="R81" s="145"/>
      <c r="S81" s="145"/>
      <c r="T81" s="145"/>
      <c r="U81" s="145"/>
      <c r="V81" s="148"/>
    </row>
    <row r="82" spans="15:22">
      <c r="P82" s="149"/>
      <c r="Q82" s="149"/>
      <c r="R82" s="145"/>
      <c r="S82" s="145"/>
      <c r="T82" s="145"/>
      <c r="U82" s="145"/>
      <c r="V82" s="147"/>
    </row>
    <row r="83" spans="15:22">
      <c r="P83" s="146"/>
      <c r="Q83" s="146"/>
      <c r="R83" s="145"/>
      <c r="S83" s="145"/>
      <c r="T83" s="145"/>
      <c r="U83" s="145"/>
      <c r="V83" s="150"/>
    </row>
    <row r="84" spans="15:22">
      <c r="P84" s="146"/>
      <c r="Q84" s="146"/>
      <c r="R84" s="145"/>
      <c r="S84" s="145"/>
      <c r="T84" s="145"/>
      <c r="U84" s="145"/>
      <c r="V84" s="150"/>
    </row>
    <row r="85" spans="15:22">
      <c r="O85" s="6"/>
      <c r="P85" s="146"/>
      <c r="Q85" s="146"/>
      <c r="R85" s="145"/>
      <c r="S85" s="145"/>
      <c r="T85" s="145"/>
      <c r="U85" s="145"/>
      <c r="V85" s="145"/>
    </row>
    <row r="86" spans="15:22">
      <c r="O86" s="6"/>
      <c r="P86" s="151"/>
      <c r="Q86" s="151"/>
      <c r="R86" s="152"/>
      <c r="S86" s="152"/>
      <c r="T86" s="152"/>
      <c r="U86" s="152"/>
      <c r="V86" s="152"/>
    </row>
    <row r="87" spans="15:22">
      <c r="P87" s="146"/>
      <c r="Q87" s="146"/>
      <c r="R87" s="147"/>
      <c r="S87" s="147"/>
      <c r="T87" s="147"/>
      <c r="U87" s="147"/>
      <c r="V87" s="147"/>
    </row>
    <row r="88" spans="15:22">
      <c r="P88" s="153"/>
      <c r="Q88" s="153"/>
      <c r="R88" s="154"/>
      <c r="S88" s="154"/>
      <c r="T88" s="154"/>
      <c r="U88" s="154"/>
      <c r="V88" s="154"/>
    </row>
    <row r="89" spans="15:22">
      <c r="P89" s="153"/>
      <c r="Q89" s="153"/>
      <c r="R89" s="155"/>
      <c r="S89" s="155"/>
      <c r="T89" s="155"/>
      <c r="U89" s="155"/>
      <c r="V89" s="155"/>
    </row>
    <row r="90" spans="15:22">
      <c r="P90" s="153"/>
      <c r="Q90" s="153"/>
      <c r="R90" s="156"/>
      <c r="S90" s="156"/>
      <c r="T90" s="156"/>
      <c r="U90" s="156"/>
      <c r="V90" s="156"/>
    </row>
    <row r="91" spans="15:22">
      <c r="P91" s="531"/>
      <c r="Q91" s="531"/>
      <c r="R91" s="531"/>
      <c r="S91" s="531"/>
      <c r="T91" s="531"/>
      <c r="U91" s="531"/>
      <c r="V91" s="531"/>
    </row>
    <row r="92" spans="15:22">
      <c r="P92" s="153"/>
      <c r="Q92" s="153"/>
      <c r="R92" s="148"/>
      <c r="S92" s="148"/>
      <c r="T92" s="148"/>
      <c r="U92" s="148"/>
      <c r="V92" s="148"/>
    </row>
    <row r="93" spans="15:22">
      <c r="P93" s="153"/>
      <c r="Q93" s="153"/>
      <c r="R93" s="157"/>
      <c r="S93" s="157"/>
      <c r="T93" s="157"/>
      <c r="U93" s="157"/>
      <c r="V93" s="157"/>
    </row>
    <row r="94" spans="15:22">
      <c r="P94" s="153"/>
      <c r="Q94" s="153"/>
      <c r="R94" s="154"/>
      <c r="S94" s="154"/>
      <c r="T94" s="154"/>
      <c r="U94" s="154"/>
      <c r="V94" s="154"/>
    </row>
    <row r="95" spans="15:22">
      <c r="P95" s="153"/>
      <c r="Q95" s="153"/>
      <c r="R95" s="158"/>
      <c r="S95" s="158"/>
      <c r="T95" s="158"/>
      <c r="U95" s="158"/>
      <c r="V95" s="158"/>
    </row>
    <row r="96" spans="15:22">
      <c r="P96" s="7"/>
      <c r="Q96" s="7"/>
      <c r="R96" s="7"/>
      <c r="S96" s="7"/>
      <c r="T96" s="7"/>
      <c r="U96" s="7"/>
      <c r="V96" s="7"/>
    </row>
    <row r="97" spans="2:25">
      <c r="P97" s="159"/>
      <c r="Q97" s="159"/>
      <c r="R97" s="159"/>
      <c r="S97" s="159"/>
      <c r="T97" s="159"/>
      <c r="U97" s="7"/>
      <c r="V97" s="7"/>
    </row>
    <row r="98" spans="2:25">
      <c r="P98" s="7"/>
      <c r="Q98" s="7"/>
      <c r="R98" s="7"/>
      <c r="S98" s="7"/>
      <c r="T98" s="7"/>
      <c r="U98" s="7"/>
      <c r="V98" s="7"/>
    </row>
    <row r="99" spans="2:25">
      <c r="P99" s="7"/>
      <c r="Q99" s="7"/>
      <c r="R99" s="7"/>
      <c r="S99" s="7"/>
      <c r="T99" s="7"/>
      <c r="U99" s="7"/>
      <c r="V99" s="7"/>
    </row>
    <row r="100" spans="2:25">
      <c r="P100" s="7"/>
      <c r="Q100" s="7"/>
      <c r="R100" s="7"/>
      <c r="S100" s="7"/>
      <c r="T100" s="7"/>
      <c r="U100" s="7"/>
      <c r="V100" s="7"/>
    </row>
    <row r="101" spans="2:25">
      <c r="P101" s="7"/>
      <c r="Q101" s="7"/>
      <c r="R101" s="160"/>
      <c r="S101" s="160"/>
      <c r="T101" s="160"/>
      <c r="U101" s="160"/>
      <c r="V101" s="160"/>
      <c r="W101" s="161"/>
      <c r="X101" s="161"/>
      <c r="Y101" s="161"/>
    </row>
    <row r="102" spans="2:25">
      <c r="P102" s="7"/>
      <c r="Q102" s="7"/>
      <c r="R102" s="2"/>
      <c r="S102" s="2"/>
      <c r="T102" s="2"/>
      <c r="U102" s="2"/>
      <c r="V102" s="2"/>
      <c r="W102" s="1"/>
      <c r="X102" s="1"/>
      <c r="Y102" s="1"/>
    </row>
    <row r="103" spans="2:25">
      <c r="P103" s="7"/>
      <c r="Q103" s="7"/>
      <c r="R103" s="7"/>
      <c r="S103" s="7"/>
      <c r="T103" s="7"/>
      <c r="U103" s="7"/>
      <c r="V103" s="7"/>
    </row>
    <row r="104" spans="2:25">
      <c r="P104" s="7"/>
      <c r="Q104" s="7"/>
      <c r="R104" s="7"/>
      <c r="S104" s="7"/>
      <c r="T104" s="7"/>
      <c r="U104" s="7"/>
      <c r="V104" s="7"/>
    </row>
    <row r="108" spans="2:25">
      <c r="B108" s="119"/>
      <c r="C108" s="119"/>
    </row>
    <row r="109" spans="2:25"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</row>
    <row r="110" spans="2:25"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</row>
    <row r="111" spans="2:25"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</row>
    <row r="112" spans="2:25"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</row>
    <row r="113" spans="2:14"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</row>
    <row r="114" spans="2:14"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</row>
    <row r="115" spans="2:14"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</row>
    <row r="121" spans="2:14"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</row>
    <row r="122" spans="2:14"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</row>
    <row r="127" spans="2:14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>
      <c r="B128" s="119"/>
      <c r="C128" s="119"/>
    </row>
    <row r="129" spans="2:14"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</row>
    <row r="130" spans="2:14"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</row>
    <row r="131" spans="2:14"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</row>
    <row r="132" spans="2:14"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</row>
    <row r="133" spans="2:14"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  <c r="N133" s="164"/>
    </row>
    <row r="134" spans="2:14"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</row>
    <row r="135" spans="2:14"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</row>
    <row r="136" spans="2:14"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</row>
    <row r="137" spans="2:14">
      <c r="B137" s="119"/>
      <c r="C137" s="119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</row>
    <row r="138" spans="2:14"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</row>
    <row r="139" spans="2:14">
      <c r="B139" s="119"/>
      <c r="C139" s="119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</row>
    <row r="140" spans="2:14"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</row>
    <row r="143" spans="2:14"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</row>
    <row r="144" spans="2:14"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  <c r="N144" s="164"/>
    </row>
    <row r="145" spans="4:17"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</row>
    <row r="146" spans="4:17"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</row>
    <row r="147" spans="4:17"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</row>
    <row r="148" spans="4:17"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</row>
    <row r="149" spans="4:17"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P149" s="163"/>
      <c r="Q149" s="163"/>
    </row>
    <row r="150" spans="4:17"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  <c r="N150" s="164"/>
      <c r="P150" s="163"/>
      <c r="Q150" s="163"/>
    </row>
    <row r="151" spans="4:17"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P151" s="163"/>
      <c r="Q151" s="163"/>
    </row>
    <row r="152" spans="4:17"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P152" s="163"/>
      <c r="Q152" s="163"/>
    </row>
    <row r="153" spans="4:17"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P153" s="163"/>
      <c r="Q153" s="163"/>
    </row>
    <row r="154" spans="4:17"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P154" s="163"/>
      <c r="Q154" s="163"/>
    </row>
    <row r="155" spans="4:17"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P155" s="163"/>
      <c r="Q155" s="163"/>
    </row>
    <row r="156" spans="4:17"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P156" s="163"/>
      <c r="Q156" s="163"/>
    </row>
    <row r="157" spans="4:17">
      <c r="P157" s="163"/>
      <c r="Q157" s="163"/>
    </row>
    <row r="158" spans="4:17"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P158" s="163"/>
      <c r="Q158" s="163"/>
    </row>
    <row r="159" spans="4:17"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P159" s="163"/>
      <c r="Q159" s="163"/>
    </row>
    <row r="160" spans="4:17"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P160" s="163"/>
      <c r="Q160" s="163"/>
    </row>
    <row r="162" spans="4:14"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</row>
    <row r="163" spans="4:14"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</row>
    <row r="165" spans="4:14"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</row>
    <row r="166" spans="4:14"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</row>
    <row r="195" spans="15:15">
      <c r="O195" s="165"/>
    </row>
    <row r="196" spans="15:15">
      <c r="O196" s="165"/>
    </row>
    <row r="197" spans="15:15">
      <c r="O197" s="165"/>
    </row>
    <row r="198" spans="15:15">
      <c r="O198" s="165"/>
    </row>
    <row r="199" spans="15:15">
      <c r="O199" s="165"/>
    </row>
    <row r="200" spans="15:15">
      <c r="O200" s="165"/>
    </row>
    <row r="201" spans="15:15">
      <c r="O201" s="165"/>
    </row>
    <row r="202" spans="15:15">
      <c r="O202" s="165"/>
    </row>
    <row r="203" spans="15:15">
      <c r="O203" s="165"/>
    </row>
    <row r="204" spans="15:15">
      <c r="O204" s="165"/>
    </row>
    <row r="205" spans="15:15">
      <c r="O205" s="165"/>
    </row>
    <row r="208" spans="15:15">
      <c r="O208" s="165"/>
    </row>
    <row r="209" spans="15:15">
      <c r="O209" s="165"/>
    </row>
    <row r="210" spans="15:15">
      <c r="O210" s="165"/>
    </row>
  </sheetData>
  <mergeCells count="4">
    <mergeCell ref="AD11:AE11"/>
    <mergeCell ref="AD12:AE12"/>
    <mergeCell ref="AD13:AE13"/>
    <mergeCell ref="P91:V91"/>
  </mergeCells>
  <pageMargins left="0.25" right="0.25" top="0.3" bottom="0.3" header="0.3" footer="0.3"/>
  <pageSetup paperSize="9" scale="7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A034905-A1CB-4053-8B9B-A0D775C7C004}">
            <xm:f>SUM('[MS_ABC.xlsm]BS, CF and P&amp;L'!#REF!,'[MS_ABC.xlsm]BS, CF and P&amp;L'!#REF!)&lt;&gt;0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AD12</xm:sqref>
        </x14:conditionalFormatting>
        <x14:conditionalFormatting xmlns:xm="http://schemas.microsoft.com/office/excel/2006/main">
          <x14:cfRule type="expression" priority="1" id="{FE5881FF-EAA9-489B-A2D4-D7E2E39D2CD5}">
            <xm:f>SUM('[MS_ABC.xlsm]BS, CF and P&amp;L'!#REF!,'[MS_ABC.xlsm]BS, CF and P&amp;L'!#REF!)&lt;&gt;0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AD13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CC"/>
    <pageSetUpPr fitToPage="1"/>
  </sheetPr>
  <dimension ref="A1:V95"/>
  <sheetViews>
    <sheetView zoomScaleNormal="100" workbookViewId="0">
      <selection activeCell="F46" sqref="F46"/>
    </sheetView>
  </sheetViews>
  <sheetFormatPr defaultColWidth="9.109375" defaultRowHeight="10.199999999999999" outlineLevelRow="1"/>
  <cols>
    <col min="1" max="1" width="2.44140625" style="6" customWidth="1"/>
    <col min="2" max="2" width="27.5546875" style="6" customWidth="1"/>
    <col min="3" max="3" width="10" style="6" customWidth="1"/>
    <col min="4" max="13" width="10.44140625" style="6" customWidth="1"/>
    <col min="14" max="16384" width="9.109375" style="6"/>
  </cols>
  <sheetData>
    <row r="1" spans="1:22">
      <c r="B1" s="304"/>
      <c r="C1" s="9"/>
      <c r="D1" s="9"/>
      <c r="E1" s="9"/>
    </row>
    <row r="2" spans="1:22">
      <c r="B2" s="304"/>
      <c r="C2" s="9"/>
      <c r="D2" s="223"/>
      <c r="E2" s="9"/>
      <c r="Q2" s="224" t="s">
        <v>380</v>
      </c>
      <c r="R2" s="198"/>
      <c r="S2" s="199"/>
      <c r="T2" s="199"/>
      <c r="U2" s="199"/>
    </row>
    <row r="3" spans="1:22">
      <c r="B3" s="225"/>
      <c r="C3" s="9"/>
      <c r="D3" s="223"/>
      <c r="E3" s="101"/>
      <c r="F3" s="101"/>
      <c r="G3" s="101"/>
      <c r="H3" s="101"/>
      <c r="I3" s="101"/>
      <c r="J3" s="101"/>
      <c r="K3" s="101"/>
      <c r="L3" s="101"/>
      <c r="M3" s="101"/>
      <c r="Q3" s="224"/>
      <c r="R3" s="198"/>
      <c r="S3" s="199"/>
      <c r="T3" s="199"/>
      <c r="U3" s="199"/>
    </row>
    <row r="4" spans="1:22" ht="12.75" customHeight="1">
      <c r="A4" s="228" t="s">
        <v>467</v>
      </c>
      <c r="B4" s="228"/>
      <c r="C4" s="228"/>
      <c r="D4" s="228"/>
      <c r="Q4" s="192"/>
      <c r="R4" s="192"/>
      <c r="S4" s="192"/>
      <c r="T4" s="192"/>
      <c r="U4" s="192"/>
    </row>
    <row r="5" spans="1:22" ht="12.75" customHeight="1">
      <c r="A5" s="228"/>
      <c r="B5" s="228"/>
      <c r="C5" s="228"/>
      <c r="D5" s="228"/>
      <c r="E5" s="533" t="s">
        <v>430</v>
      </c>
      <c r="F5" s="534"/>
      <c r="G5" s="535"/>
      <c r="I5" s="448" t="s">
        <v>431</v>
      </c>
      <c r="J5" s="449"/>
      <c r="K5" s="450"/>
      <c r="M5" s="448" t="s">
        <v>432</v>
      </c>
      <c r="N5" s="449"/>
      <c r="O5" s="450"/>
      <c r="P5" s="450"/>
      <c r="Q5" s="192"/>
      <c r="R5" s="192"/>
      <c r="S5" s="192"/>
      <c r="T5" s="192"/>
      <c r="U5" s="192"/>
    </row>
    <row r="6" spans="1:22" ht="12.75" customHeight="1">
      <c r="B6" s="235" t="s">
        <v>332</v>
      </c>
      <c r="C6" s="236" t="s">
        <v>333</v>
      </c>
      <c r="D6" s="237" t="s">
        <v>429</v>
      </c>
      <c r="E6" s="238" t="s">
        <v>160</v>
      </c>
      <c r="F6" s="239" t="s">
        <v>247</v>
      </c>
      <c r="G6" s="240" t="s">
        <v>250</v>
      </c>
      <c r="H6" s="240" t="s">
        <v>253</v>
      </c>
      <c r="I6" s="238" t="s">
        <v>160</v>
      </c>
      <c r="J6" s="239" t="s">
        <v>247</v>
      </c>
      <c r="K6" s="240" t="s">
        <v>250</v>
      </c>
      <c r="L6" s="240" t="s">
        <v>253</v>
      </c>
      <c r="M6" s="238" t="s">
        <v>160</v>
      </c>
      <c r="N6" s="239" t="s">
        <v>247</v>
      </c>
      <c r="O6" s="240" t="s">
        <v>250</v>
      </c>
      <c r="P6" s="240" t="s">
        <v>253</v>
      </c>
      <c r="Q6" s="192"/>
      <c r="R6" s="192"/>
      <c r="S6" s="193" t="s">
        <v>160</v>
      </c>
      <c r="T6" s="193" t="s">
        <v>247</v>
      </c>
      <c r="U6" s="193" t="s">
        <v>250</v>
      </c>
      <c r="V6" s="193" t="s">
        <v>253</v>
      </c>
    </row>
    <row r="7" spans="1:22">
      <c r="B7" s="253" t="s">
        <v>428</v>
      </c>
      <c r="C7" s="232">
        <v>0.5</v>
      </c>
      <c r="D7" s="76">
        <f>E34</f>
        <v>14.373615029164611</v>
      </c>
      <c r="E7" s="201">
        <f t="shared" ref="E7:H9" si="0">(($D7*$C$45)-$C$88-$C$89)/S$7</f>
        <v>11.477222552721342</v>
      </c>
      <c r="F7" s="180">
        <f t="shared" si="0"/>
        <v>10.078733511723939</v>
      </c>
      <c r="G7" s="202">
        <f t="shared" si="0"/>
        <v>8.624960397199704</v>
      </c>
      <c r="H7" s="202">
        <f t="shared" si="0"/>
        <v>8.2097684864546387</v>
      </c>
      <c r="I7" s="201">
        <f t="shared" ref="I7:L9" si="1">(($D7*$C$45)-$C$88-$C$89)/S$8</f>
        <v>16.779180607546888</v>
      </c>
      <c r="J7" s="180">
        <f t="shared" si="1"/>
        <v>14.711350764354703</v>
      </c>
      <c r="K7" s="202">
        <f t="shared" si="1"/>
        <v>12.377559653307497</v>
      </c>
      <c r="L7" s="202">
        <f t="shared" si="1"/>
        <v>12.136497136887794</v>
      </c>
      <c r="M7" s="201">
        <f t="shared" ref="M7:P9" si="2">+$D7/S$9</f>
        <v>32.511512214849247</v>
      </c>
      <c r="N7" s="180">
        <f t="shared" si="2"/>
        <v>25.647493705993419</v>
      </c>
      <c r="O7" s="202">
        <f t="shared" si="2"/>
        <v>22.942052695417207</v>
      </c>
      <c r="P7" s="202">
        <f t="shared" si="2"/>
        <v>22.336806276135334</v>
      </c>
      <c r="Q7" s="192"/>
      <c r="R7" s="193" t="s">
        <v>182</v>
      </c>
      <c r="S7" s="194">
        <f>'BS, CF and P&amp;L'!AL27</f>
        <v>720.11800000000005</v>
      </c>
      <c r="T7" s="194">
        <f>'BS, CF and P&amp;L'!AO27</f>
        <v>820.03899999999999</v>
      </c>
      <c r="U7" s="194">
        <f>'BS, CF and P&amp;L'!AR27</f>
        <v>958.26</v>
      </c>
      <c r="V7" s="194">
        <f>'BS, CF and P&amp;L'!AU27</f>
        <v>1006.722</v>
      </c>
    </row>
    <row r="8" spans="1:22">
      <c r="B8" s="253" t="s">
        <v>53</v>
      </c>
      <c r="C8" s="232">
        <v>0.5</v>
      </c>
      <c r="D8" s="76">
        <f ca="1">+D95</f>
        <v>16.939674938565958</v>
      </c>
      <c r="E8" s="201">
        <f t="shared" ca="1" si="0"/>
        <v>13.672548444701491</v>
      </c>
      <c r="F8" s="180">
        <f t="shared" ca="1" si="0"/>
        <v>12.006560957346601</v>
      </c>
      <c r="G8" s="202">
        <f t="shared" ca="1" si="0"/>
        <v>10.274714838250109</v>
      </c>
      <c r="H8" s="202">
        <f t="shared" ca="1" si="0"/>
        <v>9.7801063659099032</v>
      </c>
      <c r="I8" s="201">
        <f t="shared" ca="1" si="1"/>
        <v>19.988647834025375</v>
      </c>
      <c r="J8" s="180">
        <f t="shared" ca="1" si="1"/>
        <v>17.525290207511372</v>
      </c>
      <c r="K8" s="202">
        <f t="shared" ca="1" si="1"/>
        <v>14.745099104739664</v>
      </c>
      <c r="L8" s="202">
        <f t="shared" ca="1" si="1"/>
        <v>14.457926932307707</v>
      </c>
      <c r="M8" s="201">
        <f t="shared" ca="1" si="2"/>
        <v>38.315653199511864</v>
      </c>
      <c r="N8" s="180">
        <f t="shared" ca="1" si="2"/>
        <v>30.226230874203086</v>
      </c>
      <c r="O8" s="202">
        <f t="shared" ca="1" si="2"/>
        <v>27.037799071094607</v>
      </c>
      <c r="P8" s="202">
        <f t="shared" ca="1" si="2"/>
        <v>26.324500601672487</v>
      </c>
      <c r="Q8" s="192"/>
      <c r="R8" s="193" t="s">
        <v>183</v>
      </c>
      <c r="S8" s="194">
        <f>'BS, CF and P&amp;L'!AL32</f>
        <v>492.57200000000006</v>
      </c>
      <c r="T8" s="194">
        <f>'BS, CF and P&amp;L'!AO32</f>
        <v>561.80799999999999</v>
      </c>
      <c r="U8" s="194">
        <f>'BS, CF and P&amp;L'!AR32</f>
        <v>667.73699999999997</v>
      </c>
      <c r="V8" s="194">
        <f>'BS, CF and P&amp;L'!AU32</f>
        <v>681</v>
      </c>
    </row>
    <row r="9" spans="1:22">
      <c r="B9" s="241" t="s">
        <v>334</v>
      </c>
      <c r="C9" s="242">
        <f>SUM(C7:C8)</f>
        <v>1</v>
      </c>
      <c r="D9" s="243">
        <f ca="1">IFERROR((D7*C7)+(D8*C8),"")</f>
        <v>15.656644983865284</v>
      </c>
      <c r="E9" s="203">
        <f t="shared" ca="1" si="0"/>
        <v>12.574885498711415</v>
      </c>
      <c r="F9" s="204">
        <f t="shared" ca="1" si="0"/>
        <v>11.04264723453527</v>
      </c>
      <c r="G9" s="205">
        <f t="shared" ca="1" si="0"/>
        <v>9.4498376177249064</v>
      </c>
      <c r="H9" s="205">
        <f t="shared" ca="1" si="0"/>
        <v>8.9949374261822719</v>
      </c>
      <c r="I9" s="203">
        <f t="shared" ca="1" si="1"/>
        <v>18.383914220786131</v>
      </c>
      <c r="J9" s="204">
        <f t="shared" ca="1" si="1"/>
        <v>16.118320485933037</v>
      </c>
      <c r="K9" s="205">
        <f t="shared" ca="1" si="1"/>
        <v>13.561329379023581</v>
      </c>
      <c r="L9" s="205">
        <f t="shared" ca="1" si="1"/>
        <v>13.29721203459775</v>
      </c>
      <c r="M9" s="203">
        <f t="shared" ca="1" si="2"/>
        <v>35.413582707180559</v>
      </c>
      <c r="N9" s="204">
        <f t="shared" ca="1" si="2"/>
        <v>27.936862290098254</v>
      </c>
      <c r="O9" s="205">
        <f t="shared" ca="1" si="2"/>
        <v>24.989925883255907</v>
      </c>
      <c r="P9" s="205">
        <f t="shared" ca="1" si="2"/>
        <v>24.330653438903909</v>
      </c>
      <c r="Q9" s="192"/>
      <c r="R9" s="193" t="s">
        <v>6</v>
      </c>
      <c r="S9" s="195">
        <f>'BS, CF and P&amp;L'!AL239/100</f>
        <v>0.4421084732748799</v>
      </c>
      <c r="T9" s="195">
        <f>'BS, CF and P&amp;L'!AO239/100</f>
        <v>0.56042961522613499</v>
      </c>
      <c r="U9" s="195">
        <f>'BS, CF and P&amp;L'!AR239/100</f>
        <v>0.62651826407999733</v>
      </c>
      <c r="V9" s="195">
        <f>'BS, CF and P&amp;L'!AU239/100</f>
        <v>0.64349463622834013</v>
      </c>
    </row>
    <row r="10" spans="1:22">
      <c r="B10" s="251" t="s">
        <v>288</v>
      </c>
      <c r="C10" s="244"/>
      <c r="D10" s="255"/>
      <c r="E10" s="182"/>
      <c r="F10" s="182"/>
      <c r="G10" s="233"/>
      <c r="H10" s="233"/>
      <c r="I10" s="206"/>
      <c r="J10" s="182"/>
      <c r="K10" s="190"/>
      <c r="L10" s="190"/>
      <c r="M10" s="234"/>
      <c r="O10" s="190"/>
      <c r="P10" s="190"/>
      <c r="Q10" s="192"/>
      <c r="R10" s="196"/>
      <c r="S10" s="192"/>
      <c r="T10" s="197"/>
      <c r="U10" s="197"/>
    </row>
    <row r="11" spans="1:22">
      <c r="B11" s="252" t="s">
        <v>335</v>
      </c>
      <c r="C11" s="181"/>
      <c r="D11" s="246">
        <f ca="1">D9*(1+D10)</f>
        <v>15.656644983865284</v>
      </c>
      <c r="E11" s="182"/>
      <c r="F11" s="182"/>
      <c r="G11" s="233"/>
      <c r="H11" s="233"/>
      <c r="I11" s="206"/>
      <c r="J11" s="182"/>
      <c r="K11" s="190"/>
      <c r="L11" s="190"/>
      <c r="M11" s="234"/>
      <c r="O11" s="190"/>
      <c r="P11" s="190"/>
      <c r="Q11" s="192"/>
      <c r="R11" s="192"/>
      <c r="S11" s="192"/>
      <c r="T11" s="192"/>
      <c r="U11" s="192"/>
    </row>
    <row r="12" spans="1:22">
      <c r="B12" s="245" t="s">
        <v>477</v>
      </c>
      <c r="C12" s="181"/>
      <c r="D12" s="247">
        <f ca="1">+ROUND(D11,0)</f>
        <v>16</v>
      </c>
      <c r="E12" s="204">
        <f ca="1">(($D12*$C$45)-$C$88-$C$89)/S$7</f>
        <v>12.868633962767211</v>
      </c>
      <c r="F12" s="204">
        <f ca="1">(($D12*$C$45)-$C$88-$C$89)/T$7</f>
        <v>11.300602717675622</v>
      </c>
      <c r="G12" s="205">
        <f ca="1">(($D12*$C$45)-$C$88-$C$89)/U$7</f>
        <v>9.6705851773005236</v>
      </c>
      <c r="H12" s="205">
        <f ca="1">(($D12*$C$45)-$C$88-$C$89)/V$7</f>
        <v>9.2050585484374032</v>
      </c>
      <c r="I12" s="203">
        <f ca="1">(($D12*$C$45)-$C$88-$C$89)/S$8</f>
        <v>18.813361197956844</v>
      </c>
      <c r="J12" s="204">
        <f ca="1">(($D12*$C$45)-$C$88-$C$89)/T$8</f>
        <v>16.494843348617319</v>
      </c>
      <c r="K12" s="205">
        <f ca="1">(($D12*$C$45)-$C$88-$C$89)/U$8</f>
        <v>13.878121104566619</v>
      </c>
      <c r="L12" s="205">
        <f ca="1">(($D12*$C$45)-$C$88-$C$89)/V$8</f>
        <v>13.607833997063143</v>
      </c>
      <c r="M12" s="203">
        <f ca="1">+$D12/S$9</f>
        <v>36.190213414100384</v>
      </c>
      <c r="N12" s="204">
        <f ca="1">+$D12/T$9</f>
        <v>28.549526230058262</v>
      </c>
      <c r="O12" s="205">
        <f ca="1">+$D12/U$9</f>
        <v>25.53796260591859</v>
      </c>
      <c r="P12" s="205">
        <f ca="1">+$D12/V$9</f>
        <v>24.864232115094893</v>
      </c>
    </row>
    <row r="13" spans="1:22">
      <c r="B13" s="248" t="s">
        <v>336</v>
      </c>
      <c r="C13" s="249"/>
      <c r="D13" s="250">
        <f ca="1">D12/'Fin Sum'!AE7-1</f>
        <v>0.16533139111434814</v>
      </c>
      <c r="E13" s="70"/>
      <c r="F13" s="9"/>
    </row>
    <row r="14" spans="1:22">
      <c r="B14" s="226"/>
      <c r="C14" s="227"/>
      <c r="D14" s="200"/>
      <c r="E14" s="70"/>
      <c r="F14" s="9"/>
    </row>
    <row r="15" spans="1:22">
      <c r="B15" s="425" t="s">
        <v>441</v>
      </c>
      <c r="C15" s="426" t="s">
        <v>379</v>
      </c>
      <c r="D15" s="427" t="s">
        <v>436</v>
      </c>
      <c r="E15" s="428" t="s">
        <v>437</v>
      </c>
      <c r="F15" s="9"/>
    </row>
    <row r="16" spans="1:22">
      <c r="B16" s="429" t="s">
        <v>428</v>
      </c>
      <c r="C16" s="430">
        <f>D7</f>
        <v>14.373615029164611</v>
      </c>
      <c r="D16" s="430">
        <v>10.43217611858738</v>
      </c>
      <c r="E16" s="431">
        <f>+C16/D16-1</f>
        <v>0.3778156029742088</v>
      </c>
      <c r="F16" s="9"/>
    </row>
    <row r="17" spans="1:16">
      <c r="B17" s="441" t="s">
        <v>53</v>
      </c>
      <c r="C17" s="442">
        <f ca="1">D8</f>
        <v>16.939674938565958</v>
      </c>
      <c r="D17" s="442">
        <v>13.966332163635307</v>
      </c>
      <c r="E17" s="443">
        <f ca="1">+C17/D17-1</f>
        <v>0.21289360299423921</v>
      </c>
      <c r="F17" s="9"/>
    </row>
    <row r="18" spans="1:16">
      <c r="B18" s="434" t="s">
        <v>287</v>
      </c>
      <c r="C18" s="432">
        <f ca="1">+AVERAGE(C16:C17)</f>
        <v>15.656644983865284</v>
      </c>
      <c r="D18" s="432">
        <v>12.199254141111343</v>
      </c>
      <c r="E18" s="433">
        <f ca="1">+C18/D18-1</f>
        <v>0.2834100185766748</v>
      </c>
      <c r="F18" s="9"/>
    </row>
    <row r="19" spans="1:16">
      <c r="B19" s="441" t="s">
        <v>435</v>
      </c>
      <c r="C19" s="444">
        <f>D10</f>
        <v>0</v>
      </c>
      <c r="D19" s="444">
        <v>0</v>
      </c>
      <c r="E19" s="443"/>
      <c r="F19" s="9"/>
    </row>
    <row r="20" spans="1:16">
      <c r="B20" s="435" t="s">
        <v>591</v>
      </c>
      <c r="C20" s="436">
        <f ca="1">D12</f>
        <v>16</v>
      </c>
      <c r="D20" s="436">
        <v>12</v>
      </c>
      <c r="E20" s="437">
        <f ca="1">+C20/D20-1</f>
        <v>0.33333333333333326</v>
      </c>
      <c r="G20" s="396">
        <f ca="1">C20/F21-1</f>
        <v>0.16533139111434814</v>
      </c>
    </row>
    <row r="21" spans="1:16">
      <c r="B21" s="445" t="s">
        <v>444</v>
      </c>
      <c r="C21" s="446">
        <v>23</v>
      </c>
      <c r="D21" s="446">
        <v>22</v>
      </c>
      <c r="E21" s="443">
        <f>+C21/D21-1</f>
        <v>4.5454545454545414E-2</v>
      </c>
      <c r="F21" s="6">
        <f>'Fin Sum'!AE7</f>
        <v>13.73</v>
      </c>
      <c r="G21" s="396">
        <f>C21/F21-1</f>
        <v>0.67516387472687533</v>
      </c>
      <c r="I21" s="396"/>
    </row>
    <row r="22" spans="1:16">
      <c r="B22" s="438" t="s">
        <v>445</v>
      </c>
      <c r="C22" s="439">
        <v>8</v>
      </c>
      <c r="D22" s="439">
        <v>7</v>
      </c>
      <c r="E22" s="440">
        <f>+C22/D22-1</f>
        <v>0.14285714285714279</v>
      </c>
      <c r="G22" s="396">
        <f>C22/F21-1</f>
        <v>-0.41733430444282593</v>
      </c>
    </row>
    <row r="23" spans="1:16">
      <c r="C23" s="183"/>
      <c r="D23" s="184"/>
      <c r="E23" s="175"/>
      <c r="F23" s="185"/>
    </row>
    <row r="24" spans="1:16">
      <c r="A24" s="536">
        <f>D34</f>
        <v>10.682978036942519</v>
      </c>
      <c r="B24" s="536"/>
      <c r="C24" s="231"/>
      <c r="D24" s="231"/>
      <c r="E24" s="231"/>
      <c r="F24" s="231"/>
      <c r="G24" s="231"/>
      <c r="H24" s="231"/>
      <c r="I24" s="231"/>
      <c r="J24" s="64"/>
    </row>
    <row r="25" spans="1:16" outlineLevel="1">
      <c r="B25" s="256" t="s">
        <v>375</v>
      </c>
      <c r="C25" s="290" t="s">
        <v>495</v>
      </c>
      <c r="D25" s="290" t="s">
        <v>518</v>
      </c>
      <c r="E25" s="290" t="s">
        <v>519</v>
      </c>
      <c r="H25" s="230"/>
      <c r="I25" s="177"/>
      <c r="J25" s="470"/>
      <c r="K25" s="178"/>
      <c r="P25" s="396"/>
    </row>
    <row r="26" spans="1:16" outlineLevel="1">
      <c r="B26" s="234" t="s">
        <v>433</v>
      </c>
      <c r="C26" s="298">
        <v>25.4</v>
      </c>
      <c r="D26" s="298">
        <v>24.1</v>
      </c>
      <c r="E26" s="298">
        <v>21.6</v>
      </c>
      <c r="I26" s="177"/>
      <c r="J26" s="177"/>
      <c r="K26" s="178"/>
    </row>
    <row r="27" spans="1:16" outlineLevel="1">
      <c r="B27" s="234"/>
      <c r="C27" s="190"/>
      <c r="D27" s="190"/>
      <c r="E27" s="190"/>
    </row>
    <row r="28" spans="1:16" outlineLevel="1">
      <c r="B28" s="302" t="s">
        <v>166</v>
      </c>
      <c r="C28" s="303" t="str">
        <f>C25</f>
        <v>FY25E</v>
      </c>
      <c r="D28" s="303" t="str">
        <f>D25</f>
        <v>FY26E</v>
      </c>
      <c r="E28" s="303" t="str">
        <f>E25</f>
        <v>FY27E</v>
      </c>
    </row>
    <row r="29" spans="1:16" outlineLevel="1">
      <c r="B29" s="234" t="s">
        <v>6</v>
      </c>
      <c r="C29" s="299">
        <f>'BS, CF and P&amp;L'!AX239/100</f>
        <v>0.52714320309977392</v>
      </c>
      <c r="D29" s="299">
        <f>'BS, CF and P&amp;L'!BA239/100</f>
        <v>0.44327709696856921</v>
      </c>
      <c r="E29" s="299">
        <f>'BS, CF and P&amp;L'!BD239/100</f>
        <v>0.55453761686591863</v>
      </c>
    </row>
    <row r="30" spans="1:16" outlineLevel="1">
      <c r="B30" s="234" t="s">
        <v>434</v>
      </c>
      <c r="C30" s="300">
        <f>C26</f>
        <v>25.4</v>
      </c>
      <c r="D30" s="300">
        <f>D26</f>
        <v>24.1</v>
      </c>
      <c r="E30" s="300">
        <f>E26</f>
        <v>21.6</v>
      </c>
      <c r="I30" s="13"/>
      <c r="J30" s="13"/>
      <c r="K30" s="13"/>
    </row>
    <row r="31" spans="1:16" outlineLevel="1">
      <c r="B31" s="234" t="s">
        <v>376</v>
      </c>
      <c r="C31" s="276">
        <v>0</v>
      </c>
      <c r="D31" s="276">
        <v>0</v>
      </c>
      <c r="E31" s="276">
        <v>0.2</v>
      </c>
      <c r="F31" s="81"/>
      <c r="G31" s="6" t="s">
        <v>594</v>
      </c>
      <c r="I31" s="23"/>
      <c r="J31" s="23"/>
      <c r="K31" s="23"/>
    </row>
    <row r="32" spans="1:16" outlineLevel="1">
      <c r="B32" s="234" t="s">
        <v>377</v>
      </c>
      <c r="C32" s="300">
        <f>(1+C31)*C30</f>
        <v>25.4</v>
      </c>
      <c r="D32" s="300">
        <f>(1+D31)*D30</f>
        <v>24.1</v>
      </c>
      <c r="E32" s="300">
        <f>(1+E31)*E30</f>
        <v>25.92</v>
      </c>
      <c r="K32" s="179"/>
    </row>
    <row r="33" spans="1:13" outlineLevel="1">
      <c r="B33" s="234" t="s">
        <v>378</v>
      </c>
      <c r="C33" s="301">
        <f>(C29)*C32</f>
        <v>13.389437358734257</v>
      </c>
      <c r="D33" s="301">
        <f>(D29)*D32</f>
        <v>10.682978036942519</v>
      </c>
      <c r="E33" s="301">
        <f>(E29)*E32</f>
        <v>14.373615029164611</v>
      </c>
    </row>
    <row r="34" spans="1:13" outlineLevel="1">
      <c r="B34" s="293" t="s">
        <v>335</v>
      </c>
      <c r="D34" s="254">
        <f>D33</f>
        <v>10.682978036942519</v>
      </c>
      <c r="E34" s="254">
        <f>E33</f>
        <v>14.373615029164611</v>
      </c>
    </row>
    <row r="35" spans="1:13">
      <c r="C35" s="229"/>
    </row>
    <row r="36" spans="1:13">
      <c r="A36" s="532">
        <f ca="1">+D95</f>
        <v>16.939674938565958</v>
      </c>
      <c r="B36" s="532"/>
      <c r="C36" s="393"/>
      <c r="D36" s="393"/>
      <c r="E36" s="231"/>
      <c r="F36" s="231"/>
      <c r="G36" s="231"/>
      <c r="H36" s="231"/>
      <c r="I36" s="231"/>
      <c r="J36" s="64"/>
    </row>
    <row r="37" spans="1:13" outlineLevel="1">
      <c r="B37" s="256" t="s">
        <v>337</v>
      </c>
      <c r="C37" s="257"/>
    </row>
    <row r="38" spans="1:13" outlineLevel="1">
      <c r="B38" s="258" t="s">
        <v>338</v>
      </c>
      <c r="C38" s="259">
        <f ca="1">TODAY()</f>
        <v>46051</v>
      </c>
    </row>
    <row r="39" spans="1:13" outlineLevel="1">
      <c r="B39" s="258" t="s">
        <v>339</v>
      </c>
      <c r="C39" s="259">
        <v>45838</v>
      </c>
    </row>
    <row r="40" spans="1:13" outlineLevel="1">
      <c r="B40" s="258" t="s">
        <v>340</v>
      </c>
      <c r="C40" s="260">
        <f>C39+365</f>
        <v>46203</v>
      </c>
    </row>
    <row r="41" spans="1:13" outlineLevel="1">
      <c r="B41" s="261" t="s">
        <v>425</v>
      </c>
      <c r="C41" s="262">
        <f ca="1">(C40-C38)/365</f>
        <v>0.41643835616438357</v>
      </c>
    </row>
    <row r="42" spans="1:13" outlineLevel="1"/>
    <row r="43" spans="1:13" outlineLevel="1">
      <c r="B43" s="256" t="s">
        <v>341</v>
      </c>
      <c r="C43" s="257"/>
      <c r="M43" s="176"/>
    </row>
    <row r="44" spans="1:13" outlineLevel="1">
      <c r="B44" s="263" t="s">
        <v>342</v>
      </c>
      <c r="C44" s="264">
        <f>'Fin Sum'!AE7</f>
        <v>13.73</v>
      </c>
      <c r="K44" s="13"/>
      <c r="M44" s="176"/>
    </row>
    <row r="45" spans="1:13" outlineLevel="1">
      <c r="B45" s="263" t="s">
        <v>22</v>
      </c>
      <c r="C45" s="265">
        <f>'BS, CF and P&amp;L'!BA223</f>
        <v>616.07824700000003</v>
      </c>
      <c r="K45" s="13"/>
      <c r="M45" s="176"/>
    </row>
    <row r="46" spans="1:13" outlineLevel="1">
      <c r="B46" s="263" t="s">
        <v>343</v>
      </c>
      <c r="C46" s="266">
        <f>C45*C44</f>
        <v>8458.7543313100014</v>
      </c>
      <c r="K46" s="13"/>
      <c r="M46" s="176"/>
    </row>
    <row r="47" spans="1:13" outlineLevel="1">
      <c r="B47" s="263" t="s">
        <v>168</v>
      </c>
      <c r="C47" s="267">
        <f>'BS, CF and P&amp;L'!AX109</f>
        <v>590.31700000000001</v>
      </c>
      <c r="K47" s="13"/>
      <c r="M47" s="176"/>
    </row>
    <row r="48" spans="1:13" outlineLevel="1">
      <c r="B48" s="263" t="s">
        <v>440</v>
      </c>
      <c r="C48" s="267"/>
      <c r="K48" s="13"/>
      <c r="M48" s="176"/>
    </row>
    <row r="49" spans="2:13" outlineLevel="1">
      <c r="B49" s="268" t="s">
        <v>344</v>
      </c>
      <c r="C49" s="269">
        <f>C46+C47</f>
        <v>9049.0713313100023</v>
      </c>
      <c r="K49" s="13"/>
      <c r="M49" s="176"/>
    </row>
    <row r="50" spans="2:13" outlineLevel="1">
      <c r="B50" s="263" t="s">
        <v>345</v>
      </c>
      <c r="C50" s="270">
        <v>2.5000000000000001E-2</v>
      </c>
      <c r="K50" s="13"/>
      <c r="M50" s="176"/>
    </row>
    <row r="51" spans="2:13" outlineLevel="1">
      <c r="B51" s="263" t="s">
        <v>346</v>
      </c>
      <c r="C51" s="271">
        <v>0.45</v>
      </c>
    </row>
    <row r="52" spans="2:13" outlineLevel="1">
      <c r="B52" s="272" t="s">
        <v>347</v>
      </c>
      <c r="C52" s="273">
        <f>(1-C51)</f>
        <v>0.55000000000000004</v>
      </c>
    </row>
    <row r="53" spans="2:13" outlineLevel="1">
      <c r="B53" s="263" t="s">
        <v>348</v>
      </c>
      <c r="C53" s="274">
        <f>C51/C52</f>
        <v>0.81818181818181812</v>
      </c>
    </row>
    <row r="54" spans="2:13" outlineLevel="1">
      <c r="B54" s="263" t="s">
        <v>349</v>
      </c>
      <c r="C54" s="342">
        <v>1</v>
      </c>
    </row>
    <row r="55" spans="2:13" outlineLevel="1">
      <c r="B55" s="268" t="s">
        <v>140</v>
      </c>
      <c r="C55" s="275">
        <f>C58+C59</f>
        <v>6.5000000000000002E-2</v>
      </c>
    </row>
    <row r="56" spans="2:13" outlineLevel="1">
      <c r="B56" s="268" t="s">
        <v>139</v>
      </c>
      <c r="C56" s="275">
        <f>C54*C60+C58</f>
        <v>0.10250000000000001</v>
      </c>
    </row>
    <row r="57" spans="2:13" outlineLevel="1">
      <c r="B57" s="263" t="s">
        <v>427</v>
      </c>
      <c r="C57" s="211">
        <f>C56*C52</f>
        <v>5.6375000000000008E-2</v>
      </c>
    </row>
    <row r="58" spans="2:13" outlineLevel="1">
      <c r="B58" s="263" t="s">
        <v>350</v>
      </c>
      <c r="C58" s="270">
        <v>0.05</v>
      </c>
    </row>
    <row r="59" spans="2:13" outlineLevel="1">
      <c r="B59" s="263" t="s">
        <v>351</v>
      </c>
      <c r="C59" s="270">
        <v>1.4999999999999999E-2</v>
      </c>
    </row>
    <row r="60" spans="2:13" outlineLevel="1">
      <c r="B60" s="263" t="s">
        <v>352</v>
      </c>
      <c r="C60" s="270">
        <v>5.2499999999999998E-2</v>
      </c>
    </row>
    <row r="61" spans="2:13" outlineLevel="1">
      <c r="B61" s="263" t="s">
        <v>162</v>
      </c>
      <c r="C61" s="276">
        <v>0.25</v>
      </c>
    </row>
    <row r="62" spans="2:13" outlineLevel="1">
      <c r="B62" s="277" t="s">
        <v>26</v>
      </c>
      <c r="C62" s="278">
        <f>((1-C61)*C55)*C51+C57</f>
        <v>7.8312500000000007E-2</v>
      </c>
    </row>
    <row r="63" spans="2:13" outlineLevel="1">
      <c r="C63" s="424"/>
      <c r="D63" s="424"/>
      <c r="E63" s="424"/>
      <c r="F63" s="424"/>
      <c r="G63" s="424"/>
      <c r="H63" s="424"/>
      <c r="I63" s="424"/>
      <c r="J63" s="424"/>
      <c r="K63" s="424"/>
      <c r="L63" s="424"/>
    </row>
    <row r="64" spans="2:13" outlineLevel="1">
      <c r="B64" s="256" t="s">
        <v>353</v>
      </c>
      <c r="C64" s="289"/>
      <c r="D64" s="289"/>
      <c r="E64" s="289"/>
      <c r="F64" s="289"/>
      <c r="G64" s="289" t="s">
        <v>535</v>
      </c>
      <c r="H64" s="289" t="s">
        <v>536</v>
      </c>
      <c r="I64" s="289" t="s">
        <v>537</v>
      </c>
      <c r="J64" s="289" t="s">
        <v>538</v>
      </c>
      <c r="K64" s="289" t="s">
        <v>539</v>
      </c>
      <c r="L64" s="290" t="s">
        <v>354</v>
      </c>
    </row>
    <row r="65" spans="2:12" outlineLevel="1">
      <c r="B65" s="282" t="s">
        <v>183</v>
      </c>
      <c r="C65" s="38"/>
      <c r="D65" s="38"/>
      <c r="E65" s="38"/>
      <c r="F65" s="38"/>
      <c r="G65" s="38">
        <f>+'BS, CF and P&amp;L'!BA32</f>
        <v>512.27087374861389</v>
      </c>
      <c r="H65" s="38">
        <f>+'BS, CF and P&amp;L'!BD32</f>
        <v>595.54112825849847</v>
      </c>
      <c r="I65" s="38">
        <f>+'BS, CF and P&amp;L'!BG32</f>
        <v>679.60122508070958</v>
      </c>
      <c r="J65" s="38">
        <f>+'BS, CF and P&amp;L'!BJ32</f>
        <v>719.13852333738055</v>
      </c>
      <c r="K65" s="38">
        <f>+'BS, CF and P&amp;L'!BM32</f>
        <v>741.94002538650716</v>
      </c>
      <c r="L65" s="209">
        <f>K65</f>
        <v>741.94002538650716</v>
      </c>
    </row>
    <row r="66" spans="2:12" outlineLevel="1">
      <c r="B66" s="282" t="s">
        <v>355</v>
      </c>
      <c r="C66" s="340"/>
      <c r="D66" s="340"/>
      <c r="E66" s="340"/>
      <c r="F66" s="340"/>
      <c r="G66" s="340">
        <v>0</v>
      </c>
      <c r="H66" s="340">
        <v>0</v>
      </c>
      <c r="I66" s="340">
        <v>0</v>
      </c>
      <c r="J66" s="340">
        <v>0</v>
      </c>
      <c r="K66" s="340">
        <v>0</v>
      </c>
      <c r="L66" s="209">
        <f>F66</f>
        <v>0</v>
      </c>
    </row>
    <row r="67" spans="2:12" outlineLevel="1">
      <c r="B67" s="282" t="s">
        <v>356</v>
      </c>
      <c r="C67" s="341"/>
      <c r="D67" s="341"/>
      <c r="E67" s="341"/>
      <c r="F67" s="341"/>
      <c r="G67" s="341">
        <v>0.25</v>
      </c>
      <c r="H67" s="341">
        <v>0.25</v>
      </c>
      <c r="I67" s="341">
        <v>0.25</v>
      </c>
      <c r="J67" s="341">
        <v>0.25</v>
      </c>
      <c r="K67" s="341">
        <v>0.25</v>
      </c>
      <c r="L67" s="341">
        <v>0.25</v>
      </c>
    </row>
    <row r="68" spans="2:12" outlineLevel="1">
      <c r="B68" s="282" t="s">
        <v>297</v>
      </c>
      <c r="C68" s="38"/>
      <c r="D68" s="38"/>
      <c r="E68" s="38"/>
      <c r="F68" s="38"/>
      <c r="G68" s="38">
        <f t="shared" ref="G68:L68" si="3">-(G65+G66)*G67</f>
        <v>-128.06771843715347</v>
      </c>
      <c r="H68" s="38">
        <f t="shared" si="3"/>
        <v>-148.88528206462462</v>
      </c>
      <c r="I68" s="38">
        <f t="shared" si="3"/>
        <v>-169.9003062701774</v>
      </c>
      <c r="J68" s="38">
        <f t="shared" si="3"/>
        <v>-179.78463083434514</v>
      </c>
      <c r="K68" s="38">
        <f t="shared" si="3"/>
        <v>-185.48500634662679</v>
      </c>
      <c r="L68" s="209">
        <f t="shared" si="3"/>
        <v>-185.48500634662679</v>
      </c>
    </row>
    <row r="69" spans="2:12" outlineLevel="1">
      <c r="B69" s="282" t="s">
        <v>56</v>
      </c>
      <c r="C69" s="38"/>
      <c r="D69" s="38"/>
      <c r="E69" s="38"/>
      <c r="F69" s="38"/>
      <c r="G69" s="38">
        <f>'BS, CF and P&amp;L'!BA139</f>
        <v>374.81162</v>
      </c>
      <c r="H69" s="38">
        <f>'BS, CF and P&amp;L'!BD139</f>
        <v>387.40611469999999</v>
      </c>
      <c r="I69" s="38">
        <f>'BS, CF and P&amp;L'!BG139</f>
        <v>400.44887279300002</v>
      </c>
      <c r="J69" s="38">
        <f>'BS, CF and P&amp;L'!BJ139</f>
        <v>413.95892453332999</v>
      </c>
      <c r="K69" s="38">
        <f>'BS, CF and P&amp;L'!BM139</f>
        <v>427.95615991907579</v>
      </c>
      <c r="L69" s="209">
        <f>K69</f>
        <v>427.95615991907579</v>
      </c>
    </row>
    <row r="70" spans="2:12" outlineLevel="1">
      <c r="B70" s="282" t="s">
        <v>357</v>
      </c>
      <c r="C70" s="38"/>
      <c r="D70" s="38"/>
      <c r="E70" s="38"/>
      <c r="F70" s="38"/>
      <c r="G70" s="38">
        <f>'BS, CF and P&amp;L'!BA80</f>
        <v>-87.185991059052412</v>
      </c>
      <c r="H70" s="38">
        <f>'BS, CF and P&amp;L'!BD80</f>
        <v>-108.51473304080946</v>
      </c>
      <c r="I70" s="38">
        <f>'BS, CF and P&amp;L'!BG80</f>
        <v>-126.84905836085863</v>
      </c>
      <c r="J70" s="38">
        <f>'BS, CF and P&amp;L'!BJ80</f>
        <v>-99.208169330896453</v>
      </c>
      <c r="K70" s="38">
        <f>'BS, CF and P&amp;L'!BM80</f>
        <v>-75.457725382462741</v>
      </c>
      <c r="L70" s="209">
        <v>0</v>
      </c>
    </row>
    <row r="71" spans="2:12" outlineLevel="1">
      <c r="B71" s="282" t="s">
        <v>358</v>
      </c>
      <c r="C71" s="38"/>
      <c r="D71" s="38"/>
      <c r="E71" s="38"/>
      <c r="F71" s="38"/>
      <c r="G71" s="38">
        <f>SUM('BS, CF and P&amp;L'!BA86:BA87)</f>
        <v>-287.40581000000003</v>
      </c>
      <c r="H71" s="38">
        <f>SUM('BS, CF and P&amp;L'!BD86:BD87)</f>
        <v>-293.70305734999999</v>
      </c>
      <c r="I71" s="38">
        <f>SUM('BS, CF and P&amp;L'!BG86:BG87)</f>
        <v>-300.22443639649998</v>
      </c>
      <c r="J71" s="38">
        <f>SUM('BS, CF and P&amp;L'!BJ86:BJ87)</f>
        <v>-306.979462266665</v>
      </c>
      <c r="K71" s="38">
        <f>SUM('BS, CF and P&amp;L'!BM86:BM87)</f>
        <v>-313.97807995953787</v>
      </c>
      <c r="L71" s="209">
        <f>K71</f>
        <v>-313.97807995953787</v>
      </c>
    </row>
    <row r="72" spans="2:12" outlineLevel="1">
      <c r="B72" s="283" t="s">
        <v>217</v>
      </c>
      <c r="C72" s="38"/>
      <c r="D72" s="38"/>
      <c r="E72" s="38"/>
      <c r="F72" s="38"/>
      <c r="G72" s="38">
        <f>'BS, CF and P&amp;L'!BA81</f>
        <v>0</v>
      </c>
      <c r="H72" s="38">
        <f>'BS, CF and P&amp;L'!BD81</f>
        <v>0</v>
      </c>
      <c r="I72" s="38">
        <f>'BS, CF and P&amp;L'!BG81</f>
        <v>0</v>
      </c>
      <c r="J72" s="38">
        <f>'BS, CF and P&amp;L'!BJ81</f>
        <v>0</v>
      </c>
      <c r="K72" s="38">
        <f>'BS, CF and P&amp;L'!BM81</f>
        <v>0</v>
      </c>
      <c r="L72" s="209">
        <f>K72</f>
        <v>0</v>
      </c>
    </row>
    <row r="73" spans="2:12" outlineLevel="1">
      <c r="B73" s="282" t="s">
        <v>359</v>
      </c>
      <c r="C73" s="38"/>
      <c r="D73" s="38"/>
      <c r="E73" s="38"/>
      <c r="F73" s="38"/>
      <c r="G73" s="38">
        <f>SUM('BS, CF and P&amp;L'!BA88)</f>
        <v>0</v>
      </c>
      <c r="H73" s="38">
        <f>SUM('BS, CF and P&amp;L'!BD88)</f>
        <v>0</v>
      </c>
      <c r="I73" s="38">
        <f>SUM('BS, CF and P&amp;L'!BG88)</f>
        <v>0</v>
      </c>
      <c r="J73" s="38">
        <f>SUM('BS, CF and P&amp;L'!BJ88)</f>
        <v>0</v>
      </c>
      <c r="K73" s="38">
        <f>SUM('BS, CF and P&amp;L'!BM88)</f>
        <v>0</v>
      </c>
      <c r="L73" s="38"/>
    </row>
    <row r="74" spans="2:12" outlineLevel="1">
      <c r="B74" s="284" t="s">
        <v>360</v>
      </c>
      <c r="C74" s="207"/>
      <c r="D74" s="207"/>
      <c r="E74" s="207"/>
      <c r="F74" s="207"/>
      <c r="G74" s="207">
        <f t="shared" ref="G74:L74" si="4">+G65+G66+G68+G69+G70+G71+G72+G73</f>
        <v>384.42297425240798</v>
      </c>
      <c r="H74" s="207">
        <f t="shared" si="4"/>
        <v>431.84417050306445</v>
      </c>
      <c r="I74" s="207">
        <f>+I65+I66+I68+I69+I70+I71+I72+I73</f>
        <v>483.07629684617359</v>
      </c>
      <c r="J74" s="207">
        <f t="shared" si="4"/>
        <v>547.12518543880401</v>
      </c>
      <c r="K74" s="207">
        <f t="shared" si="4"/>
        <v>594.97537361695572</v>
      </c>
      <c r="L74" s="207">
        <f t="shared" si="4"/>
        <v>670.43309899941846</v>
      </c>
    </row>
    <row r="75" spans="2:12" outlineLevel="1">
      <c r="B75" s="282" t="s">
        <v>361</v>
      </c>
      <c r="C75" s="25"/>
      <c r="D75" s="25"/>
      <c r="E75" s="25"/>
      <c r="F75" s="25"/>
      <c r="G75" s="25">
        <f ca="1">C41</f>
        <v>0.41643835616438357</v>
      </c>
      <c r="H75" s="25">
        <f ca="1">G75+1</f>
        <v>1.4164383561643836</v>
      </c>
      <c r="I75" s="25">
        <f ca="1">H75+1</f>
        <v>2.4164383561643836</v>
      </c>
      <c r="J75" s="25">
        <f ca="1">I75+1</f>
        <v>3.4164383561643836</v>
      </c>
      <c r="K75" s="25">
        <f ca="1">J75+1</f>
        <v>4.4164383561643836</v>
      </c>
      <c r="L75" s="210">
        <f ca="1">+K75</f>
        <v>4.4164383561643836</v>
      </c>
    </row>
    <row r="76" spans="2:12" outlineLevel="1">
      <c r="B76" s="282" t="s">
        <v>26</v>
      </c>
      <c r="C76" s="87"/>
      <c r="D76" s="87"/>
      <c r="E76" s="87"/>
      <c r="F76" s="87"/>
      <c r="G76" s="87">
        <f t="shared" ref="G76:L76" si="5">$C$62</f>
        <v>7.8312500000000007E-2</v>
      </c>
      <c r="H76" s="87">
        <f t="shared" si="5"/>
        <v>7.8312500000000007E-2</v>
      </c>
      <c r="I76" s="87">
        <f t="shared" si="5"/>
        <v>7.8312500000000007E-2</v>
      </c>
      <c r="J76" s="87">
        <f t="shared" si="5"/>
        <v>7.8312500000000007E-2</v>
      </c>
      <c r="K76" s="87">
        <f t="shared" si="5"/>
        <v>7.8312500000000007E-2</v>
      </c>
      <c r="L76" s="211">
        <f t="shared" si="5"/>
        <v>7.8312500000000007E-2</v>
      </c>
    </row>
    <row r="77" spans="2:12" outlineLevel="1">
      <c r="B77" s="282" t="s">
        <v>362</v>
      </c>
      <c r="C77" s="186"/>
      <c r="D77" s="186"/>
      <c r="E77" s="186"/>
      <c r="F77" s="186"/>
      <c r="G77" s="186">
        <f t="shared" ref="G77:L77" ca="1" si="6">1/((1+G76)^G75)</f>
        <v>0.96908947329706019</v>
      </c>
      <c r="H77" s="186">
        <f t="shared" ca="1" si="6"/>
        <v>0.89870930115069625</v>
      </c>
      <c r="I77" s="186">
        <f t="shared" ca="1" si="6"/>
        <v>0.83344049257584996</v>
      </c>
      <c r="J77" s="186">
        <f t="shared" ca="1" si="6"/>
        <v>0.77291183453391288</v>
      </c>
      <c r="K77" s="186">
        <f t="shared" ca="1" si="6"/>
        <v>0.71677907335203195</v>
      </c>
      <c r="L77" s="212">
        <f t="shared" ca="1" si="6"/>
        <v>0.71677907335203195</v>
      </c>
    </row>
    <row r="78" spans="2:12" outlineLevel="1">
      <c r="B78" s="285" t="s">
        <v>25</v>
      </c>
      <c r="C78" s="90"/>
      <c r="D78" s="90"/>
      <c r="E78" s="90"/>
      <c r="F78" s="90"/>
      <c r="G78" s="90">
        <f t="shared" ref="G78:L78" ca="1" si="7">G77*G74</f>
        <v>372.5402576415554</v>
      </c>
      <c r="H78" s="90">
        <f t="shared" ca="1" si="7"/>
        <v>388.10237267881115</v>
      </c>
      <c r="I78" s="90">
        <f t="shared" ca="1" si="7"/>
        <v>402.61534679519241</v>
      </c>
      <c r="J78" s="90">
        <f t="shared" ca="1" si="7"/>
        <v>422.87953079721331</v>
      </c>
      <c r="K78" s="90">
        <f t="shared" ca="1" si="7"/>
        <v>426.46589696844052</v>
      </c>
      <c r="L78" s="286">
        <f t="shared" ca="1" si="7"/>
        <v>480.55241544533425</v>
      </c>
    </row>
    <row r="79" spans="2:12" outlineLevel="1">
      <c r="B79" s="287" t="s">
        <v>363</v>
      </c>
      <c r="C79" s="191"/>
      <c r="D79" s="191"/>
      <c r="E79" s="191"/>
      <c r="F79" s="191"/>
      <c r="L79" s="288">
        <f ca="1">L78/(C62-C50)</f>
        <v>9013.8788360203362</v>
      </c>
    </row>
    <row r="80" spans="2:12" outlineLevel="1"/>
    <row r="81" spans="2:8" outlineLevel="1">
      <c r="B81" s="279" t="s">
        <v>335</v>
      </c>
      <c r="C81" s="280" t="s">
        <v>364</v>
      </c>
      <c r="D81" s="281" t="s">
        <v>426</v>
      </c>
    </row>
    <row r="82" spans="2:8" outlineLevel="1">
      <c r="B82" s="282" t="s">
        <v>365</v>
      </c>
      <c r="C82" s="208">
        <f ca="1">SUM(C78:K78)</f>
        <v>2012.603404881213</v>
      </c>
      <c r="D82" s="291">
        <f t="shared" ref="D82:D92" ca="1" si="8">C82/$C$94</f>
        <v>3.2667983566724001</v>
      </c>
    </row>
    <row r="83" spans="2:8" outlineLevel="1">
      <c r="B83" s="282" t="s">
        <v>366</v>
      </c>
      <c r="C83" s="92">
        <f ca="1">L79</f>
        <v>9013.8788360203362</v>
      </c>
      <c r="D83" s="291">
        <f t="shared" ca="1" si="8"/>
        <v>14.631061687234569</v>
      </c>
    </row>
    <row r="84" spans="2:8" outlineLevel="1">
      <c r="B84" s="285" t="s">
        <v>367</v>
      </c>
      <c r="C84" s="94">
        <f ca="1">SUM(C82:C83)</f>
        <v>11026.482240901549</v>
      </c>
      <c r="D84" s="292">
        <f t="shared" ca="1" si="8"/>
        <v>17.89786004390697</v>
      </c>
    </row>
    <row r="85" spans="2:8" outlineLevel="1">
      <c r="B85" s="282" t="s">
        <v>368</v>
      </c>
      <c r="C85" s="295">
        <v>0</v>
      </c>
      <c r="D85" s="291">
        <f t="shared" si="8"/>
        <v>0</v>
      </c>
    </row>
    <row r="86" spans="2:8" outlineLevel="1">
      <c r="B86" s="263" t="s">
        <v>369</v>
      </c>
      <c r="C86" s="295">
        <v>0</v>
      </c>
      <c r="D86" s="291">
        <f t="shared" si="8"/>
        <v>0</v>
      </c>
    </row>
    <row r="87" spans="2:8" outlineLevel="1">
      <c r="B87" s="285" t="s">
        <v>370</v>
      </c>
      <c r="C87" s="94">
        <f ca="1">C84+C85+C86</f>
        <v>11026.482240901549</v>
      </c>
      <c r="D87" s="292">
        <f t="shared" ca="1" si="8"/>
        <v>17.89786004390697</v>
      </c>
      <c r="E87" s="31"/>
    </row>
    <row r="88" spans="2:8" outlineLevel="1">
      <c r="B88" s="282" t="s">
        <v>483</v>
      </c>
      <c r="C88" s="92">
        <f>C47</f>
        <v>590.31700000000001</v>
      </c>
      <c r="D88" s="291">
        <f t="shared" si="8"/>
        <v>0.95818510534101031</v>
      </c>
    </row>
    <row r="89" spans="2:8" outlineLevel="1">
      <c r="B89" s="282" t="s">
        <v>137</v>
      </c>
      <c r="C89" s="92">
        <f>'BS, CF and P&amp;L'!AX186</f>
        <v>0</v>
      </c>
      <c r="D89" s="291">
        <f t="shared" si="8"/>
        <v>0</v>
      </c>
    </row>
    <row r="90" spans="2:8" outlineLevel="1">
      <c r="B90" s="282" t="s">
        <v>484</v>
      </c>
      <c r="C90" s="213">
        <f>+C48</f>
        <v>0</v>
      </c>
      <c r="D90" s="291">
        <f t="shared" si="8"/>
        <v>0</v>
      </c>
      <c r="E90" s="392"/>
    </row>
    <row r="91" spans="2:8" outlineLevel="1">
      <c r="B91" s="285" t="s">
        <v>117</v>
      </c>
      <c r="C91" s="94">
        <f>C89+C88+C90</f>
        <v>590.31700000000001</v>
      </c>
      <c r="D91" s="292">
        <f t="shared" si="8"/>
        <v>0.95818510534101031</v>
      </c>
    </row>
    <row r="92" spans="2:8" outlineLevel="1">
      <c r="B92" s="258" t="s">
        <v>371</v>
      </c>
      <c r="C92" s="296">
        <v>0</v>
      </c>
      <c r="D92" s="291">
        <f t="shared" si="8"/>
        <v>0</v>
      </c>
    </row>
    <row r="93" spans="2:8" outlineLevel="1">
      <c r="B93" s="285" t="s">
        <v>372</v>
      </c>
      <c r="C93" s="94">
        <f ca="1">C87-C91-C92</f>
        <v>10436.165240901548</v>
      </c>
      <c r="D93" s="292">
        <f ca="1">C93/$C$94</f>
        <v>16.939674938565958</v>
      </c>
      <c r="H93" s="65"/>
    </row>
    <row r="94" spans="2:8" outlineLevel="1">
      <c r="B94" s="282" t="s">
        <v>373</v>
      </c>
      <c r="C94" s="38">
        <f>C45</f>
        <v>616.07824700000003</v>
      </c>
      <c r="D94" s="190"/>
    </row>
    <row r="95" spans="2:8" outlineLevel="1">
      <c r="B95" s="293" t="s">
        <v>374</v>
      </c>
      <c r="C95" s="294"/>
      <c r="D95" s="297">
        <f ca="1">D93</f>
        <v>16.939674938565958</v>
      </c>
      <c r="E95" s="31"/>
    </row>
  </sheetData>
  <mergeCells count="3">
    <mergeCell ref="A36:B36"/>
    <mergeCell ref="E5:G5"/>
    <mergeCell ref="A24:B24"/>
  </mergeCells>
  <phoneticPr fontId="12" type="noConversion"/>
  <pageMargins left="0.7" right="0.7" top="0.75" bottom="0.75" header="0.3" footer="0.3"/>
  <pageSetup paperSize="8" fitToHeight="0" orientation="landscape" horizontalDpi="90" verticalDpi="90" r:id="rId1"/>
  <rowBreaks count="1" manualBreakCount="1">
    <brk id="80" max="11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/>
    <pageSetUpPr fitToPage="1"/>
  </sheetPr>
  <dimension ref="A1:BU285"/>
  <sheetViews>
    <sheetView zoomScaleNormal="100" workbookViewId="0">
      <pane xSplit="2" ySplit="6" topLeftCell="AO7" activePane="bottomRight" state="frozen"/>
      <selection activeCell="AL67" sqref="AL67"/>
      <selection pane="topRight" activeCell="AL67" sqref="AL67"/>
      <selection pane="bottomLeft" activeCell="AL67" sqref="AL67"/>
      <selection pane="bottomRight" activeCell="BD49" sqref="BD49"/>
    </sheetView>
  </sheetViews>
  <sheetFormatPr defaultColWidth="9.109375" defaultRowHeight="13.2" outlineLevelRow="1" outlineLevelCol="1"/>
  <cols>
    <col min="1" max="1" width="32" style="6" customWidth="1"/>
    <col min="2" max="2" width="18.44140625" style="6" customWidth="1"/>
    <col min="3" max="4" width="9.109375" style="6" customWidth="1" outlineLevel="1"/>
    <col min="5" max="5" width="9.109375" style="6" hidden="1" customWidth="1"/>
    <col min="6" max="7" width="9.109375" style="6" customWidth="1" outlineLevel="1"/>
    <col min="8" max="8" width="9.109375" style="6" hidden="1" customWidth="1"/>
    <col min="9" max="10" width="9.109375" style="6" customWidth="1" outlineLevel="1"/>
    <col min="11" max="11" width="9.109375" style="6" hidden="1" customWidth="1"/>
    <col min="12" max="13" width="9.109375" style="6" customWidth="1" outlineLevel="1"/>
    <col min="14" max="14" width="9.109375" style="6" hidden="1" customWidth="1"/>
    <col min="15" max="16" width="9.109375" style="6" customWidth="1" outlineLevel="1"/>
    <col min="17" max="17" width="8" style="6" customWidth="1"/>
    <col min="18" max="19" width="8" style="6" customWidth="1" outlineLevel="1"/>
    <col min="20" max="20" width="8" style="6" customWidth="1"/>
    <col min="21" max="22" width="8" style="6" customWidth="1" outlineLevel="1"/>
    <col min="23" max="23" width="8" style="6" customWidth="1"/>
    <col min="24" max="25" width="8" style="6" customWidth="1" outlineLevel="1"/>
    <col min="26" max="26" width="8" style="6" customWidth="1"/>
    <col min="27" max="28" width="8" style="6" customWidth="1" outlineLevel="1"/>
    <col min="29" max="29" width="8" style="6" customWidth="1"/>
    <col min="30" max="31" width="8" style="6" customWidth="1" outlineLevel="1"/>
    <col min="32" max="32" width="8" style="6" customWidth="1"/>
    <col min="33" max="34" width="8" style="6" customWidth="1" outlineLevel="1"/>
    <col min="35" max="35" width="8" style="6" customWidth="1"/>
    <col min="36" max="37" width="8" style="6" customWidth="1" outlineLevel="1"/>
    <col min="38" max="38" width="8" style="6" customWidth="1"/>
    <col min="39" max="40" width="8" style="6" hidden="1" customWidth="1" outlineLevel="1"/>
    <col min="41" max="41" width="8" style="6" customWidth="1" collapsed="1"/>
    <col min="42" max="43" width="8" style="6" hidden="1" customWidth="1" outlineLevel="1"/>
    <col min="44" max="44" width="8" style="6" customWidth="1" collapsed="1"/>
    <col min="45" max="46" width="8" style="6" hidden="1" customWidth="1" outlineLevel="1"/>
    <col min="47" max="47" width="8" style="6" customWidth="1" collapsed="1"/>
    <col min="48" max="49" width="8" style="6" customWidth="1" outlineLevel="1"/>
    <col min="50" max="50" width="8" style="46" customWidth="1"/>
    <col min="51" max="52" width="8" style="6" customWidth="1" outlineLevel="1"/>
    <col min="53" max="53" width="8" style="6" customWidth="1"/>
    <col min="54" max="55" width="8" style="6" hidden="1" customWidth="1" outlineLevel="1"/>
    <col min="56" max="56" width="8" style="6" customWidth="1" collapsed="1"/>
    <col min="57" max="58" width="8" style="6" hidden="1" customWidth="1" outlineLevel="1"/>
    <col min="59" max="59" width="8" style="6" customWidth="1" collapsed="1"/>
    <col min="60" max="61" width="8" style="6" hidden="1" customWidth="1" outlineLevel="1"/>
    <col min="62" max="62" width="8" style="6" customWidth="1" collapsed="1"/>
    <col min="63" max="64" width="8" style="6" hidden="1" customWidth="1" outlineLevel="1"/>
    <col min="65" max="65" width="8" style="6" customWidth="1" collapsed="1"/>
    <col min="66" max="67" width="8.6640625" style="6" customWidth="1"/>
    <col min="68" max="68" width="23.44140625" customWidth="1"/>
    <col min="74" max="16384" width="9.109375" style="6"/>
  </cols>
  <sheetData>
    <row r="1" spans="1:73" s="9" customFormat="1" ht="21" customHeight="1">
      <c r="A1" s="537" t="s">
        <v>446</v>
      </c>
      <c r="B1" s="306" t="s">
        <v>259</v>
      </c>
      <c r="C1" s="307"/>
      <c r="D1" s="307"/>
      <c r="E1" s="337">
        <f ca="1">+Valuation!D12</f>
        <v>16</v>
      </c>
      <c r="F1" s="307"/>
      <c r="Q1" s="307"/>
      <c r="AX1" s="10"/>
      <c r="BA1" s="397">
        <f>512/AU32-1</f>
        <v>-0.2481644640234949</v>
      </c>
      <c r="BD1" s="397"/>
      <c r="BG1" s="397"/>
      <c r="BJ1" s="397"/>
      <c r="BM1" s="397"/>
      <c r="BP1"/>
      <c r="BQ1"/>
      <c r="BR1"/>
      <c r="BS1"/>
      <c r="BT1"/>
      <c r="BU1"/>
    </row>
    <row r="2" spans="1:73" s="9" customFormat="1" ht="11.25" customHeight="1" outlineLevel="1" collapsed="1">
      <c r="A2" s="537"/>
      <c r="B2" s="48" t="s">
        <v>262</v>
      </c>
      <c r="AX2" s="10"/>
      <c r="BP2"/>
      <c r="BQ2"/>
      <c r="BR2"/>
      <c r="BS2"/>
      <c r="BT2"/>
      <c r="BU2"/>
    </row>
    <row r="3" spans="1:73" s="3" customFormat="1" outlineLevel="1">
      <c r="A3" s="49"/>
      <c r="C3" s="3" t="s">
        <v>456</v>
      </c>
      <c r="D3" s="3" t="s">
        <v>457</v>
      </c>
      <c r="E3" s="3" t="s">
        <v>458</v>
      </c>
      <c r="F3" s="3" t="s">
        <v>453</v>
      </c>
      <c r="G3" s="3" t="s">
        <v>454</v>
      </c>
      <c r="H3" s="3" t="s">
        <v>455</v>
      </c>
      <c r="I3" s="3" t="s">
        <v>450</v>
      </c>
      <c r="J3" s="3" t="s">
        <v>451</v>
      </c>
      <c r="K3" s="3" t="s">
        <v>452</v>
      </c>
      <c r="L3" s="3" t="s">
        <v>103</v>
      </c>
      <c r="M3" s="3" t="s">
        <v>104</v>
      </c>
      <c r="N3" s="3" t="s">
        <v>449</v>
      </c>
      <c r="O3" s="3" t="s">
        <v>62</v>
      </c>
      <c r="P3" s="3" t="s">
        <v>63</v>
      </c>
      <c r="Q3" s="3" t="s">
        <v>64</v>
      </c>
      <c r="R3" s="3" t="s">
        <v>84</v>
      </c>
      <c r="S3" s="3" t="s">
        <v>85</v>
      </c>
      <c r="T3" s="3" t="s">
        <v>86</v>
      </c>
      <c r="U3" s="3" t="s">
        <v>87</v>
      </c>
      <c r="V3" s="3" t="s">
        <v>88</v>
      </c>
      <c r="W3" s="3" t="s">
        <v>89</v>
      </c>
      <c r="X3" s="3" t="s">
        <v>90</v>
      </c>
      <c r="Y3" s="3" t="s">
        <v>91</v>
      </c>
      <c r="Z3" s="3" t="s">
        <v>92</v>
      </c>
      <c r="AA3" s="3" t="s">
        <v>93</v>
      </c>
      <c r="AB3" s="3" t="s">
        <v>94</v>
      </c>
      <c r="AC3" s="3" t="s">
        <v>149</v>
      </c>
      <c r="AD3" s="3" t="s">
        <v>150</v>
      </c>
      <c r="AE3" s="3" t="s">
        <v>151</v>
      </c>
      <c r="AF3" s="3" t="s">
        <v>152</v>
      </c>
      <c r="AG3" s="3" t="s">
        <v>153</v>
      </c>
      <c r="AH3" s="3" t="s">
        <v>154</v>
      </c>
      <c r="AI3" s="3" t="s">
        <v>155</v>
      </c>
      <c r="AJ3" s="3" t="s">
        <v>158</v>
      </c>
      <c r="AK3" s="3" t="s">
        <v>159</v>
      </c>
      <c r="AL3" s="3" t="s">
        <v>160</v>
      </c>
      <c r="AM3" s="3" t="s">
        <v>245</v>
      </c>
      <c r="AN3" s="3" t="s">
        <v>246</v>
      </c>
      <c r="AO3" s="3" t="s">
        <v>247</v>
      </c>
      <c r="AP3" s="3" t="s">
        <v>248</v>
      </c>
      <c r="AQ3" s="3" t="s">
        <v>249</v>
      </c>
      <c r="AR3" s="3" t="s">
        <v>250</v>
      </c>
      <c r="AS3" s="3" t="s">
        <v>251</v>
      </c>
      <c r="AT3" s="3" t="s">
        <v>252</v>
      </c>
      <c r="AU3" s="3" t="s">
        <v>253</v>
      </c>
      <c r="AV3" s="3" t="s">
        <v>254</v>
      </c>
      <c r="AW3" s="3" t="s">
        <v>255</v>
      </c>
      <c r="AX3" s="50" t="s">
        <v>256</v>
      </c>
      <c r="AY3" s="3" t="s">
        <v>520</v>
      </c>
      <c r="AZ3" s="3" t="s">
        <v>521</v>
      </c>
      <c r="BA3" s="3" t="s">
        <v>522</v>
      </c>
      <c r="BB3" s="3" t="s">
        <v>523</v>
      </c>
      <c r="BC3" s="3" t="s">
        <v>524</v>
      </c>
      <c r="BD3" s="3" t="s">
        <v>525</v>
      </c>
      <c r="BE3" s="3" t="s">
        <v>526</v>
      </c>
      <c r="BF3" s="3" t="s">
        <v>527</v>
      </c>
      <c r="BG3" s="3" t="s">
        <v>528</v>
      </c>
      <c r="BH3" s="3" t="s">
        <v>529</v>
      </c>
      <c r="BI3" s="3" t="s">
        <v>530</v>
      </c>
      <c r="BJ3" s="3" t="s">
        <v>531</v>
      </c>
      <c r="BK3" s="3" t="s">
        <v>532</v>
      </c>
      <c r="BL3" s="3" t="s">
        <v>533</v>
      </c>
      <c r="BM3" s="3" t="s">
        <v>534</v>
      </c>
      <c r="BP3"/>
      <c r="BQ3"/>
      <c r="BR3"/>
      <c r="BS3"/>
      <c r="BT3"/>
      <c r="BU3"/>
    </row>
    <row r="4" spans="1:73" s="3" customFormat="1" outlineLevel="1">
      <c r="A4" s="11" t="s">
        <v>263</v>
      </c>
      <c r="C4" s="3" t="s">
        <v>78</v>
      </c>
      <c r="D4" s="3" t="s">
        <v>78</v>
      </c>
      <c r="E4" s="3" t="s">
        <v>78</v>
      </c>
      <c r="F4" s="3" t="s">
        <v>78</v>
      </c>
      <c r="G4" s="3" t="s">
        <v>78</v>
      </c>
      <c r="H4" s="3" t="s">
        <v>78</v>
      </c>
      <c r="I4" s="3" t="s">
        <v>78</v>
      </c>
      <c r="J4" s="3" t="s">
        <v>78</v>
      </c>
      <c r="K4" s="3" t="s">
        <v>78</v>
      </c>
      <c r="L4" s="3" t="s">
        <v>78</v>
      </c>
      <c r="M4" s="3" t="s">
        <v>78</v>
      </c>
      <c r="N4" s="3" t="s">
        <v>78</v>
      </c>
      <c r="O4" s="3" t="s">
        <v>78</v>
      </c>
      <c r="P4" s="3" t="s">
        <v>78</v>
      </c>
      <c r="Q4" s="3" t="s">
        <v>78</v>
      </c>
      <c r="R4" s="3" t="s">
        <v>78</v>
      </c>
      <c r="S4" s="3" t="s">
        <v>78</v>
      </c>
      <c r="T4" s="3" t="s">
        <v>78</v>
      </c>
      <c r="U4" s="3" t="s">
        <v>78</v>
      </c>
      <c r="V4" s="3" t="s">
        <v>78</v>
      </c>
      <c r="W4" s="3" t="s">
        <v>78</v>
      </c>
      <c r="X4" s="3" t="s">
        <v>78</v>
      </c>
      <c r="Y4" s="3" t="s">
        <v>78</v>
      </c>
      <c r="Z4" s="3" t="s">
        <v>78</v>
      </c>
      <c r="AA4" s="3" t="s">
        <v>78</v>
      </c>
      <c r="AB4" s="3" t="s">
        <v>78</v>
      </c>
      <c r="AC4" s="3" t="s">
        <v>78</v>
      </c>
      <c r="AD4" s="3" t="s">
        <v>78</v>
      </c>
      <c r="AE4" s="3" t="s">
        <v>78</v>
      </c>
      <c r="AF4" s="3" t="s">
        <v>78</v>
      </c>
      <c r="AG4" s="3" t="s">
        <v>78</v>
      </c>
      <c r="AH4" s="3" t="s">
        <v>78</v>
      </c>
      <c r="AI4" s="3" t="s">
        <v>78</v>
      </c>
      <c r="AJ4" s="3" t="s">
        <v>78</v>
      </c>
      <c r="AK4" s="3" t="s">
        <v>78</v>
      </c>
      <c r="AL4" s="3" t="s">
        <v>78</v>
      </c>
      <c r="AM4" s="3" t="s">
        <v>78</v>
      </c>
      <c r="AN4" s="3" t="s">
        <v>78</v>
      </c>
      <c r="AO4" s="3" t="s">
        <v>78</v>
      </c>
      <c r="AP4" s="3" t="s">
        <v>78</v>
      </c>
      <c r="AQ4" s="3" t="s">
        <v>78</v>
      </c>
      <c r="AR4" s="3" t="s">
        <v>78</v>
      </c>
      <c r="AS4" s="3" t="s">
        <v>78</v>
      </c>
      <c r="AT4" s="3" t="s">
        <v>78</v>
      </c>
      <c r="AU4" s="3" t="s">
        <v>78</v>
      </c>
      <c r="AV4" s="3" t="s">
        <v>78</v>
      </c>
      <c r="AW4" s="3" t="s">
        <v>78</v>
      </c>
      <c r="AX4" s="50" t="s">
        <v>78</v>
      </c>
      <c r="AY4" s="3" t="s">
        <v>233</v>
      </c>
      <c r="AZ4" s="3" t="s">
        <v>233</v>
      </c>
      <c r="BA4" s="3" t="s">
        <v>233</v>
      </c>
      <c r="BB4" s="3" t="s">
        <v>233</v>
      </c>
      <c r="BC4" s="3" t="s">
        <v>233</v>
      </c>
      <c r="BD4" s="3" t="s">
        <v>233</v>
      </c>
      <c r="BE4" s="3" t="s">
        <v>233</v>
      </c>
      <c r="BF4" s="3" t="s">
        <v>233</v>
      </c>
      <c r="BG4" s="3" t="s">
        <v>233</v>
      </c>
      <c r="BH4" s="3" t="s">
        <v>233</v>
      </c>
      <c r="BI4" s="3" t="s">
        <v>233</v>
      </c>
      <c r="BJ4" s="3" t="s">
        <v>233</v>
      </c>
      <c r="BK4" s="3" t="s">
        <v>233</v>
      </c>
      <c r="BL4" s="3" t="s">
        <v>233</v>
      </c>
      <c r="BM4" s="3" t="s">
        <v>233</v>
      </c>
      <c r="BP4"/>
      <c r="BQ4"/>
      <c r="BR4"/>
      <c r="BS4"/>
      <c r="BT4"/>
      <c r="BU4"/>
    </row>
    <row r="5" spans="1:73" customFormat="1" outlineLevel="1"/>
    <row r="6" spans="1:73" s="84" customFormat="1">
      <c r="A6" s="15" t="s">
        <v>269</v>
      </c>
      <c r="B6" s="14"/>
      <c r="C6" s="14" t="str">
        <f t="shared" ref="C6:N6" si="0">CONCATENATE(C3,"",C4)</f>
        <v>1H10A</v>
      </c>
      <c r="D6" s="14" t="str">
        <f t="shared" si="0"/>
        <v>2H10A</v>
      </c>
      <c r="E6" s="14" t="str">
        <f t="shared" si="0"/>
        <v>FY10A</v>
      </c>
      <c r="F6" s="14" t="str">
        <f t="shared" si="0"/>
        <v>1H11A</v>
      </c>
      <c r="G6" s="14" t="str">
        <f t="shared" si="0"/>
        <v>2H11A</v>
      </c>
      <c r="H6" s="14" t="str">
        <f t="shared" si="0"/>
        <v>FY11A</v>
      </c>
      <c r="I6" s="14" t="str">
        <f t="shared" si="0"/>
        <v>1H12A</v>
      </c>
      <c r="J6" s="14" t="str">
        <f t="shared" si="0"/>
        <v>2H12A</v>
      </c>
      <c r="K6" s="14" t="str">
        <f t="shared" si="0"/>
        <v>FY12A</v>
      </c>
      <c r="L6" s="14" t="str">
        <f t="shared" si="0"/>
        <v>1H13A</v>
      </c>
      <c r="M6" s="14" t="str">
        <f t="shared" si="0"/>
        <v>2H13A</v>
      </c>
      <c r="N6" s="14" t="str">
        <f t="shared" si="0"/>
        <v>FY13A</v>
      </c>
      <c r="O6" s="14" t="str">
        <f>CONCATENATE(O3,"",O4)</f>
        <v>1H14A</v>
      </c>
      <c r="P6" s="14" t="str">
        <f>CONCATENATE(P3,"",P4)</f>
        <v>2H14A</v>
      </c>
      <c r="Q6" s="14" t="str">
        <f>CONCATENATE(Q3,"",Q4)</f>
        <v>FY14A</v>
      </c>
      <c r="R6" s="14" t="str">
        <f t="shared" ref="R6:AL6" si="1">CONCATENATE(R3,"",R4)</f>
        <v>1H15A</v>
      </c>
      <c r="S6" s="14" t="str">
        <f t="shared" si="1"/>
        <v>2H15A</v>
      </c>
      <c r="T6" s="14" t="str">
        <f t="shared" si="1"/>
        <v>FY15A</v>
      </c>
      <c r="U6" s="14" t="str">
        <f t="shared" si="1"/>
        <v>1H16A</v>
      </c>
      <c r="V6" s="14" t="str">
        <f t="shared" si="1"/>
        <v>2H16A</v>
      </c>
      <c r="W6" s="14" t="str">
        <f t="shared" si="1"/>
        <v>FY16A</v>
      </c>
      <c r="X6" s="14" t="str">
        <f t="shared" si="1"/>
        <v>1H17A</v>
      </c>
      <c r="Y6" s="14" t="str">
        <f t="shared" si="1"/>
        <v>2H17A</v>
      </c>
      <c r="Z6" s="14" t="str">
        <f t="shared" si="1"/>
        <v>FY17A</v>
      </c>
      <c r="AA6" s="14" t="str">
        <f t="shared" si="1"/>
        <v>1H18A</v>
      </c>
      <c r="AB6" s="14" t="str">
        <f t="shared" si="1"/>
        <v>2H18A</v>
      </c>
      <c r="AC6" s="14" t="str">
        <f t="shared" si="1"/>
        <v>FY18A</v>
      </c>
      <c r="AD6" s="14" t="str">
        <f t="shared" si="1"/>
        <v>1H19A</v>
      </c>
      <c r="AE6" s="14" t="str">
        <f>CONCATENATE(AE3,"",AE4)</f>
        <v>2H19A</v>
      </c>
      <c r="AF6" s="14" t="str">
        <f t="shared" si="1"/>
        <v>FY19A</v>
      </c>
      <c r="AG6" s="14" t="str">
        <f t="shared" si="1"/>
        <v>1H20A</v>
      </c>
      <c r="AH6" s="14" t="str">
        <f t="shared" si="1"/>
        <v>2H20A</v>
      </c>
      <c r="AI6" s="14" t="str">
        <f t="shared" si="1"/>
        <v>FY20A</v>
      </c>
      <c r="AJ6" s="14" t="str">
        <f t="shared" si="1"/>
        <v>1H21A</v>
      </c>
      <c r="AK6" s="14" t="str">
        <f t="shared" si="1"/>
        <v>2H21A</v>
      </c>
      <c r="AL6" s="14" t="str">
        <f t="shared" si="1"/>
        <v>FY21A</v>
      </c>
      <c r="AM6" s="14" t="str">
        <f t="shared" ref="AM6:AR6" si="2">CONCATENATE(AM3,"",AM4)</f>
        <v>1H22A</v>
      </c>
      <c r="AN6" s="14" t="str">
        <f t="shared" si="2"/>
        <v>2H22A</v>
      </c>
      <c r="AO6" s="14" t="str">
        <f t="shared" si="2"/>
        <v>FY22A</v>
      </c>
      <c r="AP6" s="14" t="str">
        <f t="shared" si="2"/>
        <v>1H23A</v>
      </c>
      <c r="AQ6" s="14" t="str">
        <f t="shared" si="2"/>
        <v>2H23A</v>
      </c>
      <c r="AR6" s="14" t="str">
        <f t="shared" si="2"/>
        <v>FY23A</v>
      </c>
      <c r="AS6" s="14" t="str">
        <f t="shared" ref="AS6:AU6" si="3">CONCATENATE(AS3,"",AS4)</f>
        <v>1H24A</v>
      </c>
      <c r="AT6" s="14" t="str">
        <f t="shared" si="3"/>
        <v>2H24A</v>
      </c>
      <c r="AU6" s="14" t="str">
        <f t="shared" si="3"/>
        <v>FY24A</v>
      </c>
      <c r="AV6" s="14" t="str">
        <f t="shared" ref="AV6:AX6" si="4">CONCATENATE(AV3,"",AV4)</f>
        <v>1H25A</v>
      </c>
      <c r="AW6" s="14" t="str">
        <f t="shared" si="4"/>
        <v>2H25A</v>
      </c>
      <c r="AX6" s="16" t="str">
        <f t="shared" si="4"/>
        <v>FY25A</v>
      </c>
      <c r="AY6" s="14" t="str">
        <f t="shared" ref="AY6:BM6" si="5">CONCATENATE(AY3,"",AY4)</f>
        <v>1H26E</v>
      </c>
      <c r="AZ6" s="14" t="str">
        <f t="shared" si="5"/>
        <v>2H26E</v>
      </c>
      <c r="BA6" s="14" t="str">
        <f t="shared" si="5"/>
        <v>FY26E</v>
      </c>
      <c r="BB6" s="14" t="str">
        <f t="shared" si="5"/>
        <v>1H27E</v>
      </c>
      <c r="BC6" s="14" t="str">
        <f t="shared" si="5"/>
        <v>2H27E</v>
      </c>
      <c r="BD6" s="14" t="str">
        <f t="shared" si="5"/>
        <v>FY27E</v>
      </c>
      <c r="BE6" s="14" t="str">
        <f t="shared" si="5"/>
        <v>1H28E</v>
      </c>
      <c r="BF6" s="14" t="str">
        <f t="shared" si="5"/>
        <v>2H28E</v>
      </c>
      <c r="BG6" s="14" t="str">
        <f t="shared" si="5"/>
        <v>FY28E</v>
      </c>
      <c r="BH6" s="14" t="str">
        <f t="shared" si="5"/>
        <v>1H29E</v>
      </c>
      <c r="BI6" s="14" t="str">
        <f t="shared" si="5"/>
        <v>2H29E</v>
      </c>
      <c r="BJ6" s="14" t="str">
        <f t="shared" si="5"/>
        <v>FY29E</v>
      </c>
      <c r="BK6" s="14" t="str">
        <f t="shared" si="5"/>
        <v>1H30E</v>
      </c>
      <c r="BL6" s="14" t="str">
        <f t="shared" si="5"/>
        <v>2H30E</v>
      </c>
      <c r="BM6" s="14" t="str">
        <f t="shared" si="5"/>
        <v>FY30E</v>
      </c>
      <c r="BN6" s="14"/>
      <c r="BP6"/>
      <c r="BQ6"/>
      <c r="BR6"/>
      <c r="BS6"/>
      <c r="BT6"/>
      <c r="BU6"/>
    </row>
    <row r="7" spans="1:73" s="17" customFormat="1">
      <c r="A7" s="17" t="s">
        <v>114</v>
      </c>
      <c r="Q7" s="18"/>
      <c r="AX7" s="19"/>
      <c r="BP7"/>
      <c r="BQ7"/>
      <c r="BR7"/>
      <c r="BS7"/>
      <c r="BT7"/>
      <c r="BU7"/>
    </row>
    <row r="8" spans="1:73">
      <c r="A8" s="13" t="s">
        <v>181</v>
      </c>
    </row>
    <row r="9" spans="1:73">
      <c r="A9" s="89" t="s">
        <v>469</v>
      </c>
      <c r="B9" s="52" t="s">
        <v>172</v>
      </c>
      <c r="C9" s="92">
        <f>ANZ!C$11</f>
        <v>769.29</v>
      </c>
      <c r="D9" s="92">
        <f>ANZ!D$11</f>
        <v>734.19700000000012</v>
      </c>
      <c r="E9" s="92">
        <f>ANZ!E$11</f>
        <v>1503.4870000000001</v>
      </c>
      <c r="F9" s="92">
        <f>ANZ!F$11</f>
        <v>796.39700000000005</v>
      </c>
      <c r="G9" s="92">
        <f>ANZ!G$11</f>
        <v>767.23699999999997</v>
      </c>
      <c r="H9" s="92">
        <f>ANZ!H$11</f>
        <v>1563.634</v>
      </c>
      <c r="I9" s="92">
        <f>ANZ!I$11</f>
        <v>784.745</v>
      </c>
      <c r="J9" s="92">
        <f>ANZ!J$11</f>
        <v>733.76200000000006</v>
      </c>
      <c r="K9" s="92">
        <f>ANZ!K$11</f>
        <v>1518.5070000000001</v>
      </c>
      <c r="L9" s="92">
        <f>ANZ!L$11</f>
        <v>780.81200000000001</v>
      </c>
      <c r="M9" s="92">
        <f>ANZ!M$11</f>
        <v>754.06599999999992</v>
      </c>
      <c r="N9" s="92">
        <f>ANZ!N$11</f>
        <v>1534.8779999999999</v>
      </c>
      <c r="O9" s="92">
        <f>ANZ!O$11</f>
        <v>840.84400000000005</v>
      </c>
      <c r="P9" s="92">
        <f>ANZ!P$11</f>
        <v>935.03199999999993</v>
      </c>
      <c r="Q9" s="92">
        <f>ANZ!Q$11</f>
        <v>1775.876</v>
      </c>
      <c r="R9" s="92">
        <f>ANZ!R$11</f>
        <v>1049.9960000000001</v>
      </c>
      <c r="S9" s="92">
        <f>ANZ!S$11</f>
        <v>1035.1320000000001</v>
      </c>
      <c r="T9" s="92">
        <f>ANZ!T$11</f>
        <v>2085.1280000000002</v>
      </c>
      <c r="U9" s="92">
        <f>ANZ!U$11</f>
        <v>1141.1300000000001</v>
      </c>
      <c r="V9" s="92">
        <f>ANZ!V$11</f>
        <v>1135.223</v>
      </c>
      <c r="W9" s="92">
        <f>SUM(U9:V9)</f>
        <v>2276.3530000000001</v>
      </c>
      <c r="X9" s="92">
        <f>ANZ!X$11</f>
        <v>1210.681</v>
      </c>
      <c r="Y9" s="92">
        <f>ANZ!Y$11</f>
        <v>1218.6259999999997</v>
      </c>
      <c r="Z9" s="92">
        <f>SUM(X9:Y9)</f>
        <v>2429.3069999999998</v>
      </c>
      <c r="AA9" s="92">
        <f>ANZ!AA$11</f>
        <v>1332.306</v>
      </c>
      <c r="AB9" s="92">
        <f>ANZ!AB$11</f>
        <v>1356.27</v>
      </c>
      <c r="AC9" s="92">
        <f>SUM(AA9:AB9)</f>
        <v>2688.576</v>
      </c>
      <c r="AD9" s="92">
        <f>ANZ!AD$11</f>
        <v>1465.116</v>
      </c>
      <c r="AE9" s="92">
        <f>ANZ!AE$11</f>
        <v>1407.5830000000001</v>
      </c>
      <c r="AF9" s="92">
        <f>SUM(AD9:AE9)</f>
        <v>2872.6990000000001</v>
      </c>
      <c r="AG9" s="92">
        <f>ANZ!AG$11</f>
        <v>1465.482</v>
      </c>
      <c r="AH9" s="92">
        <f>ANZ!AH$11</f>
        <v>1424.3760000000002</v>
      </c>
      <c r="AI9" s="92">
        <f>SUM(AG9:AH9)</f>
        <v>2889.8580000000002</v>
      </c>
      <c r="AJ9" s="92">
        <f>ANZ!AJ$11</f>
        <v>1564.0340000000001</v>
      </c>
      <c r="AK9" s="92">
        <f>ANZ!AK$11</f>
        <v>1589.7649999999999</v>
      </c>
      <c r="AL9" s="92">
        <f>SUM(AJ9:AK9)</f>
        <v>3153.799</v>
      </c>
      <c r="AM9" s="92">
        <f>ANZ!AM$11</f>
        <v>1733.3430000000001</v>
      </c>
      <c r="AN9" s="92">
        <f>ANZ!AN$11</f>
        <v>1784.6569999999999</v>
      </c>
      <c r="AO9" s="92">
        <f>SUM(AM9:AN9)</f>
        <v>3518</v>
      </c>
      <c r="AP9" s="92">
        <f>ANZ!AP$11</f>
        <v>1927.7360000000001</v>
      </c>
      <c r="AQ9" s="92">
        <f>ANZ!AQ$11</f>
        <v>1925.2639999999999</v>
      </c>
      <c r="AR9" s="92">
        <f>SUM(AP9:AQ9)</f>
        <v>3853</v>
      </c>
      <c r="AS9" s="92">
        <f>ANZ!AS$11</f>
        <v>1971.597</v>
      </c>
      <c r="AT9" s="92">
        <f>ANZ!AT$11</f>
        <v>1874.403</v>
      </c>
      <c r="AU9" s="92">
        <f>SUM(AS9:AT9)</f>
        <v>3846</v>
      </c>
      <c r="AV9" s="92">
        <f>ANZ!AV$11</f>
        <v>1980.3510000000001</v>
      </c>
      <c r="AW9" s="92">
        <f>ANZ!AW$11</f>
        <v>1901.6489999999999</v>
      </c>
      <c r="AX9" s="93">
        <f>SUM(AV9:AW9)</f>
        <v>3882</v>
      </c>
      <c r="AY9" s="92">
        <f>ANZ!AY$11</f>
        <v>2059.6747311228319</v>
      </c>
      <c r="AZ9" s="92">
        <f>ANZ!AZ$11</f>
        <v>2002.3879027953249</v>
      </c>
      <c r="BA9" s="92">
        <f>SUM(AY9:AZ9)</f>
        <v>4062.0626339181567</v>
      </c>
      <c r="BB9" s="92">
        <f>ANZ!BB$11</f>
        <v>2178.7973691167986</v>
      </c>
      <c r="BC9" s="92">
        <f>ANZ!BC$11</f>
        <v>2103.4255238240121</v>
      </c>
      <c r="BD9" s="92">
        <f>SUM(BB9:BC9)</f>
        <v>4282.2228929408102</v>
      </c>
      <c r="BE9" s="92">
        <f>ANZ!BE$11</f>
        <v>2302.495528688492</v>
      </c>
      <c r="BF9" s="92">
        <f>ANZ!BF$11</f>
        <v>2202.699863656142</v>
      </c>
      <c r="BG9" s="92">
        <f>SUM(BE9:BF9)</f>
        <v>4505.1953923446345</v>
      </c>
      <c r="BH9" s="92">
        <f>ANZ!BH$11</f>
        <v>2357.7554213770159</v>
      </c>
      <c r="BI9" s="92">
        <f>ANZ!BI$11</f>
        <v>2255.5646603838895</v>
      </c>
      <c r="BJ9" s="92">
        <f>SUM(BH9:BI9)</f>
        <v>4613.3200817609049</v>
      </c>
      <c r="BK9" s="92">
        <f>ANZ!BK$11</f>
        <v>2390.763997276294</v>
      </c>
      <c r="BL9" s="92">
        <f>ANZ!BL$11</f>
        <v>2289.4257105120769</v>
      </c>
      <c r="BM9" s="92">
        <f>SUM(BK9:BL9)</f>
        <v>4680.1897077883714</v>
      </c>
    </row>
    <row r="10" spans="1:73">
      <c r="A10" s="89" t="s">
        <v>470</v>
      </c>
      <c r="B10" s="52" t="s">
        <v>172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>
        <f>USA!AD$6</f>
        <v>1253.0940000000001</v>
      </c>
      <c r="AE10" s="92">
        <f>USA!AE$6</f>
        <v>1344.6529999999998</v>
      </c>
      <c r="AF10" s="92">
        <f>SUM(AD10:AE10)</f>
        <v>2597.7469999999998</v>
      </c>
      <c r="AG10" s="92">
        <f>USA!AG$6</f>
        <v>1496.1859999999999</v>
      </c>
      <c r="AH10" s="92">
        <f>USA!AH$6</f>
        <v>1627.6969999999999</v>
      </c>
      <c r="AI10" s="92">
        <f>SUM(AG10:AH10)</f>
        <v>3123.8829999999998</v>
      </c>
      <c r="AJ10" s="92">
        <f>USA!AJ$6</f>
        <v>1509.498</v>
      </c>
      <c r="AK10" s="92">
        <f>USA!AK$6</f>
        <v>1607.4090000000001</v>
      </c>
      <c r="AL10" s="92">
        <f>SUM(AJ10:AK10)</f>
        <v>3116.9070000000002</v>
      </c>
      <c r="AM10" s="92">
        <f>USA!AM$6</f>
        <v>1866.8579999999999</v>
      </c>
      <c r="AN10" s="92">
        <f>USA!AN$6</f>
        <v>2269.1419999999998</v>
      </c>
      <c r="AO10" s="92">
        <f>SUM(AM10:AN10)</f>
        <v>4136</v>
      </c>
      <c r="AP10" s="92">
        <f>USA!AP$6</f>
        <v>2499.5540000000001</v>
      </c>
      <c r="AQ10" s="92">
        <f>USA!AQ$6</f>
        <v>2487.1269999999995</v>
      </c>
      <c r="AR10" s="92">
        <f>SUM(AP10:AQ10)</f>
        <v>4986.6809999999996</v>
      </c>
      <c r="AS10" s="92">
        <f>USA!AS$6</f>
        <v>2565.6759999999999</v>
      </c>
      <c r="AT10" s="92">
        <f>USA!AT$6</f>
        <v>2693.3240000000001</v>
      </c>
      <c r="AU10" s="92">
        <f>SUM(AS10:AT10)</f>
        <v>5259</v>
      </c>
      <c r="AV10" s="92">
        <f>USA!AV$6</f>
        <v>2422.1190000000001</v>
      </c>
      <c r="AW10" s="92">
        <f>USA!AW$6</f>
        <v>2673.9259999999999</v>
      </c>
      <c r="AX10" s="93">
        <f>SUM(AV10:AW10)</f>
        <v>5096.0450000000001</v>
      </c>
      <c r="AY10" s="92">
        <f>USA!AY$6</f>
        <v>2538.9302708973255</v>
      </c>
      <c r="AZ10" s="92">
        <f>USA!AZ$6</f>
        <v>2728.1481241961064</v>
      </c>
      <c r="BA10" s="92">
        <f>SUM(AY10:AZ10)</f>
        <v>5267.0783950934319</v>
      </c>
      <c r="BB10" s="92">
        <f>USA!BB$6</f>
        <v>2627.310499275201</v>
      </c>
      <c r="BC10" s="92">
        <f>USA!BC$6</f>
        <v>2831.8053576623465</v>
      </c>
      <c r="BD10" s="92">
        <f>SUM(BB10:BC10)</f>
        <v>5459.1158569375475</v>
      </c>
      <c r="BE10" s="92">
        <f>USA!BE$6</f>
        <v>2761.7577691861093</v>
      </c>
      <c r="BF10" s="92">
        <f>USA!BF$6</f>
        <v>2977.173694296052</v>
      </c>
      <c r="BG10" s="92">
        <f>SUM(BE10:BF10)</f>
        <v>5738.9314634821612</v>
      </c>
      <c r="BH10" s="92">
        <f>USA!BH$6</f>
        <v>2876.0530195760662</v>
      </c>
      <c r="BI10" s="92">
        <f>USA!BI$6</f>
        <v>3093.1671513392585</v>
      </c>
      <c r="BJ10" s="92">
        <f>SUM(BH10:BI10)</f>
        <v>5969.2201709153251</v>
      </c>
      <c r="BK10" s="92">
        <f>USA!BK$6</f>
        <v>2921.209829221692</v>
      </c>
      <c r="BL10" s="92">
        <f>USA!BL$6</f>
        <v>3165.2125900534884</v>
      </c>
      <c r="BM10" s="92">
        <f>SUM(BK10:BL10)</f>
        <v>6086.4224192751808</v>
      </c>
    </row>
    <row r="11" spans="1:73" s="13" customFormat="1">
      <c r="A11" s="54" t="s">
        <v>161</v>
      </c>
      <c r="B11" s="55" t="s">
        <v>172</v>
      </c>
      <c r="C11" s="94">
        <f t="shared" ref="C11:P11" si="6">SUM(C9:C10)</f>
        <v>769.29</v>
      </c>
      <c r="D11" s="94">
        <f t="shared" si="6"/>
        <v>734.19700000000012</v>
      </c>
      <c r="E11" s="94">
        <f t="shared" si="6"/>
        <v>1503.4870000000001</v>
      </c>
      <c r="F11" s="94">
        <f t="shared" si="6"/>
        <v>796.39700000000005</v>
      </c>
      <c r="G11" s="94">
        <f t="shared" si="6"/>
        <v>767.23699999999997</v>
      </c>
      <c r="H11" s="94">
        <f t="shared" si="6"/>
        <v>1563.634</v>
      </c>
      <c r="I11" s="94">
        <f t="shared" si="6"/>
        <v>784.745</v>
      </c>
      <c r="J11" s="94">
        <f t="shared" si="6"/>
        <v>733.76200000000006</v>
      </c>
      <c r="K11" s="94">
        <f t="shared" si="6"/>
        <v>1518.5070000000001</v>
      </c>
      <c r="L11" s="94">
        <f t="shared" si="6"/>
        <v>780.81200000000001</v>
      </c>
      <c r="M11" s="94">
        <f t="shared" si="6"/>
        <v>754.06599999999992</v>
      </c>
      <c r="N11" s="94">
        <f t="shared" si="6"/>
        <v>1534.8779999999999</v>
      </c>
      <c r="O11" s="94">
        <f t="shared" si="6"/>
        <v>840.84400000000005</v>
      </c>
      <c r="P11" s="94">
        <f t="shared" si="6"/>
        <v>935.03199999999993</v>
      </c>
      <c r="Q11" s="94">
        <f t="shared" ref="Q11:AO11" si="7">SUM(Q9:Q10)</f>
        <v>1775.876</v>
      </c>
      <c r="R11" s="94">
        <f t="shared" si="7"/>
        <v>1049.9960000000001</v>
      </c>
      <c r="S11" s="94">
        <f t="shared" si="7"/>
        <v>1035.1320000000001</v>
      </c>
      <c r="T11" s="94">
        <f t="shared" si="7"/>
        <v>2085.1280000000002</v>
      </c>
      <c r="U11" s="94">
        <f t="shared" si="7"/>
        <v>1141.1300000000001</v>
      </c>
      <c r="V11" s="94">
        <f t="shared" si="7"/>
        <v>1135.223</v>
      </c>
      <c r="W11" s="94">
        <f t="shared" si="7"/>
        <v>2276.3530000000001</v>
      </c>
      <c r="X11" s="94">
        <f t="shared" si="7"/>
        <v>1210.681</v>
      </c>
      <c r="Y11" s="94">
        <f t="shared" si="7"/>
        <v>1218.6259999999997</v>
      </c>
      <c r="Z11" s="94">
        <f t="shared" si="7"/>
        <v>2429.3069999999998</v>
      </c>
      <c r="AA11" s="94">
        <f t="shared" si="7"/>
        <v>1332.306</v>
      </c>
      <c r="AB11" s="94">
        <f t="shared" si="7"/>
        <v>1356.27</v>
      </c>
      <c r="AC11" s="94">
        <f t="shared" si="7"/>
        <v>2688.576</v>
      </c>
      <c r="AD11" s="94">
        <f t="shared" si="7"/>
        <v>2718.21</v>
      </c>
      <c r="AE11" s="94">
        <f t="shared" si="7"/>
        <v>2752.2359999999999</v>
      </c>
      <c r="AF11" s="94">
        <f t="shared" si="7"/>
        <v>5470.4459999999999</v>
      </c>
      <c r="AG11" s="94">
        <f t="shared" si="7"/>
        <v>2961.6679999999997</v>
      </c>
      <c r="AH11" s="94">
        <f t="shared" si="7"/>
        <v>3052.0730000000003</v>
      </c>
      <c r="AI11" s="94">
        <f>SUM(AI9:AI10)</f>
        <v>6013.741</v>
      </c>
      <c r="AJ11" s="94">
        <f t="shared" si="7"/>
        <v>3073.5320000000002</v>
      </c>
      <c r="AK11" s="94">
        <f>SUM(AK9:AK10)</f>
        <v>3197.174</v>
      </c>
      <c r="AL11" s="94">
        <f>SUM(AL9:AL10)</f>
        <v>6270.7060000000001</v>
      </c>
      <c r="AM11" s="94">
        <f t="shared" si="7"/>
        <v>3600.201</v>
      </c>
      <c r="AN11" s="94">
        <f t="shared" si="7"/>
        <v>4053.799</v>
      </c>
      <c r="AO11" s="94">
        <f t="shared" si="7"/>
        <v>7654</v>
      </c>
      <c r="AP11" s="94">
        <f t="shared" ref="AP11:AU11" si="8">SUM(AP9:AP10)</f>
        <v>4427.29</v>
      </c>
      <c r="AQ11" s="94">
        <f t="shared" si="8"/>
        <v>4412.3909999999996</v>
      </c>
      <c r="AR11" s="94">
        <f t="shared" si="8"/>
        <v>8839.6810000000005</v>
      </c>
      <c r="AS11" s="94">
        <f t="shared" si="8"/>
        <v>4537.2730000000001</v>
      </c>
      <c r="AT11" s="94">
        <f t="shared" si="8"/>
        <v>4567.7269999999999</v>
      </c>
      <c r="AU11" s="94">
        <f t="shared" si="8"/>
        <v>9105</v>
      </c>
      <c r="AV11" s="94">
        <f t="shared" ref="AV11:AX11" si="9">SUM(AV9:AV10)</f>
        <v>4402.47</v>
      </c>
      <c r="AW11" s="94">
        <f t="shared" si="9"/>
        <v>4575.5749999999998</v>
      </c>
      <c r="AX11" s="95">
        <f t="shared" si="9"/>
        <v>8978.0450000000001</v>
      </c>
      <c r="AY11" s="94">
        <f t="shared" ref="AY11:BM11" si="10">SUM(AY9:AY10)</f>
        <v>4598.6050020201574</v>
      </c>
      <c r="AZ11" s="94">
        <f t="shared" si="10"/>
        <v>4730.5360269914308</v>
      </c>
      <c r="BA11" s="94">
        <f t="shared" si="10"/>
        <v>9329.1410290115891</v>
      </c>
      <c r="BB11" s="94">
        <f t="shared" si="10"/>
        <v>4806.1078683919995</v>
      </c>
      <c r="BC11" s="94">
        <f t="shared" si="10"/>
        <v>4935.2308814863591</v>
      </c>
      <c r="BD11" s="94">
        <f t="shared" si="10"/>
        <v>9741.3387498783577</v>
      </c>
      <c r="BE11" s="94">
        <f t="shared" si="10"/>
        <v>5064.2532978746012</v>
      </c>
      <c r="BF11" s="94">
        <f t="shared" si="10"/>
        <v>5179.8735579521945</v>
      </c>
      <c r="BG11" s="94">
        <f t="shared" si="10"/>
        <v>10244.126855826795</v>
      </c>
      <c r="BH11" s="94">
        <f t="shared" si="10"/>
        <v>5233.808440953082</v>
      </c>
      <c r="BI11" s="94">
        <f t="shared" si="10"/>
        <v>5348.731811723148</v>
      </c>
      <c r="BJ11" s="94">
        <f t="shared" si="10"/>
        <v>10582.54025267623</v>
      </c>
      <c r="BK11" s="94">
        <f t="shared" si="10"/>
        <v>5311.973826497986</v>
      </c>
      <c r="BL11" s="94">
        <f t="shared" si="10"/>
        <v>5454.6383005655653</v>
      </c>
      <c r="BM11" s="94">
        <f t="shared" si="10"/>
        <v>10766.612127063552</v>
      </c>
      <c r="BP11"/>
      <c r="BQ11"/>
      <c r="BR11"/>
      <c r="BS11"/>
      <c r="BT11"/>
      <c r="BU11"/>
    </row>
    <row r="12" spans="1:73" s="13" customFormat="1"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4"/>
      <c r="T12" s="96"/>
      <c r="U12" s="96"/>
      <c r="V12" s="94"/>
      <c r="W12" s="96"/>
      <c r="X12" s="96"/>
      <c r="Y12" s="94"/>
      <c r="Z12" s="97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5"/>
      <c r="AY12" s="343">
        <f t="shared" ref="AY12:BA12" si="11">AY11/AV11-1</f>
        <v>4.4551127439859339E-2</v>
      </c>
      <c r="AZ12" s="343">
        <f t="shared" si="11"/>
        <v>3.3867006221388829E-2</v>
      </c>
      <c r="BA12" s="343">
        <f t="shared" si="11"/>
        <v>3.9106066967985686E-2</v>
      </c>
      <c r="BB12" s="94"/>
      <c r="BC12" s="94"/>
      <c r="BD12" s="94"/>
      <c r="BE12" s="94"/>
      <c r="BF12" s="94"/>
      <c r="BG12" s="94"/>
      <c r="BH12" s="94"/>
      <c r="BI12" s="94"/>
      <c r="BJ12" s="94"/>
      <c r="BK12" s="94"/>
      <c r="BL12" s="94"/>
      <c r="BM12" s="94"/>
      <c r="BP12"/>
      <c r="BQ12"/>
      <c r="BR12"/>
      <c r="BS12"/>
      <c r="BT12"/>
      <c r="BU12"/>
    </row>
    <row r="13" spans="1:73">
      <c r="A13" s="6" t="s">
        <v>193</v>
      </c>
      <c r="B13" s="52" t="s">
        <v>172</v>
      </c>
      <c r="C13" s="98">
        <v>531.65499999999997</v>
      </c>
      <c r="D13" s="92">
        <f>E13-C13</f>
        <v>502.37599999999998</v>
      </c>
      <c r="E13" s="98">
        <v>1034.0309999999999</v>
      </c>
      <c r="F13" s="98">
        <v>550.22900000000004</v>
      </c>
      <c r="G13" s="92">
        <f>H13-F13</f>
        <v>523.7639999999999</v>
      </c>
      <c r="H13" s="98">
        <v>1073.9929999999999</v>
      </c>
      <c r="I13" s="98">
        <v>541.47299999999996</v>
      </c>
      <c r="J13" s="92">
        <f>K13-I13</f>
        <v>494.34500000000003</v>
      </c>
      <c r="K13" s="98">
        <v>1035.818</v>
      </c>
      <c r="L13" s="98">
        <v>536.91</v>
      </c>
      <c r="M13" s="92">
        <f>N13-L13</f>
        <v>505.52699999999993</v>
      </c>
      <c r="N13" s="98">
        <v>1042.4369999999999</v>
      </c>
      <c r="O13" s="98">
        <v>581.40899999999999</v>
      </c>
      <c r="P13" s="92">
        <f>Q13-O13</f>
        <v>628.37399999999991</v>
      </c>
      <c r="Q13" s="98">
        <v>1209.7829999999999</v>
      </c>
      <c r="R13" s="98">
        <v>719.32899999999995</v>
      </c>
      <c r="S13" s="92">
        <f>T13-R13</f>
        <v>678.15900000000011</v>
      </c>
      <c r="T13" s="98">
        <v>1397.4880000000001</v>
      </c>
      <c r="U13" s="98">
        <v>774.84500000000003</v>
      </c>
      <c r="V13" s="92">
        <f>W13-U13</f>
        <v>742.59799999999996</v>
      </c>
      <c r="W13" s="98">
        <v>1517.443</v>
      </c>
      <c r="X13" s="98">
        <v>821.79499999999996</v>
      </c>
      <c r="Y13" s="92">
        <f>Z13-X13</f>
        <v>797.41300000000012</v>
      </c>
      <c r="Z13" s="98">
        <v>1619.2080000000001</v>
      </c>
      <c r="AA13" s="98">
        <v>899.86699999999996</v>
      </c>
      <c r="AB13" s="92">
        <f>AC13-AA13</f>
        <v>899.61400000000003</v>
      </c>
      <c r="AC13" s="98">
        <v>1799.481</v>
      </c>
      <c r="AD13" s="98">
        <v>1945.3610000000001</v>
      </c>
      <c r="AE13" s="92">
        <f>AF13-AD13</f>
        <v>1981.066</v>
      </c>
      <c r="AF13" s="98">
        <v>3926.4270000000001</v>
      </c>
      <c r="AG13" s="98">
        <v>2133.29</v>
      </c>
      <c r="AH13" s="92">
        <f>+AI13-AG13</f>
        <v>2205.3770000000004</v>
      </c>
      <c r="AI13" s="98">
        <v>4338.6670000000004</v>
      </c>
      <c r="AJ13" s="98">
        <v>2216.1709999999998</v>
      </c>
      <c r="AK13" s="92">
        <f>+AL13-AJ13</f>
        <v>2293.0050000000006</v>
      </c>
      <c r="AL13" s="98">
        <v>4509.1760000000004</v>
      </c>
      <c r="AM13" s="98">
        <v>2598.3989999999999</v>
      </c>
      <c r="AN13" s="92">
        <f>AO13-AM13</f>
        <v>2916.6839999999997</v>
      </c>
      <c r="AO13" s="98">
        <v>5515.0829999999996</v>
      </c>
      <c r="AP13" s="98">
        <v>3185.866</v>
      </c>
      <c r="AQ13" s="92">
        <f>AR13-AP13</f>
        <v>3146.9930000000004</v>
      </c>
      <c r="AR13" s="98">
        <v>6332.8590000000004</v>
      </c>
      <c r="AS13" s="98">
        <v>3228.2750000000001</v>
      </c>
      <c r="AT13" s="92">
        <f>AU13-AS13</f>
        <v>3270.7930000000001</v>
      </c>
      <c r="AU13" s="98">
        <v>6499.0680000000002</v>
      </c>
      <c r="AV13" s="98">
        <v>3117.8249999999998</v>
      </c>
      <c r="AW13" s="92">
        <f>AX13-AV13</f>
        <v>3302.3500000000004</v>
      </c>
      <c r="AX13" s="404">
        <v>6420.1750000000002</v>
      </c>
      <c r="AY13" s="92">
        <f>+AY11-AY15</f>
        <v>3256.727618910179</v>
      </c>
      <c r="AZ13" s="92">
        <f>+AZ11-AZ15</f>
        <v>3414.1907079952034</v>
      </c>
      <c r="BA13" s="92">
        <f>SUM(AY13:AZ13)</f>
        <v>6670.9183269053829</v>
      </c>
      <c r="BB13" s="92">
        <f>+BB11-BB15</f>
        <v>3403.6809483697298</v>
      </c>
      <c r="BC13" s="92">
        <f>+BC11-BC15</f>
        <v>3561.9260314772418</v>
      </c>
      <c r="BD13" s="92">
        <f>SUM(BB13:BC13)</f>
        <v>6965.6069798469716</v>
      </c>
      <c r="BE13" s="92">
        <f>+BE11-BE15</f>
        <v>3586.4992920896402</v>
      </c>
      <c r="BF13" s="92">
        <f>+BF11-BF15</f>
        <v>3738.4930733521869</v>
      </c>
      <c r="BG13" s="92">
        <f>SUM(BE13:BF13)</f>
        <v>7324.9923654418271</v>
      </c>
      <c r="BH13" s="92">
        <f>+BH11-BH15</f>
        <v>3706.5780805807972</v>
      </c>
      <c r="BI13" s="92">
        <f>+BI11-BI15</f>
        <v>3860.3638883515055</v>
      </c>
      <c r="BJ13" s="92">
        <f>SUM(BH13:BI13)</f>
        <v>7566.9419689323022</v>
      </c>
      <c r="BK13" s="92">
        <f>+BK11-BK15</f>
        <v>3761.9347310943813</v>
      </c>
      <c r="BL13" s="92">
        <f>+BL11-BL15</f>
        <v>3936.8002473727774</v>
      </c>
      <c r="BM13" s="92">
        <f>SUM(BK13:BL13)</f>
        <v>7698.7349784671587</v>
      </c>
    </row>
    <row r="14" spans="1:73"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W14" s="92"/>
      <c r="AX14" s="93"/>
      <c r="AY14" s="92"/>
      <c r="AZ14" s="92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</row>
    <row r="15" spans="1:73">
      <c r="A15" s="6" t="s">
        <v>105</v>
      </c>
      <c r="B15" s="52" t="s">
        <v>172</v>
      </c>
      <c r="C15" s="92">
        <f t="shared" ref="C15:AJ15" si="12">+C11-C13</f>
        <v>237.63499999999999</v>
      </c>
      <c r="D15" s="92">
        <f t="shared" si="12"/>
        <v>231.82100000000014</v>
      </c>
      <c r="E15" s="92">
        <f t="shared" si="12"/>
        <v>469.45600000000013</v>
      </c>
      <c r="F15" s="92">
        <f t="shared" si="12"/>
        <v>246.16800000000001</v>
      </c>
      <c r="G15" s="92">
        <f t="shared" si="12"/>
        <v>243.47300000000007</v>
      </c>
      <c r="H15" s="92">
        <f t="shared" si="12"/>
        <v>489.64100000000008</v>
      </c>
      <c r="I15" s="92">
        <f t="shared" si="12"/>
        <v>243.27200000000005</v>
      </c>
      <c r="J15" s="92">
        <f t="shared" si="12"/>
        <v>239.41700000000003</v>
      </c>
      <c r="K15" s="92">
        <f t="shared" si="12"/>
        <v>482.68900000000008</v>
      </c>
      <c r="L15" s="92">
        <f t="shared" si="12"/>
        <v>243.90200000000004</v>
      </c>
      <c r="M15" s="92">
        <f t="shared" si="12"/>
        <v>248.53899999999999</v>
      </c>
      <c r="N15" s="92">
        <f t="shared" si="12"/>
        <v>492.44100000000003</v>
      </c>
      <c r="O15" s="92">
        <f t="shared" si="12"/>
        <v>259.43500000000006</v>
      </c>
      <c r="P15" s="92">
        <f t="shared" si="12"/>
        <v>306.65800000000002</v>
      </c>
      <c r="Q15" s="92">
        <f t="shared" si="12"/>
        <v>566.09300000000007</v>
      </c>
      <c r="R15" s="92">
        <f t="shared" si="12"/>
        <v>330.66700000000014</v>
      </c>
      <c r="S15" s="92">
        <f t="shared" si="12"/>
        <v>356.97299999999996</v>
      </c>
      <c r="T15" s="92">
        <f t="shared" si="12"/>
        <v>687.6400000000001</v>
      </c>
      <c r="U15" s="92">
        <f t="shared" si="12"/>
        <v>366.28500000000008</v>
      </c>
      <c r="V15" s="92">
        <f t="shared" si="12"/>
        <v>392.625</v>
      </c>
      <c r="W15" s="92">
        <f t="shared" si="12"/>
        <v>758.91000000000008</v>
      </c>
      <c r="X15" s="92">
        <f t="shared" si="12"/>
        <v>388.88600000000008</v>
      </c>
      <c r="Y15" s="92">
        <f t="shared" si="12"/>
        <v>421.21299999999962</v>
      </c>
      <c r="Z15" s="92">
        <f t="shared" si="12"/>
        <v>810.09899999999971</v>
      </c>
      <c r="AA15" s="92">
        <f t="shared" si="12"/>
        <v>432.43900000000008</v>
      </c>
      <c r="AB15" s="92">
        <f t="shared" si="12"/>
        <v>456.65599999999995</v>
      </c>
      <c r="AC15" s="92">
        <f t="shared" si="12"/>
        <v>889.09500000000003</v>
      </c>
      <c r="AD15" s="92">
        <f t="shared" si="12"/>
        <v>772.84899999999993</v>
      </c>
      <c r="AE15" s="92">
        <f t="shared" si="12"/>
        <v>771.16999999999985</v>
      </c>
      <c r="AF15" s="92">
        <f t="shared" si="12"/>
        <v>1544.0189999999998</v>
      </c>
      <c r="AG15" s="92">
        <f t="shared" si="12"/>
        <v>828.3779999999997</v>
      </c>
      <c r="AH15" s="92">
        <f t="shared" si="12"/>
        <v>846.69599999999991</v>
      </c>
      <c r="AI15" s="92">
        <f>+AI11-AI13</f>
        <v>1675.0739999999996</v>
      </c>
      <c r="AJ15" s="92">
        <f t="shared" si="12"/>
        <v>857.36100000000033</v>
      </c>
      <c r="AK15" s="92">
        <f t="shared" ref="AK15:AR15" si="13">+AK11-AK13</f>
        <v>904.16899999999941</v>
      </c>
      <c r="AL15" s="92">
        <f t="shared" si="13"/>
        <v>1761.5299999999997</v>
      </c>
      <c r="AM15" s="92">
        <f t="shared" si="13"/>
        <v>1001.8020000000001</v>
      </c>
      <c r="AN15" s="92">
        <f t="shared" si="13"/>
        <v>1137.1150000000002</v>
      </c>
      <c r="AO15" s="92">
        <f t="shared" si="13"/>
        <v>2138.9170000000004</v>
      </c>
      <c r="AP15" s="92">
        <f t="shared" si="13"/>
        <v>1241.424</v>
      </c>
      <c r="AQ15" s="92">
        <f t="shared" si="13"/>
        <v>1265.3979999999992</v>
      </c>
      <c r="AR15" s="92">
        <f t="shared" si="13"/>
        <v>2506.8220000000001</v>
      </c>
      <c r="AS15" s="92">
        <f t="shared" ref="AS15:AU15" si="14">+AS11-AS13</f>
        <v>1308.998</v>
      </c>
      <c r="AT15" s="92">
        <f t="shared" si="14"/>
        <v>1296.9339999999997</v>
      </c>
      <c r="AU15" s="92">
        <f t="shared" si="14"/>
        <v>2605.9319999999998</v>
      </c>
      <c r="AV15" s="92">
        <f t="shared" ref="AV15:AX15" si="15">+AV11-AV13</f>
        <v>1284.6450000000004</v>
      </c>
      <c r="AW15" s="92">
        <f t="shared" si="15"/>
        <v>1273.2249999999995</v>
      </c>
      <c r="AX15" s="93">
        <f t="shared" si="15"/>
        <v>2557.87</v>
      </c>
      <c r="AY15" s="92">
        <f>AY11*AY16</f>
        <v>1341.8773831099784</v>
      </c>
      <c r="AZ15" s="92">
        <f>AZ11*AZ16</f>
        <v>1316.3453189962272</v>
      </c>
      <c r="BA15" s="92">
        <f>SUM(AY15:AZ15)</f>
        <v>2658.2227021062054</v>
      </c>
      <c r="BB15" s="92">
        <f>BB11*BB16</f>
        <v>1402.4269200222695</v>
      </c>
      <c r="BC15" s="92">
        <f>BC11*BC16</f>
        <v>1373.3048500091174</v>
      </c>
      <c r="BD15" s="92">
        <f>SUM(BB15:BC15)</f>
        <v>2775.731770031387</v>
      </c>
      <c r="BE15" s="92">
        <f>BE11*BE16</f>
        <v>1477.7540057849612</v>
      </c>
      <c r="BF15" s="92">
        <f>BF11*BF16</f>
        <v>1441.3804846000078</v>
      </c>
      <c r="BG15" s="92">
        <f>SUM(BE15:BF15)</f>
        <v>2919.134490384969</v>
      </c>
      <c r="BH15" s="92">
        <f>BH11*BH16</f>
        <v>1527.2303603722848</v>
      </c>
      <c r="BI15" s="92">
        <f>BI11*BI16</f>
        <v>1488.3679233716425</v>
      </c>
      <c r="BJ15" s="92">
        <f>SUM(BH15:BI15)</f>
        <v>3015.5982837439274</v>
      </c>
      <c r="BK15" s="92">
        <f>BK11*BK16</f>
        <v>1550.0390954036045</v>
      </c>
      <c r="BL15" s="92">
        <f>BL11*BL16</f>
        <v>1517.8380531927876</v>
      </c>
      <c r="BM15" s="92">
        <f>SUM(BK15:BL15)</f>
        <v>3067.8771485963921</v>
      </c>
    </row>
    <row r="16" spans="1:73">
      <c r="A16" s="89" t="s">
        <v>271</v>
      </c>
      <c r="B16" s="52" t="s">
        <v>76</v>
      </c>
      <c r="C16" s="27">
        <f t="shared" ref="C16:AJ16" si="16">C15/C11</f>
        <v>0.30890171456797827</v>
      </c>
      <c r="D16" s="27">
        <f t="shared" si="16"/>
        <v>0.31574768079956755</v>
      </c>
      <c r="E16" s="27">
        <f t="shared" si="16"/>
        <v>0.31224480158458312</v>
      </c>
      <c r="F16" s="27">
        <f t="shared" si="16"/>
        <v>0.30910211866694626</v>
      </c>
      <c r="G16" s="27">
        <f t="shared" si="16"/>
        <v>0.31733740682474915</v>
      </c>
      <c r="H16" s="27">
        <f t="shared" si="16"/>
        <v>0.31314297335565744</v>
      </c>
      <c r="I16" s="27">
        <f t="shared" si="16"/>
        <v>0.31000133801425944</v>
      </c>
      <c r="J16" s="27">
        <f t="shared" si="16"/>
        <v>0.3262869976913495</v>
      </c>
      <c r="K16" s="27">
        <f t="shared" si="16"/>
        <v>0.31787077701979644</v>
      </c>
      <c r="L16" s="27">
        <f t="shared" si="16"/>
        <v>0.31236968694128681</v>
      </c>
      <c r="M16" s="27">
        <f t="shared" si="16"/>
        <v>0.32959847016043692</v>
      </c>
      <c r="N16" s="27">
        <f t="shared" si="16"/>
        <v>0.32083396856297375</v>
      </c>
      <c r="O16" s="27">
        <f t="shared" si="16"/>
        <v>0.30854118005242359</v>
      </c>
      <c r="P16" s="27">
        <f t="shared" si="16"/>
        <v>0.32796524610922412</v>
      </c>
      <c r="Q16" s="27">
        <f t="shared" si="16"/>
        <v>0.31876831490486951</v>
      </c>
      <c r="R16" s="27">
        <f t="shared" si="16"/>
        <v>0.31492215208438901</v>
      </c>
      <c r="S16" s="27">
        <f t="shared" si="16"/>
        <v>0.34485746745342616</v>
      </c>
      <c r="T16" s="27">
        <f t="shared" si="16"/>
        <v>0.32978311163631202</v>
      </c>
      <c r="U16" s="27">
        <f t="shared" si="16"/>
        <v>0.32098446276936021</v>
      </c>
      <c r="V16" s="27">
        <f t="shared" si="16"/>
        <v>0.34585715758049301</v>
      </c>
      <c r="W16" s="27">
        <f t="shared" si="16"/>
        <v>0.33338853859660611</v>
      </c>
      <c r="X16" s="27">
        <f t="shared" si="16"/>
        <v>0.32121260678907165</v>
      </c>
      <c r="Y16" s="27">
        <f t="shared" si="16"/>
        <v>0.34564583391458881</v>
      </c>
      <c r="Z16" s="27">
        <f t="shared" si="16"/>
        <v>0.33346917454236941</v>
      </c>
      <c r="AA16" s="27">
        <f t="shared" si="16"/>
        <v>0.32457933838022202</v>
      </c>
      <c r="AB16" s="27">
        <f t="shared" si="16"/>
        <v>0.33669991963252149</v>
      </c>
      <c r="AC16" s="27">
        <f t="shared" si="16"/>
        <v>0.33069364600442763</v>
      </c>
      <c r="AD16" s="27">
        <f t="shared" si="16"/>
        <v>0.28432277123548216</v>
      </c>
      <c r="AE16" s="27">
        <f t="shared" si="16"/>
        <v>0.28019762840105278</v>
      </c>
      <c r="AF16" s="27">
        <f t="shared" si="16"/>
        <v>0.2822473706897024</v>
      </c>
      <c r="AG16" s="27">
        <f t="shared" si="16"/>
        <v>0.27969981780537179</v>
      </c>
      <c r="AH16" s="27">
        <f t="shared" si="16"/>
        <v>0.2774166935063479</v>
      </c>
      <c r="AI16" s="27">
        <f t="shared" si="16"/>
        <v>0.27854109447014758</v>
      </c>
      <c r="AJ16" s="27">
        <f t="shared" si="16"/>
        <v>0.27894975552556484</v>
      </c>
      <c r="AK16" s="27">
        <f t="shared" ref="AK16:AR16" si="17">AK15/AK11</f>
        <v>0.28280256251301911</v>
      </c>
      <c r="AL16" s="27">
        <f t="shared" si="17"/>
        <v>0.28091414268186066</v>
      </c>
      <c r="AM16" s="27">
        <f t="shared" si="17"/>
        <v>0.27826279699383455</v>
      </c>
      <c r="AN16" s="27">
        <f t="shared" si="17"/>
        <v>0.28050601423504229</v>
      </c>
      <c r="AO16" s="27">
        <f t="shared" si="17"/>
        <v>0.27945087535928931</v>
      </c>
      <c r="AP16" s="27">
        <f t="shared" si="17"/>
        <v>0.28040268426057474</v>
      </c>
      <c r="AQ16" s="27">
        <f t="shared" si="17"/>
        <v>0.2867828349754134</v>
      </c>
      <c r="AR16" s="27">
        <f t="shared" si="17"/>
        <v>0.28358738284786522</v>
      </c>
      <c r="AS16" s="27">
        <f t="shared" ref="AS16:AU16" si="18">AS15/AS11</f>
        <v>0.28849884060315523</v>
      </c>
      <c r="AT16" s="27">
        <f t="shared" si="18"/>
        <v>0.28393421936118329</v>
      </c>
      <c r="AU16" s="27">
        <f t="shared" si="18"/>
        <v>0.28620889621087314</v>
      </c>
      <c r="AV16" s="27">
        <f t="shared" ref="AV16:AX16" si="19">AV15/AV11</f>
        <v>0.29180096627574981</v>
      </c>
      <c r="AW16" s="27">
        <f t="shared" si="19"/>
        <v>0.2782655731793271</v>
      </c>
      <c r="AX16" s="402">
        <f t="shared" si="19"/>
        <v>0.28490278228723515</v>
      </c>
      <c r="AY16" s="28">
        <f>AV16</f>
        <v>0.29180096627574981</v>
      </c>
      <c r="AZ16" s="28">
        <f>AW16</f>
        <v>0.2782655731793271</v>
      </c>
      <c r="BA16" s="27">
        <f>BA15/BA11</f>
        <v>0.28493756218709887</v>
      </c>
      <c r="BB16" s="28">
        <f>AY16</f>
        <v>0.29180096627574981</v>
      </c>
      <c r="BC16" s="28">
        <f>AZ16</f>
        <v>0.2782655731793271</v>
      </c>
      <c r="BD16" s="27">
        <f>BD15/BD11</f>
        <v>0.28494356282046429</v>
      </c>
      <c r="BE16" s="28">
        <f>BB16</f>
        <v>0.29180096627574981</v>
      </c>
      <c r="BF16" s="28">
        <f>BC16</f>
        <v>0.2782655731793271</v>
      </c>
      <c r="BG16" s="27">
        <f>BG15/BG11</f>
        <v>0.28495688617176618</v>
      </c>
      <c r="BH16" s="28">
        <f>BE16</f>
        <v>0.29180096627574981</v>
      </c>
      <c r="BI16" s="28">
        <f>BF16</f>
        <v>0.2782655731793271</v>
      </c>
      <c r="BJ16" s="27">
        <f>BJ15/BJ11</f>
        <v>0.28495977447204224</v>
      </c>
      <c r="BK16" s="28">
        <f>BH16</f>
        <v>0.29180096627574981</v>
      </c>
      <c r="BL16" s="28">
        <f>BI16</f>
        <v>0.2782655731793271</v>
      </c>
      <c r="BM16" s="27">
        <f>BM15/BM11</f>
        <v>0.28494359343407627</v>
      </c>
    </row>
    <row r="17" spans="1:73">
      <c r="A17" s="31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457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73">
      <c r="A18" s="6" t="s">
        <v>41</v>
      </c>
      <c r="B18" s="52" t="s">
        <v>172</v>
      </c>
      <c r="C18" s="92">
        <f t="shared" ref="C18:AO18" si="20">C11-(C13+C27)</f>
        <v>141.05899999999997</v>
      </c>
      <c r="D18" s="92">
        <f t="shared" si="20"/>
        <v>136.69400000000019</v>
      </c>
      <c r="E18" s="92">
        <f t="shared" si="20"/>
        <v>277.75300000000016</v>
      </c>
      <c r="F18" s="92">
        <f t="shared" si="20"/>
        <v>144.41899999999998</v>
      </c>
      <c r="G18" s="92">
        <f t="shared" si="20"/>
        <v>142.04300000000001</v>
      </c>
      <c r="H18" s="92">
        <f t="shared" si="20"/>
        <v>286.46199999999999</v>
      </c>
      <c r="I18" s="92">
        <f t="shared" si="20"/>
        <v>143.59400000000005</v>
      </c>
      <c r="J18" s="92">
        <f t="shared" si="20"/>
        <v>142.6450000000001</v>
      </c>
      <c r="K18" s="92">
        <f t="shared" si="20"/>
        <v>286.23900000000003</v>
      </c>
      <c r="L18" s="92">
        <f t="shared" si="20"/>
        <v>146.5390000000001</v>
      </c>
      <c r="M18" s="92">
        <f t="shared" si="20"/>
        <v>136.88999999999999</v>
      </c>
      <c r="N18" s="92">
        <f t="shared" si="20"/>
        <v>283.42900000000009</v>
      </c>
      <c r="O18" s="92">
        <f t="shared" si="20"/>
        <v>152.59900000000005</v>
      </c>
      <c r="P18" s="92">
        <f t="shared" si="20"/>
        <v>188.81000000000006</v>
      </c>
      <c r="Q18" s="92">
        <f t="shared" si="20"/>
        <v>341.40900000000011</v>
      </c>
      <c r="R18" s="92">
        <f t="shared" si="20"/>
        <v>188.86800000000017</v>
      </c>
      <c r="S18" s="92">
        <f t="shared" si="20"/>
        <v>206.78699999999992</v>
      </c>
      <c r="T18" s="92">
        <f t="shared" si="20"/>
        <v>395.6550000000002</v>
      </c>
      <c r="U18" s="92">
        <f t="shared" si="20"/>
        <v>210.18300000000011</v>
      </c>
      <c r="V18" s="92">
        <f t="shared" si="20"/>
        <v>214.46799999999996</v>
      </c>
      <c r="W18" s="92">
        <f t="shared" si="20"/>
        <v>424.65100000000007</v>
      </c>
      <c r="X18" s="92">
        <f t="shared" si="20"/>
        <v>224.62600000000009</v>
      </c>
      <c r="Y18" s="92">
        <f t="shared" si="20"/>
        <v>226.56899999999962</v>
      </c>
      <c r="Z18" s="92">
        <f t="shared" si="20"/>
        <v>451.19499999999971</v>
      </c>
      <c r="AA18" s="92">
        <f t="shared" si="20"/>
        <v>253.48000000000002</v>
      </c>
      <c r="AB18" s="92">
        <f t="shared" si="20"/>
        <v>257.29199999999992</v>
      </c>
      <c r="AC18" s="92">
        <f t="shared" si="20"/>
        <v>510.77199999999993</v>
      </c>
      <c r="AD18" s="92">
        <f t="shared" si="20"/>
        <v>512.70600000000013</v>
      </c>
      <c r="AE18" s="92">
        <f t="shared" si="20"/>
        <v>509.36299999999983</v>
      </c>
      <c r="AF18" s="92">
        <f t="shared" si="20"/>
        <v>1022.0689999999995</v>
      </c>
      <c r="AG18" s="92">
        <f t="shared" si="20"/>
        <v>515.67199999999957</v>
      </c>
      <c r="AH18" s="92">
        <f t="shared" si="20"/>
        <v>509.79799999999977</v>
      </c>
      <c r="AI18" s="92">
        <f t="shared" si="20"/>
        <v>1025.4699999999993</v>
      </c>
      <c r="AJ18" s="92">
        <f>AJ11-(AJ13+AJ27)</f>
        <v>507.90900000000056</v>
      </c>
      <c r="AK18" s="92">
        <f>AK11-(AK13+AK27)</f>
        <v>533.50299999999925</v>
      </c>
      <c r="AL18" s="92">
        <f>AL11-(AL13+AL27)</f>
        <v>1041.4119999999994</v>
      </c>
      <c r="AM18" s="92">
        <f>AM11-(AM13+AM27)</f>
        <v>604.48</v>
      </c>
      <c r="AN18" s="92">
        <f t="shared" si="20"/>
        <v>714.39800000000014</v>
      </c>
      <c r="AO18" s="92">
        <f t="shared" si="20"/>
        <v>1318.8780000000006</v>
      </c>
      <c r="AP18" s="92">
        <f t="shared" ref="AP18:AU18" si="21">AP11-(AP13+AP27)</f>
        <v>753.03499999999985</v>
      </c>
      <c r="AQ18" s="92">
        <f t="shared" si="21"/>
        <v>795.52699999999913</v>
      </c>
      <c r="AR18" s="92">
        <f t="shared" si="21"/>
        <v>1548.5619999999999</v>
      </c>
      <c r="AS18" s="92">
        <f t="shared" si="21"/>
        <v>782.86599999999999</v>
      </c>
      <c r="AT18" s="92">
        <f t="shared" si="21"/>
        <v>816.3439999999996</v>
      </c>
      <c r="AU18" s="92">
        <f t="shared" si="21"/>
        <v>1599.21</v>
      </c>
      <c r="AV18" s="92">
        <f t="shared" ref="AV18:AX18" si="22">AV11-(AV13+AV27)</f>
        <v>809.64500000000044</v>
      </c>
      <c r="AW18" s="92">
        <f t="shared" si="22"/>
        <v>848.02799999999934</v>
      </c>
      <c r="AX18" s="93">
        <f t="shared" si="22"/>
        <v>1657.6729999999998</v>
      </c>
      <c r="AY18" s="92">
        <f>AY11-(AY13+AY27)</f>
        <v>905.38822048160273</v>
      </c>
      <c r="AZ18" s="92">
        <f t="shared" ref="AZ18:BM18" si="23">AZ11-(AZ13+AZ27)</f>
        <v>865.75198787598902</v>
      </c>
      <c r="BA18" s="92">
        <f t="shared" si="23"/>
        <v>1771.1402083575922</v>
      </c>
      <c r="BB18" s="92">
        <f t="shared" si="23"/>
        <v>917.92599563201202</v>
      </c>
      <c r="BC18" s="92">
        <f t="shared" si="23"/>
        <v>874.8585314408765</v>
      </c>
      <c r="BD18" s="92">
        <f t="shared" si="23"/>
        <v>1792.7845270728876</v>
      </c>
      <c r="BE18" s="92">
        <f t="shared" si="23"/>
        <v>943.76785597313028</v>
      </c>
      <c r="BF18" s="92">
        <f t="shared" si="23"/>
        <v>895.31653653812828</v>
      </c>
      <c r="BG18" s="92">
        <f t="shared" si="23"/>
        <v>1839.0843925112586</v>
      </c>
      <c r="BH18" s="92">
        <f t="shared" si="23"/>
        <v>967.08914952499526</v>
      </c>
      <c r="BI18" s="92">
        <f t="shared" si="23"/>
        <v>915.41168634822134</v>
      </c>
      <c r="BJ18" s="92">
        <f t="shared" si="23"/>
        <v>1882.5008358732175</v>
      </c>
      <c r="BK18" s="92">
        <f t="shared" si="23"/>
        <v>973.30505777715553</v>
      </c>
      <c r="BL18" s="92">
        <f t="shared" si="23"/>
        <v>924.67590551365447</v>
      </c>
      <c r="BM18" s="92">
        <f t="shared" si="23"/>
        <v>1897.9809632908109</v>
      </c>
    </row>
    <row r="19" spans="1:73">
      <c r="B19" s="5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W19" s="92"/>
      <c r="AX19" s="93"/>
      <c r="AY19" s="92"/>
      <c r="AZ19" s="92"/>
      <c r="BA19" s="92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</row>
    <row r="20" spans="1:73">
      <c r="A20" s="13" t="s">
        <v>56</v>
      </c>
      <c r="B20" s="55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3"/>
      <c r="AY20" s="92"/>
      <c r="AZ20" s="92"/>
      <c r="BA20" s="92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</row>
    <row r="21" spans="1:73">
      <c r="A21" s="89" t="s">
        <v>469</v>
      </c>
      <c r="B21" s="52" t="s">
        <v>172</v>
      </c>
      <c r="C21" s="92">
        <f>ANZ!C14</f>
        <v>14.013999999999999</v>
      </c>
      <c r="D21" s="92">
        <f>ANZ!D14</f>
        <v>14.124000000000009</v>
      </c>
      <c r="E21" s="92">
        <f>ANZ!E14</f>
        <v>28.138000000000002</v>
      </c>
      <c r="F21" s="92">
        <f>ANZ!F14</f>
        <v>14.598000000000001</v>
      </c>
      <c r="G21" s="92">
        <f>ANZ!G14</f>
        <v>15.021000000000001</v>
      </c>
      <c r="H21" s="92">
        <f>ANZ!H14</f>
        <v>29.619</v>
      </c>
      <c r="I21" s="92">
        <f>ANZ!I14</f>
        <v>15.97</v>
      </c>
      <c r="J21" s="92">
        <f>ANZ!J14</f>
        <v>17.027999999999992</v>
      </c>
      <c r="K21" s="92">
        <f>ANZ!K14</f>
        <v>32.997999999999998</v>
      </c>
      <c r="L21" s="92">
        <f>ANZ!L14</f>
        <v>17.827999999999999</v>
      </c>
      <c r="M21" s="92">
        <f>ANZ!M14</f>
        <v>19.310000000000002</v>
      </c>
      <c r="N21" s="92">
        <f>ANZ!N14</f>
        <v>37.137999999999998</v>
      </c>
      <c r="O21" s="92">
        <f>ANZ!O14</f>
        <v>20.625</v>
      </c>
      <c r="P21" s="92">
        <f>ANZ!P14</f>
        <v>21.381</v>
      </c>
      <c r="Q21" s="92">
        <f>ANZ!Q14</f>
        <v>42.006</v>
      </c>
      <c r="R21" s="92">
        <f>ANZ!R14</f>
        <v>21.744</v>
      </c>
      <c r="S21" s="92">
        <f>T21-R21</f>
        <v>22.712000000000003</v>
      </c>
      <c r="T21" s="92">
        <f>ANZ!T14</f>
        <v>44.456000000000003</v>
      </c>
      <c r="U21" s="92">
        <f>ANZ!U14</f>
        <v>23.175999999999998</v>
      </c>
      <c r="V21" s="92">
        <f>W21-U21</f>
        <v>23.407</v>
      </c>
      <c r="W21" s="92">
        <f>ANZ!W14</f>
        <v>46.582999999999998</v>
      </c>
      <c r="X21" s="92">
        <f>ANZ!X14</f>
        <v>23.670999999999999</v>
      </c>
      <c r="Y21" s="92">
        <f>ANZ!Y14</f>
        <v>26.285000000000004</v>
      </c>
      <c r="Z21" s="92">
        <f>ANZ!Z14</f>
        <v>49.956000000000003</v>
      </c>
      <c r="AA21" s="92">
        <f>ANZ!AA14</f>
        <v>25.169</v>
      </c>
      <c r="AB21" s="92">
        <f>ANZ!AB14</f>
        <v>28.678000000000001</v>
      </c>
      <c r="AC21" s="92">
        <f>ANZ!AC14</f>
        <v>53.847000000000001</v>
      </c>
      <c r="AD21" s="92">
        <f>ANZ!AD14</f>
        <v>27.957999999999998</v>
      </c>
      <c r="AE21" s="92">
        <f>ANZ!AE14</f>
        <v>30.868000000000002</v>
      </c>
      <c r="AF21" s="92">
        <f>ANZ!AF14</f>
        <v>58.826000000000001</v>
      </c>
      <c r="AG21" s="92">
        <f>ANZ!AG14</f>
        <v>56.481999999999999</v>
      </c>
      <c r="AH21" s="92">
        <f>ANZ!AH14</f>
        <v>59.706999999999994</v>
      </c>
      <c r="AI21" s="92">
        <f>ANZ!AI14</f>
        <v>116.18899999999999</v>
      </c>
      <c r="AJ21" s="92">
        <f>ANZ!AJ14</f>
        <v>60.116999999999997</v>
      </c>
      <c r="AK21" s="92">
        <f>ANZ!AK14</f>
        <v>60.256999999999998</v>
      </c>
      <c r="AL21" s="92">
        <f>ANZ!AL14</f>
        <v>120.374</v>
      </c>
      <c r="AM21" s="92">
        <f>ANZ!AM14</f>
        <v>63.704999999999998</v>
      </c>
      <c r="AN21" s="92">
        <f>ANZ!AN14</f>
        <v>64.972999999999999</v>
      </c>
      <c r="AO21" s="92">
        <f>ANZ!AO14</f>
        <v>128.678</v>
      </c>
      <c r="AP21" s="92">
        <f>ANZ!AP14</f>
        <v>65.674000000000007</v>
      </c>
      <c r="AQ21" s="92">
        <f>ANZ!AQ14</f>
        <v>69.893000000000001</v>
      </c>
      <c r="AR21" s="92">
        <f>ANZ!AR14</f>
        <v>135.56700000000001</v>
      </c>
      <c r="AS21" s="92">
        <f>ANZ!AS14</f>
        <v>73.984999999999999</v>
      </c>
      <c r="AT21" s="92">
        <f>ANZ!AT14</f>
        <v>76.015000000000001</v>
      </c>
      <c r="AU21" s="92">
        <f>ANZ!AU14</f>
        <v>150</v>
      </c>
      <c r="AV21" s="92">
        <f>ANZ!AV14</f>
        <v>78.265000000000001</v>
      </c>
      <c r="AW21" s="92">
        <f>ANZ!AW14</f>
        <v>77.734999999999999</v>
      </c>
      <c r="AX21" s="93">
        <f>ANZ!AX14</f>
        <v>156</v>
      </c>
      <c r="AY21" s="92">
        <f>ANZ!AY14</f>
        <v>81.051299999999998</v>
      </c>
      <c r="AZ21" s="92">
        <f>ANZ!AZ14</f>
        <v>80.366714999999999</v>
      </c>
      <c r="BA21" s="92">
        <f>ANZ!BA14</f>
        <v>161.418015</v>
      </c>
      <c r="BB21" s="92">
        <f>ANZ!BB14</f>
        <v>83.954375999999996</v>
      </c>
      <c r="BC21" s="92">
        <f>ANZ!BC14</f>
        <v>83.104915050000017</v>
      </c>
      <c r="BD21" s="92">
        <f>ANZ!BD14</f>
        <v>167.05929105000001</v>
      </c>
      <c r="BE21" s="92">
        <f>ANZ!BE14</f>
        <v>86.979616020000009</v>
      </c>
      <c r="BF21" s="92">
        <f>ANZ!BF14</f>
        <v>85.954422388500006</v>
      </c>
      <c r="BG21" s="92">
        <f>ANZ!BG14</f>
        <v>172.93403840850002</v>
      </c>
      <c r="BH21" s="92">
        <f>ANZ!BH14</f>
        <v>90.132668465400002</v>
      </c>
      <c r="BI21" s="92">
        <f>ANZ!BI14</f>
        <v>88.920290325645013</v>
      </c>
      <c r="BJ21" s="92">
        <f>ANZ!BJ14</f>
        <v>179.052958791045</v>
      </c>
      <c r="BK21" s="92">
        <f>ANZ!BK14</f>
        <v>93.41945496595801</v>
      </c>
      <c r="BL21" s="92">
        <f>ANZ!BL14</f>
        <v>92.007814596001666</v>
      </c>
      <c r="BM21" s="92">
        <f>ANZ!BM14</f>
        <v>185.42726956195969</v>
      </c>
    </row>
    <row r="22" spans="1:73">
      <c r="A22" s="89" t="s">
        <v>470</v>
      </c>
      <c r="B22" s="52" t="s">
        <v>172</v>
      </c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>
        <f>USA!AD9</f>
        <v>34.286999999999999</v>
      </c>
      <c r="AE22" s="92">
        <f>USA!AE9</f>
        <v>34.95900000000001</v>
      </c>
      <c r="AF22" s="92">
        <f>USA!AF9</f>
        <v>69.246000000000009</v>
      </c>
      <c r="AG22" s="92">
        <f>USA!AG9</f>
        <v>50.215000000000003</v>
      </c>
      <c r="AH22" s="92">
        <f>USA!AH9</f>
        <v>66.043999999999983</v>
      </c>
      <c r="AI22" s="92">
        <f>USA!AI9</f>
        <v>116.25899999999999</v>
      </c>
      <c r="AJ22" s="92">
        <f>USA!AJ9</f>
        <v>52.801000000000002</v>
      </c>
      <c r="AK22" s="92">
        <f>USA!AK9</f>
        <v>54.370999999999995</v>
      </c>
      <c r="AL22" s="92">
        <f>USA!AL9</f>
        <v>107.172</v>
      </c>
      <c r="AM22" s="92">
        <f>USA!AM9</f>
        <v>58.614000000000004</v>
      </c>
      <c r="AN22" s="92">
        <f>USA!AN9</f>
        <v>70.938999999999993</v>
      </c>
      <c r="AO22" s="92">
        <f>USA!AO9</f>
        <v>129.553</v>
      </c>
      <c r="AP22" s="92">
        <f>USA!AP9</f>
        <v>74.498999999999995</v>
      </c>
      <c r="AQ22" s="92">
        <f>USA!AQ9</f>
        <v>79.839000000000027</v>
      </c>
      <c r="AR22" s="92">
        <f>USA!AR9</f>
        <v>154.33800000000002</v>
      </c>
      <c r="AS22" s="92">
        <f>USA!AS9</f>
        <v>84.954999999999998</v>
      </c>
      <c r="AT22" s="92">
        <f>USA!AT9</f>
        <v>90.766999999999982</v>
      </c>
      <c r="AU22" s="92">
        <f>USA!AU9</f>
        <v>175.72199999999998</v>
      </c>
      <c r="AV22" s="92">
        <f>USA!AV9</f>
        <v>92.205999999999989</v>
      </c>
      <c r="AW22" s="92">
        <f>USA!AW9</f>
        <v>103.99100000000001</v>
      </c>
      <c r="AX22" s="93">
        <f>USA!AX9</f>
        <v>196.197</v>
      </c>
      <c r="AY22" s="92">
        <f>USA!AY9</f>
        <v>99.43671999999998</v>
      </c>
      <c r="AZ22" s="92">
        <f>USA!AZ9</f>
        <v>113.95688500000003</v>
      </c>
      <c r="BA22" s="92">
        <f>USA!BA9</f>
        <v>213.39360500000001</v>
      </c>
      <c r="BB22" s="92">
        <f>USA!BB9</f>
        <v>102.21732159999999</v>
      </c>
      <c r="BC22" s="92">
        <f>USA!BC9</f>
        <v>118.12950205000001</v>
      </c>
      <c r="BD22" s="92">
        <f>USA!BD9</f>
        <v>220.34682365</v>
      </c>
      <c r="BE22" s="92">
        <f>USA!BE9</f>
        <v>105.04984124799998</v>
      </c>
      <c r="BF22" s="92">
        <f>USA!BF9</f>
        <v>122.46499313650003</v>
      </c>
      <c r="BG22" s="92">
        <f>USA!BG9</f>
        <v>227.51483438450001</v>
      </c>
      <c r="BH22" s="92">
        <f>USA!BH9</f>
        <v>107.93583648543998</v>
      </c>
      <c r="BI22" s="92">
        <f>USA!BI9</f>
        <v>126.97012925684504</v>
      </c>
      <c r="BJ22" s="92">
        <f>USA!BJ9</f>
        <v>234.90596574228502</v>
      </c>
      <c r="BK22" s="92">
        <f>USA!BK9</f>
        <v>110.87691158000318</v>
      </c>
      <c r="BL22" s="92">
        <f>USA!BL9</f>
        <v>131.6519787771129</v>
      </c>
      <c r="BM22" s="92">
        <f>USA!BM9</f>
        <v>242.5288903571161</v>
      </c>
    </row>
    <row r="23" spans="1:73" s="13" customFormat="1">
      <c r="A23" s="13" t="s">
        <v>173</v>
      </c>
      <c r="B23" s="55" t="s">
        <v>172</v>
      </c>
      <c r="C23" s="94">
        <f t="shared" ref="C23:AH23" si="24">+C22+C21</f>
        <v>14.013999999999999</v>
      </c>
      <c r="D23" s="94">
        <f t="shared" si="24"/>
        <v>14.124000000000009</v>
      </c>
      <c r="E23" s="94">
        <f t="shared" si="24"/>
        <v>28.138000000000002</v>
      </c>
      <c r="F23" s="94">
        <f t="shared" si="24"/>
        <v>14.598000000000001</v>
      </c>
      <c r="G23" s="94">
        <f t="shared" si="24"/>
        <v>15.021000000000001</v>
      </c>
      <c r="H23" s="94">
        <f t="shared" si="24"/>
        <v>29.619</v>
      </c>
      <c r="I23" s="94">
        <f t="shared" si="24"/>
        <v>15.97</v>
      </c>
      <c r="J23" s="94">
        <f t="shared" si="24"/>
        <v>17.027999999999992</v>
      </c>
      <c r="K23" s="94">
        <f t="shared" si="24"/>
        <v>32.997999999999998</v>
      </c>
      <c r="L23" s="94">
        <f t="shared" si="24"/>
        <v>17.827999999999999</v>
      </c>
      <c r="M23" s="94">
        <f t="shared" si="24"/>
        <v>19.310000000000002</v>
      </c>
      <c r="N23" s="94">
        <f t="shared" si="24"/>
        <v>37.137999999999998</v>
      </c>
      <c r="O23" s="94">
        <f t="shared" si="24"/>
        <v>20.625</v>
      </c>
      <c r="P23" s="94">
        <f t="shared" si="24"/>
        <v>21.381</v>
      </c>
      <c r="Q23" s="94">
        <f t="shared" si="24"/>
        <v>42.006</v>
      </c>
      <c r="R23" s="94">
        <f t="shared" si="24"/>
        <v>21.744</v>
      </c>
      <c r="S23" s="94">
        <f t="shared" si="24"/>
        <v>22.712000000000003</v>
      </c>
      <c r="T23" s="94">
        <f t="shared" si="24"/>
        <v>44.456000000000003</v>
      </c>
      <c r="U23" s="94">
        <f t="shared" si="24"/>
        <v>23.175999999999998</v>
      </c>
      <c r="V23" s="94">
        <f t="shared" si="24"/>
        <v>23.407</v>
      </c>
      <c r="W23" s="94">
        <f t="shared" si="24"/>
        <v>46.582999999999998</v>
      </c>
      <c r="X23" s="94">
        <f t="shared" si="24"/>
        <v>23.670999999999999</v>
      </c>
      <c r="Y23" s="94">
        <f t="shared" si="24"/>
        <v>26.285000000000004</v>
      </c>
      <c r="Z23" s="94">
        <f t="shared" si="24"/>
        <v>49.956000000000003</v>
      </c>
      <c r="AA23" s="94">
        <f t="shared" si="24"/>
        <v>25.169</v>
      </c>
      <c r="AB23" s="94">
        <f t="shared" si="24"/>
        <v>28.678000000000001</v>
      </c>
      <c r="AC23" s="94">
        <f t="shared" si="24"/>
        <v>53.847000000000001</v>
      </c>
      <c r="AD23" s="94">
        <f t="shared" si="24"/>
        <v>62.244999999999997</v>
      </c>
      <c r="AE23" s="94">
        <f t="shared" si="24"/>
        <v>65.827000000000012</v>
      </c>
      <c r="AF23" s="94">
        <f t="shared" si="24"/>
        <v>128.072</v>
      </c>
      <c r="AG23" s="94">
        <f t="shared" si="24"/>
        <v>106.697</v>
      </c>
      <c r="AH23" s="94">
        <f t="shared" si="24"/>
        <v>125.75099999999998</v>
      </c>
      <c r="AI23" s="94">
        <f>+AI22+AI21</f>
        <v>232.44799999999998</v>
      </c>
      <c r="AJ23" s="94">
        <f t="shared" ref="AJ23:AO23" si="25">+AJ22+AJ21</f>
        <v>112.91800000000001</v>
      </c>
      <c r="AK23" s="94">
        <f t="shared" si="25"/>
        <v>114.62799999999999</v>
      </c>
      <c r="AL23" s="94">
        <f>+AL22+AL21</f>
        <v>227.54599999999999</v>
      </c>
      <c r="AM23" s="94">
        <f t="shared" si="25"/>
        <v>122.319</v>
      </c>
      <c r="AN23" s="94">
        <f t="shared" si="25"/>
        <v>135.91199999999998</v>
      </c>
      <c r="AO23" s="94">
        <f t="shared" si="25"/>
        <v>258.23099999999999</v>
      </c>
      <c r="AP23" s="94">
        <f t="shared" ref="AP23:AU23" si="26">+AP22+AP21</f>
        <v>140.173</v>
      </c>
      <c r="AQ23" s="94">
        <f t="shared" si="26"/>
        <v>149.73200000000003</v>
      </c>
      <c r="AR23" s="94">
        <f t="shared" si="26"/>
        <v>289.90500000000003</v>
      </c>
      <c r="AS23" s="94">
        <f t="shared" si="26"/>
        <v>158.94</v>
      </c>
      <c r="AT23" s="94">
        <f t="shared" si="26"/>
        <v>166.78199999999998</v>
      </c>
      <c r="AU23" s="94">
        <f t="shared" si="26"/>
        <v>325.72199999999998</v>
      </c>
      <c r="AV23" s="94">
        <f t="shared" ref="AV23:AX23" si="27">+AV22+AV21</f>
        <v>170.471</v>
      </c>
      <c r="AW23" s="94">
        <f t="shared" si="27"/>
        <v>181.726</v>
      </c>
      <c r="AX23" s="95">
        <f t="shared" si="27"/>
        <v>352.197</v>
      </c>
      <c r="AY23" s="94">
        <f t="shared" ref="AY23:BM23" si="28">+AY22+AY21</f>
        <v>180.48801999999998</v>
      </c>
      <c r="AZ23" s="94">
        <f t="shared" si="28"/>
        <v>194.32360000000003</v>
      </c>
      <c r="BA23" s="94">
        <f t="shared" si="28"/>
        <v>374.81162</v>
      </c>
      <c r="BB23" s="94">
        <f t="shared" si="28"/>
        <v>186.17169759999999</v>
      </c>
      <c r="BC23" s="94">
        <f t="shared" si="28"/>
        <v>201.23441710000003</v>
      </c>
      <c r="BD23" s="94">
        <f t="shared" si="28"/>
        <v>387.40611469999999</v>
      </c>
      <c r="BE23" s="94">
        <f t="shared" si="28"/>
        <v>192.02945726799999</v>
      </c>
      <c r="BF23" s="94">
        <f t="shared" si="28"/>
        <v>208.41941552500003</v>
      </c>
      <c r="BG23" s="94">
        <f t="shared" si="28"/>
        <v>400.44887279300002</v>
      </c>
      <c r="BH23" s="94">
        <f t="shared" si="28"/>
        <v>198.06850495083998</v>
      </c>
      <c r="BI23" s="94">
        <f t="shared" si="28"/>
        <v>215.89041958249004</v>
      </c>
      <c r="BJ23" s="94">
        <f t="shared" si="28"/>
        <v>413.95892453332999</v>
      </c>
      <c r="BK23" s="94">
        <f t="shared" si="28"/>
        <v>204.29636654596118</v>
      </c>
      <c r="BL23" s="94">
        <f t="shared" si="28"/>
        <v>223.65979337311455</v>
      </c>
      <c r="BM23" s="94">
        <f t="shared" si="28"/>
        <v>427.95615991907579</v>
      </c>
      <c r="BP23"/>
      <c r="BQ23"/>
      <c r="BR23"/>
      <c r="BS23"/>
      <c r="BT23"/>
      <c r="BU23"/>
    </row>
    <row r="24" spans="1:73">
      <c r="B24" s="25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305"/>
      <c r="AM24" s="92"/>
      <c r="AN24" s="92"/>
      <c r="AO24" s="305"/>
      <c r="AP24" s="92"/>
      <c r="AQ24" s="92"/>
      <c r="AR24" s="305"/>
      <c r="AS24" s="92"/>
      <c r="AT24" s="92"/>
      <c r="AU24" s="27">
        <f>AU23/AR23-1</f>
        <v>0.1235473689656954</v>
      </c>
      <c r="AV24" s="92"/>
      <c r="AW24" s="92"/>
      <c r="AX24" s="402">
        <f>AX23/AU23-1</f>
        <v>8.1280969661244873E-2</v>
      </c>
      <c r="AY24" s="92"/>
      <c r="AZ24" s="92"/>
      <c r="BA24" s="27">
        <f>BA23/AX23-1</f>
        <v>6.4210143754773519E-2</v>
      </c>
      <c r="BB24" s="92"/>
      <c r="BC24" s="92"/>
      <c r="BD24" s="27">
        <f>BD23/BA23-1</f>
        <v>3.36021991527371E-2</v>
      </c>
      <c r="BE24" s="92"/>
      <c r="BF24" s="92"/>
      <c r="BG24" s="27">
        <f>BG23/BD23-1</f>
        <v>3.366688753248015E-2</v>
      </c>
      <c r="BH24" s="92"/>
      <c r="BI24" s="92"/>
      <c r="BJ24" s="92"/>
      <c r="BK24" s="92"/>
      <c r="BL24" s="92"/>
      <c r="BM24" s="92"/>
    </row>
    <row r="25" spans="1:73">
      <c r="A25" s="89" t="s">
        <v>469</v>
      </c>
      <c r="B25" s="338" t="s">
        <v>172</v>
      </c>
      <c r="C25" s="92">
        <f>ANZ!C18</f>
        <v>96.575999999999993</v>
      </c>
      <c r="D25" s="92">
        <f>ANZ!D18</f>
        <v>95.12700000000001</v>
      </c>
      <c r="E25" s="92">
        <f>ANZ!E18</f>
        <v>191.703</v>
      </c>
      <c r="F25" s="92">
        <f>ANZ!F18</f>
        <v>101.749</v>
      </c>
      <c r="G25" s="92">
        <f>ANZ!G18</f>
        <v>101.43</v>
      </c>
      <c r="H25" s="92">
        <f>ANZ!H18</f>
        <v>203.179</v>
      </c>
      <c r="I25" s="92">
        <f>ANZ!I18</f>
        <v>99.677999999999997</v>
      </c>
      <c r="J25" s="92">
        <f>ANZ!J18</f>
        <v>96.771999999999991</v>
      </c>
      <c r="K25" s="92">
        <f>ANZ!K18</f>
        <v>196.45</v>
      </c>
      <c r="L25" s="92">
        <f>ANZ!L18</f>
        <v>97.363</v>
      </c>
      <c r="M25" s="92">
        <f>ANZ!M18</f>
        <v>111.649</v>
      </c>
      <c r="N25" s="92">
        <f>ANZ!N18</f>
        <v>209.012</v>
      </c>
      <c r="O25" s="92">
        <f>ANZ!O18</f>
        <v>106.83600000000001</v>
      </c>
      <c r="P25" s="92">
        <f>ANZ!P18</f>
        <v>117.84799999999998</v>
      </c>
      <c r="Q25" s="92">
        <f>ANZ!Q18</f>
        <v>224.684</v>
      </c>
      <c r="R25" s="92">
        <f>ANZ!R18</f>
        <v>141.79900000000001</v>
      </c>
      <c r="S25" s="92">
        <f>ANZ!S18</f>
        <v>150.18600000000001</v>
      </c>
      <c r="T25" s="92">
        <f>ANZ!T18</f>
        <v>291.98500000000001</v>
      </c>
      <c r="U25" s="92">
        <f>ANZ!U18</f>
        <v>156.10199999999998</v>
      </c>
      <c r="V25" s="92">
        <f>ANZ!V18</f>
        <v>178.15700000000004</v>
      </c>
      <c r="W25" s="92">
        <f>ANZ!W18</f>
        <v>334.25900000000001</v>
      </c>
      <c r="X25" s="92">
        <f>ANZ!X18</f>
        <v>164.26</v>
      </c>
      <c r="Y25" s="92">
        <f>ANZ!Y18</f>
        <v>194.64399999999998</v>
      </c>
      <c r="Z25" s="92">
        <f>ANZ!Z18</f>
        <v>358.904</v>
      </c>
      <c r="AA25" s="92">
        <f>ANZ!AA18</f>
        <v>178.959</v>
      </c>
      <c r="AB25" s="92">
        <f>ANZ!AB18</f>
        <v>199.364</v>
      </c>
      <c r="AC25" s="92">
        <f>ANZ!AC18</f>
        <v>378.32299999999998</v>
      </c>
      <c r="AD25" s="92">
        <f>ANZ!AD18</f>
        <v>185.96199999999999</v>
      </c>
      <c r="AE25" s="92">
        <f>ANZ!AE18</f>
        <v>186.59199999999998</v>
      </c>
      <c r="AF25" s="92">
        <f>ANZ!AF18</f>
        <v>372.55399999999997</v>
      </c>
      <c r="AG25" s="92">
        <f>ANZ!AG18</f>
        <v>208.41399999999999</v>
      </c>
      <c r="AH25" s="92">
        <f>ANZ!AH18</f>
        <v>215.32300000000004</v>
      </c>
      <c r="AI25" s="92">
        <f>ANZ!AI18</f>
        <v>423.73700000000002</v>
      </c>
      <c r="AJ25" s="92">
        <f>ANZ!AJ18</f>
        <v>235.05099999999999</v>
      </c>
      <c r="AK25" s="92">
        <f>ANZ!AK18</f>
        <v>266.64100000000002</v>
      </c>
      <c r="AL25" s="92">
        <f>ANZ!AL18</f>
        <v>501.69200000000001</v>
      </c>
      <c r="AM25" s="92">
        <f>ANZ!AM18</f>
        <v>249.346</v>
      </c>
      <c r="AN25" s="92">
        <f>ANZ!AN18</f>
        <v>258.654</v>
      </c>
      <c r="AO25" s="92">
        <f>ANZ!AO18</f>
        <v>508</v>
      </c>
      <c r="AP25" s="92">
        <f>ANZ!AP18</f>
        <v>286.58299999999997</v>
      </c>
      <c r="AQ25" s="92">
        <f>ANZ!AQ18</f>
        <v>270.23400000000004</v>
      </c>
      <c r="AR25" s="92">
        <f>ANZ!AR18</f>
        <v>556.81700000000001</v>
      </c>
      <c r="AS25" s="92">
        <f>ANZ!AS18</f>
        <v>307.29399999999998</v>
      </c>
      <c r="AT25" s="92">
        <f>ANZ!AT18</f>
        <v>252.70600000000002</v>
      </c>
      <c r="AU25" s="92">
        <f>ANZ!AU18</f>
        <v>560</v>
      </c>
      <c r="AV25" s="92">
        <f>ANZ!AV18</f>
        <v>270.779</v>
      </c>
      <c r="AW25" s="92">
        <f>ANZ!AW18</f>
        <v>224.221</v>
      </c>
      <c r="AX25" s="93">
        <f>ANZ!AX18</f>
        <v>495</v>
      </c>
      <c r="AY25" s="92">
        <f>ANZ!AY18</f>
        <v>251.85809795887732</v>
      </c>
      <c r="AZ25" s="92">
        <f>ANZ!AZ18</f>
        <v>243.35688141366199</v>
      </c>
      <c r="BA25" s="92">
        <f>ANZ!BA18</f>
        <v>495.21497937253935</v>
      </c>
      <c r="BB25" s="92">
        <f>ANZ!BB18</f>
        <v>278.85934638799984</v>
      </c>
      <c r="BC25" s="92">
        <f>ANZ!BC18</f>
        <v>267.44335235964269</v>
      </c>
      <c r="BD25" s="92">
        <f>ANZ!BD18</f>
        <v>546.30269874764258</v>
      </c>
      <c r="BE25" s="92">
        <f>ANZ!BE18</f>
        <v>307.87673949634973</v>
      </c>
      <c r="BF25" s="92">
        <f>ANZ!BF18</f>
        <v>292.40105655106345</v>
      </c>
      <c r="BG25" s="92">
        <f>ANZ!BG18</f>
        <v>600.27779604741318</v>
      </c>
      <c r="BH25" s="92">
        <f>ANZ!BH18</f>
        <v>316.0224191192483</v>
      </c>
      <c r="BI25" s="92">
        <f>ANZ!BI18</f>
        <v>300.1372867448689</v>
      </c>
      <c r="BJ25" s="92">
        <f>ANZ!BJ18</f>
        <v>616.1597058641172</v>
      </c>
      <c r="BK25" s="92">
        <f>ANZ!BK18</f>
        <v>320.89535841309947</v>
      </c>
      <c r="BL25" s="92">
        <f>ANZ!BL18</f>
        <v>305.10035304577059</v>
      </c>
      <c r="BM25" s="92">
        <f>ANZ!BM18</f>
        <v>625.99571145887012</v>
      </c>
    </row>
    <row r="26" spans="1:73">
      <c r="A26" s="89" t="s">
        <v>470</v>
      </c>
      <c r="B26" s="338" t="s">
        <v>172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>
        <f>USA!AD13</f>
        <v>74.180999999999997</v>
      </c>
      <c r="AE26" s="92">
        <f>USA!AE13</f>
        <v>75.214999999999989</v>
      </c>
      <c r="AF26" s="92">
        <f>USA!AF13</f>
        <v>149.39599999999999</v>
      </c>
      <c r="AG26" s="92">
        <f>USA!AG13</f>
        <v>104.292</v>
      </c>
      <c r="AH26" s="92">
        <f>USA!AH13</f>
        <v>121.57499999999999</v>
      </c>
      <c r="AI26" s="92">
        <f>USA!AI13</f>
        <v>225.86699999999999</v>
      </c>
      <c r="AJ26" s="92">
        <f>USA!AJ13</f>
        <v>114.401</v>
      </c>
      <c r="AK26" s="92">
        <f>USA!AK13</f>
        <v>104.02500000000002</v>
      </c>
      <c r="AL26" s="92">
        <f>USA!AL13</f>
        <v>218.42600000000002</v>
      </c>
      <c r="AM26" s="92">
        <f>USA!AM13</f>
        <v>147.976</v>
      </c>
      <c r="AN26" s="92">
        <f>USA!AN13</f>
        <v>164.06299999999999</v>
      </c>
      <c r="AO26" s="92">
        <f>USA!AO13</f>
        <v>312.03899999999999</v>
      </c>
      <c r="AP26" s="92">
        <f>USA!AP13</f>
        <v>201.80600000000001</v>
      </c>
      <c r="AQ26" s="92">
        <f>USA!AQ13</f>
        <v>199.63699999999997</v>
      </c>
      <c r="AR26" s="92">
        <f>USA!AR13</f>
        <v>401.44299999999998</v>
      </c>
      <c r="AS26" s="92">
        <f>USA!AS13</f>
        <v>218.83799999999999</v>
      </c>
      <c r="AT26" s="92">
        <f>USA!AT13</f>
        <v>227.88399999999999</v>
      </c>
      <c r="AU26" s="92">
        <f>USA!AU13</f>
        <v>446.72199999999998</v>
      </c>
      <c r="AV26" s="92">
        <f>USA!AV13</f>
        <v>204.221</v>
      </c>
      <c r="AW26" s="92">
        <f>USA!AW13</f>
        <v>200.976</v>
      </c>
      <c r="AX26" s="93">
        <f>USA!AX13</f>
        <v>405.197</v>
      </c>
      <c r="AY26" s="92">
        <f>USA!AY13</f>
        <v>184.6310646694983</v>
      </c>
      <c r="AZ26" s="92">
        <f>USA!AZ13</f>
        <v>207.23644970657625</v>
      </c>
      <c r="BA26" s="92">
        <f>USA!BA13</f>
        <v>391.86751437607455</v>
      </c>
      <c r="BB26" s="92">
        <f>USA!BB13</f>
        <v>205.64157800225786</v>
      </c>
      <c r="BC26" s="92">
        <f>USA!BC13</f>
        <v>231.00296620859811</v>
      </c>
      <c r="BD26" s="92">
        <f>USA!BD13</f>
        <v>436.644544210856</v>
      </c>
      <c r="BE26" s="92">
        <f>USA!BE13</f>
        <v>226.10941031548111</v>
      </c>
      <c r="BF26" s="92">
        <f>USA!BF13</f>
        <v>253.66289151081531</v>
      </c>
      <c r="BG26" s="92">
        <f>USA!BG13</f>
        <v>479.77230182629643</v>
      </c>
      <c r="BH26" s="92">
        <f>USA!BH13</f>
        <v>244.1187917280412</v>
      </c>
      <c r="BI26" s="92">
        <f>USA!BI13</f>
        <v>272.81895027855217</v>
      </c>
      <c r="BJ26" s="92">
        <f>USA!BJ13</f>
        <v>516.93774200659334</v>
      </c>
      <c r="BK26" s="92">
        <f>USA!BK13</f>
        <v>255.83867921334979</v>
      </c>
      <c r="BL26" s="92">
        <f>USA!BL13</f>
        <v>288.06179463336304</v>
      </c>
      <c r="BM26" s="92">
        <f>USA!BM13</f>
        <v>543.90047384671288</v>
      </c>
    </row>
    <row r="27" spans="1:73" s="13" customFormat="1">
      <c r="A27" s="13" t="s">
        <v>54</v>
      </c>
      <c r="B27" s="55" t="s">
        <v>172</v>
      </c>
      <c r="C27" s="94">
        <f t="shared" ref="C27:AH27" si="29">+C26+C25</f>
        <v>96.575999999999993</v>
      </c>
      <c r="D27" s="94">
        <f t="shared" si="29"/>
        <v>95.12700000000001</v>
      </c>
      <c r="E27" s="94">
        <f t="shared" si="29"/>
        <v>191.703</v>
      </c>
      <c r="F27" s="94">
        <f t="shared" si="29"/>
        <v>101.749</v>
      </c>
      <c r="G27" s="94">
        <f t="shared" si="29"/>
        <v>101.43</v>
      </c>
      <c r="H27" s="94">
        <f t="shared" si="29"/>
        <v>203.179</v>
      </c>
      <c r="I27" s="94">
        <f t="shared" si="29"/>
        <v>99.677999999999997</v>
      </c>
      <c r="J27" s="94">
        <f t="shared" si="29"/>
        <v>96.771999999999991</v>
      </c>
      <c r="K27" s="94">
        <f t="shared" si="29"/>
        <v>196.45</v>
      </c>
      <c r="L27" s="94">
        <f t="shared" si="29"/>
        <v>97.363</v>
      </c>
      <c r="M27" s="94">
        <f t="shared" si="29"/>
        <v>111.649</v>
      </c>
      <c r="N27" s="94">
        <f t="shared" si="29"/>
        <v>209.012</v>
      </c>
      <c r="O27" s="94">
        <f t="shared" si="29"/>
        <v>106.83600000000001</v>
      </c>
      <c r="P27" s="94">
        <f t="shared" si="29"/>
        <v>117.84799999999998</v>
      </c>
      <c r="Q27" s="94">
        <f t="shared" si="29"/>
        <v>224.684</v>
      </c>
      <c r="R27" s="94">
        <f t="shared" si="29"/>
        <v>141.79900000000001</v>
      </c>
      <c r="S27" s="94">
        <f t="shared" si="29"/>
        <v>150.18600000000001</v>
      </c>
      <c r="T27" s="94">
        <f t="shared" si="29"/>
        <v>291.98500000000001</v>
      </c>
      <c r="U27" s="94">
        <f t="shared" si="29"/>
        <v>156.10199999999998</v>
      </c>
      <c r="V27" s="94">
        <f t="shared" si="29"/>
        <v>178.15700000000004</v>
      </c>
      <c r="W27" s="94">
        <f t="shared" si="29"/>
        <v>334.25900000000001</v>
      </c>
      <c r="X27" s="94">
        <f t="shared" si="29"/>
        <v>164.26</v>
      </c>
      <c r="Y27" s="94">
        <f t="shared" si="29"/>
        <v>194.64399999999998</v>
      </c>
      <c r="Z27" s="94">
        <f t="shared" si="29"/>
        <v>358.904</v>
      </c>
      <c r="AA27" s="94">
        <f t="shared" si="29"/>
        <v>178.959</v>
      </c>
      <c r="AB27" s="94">
        <f t="shared" si="29"/>
        <v>199.364</v>
      </c>
      <c r="AC27" s="94">
        <f t="shared" si="29"/>
        <v>378.32299999999998</v>
      </c>
      <c r="AD27" s="94">
        <f t="shared" si="29"/>
        <v>260.14299999999997</v>
      </c>
      <c r="AE27" s="94">
        <f t="shared" si="29"/>
        <v>261.80699999999996</v>
      </c>
      <c r="AF27" s="94">
        <f t="shared" si="29"/>
        <v>521.94999999999993</v>
      </c>
      <c r="AG27" s="94">
        <f t="shared" si="29"/>
        <v>312.70600000000002</v>
      </c>
      <c r="AH27" s="94">
        <f t="shared" si="29"/>
        <v>336.89800000000002</v>
      </c>
      <c r="AI27" s="94">
        <f>+AI26+AI25</f>
        <v>649.60400000000004</v>
      </c>
      <c r="AJ27" s="94">
        <f t="shared" ref="AJ27:AO27" si="30">+AJ26+AJ25</f>
        <v>349.452</v>
      </c>
      <c r="AK27" s="94">
        <f t="shared" si="30"/>
        <v>370.66600000000005</v>
      </c>
      <c r="AL27" s="94">
        <f>+AL26+AL25</f>
        <v>720.11800000000005</v>
      </c>
      <c r="AM27" s="94">
        <f t="shared" si="30"/>
        <v>397.322</v>
      </c>
      <c r="AN27" s="94">
        <f t="shared" si="30"/>
        <v>422.71699999999998</v>
      </c>
      <c r="AO27" s="94">
        <f t="shared" si="30"/>
        <v>820.03899999999999</v>
      </c>
      <c r="AP27" s="94">
        <f t="shared" ref="AP27:AU27" si="31">+AP26+AP25</f>
        <v>488.38900000000001</v>
      </c>
      <c r="AQ27" s="94">
        <f t="shared" si="31"/>
        <v>469.87099999999998</v>
      </c>
      <c r="AR27" s="94">
        <f t="shared" si="31"/>
        <v>958.26</v>
      </c>
      <c r="AS27" s="94">
        <f t="shared" si="31"/>
        <v>526.13199999999995</v>
      </c>
      <c r="AT27" s="94">
        <f t="shared" si="31"/>
        <v>480.59000000000003</v>
      </c>
      <c r="AU27" s="94">
        <f t="shared" si="31"/>
        <v>1006.722</v>
      </c>
      <c r="AV27" s="94">
        <f t="shared" ref="AV27:AX27" si="32">+AV26+AV25</f>
        <v>475</v>
      </c>
      <c r="AW27" s="94">
        <f t="shared" si="32"/>
        <v>425.197</v>
      </c>
      <c r="AX27" s="95">
        <f t="shared" si="32"/>
        <v>900.197</v>
      </c>
      <c r="AY27" s="94">
        <f t="shared" ref="AY27:BM27" si="33">+AY26+AY25</f>
        <v>436.48916262837565</v>
      </c>
      <c r="AZ27" s="94">
        <f t="shared" si="33"/>
        <v>450.59333112023825</v>
      </c>
      <c r="BA27" s="94">
        <f t="shared" si="33"/>
        <v>887.08249374861384</v>
      </c>
      <c r="BB27" s="94">
        <f t="shared" si="33"/>
        <v>484.50092439025769</v>
      </c>
      <c r="BC27" s="94">
        <f t="shared" si="33"/>
        <v>498.44631856824083</v>
      </c>
      <c r="BD27" s="94">
        <f t="shared" si="33"/>
        <v>982.94724295849858</v>
      </c>
      <c r="BE27" s="94">
        <f t="shared" si="33"/>
        <v>533.98614981183084</v>
      </c>
      <c r="BF27" s="94">
        <f t="shared" si="33"/>
        <v>546.06394806187882</v>
      </c>
      <c r="BG27" s="94">
        <f t="shared" si="33"/>
        <v>1080.0500978737095</v>
      </c>
      <c r="BH27" s="94">
        <f t="shared" si="33"/>
        <v>560.14121084728947</v>
      </c>
      <c r="BI27" s="94">
        <f t="shared" si="33"/>
        <v>572.95623702342107</v>
      </c>
      <c r="BJ27" s="94">
        <f t="shared" si="33"/>
        <v>1133.0974478707105</v>
      </c>
      <c r="BK27" s="94">
        <f t="shared" si="33"/>
        <v>576.73403762644921</v>
      </c>
      <c r="BL27" s="94">
        <f t="shared" si="33"/>
        <v>593.16214767913357</v>
      </c>
      <c r="BM27" s="94">
        <f t="shared" si="33"/>
        <v>1169.896185305583</v>
      </c>
      <c r="BP27"/>
      <c r="BQ27"/>
      <c r="BR27"/>
      <c r="BS27"/>
      <c r="BT27"/>
      <c r="BU27"/>
    </row>
    <row r="28" spans="1:73">
      <c r="A28" s="13"/>
      <c r="B28" s="55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3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</row>
    <row r="29" spans="1:73">
      <c r="A29" s="13" t="s">
        <v>183</v>
      </c>
      <c r="B29" s="2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394"/>
      <c r="AK29" s="92"/>
      <c r="AL29" s="92"/>
      <c r="AM29" s="394"/>
      <c r="AN29" s="92"/>
      <c r="AO29" s="92"/>
      <c r="AP29" s="394"/>
      <c r="AQ29" s="92"/>
      <c r="AR29" s="92"/>
      <c r="AS29" s="394"/>
      <c r="AT29" s="92"/>
      <c r="AU29" s="92"/>
      <c r="AV29" s="394"/>
      <c r="AW29" s="92"/>
      <c r="AX29" s="93"/>
      <c r="AY29" s="92"/>
      <c r="AZ29" s="92"/>
      <c r="BA29" s="27"/>
      <c r="BB29" s="92"/>
      <c r="BC29" s="92"/>
      <c r="BD29" s="27"/>
      <c r="BE29" s="92"/>
      <c r="BF29" s="92"/>
      <c r="BG29" s="27"/>
      <c r="BH29" s="92"/>
      <c r="BI29" s="92"/>
      <c r="BJ29" s="27"/>
      <c r="BK29" s="92"/>
      <c r="BL29" s="92"/>
      <c r="BM29" s="27"/>
    </row>
    <row r="30" spans="1:73">
      <c r="A30" s="89" t="s">
        <v>469</v>
      </c>
      <c r="B30" s="52" t="s">
        <v>172</v>
      </c>
      <c r="C30" s="92">
        <f>ANZ!C$24</f>
        <v>82.561999999999998</v>
      </c>
      <c r="D30" s="92">
        <f>ANZ!D$24</f>
        <v>81.003</v>
      </c>
      <c r="E30" s="92">
        <f>ANZ!E$24</f>
        <v>163.565</v>
      </c>
      <c r="F30" s="92">
        <f>ANZ!F$24</f>
        <v>87.150999999999996</v>
      </c>
      <c r="G30" s="92">
        <f>ANZ!G$24</f>
        <v>86.409000000000006</v>
      </c>
      <c r="H30" s="92">
        <f>ANZ!H$24</f>
        <v>173.56</v>
      </c>
      <c r="I30" s="92">
        <f>ANZ!I$24</f>
        <v>83.707999999999998</v>
      </c>
      <c r="J30" s="92">
        <f>ANZ!J$24</f>
        <v>79.744</v>
      </c>
      <c r="K30" s="92">
        <f>ANZ!K$24</f>
        <v>163.452</v>
      </c>
      <c r="L30" s="92">
        <f>ANZ!L$24</f>
        <v>79.534999999999997</v>
      </c>
      <c r="M30" s="92">
        <f>ANZ!M$24</f>
        <v>92.338999999999999</v>
      </c>
      <c r="N30" s="92">
        <f>ANZ!N$24</f>
        <v>171.874</v>
      </c>
      <c r="O30" s="92">
        <f>ANZ!O$24</f>
        <v>86.211000000000013</v>
      </c>
      <c r="P30" s="92">
        <f>ANZ!P$24</f>
        <v>96.466999999999985</v>
      </c>
      <c r="Q30" s="92">
        <f>ANZ!Q$24</f>
        <v>182.678</v>
      </c>
      <c r="R30" s="92">
        <f>ANZ!R$24</f>
        <v>120.05500000000001</v>
      </c>
      <c r="S30" s="92">
        <f>ANZ!S$24</f>
        <v>127.47400000000002</v>
      </c>
      <c r="T30" s="92">
        <f>SUM(R30:S30)</f>
        <v>247.52900000000002</v>
      </c>
      <c r="U30" s="92">
        <f>ANZ!U$24</f>
        <v>132.92599999999999</v>
      </c>
      <c r="V30" s="92">
        <f>ANZ!V$24</f>
        <v>154.75</v>
      </c>
      <c r="W30" s="92">
        <f>SUM(U30:V30)</f>
        <v>287.67599999999999</v>
      </c>
      <c r="X30" s="92">
        <f>ANZ!X$24</f>
        <v>140.589</v>
      </c>
      <c r="Y30" s="92">
        <f>ANZ!Y$24</f>
        <v>168.35899999999998</v>
      </c>
      <c r="Z30" s="92">
        <f>SUM(X30:Y30)</f>
        <v>308.94799999999998</v>
      </c>
      <c r="AA30" s="92">
        <f>ANZ!AA$24</f>
        <v>153.79</v>
      </c>
      <c r="AB30" s="92">
        <f>ANZ!AB$24</f>
        <v>170.68600000000001</v>
      </c>
      <c r="AC30" s="92">
        <f>SUM(AA30:AB30)</f>
        <v>324.476</v>
      </c>
      <c r="AD30" s="92">
        <f>ANZ!AD$24</f>
        <v>158.00399999999999</v>
      </c>
      <c r="AE30" s="92">
        <f>ANZ!AE$24</f>
        <v>155.72399999999996</v>
      </c>
      <c r="AF30" s="92">
        <f>SUM(AD30:AE30)</f>
        <v>313.72799999999995</v>
      </c>
      <c r="AG30" s="92">
        <f>ANZ!AG$24</f>
        <v>151.93199999999999</v>
      </c>
      <c r="AH30" s="92">
        <f>ANZ!AH$24</f>
        <v>155.61600000000001</v>
      </c>
      <c r="AI30" s="92">
        <f>SUM(AG30:AH30)</f>
        <v>307.548</v>
      </c>
      <c r="AJ30" s="92">
        <f>ANZ!AJ$24</f>
        <v>174.934</v>
      </c>
      <c r="AK30" s="92">
        <f>ANZ!AK$24</f>
        <v>206.38400000000001</v>
      </c>
      <c r="AL30" s="92">
        <f>SUM(AJ30:AK30)</f>
        <v>381.31799999999998</v>
      </c>
      <c r="AM30" s="92">
        <f>ANZ!AM$24</f>
        <v>185.64100000000002</v>
      </c>
      <c r="AN30" s="92">
        <f>ANZ!AN$24</f>
        <v>193.68099999999998</v>
      </c>
      <c r="AO30" s="92">
        <f>SUM(AM30:AN30)</f>
        <v>379.322</v>
      </c>
      <c r="AP30" s="92">
        <f>ANZ!AP$24</f>
        <v>220.90899999999996</v>
      </c>
      <c r="AQ30" s="92">
        <f>AR30-AP30</f>
        <v>200.34100000000004</v>
      </c>
      <c r="AR30" s="92">
        <f>ANZ!AR24</f>
        <v>421.25</v>
      </c>
      <c r="AS30" s="92">
        <f>ANZ!AS$24</f>
        <v>233.30899999999997</v>
      </c>
      <c r="AT30" s="92">
        <f>AU30-AS30</f>
        <v>176.69100000000003</v>
      </c>
      <c r="AU30" s="92">
        <f>ANZ!AU24</f>
        <v>410</v>
      </c>
      <c r="AV30" s="92">
        <f>ANZ!AV$24</f>
        <v>192.51400000000001</v>
      </c>
      <c r="AW30" s="92">
        <f>AX30-AV30</f>
        <v>146.48599999999999</v>
      </c>
      <c r="AX30" s="93">
        <f>ANZ!AX24</f>
        <v>339</v>
      </c>
      <c r="AY30" s="92">
        <f>ANZ!AY$24</f>
        <v>170.80679795887733</v>
      </c>
      <c r="AZ30" s="92">
        <f>ANZ!AZ$24</f>
        <v>162.990166413662</v>
      </c>
      <c r="BA30" s="92">
        <f>SUM(AY30:AZ30)</f>
        <v>333.79696437253932</v>
      </c>
      <c r="BB30" s="92">
        <f>ANZ!BB$24</f>
        <v>194.90497038799984</v>
      </c>
      <c r="BC30" s="92">
        <f>ANZ!BC$24</f>
        <v>184.33843730964267</v>
      </c>
      <c r="BD30" s="92">
        <f>SUM(BB30:BC30)</f>
        <v>379.24340769764251</v>
      </c>
      <c r="BE30" s="92">
        <f>ANZ!BE$24</f>
        <v>220.89712347634972</v>
      </c>
      <c r="BF30" s="92">
        <f>ANZ!BF$24</f>
        <v>206.44663416256344</v>
      </c>
      <c r="BG30" s="92">
        <f>SUM(BE30:BF30)</f>
        <v>427.34375763891319</v>
      </c>
      <c r="BH30" s="92">
        <f>ANZ!BH$24</f>
        <v>225.8897506538483</v>
      </c>
      <c r="BI30" s="92">
        <f>ANZ!BI$24</f>
        <v>211.2169964192239</v>
      </c>
      <c r="BJ30" s="92">
        <f>SUM(BH30:BI30)</f>
        <v>437.1067470730722</v>
      </c>
      <c r="BK30" s="92">
        <f>ANZ!BK$24</f>
        <v>227.47590344714146</v>
      </c>
      <c r="BL30" s="92">
        <f>ANZ!BL$24</f>
        <v>213.09253844976894</v>
      </c>
      <c r="BM30" s="92">
        <f>SUM(BK30:BL30)</f>
        <v>440.56844189691037</v>
      </c>
    </row>
    <row r="31" spans="1:73">
      <c r="A31" s="89" t="s">
        <v>470</v>
      </c>
      <c r="B31" s="52" t="s">
        <v>172</v>
      </c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>
        <f>USA!AD$16</f>
        <v>39.893999999999998</v>
      </c>
      <c r="AE31" s="92">
        <f>USA!AE$16</f>
        <v>40.255999999999979</v>
      </c>
      <c r="AF31" s="92">
        <f>SUM(AD31:AE31)</f>
        <v>80.149999999999977</v>
      </c>
      <c r="AG31" s="92">
        <f>USA!AG$16</f>
        <v>54.076999999999998</v>
      </c>
      <c r="AH31" s="92">
        <f>USA!AH$16</f>
        <v>55.531000000000006</v>
      </c>
      <c r="AI31" s="92">
        <f>SUM(AG31:AH31)</f>
        <v>109.608</v>
      </c>
      <c r="AJ31" s="92">
        <f>USA!AJ$16</f>
        <v>61.599999999999994</v>
      </c>
      <c r="AK31" s="92">
        <f>USA!AK$16</f>
        <v>49.654000000000025</v>
      </c>
      <c r="AL31" s="92">
        <f>SUM(AJ31:AK31)</f>
        <v>111.25400000000002</v>
      </c>
      <c r="AM31" s="92">
        <f>USA!AM$16</f>
        <v>89.361999999999995</v>
      </c>
      <c r="AN31" s="92">
        <f>USA!AN$16</f>
        <v>93.123999999999995</v>
      </c>
      <c r="AO31" s="92">
        <f>SUM(AM31:AN31)</f>
        <v>182.48599999999999</v>
      </c>
      <c r="AP31" s="92">
        <f>USA!AP$16</f>
        <v>127.30700000000002</v>
      </c>
      <c r="AQ31" s="92">
        <f>AR31-AP31</f>
        <v>119.79799999999994</v>
      </c>
      <c r="AR31" s="92">
        <f>USA!AR16</f>
        <v>247.10499999999996</v>
      </c>
      <c r="AS31" s="92">
        <f>USA!AS$16</f>
        <v>133.88299999999998</v>
      </c>
      <c r="AT31" s="92">
        <f>AU31-AS31</f>
        <v>137.11700000000002</v>
      </c>
      <c r="AU31" s="92">
        <f>USA!AU16</f>
        <v>271</v>
      </c>
      <c r="AV31" s="92">
        <f>USA!AV$16</f>
        <v>112.01500000000001</v>
      </c>
      <c r="AW31" s="92">
        <f>AX31-AV31</f>
        <v>96.984999999999985</v>
      </c>
      <c r="AX31" s="93">
        <f>USA!AX16</f>
        <v>209</v>
      </c>
      <c r="AY31" s="92">
        <f>USA!AY$16</f>
        <v>85.194344669498321</v>
      </c>
      <c r="AZ31" s="92">
        <f>USA!AZ$16</f>
        <v>93.279564706576224</v>
      </c>
      <c r="BA31" s="92">
        <f>SUM(AY31:AZ31)</f>
        <v>178.47390937607454</v>
      </c>
      <c r="BB31" s="92">
        <f>USA!BB$16</f>
        <v>103.42425640225787</v>
      </c>
      <c r="BC31" s="92">
        <f>USA!BC$16</f>
        <v>112.8734641585981</v>
      </c>
      <c r="BD31" s="92">
        <f>SUM(BB31:BC31)</f>
        <v>216.29772056085596</v>
      </c>
      <c r="BE31" s="92">
        <f>USA!BE$16</f>
        <v>121.05956906748114</v>
      </c>
      <c r="BF31" s="92">
        <f>USA!BF$16</f>
        <v>131.19789837431529</v>
      </c>
      <c r="BG31" s="92">
        <f>SUM(BE31:BF31)</f>
        <v>252.25746744179642</v>
      </c>
      <c r="BH31" s="92">
        <f>USA!BH$16</f>
        <v>136.18295524260122</v>
      </c>
      <c r="BI31" s="92">
        <f>USA!BI$16</f>
        <v>145.84882102170712</v>
      </c>
      <c r="BJ31" s="92">
        <f>SUM(BH31:BI31)</f>
        <v>282.03177626430835</v>
      </c>
      <c r="BK31" s="92">
        <f>USA!BK$16</f>
        <v>144.9617676333466</v>
      </c>
      <c r="BL31" s="92">
        <f>USA!BL$16</f>
        <v>156.40981585625013</v>
      </c>
      <c r="BM31" s="92">
        <f>SUM(BK31:BL31)</f>
        <v>301.37158348959673</v>
      </c>
    </row>
    <row r="32" spans="1:73" s="13" customFormat="1">
      <c r="A32" s="13" t="s">
        <v>9</v>
      </c>
      <c r="B32" s="55" t="s">
        <v>172</v>
      </c>
      <c r="C32" s="94">
        <f t="shared" ref="C32:X32" si="34">SUM(C30:C31)</f>
        <v>82.561999999999998</v>
      </c>
      <c r="D32" s="94">
        <f t="shared" si="34"/>
        <v>81.003</v>
      </c>
      <c r="E32" s="94">
        <f t="shared" si="34"/>
        <v>163.565</v>
      </c>
      <c r="F32" s="94">
        <f t="shared" si="34"/>
        <v>87.150999999999996</v>
      </c>
      <c r="G32" s="94">
        <f t="shared" si="34"/>
        <v>86.409000000000006</v>
      </c>
      <c r="H32" s="94">
        <f t="shared" si="34"/>
        <v>173.56</v>
      </c>
      <c r="I32" s="94">
        <f t="shared" si="34"/>
        <v>83.707999999999998</v>
      </c>
      <c r="J32" s="94">
        <f t="shared" si="34"/>
        <v>79.744</v>
      </c>
      <c r="K32" s="94">
        <f t="shared" si="34"/>
        <v>163.452</v>
      </c>
      <c r="L32" s="94">
        <f t="shared" si="34"/>
        <v>79.534999999999997</v>
      </c>
      <c r="M32" s="94">
        <f t="shared" si="34"/>
        <v>92.338999999999999</v>
      </c>
      <c r="N32" s="94">
        <f t="shared" si="34"/>
        <v>171.874</v>
      </c>
      <c r="O32" s="94">
        <f t="shared" si="34"/>
        <v>86.211000000000013</v>
      </c>
      <c r="P32" s="94">
        <f t="shared" si="34"/>
        <v>96.466999999999985</v>
      </c>
      <c r="Q32" s="94">
        <f t="shared" si="34"/>
        <v>182.678</v>
      </c>
      <c r="R32" s="94">
        <f t="shared" si="34"/>
        <v>120.05500000000001</v>
      </c>
      <c r="S32" s="94">
        <f t="shared" si="34"/>
        <v>127.47400000000002</v>
      </c>
      <c r="T32" s="94">
        <f t="shared" si="34"/>
        <v>247.52900000000002</v>
      </c>
      <c r="U32" s="94">
        <f t="shared" si="34"/>
        <v>132.92599999999999</v>
      </c>
      <c r="V32" s="94">
        <f t="shared" si="34"/>
        <v>154.75</v>
      </c>
      <c r="W32" s="94">
        <f t="shared" si="34"/>
        <v>287.67599999999999</v>
      </c>
      <c r="X32" s="94">
        <f t="shared" si="34"/>
        <v>140.589</v>
      </c>
      <c r="Y32" s="94">
        <f>Z32-X32</f>
        <v>168.35899999999998</v>
      </c>
      <c r="Z32" s="94">
        <f>SUM(Z30:Z31)</f>
        <v>308.94799999999998</v>
      </c>
      <c r="AA32" s="94">
        <f>SUM(AA30:AA31)</f>
        <v>153.79</v>
      </c>
      <c r="AB32" s="94">
        <f>SUM(AB30:AB31)</f>
        <v>170.68600000000001</v>
      </c>
      <c r="AC32" s="94">
        <f t="shared" ref="AC32:AI32" si="35">AC27-AC23</f>
        <v>324.476</v>
      </c>
      <c r="AD32" s="94">
        <f t="shared" si="35"/>
        <v>197.89799999999997</v>
      </c>
      <c r="AE32" s="94">
        <f t="shared" si="35"/>
        <v>195.97999999999996</v>
      </c>
      <c r="AF32" s="94">
        <f t="shared" si="35"/>
        <v>393.87799999999993</v>
      </c>
      <c r="AG32" s="94">
        <f t="shared" si="35"/>
        <v>206.00900000000001</v>
      </c>
      <c r="AH32" s="94">
        <f t="shared" si="35"/>
        <v>211.14700000000005</v>
      </c>
      <c r="AI32" s="94">
        <f t="shared" si="35"/>
        <v>417.15600000000006</v>
      </c>
      <c r="AJ32" s="94">
        <f t="shared" ref="AJ32:AO32" si="36">SUM(AJ30:AJ31)</f>
        <v>236.53399999999999</v>
      </c>
      <c r="AK32" s="94">
        <f>AK27-AK23</f>
        <v>256.03800000000007</v>
      </c>
      <c r="AL32" s="94">
        <f>AL27-AL23</f>
        <v>492.57200000000006</v>
      </c>
      <c r="AM32" s="94">
        <f t="shared" si="36"/>
        <v>275.00300000000004</v>
      </c>
      <c r="AN32" s="94">
        <f t="shared" si="36"/>
        <v>286.80499999999995</v>
      </c>
      <c r="AO32" s="94">
        <f t="shared" si="36"/>
        <v>561.80799999999999</v>
      </c>
      <c r="AP32" s="94">
        <f>SUM(AP30:AP31)</f>
        <v>348.21600000000001</v>
      </c>
      <c r="AQ32" s="94">
        <f>AR32-AP32</f>
        <v>319.52099999999996</v>
      </c>
      <c r="AR32" s="94">
        <v>667.73699999999997</v>
      </c>
      <c r="AS32" s="94">
        <f>SUM(AS30:AS31)</f>
        <v>367.19199999999995</v>
      </c>
      <c r="AT32" s="94">
        <f>AU32-AS32</f>
        <v>313.80800000000005</v>
      </c>
      <c r="AU32" s="96">
        <v>681</v>
      </c>
      <c r="AV32" s="94">
        <f>SUM(AV30:AV31)</f>
        <v>304.529</v>
      </c>
      <c r="AW32" s="94">
        <f>AX32-AV32</f>
        <v>243.471</v>
      </c>
      <c r="AX32" s="94">
        <f>SUM(AX30:AX31)</f>
        <v>548</v>
      </c>
      <c r="AY32" s="94">
        <f t="shared" ref="AY32:BM32" si="37">SUM(AY30:AY31)</f>
        <v>256.00114262837565</v>
      </c>
      <c r="AZ32" s="94">
        <f t="shared" si="37"/>
        <v>256.26973112023825</v>
      </c>
      <c r="BA32" s="94">
        <f t="shared" si="37"/>
        <v>512.27087374861389</v>
      </c>
      <c r="BB32" s="94">
        <f t="shared" si="37"/>
        <v>298.32922679025774</v>
      </c>
      <c r="BC32" s="94">
        <f t="shared" si="37"/>
        <v>297.21190146824074</v>
      </c>
      <c r="BD32" s="94">
        <f t="shared" si="37"/>
        <v>595.54112825849847</v>
      </c>
      <c r="BE32" s="94">
        <f t="shared" si="37"/>
        <v>341.95669254383085</v>
      </c>
      <c r="BF32" s="94">
        <f t="shared" si="37"/>
        <v>337.64453253687873</v>
      </c>
      <c r="BG32" s="94">
        <f t="shared" si="37"/>
        <v>679.60122508070958</v>
      </c>
      <c r="BH32" s="94">
        <f t="shared" si="37"/>
        <v>362.07270589644952</v>
      </c>
      <c r="BI32" s="94">
        <f t="shared" si="37"/>
        <v>357.06581744093103</v>
      </c>
      <c r="BJ32" s="94">
        <f t="shared" si="37"/>
        <v>719.13852333738055</v>
      </c>
      <c r="BK32" s="94">
        <f t="shared" si="37"/>
        <v>372.43767108048803</v>
      </c>
      <c r="BL32" s="94">
        <f t="shared" si="37"/>
        <v>369.50235430601907</v>
      </c>
      <c r="BM32" s="94">
        <f t="shared" si="37"/>
        <v>741.94002538650716</v>
      </c>
      <c r="BP32"/>
      <c r="BQ32"/>
      <c r="BR32"/>
      <c r="BS32"/>
      <c r="BT32"/>
      <c r="BU32"/>
    </row>
    <row r="33" spans="1:73">
      <c r="A33" s="89" t="s">
        <v>21</v>
      </c>
      <c r="B33" s="52" t="s">
        <v>76</v>
      </c>
      <c r="C33" s="30">
        <f t="shared" ref="C33:AO33" si="38">C32/C11</f>
        <v>0.10732233618011414</v>
      </c>
      <c r="D33" s="30">
        <f t="shared" si="38"/>
        <v>0.11032869924557032</v>
      </c>
      <c r="E33" s="30">
        <f t="shared" si="38"/>
        <v>0.10879043184277615</v>
      </c>
      <c r="F33" s="30">
        <f t="shared" si="38"/>
        <v>0.1094316025801202</v>
      </c>
      <c r="G33" s="30">
        <f t="shared" si="38"/>
        <v>0.11262360913251057</v>
      </c>
      <c r="H33" s="30">
        <f t="shared" si="38"/>
        <v>0.11099784220604055</v>
      </c>
      <c r="I33" s="30">
        <f t="shared" si="38"/>
        <v>0.10666904535868339</v>
      </c>
      <c r="J33" s="30">
        <f t="shared" si="38"/>
        <v>0.10867829078093441</v>
      </c>
      <c r="K33" s="30">
        <f t="shared" si="38"/>
        <v>0.10763993843953304</v>
      </c>
      <c r="L33" s="30">
        <f t="shared" si="38"/>
        <v>0.10186190786002264</v>
      </c>
      <c r="M33" s="30">
        <f t="shared" si="38"/>
        <v>0.12245479838634815</v>
      </c>
      <c r="N33" s="30">
        <f t="shared" si="38"/>
        <v>0.11197893252753639</v>
      </c>
      <c r="O33" s="30">
        <f t="shared" si="38"/>
        <v>0.10252912549771422</v>
      </c>
      <c r="P33" s="30">
        <f t="shared" si="38"/>
        <v>0.10316973108941725</v>
      </c>
      <c r="Q33" s="30">
        <f t="shared" si="38"/>
        <v>0.10286641634888923</v>
      </c>
      <c r="R33" s="30">
        <f t="shared" si="38"/>
        <v>0.11433853081345072</v>
      </c>
      <c r="S33" s="30">
        <f t="shared" si="38"/>
        <v>0.12314757924593193</v>
      </c>
      <c r="T33" s="30">
        <f t="shared" si="38"/>
        <v>0.11871165703016794</v>
      </c>
      <c r="U33" s="30">
        <f t="shared" si="38"/>
        <v>0.11648628990561985</v>
      </c>
      <c r="V33" s="30">
        <f t="shared" si="38"/>
        <v>0.13631682938065914</v>
      </c>
      <c r="W33" s="30">
        <f t="shared" si="38"/>
        <v>0.12637583011070777</v>
      </c>
      <c r="X33" s="30">
        <f t="shared" si="38"/>
        <v>0.116123900515495</v>
      </c>
      <c r="Y33" s="30">
        <f t="shared" si="38"/>
        <v>0.13815477431139661</v>
      </c>
      <c r="Z33" s="30">
        <f t="shared" si="38"/>
        <v>0.12717536317970515</v>
      </c>
      <c r="AA33" s="30">
        <f t="shared" si="38"/>
        <v>0.11543143992446178</v>
      </c>
      <c r="AB33" s="30">
        <f t="shared" si="38"/>
        <v>0.12584957272519484</v>
      </c>
      <c r="AC33" s="30">
        <f t="shared" si="38"/>
        <v>0.12068693613273346</v>
      </c>
      <c r="AD33" s="30">
        <f t="shared" si="38"/>
        <v>7.2804529451366881E-2</v>
      </c>
      <c r="AE33" s="30">
        <f t="shared" si="38"/>
        <v>7.120755632874505E-2</v>
      </c>
      <c r="AF33" s="30">
        <f t="shared" si="38"/>
        <v>7.2001076329059818E-2</v>
      </c>
      <c r="AG33" s="30">
        <f t="shared" si="38"/>
        <v>6.9558438015334609E-2</v>
      </c>
      <c r="AH33" s="30">
        <f t="shared" si="38"/>
        <v>6.9181503850006223E-2</v>
      </c>
      <c r="AI33" s="30">
        <f t="shared" si="38"/>
        <v>6.9367137693492301E-2</v>
      </c>
      <c r="AJ33" s="30">
        <f t="shared" si="38"/>
        <v>7.6958365814964666E-2</v>
      </c>
      <c r="AK33" s="30">
        <f>AK32/AK11</f>
        <v>8.0082597944309594E-2</v>
      </c>
      <c r="AL33" s="30">
        <f>AL32/AL11</f>
        <v>7.8551282742325992E-2</v>
      </c>
      <c r="AM33" s="30">
        <f t="shared" si="38"/>
        <v>7.6385457367519213E-2</v>
      </c>
      <c r="AN33" s="30">
        <f t="shared" si="38"/>
        <v>7.0749684431813203E-2</v>
      </c>
      <c r="AO33" s="30">
        <f t="shared" si="38"/>
        <v>7.3400574862816828E-2</v>
      </c>
      <c r="AP33" s="30">
        <f t="shared" ref="AP33:AU33" si="39">AP32/AP11</f>
        <v>7.8652177743043714E-2</v>
      </c>
      <c r="AQ33" s="30">
        <f t="shared" si="39"/>
        <v>7.2414480040413454E-2</v>
      </c>
      <c r="AR33" s="30">
        <f t="shared" si="39"/>
        <v>7.5538585611856349E-2</v>
      </c>
      <c r="AS33" s="30">
        <f t="shared" si="39"/>
        <v>8.0927905373998868E-2</v>
      </c>
      <c r="AT33" s="30">
        <f t="shared" si="39"/>
        <v>6.8701128591967087E-2</v>
      </c>
      <c r="AU33" s="30">
        <f t="shared" si="39"/>
        <v>7.4794069192751236E-2</v>
      </c>
      <c r="AV33" s="30">
        <f t="shared" ref="AV33:AX33" si="40">AV32/AV11</f>
        <v>6.9172305546659027E-2</v>
      </c>
      <c r="AW33" s="30">
        <f t="shared" si="40"/>
        <v>5.3211017194560249E-2</v>
      </c>
      <c r="AX33" s="403">
        <f t="shared" si="40"/>
        <v>6.1037787179725654E-2</v>
      </c>
      <c r="AY33" s="30">
        <f t="shared" ref="AY33:BM33" si="41">AY32/AY11</f>
        <v>5.5669304607791903E-2</v>
      </c>
      <c r="AZ33" s="30">
        <f t="shared" si="41"/>
        <v>5.4173507961469428E-2</v>
      </c>
      <c r="BA33" s="27">
        <f t="shared" si="41"/>
        <v>5.4910829641824845E-2</v>
      </c>
      <c r="BB33" s="30">
        <f t="shared" si="41"/>
        <v>6.2072936138670362E-2</v>
      </c>
      <c r="BC33" s="30">
        <f t="shared" si="41"/>
        <v>6.0222491835828458E-2</v>
      </c>
      <c r="BD33" s="30">
        <f t="shared" si="41"/>
        <v>6.1135450018708681E-2</v>
      </c>
      <c r="BE33" s="30">
        <f t="shared" si="41"/>
        <v>6.7523615512546625E-2</v>
      </c>
      <c r="BF33" s="30">
        <f t="shared" si="41"/>
        <v>6.5183933306349418E-2</v>
      </c>
      <c r="BG33" s="30">
        <f t="shared" si="41"/>
        <v>6.634057100670876E-2</v>
      </c>
      <c r="BH33" s="30">
        <f t="shared" si="41"/>
        <v>6.9179586907180679E-2</v>
      </c>
      <c r="BI33" s="30">
        <f t="shared" si="41"/>
        <v>6.6757098693624478E-2</v>
      </c>
      <c r="BJ33" s="30">
        <f t="shared" si="41"/>
        <v>6.795518903464759E-2</v>
      </c>
      <c r="BK33" s="30">
        <f t="shared" si="41"/>
        <v>7.0112858844039949E-2</v>
      </c>
      <c r="BL33" s="30">
        <f t="shared" si="41"/>
        <v>6.7740945218623783E-2</v>
      </c>
      <c r="BM33" s="30">
        <f t="shared" si="41"/>
        <v>6.8911187347552499E-2</v>
      </c>
    </row>
    <row r="34" spans="1:73" s="31" customFormat="1">
      <c r="A34" s="57" t="s">
        <v>225</v>
      </c>
      <c r="B34" s="52" t="s">
        <v>76</v>
      </c>
      <c r="C34" s="32"/>
      <c r="D34" s="32"/>
      <c r="E34" s="32"/>
      <c r="F34" s="63">
        <f>F33/C33-1</f>
        <v>1.9653563974475707E-2</v>
      </c>
      <c r="G34" s="63">
        <f>G33/D33-1</f>
        <v>2.0800661139240173E-2</v>
      </c>
      <c r="H34" s="63">
        <f>H32/E32-1</f>
        <v>6.1107205086662786E-2</v>
      </c>
      <c r="I34" s="63">
        <f t="shared" ref="I34:AL34" si="42">I32/F32-1</f>
        <v>-3.9506144507808316E-2</v>
      </c>
      <c r="J34" s="63">
        <f t="shared" si="42"/>
        <v>-7.7133168998599788E-2</v>
      </c>
      <c r="K34" s="63">
        <f t="shared" si="42"/>
        <v>-5.823922562802486E-2</v>
      </c>
      <c r="L34" s="63">
        <f t="shared" si="42"/>
        <v>-4.9851866010417134E-2</v>
      </c>
      <c r="M34" s="63">
        <f t="shared" si="42"/>
        <v>0.15794291733547361</v>
      </c>
      <c r="N34" s="63">
        <f t="shared" si="42"/>
        <v>5.1525830213151158E-2</v>
      </c>
      <c r="O34" s="63">
        <f t="shared" si="42"/>
        <v>8.3937888979694675E-2</v>
      </c>
      <c r="P34" s="63">
        <f t="shared" si="42"/>
        <v>4.4704837609244041E-2</v>
      </c>
      <c r="Q34" s="63">
        <f t="shared" si="42"/>
        <v>6.2860002094557554E-2</v>
      </c>
      <c r="R34" s="63">
        <f t="shared" si="42"/>
        <v>0.39257171358643306</v>
      </c>
      <c r="S34" s="63">
        <f t="shared" si="42"/>
        <v>0.32142597986876376</v>
      </c>
      <c r="T34" s="63">
        <f t="shared" si="42"/>
        <v>0.35500169697500539</v>
      </c>
      <c r="U34" s="63">
        <f t="shared" si="42"/>
        <v>0.107209195785265</v>
      </c>
      <c r="V34" s="63">
        <f t="shared" si="42"/>
        <v>0.21397304548378471</v>
      </c>
      <c r="W34" s="63">
        <f t="shared" si="42"/>
        <v>0.1621910968007787</v>
      </c>
      <c r="X34" s="63">
        <f t="shared" si="42"/>
        <v>5.7648616523479301E-2</v>
      </c>
      <c r="Y34" s="63">
        <f t="shared" si="42"/>
        <v>8.7941841680129196E-2</v>
      </c>
      <c r="Z34" s="63">
        <f t="shared" si="42"/>
        <v>7.3944298446863899E-2</v>
      </c>
      <c r="AA34" s="63">
        <f t="shared" si="42"/>
        <v>9.389781561857613E-2</v>
      </c>
      <c r="AB34" s="63">
        <f t="shared" si="42"/>
        <v>1.3821654915983306E-2</v>
      </c>
      <c r="AC34" s="63">
        <f t="shared" si="42"/>
        <v>5.0260885326980587E-2</v>
      </c>
      <c r="AD34" s="63">
        <f t="shared" si="42"/>
        <v>0.28680668443982049</v>
      </c>
      <c r="AE34" s="63">
        <f t="shared" si="42"/>
        <v>0.14819024407391312</v>
      </c>
      <c r="AF34" s="63">
        <f t="shared" si="42"/>
        <v>0.21388947102405087</v>
      </c>
      <c r="AG34" s="63">
        <f t="shared" si="42"/>
        <v>4.0985760341186062E-2</v>
      </c>
      <c r="AH34" s="63">
        <f t="shared" si="42"/>
        <v>7.7390550056128715E-2</v>
      </c>
      <c r="AI34" s="63">
        <f t="shared" si="42"/>
        <v>5.9099518124901884E-2</v>
      </c>
      <c r="AJ34" s="63">
        <f t="shared" si="42"/>
        <v>0.14817313806678345</v>
      </c>
      <c r="AK34" s="63">
        <f t="shared" si="42"/>
        <v>0.21260543602324455</v>
      </c>
      <c r="AL34" s="63">
        <f t="shared" si="42"/>
        <v>0.1807860848219851</v>
      </c>
      <c r="AM34" s="63">
        <f t="shared" ref="AM34:AS34" si="43">AM32/AJ32-1</f>
        <v>0.16263623834205676</v>
      </c>
      <c r="AN34" s="63">
        <f t="shared" si="43"/>
        <v>0.12016575664549745</v>
      </c>
      <c r="AO34" s="63">
        <f t="shared" si="43"/>
        <v>0.14056016176315334</v>
      </c>
      <c r="AP34" s="63">
        <f t="shared" si="43"/>
        <v>0.26622618662341857</v>
      </c>
      <c r="AQ34" s="63">
        <f t="shared" si="43"/>
        <v>0.11407053572985126</v>
      </c>
      <c r="AR34" s="63">
        <f t="shared" si="43"/>
        <v>0.18855018084470143</v>
      </c>
      <c r="AS34" s="63">
        <f t="shared" si="43"/>
        <v>5.4494911204539642E-2</v>
      </c>
      <c r="AT34" s="63">
        <f t="shared" ref="AT34" si="44">AT32/AQ32-1</f>
        <v>-1.7879888958784895E-2</v>
      </c>
      <c r="AU34" s="63">
        <f t="shared" ref="AU34:AV34" si="45">AU32/AR32-1</f>
        <v>1.9862610578715856E-2</v>
      </c>
      <c r="AV34" s="63">
        <f t="shared" si="45"/>
        <v>-0.1706545894246061</v>
      </c>
      <c r="AW34" s="63">
        <f t="shared" ref="AW34" si="46">AW32/AT32-1</f>
        <v>-0.22414023861724375</v>
      </c>
      <c r="AX34" s="215">
        <f t="shared" ref="AX34" si="47">AX32/AU32-1</f>
        <v>-0.19530102790014681</v>
      </c>
      <c r="AY34" s="63">
        <f t="shared" ref="AY34:BM34" si="48">AY32/AV32-1</f>
        <v>-0.15935381317255282</v>
      </c>
      <c r="AZ34" s="63">
        <f t="shared" si="48"/>
        <v>5.2567784747416413E-2</v>
      </c>
      <c r="BA34" s="63">
        <f t="shared" si="48"/>
        <v>-6.5199135495230154E-2</v>
      </c>
      <c r="BB34" s="63">
        <f t="shared" si="48"/>
        <v>0.1653433407651923</v>
      </c>
      <c r="BC34" s="63">
        <f t="shared" si="48"/>
        <v>0.15976202171450749</v>
      </c>
      <c r="BD34" s="63">
        <f t="shared" si="48"/>
        <v>0.16255121807051576</v>
      </c>
      <c r="BE34" s="63">
        <f t="shared" si="48"/>
        <v>0.14623932835198095</v>
      </c>
      <c r="BF34" s="63">
        <f t="shared" si="48"/>
        <v>0.1360397442662924</v>
      </c>
      <c r="BG34" s="63">
        <f t="shared" si="48"/>
        <v>0.14114910429112171</v>
      </c>
      <c r="BH34" s="63">
        <f t="shared" si="48"/>
        <v>5.8826201654293531E-2</v>
      </c>
      <c r="BI34" s="63">
        <f t="shared" si="48"/>
        <v>5.7519915273412714E-2</v>
      </c>
      <c r="BJ34" s="63">
        <f t="shared" si="48"/>
        <v>5.8177202744117418E-2</v>
      </c>
      <c r="BK34" s="63">
        <f t="shared" si="48"/>
        <v>2.8626750968085535E-2</v>
      </c>
      <c r="BL34" s="63">
        <f t="shared" si="48"/>
        <v>3.4829816402533131E-2</v>
      </c>
      <c r="BM34" s="63">
        <f t="shared" si="48"/>
        <v>3.1706689753330686E-2</v>
      </c>
      <c r="BP34"/>
      <c r="BQ34"/>
      <c r="BR34"/>
      <c r="BS34"/>
      <c r="BT34"/>
      <c r="BU34"/>
    </row>
    <row r="35" spans="1:73" s="31" customFormat="1">
      <c r="A35" s="57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405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P35"/>
      <c r="BQ35"/>
      <c r="BR35"/>
      <c r="BS35"/>
      <c r="BT35"/>
      <c r="BU35"/>
    </row>
    <row r="36" spans="1:73">
      <c r="A36" s="6" t="s">
        <v>485</v>
      </c>
      <c r="B36" s="52" t="s">
        <v>172</v>
      </c>
      <c r="C36" s="26">
        <v>-0.84199999999999997</v>
      </c>
      <c r="D36" s="25">
        <f>E36-C36</f>
        <v>-0.91800000000000004</v>
      </c>
      <c r="E36" s="26">
        <v>-1.76</v>
      </c>
      <c r="F36" s="26">
        <v>-1.294</v>
      </c>
      <c r="G36" s="25">
        <f>H36-F36</f>
        <v>-1.226</v>
      </c>
      <c r="H36" s="26">
        <v>-2.52</v>
      </c>
      <c r="I36" s="26">
        <v>-0.28799999999999998</v>
      </c>
      <c r="J36" s="25">
        <f>K36-I36</f>
        <v>-0.15700000000000003</v>
      </c>
      <c r="K36" s="26">
        <v>-0.44500000000000001</v>
      </c>
      <c r="L36" s="26">
        <v>-0.13400000000000001</v>
      </c>
      <c r="M36" s="25">
        <f>N36-L36</f>
        <v>-0.13500000000000001</v>
      </c>
      <c r="N36" s="26">
        <v>-0.26900000000000002</v>
      </c>
      <c r="O36" s="26">
        <v>-0.153</v>
      </c>
      <c r="P36" s="25">
        <f>Q36-O36</f>
        <v>-4.032</v>
      </c>
      <c r="Q36" s="26">
        <v>-4.1849999999999996</v>
      </c>
      <c r="R36" s="26">
        <v>-4.7469999999999999</v>
      </c>
      <c r="S36" s="25">
        <f>T36-R36</f>
        <v>-4.4760000000000009</v>
      </c>
      <c r="T36" s="26">
        <v>-9.2230000000000008</v>
      </c>
      <c r="U36" s="26">
        <v>-4.0890000000000004</v>
      </c>
      <c r="V36" s="25">
        <f>W36-U36</f>
        <v>-3.6579999999999995</v>
      </c>
      <c r="W36" s="91">
        <v>-7.7469999999999999</v>
      </c>
      <c r="X36" s="91">
        <v>-3.2130000000000001</v>
      </c>
      <c r="Y36" s="38">
        <f>Z36-X36</f>
        <v>-2.6879999999999997</v>
      </c>
      <c r="Z36" s="91">
        <v>-5.9009999999999998</v>
      </c>
      <c r="AA36" s="91">
        <v>-2.6720000000000002</v>
      </c>
      <c r="AB36" s="38">
        <f>AC36-AA36</f>
        <v>-2.363</v>
      </c>
      <c r="AC36" s="91">
        <v>-5.0350000000000001</v>
      </c>
      <c r="AD36" s="91">
        <v>-43.045000000000002</v>
      </c>
      <c r="AE36" s="38">
        <f>AF36-AD36</f>
        <v>-40.259</v>
      </c>
      <c r="AF36" s="91">
        <v>-83.304000000000002</v>
      </c>
      <c r="AG36" s="91">
        <v>-54.691000000000003</v>
      </c>
      <c r="AH36" s="38">
        <f>AI36-AG36</f>
        <v>-56.188999999999993</v>
      </c>
      <c r="AI36" s="91">
        <v>-110.88</v>
      </c>
      <c r="AJ36" s="91">
        <v>-33.167000000000002</v>
      </c>
      <c r="AK36" s="38">
        <f>AL36-AJ36</f>
        <v>-37.507000000000005</v>
      </c>
      <c r="AL36" s="91">
        <v>-70.674000000000007</v>
      </c>
      <c r="AM36" s="91">
        <v>-40.414999999999999</v>
      </c>
      <c r="AN36" s="38">
        <f>AO36-AM36</f>
        <v>-6.2520000000000024</v>
      </c>
      <c r="AO36" s="91">
        <v>-46.667000000000002</v>
      </c>
      <c r="AP36" s="91">
        <v>-22.795999999999999</v>
      </c>
      <c r="AQ36" s="38">
        <f>AR36-AP36</f>
        <v>-31.869</v>
      </c>
      <c r="AR36" s="91">
        <v>-54.664999999999999</v>
      </c>
      <c r="AS36" s="91">
        <v>-29.667000000000002</v>
      </c>
      <c r="AT36" s="38">
        <f>AU36-AS36</f>
        <v>-39.266000000000005</v>
      </c>
      <c r="AU36" s="91">
        <v>-68.933000000000007</v>
      </c>
      <c r="AV36" s="91">
        <v>-29.834</v>
      </c>
      <c r="AW36" s="38">
        <f>AX36-AV36</f>
        <v>-26.26</v>
      </c>
      <c r="AX36" s="400">
        <v>-56.094000000000001</v>
      </c>
      <c r="AY36" s="38">
        <f>AY121</f>
        <v>-37.314545593644965</v>
      </c>
      <c r="AZ36" s="38">
        <f>AZ121</f>
        <v>-36.417251653508323</v>
      </c>
      <c r="BA36" s="38">
        <f>SUM(AY36:AZ36)</f>
        <v>-73.731797247153281</v>
      </c>
      <c r="BB36" s="38">
        <f>BB121</f>
        <v>-35.3771197612528</v>
      </c>
      <c r="BC36" s="38">
        <f>BC121</f>
        <v>-33.866869594999464</v>
      </c>
      <c r="BD36" s="38">
        <f>SUM(BB36:BC36)</f>
        <v>-69.243989356252257</v>
      </c>
      <c r="BE36" s="38">
        <f>BE121</f>
        <v>-36.512323870346236</v>
      </c>
      <c r="BF36" s="38">
        <f>BF121</f>
        <v>-34.07342589437954</v>
      </c>
      <c r="BG36" s="38">
        <f>SUM(BE36:BF36)</f>
        <v>-70.585749764725776</v>
      </c>
      <c r="BH36" s="38">
        <f>BH121</f>
        <v>-39.873460544049799</v>
      </c>
      <c r="BI36" s="38">
        <f>BI121</f>
        <v>-31.494863754995489</v>
      </c>
      <c r="BJ36" s="38">
        <f>SUM(BH36:BI36)</f>
        <v>-71.368324299045284</v>
      </c>
      <c r="BK36" s="38">
        <f>BK121</f>
        <v>-36.02239764788461</v>
      </c>
      <c r="BL36" s="38">
        <f>BL121</f>
        <v>-19.285629408315664</v>
      </c>
      <c r="BM36" s="38">
        <f>SUM(BK36:BL36)</f>
        <v>-55.308027056200274</v>
      </c>
    </row>
    <row r="37" spans="1:73">
      <c r="A37" s="6" t="s">
        <v>556</v>
      </c>
      <c r="B37" s="52" t="s">
        <v>172</v>
      </c>
      <c r="C37" s="26"/>
      <c r="D37" s="25"/>
      <c r="E37" s="26"/>
      <c r="F37" s="26"/>
      <c r="G37" s="25"/>
      <c r="H37" s="26"/>
      <c r="I37" s="26"/>
      <c r="J37" s="25"/>
      <c r="K37" s="26"/>
      <c r="L37" s="26"/>
      <c r="M37" s="25"/>
      <c r="N37" s="26"/>
      <c r="O37" s="26"/>
      <c r="P37" s="25"/>
      <c r="Q37" s="26"/>
      <c r="R37" s="26"/>
      <c r="S37" s="25"/>
      <c r="T37" s="26"/>
      <c r="U37" s="26"/>
      <c r="V37" s="25"/>
      <c r="W37" s="91"/>
      <c r="X37" s="91"/>
      <c r="Y37" s="38"/>
      <c r="Z37" s="91"/>
      <c r="AA37" s="91"/>
      <c r="AB37" s="38"/>
      <c r="AC37" s="91"/>
      <c r="AD37" s="91"/>
      <c r="AE37" s="38"/>
      <c r="AF37" s="91"/>
      <c r="AG37" s="91"/>
      <c r="AH37" s="38"/>
      <c r="AI37" s="91"/>
      <c r="AJ37" s="91">
        <f>-23.531-9.863</f>
        <v>-33.393999999999998</v>
      </c>
      <c r="AK37" s="38">
        <f>AL37-AJ37</f>
        <v>-10.809000000000005</v>
      </c>
      <c r="AL37" s="91">
        <f>-24.483-19.72</f>
        <v>-44.203000000000003</v>
      </c>
      <c r="AM37" s="91">
        <f>-10.351</f>
        <v>-10.351000000000001</v>
      </c>
      <c r="AN37" s="38">
        <f>AO37-AM37</f>
        <v>1.6620000000000008</v>
      </c>
      <c r="AO37" s="91">
        <f>-21.689+13</f>
        <v>-8.6890000000000001</v>
      </c>
      <c r="AP37" s="91">
        <v>-14.518000000000001</v>
      </c>
      <c r="AQ37" s="38">
        <f>AR37-AP37</f>
        <v>-17.082000000000001</v>
      </c>
      <c r="AR37" s="91">
        <f>-31.6</f>
        <v>-31.6</v>
      </c>
      <c r="AS37" s="91">
        <v>-16.338999999999999</v>
      </c>
      <c r="AT37" s="38">
        <f>AU37-AS37</f>
        <v>-19.039000000000001</v>
      </c>
      <c r="AU37" s="91">
        <v>-35.378</v>
      </c>
      <c r="AV37" s="91">
        <v>-22.279</v>
      </c>
      <c r="AW37" s="38">
        <f>AX37-AV37</f>
        <v>-25.221</v>
      </c>
      <c r="AX37" s="400">
        <v>-47.5</v>
      </c>
      <c r="AY37" s="37">
        <f>AV37</f>
        <v>-22.279</v>
      </c>
      <c r="AZ37" s="37">
        <f>AW37</f>
        <v>-25.221</v>
      </c>
      <c r="BA37" s="38">
        <f>SUM(AY37:AZ37)</f>
        <v>-47.5</v>
      </c>
      <c r="BB37" s="37">
        <f>AY37</f>
        <v>-22.279</v>
      </c>
      <c r="BC37" s="37">
        <f>AZ37</f>
        <v>-25.221</v>
      </c>
      <c r="BD37" s="38">
        <f>SUM(BB37:BC37)</f>
        <v>-47.5</v>
      </c>
      <c r="BE37" s="37">
        <f>BB37</f>
        <v>-22.279</v>
      </c>
      <c r="BF37" s="37">
        <f>BC37</f>
        <v>-25.221</v>
      </c>
      <c r="BG37" s="38">
        <f>SUM(BE37:BF37)</f>
        <v>-47.5</v>
      </c>
      <c r="BH37" s="37">
        <v>-10</v>
      </c>
      <c r="BI37" s="37">
        <v>-10</v>
      </c>
      <c r="BJ37" s="38">
        <f>SUM(BH37:BI37)</f>
        <v>-20</v>
      </c>
      <c r="BK37" s="37">
        <v>-10</v>
      </c>
      <c r="BL37" s="37">
        <v>-10</v>
      </c>
      <c r="BM37" s="38">
        <f>SUM(BK37:BL37)</f>
        <v>-20</v>
      </c>
    </row>
    <row r="38" spans="1:73">
      <c r="A38" s="6" t="s">
        <v>74</v>
      </c>
      <c r="B38" s="52" t="s">
        <v>172</v>
      </c>
      <c r="C38" s="91">
        <v>0</v>
      </c>
      <c r="D38" s="38">
        <f>E38-C38</f>
        <v>0</v>
      </c>
      <c r="E38" s="91">
        <v>0</v>
      </c>
      <c r="F38" s="91">
        <v>0</v>
      </c>
      <c r="G38" s="38">
        <f>H38-F38</f>
        <v>0</v>
      </c>
      <c r="H38" s="91">
        <v>0</v>
      </c>
      <c r="I38" s="91">
        <v>0</v>
      </c>
      <c r="J38" s="38">
        <f>K38-I38</f>
        <v>0</v>
      </c>
      <c r="K38" s="91">
        <v>0</v>
      </c>
      <c r="L38" s="91">
        <v>0</v>
      </c>
      <c r="M38" s="38">
        <f>N38-L38</f>
        <v>0</v>
      </c>
      <c r="N38" s="91">
        <v>0</v>
      </c>
      <c r="O38" s="91">
        <v>0</v>
      </c>
      <c r="P38" s="38">
        <f>Q38-O38</f>
        <v>0</v>
      </c>
      <c r="Q38" s="91">
        <v>0</v>
      </c>
      <c r="R38" s="91">
        <v>0</v>
      </c>
      <c r="S38" s="38">
        <f>T38-R38</f>
        <v>0</v>
      </c>
      <c r="T38" s="91">
        <v>0</v>
      </c>
      <c r="U38" s="91">
        <v>0</v>
      </c>
      <c r="V38" s="38">
        <f>W38-U38</f>
        <v>0</v>
      </c>
      <c r="W38" s="91">
        <v>0</v>
      </c>
      <c r="X38" s="91">
        <v>0</v>
      </c>
      <c r="Y38" s="38">
        <f>Z38-X38</f>
        <v>0</v>
      </c>
      <c r="Z38" s="91">
        <v>0</v>
      </c>
      <c r="AA38" s="91">
        <v>0</v>
      </c>
      <c r="AB38" s="38">
        <f>AC38-AA38</f>
        <v>0</v>
      </c>
      <c r="AC38" s="91">
        <v>0</v>
      </c>
      <c r="AD38" s="91">
        <v>2.4809999999999999</v>
      </c>
      <c r="AE38" s="38">
        <f>AF38-AD38</f>
        <v>21.466999999999999</v>
      </c>
      <c r="AF38" s="91">
        <v>23.948</v>
      </c>
      <c r="AG38" s="91">
        <v>0.51700000000000002</v>
      </c>
      <c r="AH38" s="38">
        <f>AI38-AG38</f>
        <v>12.256</v>
      </c>
      <c r="AI38" s="91">
        <v>12.773</v>
      </c>
      <c r="AJ38" s="91">
        <v>0</v>
      </c>
      <c r="AK38" s="38">
        <f>AL38-AJ38</f>
        <v>2.5880000000000001</v>
      </c>
      <c r="AL38" s="91">
        <v>2.5880000000000001</v>
      </c>
      <c r="AM38" s="91">
        <f>AM39-AM36-AM37</f>
        <v>-0.44700000000000095</v>
      </c>
      <c r="AN38" s="38">
        <f>AN130</f>
        <v>0.50766600000000006</v>
      </c>
      <c r="AO38" s="91">
        <f>AM38+AN38</f>
        <v>6.066599999999911E-2</v>
      </c>
      <c r="AP38" s="38">
        <f>AP39-AP36-AP37</f>
        <v>0</v>
      </c>
      <c r="AQ38" s="38">
        <f>AR38-AP38</f>
        <v>0</v>
      </c>
      <c r="AR38" s="38">
        <f>AR39-(AR36+AR37)</f>
        <v>0</v>
      </c>
      <c r="AS38" s="38">
        <f>AS39-AS36-AS37</f>
        <v>0</v>
      </c>
      <c r="AT38" s="38">
        <f>AU38-AS38</f>
        <v>12.50200000000001</v>
      </c>
      <c r="AU38" s="38">
        <f>AU39-(AU36+AU37)</f>
        <v>12.50200000000001</v>
      </c>
      <c r="AV38" s="38">
        <f>AV39-AV36-AV37</f>
        <v>6.2479999999999976</v>
      </c>
      <c r="AW38" s="38">
        <f>AX38-AV38</f>
        <v>-0.26800000000000779</v>
      </c>
      <c r="AX38" s="406">
        <f>AX39-(AX36+AX37)</f>
        <v>5.9799999999999898</v>
      </c>
      <c r="AY38" s="38">
        <f>AY130</f>
        <v>2.7541100000000003</v>
      </c>
      <c r="AZ38" s="38">
        <f>AZ130</f>
        <v>2.7541100000000003</v>
      </c>
      <c r="BA38" s="38">
        <f>AY38+AZ38</f>
        <v>5.5082200000000006</v>
      </c>
      <c r="BB38" s="38">
        <f>BB130</f>
        <v>2.7541100000000003</v>
      </c>
      <c r="BC38" s="38">
        <f>BC130</f>
        <v>2.7541100000000003</v>
      </c>
      <c r="BD38" s="38">
        <f>BB38+BC38</f>
        <v>5.5082200000000006</v>
      </c>
      <c r="BE38" s="38">
        <f>BE130</f>
        <v>2.7541100000000003</v>
      </c>
      <c r="BF38" s="38">
        <f>BF130</f>
        <v>2.7541100000000003</v>
      </c>
      <c r="BG38" s="38">
        <f>BE38+BF38</f>
        <v>5.5082200000000006</v>
      </c>
      <c r="BH38" s="38">
        <f>BH130</f>
        <v>2.7541100000000003</v>
      </c>
      <c r="BI38" s="38">
        <f>BI130</f>
        <v>2.7541100000000003</v>
      </c>
      <c r="BJ38" s="38">
        <f>BH38+BI38</f>
        <v>5.5082200000000006</v>
      </c>
      <c r="BK38" s="38">
        <f>BK130</f>
        <v>1.3770550000000001</v>
      </c>
      <c r="BL38" s="38">
        <f>BL130</f>
        <v>1.3770550000000001</v>
      </c>
      <c r="BM38" s="38">
        <f>BK38+BL38</f>
        <v>2.7541100000000003</v>
      </c>
    </row>
    <row r="39" spans="1:73">
      <c r="A39" s="13" t="s">
        <v>171</v>
      </c>
      <c r="B39" s="55" t="s">
        <v>172</v>
      </c>
      <c r="C39" s="38">
        <f t="shared" ref="C39:AF39" si="49">C36+C38</f>
        <v>-0.84199999999999997</v>
      </c>
      <c r="D39" s="38">
        <f t="shared" si="49"/>
        <v>-0.91800000000000004</v>
      </c>
      <c r="E39" s="38">
        <f t="shared" si="49"/>
        <v>-1.76</v>
      </c>
      <c r="F39" s="38">
        <f t="shared" si="49"/>
        <v>-1.294</v>
      </c>
      <c r="G39" s="38">
        <f t="shared" si="49"/>
        <v>-1.226</v>
      </c>
      <c r="H39" s="38">
        <f t="shared" si="49"/>
        <v>-2.52</v>
      </c>
      <c r="I39" s="38">
        <f t="shared" si="49"/>
        <v>-0.28799999999999998</v>
      </c>
      <c r="J39" s="38">
        <f t="shared" si="49"/>
        <v>-0.15700000000000003</v>
      </c>
      <c r="K39" s="38">
        <f t="shared" si="49"/>
        <v>-0.44500000000000001</v>
      </c>
      <c r="L39" s="38">
        <f t="shared" si="49"/>
        <v>-0.13400000000000001</v>
      </c>
      <c r="M39" s="38">
        <f t="shared" si="49"/>
        <v>-0.13500000000000001</v>
      </c>
      <c r="N39" s="38">
        <f t="shared" si="49"/>
        <v>-0.26900000000000002</v>
      </c>
      <c r="O39" s="38">
        <f t="shared" si="49"/>
        <v>-0.153</v>
      </c>
      <c r="P39" s="38">
        <f t="shared" si="49"/>
        <v>-4.032</v>
      </c>
      <c r="Q39" s="38">
        <f t="shared" si="49"/>
        <v>-4.1849999999999996</v>
      </c>
      <c r="R39" s="38">
        <f t="shared" si="49"/>
        <v>-4.7469999999999999</v>
      </c>
      <c r="S39" s="38">
        <f t="shared" si="49"/>
        <v>-4.4760000000000009</v>
      </c>
      <c r="T39" s="38">
        <f t="shared" si="49"/>
        <v>-9.2230000000000008</v>
      </c>
      <c r="U39" s="38">
        <f t="shared" si="49"/>
        <v>-4.0890000000000004</v>
      </c>
      <c r="V39" s="38">
        <f t="shared" si="49"/>
        <v>-3.6579999999999995</v>
      </c>
      <c r="W39" s="38">
        <f t="shared" si="49"/>
        <v>-7.7469999999999999</v>
      </c>
      <c r="X39" s="38">
        <f t="shared" si="49"/>
        <v>-3.2130000000000001</v>
      </c>
      <c r="Y39" s="38">
        <f t="shared" si="49"/>
        <v>-2.6879999999999997</v>
      </c>
      <c r="Z39" s="38">
        <f t="shared" si="49"/>
        <v>-5.9009999999999998</v>
      </c>
      <c r="AA39" s="38">
        <f t="shared" si="49"/>
        <v>-2.6720000000000002</v>
      </c>
      <c r="AB39" s="38">
        <f t="shared" si="49"/>
        <v>-2.363</v>
      </c>
      <c r="AC39" s="38">
        <f t="shared" si="49"/>
        <v>-5.0350000000000001</v>
      </c>
      <c r="AD39" s="38">
        <f t="shared" si="49"/>
        <v>-40.564</v>
      </c>
      <c r="AE39" s="38">
        <f t="shared" si="49"/>
        <v>-18.792000000000002</v>
      </c>
      <c r="AF39" s="38">
        <f t="shared" si="49"/>
        <v>-59.356000000000002</v>
      </c>
      <c r="AG39" s="38">
        <f>AG36+AG38</f>
        <v>-54.173999999999999</v>
      </c>
      <c r="AH39" s="38">
        <f>AH36+AH38</f>
        <v>-43.932999999999993</v>
      </c>
      <c r="AI39" s="38">
        <f>AI36+AI38</f>
        <v>-98.106999999999999</v>
      </c>
      <c r="AJ39" s="56">
        <f>AJ36+AJ37+AJ38</f>
        <v>-66.561000000000007</v>
      </c>
      <c r="AK39" s="38">
        <f>AK36+AK38</f>
        <v>-34.919000000000004</v>
      </c>
      <c r="AL39" s="38">
        <f t="shared" ref="AL39" si="50">AL36+AL37+AL38</f>
        <v>-112.28900000000002</v>
      </c>
      <c r="AM39" s="56">
        <v>-51.213000000000001</v>
      </c>
      <c r="AN39" s="38">
        <f>AN36+AN37+AN38</f>
        <v>-4.0823340000000012</v>
      </c>
      <c r="AO39" s="38">
        <f>AO36+AO37+AO38</f>
        <v>-55.295334000000004</v>
      </c>
      <c r="AP39" s="465">
        <v>-37.314</v>
      </c>
      <c r="AQ39" s="38">
        <f>AR39-AP39</f>
        <v>-48.951000000000001</v>
      </c>
      <c r="AR39" s="91">
        <v>-86.265000000000001</v>
      </c>
      <c r="AS39" s="465">
        <v>-46.006</v>
      </c>
      <c r="AT39" s="38">
        <f>AU39-AS39</f>
        <v>-45.802999999999997</v>
      </c>
      <c r="AU39" s="91">
        <v>-91.808999999999997</v>
      </c>
      <c r="AV39" s="91">
        <v>-45.865000000000002</v>
      </c>
      <c r="AW39" s="38">
        <f>AX39-AV39</f>
        <v>-51.749000000000002</v>
      </c>
      <c r="AX39" s="400">
        <v>-97.614000000000004</v>
      </c>
      <c r="AY39" s="38">
        <f t="shared" ref="AY39:BM39" si="51">AY36+AY37+AY38</f>
        <v>-56.839435593644964</v>
      </c>
      <c r="AZ39" s="38">
        <f t="shared" si="51"/>
        <v>-58.884141653508323</v>
      </c>
      <c r="BA39" s="38">
        <f t="shared" si="51"/>
        <v>-115.72357724715329</v>
      </c>
      <c r="BB39" s="38">
        <f t="shared" si="51"/>
        <v>-54.902009761252799</v>
      </c>
      <c r="BC39" s="38">
        <f t="shared" si="51"/>
        <v>-56.333759594999464</v>
      </c>
      <c r="BD39" s="38">
        <f t="shared" si="51"/>
        <v>-111.23576935625226</v>
      </c>
      <c r="BE39" s="38">
        <f t="shared" si="51"/>
        <v>-56.037213870346235</v>
      </c>
      <c r="BF39" s="38">
        <f t="shared" si="51"/>
        <v>-56.540315894379546</v>
      </c>
      <c r="BG39" s="38">
        <f t="shared" si="51"/>
        <v>-112.57752976472578</v>
      </c>
      <c r="BH39" s="38">
        <f t="shared" si="51"/>
        <v>-47.119350544049801</v>
      </c>
      <c r="BI39" s="38">
        <f t="shared" si="51"/>
        <v>-38.740753754995495</v>
      </c>
      <c r="BJ39" s="38">
        <f t="shared" si="51"/>
        <v>-85.86010429904529</v>
      </c>
      <c r="BK39" s="38">
        <f t="shared" si="51"/>
        <v>-44.645342647884611</v>
      </c>
      <c r="BL39" s="38">
        <f t="shared" si="51"/>
        <v>-27.908574408315665</v>
      </c>
      <c r="BM39" s="38">
        <f t="shared" si="51"/>
        <v>-72.553917056200277</v>
      </c>
    </row>
    <row r="40" spans="1:73">
      <c r="A40" s="13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406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</row>
    <row r="41" spans="1:73" s="13" customFormat="1">
      <c r="A41" s="13" t="s">
        <v>46</v>
      </c>
      <c r="B41" s="55" t="s">
        <v>172</v>
      </c>
      <c r="C41" s="90">
        <f t="shared" ref="C41:AG41" si="52">C32+C39</f>
        <v>81.72</v>
      </c>
      <c r="D41" s="90">
        <f t="shared" si="52"/>
        <v>80.084999999999994</v>
      </c>
      <c r="E41" s="90">
        <f t="shared" si="52"/>
        <v>161.80500000000001</v>
      </c>
      <c r="F41" s="90">
        <f t="shared" si="52"/>
        <v>85.856999999999999</v>
      </c>
      <c r="G41" s="90">
        <f t="shared" si="52"/>
        <v>85.183000000000007</v>
      </c>
      <c r="H41" s="90">
        <f t="shared" si="52"/>
        <v>171.04</v>
      </c>
      <c r="I41" s="90">
        <f t="shared" si="52"/>
        <v>83.42</v>
      </c>
      <c r="J41" s="90">
        <f t="shared" si="52"/>
        <v>79.587000000000003</v>
      </c>
      <c r="K41" s="90">
        <f t="shared" si="52"/>
        <v>163.00700000000001</v>
      </c>
      <c r="L41" s="90">
        <f t="shared" si="52"/>
        <v>79.400999999999996</v>
      </c>
      <c r="M41" s="90">
        <f t="shared" si="52"/>
        <v>92.203999999999994</v>
      </c>
      <c r="N41" s="90">
        <f t="shared" si="52"/>
        <v>171.60499999999999</v>
      </c>
      <c r="O41" s="90">
        <f t="shared" si="52"/>
        <v>86.058000000000007</v>
      </c>
      <c r="P41" s="90">
        <f t="shared" si="52"/>
        <v>92.434999999999988</v>
      </c>
      <c r="Q41" s="90">
        <f t="shared" si="52"/>
        <v>178.49299999999999</v>
      </c>
      <c r="R41" s="90">
        <f t="shared" si="52"/>
        <v>115.30800000000001</v>
      </c>
      <c r="S41" s="90">
        <f t="shared" si="52"/>
        <v>122.99800000000002</v>
      </c>
      <c r="T41" s="90">
        <f t="shared" si="52"/>
        <v>238.30600000000001</v>
      </c>
      <c r="U41" s="90">
        <f t="shared" si="52"/>
        <v>128.83699999999999</v>
      </c>
      <c r="V41" s="90">
        <f t="shared" si="52"/>
        <v>151.09200000000001</v>
      </c>
      <c r="W41" s="90">
        <f t="shared" si="52"/>
        <v>279.92899999999997</v>
      </c>
      <c r="X41" s="90">
        <f t="shared" si="52"/>
        <v>137.376</v>
      </c>
      <c r="Y41" s="90">
        <f t="shared" si="52"/>
        <v>165.67099999999999</v>
      </c>
      <c r="Z41" s="90">
        <f t="shared" si="52"/>
        <v>303.04699999999997</v>
      </c>
      <c r="AA41" s="90">
        <f t="shared" si="52"/>
        <v>151.11799999999999</v>
      </c>
      <c r="AB41" s="90">
        <f t="shared" si="52"/>
        <v>168.32300000000001</v>
      </c>
      <c r="AC41" s="90">
        <f t="shared" si="52"/>
        <v>319.44099999999997</v>
      </c>
      <c r="AD41" s="90">
        <f t="shared" si="52"/>
        <v>157.33399999999997</v>
      </c>
      <c r="AE41" s="90">
        <f t="shared" si="52"/>
        <v>177.18799999999996</v>
      </c>
      <c r="AF41" s="90">
        <f t="shared" si="52"/>
        <v>334.52199999999993</v>
      </c>
      <c r="AG41" s="90">
        <f t="shared" si="52"/>
        <v>151.83500000000001</v>
      </c>
      <c r="AH41" s="90">
        <f>AH32+AH39</f>
        <v>167.21400000000006</v>
      </c>
      <c r="AI41" s="90">
        <f t="shared" ref="AI41:AO41" si="53">AI32+AI39</f>
        <v>319.04900000000009</v>
      </c>
      <c r="AJ41" s="90">
        <f>AJ32+AJ39</f>
        <v>169.97299999999998</v>
      </c>
      <c r="AK41" s="90">
        <f>AK32+AK39</f>
        <v>221.11900000000006</v>
      </c>
      <c r="AL41" s="90">
        <f>AL32+AL39</f>
        <v>380.28300000000002</v>
      </c>
      <c r="AM41" s="90">
        <f t="shared" si="53"/>
        <v>223.79000000000005</v>
      </c>
      <c r="AN41" s="90">
        <f t="shared" si="53"/>
        <v>282.72266599999995</v>
      </c>
      <c r="AO41" s="90">
        <f t="shared" si="53"/>
        <v>506.51266599999997</v>
      </c>
      <c r="AP41" s="90">
        <f t="shared" ref="AP41:AU41" si="54">AP32+AP39</f>
        <v>310.90199999999999</v>
      </c>
      <c r="AQ41" s="90">
        <f t="shared" si="54"/>
        <v>270.56999999999994</v>
      </c>
      <c r="AR41" s="90">
        <f t="shared" si="54"/>
        <v>581.47199999999998</v>
      </c>
      <c r="AS41" s="90">
        <f t="shared" si="54"/>
        <v>321.18599999999992</v>
      </c>
      <c r="AT41" s="90">
        <f t="shared" si="54"/>
        <v>268.00500000000005</v>
      </c>
      <c r="AU41" s="90">
        <f t="shared" si="54"/>
        <v>589.19100000000003</v>
      </c>
      <c r="AV41" s="90">
        <f t="shared" ref="AV41:AX41" si="55">AV32+AV39</f>
        <v>258.66399999999999</v>
      </c>
      <c r="AW41" s="90">
        <f t="shared" si="55"/>
        <v>191.72200000000001</v>
      </c>
      <c r="AX41" s="458">
        <f t="shared" si="55"/>
        <v>450.38599999999997</v>
      </c>
      <c r="AY41" s="90">
        <f t="shared" ref="AY41:BM41" si="56">AY32+AY39</f>
        <v>199.16170703473068</v>
      </c>
      <c r="AZ41" s="90">
        <f t="shared" si="56"/>
        <v>197.38558946672993</v>
      </c>
      <c r="BA41" s="90">
        <f t="shared" si="56"/>
        <v>396.54729650146061</v>
      </c>
      <c r="BB41" s="90">
        <f t="shared" si="56"/>
        <v>243.42721702900494</v>
      </c>
      <c r="BC41" s="90">
        <f t="shared" si="56"/>
        <v>240.87814187324128</v>
      </c>
      <c r="BD41" s="90">
        <f t="shared" si="56"/>
        <v>484.30535890224621</v>
      </c>
      <c r="BE41" s="90">
        <f t="shared" si="56"/>
        <v>285.9194786734846</v>
      </c>
      <c r="BF41" s="90">
        <f t="shared" si="56"/>
        <v>281.10421664249918</v>
      </c>
      <c r="BG41" s="90">
        <f t="shared" si="56"/>
        <v>567.02369531598379</v>
      </c>
      <c r="BH41" s="90">
        <f t="shared" si="56"/>
        <v>314.95335535239974</v>
      </c>
      <c r="BI41" s="90">
        <f t="shared" si="56"/>
        <v>318.32506368593556</v>
      </c>
      <c r="BJ41" s="90">
        <f t="shared" si="56"/>
        <v>633.2784190383353</v>
      </c>
      <c r="BK41" s="90">
        <f t="shared" si="56"/>
        <v>327.79232843260343</v>
      </c>
      <c r="BL41" s="90">
        <f t="shared" si="56"/>
        <v>341.59377989770343</v>
      </c>
      <c r="BM41" s="90">
        <f t="shared" si="56"/>
        <v>669.38610833030691</v>
      </c>
      <c r="BP41"/>
      <c r="BQ41"/>
      <c r="BR41"/>
      <c r="BS41"/>
      <c r="BT41"/>
      <c r="BU41"/>
    </row>
    <row r="42" spans="1:73">
      <c r="A42" s="6" t="s">
        <v>47</v>
      </c>
      <c r="B42" s="52" t="s">
        <v>172</v>
      </c>
      <c r="C42" s="38">
        <f t="shared" ref="C42:AI42" si="57">(C44-C32)-C39</f>
        <v>-24.106000000000002</v>
      </c>
      <c r="D42" s="38">
        <f t="shared" si="57"/>
        <v>-23.438000000000002</v>
      </c>
      <c r="E42" s="38">
        <f t="shared" si="57"/>
        <v>-47.544000000000004</v>
      </c>
      <c r="F42" s="38">
        <f t="shared" si="57"/>
        <v>-26.030999999999995</v>
      </c>
      <c r="G42" s="38">
        <f t="shared" si="57"/>
        <v>-26.398000000000003</v>
      </c>
      <c r="H42" s="38">
        <f t="shared" si="57"/>
        <v>-52.428999999999995</v>
      </c>
      <c r="I42" s="38">
        <f t="shared" si="57"/>
        <v>-25.550999999999998</v>
      </c>
      <c r="J42" s="38">
        <f t="shared" si="57"/>
        <v>-24.175999999999998</v>
      </c>
      <c r="K42" s="38">
        <f t="shared" si="57"/>
        <v>-49.726999999999997</v>
      </c>
      <c r="L42" s="38">
        <f t="shared" si="57"/>
        <v>-24.468999999999994</v>
      </c>
      <c r="M42" s="38">
        <f t="shared" si="57"/>
        <v>-28.004999999999999</v>
      </c>
      <c r="N42" s="38">
        <f t="shared" si="57"/>
        <v>-52.473999999999997</v>
      </c>
      <c r="O42" s="38">
        <f t="shared" si="57"/>
        <v>-26.470000000000013</v>
      </c>
      <c r="P42" s="38">
        <f t="shared" si="57"/>
        <v>-28.99799999999998</v>
      </c>
      <c r="Q42" s="38">
        <f t="shared" si="57"/>
        <v>-55.467999999999989</v>
      </c>
      <c r="R42" s="38">
        <f t="shared" si="57"/>
        <v>-35.031000000000006</v>
      </c>
      <c r="S42" s="38">
        <f t="shared" si="57"/>
        <v>-37.719000000000008</v>
      </c>
      <c r="T42" s="38">
        <f t="shared" si="57"/>
        <v>-72.750000000000014</v>
      </c>
      <c r="U42" s="38">
        <f t="shared" si="57"/>
        <v>-38.918999999999983</v>
      </c>
      <c r="V42" s="38">
        <f t="shared" si="57"/>
        <v>-48.792000000000016</v>
      </c>
      <c r="W42" s="38">
        <f t="shared" si="57"/>
        <v>-87.710999999999999</v>
      </c>
      <c r="X42" s="38">
        <f t="shared" si="57"/>
        <v>-41.228999999999992</v>
      </c>
      <c r="Y42" s="38">
        <f t="shared" si="57"/>
        <v>-50.958999999999975</v>
      </c>
      <c r="Z42" s="38">
        <f t="shared" si="57"/>
        <v>-92.187999999999974</v>
      </c>
      <c r="AA42" s="38">
        <f t="shared" si="57"/>
        <v>-45.399999999999991</v>
      </c>
      <c r="AB42" s="38">
        <f t="shared" si="57"/>
        <v>-49.421000000000006</v>
      </c>
      <c r="AC42" s="38">
        <f t="shared" si="57"/>
        <v>-94.820999999999998</v>
      </c>
      <c r="AD42" s="38">
        <f t="shared" si="57"/>
        <v>-80.572999999999979</v>
      </c>
      <c r="AE42" s="38">
        <f t="shared" si="57"/>
        <v>-15.948999999999955</v>
      </c>
      <c r="AF42" s="38">
        <f t="shared" si="57"/>
        <v>-96.521999999999935</v>
      </c>
      <c r="AG42" s="38">
        <f t="shared" si="57"/>
        <v>-46.905000000000008</v>
      </c>
      <c r="AH42" s="38">
        <f t="shared" si="57"/>
        <v>-43.145000000000067</v>
      </c>
      <c r="AI42" s="38">
        <f t="shared" si="57"/>
        <v>-90.050000000000068</v>
      </c>
      <c r="AJ42" s="38">
        <f>(AJ44-AJ32)-AJ39</f>
        <v>-46.929999999999978</v>
      </c>
      <c r="AK42" s="38">
        <f>+AL42-AJ42</f>
        <v>-47.758000000000024</v>
      </c>
      <c r="AL42" s="91">
        <v>-94.688000000000002</v>
      </c>
      <c r="AM42" s="38">
        <f>(AM44-AM32)-AM39</f>
        <v>-59.790000000000042</v>
      </c>
      <c r="AN42" s="38">
        <f>AO42-AM42</f>
        <v>-84.69399999999996</v>
      </c>
      <c r="AO42" s="91">
        <f>-116.914-27.57</f>
        <v>-144.48400000000001</v>
      </c>
      <c r="AP42" s="38">
        <f>(AP44-AP32)-AP39</f>
        <v>-100.64300000000003</v>
      </c>
      <c r="AQ42" s="38">
        <f>AR42-AP42</f>
        <v>-76.272999999999968</v>
      </c>
      <c r="AR42" s="91">
        <f>(AR44-AR32)-AR39</f>
        <v>-176.916</v>
      </c>
      <c r="AS42" s="38">
        <f>(AS44-AS32)-AS39</f>
        <v>-97.55499999999995</v>
      </c>
      <c r="AT42" s="38">
        <f>AU42-AS42</f>
        <v>-76.11800000000008</v>
      </c>
      <c r="AU42" s="38">
        <f>(AU44-AU32)-AU39</f>
        <v>-173.67300000000003</v>
      </c>
      <c r="AV42" s="38">
        <f>(AV44-AV32)-AV39</f>
        <v>-77.788999999999987</v>
      </c>
      <c r="AW42" s="38">
        <f>AX42-AV42</f>
        <v>-33.024000000000029</v>
      </c>
      <c r="AX42" s="406">
        <f>(AX44-AX32)-AX39</f>
        <v>-110.81300000000002</v>
      </c>
      <c r="AY42" s="38">
        <f>AY72</f>
        <v>-59.092229545089062</v>
      </c>
      <c r="AZ42" s="38">
        <f>AZ72</f>
        <v>-58.134144930136443</v>
      </c>
      <c r="BA42" s="38">
        <f>SUM(AY42:AZ42)</f>
        <v>-117.2263744752255</v>
      </c>
      <c r="BB42" s="38">
        <f>BB72</f>
        <v>-71.989344815209918</v>
      </c>
      <c r="BC42" s="38">
        <f>BC72</f>
        <v>-70.677451192723524</v>
      </c>
      <c r="BD42" s="38">
        <f>SUM(BB42:BC42)</f>
        <v>-142.66679600793344</v>
      </c>
      <c r="BE42" s="38">
        <f>BE72</f>
        <v>-84.408744649729897</v>
      </c>
      <c r="BF42" s="38">
        <f>BF72</f>
        <v>-82.307379903441799</v>
      </c>
      <c r="BG42" s="38">
        <f>SUM(BE42:BF42)</f>
        <v>-166.71612455317171</v>
      </c>
      <c r="BH42" s="38">
        <f>BH72</f>
        <v>-92.492845495098649</v>
      </c>
      <c r="BI42" s="38">
        <f>BI72</f>
        <v>-92.762299329554921</v>
      </c>
      <c r="BJ42" s="38">
        <f>SUM(BH42:BI42)</f>
        <v>-185.25514482465357</v>
      </c>
      <c r="BK42" s="38">
        <f>BK72</f>
        <v>-95.962614817972792</v>
      </c>
      <c r="BL42" s="38">
        <f>BL72</f>
        <v>-99.18827861963662</v>
      </c>
      <c r="BM42" s="38">
        <f>SUM(BK42:BL42)</f>
        <v>-195.1508934376094</v>
      </c>
    </row>
    <row r="43" spans="1:73"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7"/>
      <c r="R43" s="27"/>
      <c r="S43" s="27"/>
      <c r="T43" s="27"/>
      <c r="U43" s="27"/>
      <c r="V43" s="27"/>
      <c r="W43" s="99"/>
      <c r="X43" s="99"/>
      <c r="Y43" s="99"/>
      <c r="Z43" s="99"/>
      <c r="AA43" s="38"/>
      <c r="AB43" s="38"/>
      <c r="AC43" s="38"/>
      <c r="AD43" s="38"/>
      <c r="AE43" s="38"/>
      <c r="AF43" s="38"/>
      <c r="AG43" s="38"/>
      <c r="AH43" s="38"/>
      <c r="AI43" s="38"/>
      <c r="AJ43" s="56"/>
      <c r="AK43" s="38"/>
      <c r="AL43" s="38"/>
      <c r="AM43" s="56"/>
      <c r="AN43" s="38"/>
      <c r="AO43" s="38"/>
      <c r="AP43" s="56"/>
      <c r="AQ43" s="38"/>
      <c r="AR43" s="38"/>
      <c r="AS43" s="56"/>
      <c r="AT43" s="38"/>
      <c r="AU43" s="38"/>
      <c r="AV43" s="56"/>
      <c r="AW43" s="38"/>
      <c r="AX43" s="406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</row>
    <row r="44" spans="1:73" s="13" customFormat="1">
      <c r="A44" s="13" t="s">
        <v>184</v>
      </c>
      <c r="B44" s="55" t="s">
        <v>172</v>
      </c>
      <c r="C44" s="24">
        <v>57.613999999999997</v>
      </c>
      <c r="D44" s="23">
        <f>E44-C44</f>
        <v>56.646999999999998</v>
      </c>
      <c r="E44" s="24">
        <v>114.261</v>
      </c>
      <c r="F44" s="24">
        <v>59.826000000000001</v>
      </c>
      <c r="G44" s="23">
        <f>H44-F44</f>
        <v>58.785000000000004</v>
      </c>
      <c r="H44" s="24">
        <v>118.611</v>
      </c>
      <c r="I44" s="24">
        <v>57.869</v>
      </c>
      <c r="J44" s="23">
        <f>K44-I44</f>
        <v>55.411000000000001</v>
      </c>
      <c r="K44" s="24">
        <v>113.28</v>
      </c>
      <c r="L44" s="24">
        <v>54.932000000000002</v>
      </c>
      <c r="M44" s="23">
        <f>N44-L44</f>
        <v>64.198999999999998</v>
      </c>
      <c r="N44" s="24">
        <v>119.131</v>
      </c>
      <c r="O44" s="24">
        <v>59.588000000000001</v>
      </c>
      <c r="P44" s="23">
        <f>Q44-O44</f>
        <v>63.437000000000005</v>
      </c>
      <c r="Q44" s="24">
        <v>123.02500000000001</v>
      </c>
      <c r="R44" s="334">
        <v>80.277000000000001</v>
      </c>
      <c r="S44" s="90">
        <f>T44-R44</f>
        <v>85.279000000000011</v>
      </c>
      <c r="T44" s="334">
        <v>165.55600000000001</v>
      </c>
      <c r="U44" s="24">
        <v>89.918000000000006</v>
      </c>
      <c r="V44" s="90">
        <f>W44-U44</f>
        <v>102.29999999999998</v>
      </c>
      <c r="W44" s="334">
        <v>192.21799999999999</v>
      </c>
      <c r="X44" s="334">
        <v>96.147000000000006</v>
      </c>
      <c r="Y44" s="90">
        <f>Z44-X44</f>
        <v>114.712</v>
      </c>
      <c r="Z44" s="334">
        <v>210.85900000000001</v>
      </c>
      <c r="AA44" s="334">
        <v>105.718</v>
      </c>
      <c r="AB44" s="90">
        <f>AC44-AA44</f>
        <v>118.902</v>
      </c>
      <c r="AC44" s="334">
        <v>224.62</v>
      </c>
      <c r="AD44" s="334">
        <v>76.760999999999996</v>
      </c>
      <c r="AE44" s="90">
        <f>AF44-AD44</f>
        <v>161.239</v>
      </c>
      <c r="AF44" s="334">
        <v>238</v>
      </c>
      <c r="AG44" s="334">
        <v>104.93</v>
      </c>
      <c r="AH44" s="90">
        <f>AI44-AG44</f>
        <v>124.06899999999999</v>
      </c>
      <c r="AI44" s="334">
        <v>228.999</v>
      </c>
      <c r="AJ44" s="334">
        <v>123.04300000000001</v>
      </c>
      <c r="AK44" s="90">
        <f>+AL44-AJ44</f>
        <v>162.55200000000002</v>
      </c>
      <c r="AL44" s="90">
        <f>+AL42+AL41</f>
        <v>285.59500000000003</v>
      </c>
      <c r="AM44" s="334">
        <v>164</v>
      </c>
      <c r="AN44" s="90">
        <f>AN41+AN42</f>
        <v>198.02866599999999</v>
      </c>
      <c r="AO44" s="90">
        <f>SUM(AM44:AN44)</f>
        <v>362.02866599999999</v>
      </c>
      <c r="AP44" s="334">
        <v>210.25899999999999</v>
      </c>
      <c r="AQ44" s="90">
        <f>AQ41+AQ42</f>
        <v>194.29699999999997</v>
      </c>
      <c r="AR44" s="90">
        <v>404.55599999999998</v>
      </c>
      <c r="AS44" s="334">
        <v>223.631</v>
      </c>
      <c r="AT44" s="90">
        <f>AT41+AT42</f>
        <v>191.88699999999997</v>
      </c>
      <c r="AU44" s="334">
        <v>415.51799999999997</v>
      </c>
      <c r="AV44" s="334">
        <v>180.875</v>
      </c>
      <c r="AW44" s="90">
        <f>AW41+AW42</f>
        <v>158.69799999999998</v>
      </c>
      <c r="AX44" s="399">
        <v>339.57299999999998</v>
      </c>
      <c r="AY44" s="90">
        <f>AY41+AY42</f>
        <v>140.06947748964163</v>
      </c>
      <c r="AZ44" s="90">
        <f>AZ41+AZ42</f>
        <v>139.25144453659348</v>
      </c>
      <c r="BA44" s="90">
        <f>SUM(AY44:AZ44)</f>
        <v>279.32092202623511</v>
      </c>
      <c r="BB44" s="90">
        <f>BB41+BB42</f>
        <v>171.437872213795</v>
      </c>
      <c r="BC44" s="90">
        <f>BC41+BC42</f>
        <v>170.20069068051777</v>
      </c>
      <c r="BD44" s="90">
        <f>SUM(BB44:BC44)</f>
        <v>341.63856289431277</v>
      </c>
      <c r="BE44" s="90">
        <f>BE41+BE42</f>
        <v>201.51073402375471</v>
      </c>
      <c r="BF44" s="90">
        <f>BF41+BF42</f>
        <v>198.79683673905737</v>
      </c>
      <c r="BG44" s="90">
        <f>SUM(BE44:BF44)</f>
        <v>400.30757076281208</v>
      </c>
      <c r="BH44" s="90">
        <f>BH41+BH42</f>
        <v>222.46050985730108</v>
      </c>
      <c r="BI44" s="90">
        <f>BI41+BI42</f>
        <v>225.56276435638063</v>
      </c>
      <c r="BJ44" s="90">
        <f>SUM(BH44:BI44)</f>
        <v>448.0232742136817</v>
      </c>
      <c r="BK44" s="90">
        <f>BK41+BK42</f>
        <v>231.82971361463063</v>
      </c>
      <c r="BL44" s="90">
        <f>BL41+BL42</f>
        <v>242.40550127806682</v>
      </c>
      <c r="BM44" s="90">
        <f>SUM(BK44:BL44)</f>
        <v>474.23521489269746</v>
      </c>
      <c r="BP44"/>
      <c r="BQ44"/>
      <c r="BR44"/>
      <c r="BS44"/>
      <c r="BT44"/>
      <c r="BU44"/>
    </row>
    <row r="45" spans="1:73" s="31" customFormat="1">
      <c r="A45" s="32" t="s">
        <v>48</v>
      </c>
      <c r="B45" s="52" t="s">
        <v>76</v>
      </c>
      <c r="C45" s="32"/>
      <c r="D45" s="32"/>
      <c r="E45" s="32"/>
      <c r="F45" s="32">
        <f t="shared" ref="F45:AH45" si="58">+F44/C44-1</f>
        <v>3.8393446037421564E-2</v>
      </c>
      <c r="G45" s="32">
        <f t="shared" si="58"/>
        <v>3.774251063604428E-2</v>
      </c>
      <c r="H45" s="32">
        <f t="shared" si="58"/>
        <v>3.8070732795967288E-2</v>
      </c>
      <c r="I45" s="32">
        <f t="shared" si="58"/>
        <v>-3.2711530103968212E-2</v>
      </c>
      <c r="J45" s="32">
        <f t="shared" si="58"/>
        <v>-5.7395594114144854E-2</v>
      </c>
      <c r="K45" s="32">
        <f t="shared" si="58"/>
        <v>-4.4945241166502337E-2</v>
      </c>
      <c r="L45" s="32">
        <f t="shared" si="58"/>
        <v>-5.07525618206639E-2</v>
      </c>
      <c r="M45" s="32">
        <f t="shared" si="58"/>
        <v>0.15859666853151899</v>
      </c>
      <c r="N45" s="32">
        <f t="shared" si="58"/>
        <v>5.1650776836158263E-2</v>
      </c>
      <c r="O45" s="32">
        <f t="shared" si="58"/>
        <v>8.4759338818903407E-2</v>
      </c>
      <c r="P45" s="32">
        <f t="shared" si="58"/>
        <v>-1.186934375924853E-2</v>
      </c>
      <c r="Q45" s="32">
        <f t="shared" si="58"/>
        <v>3.2686706230955931E-2</v>
      </c>
      <c r="R45" s="32">
        <f t="shared" si="58"/>
        <v>0.3472007786802711</v>
      </c>
      <c r="S45" s="32">
        <f t="shared" si="58"/>
        <v>0.34431010293677189</v>
      </c>
      <c r="T45" s="32">
        <f t="shared" si="58"/>
        <v>0.34571022149969521</v>
      </c>
      <c r="U45" s="32">
        <f t="shared" si="58"/>
        <v>0.12009666529641128</v>
      </c>
      <c r="V45" s="32">
        <f t="shared" si="58"/>
        <v>0.1995919276726974</v>
      </c>
      <c r="W45" s="32">
        <f t="shared" si="58"/>
        <v>0.16104520524777111</v>
      </c>
      <c r="X45" s="32">
        <f t="shared" si="58"/>
        <v>6.9274227629618101E-2</v>
      </c>
      <c r="Y45" s="32">
        <f t="shared" si="58"/>
        <v>0.12132942326490737</v>
      </c>
      <c r="Z45" s="32">
        <f t="shared" si="58"/>
        <v>9.6978430740097377E-2</v>
      </c>
      <c r="AA45" s="32">
        <f t="shared" si="58"/>
        <v>9.9545487638719843E-2</v>
      </c>
      <c r="AB45" s="32">
        <f t="shared" si="58"/>
        <v>3.6526257061161749E-2</v>
      </c>
      <c r="AC45" s="32">
        <f t="shared" si="58"/>
        <v>6.5261620324482239E-2</v>
      </c>
      <c r="AD45" s="32">
        <f t="shared" si="58"/>
        <v>-0.27390794377494854</v>
      </c>
      <c r="AE45" s="32">
        <f t="shared" si="58"/>
        <v>0.35606634034751306</v>
      </c>
      <c r="AF45" s="32">
        <f t="shared" si="58"/>
        <v>5.9567269165702097E-2</v>
      </c>
      <c r="AG45" s="32">
        <f t="shared" si="58"/>
        <v>0.36697020622451526</v>
      </c>
      <c r="AH45" s="32">
        <f t="shared" si="58"/>
        <v>-0.23052735380398048</v>
      </c>
      <c r="AI45" s="32">
        <f>+AI44/AF44-1</f>
        <v>-3.7819327731092423E-2</v>
      </c>
      <c r="AJ45" s="32">
        <f>+AJ44/AG44-1</f>
        <v>0.17261984179929479</v>
      </c>
      <c r="AK45" s="32">
        <f>+AK44/AH44-1</f>
        <v>0.31017417727232455</v>
      </c>
      <c r="AL45" s="32">
        <f t="shared" ref="AL45:AS45" si="59">+AL44/AI44-1</f>
        <v>0.2471451840401051</v>
      </c>
      <c r="AM45" s="32">
        <f t="shared" si="59"/>
        <v>0.33286737156928869</v>
      </c>
      <c r="AN45" s="32">
        <f t="shared" si="59"/>
        <v>0.21824810522171334</v>
      </c>
      <c r="AO45" s="32">
        <f t="shared" si="59"/>
        <v>0.26762956634394852</v>
      </c>
      <c r="AP45" s="32">
        <f t="shared" si="59"/>
        <v>0.28206707317073154</v>
      </c>
      <c r="AQ45" s="32">
        <f t="shared" si="59"/>
        <v>-1.8844069777251393E-2</v>
      </c>
      <c r="AR45" s="32">
        <f t="shared" si="59"/>
        <v>0.11746952104615938</v>
      </c>
      <c r="AS45" s="32">
        <f t="shared" si="59"/>
        <v>6.359775324718564E-2</v>
      </c>
      <c r="AT45" s="32">
        <f t="shared" ref="AT45" si="60">+AT44/AQ44-1</f>
        <v>-1.2403691256169691E-2</v>
      </c>
      <c r="AU45" s="32">
        <f t="shared" ref="AU45:AV45" si="61">+AU44/AR44-1</f>
        <v>2.7096372319283413E-2</v>
      </c>
      <c r="AV45" s="32">
        <f t="shared" si="61"/>
        <v>-0.19118995130371008</v>
      </c>
      <c r="AW45" s="32">
        <f t="shared" ref="AW45" si="62">+AW44/AT44-1</f>
        <v>-0.17296116985517518</v>
      </c>
      <c r="AX45" s="405">
        <f t="shared" ref="AX45" si="63">+AX44/AU44-1</f>
        <v>-0.18277186547875179</v>
      </c>
      <c r="AY45" s="32">
        <f t="shared" ref="AY45:BM45" si="64">+AY44/AV44-1</f>
        <v>-0.22560067732057154</v>
      </c>
      <c r="AZ45" s="32">
        <f t="shared" si="64"/>
        <v>-0.12253812564371636</v>
      </c>
      <c r="BA45" s="32">
        <f t="shared" si="64"/>
        <v>-0.17743483131392923</v>
      </c>
      <c r="BB45" s="32">
        <f t="shared" si="64"/>
        <v>0.2239488237290892</v>
      </c>
      <c r="BC45" s="32">
        <f t="shared" si="64"/>
        <v>0.22225439920511003</v>
      </c>
      <c r="BD45" s="32">
        <f t="shared" si="64"/>
        <v>0.22310409265448605</v>
      </c>
      <c r="BE45" s="32">
        <f t="shared" si="64"/>
        <v>0.17541551012985468</v>
      </c>
      <c r="BF45" s="32">
        <f t="shared" si="64"/>
        <v>0.16801427740512032</v>
      </c>
      <c r="BG45" s="32">
        <f t="shared" si="64"/>
        <v>0.17172829487240526</v>
      </c>
      <c r="BH45" s="32">
        <f t="shared" si="64"/>
        <v>0.10396357263567291</v>
      </c>
      <c r="BI45" s="32">
        <f t="shared" si="64"/>
        <v>0.13463960521895268</v>
      </c>
      <c r="BJ45" s="32">
        <f t="shared" si="64"/>
        <v>0.11919760438191118</v>
      </c>
      <c r="BK45" s="32">
        <f t="shared" si="64"/>
        <v>4.2116255884424136E-2</v>
      </c>
      <c r="BL45" s="32">
        <f t="shared" si="64"/>
        <v>7.4669846194451273E-2</v>
      </c>
      <c r="BM45" s="32">
        <f t="shared" si="64"/>
        <v>5.8505756704313905E-2</v>
      </c>
      <c r="BP45"/>
      <c r="BQ45"/>
      <c r="BR45"/>
      <c r="BS45"/>
      <c r="BT45"/>
      <c r="BU45"/>
    </row>
    <row r="46" spans="1:73">
      <c r="AJ46" s="395"/>
      <c r="AM46" s="395"/>
      <c r="AP46" s="395"/>
      <c r="AS46" s="395"/>
      <c r="AV46" s="395"/>
    </row>
    <row r="47" spans="1:73">
      <c r="A47" s="6" t="s">
        <v>49</v>
      </c>
      <c r="B47" s="52" t="s">
        <v>172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5"/>
      <c r="Q47" s="26"/>
      <c r="R47" s="26"/>
      <c r="S47" s="25"/>
      <c r="T47" s="26"/>
      <c r="U47" s="26"/>
      <c r="V47" s="25"/>
      <c r="W47" s="91"/>
      <c r="X47" s="91"/>
      <c r="Y47" s="37"/>
      <c r="Z47" s="38"/>
      <c r="AA47" s="91"/>
      <c r="AB47" s="38">
        <f>AC47-AA47</f>
        <v>0</v>
      </c>
      <c r="AC47" s="91"/>
      <c r="AD47" s="91"/>
      <c r="AE47" s="38">
        <f>AF47-AD47</f>
        <v>-37.497999999999998</v>
      </c>
      <c r="AF47" s="91">
        <f>-28.516-8.982</f>
        <v>-37.497999999999998</v>
      </c>
      <c r="AG47" s="321"/>
      <c r="AH47" s="38">
        <f>AI47-AG47</f>
        <v>0</v>
      </c>
      <c r="AI47" s="91"/>
      <c r="AJ47" s="26"/>
      <c r="AK47" s="38">
        <f>AL47-AJ47</f>
        <v>0</v>
      </c>
      <c r="AL47" s="91"/>
      <c r="AM47" s="26">
        <f>6-13</f>
        <v>-7</v>
      </c>
      <c r="AN47" s="38">
        <f>AO47-AM47</f>
        <v>9</v>
      </c>
      <c r="AO47" s="91">
        <f>15-13</f>
        <v>2</v>
      </c>
      <c r="AP47" s="26">
        <f>6.6-28.949</f>
        <v>-22.349000000000004</v>
      </c>
      <c r="AQ47" s="38">
        <f>AR47-AP47</f>
        <v>8.0980000000000008</v>
      </c>
      <c r="AR47" s="91">
        <f>16.316-28.949-1.618</f>
        <v>-14.251000000000003</v>
      </c>
      <c r="AS47" s="26">
        <v>0</v>
      </c>
      <c r="AT47" s="38">
        <f>AU47-AS47</f>
        <v>0</v>
      </c>
      <c r="AU47" s="91">
        <v>0</v>
      </c>
      <c r="AV47" s="26">
        <v>0</v>
      </c>
      <c r="AW47" s="38">
        <f>AX47-AV47</f>
        <v>-22.635999999999967</v>
      </c>
      <c r="AX47" s="406">
        <f>AX49-AX44</f>
        <v>-22.635999999999967</v>
      </c>
      <c r="AY47" s="37">
        <v>0</v>
      </c>
      <c r="AZ47" s="37">
        <v>0</v>
      </c>
      <c r="BA47" s="38">
        <f>SUM(AY47:AZ47)</f>
        <v>0</v>
      </c>
      <c r="BB47" s="37">
        <v>0</v>
      </c>
      <c r="BC47" s="37">
        <v>0</v>
      </c>
      <c r="BD47" s="38">
        <f>SUM(BB47:BC47)</f>
        <v>0</v>
      </c>
      <c r="BE47" s="37">
        <v>0</v>
      </c>
      <c r="BF47" s="37">
        <v>0</v>
      </c>
      <c r="BG47" s="38">
        <f>SUM(BE47:BF47)</f>
        <v>0</v>
      </c>
      <c r="BH47" s="37">
        <v>0</v>
      </c>
      <c r="BI47" s="37">
        <v>0</v>
      </c>
      <c r="BJ47" s="38">
        <f>SUM(BH47:BI47)</f>
        <v>0</v>
      </c>
      <c r="BK47" s="37">
        <v>0</v>
      </c>
      <c r="BL47" s="37">
        <v>0</v>
      </c>
      <c r="BM47" s="38">
        <f>SUM(BK47:BL47)</f>
        <v>0</v>
      </c>
    </row>
    <row r="48" spans="1:73">
      <c r="A48" s="6" t="s">
        <v>50</v>
      </c>
      <c r="B48" s="52" t="s">
        <v>172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5"/>
      <c r="Q48" s="26"/>
      <c r="R48" s="26"/>
      <c r="S48" s="25"/>
      <c r="T48" s="26"/>
      <c r="U48" s="26"/>
      <c r="V48" s="25"/>
      <c r="W48" s="91"/>
      <c r="X48" s="91"/>
      <c r="Y48" s="37"/>
      <c r="Z48" s="38"/>
      <c r="AA48" s="37"/>
      <c r="AB48" s="37"/>
      <c r="AC48" s="38">
        <f>SUM(AA48:AB48)</f>
        <v>0</v>
      </c>
      <c r="AD48" s="37">
        <v>0</v>
      </c>
      <c r="AE48" s="38">
        <f>AF48-AD48</f>
        <v>1.5979999999999919</v>
      </c>
      <c r="AF48" s="25">
        <f>AF49-AF44-AF47</f>
        <v>1.5979999999999919</v>
      </c>
      <c r="AG48" s="91"/>
      <c r="AH48" s="38">
        <f>AI48-AG48</f>
        <v>0</v>
      </c>
      <c r="AI48" s="91"/>
      <c r="AJ48" s="91">
        <v>0</v>
      </c>
      <c r="AK48" s="38">
        <f>AL48-AJ48</f>
        <v>0</v>
      </c>
      <c r="AL48" s="91"/>
      <c r="AM48" s="91"/>
      <c r="AN48" s="38">
        <f>AO48-AM48</f>
        <v>28</v>
      </c>
      <c r="AO48" s="91">
        <v>28</v>
      </c>
      <c r="AP48" s="91">
        <f>-6.6*0.3</f>
        <v>-1.9799999999999998</v>
      </c>
      <c r="AQ48" s="38">
        <f>AR48-AP48</f>
        <v>-0.71799999999997932</v>
      </c>
      <c r="AR48" s="91">
        <f>AR49-AR47-AR44</f>
        <v>-2.6979999999999791</v>
      </c>
      <c r="AS48" s="91">
        <f>AS49-AS47-AS44</f>
        <v>0</v>
      </c>
      <c r="AT48" s="38">
        <f>AU48-AS48</f>
        <v>3.65300000000002</v>
      </c>
      <c r="AU48" s="91">
        <f>AU49-AU47-AU44</f>
        <v>3.65300000000002</v>
      </c>
      <c r="AV48" s="38">
        <f>AV49-AV47-AV44</f>
        <v>0</v>
      </c>
      <c r="AW48" s="38">
        <f>AX48-AV48</f>
        <v>0</v>
      </c>
      <c r="AX48" s="406">
        <f>AX49-AX47-AX44</f>
        <v>0</v>
      </c>
      <c r="AY48" s="37">
        <v>0</v>
      </c>
      <c r="AZ48" s="37">
        <v>0</v>
      </c>
      <c r="BA48" s="38">
        <f>SUM(AY48:AZ48)</f>
        <v>0</v>
      </c>
      <c r="BB48" s="37">
        <v>0</v>
      </c>
      <c r="BC48" s="37">
        <v>0</v>
      </c>
      <c r="BD48" s="38">
        <f>SUM(BB48:BC48)</f>
        <v>0</v>
      </c>
      <c r="BE48" s="37">
        <v>0</v>
      </c>
      <c r="BF48" s="37">
        <v>0</v>
      </c>
      <c r="BG48" s="38">
        <f>SUM(BE48:BF48)</f>
        <v>0</v>
      </c>
      <c r="BH48" s="37">
        <v>0</v>
      </c>
      <c r="BI48" s="37">
        <v>0</v>
      </c>
      <c r="BJ48" s="38">
        <f>SUM(BH48:BI48)</f>
        <v>0</v>
      </c>
      <c r="BK48" s="37">
        <v>0</v>
      </c>
      <c r="BL48" s="37">
        <v>0</v>
      </c>
      <c r="BM48" s="38">
        <f>SUM(BK48:BL48)</f>
        <v>0</v>
      </c>
    </row>
    <row r="49" spans="1:73">
      <c r="A49" s="13" t="s">
        <v>51</v>
      </c>
      <c r="B49" s="55" t="s">
        <v>172</v>
      </c>
      <c r="C49" s="90">
        <f t="shared" ref="C49:X49" si="65">C44+C47+C48</f>
        <v>57.613999999999997</v>
      </c>
      <c r="D49" s="90">
        <f t="shared" si="65"/>
        <v>56.646999999999998</v>
      </c>
      <c r="E49" s="90">
        <f t="shared" si="65"/>
        <v>114.261</v>
      </c>
      <c r="F49" s="90">
        <f t="shared" si="65"/>
        <v>59.826000000000001</v>
      </c>
      <c r="G49" s="90">
        <f t="shared" si="65"/>
        <v>58.785000000000004</v>
      </c>
      <c r="H49" s="90">
        <f t="shared" si="65"/>
        <v>118.611</v>
      </c>
      <c r="I49" s="90">
        <f t="shared" si="65"/>
        <v>57.869</v>
      </c>
      <c r="J49" s="90">
        <f t="shared" si="65"/>
        <v>55.411000000000001</v>
      </c>
      <c r="K49" s="90">
        <f t="shared" si="65"/>
        <v>113.28</v>
      </c>
      <c r="L49" s="90">
        <f t="shared" si="65"/>
        <v>54.932000000000002</v>
      </c>
      <c r="M49" s="90">
        <f t="shared" si="65"/>
        <v>64.198999999999998</v>
      </c>
      <c r="N49" s="90">
        <f t="shared" si="65"/>
        <v>119.131</v>
      </c>
      <c r="O49" s="90">
        <f t="shared" si="65"/>
        <v>59.588000000000001</v>
      </c>
      <c r="P49" s="90">
        <f t="shared" si="65"/>
        <v>63.437000000000005</v>
      </c>
      <c r="Q49" s="90">
        <f t="shared" si="65"/>
        <v>123.02500000000001</v>
      </c>
      <c r="R49" s="90">
        <f t="shared" si="65"/>
        <v>80.277000000000001</v>
      </c>
      <c r="S49" s="90">
        <f t="shared" si="65"/>
        <v>85.279000000000011</v>
      </c>
      <c r="T49" s="90">
        <f t="shared" si="65"/>
        <v>165.55600000000001</v>
      </c>
      <c r="U49" s="90">
        <f t="shared" si="65"/>
        <v>89.918000000000006</v>
      </c>
      <c r="V49" s="90">
        <f t="shared" si="65"/>
        <v>102.29999999999998</v>
      </c>
      <c r="W49" s="90">
        <f t="shared" si="65"/>
        <v>192.21799999999999</v>
      </c>
      <c r="X49" s="90">
        <f t="shared" si="65"/>
        <v>96.147000000000006</v>
      </c>
      <c r="Y49" s="90">
        <f>Z49-X49</f>
        <v>114.712</v>
      </c>
      <c r="Z49" s="90">
        <f t="shared" ref="Z49:AO49" si="66">Z44+Z47+Z48</f>
        <v>210.85900000000001</v>
      </c>
      <c r="AA49" s="90">
        <f t="shared" si="66"/>
        <v>105.718</v>
      </c>
      <c r="AB49" s="90">
        <f t="shared" si="66"/>
        <v>118.902</v>
      </c>
      <c r="AC49" s="90">
        <f t="shared" si="66"/>
        <v>224.62</v>
      </c>
      <c r="AD49" s="90">
        <f t="shared" si="66"/>
        <v>76.760999999999996</v>
      </c>
      <c r="AE49" s="90">
        <f t="shared" si="66"/>
        <v>125.339</v>
      </c>
      <c r="AF49" s="334">
        <v>202.1</v>
      </c>
      <c r="AG49" s="90">
        <f t="shared" si="66"/>
        <v>104.93</v>
      </c>
      <c r="AH49" s="90">
        <f t="shared" si="66"/>
        <v>124.06899999999999</v>
      </c>
      <c r="AI49" s="90">
        <f t="shared" si="66"/>
        <v>228.999</v>
      </c>
      <c r="AJ49" s="90">
        <f t="shared" si="66"/>
        <v>123.04300000000001</v>
      </c>
      <c r="AK49" s="90">
        <f>AK44+AK47+AK48</f>
        <v>162.55200000000002</v>
      </c>
      <c r="AL49" s="90">
        <f>AL44+AL47+AL48</f>
        <v>285.59500000000003</v>
      </c>
      <c r="AM49" s="90">
        <f>AM44+AM47+AM48</f>
        <v>157</v>
      </c>
      <c r="AN49" s="90">
        <f t="shared" si="66"/>
        <v>235.02866599999999</v>
      </c>
      <c r="AO49" s="90">
        <f t="shared" si="66"/>
        <v>392.02866599999999</v>
      </c>
      <c r="AP49" s="90">
        <f>AP44+AP47+AP48</f>
        <v>185.92999999999998</v>
      </c>
      <c r="AQ49" s="90">
        <f>AQ44+AQ47+AQ48</f>
        <v>201.67699999999999</v>
      </c>
      <c r="AR49" s="90">
        <v>387.60700000000003</v>
      </c>
      <c r="AS49" s="90">
        <v>223.631</v>
      </c>
      <c r="AT49" s="90">
        <f>AT44+AT47+AT48</f>
        <v>195.54</v>
      </c>
      <c r="AU49" s="334">
        <v>419.17099999999999</v>
      </c>
      <c r="AV49" s="334">
        <v>180.875</v>
      </c>
      <c r="AW49" s="90">
        <f>AW44+AW47+AW48</f>
        <v>136.06200000000001</v>
      </c>
      <c r="AX49" s="458">
        <v>316.93700000000001</v>
      </c>
      <c r="AY49" s="90">
        <f t="shared" ref="AY49:BM49" si="67">AY44+AY47+AY48</f>
        <v>140.06947748964163</v>
      </c>
      <c r="AZ49" s="90">
        <f t="shared" si="67"/>
        <v>139.25144453659348</v>
      </c>
      <c r="BA49" s="90">
        <f t="shared" si="67"/>
        <v>279.32092202623511</v>
      </c>
      <c r="BB49" s="90">
        <f t="shared" si="67"/>
        <v>171.437872213795</v>
      </c>
      <c r="BC49" s="90">
        <f t="shared" si="67"/>
        <v>170.20069068051777</v>
      </c>
      <c r="BD49" s="90">
        <f t="shared" si="67"/>
        <v>341.63856289431277</v>
      </c>
      <c r="BE49" s="90">
        <f t="shared" si="67"/>
        <v>201.51073402375471</v>
      </c>
      <c r="BF49" s="90">
        <f t="shared" si="67"/>
        <v>198.79683673905737</v>
      </c>
      <c r="BG49" s="90">
        <f t="shared" si="67"/>
        <v>400.30757076281208</v>
      </c>
      <c r="BH49" s="90">
        <f t="shared" si="67"/>
        <v>222.46050985730108</v>
      </c>
      <c r="BI49" s="90">
        <f t="shared" si="67"/>
        <v>225.56276435638063</v>
      </c>
      <c r="BJ49" s="90">
        <f t="shared" si="67"/>
        <v>448.0232742136817</v>
      </c>
      <c r="BK49" s="90">
        <f t="shared" si="67"/>
        <v>231.82971361463063</v>
      </c>
      <c r="BL49" s="90">
        <f t="shared" si="67"/>
        <v>242.40550127806682</v>
      </c>
      <c r="BM49" s="90">
        <f t="shared" si="67"/>
        <v>474.23521489269746</v>
      </c>
    </row>
    <row r="50" spans="1:73">
      <c r="A50" s="13"/>
      <c r="R50" s="56"/>
      <c r="AE50" s="31"/>
      <c r="AG50" s="27"/>
    </row>
    <row r="51" spans="1:73" s="12" customFormat="1">
      <c r="A51" s="85" t="s">
        <v>98</v>
      </c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459"/>
      <c r="BP51"/>
      <c r="BQ51"/>
      <c r="BR51"/>
      <c r="BS51"/>
      <c r="BT51"/>
      <c r="BU51"/>
    </row>
    <row r="52" spans="1:73">
      <c r="A52" s="58" t="s">
        <v>8</v>
      </c>
    </row>
    <row r="53" spans="1:73">
      <c r="A53" s="89" t="s">
        <v>469</v>
      </c>
      <c r="B53" s="52" t="s">
        <v>76</v>
      </c>
      <c r="C53" s="75" t="str">
        <f>IFERROR(C9/#REF!-1,"n.m.")</f>
        <v>n.m.</v>
      </c>
      <c r="D53" s="75" t="str">
        <f t="shared" ref="D53:H55" si="68">IFERROR(D9/A9-1,"n.m.")</f>
        <v>n.m.</v>
      </c>
      <c r="E53" s="344" t="str">
        <f t="shared" si="68"/>
        <v>n.m.</v>
      </c>
      <c r="F53" s="344">
        <f t="shared" si="68"/>
        <v>3.5236386798216612E-2</v>
      </c>
      <c r="G53" s="344">
        <f t="shared" si="68"/>
        <v>4.5001545906616203E-2</v>
      </c>
      <c r="H53" s="344">
        <f t="shared" si="68"/>
        <v>4.0005001706034049E-2</v>
      </c>
      <c r="I53" s="344" t="str">
        <f>IFERROR(I9/#REF!-1,"n.m.")</f>
        <v>n.m.</v>
      </c>
      <c r="J53" s="344" t="str">
        <f>IFERROR(J9/#REF!-1,"n.m.")</f>
        <v>n.m.</v>
      </c>
      <c r="K53" s="344">
        <f t="shared" ref="K53:T55" si="69">IFERROR(K9/H9-1,"n.m.")</f>
        <v>-2.8860334323761117E-2</v>
      </c>
      <c r="L53" s="344">
        <f t="shared" si="69"/>
        <v>-5.0118191259580502E-3</v>
      </c>
      <c r="M53" s="344">
        <f t="shared" si="69"/>
        <v>2.7671097712882231E-2</v>
      </c>
      <c r="N53" s="344">
        <f t="shared" si="69"/>
        <v>1.0780984216733902E-2</v>
      </c>
      <c r="O53" s="344">
        <f t="shared" si="69"/>
        <v>7.6884064281798947E-2</v>
      </c>
      <c r="P53" s="344">
        <f t="shared" si="69"/>
        <v>0.2399869507443646</v>
      </c>
      <c r="Q53" s="344">
        <f t="shared" si="69"/>
        <v>0.15701443372046509</v>
      </c>
      <c r="R53" s="344">
        <f t="shared" si="69"/>
        <v>0.24874055116050076</v>
      </c>
      <c r="S53" s="344">
        <f t="shared" si="69"/>
        <v>0.10705515960951084</v>
      </c>
      <c r="T53" s="344">
        <f t="shared" si="69"/>
        <v>0.17414053683928388</v>
      </c>
      <c r="U53" s="344">
        <f t="shared" ref="U53:AD55" si="70">IFERROR(U9/R9-1,"n.m.")</f>
        <v>8.6794616360443388E-2</v>
      </c>
      <c r="V53" s="344">
        <f t="shared" si="70"/>
        <v>9.6693948211435732E-2</v>
      </c>
      <c r="W53" s="344">
        <f t="shared" si="70"/>
        <v>9.1708998200590086E-2</v>
      </c>
      <c r="X53" s="344">
        <f t="shared" si="70"/>
        <v>6.0949234530684349E-2</v>
      </c>
      <c r="Y53" s="344">
        <f t="shared" si="70"/>
        <v>7.3468384625751781E-2</v>
      </c>
      <c r="Z53" s="344">
        <f t="shared" si="70"/>
        <v>6.7192566355042338E-2</v>
      </c>
      <c r="AA53" s="344">
        <f t="shared" si="70"/>
        <v>0.10045998904748643</v>
      </c>
      <c r="AB53" s="344">
        <f t="shared" si="70"/>
        <v>0.11295015862126712</v>
      </c>
      <c r="AC53" s="344">
        <f t="shared" si="70"/>
        <v>0.10672549825938016</v>
      </c>
      <c r="AD53" s="344">
        <f t="shared" si="70"/>
        <v>9.9684306758357266E-2</v>
      </c>
      <c r="AE53" s="344">
        <f t="shared" ref="AE53:AP55" si="71">IFERROR(AE9/AB9-1,"n.m.")</f>
        <v>3.7833912126641556E-2</v>
      </c>
      <c r="AF53" s="344">
        <f t="shared" si="71"/>
        <v>6.8483464852769682E-2</v>
      </c>
      <c r="AG53" s="344">
        <f t="shared" si="71"/>
        <v>2.4980957139231208E-4</v>
      </c>
      <c r="AH53" s="344">
        <f t="shared" si="71"/>
        <v>1.1930379949175451E-2</v>
      </c>
      <c r="AI53" s="344">
        <f t="shared" si="71"/>
        <v>5.9731284064219459E-3</v>
      </c>
      <c r="AJ53" s="344">
        <f t="shared" si="71"/>
        <v>6.7248864196216784E-2</v>
      </c>
      <c r="AK53" s="344">
        <f t="shared" ref="AK53:AL55" si="72">IFERROR(AK9/AH9-1,"n.m.")</f>
        <v>0.11611330154397415</v>
      </c>
      <c r="AL53" s="344">
        <f t="shared" si="72"/>
        <v>9.1333553413351032E-2</v>
      </c>
      <c r="AM53" s="344">
        <f t="shared" si="71"/>
        <v>0.10825148302402621</v>
      </c>
      <c r="AN53" s="344">
        <f t="shared" si="71"/>
        <v>0.12259170380527951</v>
      </c>
      <c r="AO53" s="344">
        <f>IFERROR(AO9/AL9-1,"n.m.")</f>
        <v>0.11548009242186974</v>
      </c>
      <c r="AP53" s="344">
        <f t="shared" si="71"/>
        <v>0.11214918224494519</v>
      </c>
      <c r="AQ53" s="344">
        <f t="shared" ref="AQ53:AS55" si="73">IFERROR(AQ9/AN9-1,"n.m.")</f>
        <v>7.8786567951152575E-2</v>
      </c>
      <c r="AR53" s="344">
        <f t="shared" si="73"/>
        <v>9.5224559408755072E-2</v>
      </c>
      <c r="AS53" s="344">
        <f t="shared" si="73"/>
        <v>2.2752596828611305E-2</v>
      </c>
      <c r="AT53" s="344">
        <f t="shared" ref="AT53:AT55" si="74">IFERROR(AT9/AQ9-1,"n.m.")</f>
        <v>-2.6417675705773247E-2</v>
      </c>
      <c r="AU53" s="344">
        <f t="shared" ref="AU53:AV55" si="75">IFERROR(AU9/AR9-1,"n.m.")</f>
        <v>-1.8167661562419335E-3</v>
      </c>
      <c r="AV53" s="344">
        <f t="shared" si="75"/>
        <v>4.4400554474368636E-3</v>
      </c>
      <c r="AW53" s="344">
        <f t="shared" ref="AW53:AW55" si="76">IFERROR(AW9/AT9-1,"n.m.")</f>
        <v>1.4535828207701273E-2</v>
      </c>
      <c r="AX53" s="410">
        <f t="shared" ref="AX53:AX55" si="77">IFERROR(AX9/AU9-1,"n.m.")</f>
        <v>9.3603744149766133E-3</v>
      </c>
      <c r="AY53" s="344">
        <f t="shared" ref="AY53:BM55" si="78">IFERROR(AY9/AV9-1,"n.m.")</f>
        <v>4.0055389737895908E-2</v>
      </c>
      <c r="AZ53" s="344">
        <f t="shared" si="78"/>
        <v>5.297449886668093E-2</v>
      </c>
      <c r="BA53" s="344">
        <f t="shared" si="78"/>
        <v>4.6383986068561756E-2</v>
      </c>
      <c r="BB53" s="344">
        <f t="shared" si="78"/>
        <v>5.78356554042041E-2</v>
      </c>
      <c r="BC53" s="344">
        <f t="shared" si="78"/>
        <v>5.0458565439613023E-2</v>
      </c>
      <c r="BD53" s="344">
        <f t="shared" si="78"/>
        <v>5.4199129571345983E-2</v>
      </c>
      <c r="BE53" s="344">
        <f t="shared" si="78"/>
        <v>5.6773595069024685E-2</v>
      </c>
      <c r="BF53" s="344">
        <f t="shared" si="78"/>
        <v>4.7196508128155568E-2</v>
      </c>
      <c r="BG53" s="344">
        <f t="shared" si="78"/>
        <v>5.2069335244410375E-2</v>
      </c>
      <c r="BH53" s="344">
        <f t="shared" si="78"/>
        <v>2.4000000000000021E-2</v>
      </c>
      <c r="BI53" s="344">
        <f t="shared" si="78"/>
        <v>2.4000000000000021E-2</v>
      </c>
      <c r="BJ53" s="344">
        <f t="shared" si="78"/>
        <v>2.3999999999999799E-2</v>
      </c>
      <c r="BK53" s="344">
        <f t="shared" si="78"/>
        <v>1.4000000000000012E-2</v>
      </c>
      <c r="BL53" s="344">
        <f t="shared" si="78"/>
        <v>1.5012227635462283E-2</v>
      </c>
      <c r="BM53" s="344">
        <f t="shared" si="78"/>
        <v>1.4494902769014439E-2</v>
      </c>
    </row>
    <row r="54" spans="1:73">
      <c r="A54" s="89" t="s">
        <v>470</v>
      </c>
      <c r="B54" s="52" t="s">
        <v>76</v>
      </c>
      <c r="C54" s="75" t="str">
        <f>IFERROR(C10/#REF!-1,"n.m.")</f>
        <v>n.m.</v>
      </c>
      <c r="D54" s="75" t="str">
        <f t="shared" si="68"/>
        <v>n.m.</v>
      </c>
      <c r="E54" s="344" t="str">
        <f t="shared" si="68"/>
        <v>n.m.</v>
      </c>
      <c r="F54" s="344" t="str">
        <f t="shared" si="68"/>
        <v>n.m.</v>
      </c>
      <c r="G54" s="344" t="str">
        <f t="shared" si="68"/>
        <v>n.m.</v>
      </c>
      <c r="H54" s="344" t="str">
        <f t="shared" si="68"/>
        <v>n.m.</v>
      </c>
      <c r="I54" s="344" t="str">
        <f>IFERROR(I10/#REF!-1,"n.m.")</f>
        <v>n.m.</v>
      </c>
      <c r="J54" s="344" t="str">
        <f>IFERROR(J10/#REF!-1,"n.m.")</f>
        <v>n.m.</v>
      </c>
      <c r="K54" s="344" t="str">
        <f t="shared" si="69"/>
        <v>n.m.</v>
      </c>
      <c r="L54" s="344" t="str">
        <f t="shared" si="69"/>
        <v>n.m.</v>
      </c>
      <c r="M54" s="344" t="str">
        <f t="shared" si="69"/>
        <v>n.m.</v>
      </c>
      <c r="N54" s="344" t="str">
        <f t="shared" si="69"/>
        <v>n.m.</v>
      </c>
      <c r="O54" s="344" t="str">
        <f t="shared" si="69"/>
        <v>n.m.</v>
      </c>
      <c r="P54" s="344" t="str">
        <f t="shared" si="69"/>
        <v>n.m.</v>
      </c>
      <c r="Q54" s="344" t="str">
        <f t="shared" si="69"/>
        <v>n.m.</v>
      </c>
      <c r="R54" s="344" t="str">
        <f t="shared" si="69"/>
        <v>n.m.</v>
      </c>
      <c r="S54" s="344" t="str">
        <f t="shared" si="69"/>
        <v>n.m.</v>
      </c>
      <c r="T54" s="344" t="str">
        <f t="shared" si="69"/>
        <v>n.m.</v>
      </c>
      <c r="U54" s="344" t="str">
        <f t="shared" si="70"/>
        <v>n.m.</v>
      </c>
      <c r="V54" s="344" t="str">
        <f t="shared" si="70"/>
        <v>n.m.</v>
      </c>
      <c r="W54" s="344" t="str">
        <f t="shared" si="70"/>
        <v>n.m.</v>
      </c>
      <c r="X54" s="344" t="str">
        <f t="shared" si="70"/>
        <v>n.m.</v>
      </c>
      <c r="Y54" s="344" t="str">
        <f t="shared" si="70"/>
        <v>n.m.</v>
      </c>
      <c r="Z54" s="344" t="str">
        <f t="shared" si="70"/>
        <v>n.m.</v>
      </c>
      <c r="AA54" s="344" t="str">
        <f t="shared" si="70"/>
        <v>n.m.</v>
      </c>
      <c r="AB54" s="344" t="str">
        <f t="shared" si="70"/>
        <v>n.m.</v>
      </c>
      <c r="AC54" s="344" t="str">
        <f t="shared" si="70"/>
        <v>n.m.</v>
      </c>
      <c r="AD54" s="344" t="str">
        <f t="shared" si="70"/>
        <v>n.m.</v>
      </c>
      <c r="AE54" s="344" t="str">
        <f t="shared" si="71"/>
        <v>n.m.</v>
      </c>
      <c r="AF54" s="344" t="str">
        <f t="shared" si="71"/>
        <v>n.m.</v>
      </c>
      <c r="AG54" s="344">
        <f t="shared" si="71"/>
        <v>0.19399342746833037</v>
      </c>
      <c r="AH54" s="344">
        <f t="shared" si="71"/>
        <v>0.21049594207576239</v>
      </c>
      <c r="AI54" s="344">
        <f t="shared" si="71"/>
        <v>0.20253550480474036</v>
      </c>
      <c r="AJ54" s="344">
        <f t="shared" si="71"/>
        <v>8.897289508122741E-3</v>
      </c>
      <c r="AK54" s="344">
        <f t="shared" si="72"/>
        <v>-1.2464236279848051E-2</v>
      </c>
      <c r="AL54" s="344">
        <f t="shared" si="72"/>
        <v>-2.2331182057713228E-3</v>
      </c>
      <c r="AM54" s="344">
        <f t="shared" si="71"/>
        <v>0.2367409562649303</v>
      </c>
      <c r="AN54" s="344">
        <f t="shared" si="71"/>
        <v>0.41167680409901886</v>
      </c>
      <c r="AO54" s="344">
        <f>IFERROR(AO10/AL10-1,"n.m.")</f>
        <v>0.326956498862494</v>
      </c>
      <c r="AP54" s="344">
        <f t="shared" si="71"/>
        <v>0.33890954748566848</v>
      </c>
      <c r="AQ54" s="344">
        <f t="shared" si="73"/>
        <v>9.6064944371044181E-2</v>
      </c>
      <c r="AR54" s="344">
        <f t="shared" si="73"/>
        <v>0.20567722437137315</v>
      </c>
      <c r="AS54" s="344">
        <f t="shared" si="73"/>
        <v>2.6453519307844564E-2</v>
      </c>
      <c r="AT54" s="344">
        <f t="shared" si="74"/>
        <v>8.2905698020246055E-2</v>
      </c>
      <c r="AU54" s="344">
        <f t="shared" si="75"/>
        <v>5.4609268168547498E-2</v>
      </c>
      <c r="AV54" s="344">
        <f t="shared" si="75"/>
        <v>-5.5952895065471964E-2</v>
      </c>
      <c r="AW54" s="344">
        <f t="shared" si="76"/>
        <v>-7.202252681073662E-3</v>
      </c>
      <c r="AX54" s="410">
        <f t="shared" si="77"/>
        <v>-3.0985928883818237E-2</v>
      </c>
      <c r="AY54" s="344">
        <f t="shared" si="78"/>
        <v>4.8226891782495063E-2</v>
      </c>
      <c r="AZ54" s="344">
        <f t="shared" si="78"/>
        <v>2.0278094530703727E-2</v>
      </c>
      <c r="BA54" s="344">
        <f t="shared" si="78"/>
        <v>3.3561986813976707E-2</v>
      </c>
      <c r="BB54" s="344">
        <f t="shared" si="78"/>
        <v>3.4810025856535143E-2</v>
      </c>
      <c r="BC54" s="344">
        <f t="shared" si="78"/>
        <v>3.7995456532179395E-2</v>
      </c>
      <c r="BD54" s="344">
        <f t="shared" si="78"/>
        <v>3.6459958906821743E-2</v>
      </c>
      <c r="BE54" s="344">
        <f t="shared" si="78"/>
        <v>5.1172965642240831E-2</v>
      </c>
      <c r="BF54" s="344">
        <f t="shared" si="78"/>
        <v>5.1334155520387448E-2</v>
      </c>
      <c r="BG54" s="344">
        <f t="shared" si="78"/>
        <v>5.1256579614264552E-2</v>
      </c>
      <c r="BH54" s="344">
        <f t="shared" si="78"/>
        <v>4.1384965642240035E-2</v>
      </c>
      <c r="BI54" s="344">
        <f t="shared" si="78"/>
        <v>3.8960930383550529E-2</v>
      </c>
      <c r="BJ54" s="344">
        <f t="shared" si="78"/>
        <v>4.0127453847206951E-2</v>
      </c>
      <c r="BK54" s="344">
        <f t="shared" si="78"/>
        <v>1.5700965642240439E-2</v>
      </c>
      <c r="BL54" s="344">
        <f t="shared" si="78"/>
        <v>2.3291802605312162E-2</v>
      </c>
      <c r="BM54" s="344">
        <f t="shared" si="78"/>
        <v>1.9634432137537239E-2</v>
      </c>
    </row>
    <row r="55" spans="1:73" s="13" customFormat="1">
      <c r="A55" s="54" t="s">
        <v>161</v>
      </c>
      <c r="B55" s="55" t="s">
        <v>76</v>
      </c>
      <c r="C55" s="345" t="str">
        <f>IFERROR(C11/#REF!-1,"n.m.")</f>
        <v>n.m.</v>
      </c>
      <c r="D55" s="345" t="str">
        <f t="shared" si="68"/>
        <v>n.m.</v>
      </c>
      <c r="E55" s="346" t="str">
        <f t="shared" si="68"/>
        <v>n.m.</v>
      </c>
      <c r="F55" s="346">
        <f t="shared" si="68"/>
        <v>3.5236386798216612E-2</v>
      </c>
      <c r="G55" s="346">
        <f t="shared" si="68"/>
        <v>4.5001545906616203E-2</v>
      </c>
      <c r="H55" s="346">
        <f t="shared" si="68"/>
        <v>4.0005001706034049E-2</v>
      </c>
      <c r="I55" s="346" t="str">
        <f>IFERROR(I11/#REF!-1,"n.m.")</f>
        <v>n.m.</v>
      </c>
      <c r="J55" s="346" t="str">
        <f>IFERROR(J11/#REF!-1,"n.m.")</f>
        <v>n.m.</v>
      </c>
      <c r="K55" s="346">
        <f t="shared" si="69"/>
        <v>-2.8860334323761117E-2</v>
      </c>
      <c r="L55" s="346">
        <f t="shared" si="69"/>
        <v>-5.0118191259580502E-3</v>
      </c>
      <c r="M55" s="346">
        <f t="shared" si="69"/>
        <v>2.7671097712882231E-2</v>
      </c>
      <c r="N55" s="346">
        <f t="shared" si="69"/>
        <v>1.0780984216733902E-2</v>
      </c>
      <c r="O55" s="346">
        <f t="shared" si="69"/>
        <v>7.6884064281798947E-2</v>
      </c>
      <c r="P55" s="346">
        <f t="shared" si="69"/>
        <v>0.2399869507443646</v>
      </c>
      <c r="Q55" s="346">
        <f t="shared" si="69"/>
        <v>0.15701443372046509</v>
      </c>
      <c r="R55" s="346">
        <f t="shared" si="69"/>
        <v>0.24874055116050076</v>
      </c>
      <c r="S55" s="346">
        <f t="shared" si="69"/>
        <v>0.10705515960951084</v>
      </c>
      <c r="T55" s="346">
        <f t="shared" si="69"/>
        <v>0.17414053683928388</v>
      </c>
      <c r="U55" s="346">
        <f t="shared" si="70"/>
        <v>8.6794616360443388E-2</v>
      </c>
      <c r="V55" s="346">
        <f t="shared" si="70"/>
        <v>9.6693948211435732E-2</v>
      </c>
      <c r="W55" s="346">
        <f t="shared" si="70"/>
        <v>9.1708998200590086E-2</v>
      </c>
      <c r="X55" s="346">
        <f t="shared" si="70"/>
        <v>6.0949234530684349E-2</v>
      </c>
      <c r="Y55" s="346">
        <f t="shared" si="70"/>
        <v>7.3468384625751781E-2</v>
      </c>
      <c r="Z55" s="346">
        <f t="shared" si="70"/>
        <v>6.7192566355042338E-2</v>
      </c>
      <c r="AA55" s="346">
        <f t="shared" si="70"/>
        <v>0.10045998904748643</v>
      </c>
      <c r="AB55" s="346">
        <f t="shared" si="70"/>
        <v>0.11295015862126712</v>
      </c>
      <c r="AC55" s="346">
        <f t="shared" si="70"/>
        <v>0.10672549825938016</v>
      </c>
      <c r="AD55" s="346">
        <f t="shared" si="70"/>
        <v>1.0402294968273056</v>
      </c>
      <c r="AE55" s="346">
        <f t="shared" si="71"/>
        <v>1.0292685084828244</v>
      </c>
      <c r="AF55" s="346">
        <f t="shared" si="71"/>
        <v>1.0347001535385276</v>
      </c>
      <c r="AG55" s="346">
        <f t="shared" si="71"/>
        <v>8.9565559688177032E-2</v>
      </c>
      <c r="AH55" s="346">
        <f t="shared" si="71"/>
        <v>0.1089430557553932</v>
      </c>
      <c r="AI55" s="346">
        <f t="shared" si="71"/>
        <v>9.9314571426168952E-2</v>
      </c>
      <c r="AJ55" s="346">
        <f t="shared" si="71"/>
        <v>3.7770607644070919E-2</v>
      </c>
      <c r="AK55" s="346">
        <f t="shared" si="72"/>
        <v>4.7541785533963266E-2</v>
      </c>
      <c r="AL55" s="346">
        <f t="shared" si="72"/>
        <v>4.2729641998217049E-2</v>
      </c>
      <c r="AM55" s="346">
        <f t="shared" si="71"/>
        <v>0.17135627675260889</v>
      </c>
      <c r="AN55" s="346">
        <f t="shared" si="71"/>
        <v>0.26793192988558023</v>
      </c>
      <c r="AO55" s="346">
        <f>IFERROR(AO11/AL11-1,"n.m.")</f>
        <v>0.22059621356829684</v>
      </c>
      <c r="AP55" s="346">
        <f t="shared" si="71"/>
        <v>0.2297341176228771</v>
      </c>
      <c r="AQ55" s="346">
        <f t="shared" si="73"/>
        <v>8.8458258537238654E-2</v>
      </c>
      <c r="AR55" s="346">
        <f t="shared" si="73"/>
        <v>0.15490998170891035</v>
      </c>
      <c r="AS55" s="346">
        <f t="shared" si="73"/>
        <v>2.4842059137756944E-2</v>
      </c>
      <c r="AT55" s="346">
        <f t="shared" si="74"/>
        <v>3.5204495703123451E-2</v>
      </c>
      <c r="AU55" s="346">
        <f t="shared" si="75"/>
        <v>3.0014544642504637E-2</v>
      </c>
      <c r="AV55" s="346">
        <f t="shared" si="75"/>
        <v>-2.9710136463025227E-2</v>
      </c>
      <c r="AW55" s="346">
        <f t="shared" si="76"/>
        <v>1.7181412111537675E-3</v>
      </c>
      <c r="AX55" s="411">
        <f t="shared" si="77"/>
        <v>-1.3943437671608994E-2</v>
      </c>
      <c r="AY55" s="346">
        <f t="shared" si="78"/>
        <v>4.4551127439859339E-2</v>
      </c>
      <c r="AZ55" s="346">
        <f t="shared" si="78"/>
        <v>3.3867006221388829E-2</v>
      </c>
      <c r="BA55" s="346">
        <f t="shared" si="78"/>
        <v>3.9106066967985686E-2</v>
      </c>
      <c r="BB55" s="346">
        <f t="shared" si="78"/>
        <v>4.5123002797736733E-2</v>
      </c>
      <c r="BC55" s="346">
        <f t="shared" si="78"/>
        <v>4.3270964078274243E-2</v>
      </c>
      <c r="BD55" s="346">
        <f t="shared" si="78"/>
        <v>4.4183887839718938E-2</v>
      </c>
      <c r="BE55" s="346">
        <f t="shared" si="78"/>
        <v>5.3711950824143706E-2</v>
      </c>
      <c r="BF55" s="346">
        <f t="shared" si="78"/>
        <v>4.9570664947726994E-2</v>
      </c>
      <c r="BG55" s="346">
        <f t="shared" si="78"/>
        <v>5.1613861180499043E-2</v>
      </c>
      <c r="BH55" s="346">
        <f t="shared" si="78"/>
        <v>3.3480778528522714E-2</v>
      </c>
      <c r="BI55" s="346">
        <f t="shared" si="78"/>
        <v>3.2598914217070174E-2</v>
      </c>
      <c r="BJ55" s="346">
        <f t="shared" si="78"/>
        <v>3.303486979536463E-2</v>
      </c>
      <c r="BK55" s="346">
        <f t="shared" si="78"/>
        <v>1.4934705086506739E-2</v>
      </c>
      <c r="BL55" s="346">
        <f t="shared" si="78"/>
        <v>1.9800298943815964E-2</v>
      </c>
      <c r="BM55" s="346">
        <f t="shared" si="78"/>
        <v>1.7393921496379194E-2</v>
      </c>
      <c r="BP55"/>
      <c r="BQ55"/>
      <c r="BR55"/>
      <c r="BS55"/>
      <c r="BT55"/>
      <c r="BU55"/>
    </row>
    <row r="56" spans="1:73">
      <c r="A56" s="58" t="s">
        <v>474</v>
      </c>
      <c r="B56" s="52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403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</row>
    <row r="57" spans="1:73">
      <c r="A57" s="89" t="s">
        <v>469</v>
      </c>
      <c r="B57" s="52" t="s">
        <v>76</v>
      </c>
      <c r="C57" s="27">
        <f>+ANZ!C12</f>
        <v>0</v>
      </c>
      <c r="D57" s="27">
        <f>+ANZ!D12</f>
        <v>0</v>
      </c>
      <c r="E57" s="27">
        <f>+ANZ!E12</f>
        <v>0</v>
      </c>
      <c r="F57" s="27">
        <f>+ANZ!F12</f>
        <v>0</v>
      </c>
      <c r="G57" s="27">
        <f>+ANZ!G12</f>
        <v>0</v>
      </c>
      <c r="H57" s="27">
        <f>+ANZ!H12</f>
        <v>0</v>
      </c>
      <c r="I57" s="27">
        <f>+ANZ!I12</f>
        <v>0</v>
      </c>
      <c r="J57" s="27">
        <f>+ANZ!J12</f>
        <v>0</v>
      </c>
      <c r="K57" s="27">
        <f>+ANZ!K12</f>
        <v>0</v>
      </c>
      <c r="L57" s="27">
        <f>+ANZ!L12</f>
        <v>0</v>
      </c>
      <c r="M57" s="27">
        <f>+ANZ!M12</f>
        <v>0</v>
      </c>
      <c r="N57" s="27">
        <f>+ANZ!N12</f>
        <v>0</v>
      </c>
      <c r="O57" s="27">
        <f>+ANZ!O12</f>
        <v>0</v>
      </c>
      <c r="P57" s="27">
        <f>+ANZ!P12</f>
        <v>0</v>
      </c>
      <c r="Q57" s="27">
        <f>+ANZ!Q12</f>
        <v>0</v>
      </c>
      <c r="R57" s="27">
        <f>+ANZ!R12</f>
        <v>0</v>
      </c>
      <c r="S57" s="27">
        <f>+ANZ!S12</f>
        <v>0</v>
      </c>
      <c r="T57" s="27">
        <f>+ANZ!T12</f>
        <v>0.17414053683928388</v>
      </c>
      <c r="U57" s="27">
        <f>+ANZ!U12</f>
        <v>8.6794616360443388E-2</v>
      </c>
      <c r="V57" s="27">
        <f>+ANZ!V12</f>
        <v>9.6693948211435732E-2</v>
      </c>
      <c r="W57" s="27">
        <f>+ANZ!W12</f>
        <v>9.1708998200590086E-2</v>
      </c>
      <c r="X57" s="27">
        <f>+ANZ!X12</f>
        <v>6.0949234530684349E-2</v>
      </c>
      <c r="Y57" s="27">
        <f>+ANZ!Y12</f>
        <v>7.3468384625751781E-2</v>
      </c>
      <c r="Z57" s="27">
        <f>+ANZ!Z12</f>
        <v>6.7192566355042338E-2</v>
      </c>
      <c r="AA57" s="27">
        <f>+ANZ!AA12</f>
        <v>0.10045998904748643</v>
      </c>
      <c r="AB57" s="27">
        <f>+ANZ!AB12</f>
        <v>0.11295015862126712</v>
      </c>
      <c r="AC57" s="27">
        <f>+ANZ!AC12</f>
        <v>0.10672549825938016</v>
      </c>
      <c r="AD57" s="27">
        <f>+ANZ!AD12</f>
        <v>9.9684306758357266E-2</v>
      </c>
      <c r="AE57" s="27">
        <f>+ANZ!AE12</f>
        <v>3.7833912126641556E-2</v>
      </c>
      <c r="AF57" s="27">
        <f>+ANZ!AF12</f>
        <v>6.8483464852769682E-2</v>
      </c>
      <c r="AG57" s="27">
        <f>+ANZ!AG12</f>
        <v>2.4980957139231208E-4</v>
      </c>
      <c r="AH57" s="27">
        <f>+ANZ!AH12</f>
        <v>1.1930379949175451E-2</v>
      </c>
      <c r="AI57" s="27">
        <f>+ANZ!AI12</f>
        <v>5.9731284064219459E-3</v>
      </c>
      <c r="AJ57" s="27">
        <f>+ANZ!AJ12</f>
        <v>6.7248864196216784E-2</v>
      </c>
      <c r="AK57" s="27">
        <f>+ANZ!AK12</f>
        <v>0.11611330154397415</v>
      </c>
      <c r="AL57" s="27">
        <f>+ANZ!AL12</f>
        <v>9.1333553413351032E-2</v>
      </c>
      <c r="AM57" s="27">
        <f>+ANZ!AM12</f>
        <v>0.10825148302402621</v>
      </c>
      <c r="AN57" s="27">
        <f>+ANZ!AN12</f>
        <v>0.12259170380527951</v>
      </c>
      <c r="AO57" s="27">
        <f>+ANZ!AO12</f>
        <v>0.11548009242186974</v>
      </c>
      <c r="AP57" s="27">
        <f>+ANZ!AP12</f>
        <v>0.11214918224494519</v>
      </c>
      <c r="AQ57" s="27">
        <f>+ANZ!AQ12</f>
        <v>7.8786567951152575E-2</v>
      </c>
      <c r="AR57" s="27">
        <f>+ANZ!AR12</f>
        <v>9.5224559408755072E-2</v>
      </c>
      <c r="AS57" s="27">
        <f>+ANZ!AS12</f>
        <v>2.2752596828611305E-2</v>
      </c>
      <c r="AT57" s="27">
        <f>+ANZ!AT12</f>
        <v>-2.6417675705773247E-2</v>
      </c>
      <c r="AU57" s="27">
        <f>+ANZ!AU12</f>
        <v>-1.8167661562419335E-3</v>
      </c>
      <c r="AV57" s="27">
        <f>+ANZ!AV12</f>
        <v>4.4400554474368636E-3</v>
      </c>
      <c r="AW57" s="27">
        <f>+ANZ!AW12</f>
        <v>1.4535828207701273E-2</v>
      </c>
      <c r="AX57" s="402">
        <f>+ANZ!AX12</f>
        <v>9.3603744149766133E-3</v>
      </c>
      <c r="AY57" s="27">
        <f>+ANZ!AY12</f>
        <v>4.0055389737895908E-2</v>
      </c>
      <c r="AZ57" s="27">
        <f>+ANZ!AZ12</f>
        <v>5.297449886668093E-2</v>
      </c>
      <c r="BA57" s="27">
        <f>+ANZ!BA12</f>
        <v>4.6383986068561756E-2</v>
      </c>
      <c r="BB57" s="27">
        <f>+ANZ!BB12</f>
        <v>5.78356554042041E-2</v>
      </c>
      <c r="BC57" s="27">
        <f>+ANZ!BC12</f>
        <v>5.0458565439613023E-2</v>
      </c>
      <c r="BD57" s="27">
        <f>+ANZ!BD12</f>
        <v>5.4199129571345983E-2</v>
      </c>
      <c r="BE57" s="27">
        <f>+ANZ!BE12</f>
        <v>5.6773595069024685E-2</v>
      </c>
      <c r="BF57" s="27">
        <f>+ANZ!BF12</f>
        <v>4.7196508128155568E-2</v>
      </c>
      <c r="BG57" s="27">
        <f>+ANZ!BG12</f>
        <v>5.2069335244410375E-2</v>
      </c>
      <c r="BH57" s="27">
        <f>+ANZ!BH12</f>
        <v>2.4000000000000021E-2</v>
      </c>
      <c r="BI57" s="27">
        <f>+ANZ!BI12</f>
        <v>2.4000000000000021E-2</v>
      </c>
      <c r="BJ57" s="27">
        <f>+ANZ!BJ12</f>
        <v>2.3999999999999799E-2</v>
      </c>
      <c r="BK57" s="27">
        <f>+ANZ!BK12</f>
        <v>1.4000000000000012E-2</v>
      </c>
      <c r="BL57" s="27">
        <f>+ANZ!BL12</f>
        <v>1.5012227635462283E-2</v>
      </c>
      <c r="BM57" s="27">
        <f>+ANZ!BM12</f>
        <v>1.4494902769014439E-2</v>
      </c>
    </row>
    <row r="58" spans="1:73">
      <c r="A58" s="89" t="s">
        <v>470</v>
      </c>
      <c r="B58" s="52" t="s">
        <v>76</v>
      </c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>
        <f>USA!AG32</f>
        <v>0</v>
      </c>
      <c r="AH58" s="27">
        <f>USA!AH32</f>
        <v>0</v>
      </c>
      <c r="AI58" s="27">
        <f>USA!AI32</f>
        <v>0</v>
      </c>
      <c r="AJ58" s="27">
        <f>USA!AJ32</f>
        <v>0</v>
      </c>
      <c r="AK58" s="27">
        <f>USA!AK32</f>
        <v>0.14527904645014011</v>
      </c>
      <c r="AL58" s="27">
        <f>USA!AL32</f>
        <v>0.11413562559694368</v>
      </c>
      <c r="AM58" s="27">
        <f>USA!AM32</f>
        <v>0.24</v>
      </c>
      <c r="AN58" s="27">
        <f>USA!AN32</f>
        <v>0</v>
      </c>
      <c r="AO58" s="27">
        <f>USA!AO32</f>
        <v>0.27989712816116596</v>
      </c>
      <c r="AP58" s="27">
        <f>USA!AP32</f>
        <v>0.23020527859237538</v>
      </c>
      <c r="AQ58" s="27">
        <f>USA!AQ32</f>
        <v>0</v>
      </c>
      <c r="AR58" s="27">
        <f>USA!AR32</f>
        <v>0.11922304085733426</v>
      </c>
      <c r="AS58" s="27">
        <f>USA!AS32</f>
        <v>2.9797377830751426E-3</v>
      </c>
      <c r="AT58" s="27">
        <f>USA!AT32</f>
        <v>0</v>
      </c>
      <c r="AU58" s="27">
        <f>USA!AU32</f>
        <v>3.2914422501496121E-2</v>
      </c>
      <c r="AV58" s="27">
        <f>USA!AV32</f>
        <v>-5.1693404634581053E-2</v>
      </c>
      <c r="AW58" s="27">
        <f>USA!AW32</f>
        <v>0</v>
      </c>
      <c r="AX58" s="402">
        <f>USA!AX32</f>
        <v>-4.5191193511008088E-2</v>
      </c>
      <c r="AY58" s="27">
        <f>USA!AY32</f>
        <v>4.9933570671826369E-2</v>
      </c>
      <c r="AZ58" s="27">
        <f>USA!AZ32</f>
        <v>5.9163389393782601E-2</v>
      </c>
      <c r="BA58" s="27">
        <f>USA!BA32</f>
        <v>5.4694096104874301E-2</v>
      </c>
      <c r="BB58" s="27">
        <f>USA!BB32</f>
        <v>5.0488965642240292E-2</v>
      </c>
      <c r="BC58" s="27">
        <f>USA!BC32</f>
        <v>5.3722660419030704E-2</v>
      </c>
      <c r="BD58" s="27">
        <f>USA!BD32</f>
        <v>5.2163897678137117E-2</v>
      </c>
      <c r="BE58" s="27">
        <f>USA!BE32</f>
        <v>5.1172965642240553E-2</v>
      </c>
      <c r="BF58" s="27">
        <f>USA!BF32</f>
        <v>5.1334155520387351E-2</v>
      </c>
      <c r="BG58" s="27">
        <f>USA!BG32</f>
        <v>5.1256579614264552E-2</v>
      </c>
      <c r="BH58" s="27">
        <f>USA!BH32</f>
        <v>4.1384965642240326E-2</v>
      </c>
      <c r="BI58" s="27">
        <f>USA!BI32</f>
        <v>3.8960930383550779E-2</v>
      </c>
      <c r="BJ58" s="27">
        <f>USA!BJ32</f>
        <v>4.0127453847206729E-2</v>
      </c>
      <c r="BK58" s="27">
        <f>USA!BK32</f>
        <v>1.5700965642240446E-2</v>
      </c>
      <c r="BL58" s="27">
        <f>USA!BL32</f>
        <v>2.329180260531221E-2</v>
      </c>
      <c r="BM58" s="27">
        <f>USA!BM32</f>
        <v>1.9634432137537239E-2</v>
      </c>
    </row>
    <row r="59" spans="1:73">
      <c r="A59" s="58" t="s">
        <v>106</v>
      </c>
      <c r="B59" s="52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40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</row>
    <row r="60" spans="1:73">
      <c r="A60" s="89" t="s">
        <v>469</v>
      </c>
      <c r="B60" s="52" t="s">
        <v>76</v>
      </c>
      <c r="C60" s="344">
        <f>IFERROR(C30/C9,"n.m.")</f>
        <v>0.10732233618011414</v>
      </c>
      <c r="D60" s="344">
        <f t="shared" ref="D60:AP60" si="79">IFERROR(D30/D9,"n.m.")</f>
        <v>0.11032869924557032</v>
      </c>
      <c r="E60" s="344">
        <f t="shared" si="79"/>
        <v>0.10879043184277615</v>
      </c>
      <c r="F60" s="344">
        <f t="shared" si="79"/>
        <v>0.1094316025801202</v>
      </c>
      <c r="G60" s="344">
        <f t="shared" si="79"/>
        <v>0.11262360913251057</v>
      </c>
      <c r="H60" s="344">
        <f t="shared" si="79"/>
        <v>0.11099784220604055</v>
      </c>
      <c r="I60" s="344">
        <f t="shared" si="79"/>
        <v>0.10666904535868339</v>
      </c>
      <c r="J60" s="344">
        <f t="shared" si="79"/>
        <v>0.10867829078093441</v>
      </c>
      <c r="K60" s="344">
        <f t="shared" si="79"/>
        <v>0.10763993843953304</v>
      </c>
      <c r="L60" s="344">
        <f t="shared" si="79"/>
        <v>0.10186190786002264</v>
      </c>
      <c r="M60" s="344">
        <f t="shared" si="79"/>
        <v>0.12245479838634815</v>
      </c>
      <c r="N60" s="344">
        <f t="shared" si="79"/>
        <v>0.11197893252753639</v>
      </c>
      <c r="O60" s="344">
        <f t="shared" si="79"/>
        <v>0.10252912549771422</v>
      </c>
      <c r="P60" s="344">
        <f t="shared" si="79"/>
        <v>0.10316973108941725</v>
      </c>
      <c r="Q60" s="344">
        <f t="shared" si="79"/>
        <v>0.10286641634888923</v>
      </c>
      <c r="R60" s="344">
        <f t="shared" si="79"/>
        <v>0.11433853081345072</v>
      </c>
      <c r="S60" s="344">
        <f t="shared" si="79"/>
        <v>0.12314757924593193</v>
      </c>
      <c r="T60" s="344">
        <f t="shared" si="79"/>
        <v>0.11871165703016794</v>
      </c>
      <c r="U60" s="344">
        <f t="shared" si="79"/>
        <v>0.11648628990561985</v>
      </c>
      <c r="V60" s="344">
        <f t="shared" si="79"/>
        <v>0.13631682938065914</v>
      </c>
      <c r="W60" s="344">
        <f t="shared" si="79"/>
        <v>0.12637583011070777</v>
      </c>
      <c r="X60" s="344">
        <f t="shared" si="79"/>
        <v>0.116123900515495</v>
      </c>
      <c r="Y60" s="344">
        <f t="shared" si="79"/>
        <v>0.13815477431139661</v>
      </c>
      <c r="Z60" s="344">
        <f t="shared" si="79"/>
        <v>0.12717536317970515</v>
      </c>
      <c r="AA60" s="344">
        <f t="shared" si="79"/>
        <v>0.11543143992446178</v>
      </c>
      <c r="AB60" s="344">
        <f t="shared" si="79"/>
        <v>0.12584957272519484</v>
      </c>
      <c r="AC60" s="344">
        <f t="shared" si="79"/>
        <v>0.12068693613273346</v>
      </c>
      <c r="AD60" s="344">
        <f t="shared" si="79"/>
        <v>0.1078440205417182</v>
      </c>
      <c r="AE60" s="344">
        <f t="shared" si="79"/>
        <v>0.11063219717771525</v>
      </c>
      <c r="AF60" s="344">
        <f t="shared" si="79"/>
        <v>0.10921018874584491</v>
      </c>
      <c r="AG60" s="344">
        <f t="shared" si="79"/>
        <v>0.10367374010735034</v>
      </c>
      <c r="AH60" s="344">
        <f t="shared" si="79"/>
        <v>0.10925205142462383</v>
      </c>
      <c r="AI60" s="344">
        <f t="shared" si="79"/>
        <v>0.10642322217908284</v>
      </c>
      <c r="AJ60" s="344">
        <f t="shared" si="79"/>
        <v>0.11184795215449279</v>
      </c>
      <c r="AK60" s="344">
        <f t="shared" ref="AK60:AM61" si="80">IFERROR(AK30/AK9,"n.m.")</f>
        <v>0.12982044516013375</v>
      </c>
      <c r="AL60" s="344">
        <f t="shared" si="80"/>
        <v>0.12090751503187108</v>
      </c>
      <c r="AM60" s="344">
        <f t="shared" si="80"/>
        <v>0.10709997963472896</v>
      </c>
      <c r="AN60" s="344">
        <f t="shared" si="79"/>
        <v>0.10852561584663047</v>
      </c>
      <c r="AO60" s="344">
        <f t="shared" si="79"/>
        <v>0.10782319499715748</v>
      </c>
      <c r="AP60" s="344">
        <f t="shared" si="79"/>
        <v>0.11459504828461986</v>
      </c>
      <c r="AQ60" s="344">
        <f>IFERROR(AQ30/AQ9,"n.m.")</f>
        <v>0.10405897580799311</v>
      </c>
      <c r="AR60" s="344">
        <f>IFERROR(AR30/AR9,"n.m.")</f>
        <v>0.1093303919024137</v>
      </c>
      <c r="AS60" s="344">
        <f t="shared" ref="AS60" si="81">IFERROR(AS30/AS9,"n.m.")</f>
        <v>0.11833503499954603</v>
      </c>
      <c r="AT60" s="344">
        <f>IFERROR(AT30/AT9,"n.m.")</f>
        <v>9.4265214044151668E-2</v>
      </c>
      <c r="AU60" s="344">
        <f>IFERROR(AU30/AU9,"n.m.")</f>
        <v>0.10660426417056683</v>
      </c>
      <c r="AV60" s="344">
        <f t="shared" ref="AV60:AV61" si="82">IFERROR(AV30/AV9,"n.m.")</f>
        <v>9.7212059882313795E-2</v>
      </c>
      <c r="AW60" s="344">
        <f>IFERROR(AW30/AW9,"n.m.")</f>
        <v>7.7031039902737047E-2</v>
      </c>
      <c r="AX60" s="410">
        <f>IFERROR(AX30/AX9,"n.m.")</f>
        <v>8.7326120556414213E-2</v>
      </c>
      <c r="AY60" s="344">
        <f t="shared" ref="AY60:BM60" si="83">IFERROR(AY30/AY9,"n.m.")</f>
        <v>8.2929015624599131E-2</v>
      </c>
      <c r="AZ60" s="344">
        <f t="shared" si="83"/>
        <v>8.139789807266036E-2</v>
      </c>
      <c r="BA60" s="344">
        <f t="shared" si="83"/>
        <v>8.2174253440934195E-2</v>
      </c>
      <c r="BB60" s="344">
        <f t="shared" si="83"/>
        <v>8.9455299125410129E-2</v>
      </c>
      <c r="BC60" s="344">
        <f t="shared" si="83"/>
        <v>8.7637254194061862E-2</v>
      </c>
      <c r="BD60" s="344">
        <f t="shared" si="83"/>
        <v>8.8562276457589448E-2</v>
      </c>
      <c r="BE60" s="344">
        <f t="shared" si="83"/>
        <v>9.5938133526875233E-2</v>
      </c>
      <c r="BF60" s="344">
        <f t="shared" si="83"/>
        <v>9.3724359622873843E-2</v>
      </c>
      <c r="BG60" s="344">
        <f t="shared" si="83"/>
        <v>9.4855765493560784E-2</v>
      </c>
      <c r="BH60" s="344">
        <f t="shared" si="83"/>
        <v>9.5807117483763596E-2</v>
      </c>
      <c r="BI60" s="344">
        <f t="shared" si="83"/>
        <v>9.3642625338559562E-2</v>
      </c>
      <c r="BJ60" s="344">
        <f t="shared" si="83"/>
        <v>9.4748844503810908E-2</v>
      </c>
      <c r="BK60" s="344">
        <f t="shared" si="83"/>
        <v>9.5147786944380988E-2</v>
      </c>
      <c r="BL60" s="344">
        <f t="shared" si="83"/>
        <v>9.3076852186702502E-2</v>
      </c>
      <c r="BM60" s="344">
        <f t="shared" si="83"/>
        <v>9.4134740128964015E-2</v>
      </c>
    </row>
    <row r="61" spans="1:73">
      <c r="A61" s="89" t="s">
        <v>470</v>
      </c>
      <c r="B61" s="52" t="s">
        <v>76</v>
      </c>
      <c r="C61" s="344" t="str">
        <f t="shared" ref="C61:AP61" si="84">IFERROR(C31/C10,"n.m.")</f>
        <v>n.m.</v>
      </c>
      <c r="D61" s="344" t="str">
        <f t="shared" si="84"/>
        <v>n.m.</v>
      </c>
      <c r="E61" s="344" t="str">
        <f t="shared" si="84"/>
        <v>n.m.</v>
      </c>
      <c r="F61" s="344" t="str">
        <f t="shared" si="84"/>
        <v>n.m.</v>
      </c>
      <c r="G61" s="344" t="str">
        <f t="shared" si="84"/>
        <v>n.m.</v>
      </c>
      <c r="H61" s="344" t="str">
        <f t="shared" si="84"/>
        <v>n.m.</v>
      </c>
      <c r="I61" s="344" t="str">
        <f t="shared" si="84"/>
        <v>n.m.</v>
      </c>
      <c r="J61" s="344" t="str">
        <f t="shared" si="84"/>
        <v>n.m.</v>
      </c>
      <c r="K61" s="344" t="str">
        <f t="shared" si="84"/>
        <v>n.m.</v>
      </c>
      <c r="L61" s="344" t="str">
        <f t="shared" si="84"/>
        <v>n.m.</v>
      </c>
      <c r="M61" s="344" t="str">
        <f t="shared" si="84"/>
        <v>n.m.</v>
      </c>
      <c r="N61" s="344" t="str">
        <f t="shared" si="84"/>
        <v>n.m.</v>
      </c>
      <c r="O61" s="344" t="str">
        <f t="shared" si="84"/>
        <v>n.m.</v>
      </c>
      <c r="P61" s="344" t="str">
        <f t="shared" si="84"/>
        <v>n.m.</v>
      </c>
      <c r="Q61" s="344" t="str">
        <f t="shared" si="84"/>
        <v>n.m.</v>
      </c>
      <c r="R61" s="344" t="str">
        <f t="shared" si="84"/>
        <v>n.m.</v>
      </c>
      <c r="S61" s="344" t="str">
        <f t="shared" si="84"/>
        <v>n.m.</v>
      </c>
      <c r="T61" s="344" t="str">
        <f t="shared" si="84"/>
        <v>n.m.</v>
      </c>
      <c r="U61" s="344" t="str">
        <f t="shared" si="84"/>
        <v>n.m.</v>
      </c>
      <c r="V61" s="344" t="str">
        <f t="shared" si="84"/>
        <v>n.m.</v>
      </c>
      <c r="W61" s="344" t="str">
        <f t="shared" si="84"/>
        <v>n.m.</v>
      </c>
      <c r="X61" s="344" t="str">
        <f t="shared" si="84"/>
        <v>n.m.</v>
      </c>
      <c r="Y61" s="344" t="str">
        <f t="shared" si="84"/>
        <v>n.m.</v>
      </c>
      <c r="Z61" s="344" t="str">
        <f t="shared" si="84"/>
        <v>n.m.</v>
      </c>
      <c r="AA61" s="344" t="str">
        <f t="shared" si="84"/>
        <v>n.m.</v>
      </c>
      <c r="AB61" s="344" t="str">
        <f t="shared" si="84"/>
        <v>n.m.</v>
      </c>
      <c r="AC61" s="344" t="str">
        <f t="shared" si="84"/>
        <v>n.m.</v>
      </c>
      <c r="AD61" s="344">
        <f t="shared" si="84"/>
        <v>3.1836398546318152E-2</v>
      </c>
      <c r="AE61" s="344">
        <f t="shared" si="84"/>
        <v>2.9937835263075294E-2</v>
      </c>
      <c r="AF61" s="344">
        <f t="shared" si="84"/>
        <v>3.0853658959090313E-2</v>
      </c>
      <c r="AG61" s="344">
        <f t="shared" si="84"/>
        <v>3.6143233528451675E-2</v>
      </c>
      <c r="AH61" s="344">
        <f t="shared" si="84"/>
        <v>3.4116300515390767E-2</v>
      </c>
      <c r="AI61" s="344">
        <f t="shared" si="84"/>
        <v>3.5087101533572161E-2</v>
      </c>
      <c r="AJ61" s="344">
        <f t="shared" si="84"/>
        <v>4.0808268709200006E-2</v>
      </c>
      <c r="AK61" s="344">
        <f t="shared" si="80"/>
        <v>3.0890706721189206E-2</v>
      </c>
      <c r="AL61" s="344">
        <f t="shared" si="80"/>
        <v>3.5693718163551241E-2</v>
      </c>
      <c r="AM61" s="344">
        <f t="shared" si="80"/>
        <v>4.7867593571658901E-2</v>
      </c>
      <c r="AN61" s="344">
        <f t="shared" si="84"/>
        <v>4.1039300317036134E-2</v>
      </c>
      <c r="AO61" s="344">
        <f t="shared" si="84"/>
        <v>4.4121373307543517E-2</v>
      </c>
      <c r="AP61" s="344">
        <f t="shared" si="84"/>
        <v>5.0931886248506739E-2</v>
      </c>
      <c r="AQ61" s="344">
        <f>IFERROR(AQ31/AQ10,"n.m.")</f>
        <v>4.816722266293598E-2</v>
      </c>
      <c r="AR61" s="344">
        <f>IFERROR(AR31/AR10,"n.m.")</f>
        <v>4.9552999279480675E-2</v>
      </c>
      <c r="AS61" s="344">
        <f t="shared" ref="AS61" si="85">IFERROR(AS31/AS10,"n.m.")</f>
        <v>5.2182348823467964E-2</v>
      </c>
      <c r="AT61" s="344">
        <f>IFERROR(AT31/AT10,"n.m.")</f>
        <v>5.0909953648354232E-2</v>
      </c>
      <c r="AU61" s="344">
        <f>IFERROR(AU31/AU10,"n.m.")</f>
        <v>5.1530709260315652E-2</v>
      </c>
      <c r="AV61" s="344">
        <f t="shared" si="82"/>
        <v>4.6246695558723586E-2</v>
      </c>
      <c r="AW61" s="344">
        <f>IFERROR(AW31/AW10,"n.m.")</f>
        <v>3.6270637257725155E-2</v>
      </c>
      <c r="AX61" s="410">
        <f>IFERROR(AX31/AX10,"n.m.")</f>
        <v>4.1012196713333574E-2</v>
      </c>
      <c r="AY61" s="344">
        <f t="shared" ref="AY61:BM61" si="86">IFERROR(AY31/AY10,"n.m.")</f>
        <v>3.355521246331368E-2</v>
      </c>
      <c r="AZ61" s="344">
        <f t="shared" si="86"/>
        <v>3.4191532299611693E-2</v>
      </c>
      <c r="BA61" s="344">
        <f t="shared" si="86"/>
        <v>3.3884802159453831E-2</v>
      </c>
      <c r="BB61" s="344">
        <f t="shared" si="86"/>
        <v>3.9365067977610427E-2</v>
      </c>
      <c r="BC61" s="344">
        <f t="shared" si="86"/>
        <v>3.9859188716195898E-2</v>
      </c>
      <c r="BD61" s="344">
        <f t="shared" si="86"/>
        <v>3.9621383064435377E-2</v>
      </c>
      <c r="BE61" s="344">
        <f t="shared" si="86"/>
        <v>4.3834245862611414E-2</v>
      </c>
      <c r="BF61" s="344">
        <f t="shared" si="86"/>
        <v>4.4067935514033492E-2</v>
      </c>
      <c r="BG61" s="344">
        <f t="shared" si="86"/>
        <v>4.3955476563355987E-2</v>
      </c>
      <c r="BH61" s="344">
        <f t="shared" si="86"/>
        <v>4.7350641422693511E-2</v>
      </c>
      <c r="BI61" s="344">
        <f t="shared" si="86"/>
        <v>4.7151936473448744E-2</v>
      </c>
      <c r="BJ61" s="344">
        <f t="shared" si="86"/>
        <v>4.7247675272306361E-2</v>
      </c>
      <c r="BK61" s="344">
        <f t="shared" si="86"/>
        <v>4.9623880552246827E-2</v>
      </c>
      <c r="BL61" s="344">
        <f t="shared" si="86"/>
        <v>4.9415264032425382E-2</v>
      </c>
      <c r="BM61" s="344">
        <f t="shared" si="86"/>
        <v>4.951539060699741E-2</v>
      </c>
    </row>
    <row r="62" spans="1:73">
      <c r="A62" s="13" t="s">
        <v>97</v>
      </c>
      <c r="B62" s="55" t="s">
        <v>76</v>
      </c>
      <c r="C62" s="343">
        <f t="shared" ref="C62:AP62" si="87">C33</f>
        <v>0.10732233618011414</v>
      </c>
      <c r="D62" s="343">
        <f t="shared" si="87"/>
        <v>0.11032869924557032</v>
      </c>
      <c r="E62" s="343">
        <f t="shared" si="87"/>
        <v>0.10879043184277615</v>
      </c>
      <c r="F62" s="343">
        <f t="shared" si="87"/>
        <v>0.1094316025801202</v>
      </c>
      <c r="G62" s="343">
        <f t="shared" si="87"/>
        <v>0.11262360913251057</v>
      </c>
      <c r="H62" s="343">
        <f t="shared" si="87"/>
        <v>0.11099784220604055</v>
      </c>
      <c r="I62" s="343">
        <f t="shared" si="87"/>
        <v>0.10666904535868339</v>
      </c>
      <c r="J62" s="343">
        <f t="shared" si="87"/>
        <v>0.10867829078093441</v>
      </c>
      <c r="K62" s="343">
        <f t="shared" si="87"/>
        <v>0.10763993843953304</v>
      </c>
      <c r="L62" s="343">
        <f t="shared" si="87"/>
        <v>0.10186190786002264</v>
      </c>
      <c r="M62" s="343">
        <f t="shared" si="87"/>
        <v>0.12245479838634815</v>
      </c>
      <c r="N62" s="343">
        <f t="shared" si="87"/>
        <v>0.11197893252753639</v>
      </c>
      <c r="O62" s="343">
        <f t="shared" si="87"/>
        <v>0.10252912549771422</v>
      </c>
      <c r="P62" s="343">
        <f t="shared" si="87"/>
        <v>0.10316973108941725</v>
      </c>
      <c r="Q62" s="343">
        <f t="shared" si="87"/>
        <v>0.10286641634888923</v>
      </c>
      <c r="R62" s="343">
        <f t="shared" si="87"/>
        <v>0.11433853081345072</v>
      </c>
      <c r="S62" s="343">
        <f t="shared" si="87"/>
        <v>0.12314757924593193</v>
      </c>
      <c r="T62" s="343">
        <f t="shared" si="87"/>
        <v>0.11871165703016794</v>
      </c>
      <c r="U62" s="343">
        <f t="shared" si="87"/>
        <v>0.11648628990561985</v>
      </c>
      <c r="V62" s="343">
        <f t="shared" si="87"/>
        <v>0.13631682938065914</v>
      </c>
      <c r="W62" s="343">
        <f t="shared" si="87"/>
        <v>0.12637583011070777</v>
      </c>
      <c r="X62" s="343">
        <f t="shared" si="87"/>
        <v>0.116123900515495</v>
      </c>
      <c r="Y62" s="343">
        <f t="shared" si="87"/>
        <v>0.13815477431139661</v>
      </c>
      <c r="Z62" s="343">
        <f t="shared" si="87"/>
        <v>0.12717536317970515</v>
      </c>
      <c r="AA62" s="343">
        <f t="shared" si="87"/>
        <v>0.11543143992446178</v>
      </c>
      <c r="AB62" s="343">
        <f t="shared" si="87"/>
        <v>0.12584957272519484</v>
      </c>
      <c r="AC62" s="343">
        <f t="shared" si="87"/>
        <v>0.12068693613273346</v>
      </c>
      <c r="AD62" s="343">
        <f t="shared" si="87"/>
        <v>7.2804529451366881E-2</v>
      </c>
      <c r="AE62" s="343">
        <f t="shared" si="87"/>
        <v>7.120755632874505E-2</v>
      </c>
      <c r="AF62" s="343">
        <f t="shared" si="87"/>
        <v>7.2001076329059818E-2</v>
      </c>
      <c r="AG62" s="343">
        <f t="shared" si="87"/>
        <v>6.9558438015334609E-2</v>
      </c>
      <c r="AH62" s="343">
        <f t="shared" si="87"/>
        <v>6.9181503850006223E-2</v>
      </c>
      <c r="AI62" s="343">
        <f t="shared" si="87"/>
        <v>6.9367137693492301E-2</v>
      </c>
      <c r="AJ62" s="343">
        <f t="shared" si="87"/>
        <v>7.6958365814964666E-2</v>
      </c>
      <c r="AK62" s="343">
        <f>AK33</f>
        <v>8.0082597944309594E-2</v>
      </c>
      <c r="AL62" s="343">
        <f>AL33</f>
        <v>7.8551282742325992E-2</v>
      </c>
      <c r="AM62" s="343">
        <f>AM33</f>
        <v>7.6385457367519213E-2</v>
      </c>
      <c r="AN62" s="343">
        <f t="shared" si="87"/>
        <v>7.0749684431813203E-2</v>
      </c>
      <c r="AO62" s="343">
        <f t="shared" si="87"/>
        <v>7.3400574862816828E-2</v>
      </c>
      <c r="AP62" s="343">
        <f t="shared" si="87"/>
        <v>7.8652177743043714E-2</v>
      </c>
      <c r="AQ62" s="343">
        <f>AQ33</f>
        <v>7.2414480040413454E-2</v>
      </c>
      <c r="AR62" s="343">
        <f>AR33</f>
        <v>7.5538585611856349E-2</v>
      </c>
      <c r="AS62" s="343">
        <f t="shared" ref="AS62" si="88">AS33</f>
        <v>8.0927905373998868E-2</v>
      </c>
      <c r="AT62" s="343">
        <f>AT33</f>
        <v>6.8701128591967087E-2</v>
      </c>
      <c r="AU62" s="343">
        <f>AU33</f>
        <v>7.4794069192751236E-2</v>
      </c>
      <c r="AV62" s="343">
        <f t="shared" ref="AV62" si="89">AV33</f>
        <v>6.9172305546659027E-2</v>
      </c>
      <c r="AW62" s="343">
        <f>AW33</f>
        <v>5.3211017194560249E-2</v>
      </c>
      <c r="AX62" s="412">
        <f>AX33</f>
        <v>6.1037787179725654E-2</v>
      </c>
      <c r="AY62" s="343">
        <f t="shared" ref="AY62:BM62" si="90">AY33</f>
        <v>5.5669304607791903E-2</v>
      </c>
      <c r="AZ62" s="343">
        <f t="shared" si="90"/>
        <v>5.4173507961469428E-2</v>
      </c>
      <c r="BA62" s="343">
        <f t="shared" si="90"/>
        <v>5.4910829641824845E-2</v>
      </c>
      <c r="BB62" s="343">
        <f t="shared" si="90"/>
        <v>6.2072936138670362E-2</v>
      </c>
      <c r="BC62" s="343">
        <f t="shared" si="90"/>
        <v>6.0222491835828458E-2</v>
      </c>
      <c r="BD62" s="343">
        <f t="shared" si="90"/>
        <v>6.1135450018708681E-2</v>
      </c>
      <c r="BE62" s="343">
        <f t="shared" si="90"/>
        <v>6.7523615512546625E-2</v>
      </c>
      <c r="BF62" s="343">
        <f t="shared" si="90"/>
        <v>6.5183933306349418E-2</v>
      </c>
      <c r="BG62" s="343">
        <f t="shared" si="90"/>
        <v>6.634057100670876E-2</v>
      </c>
      <c r="BH62" s="343">
        <f t="shared" si="90"/>
        <v>6.9179586907180679E-2</v>
      </c>
      <c r="BI62" s="343">
        <f t="shared" si="90"/>
        <v>6.6757098693624478E-2</v>
      </c>
      <c r="BJ62" s="343">
        <f t="shared" si="90"/>
        <v>6.795518903464759E-2</v>
      </c>
      <c r="BK62" s="343">
        <f t="shared" si="90"/>
        <v>7.0112858844039949E-2</v>
      </c>
      <c r="BL62" s="343">
        <f t="shared" si="90"/>
        <v>6.7740945218623783E-2</v>
      </c>
      <c r="BM62" s="343">
        <f t="shared" si="90"/>
        <v>6.8911187347552499E-2</v>
      </c>
    </row>
    <row r="63" spans="1:73">
      <c r="A63" s="89" t="s">
        <v>469</v>
      </c>
      <c r="B63" s="52" t="s">
        <v>76</v>
      </c>
      <c r="C63" s="344">
        <f>+IFERROR(C25/C9,"n.m.")</f>
        <v>0.12553913348672152</v>
      </c>
      <c r="D63" s="344">
        <f t="shared" ref="D63:AP63" si="91">+IFERROR(D25/D9,"n.m.")</f>
        <v>0.12956604290129214</v>
      </c>
      <c r="E63" s="344">
        <f t="shared" si="91"/>
        <v>0.12750559200046291</v>
      </c>
      <c r="F63" s="344">
        <f t="shared" si="91"/>
        <v>0.1277616565607354</v>
      </c>
      <c r="G63" s="344">
        <f t="shared" si="91"/>
        <v>0.13220165346561755</v>
      </c>
      <c r="H63" s="344">
        <f t="shared" si="91"/>
        <v>0.12994025456084993</v>
      </c>
      <c r="I63" s="344">
        <f t="shared" si="91"/>
        <v>0.12701960509464857</v>
      </c>
      <c r="J63" s="344">
        <f t="shared" si="91"/>
        <v>0.13188472556496519</v>
      </c>
      <c r="K63" s="344">
        <f t="shared" si="91"/>
        <v>0.12937049351764593</v>
      </c>
      <c r="L63" s="344">
        <f t="shared" si="91"/>
        <v>0.12469454875181221</v>
      </c>
      <c r="M63" s="344">
        <f t="shared" si="91"/>
        <v>0.14806263642705017</v>
      </c>
      <c r="N63" s="344">
        <f t="shared" si="91"/>
        <v>0.1361749924098202</v>
      </c>
      <c r="O63" s="344">
        <f t="shared" si="91"/>
        <v>0.12705805119617908</v>
      </c>
      <c r="P63" s="344">
        <f t="shared" si="91"/>
        <v>0.1260363281684477</v>
      </c>
      <c r="Q63" s="344">
        <f t="shared" si="91"/>
        <v>0.12652009487148877</v>
      </c>
      <c r="R63" s="344">
        <f t="shared" si="91"/>
        <v>0.13504718113211858</v>
      </c>
      <c r="S63" s="344">
        <f t="shared" si="91"/>
        <v>0.14508874230532917</v>
      </c>
      <c r="T63" s="344">
        <f t="shared" si="91"/>
        <v>0.14003217068688348</v>
      </c>
      <c r="U63" s="344">
        <f t="shared" si="91"/>
        <v>0.13679598292920173</v>
      </c>
      <c r="V63" s="344">
        <f t="shared" si="91"/>
        <v>0.15693568576394246</v>
      </c>
      <c r="W63" s="344">
        <f t="shared" si="91"/>
        <v>0.14683970368391897</v>
      </c>
      <c r="X63" s="344">
        <f t="shared" si="91"/>
        <v>0.1356757064825499</v>
      </c>
      <c r="Y63" s="344">
        <f t="shared" si="91"/>
        <v>0.15972414834411872</v>
      </c>
      <c r="Z63" s="344">
        <f t="shared" si="91"/>
        <v>0.14773925238761507</v>
      </c>
      <c r="AA63" s="344">
        <f t="shared" si="91"/>
        <v>0.134322745675543</v>
      </c>
      <c r="AB63" s="344">
        <f t="shared" si="91"/>
        <v>0.1469943300375294</v>
      </c>
      <c r="AC63" s="344">
        <f t="shared" si="91"/>
        <v>0.14071501047394605</v>
      </c>
      <c r="AD63" s="344">
        <f t="shared" si="91"/>
        <v>0.12692646862091464</v>
      </c>
      <c r="AE63" s="344">
        <f t="shared" si="91"/>
        <v>0.13256198746361669</v>
      </c>
      <c r="AF63" s="344">
        <f t="shared" si="91"/>
        <v>0.12968779534507444</v>
      </c>
      <c r="AG63" s="344">
        <f t="shared" si="91"/>
        <v>0.14221532574265669</v>
      </c>
      <c r="AH63" s="344">
        <f t="shared" si="91"/>
        <v>0.15117005622111016</v>
      </c>
      <c r="AI63" s="344">
        <f t="shared" si="91"/>
        <v>0.14662900391645542</v>
      </c>
      <c r="AJ63" s="344">
        <f t="shared" si="91"/>
        <v>0.15028509610404886</v>
      </c>
      <c r="AK63" s="344">
        <f t="shared" ref="AK63:AM64" si="92">+IFERROR(AK25/AK9,"n.m.")</f>
        <v>0.16772353146534238</v>
      </c>
      <c r="AL63" s="344">
        <f t="shared" si="92"/>
        <v>0.15907545154272673</v>
      </c>
      <c r="AM63" s="344">
        <f t="shared" si="92"/>
        <v>0.14385265928324631</v>
      </c>
      <c r="AN63" s="344">
        <f t="shared" si="91"/>
        <v>0.14493205136897455</v>
      </c>
      <c r="AO63" s="344">
        <f t="shared" si="91"/>
        <v>0.14440022740193292</v>
      </c>
      <c r="AP63" s="344">
        <f t="shared" si="91"/>
        <v>0.14866299119796483</v>
      </c>
      <c r="AQ63" s="344">
        <f>+IFERROR(AQ25/AQ9,"n.m.")</f>
        <v>0.14036204904885774</v>
      </c>
      <c r="AR63" s="344">
        <f>+IFERROR(AR25/AR9,"n.m.")</f>
        <v>0.14451518297430574</v>
      </c>
      <c r="AS63" s="344">
        <f t="shared" ref="AS63" si="93">+IFERROR(AS25/AS9,"n.m.")</f>
        <v>0.15586045221208999</v>
      </c>
      <c r="AT63" s="344">
        <f>+IFERROR(AT25/AT9,"n.m.")</f>
        <v>0.13481945984934937</v>
      </c>
      <c r="AU63" s="344">
        <f>+IFERROR(AU25/AU9,"n.m.")</f>
        <v>0.14560582423296931</v>
      </c>
      <c r="AV63" s="344">
        <f t="shared" ref="AV63:AV64" si="94">+IFERROR(AV25/AV9,"n.m.")</f>
        <v>0.13673283170508663</v>
      </c>
      <c r="AW63" s="344">
        <f>+IFERROR(AW25/AW9,"n.m.")</f>
        <v>0.11790872027382551</v>
      </c>
      <c r="AX63" s="410">
        <f>+IFERROR(AX25/AX9,"n.m.")</f>
        <v>0.12751159196290571</v>
      </c>
      <c r="AY63" s="344">
        <f t="shared" ref="AY63:BM63" si="95">+IFERROR(AY25/AY9,"n.m.")</f>
        <v>0.12228052039147796</v>
      </c>
      <c r="AZ63" s="344">
        <f t="shared" si="95"/>
        <v>0.12153333581067727</v>
      </c>
      <c r="BA63" s="344">
        <f t="shared" si="95"/>
        <v>0.12191219683259001</v>
      </c>
      <c r="BB63" s="344">
        <f t="shared" si="95"/>
        <v>0.12798773779547878</v>
      </c>
      <c r="BC63" s="344">
        <f t="shared" si="95"/>
        <v>0.12714657558848702</v>
      </c>
      <c r="BD63" s="344">
        <f t="shared" si="95"/>
        <v>0.12757455938321557</v>
      </c>
      <c r="BE63" s="344">
        <f t="shared" si="95"/>
        <v>0.13371437019541887</v>
      </c>
      <c r="BF63" s="344">
        <f t="shared" si="95"/>
        <v>0.13274666302730995</v>
      </c>
      <c r="BG63" s="344">
        <f t="shared" si="95"/>
        <v>0.13324123456829942</v>
      </c>
      <c r="BH63" s="344">
        <f t="shared" si="95"/>
        <v>0.13403528468388787</v>
      </c>
      <c r="BI63" s="344">
        <f t="shared" si="95"/>
        <v>0.1330652550185755</v>
      </c>
      <c r="BJ63" s="344">
        <f t="shared" si="95"/>
        <v>0.13356101353126335</v>
      </c>
      <c r="BK63" s="344">
        <f t="shared" si="95"/>
        <v>0.13422293408244532</v>
      </c>
      <c r="BL63" s="344">
        <f t="shared" si="95"/>
        <v>0.13326501560844647</v>
      </c>
      <c r="BM63" s="344">
        <f t="shared" si="95"/>
        <v>0.13375434555935661</v>
      </c>
    </row>
    <row r="64" spans="1:73">
      <c r="A64" s="89" t="s">
        <v>470</v>
      </c>
      <c r="B64" s="52" t="s">
        <v>76</v>
      </c>
      <c r="C64" s="344" t="str">
        <f t="shared" ref="C64:AP64" si="96">+IFERROR(C26/C10,"n.m.")</f>
        <v>n.m.</v>
      </c>
      <c r="D64" s="344" t="str">
        <f t="shared" si="96"/>
        <v>n.m.</v>
      </c>
      <c r="E64" s="344" t="str">
        <f t="shared" si="96"/>
        <v>n.m.</v>
      </c>
      <c r="F64" s="344" t="str">
        <f t="shared" si="96"/>
        <v>n.m.</v>
      </c>
      <c r="G64" s="344" t="str">
        <f t="shared" si="96"/>
        <v>n.m.</v>
      </c>
      <c r="H64" s="344" t="str">
        <f t="shared" si="96"/>
        <v>n.m.</v>
      </c>
      <c r="I64" s="344" t="str">
        <f t="shared" si="96"/>
        <v>n.m.</v>
      </c>
      <c r="J64" s="344" t="str">
        <f t="shared" si="96"/>
        <v>n.m.</v>
      </c>
      <c r="K64" s="344" t="str">
        <f t="shared" si="96"/>
        <v>n.m.</v>
      </c>
      <c r="L64" s="344" t="str">
        <f t="shared" si="96"/>
        <v>n.m.</v>
      </c>
      <c r="M64" s="344" t="str">
        <f t="shared" si="96"/>
        <v>n.m.</v>
      </c>
      <c r="N64" s="344" t="str">
        <f t="shared" si="96"/>
        <v>n.m.</v>
      </c>
      <c r="O64" s="344" t="str">
        <f t="shared" si="96"/>
        <v>n.m.</v>
      </c>
      <c r="P64" s="344" t="str">
        <f t="shared" si="96"/>
        <v>n.m.</v>
      </c>
      <c r="Q64" s="344" t="str">
        <f t="shared" si="96"/>
        <v>n.m.</v>
      </c>
      <c r="R64" s="344" t="str">
        <f t="shared" si="96"/>
        <v>n.m.</v>
      </c>
      <c r="S64" s="344" t="str">
        <f t="shared" si="96"/>
        <v>n.m.</v>
      </c>
      <c r="T64" s="344" t="str">
        <f t="shared" si="96"/>
        <v>n.m.</v>
      </c>
      <c r="U64" s="344" t="str">
        <f t="shared" si="96"/>
        <v>n.m.</v>
      </c>
      <c r="V64" s="344" t="str">
        <f t="shared" si="96"/>
        <v>n.m.</v>
      </c>
      <c r="W64" s="344" t="str">
        <f t="shared" si="96"/>
        <v>n.m.</v>
      </c>
      <c r="X64" s="344" t="str">
        <f t="shared" si="96"/>
        <v>n.m.</v>
      </c>
      <c r="Y64" s="344" t="str">
        <f t="shared" si="96"/>
        <v>n.m.</v>
      </c>
      <c r="Z64" s="344" t="str">
        <f t="shared" si="96"/>
        <v>n.m.</v>
      </c>
      <c r="AA64" s="344" t="str">
        <f t="shared" si="96"/>
        <v>n.m.</v>
      </c>
      <c r="AB64" s="344" t="str">
        <f t="shared" si="96"/>
        <v>n.m.</v>
      </c>
      <c r="AC64" s="344" t="str">
        <f t="shared" si="96"/>
        <v>n.m.</v>
      </c>
      <c r="AD64" s="344">
        <f t="shared" si="96"/>
        <v>5.9198272436066242E-2</v>
      </c>
      <c r="AE64" s="344">
        <f t="shared" si="96"/>
        <v>5.5936364251595025E-2</v>
      </c>
      <c r="AF64" s="344">
        <f t="shared" si="96"/>
        <v>5.7509834483496662E-2</v>
      </c>
      <c r="AG64" s="344">
        <f t="shared" si="96"/>
        <v>6.9705237183077515E-2</v>
      </c>
      <c r="AH64" s="344">
        <f t="shared" si="96"/>
        <v>7.469141984042485E-2</v>
      </c>
      <c r="AI64" s="344">
        <f t="shared" si="96"/>
        <v>7.2303284085863659E-2</v>
      </c>
      <c r="AJ64" s="344">
        <f t="shared" si="96"/>
        <v>7.578744721755179E-2</v>
      </c>
      <c r="AK64" s="344">
        <f t="shared" si="92"/>
        <v>6.4715949705395459E-2</v>
      </c>
      <c r="AL64" s="344">
        <f t="shared" si="92"/>
        <v>7.0077804695488188E-2</v>
      </c>
      <c r="AM64" s="344">
        <f t="shared" si="92"/>
        <v>7.9264732507775104E-2</v>
      </c>
      <c r="AN64" s="344">
        <f t="shared" si="96"/>
        <v>7.2301777500041867E-2</v>
      </c>
      <c r="AO64" s="344">
        <f t="shared" si="96"/>
        <v>7.5444632495164407E-2</v>
      </c>
      <c r="AP64" s="344">
        <f t="shared" si="96"/>
        <v>8.0736803445734723E-2</v>
      </c>
      <c r="AQ64" s="344">
        <f>+IFERROR(AQ26/AQ10,"n.m.")</f>
        <v>8.026811658592424E-2</v>
      </c>
      <c r="AR64" s="344">
        <f>+IFERROR(AR26/AR10,"n.m.")</f>
        <v>8.050304400863019E-2</v>
      </c>
      <c r="AS64" s="344">
        <f t="shared" ref="AS64" si="97">+IFERROR(AS26/AS10,"n.m.")</f>
        <v>8.5294479895357017E-2</v>
      </c>
      <c r="AT64" s="344">
        <f>+IFERROR(AT26/AT10,"n.m.")</f>
        <v>8.461068924496272E-2</v>
      </c>
      <c r="AU64" s="344">
        <f>+IFERROR(AU26/AU10,"n.m.")</f>
        <v>8.4944285985928875E-2</v>
      </c>
      <c r="AV64" s="344">
        <f t="shared" si="94"/>
        <v>8.4315015075642444E-2</v>
      </c>
      <c r="AW64" s="344">
        <f>+IFERROR(AW26/AW10,"n.m.")</f>
        <v>7.5161391900897781E-2</v>
      </c>
      <c r="AX64" s="410">
        <f>+IFERROR(AX26/AX10,"n.m.")</f>
        <v>7.9512052974414466E-2</v>
      </c>
      <c r="AY64" s="344">
        <f t="shared" ref="AY64:BM64" si="98">+IFERROR(AY26/AY10,"n.m.")</f>
        <v>7.2720021808336144E-2</v>
      </c>
      <c r="AZ64" s="344">
        <f t="shared" si="98"/>
        <v>7.5962315927270943E-2</v>
      </c>
      <c r="BA64" s="344">
        <f t="shared" si="98"/>
        <v>7.4399407979406626E-2</v>
      </c>
      <c r="BB64" s="344">
        <f t="shared" si="98"/>
        <v>7.8270755610723747E-2</v>
      </c>
      <c r="BC64" s="344">
        <f t="shared" si="98"/>
        <v>8.1574450582751534E-2</v>
      </c>
      <c r="BD64" s="344">
        <f t="shared" si="98"/>
        <v>7.9984480207717132E-2</v>
      </c>
      <c r="BE64" s="344">
        <f t="shared" si="98"/>
        <v>8.1871557613872714E-2</v>
      </c>
      <c r="BF64" s="344">
        <f t="shared" si="98"/>
        <v>8.5202583912657309E-2</v>
      </c>
      <c r="BG64" s="344">
        <f t="shared" si="98"/>
        <v>8.359958728888342E-2</v>
      </c>
      <c r="BH64" s="344">
        <f t="shared" si="98"/>
        <v>8.4879795353711734E-2</v>
      </c>
      <c r="BI64" s="344">
        <f t="shared" si="98"/>
        <v>8.8200519703705266E-2</v>
      </c>
      <c r="BJ64" s="344">
        <f t="shared" si="98"/>
        <v>8.660054868227883E-2</v>
      </c>
      <c r="BK64" s="344">
        <f t="shared" si="98"/>
        <v>8.757969956629709E-2</v>
      </c>
      <c r="BL64" s="344">
        <f t="shared" si="98"/>
        <v>9.1008672067898963E-2</v>
      </c>
      <c r="BM64" s="344">
        <f t="shared" si="98"/>
        <v>8.9362919031749505E-2</v>
      </c>
    </row>
    <row r="65" spans="1:73">
      <c r="A65" s="13" t="s">
        <v>473</v>
      </c>
      <c r="B65" s="55" t="s">
        <v>76</v>
      </c>
      <c r="C65" s="343">
        <f t="shared" ref="C65:AP65" si="99">C27/C11</f>
        <v>0.12553913348672152</v>
      </c>
      <c r="D65" s="343">
        <f t="shared" si="99"/>
        <v>0.12956604290129214</v>
      </c>
      <c r="E65" s="343">
        <f t="shared" si="99"/>
        <v>0.12750559200046291</v>
      </c>
      <c r="F65" s="343">
        <f t="shared" si="99"/>
        <v>0.1277616565607354</v>
      </c>
      <c r="G65" s="343">
        <f t="shared" si="99"/>
        <v>0.13220165346561755</v>
      </c>
      <c r="H65" s="343">
        <f t="shared" si="99"/>
        <v>0.12994025456084993</v>
      </c>
      <c r="I65" s="343">
        <f t="shared" si="99"/>
        <v>0.12701960509464857</v>
      </c>
      <c r="J65" s="343">
        <f t="shared" si="99"/>
        <v>0.13188472556496519</v>
      </c>
      <c r="K65" s="343">
        <f t="shared" si="99"/>
        <v>0.12937049351764593</v>
      </c>
      <c r="L65" s="343">
        <f t="shared" si="99"/>
        <v>0.12469454875181221</v>
      </c>
      <c r="M65" s="343">
        <f t="shared" si="99"/>
        <v>0.14806263642705017</v>
      </c>
      <c r="N65" s="343">
        <f t="shared" si="99"/>
        <v>0.1361749924098202</v>
      </c>
      <c r="O65" s="343">
        <f t="shared" si="99"/>
        <v>0.12705805119617908</v>
      </c>
      <c r="P65" s="343">
        <f t="shared" si="99"/>
        <v>0.1260363281684477</v>
      </c>
      <c r="Q65" s="343">
        <f t="shared" si="99"/>
        <v>0.12652009487148877</v>
      </c>
      <c r="R65" s="343">
        <f t="shared" si="99"/>
        <v>0.13504718113211858</v>
      </c>
      <c r="S65" s="343">
        <f t="shared" si="99"/>
        <v>0.14508874230532917</v>
      </c>
      <c r="T65" s="343">
        <f t="shared" si="99"/>
        <v>0.14003217068688348</v>
      </c>
      <c r="U65" s="343">
        <f t="shared" si="99"/>
        <v>0.13679598292920173</v>
      </c>
      <c r="V65" s="343">
        <f t="shared" si="99"/>
        <v>0.15693568576394246</v>
      </c>
      <c r="W65" s="343">
        <f t="shared" si="99"/>
        <v>0.14683970368391897</v>
      </c>
      <c r="X65" s="343">
        <f t="shared" si="99"/>
        <v>0.1356757064825499</v>
      </c>
      <c r="Y65" s="343">
        <f t="shared" si="99"/>
        <v>0.15972414834411872</v>
      </c>
      <c r="Z65" s="343">
        <f t="shared" si="99"/>
        <v>0.14773925238761507</v>
      </c>
      <c r="AA65" s="343">
        <f t="shared" si="99"/>
        <v>0.134322745675543</v>
      </c>
      <c r="AB65" s="343">
        <f t="shared" si="99"/>
        <v>0.1469943300375294</v>
      </c>
      <c r="AC65" s="343">
        <f t="shared" si="99"/>
        <v>0.14071501047394605</v>
      </c>
      <c r="AD65" s="343">
        <f t="shared" si="99"/>
        <v>9.5703790362039715E-2</v>
      </c>
      <c r="AE65" s="343">
        <f t="shared" si="99"/>
        <v>9.5125200019184397E-2</v>
      </c>
      <c r="AF65" s="343">
        <f t="shared" si="99"/>
        <v>9.5412695783853807E-2</v>
      </c>
      <c r="AG65" s="343">
        <f t="shared" si="99"/>
        <v>0.10558442067105431</v>
      </c>
      <c r="AH65" s="343">
        <f t="shared" si="99"/>
        <v>0.11038333617839416</v>
      </c>
      <c r="AI65" s="343">
        <f t="shared" si="99"/>
        <v>0.10801994964532062</v>
      </c>
      <c r="AJ65" s="343">
        <f t="shared" si="99"/>
        <v>0.11369720569039138</v>
      </c>
      <c r="AK65" s="343">
        <f>AK27/AK11</f>
        <v>0.1159355105477525</v>
      </c>
      <c r="AL65" s="343">
        <f>AL27/AL11</f>
        <v>0.11483842489187024</v>
      </c>
      <c r="AM65" s="343">
        <f>AM27/AM11</f>
        <v>0.11036106039635009</v>
      </c>
      <c r="AN65" s="343">
        <f t="shared" si="99"/>
        <v>0.10427675373149976</v>
      </c>
      <c r="AO65" s="343">
        <f t="shared" si="99"/>
        <v>0.10713862032923961</v>
      </c>
      <c r="AP65" s="343">
        <f t="shared" si="99"/>
        <v>0.11031330678586675</v>
      </c>
      <c r="AQ65" s="343">
        <f>AQ27/AQ11</f>
        <v>0.1064889761582779</v>
      </c>
      <c r="AR65" s="343">
        <f>AR27/AR11</f>
        <v>0.10840436436563716</v>
      </c>
      <c r="AS65" s="343">
        <f t="shared" ref="AS65" si="100">AS27/AS11</f>
        <v>0.11595775700514382</v>
      </c>
      <c r="AT65" s="343">
        <f>AT27/AT11</f>
        <v>0.10521425645621992</v>
      </c>
      <c r="AU65" s="343">
        <f>AU27/AU11</f>
        <v>0.110568039538715</v>
      </c>
      <c r="AV65" s="343">
        <f t="shared" ref="AV65" si="101">AV27/AV11</f>
        <v>0.10789397769888266</v>
      </c>
      <c r="AW65" s="343">
        <f>AW27/AW11</f>
        <v>9.2927555553127206E-2</v>
      </c>
      <c r="AX65" s="412">
        <f>AX27/AX11</f>
        <v>0.1002664834047947</v>
      </c>
      <c r="AY65" s="343"/>
      <c r="AZ65" s="343"/>
      <c r="BA65" s="343">
        <f>BA27/BA11</f>
        <v>9.5087263767369493E-2</v>
      </c>
      <c r="BB65" s="343"/>
      <c r="BC65" s="343"/>
      <c r="BD65" s="343">
        <f>BD27/BD11</f>
        <v>0.10090473888620009</v>
      </c>
      <c r="BE65" s="343"/>
      <c r="BF65" s="343"/>
      <c r="BG65" s="343">
        <f>BG27/BG11</f>
        <v>0.10543115221766157</v>
      </c>
      <c r="BH65" s="343"/>
      <c r="BI65" s="343"/>
      <c r="BJ65" s="343">
        <f>BJ27/BJ11</f>
        <v>0.10707234943747654</v>
      </c>
      <c r="BK65" s="343"/>
      <c r="BL65" s="343"/>
      <c r="BM65" s="343">
        <f>BM27/BM11</f>
        <v>0.10865963884450404</v>
      </c>
    </row>
    <row r="66" spans="1:73">
      <c r="A66" s="58" t="s">
        <v>107</v>
      </c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413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</row>
    <row r="67" spans="1:73">
      <c r="A67" s="6" t="s">
        <v>108</v>
      </c>
      <c r="B67" s="52" t="s">
        <v>172</v>
      </c>
      <c r="C67" s="38">
        <f>C41</f>
        <v>81.72</v>
      </c>
      <c r="D67" s="38">
        <f>D41</f>
        <v>80.084999999999994</v>
      </c>
      <c r="E67" s="38">
        <f>SUM(C67:D67)</f>
        <v>161.80500000000001</v>
      </c>
      <c r="F67" s="38">
        <f>F41</f>
        <v>85.856999999999999</v>
      </c>
      <c r="G67" s="38">
        <f>G41</f>
        <v>85.183000000000007</v>
      </c>
      <c r="H67" s="38">
        <f>SUM(F67:G67)</f>
        <v>171.04000000000002</v>
      </c>
      <c r="I67" s="38">
        <f>I41</f>
        <v>83.42</v>
      </c>
      <c r="J67" s="38">
        <f>J41</f>
        <v>79.587000000000003</v>
      </c>
      <c r="K67" s="38">
        <f>SUM(I67:J67)</f>
        <v>163.00700000000001</v>
      </c>
      <c r="L67" s="38">
        <f>L41</f>
        <v>79.400999999999996</v>
      </c>
      <c r="M67" s="38">
        <f>M41</f>
        <v>92.203999999999994</v>
      </c>
      <c r="N67" s="38">
        <f>SUM(L67:M67)</f>
        <v>171.60499999999999</v>
      </c>
      <c r="O67" s="38">
        <f>O41</f>
        <v>86.058000000000007</v>
      </c>
      <c r="P67" s="38">
        <f>P41</f>
        <v>92.434999999999988</v>
      </c>
      <c r="Q67" s="38">
        <f>SUM(O67:P67)</f>
        <v>178.49299999999999</v>
      </c>
      <c r="R67" s="38">
        <f>R41</f>
        <v>115.30800000000001</v>
      </c>
      <c r="S67" s="38">
        <f>S41</f>
        <v>122.99800000000002</v>
      </c>
      <c r="T67" s="38">
        <f>SUM(R67:S67)</f>
        <v>238.30600000000004</v>
      </c>
      <c r="U67" s="38">
        <f>U41</f>
        <v>128.83699999999999</v>
      </c>
      <c r="V67" s="38">
        <f>V41</f>
        <v>151.09200000000001</v>
      </c>
      <c r="W67" s="38">
        <f>SUM(U67:V67)</f>
        <v>279.92899999999997</v>
      </c>
      <c r="X67" s="38">
        <f>X41</f>
        <v>137.376</v>
      </c>
      <c r="Y67" s="38">
        <f>Y41</f>
        <v>165.67099999999999</v>
      </c>
      <c r="Z67" s="38">
        <f>SUM(X67:Y67)</f>
        <v>303.04700000000003</v>
      </c>
      <c r="AA67" s="38">
        <f>AA41</f>
        <v>151.11799999999999</v>
      </c>
      <c r="AB67" s="38">
        <f>AB41</f>
        <v>168.32300000000001</v>
      </c>
      <c r="AC67" s="38">
        <f>SUM(AA67:AB67)</f>
        <v>319.44100000000003</v>
      </c>
      <c r="AD67" s="38">
        <f>AD41</f>
        <v>157.33399999999997</v>
      </c>
      <c r="AE67" s="38">
        <f>AE41</f>
        <v>177.18799999999996</v>
      </c>
      <c r="AF67" s="38">
        <f>SUM(AD67:AE67)</f>
        <v>334.52199999999993</v>
      </c>
      <c r="AG67" s="38">
        <f>AG41</f>
        <v>151.83500000000001</v>
      </c>
      <c r="AH67" s="38">
        <f>AH41</f>
        <v>167.21400000000006</v>
      </c>
      <c r="AI67" s="38">
        <f>SUM(AG67:AH67)</f>
        <v>319.04900000000009</v>
      </c>
      <c r="AJ67" s="38">
        <f>AJ41</f>
        <v>169.97299999999998</v>
      </c>
      <c r="AK67" s="38">
        <f>AK41</f>
        <v>221.11900000000006</v>
      </c>
      <c r="AL67" s="38">
        <f>SUM(AJ67:AK67)</f>
        <v>391.09200000000004</v>
      </c>
      <c r="AM67" s="38">
        <f>AM41</f>
        <v>223.79000000000005</v>
      </c>
      <c r="AN67" s="38">
        <f t="shared" ref="AN67:AO67" si="102">AN41</f>
        <v>282.72266599999995</v>
      </c>
      <c r="AO67" s="38">
        <f t="shared" si="102"/>
        <v>506.51266599999997</v>
      </c>
      <c r="AP67" s="38">
        <f t="shared" ref="AP67:AU67" si="103">AP41</f>
        <v>310.90199999999999</v>
      </c>
      <c r="AQ67" s="38">
        <f t="shared" si="103"/>
        <v>270.56999999999994</v>
      </c>
      <c r="AR67" s="38">
        <f t="shared" si="103"/>
        <v>581.47199999999998</v>
      </c>
      <c r="AS67" s="38">
        <f t="shared" si="103"/>
        <v>321.18599999999992</v>
      </c>
      <c r="AT67" s="38">
        <f t="shared" si="103"/>
        <v>268.00500000000005</v>
      </c>
      <c r="AU67" s="38">
        <f t="shared" si="103"/>
        <v>589.19100000000003</v>
      </c>
      <c r="AV67" s="38">
        <f t="shared" ref="AV67:AX67" si="104">AV41</f>
        <v>258.66399999999999</v>
      </c>
      <c r="AW67" s="38">
        <f t="shared" si="104"/>
        <v>191.72200000000001</v>
      </c>
      <c r="AX67" s="406">
        <f t="shared" si="104"/>
        <v>450.38599999999997</v>
      </c>
      <c r="AY67" s="38">
        <f t="shared" ref="AY67:BM67" si="105">AY41</f>
        <v>199.16170703473068</v>
      </c>
      <c r="AZ67" s="38">
        <f t="shared" si="105"/>
        <v>197.38558946672993</v>
      </c>
      <c r="BA67" s="38">
        <f t="shared" si="105"/>
        <v>396.54729650146061</v>
      </c>
      <c r="BB67" s="38">
        <f t="shared" si="105"/>
        <v>243.42721702900494</v>
      </c>
      <c r="BC67" s="38">
        <f t="shared" si="105"/>
        <v>240.87814187324128</v>
      </c>
      <c r="BD67" s="38">
        <f t="shared" si="105"/>
        <v>484.30535890224621</v>
      </c>
      <c r="BE67" s="38">
        <f t="shared" si="105"/>
        <v>285.9194786734846</v>
      </c>
      <c r="BF67" s="38">
        <f t="shared" si="105"/>
        <v>281.10421664249918</v>
      </c>
      <c r="BG67" s="38">
        <f t="shared" si="105"/>
        <v>567.02369531598379</v>
      </c>
      <c r="BH67" s="38">
        <f t="shared" si="105"/>
        <v>314.95335535239974</v>
      </c>
      <c r="BI67" s="38">
        <f t="shared" si="105"/>
        <v>318.32506368593556</v>
      </c>
      <c r="BJ67" s="38">
        <f t="shared" si="105"/>
        <v>633.2784190383353</v>
      </c>
      <c r="BK67" s="38">
        <f t="shared" si="105"/>
        <v>327.79232843260343</v>
      </c>
      <c r="BL67" s="38">
        <f t="shared" si="105"/>
        <v>341.59377989770343</v>
      </c>
      <c r="BM67" s="38">
        <f t="shared" si="105"/>
        <v>669.38610833030691</v>
      </c>
    </row>
    <row r="68" spans="1:73" s="33" customFormat="1">
      <c r="A68" s="33" t="s">
        <v>109</v>
      </c>
      <c r="B68" s="59" t="s">
        <v>172</v>
      </c>
      <c r="C68" s="60"/>
      <c r="D68" s="60"/>
      <c r="E68" s="100"/>
      <c r="F68" s="60"/>
      <c r="G68" s="60"/>
      <c r="H68" s="100"/>
      <c r="I68" s="60"/>
      <c r="J68" s="60"/>
      <c r="K68" s="100"/>
      <c r="L68" s="60"/>
      <c r="M68" s="60"/>
      <c r="N68" s="100"/>
      <c r="O68" s="60"/>
      <c r="P68" s="60"/>
      <c r="Q68" s="100"/>
      <c r="R68" s="60"/>
      <c r="S68" s="60"/>
      <c r="T68" s="100"/>
      <c r="U68" s="60"/>
      <c r="V68" s="60"/>
      <c r="W68" s="100"/>
      <c r="X68" s="100"/>
      <c r="Y68" s="100"/>
      <c r="Z68" s="38"/>
      <c r="AA68" s="100"/>
      <c r="AB68" s="100"/>
      <c r="AC68" s="38"/>
      <c r="AD68" s="100"/>
      <c r="AE68" s="100"/>
      <c r="AF68" s="38"/>
      <c r="AG68" s="100"/>
      <c r="AH68" s="100"/>
      <c r="AI68" s="38"/>
      <c r="AJ68" s="100"/>
      <c r="AK68" s="100"/>
      <c r="AL68" s="38"/>
      <c r="AM68" s="100"/>
      <c r="AN68" s="100"/>
      <c r="AO68" s="38"/>
      <c r="AP68" s="100"/>
      <c r="AQ68" s="100"/>
      <c r="AR68" s="38"/>
      <c r="AS68" s="100"/>
      <c r="AT68" s="100"/>
      <c r="AU68" s="38"/>
      <c r="AV68" s="100"/>
      <c r="AW68" s="100"/>
      <c r="AX68" s="406"/>
      <c r="AY68" s="100"/>
      <c r="AZ68" s="100"/>
      <c r="BA68" s="38"/>
      <c r="BB68" s="100"/>
      <c r="BC68" s="100"/>
      <c r="BD68" s="38"/>
      <c r="BE68" s="100"/>
      <c r="BF68" s="100"/>
      <c r="BG68" s="38"/>
      <c r="BH68" s="100"/>
      <c r="BI68" s="100"/>
      <c r="BJ68" s="38"/>
      <c r="BK68" s="100"/>
      <c r="BL68" s="100"/>
      <c r="BM68" s="38"/>
      <c r="BP68"/>
      <c r="BQ68"/>
      <c r="BR68"/>
      <c r="BS68"/>
      <c r="BT68"/>
      <c r="BU68"/>
    </row>
    <row r="69" spans="1:73">
      <c r="A69" s="6" t="s">
        <v>110</v>
      </c>
      <c r="B69" s="52" t="s">
        <v>172</v>
      </c>
      <c r="C69" s="38">
        <f t="shared" ref="C69:AJ69" si="106">SUM(C67:C68)</f>
        <v>81.72</v>
      </c>
      <c r="D69" s="38">
        <f t="shared" si="106"/>
        <v>80.084999999999994</v>
      </c>
      <c r="E69" s="38">
        <f t="shared" si="106"/>
        <v>161.80500000000001</v>
      </c>
      <c r="F69" s="38">
        <f t="shared" si="106"/>
        <v>85.856999999999999</v>
      </c>
      <c r="G69" s="38">
        <f t="shared" si="106"/>
        <v>85.183000000000007</v>
      </c>
      <c r="H69" s="38">
        <f t="shared" si="106"/>
        <v>171.04000000000002</v>
      </c>
      <c r="I69" s="38">
        <f t="shared" si="106"/>
        <v>83.42</v>
      </c>
      <c r="J69" s="38">
        <f t="shared" si="106"/>
        <v>79.587000000000003</v>
      </c>
      <c r="K69" s="38">
        <f t="shared" si="106"/>
        <v>163.00700000000001</v>
      </c>
      <c r="L69" s="38">
        <f t="shared" si="106"/>
        <v>79.400999999999996</v>
      </c>
      <c r="M69" s="38">
        <f t="shared" si="106"/>
        <v>92.203999999999994</v>
      </c>
      <c r="N69" s="38">
        <f t="shared" si="106"/>
        <v>171.60499999999999</v>
      </c>
      <c r="O69" s="38">
        <f t="shared" si="106"/>
        <v>86.058000000000007</v>
      </c>
      <c r="P69" s="38">
        <f t="shared" si="106"/>
        <v>92.434999999999988</v>
      </c>
      <c r="Q69" s="38">
        <f t="shared" si="106"/>
        <v>178.49299999999999</v>
      </c>
      <c r="R69" s="38">
        <f t="shared" si="106"/>
        <v>115.30800000000001</v>
      </c>
      <c r="S69" s="38">
        <f t="shared" si="106"/>
        <v>122.99800000000002</v>
      </c>
      <c r="T69" s="38">
        <f t="shared" si="106"/>
        <v>238.30600000000004</v>
      </c>
      <c r="U69" s="38">
        <f t="shared" si="106"/>
        <v>128.83699999999999</v>
      </c>
      <c r="V69" s="38">
        <f t="shared" si="106"/>
        <v>151.09200000000001</v>
      </c>
      <c r="W69" s="38">
        <f t="shared" si="106"/>
        <v>279.92899999999997</v>
      </c>
      <c r="X69" s="38">
        <f t="shared" si="106"/>
        <v>137.376</v>
      </c>
      <c r="Y69" s="38">
        <f t="shared" si="106"/>
        <v>165.67099999999999</v>
      </c>
      <c r="Z69" s="38">
        <f t="shared" si="106"/>
        <v>303.04700000000003</v>
      </c>
      <c r="AA69" s="38">
        <f t="shared" si="106"/>
        <v>151.11799999999999</v>
      </c>
      <c r="AB69" s="38">
        <f t="shared" si="106"/>
        <v>168.32300000000001</v>
      </c>
      <c r="AC69" s="38">
        <f t="shared" si="106"/>
        <v>319.44100000000003</v>
      </c>
      <c r="AD69" s="38">
        <f t="shared" si="106"/>
        <v>157.33399999999997</v>
      </c>
      <c r="AE69" s="38">
        <f t="shared" si="106"/>
        <v>177.18799999999996</v>
      </c>
      <c r="AF69" s="38">
        <f t="shared" si="106"/>
        <v>334.52199999999993</v>
      </c>
      <c r="AG69" s="38">
        <f t="shared" si="106"/>
        <v>151.83500000000001</v>
      </c>
      <c r="AH69" s="38">
        <f t="shared" si="106"/>
        <v>167.21400000000006</v>
      </c>
      <c r="AI69" s="38">
        <f t="shared" si="106"/>
        <v>319.04900000000009</v>
      </c>
      <c r="AJ69" s="38">
        <f t="shared" si="106"/>
        <v>169.97299999999998</v>
      </c>
      <c r="AK69" s="38">
        <f>SUM(AK67:AK68)</f>
        <v>221.11900000000006</v>
      </c>
      <c r="AL69" s="38">
        <f>SUM(AL67:AL68)</f>
        <v>391.09200000000004</v>
      </c>
      <c r="AM69" s="38">
        <f>SUM(AM67:AM68)</f>
        <v>223.79000000000005</v>
      </c>
      <c r="AN69" s="38">
        <f>SUM(AN67:AN68)</f>
        <v>282.72266599999995</v>
      </c>
      <c r="AO69" s="38">
        <f>SUM(AM69:AN69)</f>
        <v>506.51266599999997</v>
      </c>
      <c r="AP69" s="38">
        <f>SUM(AP67:AP68)</f>
        <v>310.90199999999999</v>
      </c>
      <c r="AQ69" s="38">
        <f>SUM(AQ67:AQ68)</f>
        <v>270.56999999999994</v>
      </c>
      <c r="AR69" s="38">
        <f>SUM(AP69:AQ69)</f>
        <v>581.47199999999998</v>
      </c>
      <c r="AS69" s="38">
        <f>SUM(AS67:AS68)</f>
        <v>321.18599999999992</v>
      </c>
      <c r="AT69" s="38">
        <f>SUM(AT67:AT68)</f>
        <v>268.00500000000005</v>
      </c>
      <c r="AU69" s="38">
        <f>SUM(AS69:AT69)</f>
        <v>589.19100000000003</v>
      </c>
      <c r="AV69" s="38">
        <f>SUM(AV67:AV68)</f>
        <v>258.66399999999999</v>
      </c>
      <c r="AW69" s="38">
        <f>SUM(AW67:AW68)</f>
        <v>191.72200000000001</v>
      </c>
      <c r="AX69" s="406">
        <f>SUM(AV69:AW69)</f>
        <v>450.38599999999997</v>
      </c>
      <c r="AY69" s="38">
        <f>SUM(AY67:AY68)</f>
        <v>199.16170703473068</v>
      </c>
      <c r="AZ69" s="38">
        <f>SUM(AZ67:AZ68)</f>
        <v>197.38558946672993</v>
      </c>
      <c r="BA69" s="38">
        <f>SUM(AY69:AZ69)</f>
        <v>396.54729650146061</v>
      </c>
      <c r="BB69" s="38">
        <f>SUM(BB67:BB68)</f>
        <v>243.42721702900494</v>
      </c>
      <c r="BC69" s="38">
        <f>SUM(BC67:BC68)</f>
        <v>240.87814187324128</v>
      </c>
      <c r="BD69" s="38">
        <f>SUM(BB69:BC69)</f>
        <v>484.30535890224621</v>
      </c>
      <c r="BE69" s="38">
        <f>SUM(BE67:BE68)</f>
        <v>285.9194786734846</v>
      </c>
      <c r="BF69" s="38">
        <f>SUM(BF67:BF68)</f>
        <v>281.10421664249918</v>
      </c>
      <c r="BG69" s="38">
        <f>SUM(BE69:BF69)</f>
        <v>567.02369531598379</v>
      </c>
      <c r="BH69" s="38">
        <f>SUM(BH67:BH68)</f>
        <v>314.95335535239974</v>
      </c>
      <c r="BI69" s="38">
        <f>SUM(BI67:BI68)</f>
        <v>318.32506368593556</v>
      </c>
      <c r="BJ69" s="38">
        <f>SUM(BH69:BI69)</f>
        <v>633.2784190383353</v>
      </c>
      <c r="BK69" s="38">
        <f>SUM(BK67:BK68)</f>
        <v>327.79232843260343</v>
      </c>
      <c r="BL69" s="38">
        <f>SUM(BL67:BL68)</f>
        <v>341.59377989770343</v>
      </c>
      <c r="BM69" s="38">
        <f>SUM(BK69:BL69)</f>
        <v>669.3861083303068</v>
      </c>
    </row>
    <row r="70" spans="1:73" s="13" customFormat="1">
      <c r="A70" s="13" t="s">
        <v>111</v>
      </c>
      <c r="B70" s="55" t="s">
        <v>76</v>
      </c>
      <c r="C70" s="343">
        <f t="shared" ref="C70:AJ70" si="107">-C72/C69</f>
        <v>0.29498286833088599</v>
      </c>
      <c r="D70" s="343">
        <f t="shared" si="107"/>
        <v>0.292664044452769</v>
      </c>
      <c r="E70" s="343">
        <f t="shared" si="107"/>
        <v>0.29383517196625569</v>
      </c>
      <c r="F70" s="343">
        <f t="shared" si="107"/>
        <v>0.30319018833641981</v>
      </c>
      <c r="G70" s="343">
        <f t="shared" si="107"/>
        <v>0.30989751476233524</v>
      </c>
      <c r="H70" s="343">
        <f t="shared" si="107"/>
        <v>0.30653063610851256</v>
      </c>
      <c r="I70" s="343">
        <f t="shared" si="107"/>
        <v>0.30629345480700071</v>
      </c>
      <c r="J70" s="343">
        <f t="shared" si="107"/>
        <v>0.30376820334979326</v>
      </c>
      <c r="K70" s="343">
        <f t="shared" si="107"/>
        <v>0.30506051887342256</v>
      </c>
      <c r="L70" s="343">
        <f t="shared" si="107"/>
        <v>0.30816992229317003</v>
      </c>
      <c r="M70" s="343">
        <f t="shared" si="107"/>
        <v>0.30372868856014923</v>
      </c>
      <c r="N70" s="343">
        <f t="shared" si="107"/>
        <v>0.30578363101308237</v>
      </c>
      <c r="O70" s="343">
        <f t="shared" si="107"/>
        <v>0.30758325780287726</v>
      </c>
      <c r="P70" s="343">
        <f t="shared" si="107"/>
        <v>0.31371233839995655</v>
      </c>
      <c r="Q70" s="343">
        <f t="shared" si="107"/>
        <v>0.310757284599396</v>
      </c>
      <c r="R70" s="343">
        <f t="shared" si="107"/>
        <v>0.30380372567384745</v>
      </c>
      <c r="S70" s="343">
        <f t="shared" si="107"/>
        <v>0.30666352298411359</v>
      </c>
      <c r="T70" s="343">
        <f t="shared" si="107"/>
        <v>0.30527976635082626</v>
      </c>
      <c r="U70" s="343">
        <f t="shared" si="107"/>
        <v>0.30207937160908732</v>
      </c>
      <c r="V70" s="343">
        <f t="shared" si="107"/>
        <v>0.32292907632435874</v>
      </c>
      <c r="W70" s="343">
        <f t="shared" si="107"/>
        <v>0.31333302373101751</v>
      </c>
      <c r="X70" s="343">
        <f t="shared" si="107"/>
        <v>0.30011792452830183</v>
      </c>
      <c r="Y70" s="343">
        <f t="shared" si="107"/>
        <v>0.30759155193123705</v>
      </c>
      <c r="Z70" s="343">
        <f t="shared" si="107"/>
        <v>0.30420363837952519</v>
      </c>
      <c r="AA70" s="343">
        <f t="shared" si="107"/>
        <v>0.30042748051191781</v>
      </c>
      <c r="AB70" s="343">
        <f t="shared" si="107"/>
        <v>0.29360812247880563</v>
      </c>
      <c r="AC70" s="343">
        <f t="shared" si="107"/>
        <v>0.29683415716830336</v>
      </c>
      <c r="AD70" s="343">
        <f t="shared" si="107"/>
        <v>0.51211435544764639</v>
      </c>
      <c r="AE70" s="343">
        <f t="shared" si="107"/>
        <v>9.0011738943946318E-2</v>
      </c>
      <c r="AF70" s="343">
        <f t="shared" si="107"/>
        <v>0.28853707678418744</v>
      </c>
      <c r="AG70" s="343">
        <f t="shared" si="107"/>
        <v>0.30892086804755164</v>
      </c>
      <c r="AH70" s="343">
        <f t="shared" si="107"/>
        <v>0.25802265360555965</v>
      </c>
      <c r="AI70" s="343">
        <f t="shared" si="107"/>
        <v>0.28224504699905045</v>
      </c>
      <c r="AJ70" s="343">
        <f t="shared" si="107"/>
        <v>0.27610267513075598</v>
      </c>
      <c r="AK70" s="343">
        <f t="shared" ref="AK70:AR70" si="108">-AK72/AK69</f>
        <v>0.21598324883886058</v>
      </c>
      <c r="AL70" s="343">
        <f t="shared" si="108"/>
        <v>0.24211183046444312</v>
      </c>
      <c r="AM70" s="343">
        <f t="shared" si="108"/>
        <v>0.26717011483980529</v>
      </c>
      <c r="AN70" s="343">
        <f t="shared" si="108"/>
        <v>0.29956565279417668</v>
      </c>
      <c r="AO70" s="343">
        <f t="shared" si="108"/>
        <v>0.28525249159317179</v>
      </c>
      <c r="AP70" s="343">
        <f t="shared" si="108"/>
        <v>0.32371293848222282</v>
      </c>
      <c r="AQ70" s="343">
        <f t="shared" si="108"/>
        <v>0.28189747569944928</v>
      </c>
      <c r="AR70" s="343">
        <f t="shared" si="108"/>
        <v>0.30425540696714548</v>
      </c>
      <c r="AS70" s="343">
        <f t="shared" ref="AS70:AU70" si="109">-AS72/AS69</f>
        <v>0.30373366211478697</v>
      </c>
      <c r="AT70" s="343">
        <f t="shared" si="109"/>
        <v>0.28401708923341007</v>
      </c>
      <c r="AU70" s="343">
        <f t="shared" si="109"/>
        <v>0.29476519498770354</v>
      </c>
      <c r="AV70" s="343">
        <f t="shared" ref="AV70:AX70" si="110">-AV72/AV69</f>
        <v>0.30073377045124172</v>
      </c>
      <c r="AW70" s="343">
        <f t="shared" si="110"/>
        <v>0.17224940278111028</v>
      </c>
      <c r="AX70" s="412">
        <f t="shared" si="110"/>
        <v>0.24604006341227308</v>
      </c>
      <c r="AY70" s="347">
        <f>((AY30/AY32)*32%)+(AY31/AY32*25%)</f>
        <v>0.29670477535515549</v>
      </c>
      <c r="AZ70" s="347">
        <f>((AZ30/AZ32)*32%)+(AZ31/AZ32*25%)</f>
        <v>0.29452071494781118</v>
      </c>
      <c r="BA70" s="343">
        <f>-BA72/BA69</f>
        <v>0.29561763630582139</v>
      </c>
      <c r="BB70" s="347">
        <f>((BB30/BB32)*32%)+(BB31/BB32*25%)</f>
        <v>0.29573252199910011</v>
      </c>
      <c r="BC70" s="347">
        <f>((BC30/BC32)*32%)+(BC31/BC32*25%)</f>
        <v>0.29341579374153648</v>
      </c>
      <c r="BD70" s="343">
        <f>-BD72/BD69</f>
        <v>0.29458025476180982</v>
      </c>
      <c r="BE70" s="347">
        <f>((BE30/BE32)*32%)+(BE31/BE32*25%)</f>
        <v>0.29521858755948316</v>
      </c>
      <c r="BF70" s="347">
        <f>((BF30/BF32)*32%)+(BF31/BF32*25%)</f>
        <v>0.29280023219330831</v>
      </c>
      <c r="BG70" s="343">
        <f>-BG72/BG69</f>
        <v>0.29401967841972859</v>
      </c>
      <c r="BH70" s="347">
        <f>((BH30/BH32)*32%)+(BH31/BH32*25%)</f>
        <v>0.29367156730751087</v>
      </c>
      <c r="BI70" s="347">
        <f>((BI30/BI32)*32%)+(BI31/BI32*25%)</f>
        <v>0.29140746335034318</v>
      </c>
      <c r="BJ70" s="343">
        <f>-BJ72/BJ69</f>
        <v>0.29253348804459922</v>
      </c>
      <c r="BK70" s="347">
        <f>((BK30/BK32)*32%)+(BK31/BK32*25%)</f>
        <v>0.29275430354589105</v>
      </c>
      <c r="BL70" s="347">
        <f>((BL30/BL32)*32%)+(BL31/BL32*25%)</f>
        <v>0.29036910054199577</v>
      </c>
      <c r="BM70" s="343">
        <f>-BM72/BM69</f>
        <v>0.29153711289943995</v>
      </c>
      <c r="BP70"/>
      <c r="BQ70"/>
      <c r="BR70"/>
      <c r="BS70"/>
      <c r="BT70"/>
      <c r="BU70"/>
    </row>
    <row r="71" spans="1:73">
      <c r="A71" s="89" t="s">
        <v>112</v>
      </c>
      <c r="B71" s="52" t="s">
        <v>172</v>
      </c>
      <c r="C71" s="38">
        <f>-(C70*C69)</f>
        <v>-24.106000000000002</v>
      </c>
      <c r="D71" s="38">
        <f>-(D69*D70)</f>
        <v>-23.438000000000002</v>
      </c>
      <c r="E71" s="38">
        <f>D71+C71</f>
        <v>-47.544000000000004</v>
      </c>
      <c r="F71" s="38">
        <f>-(F70*F69)</f>
        <v>-26.030999999999995</v>
      </c>
      <c r="G71" s="38">
        <f>-(G69*G70)</f>
        <v>-26.398000000000003</v>
      </c>
      <c r="H71" s="38">
        <f>G71+F71</f>
        <v>-52.429000000000002</v>
      </c>
      <c r="I71" s="38">
        <f>-(I70*I69)</f>
        <v>-25.550999999999998</v>
      </c>
      <c r="J71" s="38">
        <f>-(J69*J70)</f>
        <v>-24.175999999999998</v>
      </c>
      <c r="K71" s="38">
        <f>J71+I71</f>
        <v>-49.726999999999997</v>
      </c>
      <c r="L71" s="38">
        <f>-(L70*L69)</f>
        <v>-24.468999999999991</v>
      </c>
      <c r="M71" s="38">
        <f>-(M69*M70)</f>
        <v>-28.004999999999999</v>
      </c>
      <c r="N71" s="38">
        <f>M71+L71</f>
        <v>-52.47399999999999</v>
      </c>
      <c r="O71" s="38">
        <f>-(O70*O69)</f>
        <v>-26.470000000000013</v>
      </c>
      <c r="P71" s="38">
        <f>-(P69*P70)</f>
        <v>-28.99799999999998</v>
      </c>
      <c r="Q71" s="38">
        <f>P71+O71</f>
        <v>-55.467999999999989</v>
      </c>
      <c r="R71" s="38">
        <f>-(R70*R69)</f>
        <v>-35.031000000000006</v>
      </c>
      <c r="S71" s="38">
        <f>-(S69*S70)</f>
        <v>-37.719000000000008</v>
      </c>
      <c r="T71" s="38">
        <f>S71+R71</f>
        <v>-72.750000000000014</v>
      </c>
      <c r="U71" s="38">
        <f>-(U70*U69)</f>
        <v>-38.918999999999983</v>
      </c>
      <c r="V71" s="38">
        <f>-(V69*V70)</f>
        <v>-48.792000000000016</v>
      </c>
      <c r="W71" s="38">
        <f>V71+U71</f>
        <v>-87.710999999999999</v>
      </c>
      <c r="X71" s="38">
        <f>-(X70*X69)</f>
        <v>-41.228999999999992</v>
      </c>
      <c r="Y71" s="38">
        <f>-(Y69*Y70)</f>
        <v>-50.958999999999968</v>
      </c>
      <c r="Z71" s="38">
        <f>Y71+X71</f>
        <v>-92.18799999999996</v>
      </c>
      <c r="AA71" s="38">
        <f>-(AA70*AA69)</f>
        <v>-45.399999999999991</v>
      </c>
      <c r="AB71" s="38">
        <f>-(AB69*AB70)</f>
        <v>-49.420999999999999</v>
      </c>
      <c r="AC71" s="38">
        <f>AB71+AA71</f>
        <v>-94.820999999999998</v>
      </c>
      <c r="AD71" s="38">
        <f>-(AD70*AD69)</f>
        <v>-80.572999999999979</v>
      </c>
      <c r="AE71" s="38">
        <f>-(AE69*AE70)</f>
        <v>-15.948999999999957</v>
      </c>
      <c r="AF71" s="38">
        <f>AE71+AD71</f>
        <v>-96.521999999999935</v>
      </c>
      <c r="AG71" s="38">
        <f>-(AG70*AG69)</f>
        <v>-46.905000000000008</v>
      </c>
      <c r="AH71" s="38">
        <f>-(AH69*AH70)</f>
        <v>-43.145000000000067</v>
      </c>
      <c r="AI71" s="38">
        <f>AH71+AG71</f>
        <v>-90.050000000000068</v>
      </c>
      <c r="AJ71" s="38">
        <f>-(AJ70*AJ69)</f>
        <v>-46.929999999999986</v>
      </c>
      <c r="AK71" s="38">
        <f>-(AK69*AK70)</f>
        <v>-47.758000000000024</v>
      </c>
      <c r="AL71" s="38">
        <f>AK71+AJ71</f>
        <v>-94.688000000000017</v>
      </c>
      <c r="AM71" s="38">
        <f>-(AM70*AM69)</f>
        <v>-59.790000000000042</v>
      </c>
      <c r="AN71" s="38">
        <f>-(AN69*AN70)</f>
        <v>-84.69399999999996</v>
      </c>
      <c r="AO71" s="38">
        <f>AN71+AM71</f>
        <v>-144.48400000000001</v>
      </c>
      <c r="AP71" s="38">
        <f>-(AP70*AP69)</f>
        <v>-100.64300000000003</v>
      </c>
      <c r="AQ71" s="38">
        <f>-(AQ69*AQ70)</f>
        <v>-76.272999999999982</v>
      </c>
      <c r="AR71" s="38">
        <f>AQ71+AP71</f>
        <v>-176.916</v>
      </c>
      <c r="AS71" s="38">
        <f>-(AS70*AS69)</f>
        <v>-97.55499999999995</v>
      </c>
      <c r="AT71" s="38">
        <f>-(AT69*AT70)</f>
        <v>-76.11800000000008</v>
      </c>
      <c r="AU71" s="38">
        <f>AT71+AS71</f>
        <v>-173.67300000000003</v>
      </c>
      <c r="AV71" s="38">
        <f>-(AV70*AV69)</f>
        <v>-77.788999999999987</v>
      </c>
      <c r="AW71" s="38">
        <f>-(AW69*AW70)</f>
        <v>-33.024000000000029</v>
      </c>
      <c r="AX71" s="406">
        <f>AW71+AV71</f>
        <v>-110.81300000000002</v>
      </c>
      <c r="AY71" s="38">
        <f>-(AY70*AY69)</f>
        <v>-59.092229545089062</v>
      </c>
      <c r="AZ71" s="38">
        <f>-(AZ69*AZ70)</f>
        <v>-58.134144930136443</v>
      </c>
      <c r="BA71" s="38">
        <f>AZ71+AY71</f>
        <v>-117.2263744752255</v>
      </c>
      <c r="BB71" s="38">
        <f>-(BB70*BB69)</f>
        <v>-71.989344815209918</v>
      </c>
      <c r="BC71" s="38">
        <f>-(BC69*BC70)</f>
        <v>-70.677451192723524</v>
      </c>
      <c r="BD71" s="38">
        <f>BC71+BB71</f>
        <v>-142.66679600793344</v>
      </c>
      <c r="BE71" s="38">
        <f>-(BE70*BE69)</f>
        <v>-84.408744649729897</v>
      </c>
      <c r="BF71" s="38">
        <f>-(BF69*BF70)</f>
        <v>-82.307379903441799</v>
      </c>
      <c r="BG71" s="38">
        <f>BF71+BE71</f>
        <v>-166.71612455317171</v>
      </c>
      <c r="BH71" s="38">
        <f>-(BH70*BH69)</f>
        <v>-92.492845495098649</v>
      </c>
      <c r="BI71" s="38">
        <f>-(BI69*BI70)</f>
        <v>-92.762299329554921</v>
      </c>
      <c r="BJ71" s="38">
        <f>BI71+BH71</f>
        <v>-185.25514482465357</v>
      </c>
      <c r="BK71" s="38">
        <f>-(BK70*BK69)</f>
        <v>-95.962614817972792</v>
      </c>
      <c r="BL71" s="38">
        <f>-(BL69*BL70)</f>
        <v>-99.18827861963662</v>
      </c>
      <c r="BM71" s="38">
        <f>BL71+BK71</f>
        <v>-195.1508934376094</v>
      </c>
    </row>
    <row r="72" spans="1:73">
      <c r="A72" s="89" t="s">
        <v>113</v>
      </c>
      <c r="B72" s="52" t="s">
        <v>172</v>
      </c>
      <c r="C72" s="38">
        <f t="shared" ref="C72:AI72" si="111">C42</f>
        <v>-24.106000000000002</v>
      </c>
      <c r="D72" s="38">
        <f t="shared" si="111"/>
        <v>-23.438000000000002</v>
      </c>
      <c r="E72" s="38">
        <f t="shared" si="111"/>
        <v>-47.544000000000004</v>
      </c>
      <c r="F72" s="38">
        <f t="shared" si="111"/>
        <v>-26.030999999999995</v>
      </c>
      <c r="G72" s="38">
        <f t="shared" si="111"/>
        <v>-26.398000000000003</v>
      </c>
      <c r="H72" s="38">
        <f t="shared" si="111"/>
        <v>-52.428999999999995</v>
      </c>
      <c r="I72" s="38">
        <f t="shared" si="111"/>
        <v>-25.550999999999998</v>
      </c>
      <c r="J72" s="38">
        <f t="shared" si="111"/>
        <v>-24.175999999999998</v>
      </c>
      <c r="K72" s="38">
        <f t="shared" si="111"/>
        <v>-49.726999999999997</v>
      </c>
      <c r="L72" s="38">
        <f t="shared" si="111"/>
        <v>-24.468999999999994</v>
      </c>
      <c r="M72" s="38">
        <f t="shared" si="111"/>
        <v>-28.004999999999999</v>
      </c>
      <c r="N72" s="38">
        <f t="shared" si="111"/>
        <v>-52.473999999999997</v>
      </c>
      <c r="O72" s="38">
        <f t="shared" si="111"/>
        <v>-26.470000000000013</v>
      </c>
      <c r="P72" s="38">
        <f t="shared" si="111"/>
        <v>-28.99799999999998</v>
      </c>
      <c r="Q72" s="38">
        <f t="shared" si="111"/>
        <v>-55.467999999999989</v>
      </c>
      <c r="R72" s="38">
        <f t="shared" si="111"/>
        <v>-35.031000000000006</v>
      </c>
      <c r="S72" s="38">
        <f t="shared" si="111"/>
        <v>-37.719000000000008</v>
      </c>
      <c r="T72" s="38">
        <f t="shared" si="111"/>
        <v>-72.750000000000014</v>
      </c>
      <c r="U72" s="38">
        <f t="shared" si="111"/>
        <v>-38.918999999999983</v>
      </c>
      <c r="V72" s="38">
        <f t="shared" si="111"/>
        <v>-48.792000000000016</v>
      </c>
      <c r="W72" s="38">
        <f t="shared" si="111"/>
        <v>-87.710999999999999</v>
      </c>
      <c r="X72" s="38">
        <f t="shared" si="111"/>
        <v>-41.228999999999992</v>
      </c>
      <c r="Y72" s="38">
        <f t="shared" si="111"/>
        <v>-50.958999999999975</v>
      </c>
      <c r="Z72" s="38">
        <f t="shared" si="111"/>
        <v>-92.187999999999974</v>
      </c>
      <c r="AA72" s="38">
        <f t="shared" si="111"/>
        <v>-45.399999999999991</v>
      </c>
      <c r="AB72" s="38">
        <f t="shared" si="111"/>
        <v>-49.421000000000006</v>
      </c>
      <c r="AC72" s="38">
        <f t="shared" si="111"/>
        <v>-94.820999999999998</v>
      </c>
      <c r="AD72" s="38">
        <f t="shared" si="111"/>
        <v>-80.572999999999979</v>
      </c>
      <c r="AE72" s="38">
        <f t="shared" si="111"/>
        <v>-15.948999999999955</v>
      </c>
      <c r="AF72" s="38">
        <f t="shared" si="111"/>
        <v>-96.521999999999935</v>
      </c>
      <c r="AG72" s="38">
        <f t="shared" si="111"/>
        <v>-46.905000000000008</v>
      </c>
      <c r="AH72" s="38">
        <f t="shared" si="111"/>
        <v>-43.145000000000067</v>
      </c>
      <c r="AI72" s="38">
        <f t="shared" si="111"/>
        <v>-90.050000000000068</v>
      </c>
      <c r="AJ72" s="38">
        <f t="shared" ref="AJ72:AR72" si="112">AJ42</f>
        <v>-46.929999999999978</v>
      </c>
      <c r="AK72" s="38">
        <f t="shared" si="112"/>
        <v>-47.758000000000024</v>
      </c>
      <c r="AL72" s="38">
        <f t="shared" si="112"/>
        <v>-94.688000000000002</v>
      </c>
      <c r="AM72" s="38">
        <f t="shared" si="112"/>
        <v>-59.790000000000042</v>
      </c>
      <c r="AN72" s="38">
        <f t="shared" si="112"/>
        <v>-84.69399999999996</v>
      </c>
      <c r="AO72" s="38">
        <f t="shared" si="112"/>
        <v>-144.48400000000001</v>
      </c>
      <c r="AP72" s="38">
        <f t="shared" si="112"/>
        <v>-100.64300000000003</v>
      </c>
      <c r="AQ72" s="38">
        <f t="shared" si="112"/>
        <v>-76.272999999999968</v>
      </c>
      <c r="AR72" s="38">
        <f t="shared" si="112"/>
        <v>-176.916</v>
      </c>
      <c r="AS72" s="38">
        <f t="shared" ref="AS72:AU72" si="113">AS42</f>
        <v>-97.55499999999995</v>
      </c>
      <c r="AT72" s="38">
        <f t="shared" si="113"/>
        <v>-76.11800000000008</v>
      </c>
      <c r="AU72" s="38">
        <f t="shared" si="113"/>
        <v>-173.67300000000003</v>
      </c>
      <c r="AV72" s="38">
        <f t="shared" ref="AV72:AX72" si="114">AV42</f>
        <v>-77.788999999999987</v>
      </c>
      <c r="AW72" s="38">
        <f t="shared" si="114"/>
        <v>-33.024000000000029</v>
      </c>
      <c r="AX72" s="406">
        <f t="shared" si="114"/>
        <v>-110.81300000000002</v>
      </c>
      <c r="AY72" s="38">
        <f>AY71</f>
        <v>-59.092229545089062</v>
      </c>
      <c r="AZ72" s="38">
        <f>AZ71</f>
        <v>-58.134144930136443</v>
      </c>
      <c r="BA72" s="38">
        <f>AZ72+AY72</f>
        <v>-117.2263744752255</v>
      </c>
      <c r="BB72" s="38">
        <f>BB71</f>
        <v>-71.989344815209918</v>
      </c>
      <c r="BC72" s="38">
        <f>BC71</f>
        <v>-70.677451192723524</v>
      </c>
      <c r="BD72" s="38">
        <f>BC72+BB72</f>
        <v>-142.66679600793344</v>
      </c>
      <c r="BE72" s="38">
        <f>BE71</f>
        <v>-84.408744649729897</v>
      </c>
      <c r="BF72" s="38">
        <f>BF71</f>
        <v>-82.307379903441799</v>
      </c>
      <c r="BG72" s="38">
        <f>BF72+BE72</f>
        <v>-166.71612455317171</v>
      </c>
      <c r="BH72" s="38">
        <f>BH71</f>
        <v>-92.492845495098649</v>
      </c>
      <c r="BI72" s="38">
        <f>BI71</f>
        <v>-92.762299329554921</v>
      </c>
      <c r="BJ72" s="38">
        <f>BI72+BH72</f>
        <v>-185.25514482465357</v>
      </c>
      <c r="BK72" s="38">
        <f>BK71</f>
        <v>-95.962614817972792</v>
      </c>
      <c r="BL72" s="38">
        <f>BL71</f>
        <v>-99.18827861963662</v>
      </c>
      <c r="BM72" s="38">
        <f>BL72+BK72</f>
        <v>-195.1508934376094</v>
      </c>
    </row>
    <row r="73" spans="1:73" s="31" customFormat="1">
      <c r="A73" s="31" t="s">
        <v>232</v>
      </c>
      <c r="B73" s="101" t="s">
        <v>76</v>
      </c>
      <c r="C73" s="63">
        <f t="shared" ref="C73:AP73" si="115">-C72/C67</f>
        <v>0.29498286833088599</v>
      </c>
      <c r="D73" s="63">
        <f t="shared" si="115"/>
        <v>0.292664044452769</v>
      </c>
      <c r="E73" s="63">
        <f t="shared" si="115"/>
        <v>0.29383517196625569</v>
      </c>
      <c r="F73" s="63">
        <f t="shared" si="115"/>
        <v>0.30319018833641981</v>
      </c>
      <c r="G73" s="63">
        <f t="shared" si="115"/>
        <v>0.30989751476233524</v>
      </c>
      <c r="H73" s="63">
        <f t="shared" si="115"/>
        <v>0.30653063610851256</v>
      </c>
      <c r="I73" s="63">
        <f t="shared" si="115"/>
        <v>0.30629345480700071</v>
      </c>
      <c r="J73" s="63">
        <f t="shared" si="115"/>
        <v>0.30376820334979326</v>
      </c>
      <c r="K73" s="63">
        <f t="shared" si="115"/>
        <v>0.30506051887342256</v>
      </c>
      <c r="L73" s="63">
        <f t="shared" si="115"/>
        <v>0.30816992229317003</v>
      </c>
      <c r="M73" s="63">
        <f t="shared" si="115"/>
        <v>0.30372868856014923</v>
      </c>
      <c r="N73" s="63">
        <f t="shared" si="115"/>
        <v>0.30578363101308237</v>
      </c>
      <c r="O73" s="63">
        <f t="shared" si="115"/>
        <v>0.30758325780287726</v>
      </c>
      <c r="P73" s="63">
        <f t="shared" si="115"/>
        <v>0.31371233839995655</v>
      </c>
      <c r="Q73" s="63">
        <f t="shared" si="115"/>
        <v>0.310757284599396</v>
      </c>
      <c r="R73" s="63">
        <f t="shared" si="115"/>
        <v>0.30380372567384745</v>
      </c>
      <c r="S73" s="63">
        <f t="shared" si="115"/>
        <v>0.30666352298411359</v>
      </c>
      <c r="T73" s="63">
        <f t="shared" si="115"/>
        <v>0.30527976635082626</v>
      </c>
      <c r="U73" s="63">
        <f t="shared" si="115"/>
        <v>0.30207937160908732</v>
      </c>
      <c r="V73" s="63">
        <f t="shared" si="115"/>
        <v>0.32292907632435874</v>
      </c>
      <c r="W73" s="63">
        <f t="shared" si="115"/>
        <v>0.31333302373101751</v>
      </c>
      <c r="X73" s="63">
        <f t="shared" si="115"/>
        <v>0.30011792452830183</v>
      </c>
      <c r="Y73" s="63">
        <f t="shared" si="115"/>
        <v>0.30759155193123705</v>
      </c>
      <c r="Z73" s="63">
        <f t="shared" si="115"/>
        <v>0.30420363837952519</v>
      </c>
      <c r="AA73" s="63">
        <f t="shared" si="115"/>
        <v>0.30042748051191781</v>
      </c>
      <c r="AB73" s="63">
        <f t="shared" si="115"/>
        <v>0.29360812247880563</v>
      </c>
      <c r="AC73" s="63">
        <f t="shared" si="115"/>
        <v>0.29683415716830336</v>
      </c>
      <c r="AD73" s="63">
        <f t="shared" si="115"/>
        <v>0.51211435544764639</v>
      </c>
      <c r="AE73" s="63">
        <f t="shared" si="115"/>
        <v>9.0011738943946318E-2</v>
      </c>
      <c r="AF73" s="63">
        <f t="shared" si="115"/>
        <v>0.28853707678418744</v>
      </c>
      <c r="AG73" s="63">
        <f t="shared" si="115"/>
        <v>0.30892086804755164</v>
      </c>
      <c r="AH73" s="63">
        <f t="shared" si="115"/>
        <v>0.25802265360555965</v>
      </c>
      <c r="AI73" s="63">
        <f t="shared" si="115"/>
        <v>0.28224504699905045</v>
      </c>
      <c r="AJ73" s="63">
        <f t="shared" si="115"/>
        <v>0.27610267513075598</v>
      </c>
      <c r="AK73" s="63">
        <f>-AK72/AK67</f>
        <v>0.21598324883886058</v>
      </c>
      <c r="AL73" s="63">
        <f>-AL72/AL67</f>
        <v>0.24211183046444312</v>
      </c>
      <c r="AM73" s="63">
        <f>-AM72/AM67</f>
        <v>0.26717011483980529</v>
      </c>
      <c r="AN73" s="63">
        <f t="shared" si="115"/>
        <v>0.29956565279417668</v>
      </c>
      <c r="AO73" s="63">
        <f t="shared" si="115"/>
        <v>0.28525249159317179</v>
      </c>
      <c r="AP73" s="63">
        <f t="shared" si="115"/>
        <v>0.32371293848222282</v>
      </c>
      <c r="AQ73" s="63">
        <f>-AQ72/AQ67</f>
        <v>0.28189747569944928</v>
      </c>
      <c r="AR73" s="63">
        <f>-AR72/AR67</f>
        <v>0.30425540696714548</v>
      </c>
      <c r="AS73" s="63">
        <f t="shared" ref="AS73" si="116">-AS72/AS67</f>
        <v>0.30373366211478697</v>
      </c>
      <c r="AT73" s="63">
        <f>-AT72/AT67</f>
        <v>0.28401708923341007</v>
      </c>
      <c r="AU73" s="63">
        <f>-AU72/AU67</f>
        <v>0.29476519498770354</v>
      </c>
      <c r="AV73" s="63">
        <f t="shared" ref="AV73" si="117">-AV72/AV67</f>
        <v>0.30073377045124172</v>
      </c>
      <c r="AW73" s="63">
        <f>-AW72/AW67</f>
        <v>0.17224940278111028</v>
      </c>
      <c r="AX73" s="215">
        <f>-AX72/AX67</f>
        <v>0.24604006341227308</v>
      </c>
      <c r="AY73" s="63">
        <f t="shared" ref="AY73:BM73" si="118">-AY72/AY67</f>
        <v>0.29670477535515549</v>
      </c>
      <c r="AZ73" s="63">
        <f t="shared" si="118"/>
        <v>0.29452071494781118</v>
      </c>
      <c r="BA73" s="63">
        <f t="shared" si="118"/>
        <v>0.29561763630582139</v>
      </c>
      <c r="BB73" s="63">
        <f t="shared" si="118"/>
        <v>0.29573252199910011</v>
      </c>
      <c r="BC73" s="63">
        <f t="shared" si="118"/>
        <v>0.29341579374153648</v>
      </c>
      <c r="BD73" s="63">
        <f t="shared" si="118"/>
        <v>0.29458025476180982</v>
      </c>
      <c r="BE73" s="63">
        <f t="shared" si="118"/>
        <v>0.29521858755948316</v>
      </c>
      <c r="BF73" s="63">
        <f t="shared" si="118"/>
        <v>0.29280023219330831</v>
      </c>
      <c r="BG73" s="63">
        <f t="shared" si="118"/>
        <v>0.29401967841972859</v>
      </c>
      <c r="BH73" s="63">
        <f t="shared" si="118"/>
        <v>0.29367156730751087</v>
      </c>
      <c r="BI73" s="63">
        <f t="shared" si="118"/>
        <v>0.29140746335034318</v>
      </c>
      <c r="BJ73" s="63">
        <f t="shared" si="118"/>
        <v>0.29253348804459922</v>
      </c>
      <c r="BK73" s="63">
        <f t="shared" si="118"/>
        <v>0.29275430354589105</v>
      </c>
      <c r="BL73" s="63">
        <f t="shared" si="118"/>
        <v>0.29036910054199577</v>
      </c>
      <c r="BM73" s="63">
        <f t="shared" si="118"/>
        <v>0.2915371128994399</v>
      </c>
      <c r="BP73"/>
      <c r="BQ73"/>
      <c r="BR73"/>
      <c r="BS73"/>
      <c r="BT73"/>
      <c r="BU73"/>
    </row>
    <row r="75" spans="1:73" s="8" customFormat="1">
      <c r="A75" s="17" t="s">
        <v>124</v>
      </c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460"/>
      <c r="BP75"/>
      <c r="BQ75"/>
      <c r="BR75"/>
      <c r="BS75"/>
      <c r="BT75"/>
      <c r="BU75"/>
    </row>
    <row r="76" spans="1:73" collapsed="1">
      <c r="A76" s="58" t="s">
        <v>185</v>
      </c>
    </row>
    <row r="77" spans="1:73">
      <c r="A77" s="89" t="s">
        <v>125</v>
      </c>
      <c r="B77" s="59" t="s">
        <v>172</v>
      </c>
      <c r="C77" s="25">
        <f t="shared" ref="C77:V77" si="119">C27</f>
        <v>96.575999999999993</v>
      </c>
      <c r="D77" s="92">
        <f t="shared" si="119"/>
        <v>95.12700000000001</v>
      </c>
      <c r="E77" s="25">
        <f t="shared" si="119"/>
        <v>191.703</v>
      </c>
      <c r="F77" s="25">
        <f t="shared" si="119"/>
        <v>101.749</v>
      </c>
      <c r="G77" s="92">
        <f t="shared" si="119"/>
        <v>101.43</v>
      </c>
      <c r="H77" s="25">
        <f t="shared" si="119"/>
        <v>203.179</v>
      </c>
      <c r="I77" s="25">
        <f t="shared" si="119"/>
        <v>99.677999999999997</v>
      </c>
      <c r="J77" s="92">
        <f t="shared" si="119"/>
        <v>96.771999999999991</v>
      </c>
      <c r="K77" s="25">
        <f t="shared" si="119"/>
        <v>196.45</v>
      </c>
      <c r="L77" s="25">
        <f t="shared" si="119"/>
        <v>97.363</v>
      </c>
      <c r="M77" s="92">
        <f t="shared" si="119"/>
        <v>111.649</v>
      </c>
      <c r="N77" s="25">
        <f t="shared" si="119"/>
        <v>209.012</v>
      </c>
      <c r="O77" s="25">
        <f t="shared" si="119"/>
        <v>106.83600000000001</v>
      </c>
      <c r="P77" s="92">
        <f t="shared" si="119"/>
        <v>117.84799999999998</v>
      </c>
      <c r="Q77" s="25">
        <f t="shared" si="119"/>
        <v>224.684</v>
      </c>
      <c r="R77" s="25">
        <f t="shared" si="119"/>
        <v>141.79900000000001</v>
      </c>
      <c r="S77" s="92">
        <f t="shared" si="119"/>
        <v>150.18600000000001</v>
      </c>
      <c r="T77" s="25">
        <f t="shared" si="119"/>
        <v>291.98500000000001</v>
      </c>
      <c r="U77" s="25">
        <f t="shared" si="119"/>
        <v>156.10199999999998</v>
      </c>
      <c r="V77" s="92">
        <f t="shared" si="119"/>
        <v>178.15700000000004</v>
      </c>
      <c r="W77" s="92">
        <f>SUM(U77:V77)</f>
        <v>334.25900000000001</v>
      </c>
      <c r="X77" s="92">
        <f>X27</f>
        <v>164.26</v>
      </c>
      <c r="Y77" s="92">
        <f>Y27</f>
        <v>194.64399999999998</v>
      </c>
      <c r="Z77" s="92">
        <f>SUM(X77:Y77)</f>
        <v>358.904</v>
      </c>
      <c r="AA77" s="92">
        <f t="shared" ref="AA77:AL77" si="120">AA27</f>
        <v>178.959</v>
      </c>
      <c r="AB77" s="92">
        <f t="shared" si="120"/>
        <v>199.364</v>
      </c>
      <c r="AC77" s="92">
        <f t="shared" si="120"/>
        <v>378.32299999999998</v>
      </c>
      <c r="AD77" s="92">
        <f t="shared" si="120"/>
        <v>260.14299999999997</v>
      </c>
      <c r="AE77" s="92">
        <f t="shared" si="120"/>
        <v>261.80699999999996</v>
      </c>
      <c r="AF77" s="92">
        <f t="shared" si="120"/>
        <v>521.94999999999993</v>
      </c>
      <c r="AG77" s="92">
        <f t="shared" si="120"/>
        <v>312.70600000000002</v>
      </c>
      <c r="AH77" s="92">
        <f t="shared" si="120"/>
        <v>336.89800000000002</v>
      </c>
      <c r="AI77" s="92">
        <f t="shared" si="120"/>
        <v>649.60400000000004</v>
      </c>
      <c r="AJ77" s="92">
        <f t="shared" si="120"/>
        <v>349.452</v>
      </c>
      <c r="AK77" s="92">
        <f>AK27</f>
        <v>370.66600000000005</v>
      </c>
      <c r="AL77" s="92">
        <f t="shared" si="120"/>
        <v>720.11800000000005</v>
      </c>
      <c r="AM77" s="92">
        <f>AM27+AM47+AM48</f>
        <v>390.322</v>
      </c>
      <c r="AN77" s="92">
        <f>AN27+AN47+AN48</f>
        <v>459.71699999999998</v>
      </c>
      <c r="AO77" s="92">
        <f>SUM(AM77:AN77)</f>
        <v>850.03899999999999</v>
      </c>
      <c r="AP77" s="92">
        <f>AP27+AP47+AP48</f>
        <v>464.06</v>
      </c>
      <c r="AQ77" s="92">
        <f>AQ27+AQ47+AQ48</f>
        <v>477.25100000000003</v>
      </c>
      <c r="AR77" s="92">
        <f>SUM(AP77:AQ77)</f>
        <v>941.31100000000004</v>
      </c>
      <c r="AS77" s="92">
        <f>AS27+AS47+AS48</f>
        <v>526.13199999999995</v>
      </c>
      <c r="AT77" s="92">
        <f>AT27+AT47+AT48</f>
        <v>484.24300000000005</v>
      </c>
      <c r="AU77" s="92">
        <f>SUM(AS77:AT77)</f>
        <v>1010.375</v>
      </c>
      <c r="AV77" s="92">
        <f>AV27+AV47+AV48</f>
        <v>475</v>
      </c>
      <c r="AW77" s="92">
        <f>AW27+AW47+AW48</f>
        <v>402.56100000000004</v>
      </c>
      <c r="AX77" s="93">
        <f>SUM(AV77:AW77)</f>
        <v>877.56100000000004</v>
      </c>
      <c r="AY77" s="92">
        <f>AY27+AY47+AY48</f>
        <v>436.48916262837565</v>
      </c>
      <c r="AZ77" s="92">
        <f>AZ27+AZ47+AZ48</f>
        <v>450.59333112023825</v>
      </c>
      <c r="BA77" s="92">
        <f>SUM(AY77:AZ77)</f>
        <v>887.08249374861384</v>
      </c>
      <c r="BB77" s="92">
        <f>BB27+BB47+BB48</f>
        <v>484.50092439025769</v>
      </c>
      <c r="BC77" s="92">
        <f>BC27+BC47+BC48</f>
        <v>498.44631856824083</v>
      </c>
      <c r="BD77" s="92">
        <f>SUM(BB77:BC77)</f>
        <v>982.94724295849846</v>
      </c>
      <c r="BE77" s="92">
        <f>BE27+BE47+BE48</f>
        <v>533.98614981183084</v>
      </c>
      <c r="BF77" s="92">
        <f>BF27+BF47+BF48</f>
        <v>546.06394806187882</v>
      </c>
      <c r="BG77" s="92">
        <f>SUM(BE77:BF77)</f>
        <v>1080.0500978737095</v>
      </c>
      <c r="BH77" s="92">
        <f>BH27+BH47+BH48</f>
        <v>560.14121084728947</v>
      </c>
      <c r="BI77" s="92">
        <f>BI27+BI47+BI48</f>
        <v>572.95623702342107</v>
      </c>
      <c r="BJ77" s="92">
        <f>SUM(BH77:BI77)</f>
        <v>1133.0974478707105</v>
      </c>
      <c r="BK77" s="92">
        <f>BK27+BK47+BK48</f>
        <v>576.73403762644921</v>
      </c>
      <c r="BL77" s="92">
        <f>BL27+BL47+BL48</f>
        <v>593.16214767913357</v>
      </c>
      <c r="BM77" s="92">
        <f>SUM(BK77:BL77)</f>
        <v>1169.8961853055828</v>
      </c>
    </row>
    <row r="78" spans="1:73">
      <c r="A78" s="89" t="s">
        <v>126</v>
      </c>
      <c r="B78" s="59" t="s">
        <v>172</v>
      </c>
      <c r="C78" s="98">
        <v>1.0389999999999999</v>
      </c>
      <c r="D78" s="92">
        <f>E78-C78</f>
        <v>0.60600000000000032</v>
      </c>
      <c r="E78" s="98">
        <f>-1.753+3.398</f>
        <v>1.6450000000000002</v>
      </c>
      <c r="F78" s="98">
        <f>-1.237+3.028</f>
        <v>1.7909999999999999</v>
      </c>
      <c r="G78" s="92">
        <f>H78-F78</f>
        <v>1.7750000000000004</v>
      </c>
      <c r="H78" s="98">
        <f>-2.506+6.072</f>
        <v>3.5660000000000003</v>
      </c>
      <c r="I78" s="98">
        <f>-0.221+2.906</f>
        <v>2.6850000000000001</v>
      </c>
      <c r="J78" s="92">
        <f>K78-I78</f>
        <v>2.6140000000000003</v>
      </c>
      <c r="K78" s="98">
        <f>-0.457+5.756</f>
        <v>5.2990000000000004</v>
      </c>
      <c r="L78" s="98">
        <f>-0.093+3.696</f>
        <v>3.6030000000000002</v>
      </c>
      <c r="M78" s="92">
        <f>N78-L78</f>
        <v>1.9719999999999991</v>
      </c>
      <c r="N78" s="98">
        <f>5.845-0.27</f>
        <v>5.5749999999999993</v>
      </c>
      <c r="O78" s="98">
        <f>-0.1+2.433</f>
        <v>2.3329999999999997</v>
      </c>
      <c r="P78" s="92">
        <f>Q78-O78</f>
        <v>-3.0919999999999996</v>
      </c>
      <c r="Q78" s="98">
        <f>3.432-4.191</f>
        <v>-0.7589999999999999</v>
      </c>
      <c r="R78" s="98">
        <f>0.706-4.782</f>
        <v>-4.0760000000000005</v>
      </c>
      <c r="S78" s="92">
        <f>T78-R78</f>
        <v>-3.766</v>
      </c>
      <c r="T78" s="98">
        <f>1.113-8.955</f>
        <v>-7.8420000000000005</v>
      </c>
      <c r="U78" s="98">
        <f>0.554-4.409</f>
        <v>-3.8549999999999995</v>
      </c>
      <c r="V78" s="92">
        <f>W78-U78</f>
        <v>-3.4489999999999998</v>
      </c>
      <c r="W78" s="98">
        <f>1.213-8.517</f>
        <v>-7.3039999999999994</v>
      </c>
      <c r="X78" s="98">
        <f>(596-3443)/1000</f>
        <v>-2.847</v>
      </c>
      <c r="Y78" s="92">
        <f>Z78-X78</f>
        <v>-2.4600000000000004</v>
      </c>
      <c r="Z78" s="98">
        <f>(1065-6372)/1000</f>
        <v>-5.3070000000000004</v>
      </c>
      <c r="AA78" s="98">
        <f>(755-2659)/1000</f>
        <v>-1.9039999999999999</v>
      </c>
      <c r="AB78" s="92">
        <f>AC78-AA78</f>
        <v>-1.8620000000000001</v>
      </c>
      <c r="AC78" s="98">
        <f>(1987-5753)/1000</f>
        <v>-3.766</v>
      </c>
      <c r="AD78" s="98">
        <f>0.766-41.321</f>
        <v>-40.555</v>
      </c>
      <c r="AE78" s="92">
        <f>AF78-AD78</f>
        <v>-40.184000000000005</v>
      </c>
      <c r="AF78" s="98">
        <f>1.637-82.376</f>
        <v>-80.739000000000004</v>
      </c>
      <c r="AG78" s="98">
        <f>0.816-42.354</f>
        <v>-41.537999999999997</v>
      </c>
      <c r="AH78" s="92">
        <f>AI78-AG78</f>
        <v>-41.353000000000009</v>
      </c>
      <c r="AI78" s="98">
        <f>2.509-85.4</f>
        <v>-82.891000000000005</v>
      </c>
      <c r="AJ78" s="98">
        <f>-37.779+2.135</f>
        <v>-35.644000000000005</v>
      </c>
      <c r="AK78" s="92">
        <f>AL78-AJ78</f>
        <v>-37.047999999999988</v>
      </c>
      <c r="AL78" s="98">
        <f>+-75.276+2.584</f>
        <v>-72.691999999999993</v>
      </c>
      <c r="AM78" s="98">
        <f>0.396-41.59</f>
        <v>-41.194000000000003</v>
      </c>
      <c r="AN78" s="92">
        <f>AO78-AM78</f>
        <v>-22.100999999999999</v>
      </c>
      <c r="AO78" s="98">
        <f>-42.143+0.537-21.689</f>
        <v>-63.295000000000002</v>
      </c>
      <c r="AP78" s="98">
        <f>0.396-41.59</f>
        <v>-41.194000000000003</v>
      </c>
      <c r="AQ78" s="92">
        <f>AR78-AP78</f>
        <v>-45.070999999999998</v>
      </c>
      <c r="AR78" s="98">
        <f>6.048+-60.713+-31.6</f>
        <v>-86.265000000000001</v>
      </c>
      <c r="AS78" s="98">
        <f>0.396-41.59</f>
        <v>-41.194000000000003</v>
      </c>
      <c r="AT78" s="92">
        <f>AU78-AS78</f>
        <v>-50.614999999999995</v>
      </c>
      <c r="AU78" s="98">
        <f>12.502+-68.933+-35.378</f>
        <v>-91.808999999999997</v>
      </c>
      <c r="AV78" s="98">
        <f>6.278-29.834-22.279</f>
        <v>-45.835000000000001</v>
      </c>
      <c r="AW78" s="92">
        <f>AX78-AV78</f>
        <v>-47.466000000000001</v>
      </c>
      <c r="AX78" s="404">
        <f>10.293+-56.094+-47.5</f>
        <v>-93.301000000000002</v>
      </c>
      <c r="AY78" s="92">
        <f>AY39</f>
        <v>-56.839435593644964</v>
      </c>
      <c r="AZ78" s="92">
        <f>AZ39</f>
        <v>-58.884141653508323</v>
      </c>
      <c r="BA78" s="92">
        <f>SUM(AY78:AZ78)</f>
        <v>-115.72357724715329</v>
      </c>
      <c r="BB78" s="92">
        <f>BB39</f>
        <v>-54.902009761252799</v>
      </c>
      <c r="BC78" s="92">
        <f>BC39</f>
        <v>-56.333759594999464</v>
      </c>
      <c r="BD78" s="92">
        <f>SUM(BB78:BC78)</f>
        <v>-111.23576935625226</v>
      </c>
      <c r="BE78" s="92">
        <f>BE39</f>
        <v>-56.037213870346235</v>
      </c>
      <c r="BF78" s="92">
        <f>BF39</f>
        <v>-56.540315894379546</v>
      </c>
      <c r="BG78" s="92">
        <f>SUM(BE78:BF78)</f>
        <v>-112.57752976472578</v>
      </c>
      <c r="BH78" s="92">
        <f>BH39</f>
        <v>-47.119350544049801</v>
      </c>
      <c r="BI78" s="92">
        <f>BI39</f>
        <v>-38.740753754995495</v>
      </c>
      <c r="BJ78" s="92">
        <f>SUM(BH78:BI78)</f>
        <v>-85.860104299045304</v>
      </c>
      <c r="BK78" s="92">
        <f>BK39</f>
        <v>-44.645342647884611</v>
      </c>
      <c r="BL78" s="92">
        <f>BL39</f>
        <v>-27.908574408315665</v>
      </c>
      <c r="BM78" s="92">
        <f>SUM(BK78:BL78)</f>
        <v>-72.553917056200277</v>
      </c>
    </row>
    <row r="79" spans="1:73">
      <c r="A79" s="89" t="s">
        <v>127</v>
      </c>
      <c r="B79" s="59" t="s">
        <v>172</v>
      </c>
      <c r="C79" s="98">
        <v>-19.117999999999999</v>
      </c>
      <c r="D79" s="92">
        <f>E79-C79</f>
        <v>-20.977999999999998</v>
      </c>
      <c r="E79" s="98">
        <v>-40.095999999999997</v>
      </c>
      <c r="F79" s="98">
        <v>-26.710999999999999</v>
      </c>
      <c r="G79" s="92">
        <f>H79-F79</f>
        <v>-23.667000000000002</v>
      </c>
      <c r="H79" s="98">
        <v>-50.378</v>
      </c>
      <c r="I79" s="98">
        <v>-31.978999999999999</v>
      </c>
      <c r="J79" s="92">
        <f>K79-I79</f>
        <v>-24.734000000000002</v>
      </c>
      <c r="K79" s="98">
        <v>-56.713000000000001</v>
      </c>
      <c r="L79" s="98">
        <v>-26.699000000000002</v>
      </c>
      <c r="M79" s="92">
        <f>N79-L79</f>
        <v>-24.038999999999998</v>
      </c>
      <c r="N79" s="98">
        <v>-50.738</v>
      </c>
      <c r="O79" s="98">
        <v>-27.324000000000002</v>
      </c>
      <c r="P79" s="92">
        <f>Q79-O79</f>
        <v>-37.859000000000009</v>
      </c>
      <c r="Q79" s="98">
        <v>-65.183000000000007</v>
      </c>
      <c r="R79" s="98">
        <v>-39.655000000000001</v>
      </c>
      <c r="S79" s="92">
        <f>T79-R79</f>
        <v>-33.403000000000006</v>
      </c>
      <c r="T79" s="98">
        <v>-73.058000000000007</v>
      </c>
      <c r="U79" s="98">
        <v>-41.475999999999999</v>
      </c>
      <c r="V79" s="92">
        <f>W79-U79</f>
        <v>-37.204000000000008</v>
      </c>
      <c r="W79" s="98">
        <v>-78.680000000000007</v>
      </c>
      <c r="X79" s="98">
        <v>-55.228000000000002</v>
      </c>
      <c r="Y79" s="92">
        <f>Z79-X79</f>
        <v>-42.487000000000002</v>
      </c>
      <c r="Z79" s="98">
        <v>-97.715000000000003</v>
      </c>
      <c r="AA79" s="98">
        <v>-58.866</v>
      </c>
      <c r="AB79" s="92">
        <f>AC79-AA79</f>
        <v>-49.680000000000007</v>
      </c>
      <c r="AC79" s="98">
        <v>-108.54600000000001</v>
      </c>
      <c r="AD79" s="98">
        <v>58.723999999999997</v>
      </c>
      <c r="AE79" s="92">
        <f>AF79-AD79</f>
        <v>-151.07499999999999</v>
      </c>
      <c r="AF79" s="98">
        <v>-92.350999999999999</v>
      </c>
      <c r="AG79" s="98">
        <v>-45.628</v>
      </c>
      <c r="AH79" s="92">
        <f>AI79-AG79</f>
        <v>-44.108999999999995</v>
      </c>
      <c r="AI79" s="98">
        <v>-89.736999999999995</v>
      </c>
      <c r="AJ79" s="98">
        <v>84.641999999999996</v>
      </c>
      <c r="AK79" s="92">
        <f>AL79-AJ79</f>
        <v>-203.916</v>
      </c>
      <c r="AL79" s="98">
        <v>-119.274</v>
      </c>
      <c r="AM79" s="98">
        <v>-88.21</v>
      </c>
      <c r="AN79" s="92">
        <f>AO79-AM79</f>
        <v>-56.100000000000009</v>
      </c>
      <c r="AO79" s="98">
        <v>-144.31</v>
      </c>
      <c r="AP79" s="98">
        <v>-87.21</v>
      </c>
      <c r="AQ79" s="92">
        <f>AR79-AP79</f>
        <v>-112.89</v>
      </c>
      <c r="AR79" s="98">
        <v>-200.1</v>
      </c>
      <c r="AS79" s="98">
        <v>-86.21</v>
      </c>
      <c r="AT79" s="92">
        <f>AU79-AS79</f>
        <v>-107.67700000000001</v>
      </c>
      <c r="AU79" s="98">
        <v>-193.887</v>
      </c>
      <c r="AV79" s="98">
        <v>-76.257999999999996</v>
      </c>
      <c r="AW79" s="92">
        <f>AX79-AV79</f>
        <v>-69.673000000000016</v>
      </c>
      <c r="AX79" s="404">
        <v>-145.93100000000001</v>
      </c>
      <c r="AY79" s="92">
        <f>AY42</f>
        <v>-59.092229545089062</v>
      </c>
      <c r="AZ79" s="92">
        <f>AZ42</f>
        <v>-58.134144930136443</v>
      </c>
      <c r="BA79" s="92">
        <f>SUM(AY79:AZ79)</f>
        <v>-117.2263744752255</v>
      </c>
      <c r="BB79" s="92">
        <f>BB42</f>
        <v>-71.989344815209918</v>
      </c>
      <c r="BC79" s="92">
        <f>BC42</f>
        <v>-70.677451192723524</v>
      </c>
      <c r="BD79" s="92">
        <f>SUM(BB79:BC79)</f>
        <v>-142.66679600793344</v>
      </c>
      <c r="BE79" s="92">
        <f>BE42</f>
        <v>-84.408744649729897</v>
      </c>
      <c r="BF79" s="92">
        <f>BF42</f>
        <v>-82.307379903441799</v>
      </c>
      <c r="BG79" s="92">
        <f>SUM(BE79:BF79)</f>
        <v>-166.71612455317171</v>
      </c>
      <c r="BH79" s="92">
        <f>BH42</f>
        <v>-92.492845495098649</v>
      </c>
      <c r="BI79" s="92">
        <f>BI42</f>
        <v>-92.762299329554921</v>
      </c>
      <c r="BJ79" s="92">
        <f>SUM(BH79:BI79)</f>
        <v>-185.25514482465357</v>
      </c>
      <c r="BK79" s="92">
        <f>BK42</f>
        <v>-95.962614817972792</v>
      </c>
      <c r="BL79" s="92">
        <f>BL42</f>
        <v>-99.18827861963662</v>
      </c>
      <c r="BM79" s="92">
        <f>SUM(BK79:BL79)</f>
        <v>-195.1508934376094</v>
      </c>
    </row>
    <row r="80" spans="1:73">
      <c r="A80" s="89" t="s">
        <v>27</v>
      </c>
      <c r="B80" s="59" t="s">
        <v>172</v>
      </c>
      <c r="C80" s="25"/>
      <c r="D80" s="92">
        <f t="shared" ref="D80:V80" si="121">D206</f>
        <v>0</v>
      </c>
      <c r="E80" s="25"/>
      <c r="F80" s="25">
        <f t="shared" si="121"/>
        <v>29.506999999999977</v>
      </c>
      <c r="G80" s="92">
        <f t="shared" si="121"/>
        <v>-12.50800000000001</v>
      </c>
      <c r="H80" s="25">
        <f t="shared" si="121"/>
        <v>16.998999999999967</v>
      </c>
      <c r="I80" s="25">
        <f t="shared" si="121"/>
        <v>-7.9909999999999286</v>
      </c>
      <c r="J80" s="92">
        <f t="shared" si="121"/>
        <v>-8.522000000000105</v>
      </c>
      <c r="K80" s="25">
        <f t="shared" si="121"/>
        <v>-16.513000000000034</v>
      </c>
      <c r="L80" s="25">
        <f t="shared" si="121"/>
        <v>10.351000000000056</v>
      </c>
      <c r="M80" s="92">
        <f t="shared" si="121"/>
        <v>9.8109999999999786</v>
      </c>
      <c r="N80" s="25">
        <f t="shared" si="121"/>
        <v>20.162000000000035</v>
      </c>
      <c r="O80" s="25">
        <f t="shared" si="121"/>
        <v>19.956999999999994</v>
      </c>
      <c r="P80" s="92">
        <f t="shared" si="121"/>
        <v>73.284999999999883</v>
      </c>
      <c r="Q80" s="25">
        <f t="shared" si="121"/>
        <v>93.241999999999877</v>
      </c>
      <c r="R80" s="25">
        <f t="shared" si="121"/>
        <v>35.935000000000116</v>
      </c>
      <c r="S80" s="92">
        <f t="shared" si="121"/>
        <v>12.674000000000092</v>
      </c>
      <c r="T80" s="25">
        <f t="shared" si="121"/>
        <v>48.609000000000208</v>
      </c>
      <c r="U80" s="25">
        <f t="shared" si="121"/>
        <v>19.023999999999944</v>
      </c>
      <c r="V80" s="92">
        <f t="shared" si="121"/>
        <v>41.770999999999958</v>
      </c>
      <c r="W80" s="92">
        <f>W206</f>
        <v>60.794999999999902</v>
      </c>
      <c r="X80" s="92">
        <f>X206</f>
        <v>20.039999999999964</v>
      </c>
      <c r="Y80" s="92">
        <f>Y206</f>
        <v>8.2109999999999559</v>
      </c>
      <c r="Z80" s="92">
        <f>Z206</f>
        <v>28.25099999999992</v>
      </c>
      <c r="AA80" s="92">
        <f>-AA206</f>
        <v>-44.901000000000124</v>
      </c>
      <c r="AB80" s="92">
        <f>-AB206</f>
        <v>-67.805999999999983</v>
      </c>
      <c r="AC80" s="92">
        <f>SUM(AA80:AB80)</f>
        <v>-112.70700000000011</v>
      </c>
      <c r="AD80" s="92">
        <f>-AD206</f>
        <v>-577.96000000000026</v>
      </c>
      <c r="AE80" s="92">
        <f>-AE206</f>
        <v>23.55800000000022</v>
      </c>
      <c r="AF80" s="92">
        <f>SUM(AD80:AE80)</f>
        <v>-554.40200000000004</v>
      </c>
      <c r="AG80" s="92">
        <f>-AG206</f>
        <v>-66.391000000000076</v>
      </c>
      <c r="AH80" s="92">
        <f>-AH206</f>
        <v>91.371999999999844</v>
      </c>
      <c r="AI80" s="92">
        <f>SUM(AG80:AH80)</f>
        <v>24.980999999999767</v>
      </c>
      <c r="AJ80" s="92">
        <f>-AJ206</f>
        <v>-65.03899999999976</v>
      </c>
      <c r="AK80" s="92">
        <f>-AK206</f>
        <v>-26.930000000000064</v>
      </c>
      <c r="AL80" s="92">
        <f>SUM(AJ80:AK80)</f>
        <v>-91.968999999999824</v>
      </c>
      <c r="AM80" s="92">
        <f>-AM206</f>
        <v>-348.55899999999974</v>
      </c>
      <c r="AN80" s="92">
        <f>AO80-AM80</f>
        <v>-133.25</v>
      </c>
      <c r="AO80" s="92">
        <f>-AO206</f>
        <v>-481.80899999999974</v>
      </c>
      <c r="AP80" s="92">
        <f>-AP206</f>
        <v>-199.51500000000055</v>
      </c>
      <c r="AQ80" s="92">
        <f>AR80-AP80</f>
        <v>214.0450000000003</v>
      </c>
      <c r="AR80" s="92">
        <f>-AR206</f>
        <v>14.529999999999745</v>
      </c>
      <c r="AS80" s="92">
        <f>-AS206</f>
        <v>35.353000000000293</v>
      </c>
      <c r="AT80" s="92">
        <f>AU80-AS80</f>
        <v>4.8010000000001583</v>
      </c>
      <c r="AU80" s="92">
        <f>-AU206</f>
        <v>40.154000000000451</v>
      </c>
      <c r="AV80" s="92">
        <f>-AV206</f>
        <v>-171.54700000000025</v>
      </c>
      <c r="AW80" s="92">
        <f>AX80-AV80</f>
        <v>60.516999999999598</v>
      </c>
      <c r="AX80" s="93">
        <f>-AX206</f>
        <v>-111.03000000000065</v>
      </c>
      <c r="AY80" s="92">
        <f>-AY206</f>
        <v>-168.15818489831486</v>
      </c>
      <c r="AZ80" s="92">
        <f>-AZ206</f>
        <v>80.972193839262445</v>
      </c>
      <c r="BA80" s="92">
        <f>SUM(AY80:AZ80)</f>
        <v>-87.185991059052412</v>
      </c>
      <c r="BB80" s="92">
        <f>-BB206</f>
        <v>-195.74303620991168</v>
      </c>
      <c r="BC80" s="92">
        <f>-BC206</f>
        <v>87.228303169102219</v>
      </c>
      <c r="BD80" s="92">
        <f>SUM(BB80:BC80)</f>
        <v>-108.51473304080946</v>
      </c>
      <c r="BE80" s="92">
        <f>-BE206</f>
        <v>-226.06974749244182</v>
      </c>
      <c r="BF80" s="92">
        <f>-BF206</f>
        <v>99.220689131583185</v>
      </c>
      <c r="BG80" s="92">
        <f>SUM(BE80:BF80)</f>
        <v>-126.84905836085863</v>
      </c>
      <c r="BH80" s="92">
        <f>-BH206</f>
        <v>-202.87691707395061</v>
      </c>
      <c r="BI80" s="92">
        <f>-BI206</f>
        <v>103.66874774305415</v>
      </c>
      <c r="BJ80" s="92">
        <f>SUM(BH80:BI80)</f>
        <v>-99.208169330896453</v>
      </c>
      <c r="BK80" s="92">
        <f>-BK206</f>
        <v>-169.3185879252942</v>
      </c>
      <c r="BL80" s="92">
        <f>-BL206</f>
        <v>93.860862542831455</v>
      </c>
      <c r="BM80" s="92">
        <f>SUM(BK80:BL80)</f>
        <v>-75.457725382462741</v>
      </c>
    </row>
    <row r="81" spans="1:73">
      <c r="A81" s="89" t="s">
        <v>217</v>
      </c>
      <c r="B81" s="59" t="s">
        <v>172</v>
      </c>
      <c r="C81" s="25">
        <f t="shared" ref="C81:Q81" si="122">C82-SUM(C77:C80)</f>
        <v>16.581000000000003</v>
      </c>
      <c r="D81" s="92">
        <f t="shared" si="122"/>
        <v>20.190999999999988</v>
      </c>
      <c r="E81" s="92">
        <f t="shared" si="122"/>
        <v>36.771999999999991</v>
      </c>
      <c r="F81" s="25">
        <f t="shared" si="122"/>
        <v>-61.474999999999973</v>
      </c>
      <c r="G81" s="92">
        <f t="shared" si="122"/>
        <v>23.941000000000003</v>
      </c>
      <c r="H81" s="92">
        <f t="shared" si="122"/>
        <v>-37.533999999999992</v>
      </c>
      <c r="I81" s="25">
        <f t="shared" si="122"/>
        <v>12.083999999999932</v>
      </c>
      <c r="J81" s="92">
        <f t="shared" si="122"/>
        <v>15.946000000000112</v>
      </c>
      <c r="K81" s="92">
        <f t="shared" si="122"/>
        <v>28.03000000000003</v>
      </c>
      <c r="L81" s="25">
        <f t="shared" si="122"/>
        <v>-21.76200000000005</v>
      </c>
      <c r="M81" s="92">
        <f t="shared" si="122"/>
        <v>-22.486999999999966</v>
      </c>
      <c r="N81" s="92">
        <f t="shared" si="122"/>
        <v>-44.249000000000024</v>
      </c>
      <c r="O81" s="25">
        <f t="shared" si="122"/>
        <v>-41.378000000000007</v>
      </c>
      <c r="P81" s="92">
        <f t="shared" si="122"/>
        <v>-64.882999999999839</v>
      </c>
      <c r="Q81" s="92">
        <f t="shared" si="122"/>
        <v>-106.26099999999988</v>
      </c>
      <c r="R81" s="25">
        <f t="shared" ref="R81:AC81" si="123">R82-SUM(R77:R80)</f>
        <v>-69.531000000000134</v>
      </c>
      <c r="S81" s="92">
        <f>S82-SUM(S77:S80)</f>
        <v>-23.917000000000087</v>
      </c>
      <c r="T81" s="92">
        <f t="shared" si="123"/>
        <v>-93.448000000000235</v>
      </c>
      <c r="U81" s="25">
        <f t="shared" si="123"/>
        <v>-35.966999999999928</v>
      </c>
      <c r="V81" s="92">
        <f>V82-SUM(V77:V80)</f>
        <v>-82.760999999999967</v>
      </c>
      <c r="W81" s="92">
        <f t="shared" si="123"/>
        <v>-118.72799999999992</v>
      </c>
      <c r="X81" s="92">
        <f t="shared" si="123"/>
        <v>-48.126999999999938</v>
      </c>
      <c r="Y81" s="92">
        <f t="shared" si="123"/>
        <v>-21.196999999999917</v>
      </c>
      <c r="Z81" s="92">
        <f t="shared" si="123"/>
        <v>-69.323999999999927</v>
      </c>
      <c r="AA81" s="92">
        <f t="shared" si="123"/>
        <v>17.807000000000116</v>
      </c>
      <c r="AB81" s="92">
        <f t="shared" si="123"/>
        <v>9.813999999999993</v>
      </c>
      <c r="AC81" s="92">
        <f t="shared" si="123"/>
        <v>27.621000000000151</v>
      </c>
      <c r="AD81" s="92">
        <f t="shared" ref="AD81:AI81" si="124">AD82-SUM(AD77:AD80)</f>
        <v>349.09100000000029</v>
      </c>
      <c r="AE81" s="92">
        <f t="shared" si="124"/>
        <v>110.91699999999983</v>
      </c>
      <c r="AF81" s="92">
        <f t="shared" si="124"/>
        <v>460.00800000000015</v>
      </c>
      <c r="AG81" s="92">
        <f t="shared" si="124"/>
        <v>42.073000000000064</v>
      </c>
      <c r="AH81" s="92">
        <f t="shared" si="124"/>
        <v>56.93200000000013</v>
      </c>
      <c r="AI81" s="92">
        <f t="shared" si="124"/>
        <v>99.005000000000109</v>
      </c>
      <c r="AJ81" s="92">
        <f>AJ82-SUM(AJ77:AJ80)</f>
        <v>-234.04200000000023</v>
      </c>
      <c r="AK81" s="92">
        <f>AK82-SUM(AK77:AK80)</f>
        <v>169.49500000000006</v>
      </c>
      <c r="AL81" s="92">
        <f>AL82-SUM(AL77:AL80)</f>
        <v>-64.547000000000196</v>
      </c>
      <c r="AM81" s="92">
        <f>AM82-SUM(AM77:AM80)</f>
        <v>3.9879999999997295</v>
      </c>
      <c r="AN81" s="92">
        <f>AO81-AM81</f>
        <v>57.173000000000044</v>
      </c>
      <c r="AO81" s="92">
        <f>AO82-SUM(AO77:AO80)</f>
        <v>61.160999999999774</v>
      </c>
      <c r="AP81" s="92">
        <f>AP82-SUM(AP77:AP80)</f>
        <v>51.38900000000055</v>
      </c>
      <c r="AQ81" s="92">
        <f>AR81-AP81</f>
        <v>45.516999999999626</v>
      </c>
      <c r="AR81" s="92">
        <f>AR82-SUM(AR77:AR80)</f>
        <v>96.906000000000176</v>
      </c>
      <c r="AS81" s="92">
        <f>AS82-SUM(AS77:AS80)</f>
        <v>-56.341000000000236</v>
      </c>
      <c r="AT81" s="92">
        <f>AU81-AS81</f>
        <v>42.41299999999967</v>
      </c>
      <c r="AU81" s="92">
        <f>AU82-SUM(AU77:AU80)</f>
        <v>-13.928000000000566</v>
      </c>
      <c r="AV81" s="92">
        <f>AV82-SUM(AV77:AV80)</f>
        <v>74.596000000000203</v>
      </c>
      <c r="AW81" s="92">
        <f>AX81-AV81</f>
        <v>-2.1119999999994832</v>
      </c>
      <c r="AX81" s="93">
        <f>AX82-SUM(AX77:AX80)</f>
        <v>72.484000000000719</v>
      </c>
      <c r="AY81" s="102">
        <v>0</v>
      </c>
      <c r="AZ81" s="102">
        <v>0</v>
      </c>
      <c r="BA81" s="92">
        <f>AZ81+AY81</f>
        <v>0</v>
      </c>
      <c r="BB81" s="102">
        <v>0</v>
      </c>
      <c r="BC81" s="102">
        <v>0</v>
      </c>
      <c r="BD81" s="92">
        <f>BC81+BB81</f>
        <v>0</v>
      </c>
      <c r="BE81" s="102">
        <v>0</v>
      </c>
      <c r="BF81" s="102">
        <v>0</v>
      </c>
      <c r="BG81" s="92">
        <f>BF81+BE81</f>
        <v>0</v>
      </c>
      <c r="BH81" s="102">
        <v>0</v>
      </c>
      <c r="BI81" s="102">
        <v>0</v>
      </c>
      <c r="BJ81" s="92">
        <f>BI81+BH81</f>
        <v>0</v>
      </c>
      <c r="BK81" s="102">
        <v>0</v>
      </c>
      <c r="BL81" s="102">
        <v>0</v>
      </c>
      <c r="BM81" s="92">
        <f>BL81+BK81</f>
        <v>0</v>
      </c>
    </row>
    <row r="82" spans="1:73" s="13" customFormat="1">
      <c r="A82" s="13" t="s">
        <v>185</v>
      </c>
      <c r="B82" s="55" t="s">
        <v>172</v>
      </c>
      <c r="C82" s="334">
        <v>95.078000000000003</v>
      </c>
      <c r="D82" s="90">
        <f>E82-C82</f>
        <v>94.945999999999998</v>
      </c>
      <c r="E82" s="334">
        <v>190.024</v>
      </c>
      <c r="F82" s="334">
        <v>44.860999999999997</v>
      </c>
      <c r="G82" s="90">
        <f>H82-F82</f>
        <v>90.971000000000004</v>
      </c>
      <c r="H82" s="334">
        <v>135.83199999999999</v>
      </c>
      <c r="I82" s="334">
        <v>74.477000000000004</v>
      </c>
      <c r="J82" s="90">
        <f>K82-I82</f>
        <v>82.075999999999993</v>
      </c>
      <c r="K82" s="334">
        <v>156.553</v>
      </c>
      <c r="L82" s="334">
        <v>62.856000000000002</v>
      </c>
      <c r="M82" s="90">
        <f>N82-L82</f>
        <v>76.906000000000006</v>
      </c>
      <c r="N82" s="334">
        <v>139.762</v>
      </c>
      <c r="O82" s="334">
        <v>60.423999999999999</v>
      </c>
      <c r="P82" s="90">
        <f>Q82-O82</f>
        <v>85.299000000000007</v>
      </c>
      <c r="Q82" s="334">
        <v>145.72300000000001</v>
      </c>
      <c r="R82" s="334">
        <v>64.471999999999994</v>
      </c>
      <c r="S82" s="90">
        <f>T82-R82</f>
        <v>101.77400000000002</v>
      </c>
      <c r="T82" s="334">
        <v>166.24600000000001</v>
      </c>
      <c r="U82" s="334">
        <v>93.828000000000003</v>
      </c>
      <c r="V82" s="90">
        <f>W82-U82</f>
        <v>96.51400000000001</v>
      </c>
      <c r="W82" s="334">
        <v>190.34200000000001</v>
      </c>
      <c r="X82" s="334">
        <v>78.097999999999999</v>
      </c>
      <c r="Y82" s="90">
        <f>Z82-X82</f>
        <v>136.71100000000001</v>
      </c>
      <c r="Z82" s="334">
        <v>214.809</v>
      </c>
      <c r="AA82" s="334">
        <v>91.094999999999999</v>
      </c>
      <c r="AB82" s="90">
        <f>AC82-AA82</f>
        <v>89.830000000000013</v>
      </c>
      <c r="AC82" s="334">
        <v>180.92500000000001</v>
      </c>
      <c r="AD82" s="334">
        <v>49.442999999999998</v>
      </c>
      <c r="AE82" s="90">
        <f>AF82-AD82</f>
        <v>205.02300000000002</v>
      </c>
      <c r="AF82" s="334">
        <v>254.46600000000001</v>
      </c>
      <c r="AG82" s="334">
        <v>201.22200000000001</v>
      </c>
      <c r="AH82" s="94">
        <f>AI82-AG82</f>
        <v>399.74</v>
      </c>
      <c r="AI82" s="96">
        <v>600.96199999999999</v>
      </c>
      <c r="AJ82" s="96">
        <v>99.369</v>
      </c>
      <c r="AK82" s="94">
        <f>AL82-AJ82</f>
        <v>272.26700000000005</v>
      </c>
      <c r="AL82" s="96">
        <v>371.63600000000002</v>
      </c>
      <c r="AM82" s="96">
        <v>-83.653000000000006</v>
      </c>
      <c r="AN82" s="94">
        <f t="shared" ref="AN82" si="125">SUM(AN77:AN81)</f>
        <v>305.43900000000002</v>
      </c>
      <c r="AO82" s="96">
        <v>221.786</v>
      </c>
      <c r="AP82" s="96">
        <v>187.53</v>
      </c>
      <c r="AQ82" s="94">
        <f>SUM(AQ77:AQ81)</f>
        <v>578.85199999999998</v>
      </c>
      <c r="AR82" s="96">
        <v>766.38199999999995</v>
      </c>
      <c r="AS82" s="96">
        <v>377.74</v>
      </c>
      <c r="AT82" s="94">
        <f>SUM(AT77:AT81)</f>
        <v>373.16499999999985</v>
      </c>
      <c r="AU82" s="96">
        <v>750.90499999999997</v>
      </c>
      <c r="AV82" s="96">
        <v>255.95599999999999</v>
      </c>
      <c r="AW82" s="94">
        <f>SUM(AW77:AW81)</f>
        <v>343.82700000000011</v>
      </c>
      <c r="AX82" s="398">
        <v>599.78300000000002</v>
      </c>
      <c r="AY82" s="94">
        <f t="shared" ref="AY82:BM82" si="126">SUM(AY77:AY81)</f>
        <v>152.39931259132675</v>
      </c>
      <c r="AZ82" s="94">
        <f t="shared" si="126"/>
        <v>414.54723837585595</v>
      </c>
      <c r="BA82" s="94">
        <f t="shared" si="126"/>
        <v>566.94655096718259</v>
      </c>
      <c r="BB82" s="94">
        <f t="shared" si="126"/>
        <v>161.86653360388328</v>
      </c>
      <c r="BC82" s="94">
        <f t="shared" si="126"/>
        <v>458.66341094962002</v>
      </c>
      <c r="BD82" s="94">
        <f t="shared" si="126"/>
        <v>620.52994455350336</v>
      </c>
      <c r="BE82" s="94">
        <f t="shared" si="126"/>
        <v>167.47044379931287</v>
      </c>
      <c r="BF82" s="94">
        <f t="shared" si="126"/>
        <v>506.43694139564064</v>
      </c>
      <c r="BG82" s="94">
        <f t="shared" si="126"/>
        <v>673.90738519495335</v>
      </c>
      <c r="BH82" s="94">
        <f t="shared" si="126"/>
        <v>217.65209773419042</v>
      </c>
      <c r="BI82" s="94">
        <f t="shared" si="126"/>
        <v>545.12193168192482</v>
      </c>
      <c r="BJ82" s="94">
        <f t="shared" si="126"/>
        <v>762.77402941611513</v>
      </c>
      <c r="BK82" s="94">
        <f t="shared" si="126"/>
        <v>266.80749223529762</v>
      </c>
      <c r="BL82" s="94">
        <f t="shared" si="126"/>
        <v>559.92615719401283</v>
      </c>
      <c r="BM82" s="94">
        <f t="shared" si="126"/>
        <v>826.73364942931028</v>
      </c>
      <c r="BP82"/>
      <c r="BQ82"/>
      <c r="BR82"/>
      <c r="BS82"/>
      <c r="BT82"/>
      <c r="BU82"/>
    </row>
    <row r="83" spans="1:73">
      <c r="A83" s="58" t="s">
        <v>28</v>
      </c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92"/>
      <c r="AI83" s="92"/>
      <c r="AJ83" s="92"/>
      <c r="AK83" s="92"/>
      <c r="AL83" s="27"/>
      <c r="AM83" s="92"/>
      <c r="AN83" s="92"/>
      <c r="AO83" s="27"/>
      <c r="AP83" s="92"/>
      <c r="AQ83" s="92"/>
      <c r="AR83" s="27"/>
      <c r="AS83" s="92"/>
      <c r="AT83" s="92"/>
      <c r="AU83" s="27"/>
      <c r="AV83" s="92"/>
      <c r="AW83" s="92"/>
      <c r="AX83" s="402"/>
      <c r="AY83" s="92"/>
      <c r="AZ83" s="92"/>
      <c r="BA83" s="27"/>
      <c r="BB83" s="92"/>
      <c r="BC83" s="92"/>
      <c r="BD83" s="27"/>
      <c r="BE83" s="92"/>
      <c r="BF83" s="92"/>
      <c r="BG83" s="27"/>
      <c r="BH83" s="92"/>
      <c r="BI83" s="92"/>
      <c r="BJ83" s="27"/>
      <c r="BK83" s="92"/>
      <c r="BL83" s="92"/>
      <c r="BM83" s="27"/>
    </row>
    <row r="84" spans="1:73">
      <c r="A84" s="89" t="s">
        <v>29</v>
      </c>
      <c r="B84" s="59" t="s">
        <v>172</v>
      </c>
      <c r="C84" s="91">
        <v>-17.308800000000002</v>
      </c>
      <c r="D84" s="38">
        <f>E84-C84</f>
        <v>-16.088199999999997</v>
      </c>
      <c r="E84" s="91">
        <v>-33.396999999999998</v>
      </c>
      <c r="F84" s="91">
        <v>-31.283999999999999</v>
      </c>
      <c r="G84" s="38">
        <f>H84-F84</f>
        <v>-36.050000000000004</v>
      </c>
      <c r="H84" s="91">
        <v>-67.334000000000003</v>
      </c>
      <c r="I84" s="91">
        <v>-32.5</v>
      </c>
      <c r="J84" s="38">
        <f>K84-I84</f>
        <v>-35.248999999999995</v>
      </c>
      <c r="K84" s="91">
        <v>-67.748999999999995</v>
      </c>
      <c r="L84" s="91">
        <v>-53.055</v>
      </c>
      <c r="M84" s="38">
        <f>N84-L84</f>
        <v>-36.842999999999996</v>
      </c>
      <c r="N84" s="91">
        <v>-89.897999999999996</v>
      </c>
      <c r="O84" s="91">
        <v>-33.311</v>
      </c>
      <c r="P84" s="38">
        <f>Q84-O84</f>
        <v>-32.595999999999997</v>
      </c>
      <c r="Q84" s="91">
        <v>-65.906999999999996</v>
      </c>
      <c r="R84" s="91">
        <v>-31.567</v>
      </c>
      <c r="S84" s="38">
        <f>T84-R84</f>
        <v>-33.567</v>
      </c>
      <c r="T84" s="91">
        <v>-65.134</v>
      </c>
      <c r="U84" s="91">
        <v>-45.610999999999997</v>
      </c>
      <c r="V84" s="38">
        <f>W84-U84</f>
        <v>-19.899999999999999</v>
      </c>
      <c r="W84" s="91">
        <v>-65.510999999999996</v>
      </c>
      <c r="X84" s="91">
        <v>-54.942</v>
      </c>
      <c r="Y84" s="38">
        <f>Z84-X84</f>
        <v>-39.940999999999995</v>
      </c>
      <c r="Z84" s="91">
        <v>-94.882999999999996</v>
      </c>
      <c r="AA84" s="91">
        <v>-38.362000000000002</v>
      </c>
      <c r="AB84" s="38">
        <f>AC84-AA84</f>
        <v>-49.881999999999998</v>
      </c>
      <c r="AC84" s="91">
        <v>-88.244</v>
      </c>
      <c r="AD84" s="91">
        <v>-51.838000000000001</v>
      </c>
      <c r="AE84" s="38">
        <f>AF84-AD84</f>
        <v>-47.360999999999997</v>
      </c>
      <c r="AF84" s="91">
        <v>-99.198999999999998</v>
      </c>
      <c r="AG84" s="91">
        <v>-46.677999999999997</v>
      </c>
      <c r="AH84" s="92">
        <f>AI84-AG84</f>
        <v>-36.650000000000006</v>
      </c>
      <c r="AI84" s="98">
        <v>-83.328000000000003</v>
      </c>
      <c r="AJ84" s="98">
        <v>-27.683</v>
      </c>
      <c r="AK84" s="92">
        <f>AL84-AJ84</f>
        <v>-41.925000000000004</v>
      </c>
      <c r="AL84" s="98">
        <v>-69.608000000000004</v>
      </c>
      <c r="AM84" s="98">
        <v>-87.277000000000001</v>
      </c>
      <c r="AN84" s="92">
        <f>-AN133*AN23</f>
        <v>-40.773599999999995</v>
      </c>
      <c r="AO84" s="98">
        <f>SUM(AM84:AN84)</f>
        <v>-128.0506</v>
      </c>
      <c r="AP84" s="102">
        <f>-AP133*AP23</f>
        <v>-70.086500000000001</v>
      </c>
      <c r="AQ84" s="92">
        <f>-AQ133*AQ23</f>
        <v>-44.91960000000001</v>
      </c>
      <c r="AR84" s="102">
        <f>SUM(AP84:AQ84)</f>
        <v>-115.0061</v>
      </c>
      <c r="AS84" s="102">
        <f>-AS133*AS23</f>
        <v>-79.47</v>
      </c>
      <c r="AT84" s="92">
        <f>-AT133*AT23</f>
        <v>-50.03459999999999</v>
      </c>
      <c r="AU84" s="102">
        <f>SUM(AS84:AT84)</f>
        <v>-129.50459999999998</v>
      </c>
      <c r="AV84" s="102">
        <f>-AV133*AV23</f>
        <v>-85.235500000000002</v>
      </c>
      <c r="AW84" s="92">
        <f>-AW133*AW23</f>
        <v>-54.517800000000001</v>
      </c>
      <c r="AX84" s="464">
        <f>SUM(AV84:AW84)</f>
        <v>-139.7533</v>
      </c>
      <c r="AY84" s="305">
        <f>-AY133*AY23</f>
        <v>-90.244009999999989</v>
      </c>
      <c r="AZ84" s="305">
        <f>-AZ133*AZ23</f>
        <v>-97.161800000000014</v>
      </c>
      <c r="BA84" s="305">
        <f>SUM(AY84:AZ84)</f>
        <v>-187.40581</v>
      </c>
      <c r="BB84" s="305">
        <f>-BB133*BB23</f>
        <v>-93.085848799999994</v>
      </c>
      <c r="BC84" s="305">
        <f>-BC133*BC23</f>
        <v>-100.61720855000002</v>
      </c>
      <c r="BD84" s="305">
        <f>SUM(BB84:BC84)</f>
        <v>-193.70305734999999</v>
      </c>
      <c r="BE84" s="305">
        <f>-BE133*BE23</f>
        <v>-96.014728633999994</v>
      </c>
      <c r="BF84" s="305">
        <f>-BF133*BF23</f>
        <v>-104.20970776250002</v>
      </c>
      <c r="BG84" s="305">
        <f>SUM(BE84:BF84)</f>
        <v>-200.22443639650001</v>
      </c>
      <c r="BH84" s="305">
        <f>-BH133*BH23</f>
        <v>-99.03425247541999</v>
      </c>
      <c r="BI84" s="305">
        <f>-BI133*BI23</f>
        <v>-107.94520979124502</v>
      </c>
      <c r="BJ84" s="305">
        <f>SUM(BH84:BI84)</f>
        <v>-206.979462266665</v>
      </c>
      <c r="BK84" s="305">
        <f>-BK133*BK23</f>
        <v>-102.14818327298059</v>
      </c>
      <c r="BL84" s="305">
        <f>-BL133*BL23</f>
        <v>-111.82989668655728</v>
      </c>
      <c r="BM84" s="305">
        <f>SUM(BK84:BL84)</f>
        <v>-213.97807995953787</v>
      </c>
    </row>
    <row r="85" spans="1:73">
      <c r="A85" s="89" t="s">
        <v>66</v>
      </c>
      <c r="B85" s="59" t="s">
        <v>172</v>
      </c>
      <c r="C85" s="91"/>
      <c r="D85" s="38">
        <f>E85-C85</f>
        <v>0</v>
      </c>
      <c r="E85" s="91"/>
      <c r="F85" s="91"/>
      <c r="G85" s="38">
        <f>H85-F85</f>
        <v>0</v>
      </c>
      <c r="H85" s="91"/>
      <c r="I85" s="91"/>
      <c r="J85" s="38">
        <f>K85-I85</f>
        <v>0</v>
      </c>
      <c r="K85" s="91"/>
      <c r="L85" s="91"/>
      <c r="M85" s="38">
        <f>N85-L85</f>
        <v>0</v>
      </c>
      <c r="N85" s="91"/>
      <c r="O85" s="91"/>
      <c r="P85" s="38">
        <f>Q85-O85</f>
        <v>0</v>
      </c>
      <c r="Q85" s="91"/>
      <c r="R85" s="91"/>
      <c r="S85" s="38">
        <f>T85-R85</f>
        <v>0</v>
      </c>
      <c r="T85" s="91"/>
      <c r="U85" s="91"/>
      <c r="V85" s="38">
        <f>W85-U85</f>
        <v>0</v>
      </c>
      <c r="W85" s="91"/>
      <c r="X85" s="91"/>
      <c r="Y85" s="38">
        <f>Z85-X85</f>
        <v>0</v>
      </c>
      <c r="Z85" s="91"/>
      <c r="AA85" s="91"/>
      <c r="AB85" s="38">
        <f>AC85-AA85</f>
        <v>0</v>
      </c>
      <c r="AC85" s="91"/>
      <c r="AD85" s="91"/>
      <c r="AE85" s="38">
        <f>AF85-AD85</f>
        <v>0</v>
      </c>
      <c r="AF85" s="91"/>
      <c r="AG85" s="38"/>
      <c r="AH85" s="92">
        <f>AI85-AG85</f>
        <v>0</v>
      </c>
      <c r="AI85" s="92"/>
      <c r="AJ85" s="102"/>
      <c r="AK85" s="92"/>
      <c r="AL85" s="92"/>
      <c r="AM85" s="102"/>
      <c r="AN85" s="92">
        <f>AO85-AM85</f>
        <v>-56.181399999999996</v>
      </c>
      <c r="AO85" s="92">
        <f>AO86-AO84</f>
        <v>-56.181399999999996</v>
      </c>
      <c r="AP85" s="102">
        <f>AP86-AP84</f>
        <v>-3.805499999999995</v>
      </c>
      <c r="AQ85" s="92">
        <f>AR85-AP85</f>
        <v>-32.855400000000003</v>
      </c>
      <c r="AR85" s="92">
        <f>AR86-AR84</f>
        <v>-36.660899999999998</v>
      </c>
      <c r="AS85" s="102">
        <f>AS86-AS84</f>
        <v>-23.102999999999994</v>
      </c>
      <c r="AT85" s="92">
        <f>AU85-AS85</f>
        <v>-83.702400000000026</v>
      </c>
      <c r="AU85" s="92">
        <f>AU86-AU84</f>
        <v>-106.80540000000002</v>
      </c>
      <c r="AV85" s="102">
        <f>AV86-AV84</f>
        <v>-38.807500000000005</v>
      </c>
      <c r="AW85" s="92">
        <f>AX85-AV85</f>
        <v>-63.327200000000005</v>
      </c>
      <c r="AX85" s="93">
        <f>AX86-AX84</f>
        <v>-102.13470000000001</v>
      </c>
      <c r="AY85" s="447">
        <v>-50</v>
      </c>
      <c r="AZ85" s="447">
        <v>-50</v>
      </c>
      <c r="BA85" s="305">
        <f>SUM(AY85:AZ85)</f>
        <v>-100</v>
      </c>
      <c r="BB85" s="447">
        <f>AY85</f>
        <v>-50</v>
      </c>
      <c r="BC85" s="447">
        <f>AZ85</f>
        <v>-50</v>
      </c>
      <c r="BD85" s="305">
        <f>SUM(BB85:BC85)</f>
        <v>-100</v>
      </c>
      <c r="BE85" s="447">
        <f>BB85</f>
        <v>-50</v>
      </c>
      <c r="BF85" s="447">
        <f>BC85</f>
        <v>-50</v>
      </c>
      <c r="BG85" s="305">
        <f>SUM(BE85:BF85)</f>
        <v>-100</v>
      </c>
      <c r="BH85" s="447">
        <f>BE85</f>
        <v>-50</v>
      </c>
      <c r="BI85" s="447">
        <f>BF85</f>
        <v>-50</v>
      </c>
      <c r="BJ85" s="305">
        <f>SUM(BH85:BI85)</f>
        <v>-100</v>
      </c>
      <c r="BK85" s="447">
        <f>BH85</f>
        <v>-50</v>
      </c>
      <c r="BL85" s="447">
        <f>BI85</f>
        <v>-50</v>
      </c>
      <c r="BM85" s="305">
        <f>SUM(BK85:BL85)</f>
        <v>-100</v>
      </c>
    </row>
    <row r="86" spans="1:73">
      <c r="A86" s="89" t="s">
        <v>67</v>
      </c>
      <c r="B86" s="59" t="s">
        <v>172</v>
      </c>
      <c r="C86" s="38">
        <f t="shared" ref="C86:V86" si="127">SUM(C84:C85)</f>
        <v>-17.308800000000002</v>
      </c>
      <c r="D86" s="38">
        <f t="shared" si="127"/>
        <v>-16.088199999999997</v>
      </c>
      <c r="E86" s="38">
        <f t="shared" si="127"/>
        <v>-33.396999999999998</v>
      </c>
      <c r="F86" s="38">
        <f t="shared" si="127"/>
        <v>-31.283999999999999</v>
      </c>
      <c r="G86" s="38">
        <f t="shared" si="127"/>
        <v>-36.050000000000004</v>
      </c>
      <c r="H86" s="38">
        <f t="shared" si="127"/>
        <v>-67.334000000000003</v>
      </c>
      <c r="I86" s="38">
        <f t="shared" si="127"/>
        <v>-32.5</v>
      </c>
      <c r="J86" s="38">
        <f t="shared" si="127"/>
        <v>-35.248999999999995</v>
      </c>
      <c r="K86" s="38">
        <f t="shared" si="127"/>
        <v>-67.748999999999995</v>
      </c>
      <c r="L86" s="38">
        <f t="shared" si="127"/>
        <v>-53.055</v>
      </c>
      <c r="M86" s="38">
        <f t="shared" si="127"/>
        <v>-36.842999999999996</v>
      </c>
      <c r="N86" s="38">
        <f t="shared" si="127"/>
        <v>-89.897999999999996</v>
      </c>
      <c r="O86" s="38">
        <f t="shared" si="127"/>
        <v>-33.311</v>
      </c>
      <c r="P86" s="38">
        <f t="shared" si="127"/>
        <v>-32.595999999999997</v>
      </c>
      <c r="Q86" s="38">
        <f t="shared" si="127"/>
        <v>-65.906999999999996</v>
      </c>
      <c r="R86" s="38">
        <f t="shared" si="127"/>
        <v>-31.567</v>
      </c>
      <c r="S86" s="38">
        <f t="shared" si="127"/>
        <v>-33.567</v>
      </c>
      <c r="T86" s="38">
        <f t="shared" si="127"/>
        <v>-65.134</v>
      </c>
      <c r="U86" s="38">
        <f t="shared" si="127"/>
        <v>-45.610999999999997</v>
      </c>
      <c r="V86" s="38">
        <f t="shared" si="127"/>
        <v>-19.899999999999999</v>
      </c>
      <c r="W86" s="38">
        <f t="shared" ref="W86:AI86" si="128">SUM(W84:W85)</f>
        <v>-65.510999999999996</v>
      </c>
      <c r="X86" s="38">
        <f t="shared" si="128"/>
        <v>-54.942</v>
      </c>
      <c r="Y86" s="38">
        <f t="shared" si="128"/>
        <v>-39.940999999999995</v>
      </c>
      <c r="Z86" s="38">
        <f t="shared" si="128"/>
        <v>-94.882999999999996</v>
      </c>
      <c r="AA86" s="38">
        <f t="shared" si="128"/>
        <v>-38.362000000000002</v>
      </c>
      <c r="AB86" s="38">
        <f t="shared" si="128"/>
        <v>-49.881999999999998</v>
      </c>
      <c r="AC86" s="38">
        <f t="shared" si="128"/>
        <v>-88.244</v>
      </c>
      <c r="AD86" s="38">
        <f t="shared" si="128"/>
        <v>-51.838000000000001</v>
      </c>
      <c r="AE86" s="38">
        <f t="shared" si="128"/>
        <v>-47.360999999999997</v>
      </c>
      <c r="AF86" s="38">
        <f t="shared" si="128"/>
        <v>-99.198999999999998</v>
      </c>
      <c r="AG86" s="38">
        <f t="shared" si="128"/>
        <v>-46.677999999999997</v>
      </c>
      <c r="AH86" s="92">
        <f>SUM(AH84:AH85)</f>
        <v>-36.650000000000006</v>
      </c>
      <c r="AI86" s="92">
        <f t="shared" si="128"/>
        <v>-83.328000000000003</v>
      </c>
      <c r="AJ86" s="92">
        <f>SUM(AJ84:AJ85)</f>
        <v>-27.683</v>
      </c>
      <c r="AK86" s="92">
        <f>SUM(AK84:AK85)</f>
        <v>-41.925000000000004</v>
      </c>
      <c r="AL86" s="92">
        <f>SUM(AL84:AL85)</f>
        <v>-69.608000000000004</v>
      </c>
      <c r="AM86" s="92">
        <f>SUM(AM84:AM85)</f>
        <v>-87.277000000000001</v>
      </c>
      <c r="AN86" s="92">
        <f>SUM(AN84:AN85)</f>
        <v>-96.954999999999984</v>
      </c>
      <c r="AO86" s="92">
        <v>-184.232</v>
      </c>
      <c r="AP86" s="92">
        <v>-73.891999999999996</v>
      </c>
      <c r="AQ86" s="92">
        <f>SUM(AQ84:AQ85)</f>
        <v>-77.775000000000006</v>
      </c>
      <c r="AR86" s="92">
        <v>-151.667</v>
      </c>
      <c r="AS86" s="98">
        <v>-102.57299999999999</v>
      </c>
      <c r="AT86" s="92">
        <f>SUM(AT84:AT85)</f>
        <v>-133.73700000000002</v>
      </c>
      <c r="AU86" s="98">
        <v>-236.31</v>
      </c>
      <c r="AV86" s="98">
        <v>-124.04300000000001</v>
      </c>
      <c r="AW86" s="92">
        <f>SUM(AW84:AW85)</f>
        <v>-117.845</v>
      </c>
      <c r="AX86" s="404">
        <v>-241.88800000000001</v>
      </c>
      <c r="AY86" s="305">
        <f>AY84+AY85</f>
        <v>-140.24401</v>
      </c>
      <c r="AZ86" s="305">
        <f>AZ84+AZ85</f>
        <v>-147.16180000000003</v>
      </c>
      <c r="BA86" s="305">
        <f>SUM(AY86:AZ86)</f>
        <v>-287.40581000000003</v>
      </c>
      <c r="BB86" s="305">
        <f>BB84+BB85</f>
        <v>-143.08584880000001</v>
      </c>
      <c r="BC86" s="305">
        <f>BC84+BC85</f>
        <v>-150.61720855000002</v>
      </c>
      <c r="BD86" s="305">
        <f>SUM(BB86:BC86)</f>
        <v>-293.70305734999999</v>
      </c>
      <c r="BE86" s="305">
        <f>BE84+BE85</f>
        <v>-146.01472863399999</v>
      </c>
      <c r="BF86" s="305">
        <f>BF84+BF85</f>
        <v>-154.20970776250002</v>
      </c>
      <c r="BG86" s="305">
        <f>SUM(BE86:BF86)</f>
        <v>-300.22443639649998</v>
      </c>
      <c r="BH86" s="305">
        <f>BH84+BH85</f>
        <v>-149.03425247541998</v>
      </c>
      <c r="BI86" s="305">
        <f>BI84+BI85</f>
        <v>-157.94520979124502</v>
      </c>
      <c r="BJ86" s="305">
        <f>SUM(BH86:BI86)</f>
        <v>-306.979462266665</v>
      </c>
      <c r="BK86" s="305">
        <f>BK84+BK85</f>
        <v>-152.14818327298059</v>
      </c>
      <c r="BL86" s="305">
        <f>BL84+BL85</f>
        <v>-161.82989668655728</v>
      </c>
      <c r="BM86" s="305">
        <f>SUM(BK86:BL86)</f>
        <v>-313.97807995953787</v>
      </c>
    </row>
    <row r="87" spans="1:73">
      <c r="A87" s="89" t="s">
        <v>30</v>
      </c>
      <c r="B87" s="59" t="s">
        <v>172</v>
      </c>
      <c r="C87" s="308">
        <v>0</v>
      </c>
      <c r="D87" s="309">
        <f t="shared" ref="D87:J87" si="129">E87</f>
        <v>0</v>
      </c>
      <c r="E87" s="308">
        <v>0</v>
      </c>
      <c r="F87" s="308">
        <v>0</v>
      </c>
      <c r="G87" s="309">
        <f t="shared" si="129"/>
        <v>0</v>
      </c>
      <c r="H87" s="308">
        <v>0</v>
      </c>
      <c r="I87" s="308">
        <v>0</v>
      </c>
      <c r="J87" s="309">
        <f t="shared" si="129"/>
        <v>0</v>
      </c>
      <c r="K87" s="308">
        <v>0</v>
      </c>
      <c r="L87" s="91">
        <v>-3.367</v>
      </c>
      <c r="M87" s="38">
        <f>N87-L87</f>
        <v>0</v>
      </c>
      <c r="N87" s="91">
        <v>-3.367</v>
      </c>
      <c r="O87" s="91"/>
      <c r="P87" s="38">
        <f>Q87-O87</f>
        <v>-299.90300000000002</v>
      </c>
      <c r="Q87" s="91">
        <v>-299.90300000000002</v>
      </c>
      <c r="R87" s="308">
        <v>0</v>
      </c>
      <c r="S87" s="309">
        <f>T87</f>
        <v>0</v>
      </c>
      <c r="T87" s="308">
        <v>0</v>
      </c>
      <c r="U87" s="308">
        <v>0</v>
      </c>
      <c r="V87" s="309">
        <f>W87</f>
        <v>0</v>
      </c>
      <c r="W87" s="308">
        <v>0</v>
      </c>
      <c r="X87" s="91"/>
      <c r="Y87" s="38">
        <f>Z87-X87</f>
        <v>-3.5630000000000002</v>
      </c>
      <c r="Z87" s="91">
        <v>-3.5630000000000002</v>
      </c>
      <c r="AA87" s="91">
        <v>-33.219000000000001</v>
      </c>
      <c r="AB87" s="38">
        <f>AC87-AA87</f>
        <v>-20.830999999999996</v>
      </c>
      <c r="AC87" s="91">
        <v>-54.05</v>
      </c>
      <c r="AD87" s="91">
        <v>-1991.6</v>
      </c>
      <c r="AE87" s="38">
        <f>AF87-AD87</f>
        <v>-9.8420000000000982</v>
      </c>
      <c r="AF87" s="91">
        <v>-2001.442</v>
      </c>
      <c r="AG87" s="91">
        <v>-172.482</v>
      </c>
      <c r="AH87" s="92">
        <f>AI87-AG87</f>
        <v>-4.63900000000001</v>
      </c>
      <c r="AI87" s="98">
        <v>-177.12100000000001</v>
      </c>
      <c r="AJ87" s="98">
        <v>-9.6059999999999999</v>
      </c>
      <c r="AK87" s="92">
        <f>AL87-AJ87</f>
        <v>-5.673</v>
      </c>
      <c r="AL87" s="98">
        <f>-3.031-12.248</f>
        <v>-15.279</v>
      </c>
      <c r="AM87" s="98">
        <v>-49.112000000000002</v>
      </c>
      <c r="AN87" s="92">
        <f>AO87-AM87</f>
        <v>-59.817</v>
      </c>
      <c r="AO87" s="98">
        <f>-93.055-15.874</f>
        <v>-108.929</v>
      </c>
      <c r="AP87" s="98">
        <v>-49.155000000000001</v>
      </c>
      <c r="AQ87" s="92">
        <f>AR87-AP87</f>
        <v>-122.548</v>
      </c>
      <c r="AR87" s="98">
        <f>-25.811+-145.892</f>
        <v>-171.703</v>
      </c>
      <c r="AS87" s="98">
        <v>-1.0820000000000001</v>
      </c>
      <c r="AT87" s="92">
        <f>AU87-AS87</f>
        <v>-22.478999999999999</v>
      </c>
      <c r="AU87" s="98">
        <f>-21.665+-1.896</f>
        <v>-23.561</v>
      </c>
      <c r="AV87" s="98">
        <v>-22.82</v>
      </c>
      <c r="AW87" s="92">
        <f>AX87-AV87</f>
        <v>-86.812999999999988</v>
      </c>
      <c r="AX87" s="404">
        <f>-93.139+-16.494</f>
        <v>-109.633</v>
      </c>
      <c r="AY87" s="102">
        <v>0</v>
      </c>
      <c r="AZ87" s="102">
        <v>0</v>
      </c>
      <c r="BA87" s="92">
        <f>AZ87+AY87</f>
        <v>0</v>
      </c>
      <c r="BB87" s="102">
        <v>0</v>
      </c>
      <c r="BC87" s="102">
        <v>0</v>
      </c>
      <c r="BD87" s="92">
        <f>BC87+BB87</f>
        <v>0</v>
      </c>
      <c r="BE87" s="102">
        <v>0</v>
      </c>
      <c r="BF87" s="102">
        <v>0</v>
      </c>
      <c r="BG87" s="92">
        <f>BF87+BE87</f>
        <v>0</v>
      </c>
      <c r="BH87" s="102">
        <v>0</v>
      </c>
      <c r="BI87" s="102">
        <v>0</v>
      </c>
      <c r="BJ87" s="92">
        <f>BI87+BH87</f>
        <v>0</v>
      </c>
      <c r="BK87" s="102">
        <v>0</v>
      </c>
      <c r="BL87" s="102">
        <v>0</v>
      </c>
      <c r="BM87" s="92">
        <f>BL87+BK87</f>
        <v>0</v>
      </c>
    </row>
    <row r="88" spans="1:73">
      <c r="A88" s="89" t="s">
        <v>31</v>
      </c>
      <c r="B88" s="59" t="s">
        <v>172</v>
      </c>
      <c r="C88" s="91">
        <v>0.90400000000000003</v>
      </c>
      <c r="D88" s="38">
        <f>E88-C88</f>
        <v>2.1720000000000002</v>
      </c>
      <c r="E88" s="91">
        <v>3.0760000000000001</v>
      </c>
      <c r="F88" s="91">
        <v>1.1180000000000001</v>
      </c>
      <c r="G88" s="38">
        <f>H88-F88</f>
        <v>1.361</v>
      </c>
      <c r="H88" s="91">
        <v>2.4790000000000001</v>
      </c>
      <c r="I88" s="91">
        <v>2.0630000000000002</v>
      </c>
      <c r="J88" s="38">
        <f>K88-I88</f>
        <v>1.746</v>
      </c>
      <c r="K88" s="91">
        <v>3.8090000000000002</v>
      </c>
      <c r="L88" s="91">
        <v>2.7589999999999999</v>
      </c>
      <c r="M88" s="38">
        <f>N88-L88</f>
        <v>1.1020000000000003</v>
      </c>
      <c r="N88" s="91">
        <v>3.8610000000000002</v>
      </c>
      <c r="O88" s="91">
        <v>2.4</v>
      </c>
      <c r="P88" s="38">
        <f>Q88-O88</f>
        <v>2.0770000000000004</v>
      </c>
      <c r="Q88" s="91">
        <v>4.4770000000000003</v>
      </c>
      <c r="R88" s="91">
        <v>0.92700000000000005</v>
      </c>
      <c r="S88" s="38">
        <f>T88-R88</f>
        <v>4.6169999999999991</v>
      </c>
      <c r="T88" s="91">
        <v>5.5439999999999996</v>
      </c>
      <c r="U88" s="91">
        <v>2.12</v>
      </c>
      <c r="V88" s="38">
        <f>W88-U88</f>
        <v>2.4009999999999998</v>
      </c>
      <c r="W88" s="91">
        <v>4.5209999999999999</v>
      </c>
      <c r="X88" s="91">
        <v>17.242000000000001</v>
      </c>
      <c r="Y88" s="38">
        <f>Z88-X88</f>
        <v>1.9830000000000005</v>
      </c>
      <c r="Z88" s="91">
        <v>19.225000000000001</v>
      </c>
      <c r="AA88" s="91">
        <v>1.7709999999999999</v>
      </c>
      <c r="AB88" s="38">
        <f>AC88-AA88</f>
        <v>3.891</v>
      </c>
      <c r="AC88" s="91">
        <v>5.6619999999999999</v>
      </c>
      <c r="AD88" s="91">
        <v>7.8460000000000001</v>
      </c>
      <c r="AE88" s="38">
        <f>AF88-AD88</f>
        <v>2.5359999999999996</v>
      </c>
      <c r="AF88" s="91">
        <v>10.382</v>
      </c>
      <c r="AG88" s="91">
        <v>6.3520000000000003</v>
      </c>
      <c r="AH88" s="92">
        <f>AI88-AG88</f>
        <v>2.0299999999999994</v>
      </c>
      <c r="AI88" s="98">
        <v>8.3819999999999997</v>
      </c>
      <c r="AJ88" s="98">
        <v>6.6319999999999997</v>
      </c>
      <c r="AK88" s="92">
        <f>AL88-AJ88</f>
        <v>10.334999999999999</v>
      </c>
      <c r="AL88" s="98">
        <v>16.966999999999999</v>
      </c>
      <c r="AM88" s="98">
        <v>3.3759999999999999</v>
      </c>
      <c r="AN88" s="92">
        <f>AO88-AM88</f>
        <v>8.8040000000000003</v>
      </c>
      <c r="AO88" s="98">
        <v>12.18</v>
      </c>
      <c r="AP88" s="98">
        <v>6.77</v>
      </c>
      <c r="AQ88" s="92">
        <f>AR88-AP88</f>
        <v>7.077</v>
      </c>
      <c r="AR88" s="98">
        <v>13.847</v>
      </c>
      <c r="AS88" s="98">
        <v>8.0210000000000008</v>
      </c>
      <c r="AT88" s="92">
        <f>AU88-AS88</f>
        <v>7.8899999999999988</v>
      </c>
      <c r="AU88" s="98">
        <v>15.911</v>
      </c>
      <c r="AV88" s="98">
        <v>3.1789999999999998</v>
      </c>
      <c r="AW88" s="92">
        <f>AX88-AV88</f>
        <v>5.8420000000000005</v>
      </c>
      <c r="AX88" s="404">
        <v>9.0210000000000008</v>
      </c>
      <c r="AY88" s="102">
        <v>0</v>
      </c>
      <c r="AZ88" s="102">
        <v>0</v>
      </c>
      <c r="BA88" s="92">
        <f>AZ88+AY88</f>
        <v>0</v>
      </c>
      <c r="BB88" s="102">
        <v>0</v>
      </c>
      <c r="BC88" s="102">
        <v>0</v>
      </c>
      <c r="BD88" s="92">
        <f>BC88+BB88</f>
        <v>0</v>
      </c>
      <c r="BE88" s="102">
        <v>0</v>
      </c>
      <c r="BF88" s="102">
        <v>0</v>
      </c>
      <c r="BG88" s="92">
        <f>BF88+BE88</f>
        <v>0</v>
      </c>
      <c r="BH88" s="102">
        <v>0</v>
      </c>
      <c r="BI88" s="102">
        <v>0</v>
      </c>
      <c r="BJ88" s="92">
        <f>BI88+BH88</f>
        <v>0</v>
      </c>
      <c r="BK88" s="102">
        <v>0</v>
      </c>
      <c r="BL88" s="102">
        <v>0</v>
      </c>
      <c r="BM88" s="92">
        <f>BL88+BK88</f>
        <v>0</v>
      </c>
    </row>
    <row r="89" spans="1:73">
      <c r="A89" s="89" t="s">
        <v>551</v>
      </c>
      <c r="B89" s="59" t="s">
        <v>172</v>
      </c>
      <c r="C89" s="308">
        <v>0</v>
      </c>
      <c r="D89" s="309">
        <f>E89</f>
        <v>0</v>
      </c>
      <c r="E89" s="308">
        <v>0</v>
      </c>
      <c r="F89" s="308">
        <v>0</v>
      </c>
      <c r="G89" s="309">
        <f>H89</f>
        <v>0</v>
      </c>
      <c r="H89" s="308">
        <v>0</v>
      </c>
      <c r="I89" s="308">
        <v>0</v>
      </c>
      <c r="J89" s="309">
        <f>K89</f>
        <v>0</v>
      </c>
      <c r="K89" s="308">
        <v>0</v>
      </c>
      <c r="L89" s="308">
        <v>0</v>
      </c>
      <c r="M89" s="309">
        <f>N89</f>
        <v>0</v>
      </c>
      <c r="N89" s="308">
        <v>0</v>
      </c>
      <c r="O89" s="308">
        <v>0</v>
      </c>
      <c r="P89" s="309">
        <f>Q89</f>
        <v>0</v>
      </c>
      <c r="Q89" s="308">
        <v>0</v>
      </c>
      <c r="R89" s="308">
        <v>0</v>
      </c>
      <c r="S89" s="309">
        <f>T89</f>
        <v>0</v>
      </c>
      <c r="T89" s="308">
        <v>0</v>
      </c>
      <c r="U89" s="308">
        <v>0</v>
      </c>
      <c r="V89" s="309">
        <f>W89</f>
        <v>0</v>
      </c>
      <c r="W89" s="308">
        <v>0</v>
      </c>
      <c r="X89" s="308">
        <v>0</v>
      </c>
      <c r="Y89" s="309">
        <f>Z89</f>
        <v>0</v>
      </c>
      <c r="Z89" s="308">
        <v>0</v>
      </c>
      <c r="AA89" s="91">
        <v>-2.1190000000000002</v>
      </c>
      <c r="AB89" s="38">
        <f>AC89-AA89</f>
        <v>2.1190000000000002</v>
      </c>
      <c r="AC89" s="91"/>
      <c r="AD89" s="91">
        <v>-4.6479999999999997</v>
      </c>
      <c r="AE89" s="38">
        <f>AF89-AD89</f>
        <v>-0.68100000000000005</v>
      </c>
      <c r="AF89" s="91">
        <v>-5.3289999999999997</v>
      </c>
      <c r="AG89" s="91">
        <v>-13.715999999999999</v>
      </c>
      <c r="AH89" s="92">
        <f>AI89-AG89</f>
        <v>-13.72</v>
      </c>
      <c r="AI89" s="98">
        <v>-27.436</v>
      </c>
      <c r="AJ89" s="98">
        <v>-3.22</v>
      </c>
      <c r="AK89" s="92">
        <f>AL89-AJ89</f>
        <v>3.22</v>
      </c>
      <c r="AL89" s="98">
        <v>0</v>
      </c>
      <c r="AM89" s="98">
        <v>-23.718</v>
      </c>
      <c r="AN89" s="92">
        <f>AO89-AM89</f>
        <v>23.718</v>
      </c>
      <c r="AO89" s="98"/>
      <c r="AP89" s="98">
        <v>-13.584</v>
      </c>
      <c r="AQ89" s="92">
        <f>AR89-AP89</f>
        <v>13.584</v>
      </c>
      <c r="AR89" s="98">
        <v>0</v>
      </c>
      <c r="AS89" s="98">
        <v>-12.377000000000001</v>
      </c>
      <c r="AT89" s="92">
        <f>AU89-AS89</f>
        <v>12.377000000000001</v>
      </c>
      <c r="AU89" s="98">
        <v>0</v>
      </c>
      <c r="AV89" s="98">
        <v>-4.8209999999999997</v>
      </c>
      <c r="AW89" s="92">
        <f>AX89-AV89</f>
        <v>4.8209999999999997</v>
      </c>
      <c r="AX89" s="404">
        <v>0</v>
      </c>
      <c r="AY89" s="102"/>
      <c r="AZ89" s="102"/>
      <c r="BA89" s="92">
        <f>AZ89+AY89</f>
        <v>0</v>
      </c>
      <c r="BB89" s="102"/>
      <c r="BC89" s="102"/>
      <c r="BD89" s="92">
        <f>BC89+BB89</f>
        <v>0</v>
      </c>
      <c r="BE89" s="102"/>
      <c r="BF89" s="102"/>
      <c r="BG89" s="92">
        <f>BF89+BE89</f>
        <v>0</v>
      </c>
      <c r="BH89" s="102"/>
      <c r="BI89" s="102"/>
      <c r="BJ89" s="92">
        <f>BI89+BH89</f>
        <v>0</v>
      </c>
      <c r="BK89" s="102"/>
      <c r="BL89" s="102"/>
      <c r="BM89" s="92">
        <f>BL89+BK89</f>
        <v>0</v>
      </c>
    </row>
    <row r="90" spans="1:73" s="13" customFormat="1">
      <c r="A90" s="13" t="s">
        <v>32</v>
      </c>
      <c r="B90" s="55" t="s">
        <v>172</v>
      </c>
      <c r="C90" s="90">
        <f t="shared" ref="C90:T90" si="130">SUM(C86:C89)</f>
        <v>-16.404800000000002</v>
      </c>
      <c r="D90" s="90">
        <f t="shared" si="130"/>
        <v>-13.916199999999996</v>
      </c>
      <c r="E90" s="90">
        <f t="shared" si="130"/>
        <v>-30.320999999999998</v>
      </c>
      <c r="F90" s="90">
        <f t="shared" si="130"/>
        <v>-30.166</v>
      </c>
      <c r="G90" s="90">
        <f t="shared" si="130"/>
        <v>-34.689000000000007</v>
      </c>
      <c r="H90" s="90">
        <f t="shared" si="130"/>
        <v>-64.855000000000004</v>
      </c>
      <c r="I90" s="90">
        <f t="shared" si="130"/>
        <v>-30.437000000000001</v>
      </c>
      <c r="J90" s="90">
        <f t="shared" si="130"/>
        <v>-33.502999999999993</v>
      </c>
      <c r="K90" s="90">
        <f t="shared" si="130"/>
        <v>-63.94</v>
      </c>
      <c r="L90" s="90">
        <f t="shared" si="130"/>
        <v>-53.662999999999997</v>
      </c>
      <c r="M90" s="90">
        <f t="shared" si="130"/>
        <v>-35.741</v>
      </c>
      <c r="N90" s="90">
        <f t="shared" si="130"/>
        <v>-89.403999999999996</v>
      </c>
      <c r="O90" s="90">
        <f t="shared" si="130"/>
        <v>-30.911000000000001</v>
      </c>
      <c r="P90" s="90">
        <f t="shared" si="130"/>
        <v>-330.42200000000003</v>
      </c>
      <c r="Q90" s="90">
        <f t="shared" si="130"/>
        <v>-361.33300000000003</v>
      </c>
      <c r="R90" s="90">
        <f t="shared" si="130"/>
        <v>-30.64</v>
      </c>
      <c r="S90" s="90">
        <f t="shared" si="130"/>
        <v>-28.950000000000003</v>
      </c>
      <c r="T90" s="90">
        <f t="shared" si="130"/>
        <v>-59.59</v>
      </c>
      <c r="U90" s="90">
        <f t="shared" ref="U90:AG90" si="131">SUM(U86:U89)</f>
        <v>-43.491</v>
      </c>
      <c r="V90" s="90">
        <f>SUM(V86:V89)</f>
        <v>-17.498999999999999</v>
      </c>
      <c r="W90" s="90">
        <f t="shared" si="131"/>
        <v>-60.989999999999995</v>
      </c>
      <c r="X90" s="90">
        <f t="shared" si="131"/>
        <v>-37.700000000000003</v>
      </c>
      <c r="Y90" s="90">
        <f t="shared" si="131"/>
        <v>-41.521000000000001</v>
      </c>
      <c r="Z90" s="90">
        <f t="shared" si="131"/>
        <v>-79.221000000000004</v>
      </c>
      <c r="AA90" s="90">
        <f t="shared" si="131"/>
        <v>-71.929000000000002</v>
      </c>
      <c r="AB90" s="90">
        <f t="shared" si="131"/>
        <v>-64.702999999999989</v>
      </c>
      <c r="AC90" s="90">
        <f t="shared" si="131"/>
        <v>-136.63199999999998</v>
      </c>
      <c r="AD90" s="90">
        <f t="shared" si="131"/>
        <v>-2040.2399999999998</v>
      </c>
      <c r="AE90" s="90">
        <f>SUM(AE86:AE89)</f>
        <v>-55.348000000000091</v>
      </c>
      <c r="AF90" s="90">
        <f t="shared" si="131"/>
        <v>-2095.5880000000002</v>
      </c>
      <c r="AG90" s="90">
        <f t="shared" si="131"/>
        <v>-226.524</v>
      </c>
      <c r="AH90" s="94">
        <f>SUM(AH86:AH89)</f>
        <v>-52.979000000000013</v>
      </c>
      <c r="AI90" s="94">
        <f>SUM(AI86:AI89)</f>
        <v>-279.50299999999999</v>
      </c>
      <c r="AJ90" s="94">
        <f>SUM(AJ86:AJ89)</f>
        <v>-33.877000000000002</v>
      </c>
      <c r="AK90" s="94">
        <f>SUM(AK86:AK89)</f>
        <v>-34.043000000000006</v>
      </c>
      <c r="AL90" s="94">
        <f>SUM(AL86:AL89)</f>
        <v>-67.92</v>
      </c>
      <c r="AM90" s="94">
        <f t="shared" ref="AM90:AO90" si="132">SUM(AM86:AM89)</f>
        <v>-156.73099999999999</v>
      </c>
      <c r="AN90" s="94">
        <f>SUM(AN86:AN89)</f>
        <v>-124.24999999999999</v>
      </c>
      <c r="AO90" s="94">
        <f t="shared" si="132"/>
        <v>-280.98099999999999</v>
      </c>
      <c r="AP90" s="94">
        <f t="shared" ref="AP90:AU90" si="133">SUM(AP86:AP89)</f>
        <v>-129.86099999999999</v>
      </c>
      <c r="AQ90" s="94">
        <f t="shared" si="133"/>
        <v>-179.66200000000001</v>
      </c>
      <c r="AR90" s="94">
        <f t="shared" si="133"/>
        <v>-309.52300000000002</v>
      </c>
      <c r="AS90" s="94">
        <f t="shared" si="133"/>
        <v>-108.01099999999998</v>
      </c>
      <c r="AT90" s="94">
        <f t="shared" si="133"/>
        <v>-135.94900000000001</v>
      </c>
      <c r="AU90" s="94">
        <f t="shared" si="133"/>
        <v>-243.95999999999998</v>
      </c>
      <c r="AV90" s="94">
        <f t="shared" ref="AV90:AX90" si="134">SUM(AV86:AV89)</f>
        <v>-148.505</v>
      </c>
      <c r="AW90" s="94">
        <f t="shared" si="134"/>
        <v>-193.99499999999998</v>
      </c>
      <c r="AX90" s="95">
        <f t="shared" si="134"/>
        <v>-342.5</v>
      </c>
      <c r="AY90" s="94">
        <f t="shared" ref="AY90:BM90" si="135">SUM(AY86:AY89)</f>
        <v>-140.24401</v>
      </c>
      <c r="AZ90" s="94">
        <f t="shared" si="135"/>
        <v>-147.16180000000003</v>
      </c>
      <c r="BA90" s="94">
        <f t="shared" si="135"/>
        <v>-287.40581000000003</v>
      </c>
      <c r="BB90" s="94">
        <f t="shared" si="135"/>
        <v>-143.08584880000001</v>
      </c>
      <c r="BC90" s="94">
        <f t="shared" si="135"/>
        <v>-150.61720855000002</v>
      </c>
      <c r="BD90" s="94">
        <f t="shared" si="135"/>
        <v>-293.70305734999999</v>
      </c>
      <c r="BE90" s="94">
        <f t="shared" si="135"/>
        <v>-146.01472863399999</v>
      </c>
      <c r="BF90" s="94">
        <f t="shared" si="135"/>
        <v>-154.20970776250002</v>
      </c>
      <c r="BG90" s="94">
        <f t="shared" si="135"/>
        <v>-300.22443639649998</v>
      </c>
      <c r="BH90" s="94">
        <f t="shared" si="135"/>
        <v>-149.03425247541998</v>
      </c>
      <c r="BI90" s="94">
        <f t="shared" si="135"/>
        <v>-157.94520979124502</v>
      </c>
      <c r="BJ90" s="94">
        <f t="shared" si="135"/>
        <v>-306.979462266665</v>
      </c>
      <c r="BK90" s="94">
        <f t="shared" si="135"/>
        <v>-152.14818327298059</v>
      </c>
      <c r="BL90" s="94">
        <f t="shared" si="135"/>
        <v>-161.82989668655728</v>
      </c>
      <c r="BM90" s="94">
        <f t="shared" si="135"/>
        <v>-313.97807995953787</v>
      </c>
      <c r="BP90"/>
      <c r="BQ90"/>
      <c r="BR90"/>
      <c r="BS90"/>
      <c r="BT90"/>
      <c r="BU90"/>
    </row>
    <row r="91" spans="1:73">
      <c r="A91" s="58" t="s">
        <v>33</v>
      </c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3"/>
      <c r="AY91" s="92"/>
      <c r="AZ91" s="92"/>
      <c r="BA91" s="92"/>
      <c r="BB91" s="92"/>
      <c r="BC91" s="92"/>
      <c r="BD91" s="92"/>
      <c r="BE91" s="92"/>
      <c r="BF91" s="92"/>
      <c r="BG91" s="92"/>
      <c r="BH91" s="92"/>
      <c r="BI91" s="92"/>
      <c r="BJ91" s="92"/>
      <c r="BK91" s="92"/>
      <c r="BL91" s="92"/>
      <c r="BM91" s="92"/>
    </row>
    <row r="92" spans="1:73">
      <c r="A92" s="89" t="s">
        <v>34</v>
      </c>
      <c r="B92" s="59" t="s">
        <v>172</v>
      </c>
      <c r="C92" s="91">
        <v>-32.868000000000002</v>
      </c>
      <c r="D92" s="38">
        <f>E92-C92</f>
        <v>-19.919999999999995</v>
      </c>
      <c r="E92" s="91">
        <v>-52.787999999999997</v>
      </c>
      <c r="F92" s="91">
        <v>-37.847999999999999</v>
      </c>
      <c r="G92" s="38">
        <f>H92-F92</f>
        <v>-20.916000000000004</v>
      </c>
      <c r="H92" s="91">
        <v>-58.764000000000003</v>
      </c>
      <c r="I92" s="91">
        <v>-39.840000000000003</v>
      </c>
      <c r="J92" s="38">
        <f>K92-I92</f>
        <v>-20.915999999999997</v>
      </c>
      <c r="K92" s="91">
        <v>-60.756</v>
      </c>
      <c r="L92" s="91">
        <v>-39.840000000000003</v>
      </c>
      <c r="M92" s="38">
        <f>N92-L92</f>
        <v>-20.915999999999997</v>
      </c>
      <c r="N92" s="91">
        <v>-60.756</v>
      </c>
      <c r="O92" s="91">
        <v>-40.835999999999999</v>
      </c>
      <c r="P92" s="38">
        <f>Q92-O92</f>
        <v>-21.911999999999999</v>
      </c>
      <c r="Q92" s="91">
        <v>-62.747999999999998</v>
      </c>
      <c r="R92" s="91">
        <v>-41.832000000000001</v>
      </c>
      <c r="S92" s="38">
        <f>T92-R92</f>
        <v>-23.904000000000003</v>
      </c>
      <c r="T92" s="91">
        <v>-65.736000000000004</v>
      </c>
      <c r="U92" s="91">
        <v>-51.792000000000002</v>
      </c>
      <c r="V92" s="38">
        <f>W92-U92</f>
        <v>-26.891999999999996</v>
      </c>
      <c r="W92" s="313">
        <v>-78.683999999999997</v>
      </c>
      <c r="X92" s="313">
        <v>-64.739999999999995</v>
      </c>
      <c r="Y92" s="38">
        <f>Z92-X92</f>
        <v>-28.884</v>
      </c>
      <c r="Z92" s="91">
        <v>-93.623999999999995</v>
      </c>
      <c r="AA92" s="91">
        <v>-70.715999999999994</v>
      </c>
      <c r="AB92" s="38">
        <f>AC92-AA92</f>
        <v>-29.88000000000001</v>
      </c>
      <c r="AC92" s="91">
        <v>-100.596</v>
      </c>
      <c r="AD92" s="91">
        <v>-79.917000000000002</v>
      </c>
      <c r="AE92" s="38">
        <f>AF92-AD92</f>
        <v>-33.649000000000001</v>
      </c>
      <c r="AF92" s="91">
        <v>-113.566</v>
      </c>
      <c r="AG92" s="91">
        <v>-79.917000000000002</v>
      </c>
      <c r="AH92" s="92">
        <f>AI92-AG92</f>
        <v>-33.649000000000001</v>
      </c>
      <c r="AI92" s="98">
        <v>-113.566</v>
      </c>
      <c r="AJ92" s="98">
        <v>-38.759</v>
      </c>
      <c r="AK92" s="92">
        <f>AL92-AJ92</f>
        <v>-38.759</v>
      </c>
      <c r="AL92" s="98">
        <v>-77.518000000000001</v>
      </c>
      <c r="AM92" s="98">
        <v>-77.518000000000001</v>
      </c>
      <c r="AN92" s="92">
        <f>-AN268</f>
        <v>-48.448813575000003</v>
      </c>
      <c r="AO92" s="98">
        <v>-125.96599999999999</v>
      </c>
      <c r="AP92" s="98">
        <v>-96.897999999999996</v>
      </c>
      <c r="AQ92" s="92">
        <f>-AQ268</f>
        <v>-51.678734480000003</v>
      </c>
      <c r="AR92" s="98">
        <v>-148.577</v>
      </c>
      <c r="AS92" s="98">
        <v>-109.81699999999999</v>
      </c>
      <c r="AT92" s="92">
        <f>-AT268</f>
        <v>-51.657679999999999</v>
      </c>
      <c r="AU92" s="98">
        <v>-161.49600000000001</v>
      </c>
      <c r="AV92" s="98">
        <v>-114.661</v>
      </c>
      <c r="AW92" s="92">
        <f>-AW268</f>
        <v>-41.971865000000001</v>
      </c>
      <c r="AX92" s="404">
        <v>-156.65100000000001</v>
      </c>
      <c r="AY92" s="92">
        <f>-AY268</f>
        <v>-76.582510599999992</v>
      </c>
      <c r="AZ92" s="92">
        <f>-AZ268</f>
        <v>-32.208800000000004</v>
      </c>
      <c r="BA92" s="92">
        <f>SUM(AY92:AZ92)</f>
        <v>-108.7913106</v>
      </c>
      <c r="BB92" s="92">
        <f>-BB268</f>
        <v>-67.76860717000001</v>
      </c>
      <c r="BC92" s="92">
        <f>-BC268</f>
        <v>-36.964694820000005</v>
      </c>
      <c r="BD92" s="92">
        <f>SUM(BB92:BC92)</f>
        <v>-104.73330199000002</v>
      </c>
      <c r="BE92" s="92">
        <f>-BE268</f>
        <v>-80.090172109999997</v>
      </c>
      <c r="BF92" s="92">
        <f>-BF268</f>
        <v>-49.28625976</v>
      </c>
      <c r="BG92" s="92">
        <f>SUM(BE92:BF92)</f>
        <v>-129.37643187</v>
      </c>
      <c r="BH92" s="92">
        <f>-BH268</f>
        <v>-98.57251952</v>
      </c>
      <c r="BI92" s="92">
        <f>-BI268</f>
        <v>-49.28625976</v>
      </c>
      <c r="BJ92" s="92">
        <f>SUM(BH92:BI92)</f>
        <v>-147.85877927999999</v>
      </c>
      <c r="BK92" s="92">
        <f>-BK268</f>
        <v>-110.89408446000002</v>
      </c>
      <c r="BL92" s="92">
        <f>-BL268</f>
        <v>-55.447042230000008</v>
      </c>
      <c r="BM92" s="92">
        <f>SUM(BK92:BL92)</f>
        <v>-166.34112669000001</v>
      </c>
    </row>
    <row r="93" spans="1:73">
      <c r="A93" s="89" t="s">
        <v>395</v>
      </c>
      <c r="B93" s="59" t="s">
        <v>172</v>
      </c>
      <c r="C93" s="308">
        <v>0</v>
      </c>
      <c r="D93" s="309">
        <f>E93</f>
        <v>0</v>
      </c>
      <c r="E93" s="308">
        <v>0</v>
      </c>
      <c r="F93" s="308">
        <v>0</v>
      </c>
      <c r="G93" s="309">
        <f>H93</f>
        <v>0</v>
      </c>
      <c r="H93" s="308">
        <v>0</v>
      </c>
      <c r="I93" s="308">
        <v>0</v>
      </c>
      <c r="J93" s="309">
        <f>K93</f>
        <v>0</v>
      </c>
      <c r="K93" s="308">
        <v>0</v>
      </c>
      <c r="L93" s="308">
        <v>0</v>
      </c>
      <c r="M93" s="309">
        <f>N93</f>
        <v>0</v>
      </c>
      <c r="N93" s="308">
        <v>0</v>
      </c>
      <c r="O93" s="308">
        <v>0</v>
      </c>
      <c r="P93" s="309">
        <f>Q93</f>
        <v>0</v>
      </c>
      <c r="Q93" s="308">
        <v>0</v>
      </c>
      <c r="R93" s="308">
        <v>0</v>
      </c>
      <c r="S93" s="309">
        <f>T93</f>
        <v>0</v>
      </c>
      <c r="T93" s="308">
        <v>0</v>
      </c>
      <c r="U93" s="308">
        <v>0</v>
      </c>
      <c r="V93" s="309">
        <f>W93</f>
        <v>0</v>
      </c>
      <c r="W93" s="308">
        <v>0</v>
      </c>
      <c r="X93" s="308">
        <v>0</v>
      </c>
      <c r="Y93" s="309">
        <f>Z93</f>
        <v>0</v>
      </c>
      <c r="Z93" s="308">
        <v>0</v>
      </c>
      <c r="AA93" s="313">
        <v>0</v>
      </c>
      <c r="AB93" s="38">
        <f>AC93-AA93</f>
        <v>594.38900000000001</v>
      </c>
      <c r="AC93" s="91">
        <v>594.38900000000001</v>
      </c>
      <c r="AD93" s="308">
        <v>0</v>
      </c>
      <c r="AE93" s="309">
        <f>AF93</f>
        <v>0</v>
      </c>
      <c r="AF93" s="308">
        <v>0</v>
      </c>
      <c r="AG93" s="91"/>
      <c r="AH93" s="92">
        <f>AI93-AG93</f>
        <v>642.06899999999996</v>
      </c>
      <c r="AI93" s="98">
        <v>642.06899999999996</v>
      </c>
      <c r="AJ93" s="92">
        <f>AJ231</f>
        <v>0</v>
      </c>
      <c r="AK93" s="92">
        <f>AL93-AJ93</f>
        <v>0</v>
      </c>
      <c r="AL93" s="98">
        <v>0</v>
      </c>
      <c r="AM93" s="92">
        <f>AM231</f>
        <v>0</v>
      </c>
      <c r="AN93" s="92">
        <f>AN231</f>
        <v>0</v>
      </c>
      <c r="AO93" s="98">
        <f>SUM(AM93:AN93)</f>
        <v>0</v>
      </c>
      <c r="AP93" s="92">
        <f>AP231</f>
        <v>0</v>
      </c>
      <c r="AQ93" s="92">
        <f>AQ231</f>
        <v>0</v>
      </c>
      <c r="AR93" s="98">
        <v>0</v>
      </c>
      <c r="AS93" s="92">
        <f>AS231</f>
        <v>0</v>
      </c>
      <c r="AT93" s="92">
        <f>AT231</f>
        <v>0</v>
      </c>
      <c r="AU93" s="98">
        <v>0</v>
      </c>
      <c r="AV93" s="92">
        <f>AV231</f>
        <v>0</v>
      </c>
      <c r="AW93" s="92">
        <f>AW231</f>
        <v>0</v>
      </c>
      <c r="AX93" s="404">
        <v>-22.55</v>
      </c>
      <c r="AY93" s="92">
        <f>AY231</f>
        <v>0</v>
      </c>
      <c r="AZ93" s="92">
        <f>AZ231</f>
        <v>0</v>
      </c>
      <c r="BA93" s="92">
        <f>SUM(AY93:AZ93)</f>
        <v>0</v>
      </c>
      <c r="BB93" s="92">
        <f>BB231</f>
        <v>0</v>
      </c>
      <c r="BC93" s="92">
        <f>BC231</f>
        <v>0</v>
      </c>
      <c r="BD93" s="92">
        <f>SUM(BB93:BC93)</f>
        <v>0</v>
      </c>
      <c r="BE93" s="92">
        <f>BE231</f>
        <v>0</v>
      </c>
      <c r="BF93" s="92">
        <f>BF231</f>
        <v>0</v>
      </c>
      <c r="BG93" s="92">
        <f>SUM(BE93:BF93)</f>
        <v>0</v>
      </c>
      <c r="BH93" s="92">
        <f>BH231</f>
        <v>0</v>
      </c>
      <c r="BI93" s="92">
        <f>BI231</f>
        <v>0</v>
      </c>
      <c r="BJ93" s="92">
        <f>SUM(BH93:BI93)</f>
        <v>0</v>
      </c>
      <c r="BK93" s="92">
        <f>BK231</f>
        <v>0</v>
      </c>
      <c r="BL93" s="92">
        <f>BL231</f>
        <v>0</v>
      </c>
      <c r="BM93" s="92">
        <f>SUM(BK93:BL93)</f>
        <v>0</v>
      </c>
    </row>
    <row r="94" spans="1:73">
      <c r="A94" s="89" t="s">
        <v>36</v>
      </c>
      <c r="B94" s="59" t="s">
        <v>172</v>
      </c>
      <c r="C94" s="91">
        <f>-24.956+10.105</f>
        <v>-14.850999999999999</v>
      </c>
      <c r="D94" s="38">
        <f>E94-C94</f>
        <v>-23.978999999999985</v>
      </c>
      <c r="E94" s="91">
        <f>-186.034+147.204</f>
        <v>-38.829999999999984</v>
      </c>
      <c r="F94" s="91">
        <f>-15.965+15.988</f>
        <v>2.2999999999999687E-2</v>
      </c>
      <c r="G94" s="38">
        <f>H94-F94</f>
        <v>-0.68100000000000094</v>
      </c>
      <c r="H94" s="91">
        <f>-38.815+38.157</f>
        <v>-0.65800000000000125</v>
      </c>
      <c r="I94" s="91">
        <f>-15.909+16.61</f>
        <v>0.70099999999999874</v>
      </c>
      <c r="J94" s="38">
        <f>K94-I94</f>
        <v>1.399999999999757E-2</v>
      </c>
      <c r="K94" s="91">
        <f>-41.307+42.022</f>
        <v>0.71499999999999631</v>
      </c>
      <c r="L94" s="91">
        <f>-16.867+15.521</f>
        <v>-1.3460000000000001</v>
      </c>
      <c r="M94" s="38">
        <f>N94-L94</f>
        <v>1.218</v>
      </c>
      <c r="N94" s="91">
        <f>-33.919+33.791</f>
        <v>-0.12800000000000011</v>
      </c>
      <c r="O94" s="91">
        <f>-18.432+19.136</f>
        <v>0.70400000000000063</v>
      </c>
      <c r="P94" s="38">
        <f>Q94-O94</f>
        <v>195.184</v>
      </c>
      <c r="Q94" s="91">
        <f>-53+248.888</f>
        <v>195.88800000000001</v>
      </c>
      <c r="R94" s="91">
        <f>55-65.663</f>
        <v>-10.662999999999997</v>
      </c>
      <c r="S94" s="38">
        <f>T94-R94</f>
        <v>-18.998000000000005</v>
      </c>
      <c r="T94" s="91">
        <f>153-182.661</f>
        <v>-29.661000000000001</v>
      </c>
      <c r="U94" s="91">
        <f>10-20.116</f>
        <v>-10.116</v>
      </c>
      <c r="V94" s="38">
        <f>W94-U94</f>
        <v>-20</v>
      </c>
      <c r="W94" s="91">
        <f>22-52.116</f>
        <v>-30.116</v>
      </c>
      <c r="X94" s="313">
        <f>47-72</f>
        <v>-25</v>
      </c>
      <c r="Y94" s="38">
        <f>Z94-X94</f>
        <v>-20</v>
      </c>
      <c r="Z94" s="91">
        <f>(115000-160000)/1000</f>
        <v>-45</v>
      </c>
      <c r="AA94" s="91">
        <f>37-37</f>
        <v>0</v>
      </c>
      <c r="AB94" s="38">
        <f>AC94-AA94</f>
        <v>-100</v>
      </c>
      <c r="AC94" s="91">
        <f>(182000-282000)/1000</f>
        <v>-100</v>
      </c>
      <c r="AD94" s="91">
        <f>(1667282-37885)/1000</f>
        <v>1629.3969999999999</v>
      </c>
      <c r="AE94" s="38">
        <f>AF94-AD94</f>
        <v>-88.766999999999825</v>
      </c>
      <c r="AF94" s="91">
        <f>1771.568-230.938</f>
        <v>1540.63</v>
      </c>
      <c r="AG94" s="91">
        <f>(183830-53622)/1000</f>
        <v>130.208</v>
      </c>
      <c r="AH94" s="92">
        <f>AI94-AG94</f>
        <v>-6.9259999999999877</v>
      </c>
      <c r="AI94" s="98">
        <f>281.432-158.15</f>
        <v>123.28200000000001</v>
      </c>
      <c r="AJ94" s="98">
        <v>-8.3610000000000007</v>
      </c>
      <c r="AK94" s="92">
        <f>AL94-AJ94</f>
        <v>-268.00400000000002</v>
      </c>
      <c r="AL94" s="98">
        <v>-276.36500000000001</v>
      </c>
      <c r="AM94" s="98">
        <f>-1356.332+1011.676</f>
        <v>-344.65600000000006</v>
      </c>
      <c r="AN94" s="92">
        <f>AO94-AM94</f>
        <v>2.8880000000000337</v>
      </c>
      <c r="AO94" s="98">
        <f>-1418.388+1076.62</f>
        <v>-341.76800000000003</v>
      </c>
      <c r="AP94" s="98">
        <v>22.33</v>
      </c>
      <c r="AQ94" s="92">
        <f>AR94-AP94</f>
        <v>-52.33</v>
      </c>
      <c r="AR94" s="98">
        <f>144.969+-174.969</f>
        <v>-30</v>
      </c>
      <c r="AS94" s="98">
        <f>438.596-562.716</f>
        <v>-124.12</v>
      </c>
      <c r="AT94" s="92">
        <f>AU94-AS94</f>
        <v>-115.05499999999995</v>
      </c>
      <c r="AU94" s="98">
        <f>438.596-677.771</f>
        <v>-239.17499999999995</v>
      </c>
      <c r="AV94" s="98">
        <f>42.071-37.058</f>
        <v>5.0129999999999981</v>
      </c>
      <c r="AW94" s="92">
        <f>AX94-AV94</f>
        <v>-8.0209999999999937</v>
      </c>
      <c r="AX94" s="404">
        <f>97.358+-100.366</f>
        <v>-3.0079999999999956</v>
      </c>
      <c r="AY94" s="92">
        <f>IF(AX174-AY82-AY90-AY92-AY93-AY95-AY96&lt;0,0,-(AY82+AY90+AY92+AY93+AY95+AY96))</f>
        <v>134.73720800867324</v>
      </c>
      <c r="AZ94" s="92">
        <f>IF(AY174-AZ82-AZ90-AZ92-AZ93-AZ95-AZ96&lt;0,0,-(AZ82+AZ90+AZ92+AZ93+AZ95+AZ96))</f>
        <v>-164.86663837585593</v>
      </c>
      <c r="BA94" s="92">
        <f>+AZ94+AY94</f>
        <v>-30.129430367182692</v>
      </c>
      <c r="BB94" s="92">
        <f>IF(BA174-BB82-BB90-BB92-BB93-BB95-BB96&lt;0,0,-(BB82+BB90+BB92+BB93+BB95+BB96))</f>
        <v>119.29792236611674</v>
      </c>
      <c r="BC94" s="92">
        <f>IF(BB174-BC82-BC90-BC92-BC93-BC95-BC96&lt;0,0,-(BC82+BC90+BC92+BC93+BC95+BC96))</f>
        <v>-200.77150757962005</v>
      </c>
      <c r="BD94" s="92">
        <f>+BC94+BB94</f>
        <v>-81.473585213503313</v>
      </c>
      <c r="BE94" s="92">
        <f>IF(BD174-BE82-BE90-BE92-BE93-BE95-BE96&lt;0,0,-(BE82+BE90+BE92+BE93+BE95+BE96))</f>
        <v>128.94445694468712</v>
      </c>
      <c r="BF94" s="92">
        <f>IF(BE174-BF82-BF90-BF92-BF93-BF95-BF96&lt;0,0,-(BF82+BF90+BF92+BF93+BF95+BF96))</f>
        <v>-232.63097387314059</v>
      </c>
      <c r="BG94" s="92">
        <f>+BF94+BE94</f>
        <v>-103.68651692845347</v>
      </c>
      <c r="BH94" s="92">
        <f>IF(BG174-BH82-BH90-BH92-BH93-BH95-BH96&lt;0,0,-(BH82+BH90+BH92+BH93+BH95+BH96))</f>
        <v>45.954674261229556</v>
      </c>
      <c r="BI94" s="92">
        <f>IF(BH174-BI82-BI90-BI92-BI93-BI95-BI96&lt;0,0,-(BI82+BI90+BI92+BI93+BI95+BI96))</f>
        <v>-337.89046213067979</v>
      </c>
      <c r="BJ94" s="92">
        <f>+BI94+BH94</f>
        <v>-291.93578786945022</v>
      </c>
      <c r="BK94" s="92">
        <f>IF(BJ174-BK82-BK90-BK92-BK93-BK95-BK96&lt;0,0,-(BK82+BK90+BK92+BK93+BK95+BK96))</f>
        <v>-3.765224502317011</v>
      </c>
      <c r="BL94" s="92">
        <f>IF(BK174-BL82-BL90-BL92-BL93-BL95-BL96&lt;0,0,-(BL82+BL90+BL92+BL93+BL95+BL96))</f>
        <v>-342.64921827745553</v>
      </c>
      <c r="BM94" s="92">
        <f>+BL94+BK94</f>
        <v>-346.41444277977257</v>
      </c>
    </row>
    <row r="95" spans="1:73">
      <c r="A95" s="89" t="s">
        <v>466</v>
      </c>
      <c r="B95" s="59" t="s">
        <v>172</v>
      </c>
      <c r="C95" s="308">
        <v>0</v>
      </c>
      <c r="D95" s="309">
        <f>E95</f>
        <v>0</v>
      </c>
      <c r="E95" s="308">
        <v>0</v>
      </c>
      <c r="F95" s="308">
        <v>0</v>
      </c>
      <c r="G95" s="309">
        <f>H95</f>
        <v>0</v>
      </c>
      <c r="H95" s="308">
        <v>0</v>
      </c>
      <c r="I95" s="308">
        <v>0</v>
      </c>
      <c r="J95" s="309">
        <f>K95</f>
        <v>0</v>
      </c>
      <c r="K95" s="308">
        <v>0</v>
      </c>
      <c r="L95" s="308">
        <v>0</v>
      </c>
      <c r="M95" s="309">
        <f>N95</f>
        <v>0</v>
      </c>
      <c r="N95" s="308">
        <v>0</v>
      </c>
      <c r="O95" s="308">
        <v>0</v>
      </c>
      <c r="P95" s="309">
        <f>Q95</f>
        <v>0</v>
      </c>
      <c r="Q95" s="308">
        <v>0</v>
      </c>
      <c r="R95" s="308">
        <v>0</v>
      </c>
      <c r="S95" s="309">
        <f>T95</f>
        <v>0</v>
      </c>
      <c r="T95" s="308">
        <v>0</v>
      </c>
      <c r="U95" s="308">
        <v>0</v>
      </c>
      <c r="V95" s="309">
        <f>W95</f>
        <v>0</v>
      </c>
      <c r="W95" s="308">
        <v>0</v>
      </c>
      <c r="X95" s="308">
        <v>0</v>
      </c>
      <c r="Y95" s="309">
        <f>Z95</f>
        <v>0</v>
      </c>
      <c r="Z95" s="308">
        <v>0</v>
      </c>
      <c r="AA95" s="308">
        <v>0</v>
      </c>
      <c r="AB95" s="309">
        <f>AC95</f>
        <v>0</v>
      </c>
      <c r="AC95" s="308">
        <v>0</v>
      </c>
      <c r="AD95" s="308">
        <v>0</v>
      </c>
      <c r="AE95" s="309">
        <f>AF95</f>
        <v>0</v>
      </c>
      <c r="AF95" s="308">
        <v>0</v>
      </c>
      <c r="AG95" s="91">
        <v>-50.494999999999997</v>
      </c>
      <c r="AH95" s="92">
        <f>AI95-AG95</f>
        <v>-45.008000000000003</v>
      </c>
      <c r="AI95" s="98">
        <v>-95.503</v>
      </c>
      <c r="AJ95" s="98">
        <v>-51.36</v>
      </c>
      <c r="AK95" s="92">
        <f>AL95-AJ95</f>
        <v>-56.885999999999996</v>
      </c>
      <c r="AL95" s="98">
        <v>-108.246</v>
      </c>
      <c r="AM95" s="98">
        <v>-53.113999999999997</v>
      </c>
      <c r="AN95" s="92">
        <f>AO95-AM95</f>
        <v>-53.814</v>
      </c>
      <c r="AO95" s="98">
        <v>-106.928</v>
      </c>
      <c r="AP95" s="98">
        <v>-58.661999999999999</v>
      </c>
      <c r="AQ95" s="92">
        <f>AR95-AP95</f>
        <v>-64.59899999999999</v>
      </c>
      <c r="AR95" s="98">
        <v>-123.261</v>
      </c>
      <c r="AS95" s="98">
        <v>-68.444999999999993</v>
      </c>
      <c r="AT95" s="92">
        <f>AU95-AS95</f>
        <v>-69.686000000000007</v>
      </c>
      <c r="AU95" s="98">
        <v>-138.131</v>
      </c>
      <c r="AV95" s="98">
        <v>-70.31</v>
      </c>
      <c r="AW95" s="92">
        <f>AX95-AV95</f>
        <v>-71.004999999999995</v>
      </c>
      <c r="AX95" s="404">
        <v>-141.315</v>
      </c>
      <c r="AY95" s="102">
        <f>AV95</f>
        <v>-70.31</v>
      </c>
      <c r="AZ95" s="102">
        <f>AY95</f>
        <v>-70.31</v>
      </c>
      <c r="BA95" s="92">
        <f>AZ95+AY95</f>
        <v>-140.62</v>
      </c>
      <c r="BB95" s="102">
        <f>AY95</f>
        <v>-70.31</v>
      </c>
      <c r="BC95" s="102">
        <f>BB95</f>
        <v>-70.31</v>
      </c>
      <c r="BD95" s="92">
        <f>BC95+BB95</f>
        <v>-140.62</v>
      </c>
      <c r="BE95" s="102">
        <f>BB95</f>
        <v>-70.31</v>
      </c>
      <c r="BF95" s="102">
        <f>BE95</f>
        <v>-70.31</v>
      </c>
      <c r="BG95" s="92">
        <f>BF95+BE95</f>
        <v>-140.62</v>
      </c>
      <c r="BH95" s="102">
        <v>-16</v>
      </c>
      <c r="BI95" s="102">
        <v>0</v>
      </c>
      <c r="BJ95" s="92">
        <f>BI95+BH95</f>
        <v>-16</v>
      </c>
      <c r="BK95" s="102">
        <f>BI95</f>
        <v>0</v>
      </c>
      <c r="BL95" s="102">
        <f>BK95</f>
        <v>0</v>
      </c>
      <c r="BM95" s="92">
        <f>BL95+BK95</f>
        <v>0</v>
      </c>
    </row>
    <row r="96" spans="1:73">
      <c r="A96" s="89" t="s">
        <v>217</v>
      </c>
      <c r="B96" s="59" t="s">
        <v>172</v>
      </c>
      <c r="C96" s="308">
        <v>0</v>
      </c>
      <c r="D96" s="309">
        <f>E96</f>
        <v>0</v>
      </c>
      <c r="E96" s="308">
        <v>0</v>
      </c>
      <c r="F96" s="308">
        <v>0</v>
      </c>
      <c r="G96" s="309">
        <f>H96</f>
        <v>0</v>
      </c>
      <c r="H96" s="308">
        <v>0</v>
      </c>
      <c r="I96" s="308">
        <v>0</v>
      </c>
      <c r="J96" s="309">
        <f>K96</f>
        <v>0</v>
      </c>
      <c r="K96" s="308">
        <v>0</v>
      </c>
      <c r="L96" s="308">
        <v>0</v>
      </c>
      <c r="M96" s="309">
        <f>N96</f>
        <v>0</v>
      </c>
      <c r="N96" s="308">
        <v>0</v>
      </c>
      <c r="O96" s="308">
        <v>0</v>
      </c>
      <c r="P96" s="309">
        <f>Q96</f>
        <v>0</v>
      </c>
      <c r="Q96" s="308">
        <v>0</v>
      </c>
      <c r="R96" s="308">
        <v>0</v>
      </c>
      <c r="S96" s="309">
        <f>T96</f>
        <v>0</v>
      </c>
      <c r="T96" s="308">
        <v>0</v>
      </c>
      <c r="U96" s="308">
        <v>0</v>
      </c>
      <c r="V96" s="309">
        <f>W96</f>
        <v>0</v>
      </c>
      <c r="W96" s="308">
        <v>0</v>
      </c>
      <c r="X96" s="308">
        <v>0</v>
      </c>
      <c r="Y96" s="309">
        <f>Z96</f>
        <v>0</v>
      </c>
      <c r="Z96" s="308">
        <v>0</v>
      </c>
      <c r="AA96" s="308">
        <v>0</v>
      </c>
      <c r="AB96" s="309">
        <f t="shared" ref="AB96:AH96" si="136">AC96</f>
        <v>0</v>
      </c>
      <c r="AC96" s="308">
        <v>0</v>
      </c>
      <c r="AD96" s="308">
        <v>0</v>
      </c>
      <c r="AE96" s="309">
        <f t="shared" si="136"/>
        <v>0</v>
      </c>
      <c r="AF96" s="308">
        <v>0</v>
      </c>
      <c r="AG96" s="308">
        <v>0</v>
      </c>
      <c r="AH96" s="309">
        <f t="shared" si="136"/>
        <v>0</v>
      </c>
      <c r="AI96" s="308">
        <v>0</v>
      </c>
      <c r="AJ96" s="102">
        <v>0</v>
      </c>
      <c r="AK96" s="309">
        <f>AL96</f>
        <v>0</v>
      </c>
      <c r="AL96" s="98">
        <v>0</v>
      </c>
      <c r="AM96" s="102">
        <v>0</v>
      </c>
      <c r="AN96" s="309">
        <v>0</v>
      </c>
      <c r="AO96" s="98">
        <f>AN96+AM96</f>
        <v>0</v>
      </c>
      <c r="AP96" s="102">
        <v>-5.2779999999999996</v>
      </c>
      <c r="AQ96" s="309">
        <f>AR96-AP96</f>
        <v>0</v>
      </c>
      <c r="AR96" s="98">
        <v>-5.2779999999999996</v>
      </c>
      <c r="AS96" s="102">
        <v>0</v>
      </c>
      <c r="AT96" s="309">
        <f>AU96-AS96</f>
        <v>0</v>
      </c>
      <c r="AU96" s="98">
        <v>0</v>
      </c>
      <c r="AV96" s="98">
        <v>0</v>
      </c>
      <c r="AW96" s="309">
        <f>AX96-AV96</f>
        <v>0</v>
      </c>
      <c r="AX96" s="404">
        <v>0</v>
      </c>
      <c r="AY96" s="102">
        <v>0</v>
      </c>
      <c r="AZ96" s="102">
        <v>0</v>
      </c>
      <c r="BA96" s="92">
        <f>AZ96+AY96</f>
        <v>0</v>
      </c>
      <c r="BB96" s="102">
        <v>0</v>
      </c>
      <c r="BC96" s="102">
        <v>0</v>
      </c>
      <c r="BD96" s="92">
        <f>BC96+BB96</f>
        <v>0</v>
      </c>
      <c r="BE96" s="102">
        <v>0</v>
      </c>
      <c r="BF96" s="102">
        <v>0</v>
      </c>
      <c r="BG96" s="92">
        <f>BF96+BE96</f>
        <v>0</v>
      </c>
      <c r="BH96" s="102">
        <v>0</v>
      </c>
      <c r="BI96" s="102">
        <v>0</v>
      </c>
      <c r="BJ96" s="92">
        <f>BI96+BH96</f>
        <v>0</v>
      </c>
      <c r="BK96" s="102">
        <v>0</v>
      </c>
      <c r="BL96" s="102">
        <v>0</v>
      </c>
      <c r="BM96" s="92">
        <f>BL96+BK96</f>
        <v>0</v>
      </c>
    </row>
    <row r="97" spans="1:73" s="13" customFormat="1">
      <c r="A97" s="13" t="s">
        <v>37</v>
      </c>
      <c r="B97" s="55" t="s">
        <v>172</v>
      </c>
      <c r="C97" s="90">
        <f t="shared" ref="C97:V97" si="137">SUM(C92:C96)</f>
        <v>-47.719000000000001</v>
      </c>
      <c r="D97" s="90">
        <f t="shared" si="137"/>
        <v>-43.89899999999998</v>
      </c>
      <c r="E97" s="90">
        <f t="shared" si="137"/>
        <v>-91.617999999999981</v>
      </c>
      <c r="F97" s="90">
        <f t="shared" si="137"/>
        <v>-37.825000000000003</v>
      </c>
      <c r="G97" s="90">
        <f t="shared" si="137"/>
        <v>-21.597000000000005</v>
      </c>
      <c r="H97" s="90">
        <f t="shared" si="137"/>
        <v>-59.422000000000004</v>
      </c>
      <c r="I97" s="90">
        <f t="shared" si="137"/>
        <v>-39.139000000000003</v>
      </c>
      <c r="J97" s="90">
        <f t="shared" si="137"/>
        <v>-20.902000000000001</v>
      </c>
      <c r="K97" s="90">
        <f t="shared" si="137"/>
        <v>-60.041000000000004</v>
      </c>
      <c r="L97" s="90">
        <f t="shared" si="137"/>
        <v>-41.186000000000007</v>
      </c>
      <c r="M97" s="90">
        <f t="shared" si="137"/>
        <v>-19.697999999999997</v>
      </c>
      <c r="N97" s="90">
        <f t="shared" si="137"/>
        <v>-60.884</v>
      </c>
      <c r="O97" s="90">
        <f t="shared" si="137"/>
        <v>-40.131999999999998</v>
      </c>
      <c r="P97" s="90">
        <f t="shared" si="137"/>
        <v>173.27199999999999</v>
      </c>
      <c r="Q97" s="90">
        <f t="shared" si="137"/>
        <v>133.14000000000001</v>
      </c>
      <c r="R97" s="90">
        <f t="shared" si="137"/>
        <v>-52.494999999999997</v>
      </c>
      <c r="S97" s="90">
        <f t="shared" si="137"/>
        <v>-42.902000000000008</v>
      </c>
      <c r="T97" s="90">
        <f t="shared" si="137"/>
        <v>-95.397000000000006</v>
      </c>
      <c r="U97" s="90">
        <f t="shared" si="137"/>
        <v>-61.908000000000001</v>
      </c>
      <c r="V97" s="90">
        <f t="shared" si="137"/>
        <v>-46.891999999999996</v>
      </c>
      <c r="W97" s="90">
        <f t="shared" ref="W97:AF97" si="138">SUM(W92:W96)</f>
        <v>-108.8</v>
      </c>
      <c r="X97" s="90">
        <f t="shared" si="138"/>
        <v>-89.74</v>
      </c>
      <c r="Y97" s="90">
        <f t="shared" si="138"/>
        <v>-48.884</v>
      </c>
      <c r="Z97" s="90">
        <f t="shared" si="138"/>
        <v>-138.624</v>
      </c>
      <c r="AA97" s="90">
        <f t="shared" si="138"/>
        <v>-70.715999999999994</v>
      </c>
      <c r="AB97" s="90">
        <f t="shared" si="138"/>
        <v>464.50900000000001</v>
      </c>
      <c r="AC97" s="90">
        <f t="shared" si="138"/>
        <v>393.79300000000001</v>
      </c>
      <c r="AD97" s="90">
        <f>SUM(AD92:AD96)</f>
        <v>1549.48</v>
      </c>
      <c r="AE97" s="90">
        <f>SUM(AE92:AE96)</f>
        <v>-122.41599999999983</v>
      </c>
      <c r="AF97" s="90">
        <f t="shared" si="138"/>
        <v>1427.0640000000001</v>
      </c>
      <c r="AG97" s="90">
        <f t="shared" ref="AG97:AL97" si="139">SUM(AG92:AG96)</f>
        <v>-0.20400000000000063</v>
      </c>
      <c r="AH97" s="94">
        <f t="shared" si="139"/>
        <v>556.48599999999988</v>
      </c>
      <c r="AI97" s="94">
        <f t="shared" si="139"/>
        <v>556.28199999999993</v>
      </c>
      <c r="AJ97" s="94">
        <f t="shared" si="139"/>
        <v>-98.48</v>
      </c>
      <c r="AK97" s="94">
        <f t="shared" si="139"/>
        <v>-363.649</v>
      </c>
      <c r="AL97" s="94">
        <f t="shared" si="139"/>
        <v>-462.12900000000002</v>
      </c>
      <c r="AM97" s="94">
        <f t="shared" ref="AM97:AO97" si="140">SUM(AM92:AM96)</f>
        <v>-475.28800000000007</v>
      </c>
      <c r="AN97" s="94">
        <f t="shared" si="140"/>
        <v>-99.374813574999962</v>
      </c>
      <c r="AO97" s="94">
        <f t="shared" si="140"/>
        <v>-574.66200000000003</v>
      </c>
      <c r="AP97" s="94">
        <f t="shared" ref="AP97:AU97" si="141">SUM(AP92:AP96)</f>
        <v>-138.50799999999998</v>
      </c>
      <c r="AQ97" s="94">
        <f t="shared" si="141"/>
        <v>-168.60773447999998</v>
      </c>
      <c r="AR97" s="94">
        <f t="shared" si="141"/>
        <v>-307.11599999999999</v>
      </c>
      <c r="AS97" s="94">
        <f t="shared" si="141"/>
        <v>-302.38200000000001</v>
      </c>
      <c r="AT97" s="94">
        <f t="shared" si="141"/>
        <v>-236.39867999999996</v>
      </c>
      <c r="AU97" s="94">
        <f t="shared" si="141"/>
        <v>-538.80199999999991</v>
      </c>
      <c r="AV97" s="94">
        <f t="shared" ref="AV97:AX97" si="142">SUM(AV92:AV96)</f>
        <v>-179.958</v>
      </c>
      <c r="AW97" s="94">
        <f t="shared" si="142"/>
        <v>-120.99786499999999</v>
      </c>
      <c r="AX97" s="95">
        <f t="shared" si="142"/>
        <v>-323.524</v>
      </c>
      <c r="AY97" s="94">
        <f t="shared" ref="AY97:BM97" si="143">SUM(AY92:AY96)</f>
        <v>-12.155302591326759</v>
      </c>
      <c r="AZ97" s="94">
        <f t="shared" si="143"/>
        <v>-267.38543837585593</v>
      </c>
      <c r="BA97" s="94">
        <f t="shared" si="143"/>
        <v>-279.54074096718273</v>
      </c>
      <c r="BB97" s="94">
        <f t="shared" si="143"/>
        <v>-18.780684803883275</v>
      </c>
      <c r="BC97" s="94">
        <f t="shared" si="143"/>
        <v>-308.04620239962003</v>
      </c>
      <c r="BD97" s="94">
        <f t="shared" si="143"/>
        <v>-326.82688720350336</v>
      </c>
      <c r="BE97" s="94">
        <f t="shared" si="143"/>
        <v>-21.455715165312881</v>
      </c>
      <c r="BF97" s="94">
        <f t="shared" si="143"/>
        <v>-352.2272336331406</v>
      </c>
      <c r="BG97" s="94">
        <f t="shared" si="143"/>
        <v>-373.68294879845348</v>
      </c>
      <c r="BH97" s="94">
        <f t="shared" si="143"/>
        <v>-68.617845258770444</v>
      </c>
      <c r="BI97" s="94">
        <f t="shared" si="143"/>
        <v>-387.1767218906798</v>
      </c>
      <c r="BJ97" s="94">
        <f t="shared" si="143"/>
        <v>-455.79456714945024</v>
      </c>
      <c r="BK97" s="94">
        <f t="shared" si="143"/>
        <v>-114.65930896231703</v>
      </c>
      <c r="BL97" s="94">
        <f t="shared" si="143"/>
        <v>-398.09626050745555</v>
      </c>
      <c r="BM97" s="94">
        <f t="shared" si="143"/>
        <v>-512.75556946977258</v>
      </c>
      <c r="BP97"/>
      <c r="BQ97"/>
      <c r="BR97"/>
      <c r="BS97"/>
      <c r="BT97"/>
      <c r="BU97"/>
    </row>
    <row r="98" spans="1:73">
      <c r="A98" s="13" t="s">
        <v>39</v>
      </c>
      <c r="B98" s="55" t="s">
        <v>172</v>
      </c>
      <c r="C98" s="92">
        <f t="shared" ref="C98:T98" si="144">C82+C90+C97+C99-C100</f>
        <v>30.954200000000007</v>
      </c>
      <c r="D98" s="92">
        <f>D82+D90+D97</f>
        <v>37.130800000000015</v>
      </c>
      <c r="E98" s="92">
        <f t="shared" si="144"/>
        <v>68.085000000000022</v>
      </c>
      <c r="F98" s="92">
        <f t="shared" si="144"/>
        <v>-23.130000000000006</v>
      </c>
      <c r="G98" s="92">
        <f>G82+G90+G97</f>
        <v>34.684999999999988</v>
      </c>
      <c r="H98" s="92">
        <f t="shared" si="144"/>
        <v>11.554999999999986</v>
      </c>
      <c r="I98" s="92">
        <f t="shared" si="144"/>
        <v>4.9010000000000034</v>
      </c>
      <c r="J98" s="92">
        <f>J82+J90+J97</f>
        <v>27.670999999999999</v>
      </c>
      <c r="K98" s="92">
        <f t="shared" si="144"/>
        <v>32.571999999999996</v>
      </c>
      <c r="L98" s="92">
        <f>L82+L90+L97</f>
        <v>-31.993000000000002</v>
      </c>
      <c r="M98" s="92">
        <f>M82+M90+M97</f>
        <v>21.467000000000009</v>
      </c>
      <c r="N98" s="92">
        <f t="shared" si="144"/>
        <v>-10.525999999999996</v>
      </c>
      <c r="O98" s="92">
        <f t="shared" si="144"/>
        <v>-10.619</v>
      </c>
      <c r="P98" s="92">
        <f>P82+P90+P97</f>
        <v>-71.851000000000028</v>
      </c>
      <c r="Q98" s="92">
        <f t="shared" si="144"/>
        <v>-82.47</v>
      </c>
      <c r="R98" s="92">
        <f t="shared" si="144"/>
        <v>-18.663000000000004</v>
      </c>
      <c r="S98" s="92">
        <f>S82+S90+S97</f>
        <v>29.922000000000004</v>
      </c>
      <c r="T98" s="92">
        <f t="shared" si="144"/>
        <v>11.259</v>
      </c>
      <c r="U98" s="25">
        <f>U82+U90+U97+U99</f>
        <v>-11.570999999999998</v>
      </c>
      <c r="V98" s="92">
        <f>V82+V90+V97</f>
        <v>32.123000000000019</v>
      </c>
      <c r="W98" s="92">
        <f>W82+W90+W97+W99-W100</f>
        <v>20.548000000000034</v>
      </c>
      <c r="X98" s="92">
        <f t="shared" ref="X98:AO98" si="145">X82+X90+X97</f>
        <v>-49.341999999999999</v>
      </c>
      <c r="Y98" s="92">
        <f t="shared" si="145"/>
        <v>46.306000000000012</v>
      </c>
      <c r="Z98" s="92">
        <f t="shared" si="145"/>
        <v>-3.0360000000000014</v>
      </c>
      <c r="AA98" s="92">
        <f t="shared" si="145"/>
        <v>-51.55</v>
      </c>
      <c r="AB98" s="92">
        <f t="shared" si="145"/>
        <v>489.63600000000002</v>
      </c>
      <c r="AC98" s="92">
        <f t="shared" si="145"/>
        <v>438.08600000000001</v>
      </c>
      <c r="AD98" s="92">
        <f t="shared" si="145"/>
        <v>-441.31699999999978</v>
      </c>
      <c r="AE98" s="92">
        <f t="shared" si="145"/>
        <v>27.2590000000001</v>
      </c>
      <c r="AF98" s="92">
        <f t="shared" si="145"/>
        <v>-414.05800000000022</v>
      </c>
      <c r="AG98" s="92">
        <f t="shared" si="145"/>
        <v>-25.505999999999993</v>
      </c>
      <c r="AH98" s="92">
        <f t="shared" si="145"/>
        <v>903.24699999999984</v>
      </c>
      <c r="AI98" s="92">
        <f t="shared" si="145"/>
        <v>877.74099999999999</v>
      </c>
      <c r="AJ98" s="92">
        <f>AJ82+AJ90+AJ97</f>
        <v>-32.988000000000014</v>
      </c>
      <c r="AK98" s="92">
        <f>AK82+AK90+AK97</f>
        <v>-125.42499999999995</v>
      </c>
      <c r="AL98" s="92">
        <f>AL82+AL90+AL97</f>
        <v>-158.41300000000001</v>
      </c>
      <c r="AM98" s="92">
        <f t="shared" si="145"/>
        <v>-715.67200000000003</v>
      </c>
      <c r="AN98" s="92">
        <f t="shared" si="145"/>
        <v>81.814186425000059</v>
      </c>
      <c r="AO98" s="92">
        <f t="shared" si="145"/>
        <v>-633.85699999999997</v>
      </c>
      <c r="AP98" s="92">
        <f t="shared" ref="AP98:AU98" si="146">AP82+AP90+AP97</f>
        <v>-80.83899999999997</v>
      </c>
      <c r="AQ98" s="92">
        <f t="shared" si="146"/>
        <v>230.58226551999996</v>
      </c>
      <c r="AR98" s="92">
        <f t="shared" si="146"/>
        <v>149.74299999999994</v>
      </c>
      <c r="AS98" s="92">
        <f t="shared" si="146"/>
        <v>-32.652999999999963</v>
      </c>
      <c r="AT98" s="92">
        <f t="shared" si="146"/>
        <v>0.81731999999988147</v>
      </c>
      <c r="AU98" s="92">
        <f t="shared" si="146"/>
        <v>-31.856999999999914</v>
      </c>
      <c r="AV98" s="92">
        <f t="shared" ref="AV98:AX98" si="147">AV82+AV90+AV97</f>
        <v>-72.507000000000005</v>
      </c>
      <c r="AW98" s="92">
        <f t="shared" si="147"/>
        <v>28.834135000000146</v>
      </c>
      <c r="AX98" s="93">
        <f t="shared" si="147"/>
        <v>-66.240999999999985</v>
      </c>
      <c r="AY98" s="92">
        <f t="shared" ref="AY98:BM98" si="148">AY82+AY90+AY97</f>
        <v>-1.4210854715202004E-14</v>
      </c>
      <c r="AZ98" s="92">
        <f t="shared" si="148"/>
        <v>0</v>
      </c>
      <c r="BA98" s="92">
        <f t="shared" si="148"/>
        <v>0</v>
      </c>
      <c r="BB98" s="92">
        <f t="shared" si="148"/>
        <v>0</v>
      </c>
      <c r="BC98" s="92">
        <f t="shared" si="148"/>
        <v>0</v>
      </c>
      <c r="BD98" s="92">
        <f t="shared" si="148"/>
        <v>0</v>
      </c>
      <c r="BE98" s="92">
        <f t="shared" si="148"/>
        <v>0</v>
      </c>
      <c r="BF98" s="92">
        <f t="shared" si="148"/>
        <v>0</v>
      </c>
      <c r="BG98" s="92">
        <f t="shared" si="148"/>
        <v>0</v>
      </c>
      <c r="BH98" s="92">
        <f t="shared" si="148"/>
        <v>0</v>
      </c>
      <c r="BI98" s="92">
        <f t="shared" si="148"/>
        <v>0</v>
      </c>
      <c r="BJ98" s="92">
        <f t="shared" si="148"/>
        <v>0</v>
      </c>
      <c r="BK98" s="92">
        <f t="shared" si="148"/>
        <v>0</v>
      </c>
      <c r="BL98" s="92">
        <f t="shared" si="148"/>
        <v>0</v>
      </c>
      <c r="BM98" s="92">
        <f t="shared" si="148"/>
        <v>0</v>
      </c>
    </row>
    <row r="99" spans="1:73">
      <c r="A99" s="89" t="s">
        <v>38</v>
      </c>
      <c r="B99" s="59" t="s">
        <v>172</v>
      </c>
      <c r="C99" s="26"/>
      <c r="D99" s="92">
        <f>E99-C99</f>
        <v>0</v>
      </c>
      <c r="E99" s="26"/>
      <c r="F99" s="26"/>
      <c r="G99" s="92">
        <f>H99-F99</f>
        <v>0</v>
      </c>
      <c r="H99" s="26"/>
      <c r="I99" s="26"/>
      <c r="J99" s="92">
        <f>K99-I99</f>
        <v>0</v>
      </c>
      <c r="K99" s="26"/>
      <c r="L99" s="26"/>
      <c r="M99" s="92">
        <f>N99-L99</f>
        <v>0</v>
      </c>
      <c r="N99" s="26"/>
      <c r="O99" s="26"/>
      <c r="P99" s="92">
        <f>Q99-O99</f>
        <v>0</v>
      </c>
      <c r="Q99" s="26"/>
      <c r="R99" s="26"/>
      <c r="S99" s="92">
        <f>T99-R99</f>
        <v>0</v>
      </c>
      <c r="T99" s="26"/>
      <c r="U99" s="26"/>
      <c r="V99" s="92">
        <f>W99-U99</f>
        <v>-4.0000000000000001E-3</v>
      </c>
      <c r="W99" s="98">
        <v>-4.0000000000000001E-3</v>
      </c>
      <c r="X99" s="98">
        <v>0.185</v>
      </c>
      <c r="Y99" s="92">
        <f>Z99-X99</f>
        <v>-0.183</v>
      </c>
      <c r="Z99" s="98">
        <v>2E-3</v>
      </c>
      <c r="AA99" s="98">
        <v>-7.6999999999999999E-2</v>
      </c>
      <c r="AB99" s="92">
        <v>0</v>
      </c>
      <c r="AC99" s="98"/>
      <c r="AD99" s="98">
        <v>0.70099999999999996</v>
      </c>
      <c r="AE99" s="38">
        <f>AF99-AD99</f>
        <v>1.173</v>
      </c>
      <c r="AF99" s="98">
        <v>1.8740000000000001</v>
      </c>
      <c r="AG99" s="98">
        <v>1.1379999999999999</v>
      </c>
      <c r="AH99" s="92">
        <v>0</v>
      </c>
      <c r="AI99" s="98">
        <v>-0.74</v>
      </c>
      <c r="AJ99" s="98">
        <v>-17.922999999999998</v>
      </c>
      <c r="AK99" s="92">
        <f>+AL99-AJ99</f>
        <v>0.59399999999999764</v>
      </c>
      <c r="AL99" s="98">
        <v>-17.329000000000001</v>
      </c>
      <c r="AM99" s="98">
        <v>4.6669999999999998</v>
      </c>
      <c r="AN99" s="92">
        <f>AO99-AM99</f>
        <v>20.707000000000001</v>
      </c>
      <c r="AO99" s="98">
        <v>25.373999999999999</v>
      </c>
      <c r="AP99" s="98">
        <v>2.161</v>
      </c>
      <c r="AQ99" s="92">
        <f>AR99-AP99</f>
        <v>0.31899999999999995</v>
      </c>
      <c r="AR99" s="98">
        <v>2.48</v>
      </c>
      <c r="AS99" s="98">
        <v>-3.3530000000000002</v>
      </c>
      <c r="AT99" s="92">
        <f>AU99-AS99</f>
        <v>3.8840000000000003</v>
      </c>
      <c r="AU99" s="98">
        <v>0.53100000000000003</v>
      </c>
      <c r="AV99" s="98">
        <v>4.3979999999999997</v>
      </c>
      <c r="AW99" s="92">
        <f>AX99-AV99</f>
        <v>-4.1209999999999996</v>
      </c>
      <c r="AX99" s="404">
        <v>0.27700000000000002</v>
      </c>
      <c r="AY99" s="102">
        <v>0</v>
      </c>
      <c r="AZ99" s="102">
        <v>0</v>
      </c>
      <c r="BA99" s="104">
        <f>AZ99+AY99</f>
        <v>0</v>
      </c>
      <c r="BB99" s="102">
        <v>0</v>
      </c>
      <c r="BC99" s="102">
        <v>0</v>
      </c>
      <c r="BD99" s="104">
        <f>BC99+BB99</f>
        <v>0</v>
      </c>
      <c r="BE99" s="102">
        <v>0</v>
      </c>
      <c r="BF99" s="102">
        <v>0</v>
      </c>
      <c r="BG99" s="104">
        <f>BF99+BE99</f>
        <v>0</v>
      </c>
      <c r="BH99" s="102">
        <v>0</v>
      </c>
      <c r="BI99" s="102">
        <v>0</v>
      </c>
      <c r="BJ99" s="104">
        <f>BI99+BH99</f>
        <v>0</v>
      </c>
      <c r="BK99" s="102">
        <v>0</v>
      </c>
      <c r="BL99" s="102">
        <v>0</v>
      </c>
      <c r="BM99" s="104">
        <f>BL99+BK99</f>
        <v>0</v>
      </c>
    </row>
    <row r="100" spans="1:73">
      <c r="A100" s="89" t="s">
        <v>381</v>
      </c>
      <c r="B100" s="59" t="s">
        <v>172</v>
      </c>
      <c r="C100" s="26"/>
      <c r="D100" s="92">
        <f>E100-C100</f>
        <v>0</v>
      </c>
      <c r="E100" s="26"/>
      <c r="F100" s="26"/>
      <c r="G100" s="92">
        <f>H100-F100</f>
        <v>0</v>
      </c>
      <c r="H100" s="26"/>
      <c r="I100" s="26"/>
      <c r="J100" s="92">
        <f>K100-I100</f>
        <v>0</v>
      </c>
      <c r="K100" s="26"/>
      <c r="L100" s="26"/>
      <c r="M100" s="92">
        <f>N100-L100</f>
        <v>0</v>
      </c>
      <c r="N100" s="26"/>
      <c r="O100" s="26"/>
      <c r="P100" s="92">
        <f>Q100-O100</f>
        <v>0</v>
      </c>
      <c r="Q100" s="26"/>
      <c r="R100" s="26"/>
      <c r="S100" s="92">
        <f>T100-R100</f>
        <v>0</v>
      </c>
      <c r="T100" s="26"/>
      <c r="U100" s="66"/>
      <c r="V100" s="92"/>
      <c r="W100" s="92">
        <f>SUM(U100:V100)</f>
        <v>0</v>
      </c>
      <c r="X100" s="98"/>
      <c r="Y100" s="92">
        <f>Z100-X100</f>
        <v>0</v>
      </c>
      <c r="Z100" s="98"/>
      <c r="AA100" s="98"/>
      <c r="AB100" s="92">
        <f>AC100-AA100</f>
        <v>0</v>
      </c>
      <c r="AC100" s="104"/>
      <c r="AD100" s="98"/>
      <c r="AE100" s="92">
        <f>AF100-AD100</f>
        <v>0</v>
      </c>
      <c r="AF100" s="104"/>
      <c r="AG100" s="98"/>
      <c r="AH100" s="92"/>
      <c r="AI100" s="98"/>
      <c r="AJ100" s="102"/>
      <c r="AK100" s="92"/>
      <c r="AL100" s="98"/>
      <c r="AM100" s="102"/>
      <c r="AN100" s="92"/>
      <c r="AO100" s="98"/>
      <c r="AP100" s="102"/>
      <c r="AQ100" s="92"/>
      <c r="AR100" s="98"/>
      <c r="AS100" s="102"/>
      <c r="AT100" s="92"/>
      <c r="AU100" s="98"/>
      <c r="AV100" s="102"/>
      <c r="AW100" s="92"/>
      <c r="AX100" s="404"/>
      <c r="AY100" s="102"/>
      <c r="AZ100" s="102"/>
      <c r="BA100" s="104"/>
      <c r="BB100" s="102"/>
      <c r="BC100" s="102"/>
      <c r="BD100" s="104"/>
      <c r="BE100" s="102"/>
      <c r="BF100" s="102"/>
      <c r="BG100" s="104"/>
      <c r="BH100" s="102"/>
      <c r="BI100" s="102"/>
      <c r="BJ100" s="104"/>
      <c r="BK100" s="102"/>
      <c r="BL100" s="102"/>
      <c r="BM100" s="104"/>
    </row>
    <row r="101" spans="1:73">
      <c r="A101" s="13" t="s">
        <v>423</v>
      </c>
      <c r="B101" s="55" t="s">
        <v>172</v>
      </c>
      <c r="C101" s="25">
        <f t="shared" ref="C101:T101" si="149">C82+C86</f>
        <v>77.769199999999998</v>
      </c>
      <c r="D101" s="92">
        <f t="shared" si="149"/>
        <v>78.857799999999997</v>
      </c>
      <c r="E101" s="25">
        <f t="shared" si="149"/>
        <v>156.62700000000001</v>
      </c>
      <c r="F101" s="25">
        <f t="shared" si="149"/>
        <v>13.576999999999998</v>
      </c>
      <c r="G101" s="92">
        <f t="shared" si="149"/>
        <v>54.920999999999999</v>
      </c>
      <c r="H101" s="25">
        <f t="shared" si="149"/>
        <v>68.49799999999999</v>
      </c>
      <c r="I101" s="25">
        <f t="shared" si="149"/>
        <v>41.977000000000004</v>
      </c>
      <c r="J101" s="92">
        <f t="shared" si="149"/>
        <v>46.826999999999998</v>
      </c>
      <c r="K101" s="25">
        <f t="shared" si="149"/>
        <v>88.804000000000002</v>
      </c>
      <c r="L101" s="25">
        <f t="shared" si="149"/>
        <v>9.8010000000000019</v>
      </c>
      <c r="M101" s="92">
        <f t="shared" si="149"/>
        <v>40.063000000000009</v>
      </c>
      <c r="N101" s="25">
        <f t="shared" si="149"/>
        <v>49.864000000000004</v>
      </c>
      <c r="O101" s="25">
        <f t="shared" si="149"/>
        <v>27.113</v>
      </c>
      <c r="P101" s="92">
        <f t="shared" si="149"/>
        <v>52.70300000000001</v>
      </c>
      <c r="Q101" s="25">
        <f t="shared" si="149"/>
        <v>79.816000000000017</v>
      </c>
      <c r="R101" s="25">
        <f t="shared" si="149"/>
        <v>32.904999999999994</v>
      </c>
      <c r="S101" s="92">
        <f t="shared" si="149"/>
        <v>68.207000000000022</v>
      </c>
      <c r="T101" s="25">
        <f t="shared" si="149"/>
        <v>101.11200000000001</v>
      </c>
      <c r="U101" s="25">
        <f t="shared" ref="U101:AO101" si="150">U82+U86</f>
        <v>48.217000000000006</v>
      </c>
      <c r="V101" s="92">
        <f>V82+V86</f>
        <v>76.614000000000004</v>
      </c>
      <c r="W101" s="92">
        <f t="shared" si="150"/>
        <v>124.83100000000002</v>
      </c>
      <c r="X101" s="92">
        <f t="shared" si="150"/>
        <v>23.155999999999999</v>
      </c>
      <c r="Y101" s="92">
        <f t="shared" si="150"/>
        <v>96.77000000000001</v>
      </c>
      <c r="Z101" s="92">
        <f t="shared" si="150"/>
        <v>119.926</v>
      </c>
      <c r="AA101" s="92">
        <f t="shared" si="150"/>
        <v>52.732999999999997</v>
      </c>
      <c r="AB101" s="92">
        <f t="shared" si="150"/>
        <v>39.948000000000015</v>
      </c>
      <c r="AC101" s="92">
        <f t="shared" si="150"/>
        <v>92.681000000000012</v>
      </c>
      <c r="AD101" s="92">
        <f t="shared" si="150"/>
        <v>-2.3950000000000031</v>
      </c>
      <c r="AE101" s="92">
        <f t="shared" si="150"/>
        <v>157.66200000000003</v>
      </c>
      <c r="AF101" s="92">
        <f t="shared" si="150"/>
        <v>155.267</v>
      </c>
      <c r="AG101" s="92">
        <f t="shared" si="150"/>
        <v>154.54400000000001</v>
      </c>
      <c r="AH101" s="92">
        <f t="shared" si="150"/>
        <v>363.09000000000003</v>
      </c>
      <c r="AI101" s="92">
        <f t="shared" si="150"/>
        <v>517.63400000000001</v>
      </c>
      <c r="AJ101" s="92">
        <f t="shared" si="150"/>
        <v>71.686000000000007</v>
      </c>
      <c r="AK101" s="92">
        <f>AK82+AK86</f>
        <v>230.34200000000004</v>
      </c>
      <c r="AL101" s="92">
        <f>AL82+AL86</f>
        <v>302.02800000000002</v>
      </c>
      <c r="AM101" s="92">
        <f t="shared" si="150"/>
        <v>-170.93</v>
      </c>
      <c r="AN101" s="92">
        <f t="shared" si="150"/>
        <v>208.48400000000004</v>
      </c>
      <c r="AO101" s="92">
        <f t="shared" si="150"/>
        <v>37.554000000000002</v>
      </c>
      <c r="AP101" s="92">
        <f t="shared" ref="AP101:AU101" si="151">AP82+AP86</f>
        <v>113.63800000000001</v>
      </c>
      <c r="AQ101" s="92">
        <f t="shared" si="151"/>
        <v>501.077</v>
      </c>
      <c r="AR101" s="92">
        <f t="shared" si="151"/>
        <v>614.71499999999992</v>
      </c>
      <c r="AS101" s="92">
        <f t="shared" si="151"/>
        <v>275.16700000000003</v>
      </c>
      <c r="AT101" s="92">
        <f t="shared" si="151"/>
        <v>239.42799999999983</v>
      </c>
      <c r="AU101" s="92">
        <f t="shared" si="151"/>
        <v>514.59500000000003</v>
      </c>
      <c r="AV101" s="92">
        <f t="shared" ref="AV101:AX101" si="152">AV82+AV86</f>
        <v>131.91299999999998</v>
      </c>
      <c r="AW101" s="92">
        <f t="shared" si="152"/>
        <v>225.98200000000011</v>
      </c>
      <c r="AX101" s="93">
        <f t="shared" si="152"/>
        <v>357.89499999999998</v>
      </c>
      <c r="AY101" s="92">
        <f t="shared" ref="AY101:BM101" si="153">AY82+AY86</f>
        <v>12.155302591326745</v>
      </c>
      <c r="AZ101" s="92">
        <f t="shared" si="153"/>
        <v>267.38543837585593</v>
      </c>
      <c r="BA101" s="92">
        <f t="shared" si="153"/>
        <v>279.54074096718256</v>
      </c>
      <c r="BB101" s="92">
        <f t="shared" si="153"/>
        <v>18.780684803883275</v>
      </c>
      <c r="BC101" s="92">
        <f t="shared" si="153"/>
        <v>308.04620239962003</v>
      </c>
      <c r="BD101" s="92">
        <f t="shared" si="153"/>
        <v>326.82688720350336</v>
      </c>
      <c r="BE101" s="92">
        <f t="shared" si="153"/>
        <v>21.455715165312881</v>
      </c>
      <c r="BF101" s="92">
        <f t="shared" si="153"/>
        <v>352.2272336331406</v>
      </c>
      <c r="BG101" s="92">
        <f t="shared" si="153"/>
        <v>373.68294879845337</v>
      </c>
      <c r="BH101" s="92">
        <f t="shared" si="153"/>
        <v>68.617845258770444</v>
      </c>
      <c r="BI101" s="92">
        <f t="shared" si="153"/>
        <v>387.1767218906798</v>
      </c>
      <c r="BJ101" s="92">
        <f t="shared" si="153"/>
        <v>455.79456714945013</v>
      </c>
      <c r="BK101" s="92">
        <f t="shared" si="153"/>
        <v>114.65930896231703</v>
      </c>
      <c r="BL101" s="92">
        <f t="shared" si="153"/>
        <v>398.09626050745555</v>
      </c>
      <c r="BM101" s="92">
        <f t="shared" si="153"/>
        <v>512.75556946977235</v>
      </c>
    </row>
    <row r="102" spans="1:73">
      <c r="U102" s="67"/>
      <c r="V102" s="67"/>
      <c r="W102" s="105"/>
      <c r="X102" s="105">
        <f>(W151+X98)-X151-X100+X99</f>
        <v>0.1850000000000071</v>
      </c>
      <c r="Y102" s="105">
        <f>(X151+Y98)-Y151-Y100+Y99</f>
        <v>9.9000000000010691E-2</v>
      </c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407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</row>
    <row r="103" spans="1:73" s="12" customFormat="1" outlineLevel="1">
      <c r="A103" s="85" t="s">
        <v>204</v>
      </c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459"/>
      <c r="BP103"/>
      <c r="BQ103"/>
      <c r="BR103"/>
      <c r="BS103"/>
      <c r="BT103"/>
      <c r="BU103"/>
    </row>
    <row r="104" spans="1:73" outlineLevel="1">
      <c r="A104" s="20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68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461"/>
    </row>
    <row r="105" spans="1:73" outlineLevel="1">
      <c r="A105" s="58" t="s">
        <v>205</v>
      </c>
      <c r="X105" s="25"/>
    </row>
    <row r="106" spans="1:73" outlineLevel="1">
      <c r="A106" s="6" t="s">
        <v>206</v>
      </c>
      <c r="B106" s="52" t="s">
        <v>172</v>
      </c>
      <c r="C106" s="92"/>
      <c r="D106" s="92"/>
      <c r="E106" s="92"/>
      <c r="F106" s="92">
        <f>F151</f>
        <v>98.501000000000005</v>
      </c>
      <c r="G106" s="92">
        <f>H106</f>
        <v>134.18600000000001</v>
      </c>
      <c r="H106" s="92">
        <f>H151</f>
        <v>134.18600000000001</v>
      </c>
      <c r="I106" s="92">
        <f>I151</f>
        <v>139.08699999999999</v>
      </c>
      <c r="J106" s="92">
        <f>K106</f>
        <v>166.75800000000001</v>
      </c>
      <c r="K106" s="92">
        <f>K151</f>
        <v>166.75800000000001</v>
      </c>
      <c r="L106" s="92">
        <f>L151</f>
        <v>134.76499999999999</v>
      </c>
      <c r="M106" s="92">
        <f>N106</f>
        <v>156.232</v>
      </c>
      <c r="N106" s="92">
        <f>N151</f>
        <v>156.232</v>
      </c>
      <c r="O106" s="92">
        <f>O151</f>
        <v>145.613</v>
      </c>
      <c r="P106" s="92">
        <f>Q106</f>
        <v>73.762</v>
      </c>
      <c r="Q106" s="92">
        <f>Q151</f>
        <v>73.762</v>
      </c>
      <c r="R106" s="92">
        <f>R151</f>
        <v>55.098999999999997</v>
      </c>
      <c r="S106" s="92">
        <f>T106</f>
        <v>85.021000000000001</v>
      </c>
      <c r="T106" s="92">
        <f>T151</f>
        <v>85.021000000000001</v>
      </c>
      <c r="U106" s="92">
        <f>U151</f>
        <v>73.45</v>
      </c>
      <c r="V106" s="92">
        <f>W106</f>
        <v>105.123</v>
      </c>
      <c r="W106" s="92">
        <f>W151</f>
        <v>105.123</v>
      </c>
      <c r="X106" s="92">
        <f>X151</f>
        <v>55.780999999999999</v>
      </c>
      <c r="Y106" s="92">
        <f>Z106</f>
        <v>101.80500000000001</v>
      </c>
      <c r="Z106" s="92">
        <f>Z151</f>
        <v>101.80500000000001</v>
      </c>
      <c r="AA106" s="92">
        <f>AA151</f>
        <v>50.255000000000003</v>
      </c>
      <c r="AB106" s="92">
        <f>AC106</f>
        <v>539.89099999999996</v>
      </c>
      <c r="AC106" s="92">
        <f>AC151</f>
        <v>539.89099999999996</v>
      </c>
      <c r="AD106" s="92">
        <f>AD151</f>
        <v>99.275000000000006</v>
      </c>
      <c r="AE106" s="92">
        <f>AF106</f>
        <v>127.70699999999999</v>
      </c>
      <c r="AF106" s="92">
        <f>AF151</f>
        <v>127.70699999999999</v>
      </c>
      <c r="AG106" s="92">
        <f>AG151</f>
        <v>103.337</v>
      </c>
      <c r="AH106" s="92">
        <f>AI106</f>
        <v>1004.708</v>
      </c>
      <c r="AI106" s="92">
        <f>AI151</f>
        <v>1004.708</v>
      </c>
      <c r="AJ106" s="92">
        <f>AJ151</f>
        <v>953.79700000000003</v>
      </c>
      <c r="AK106" s="92">
        <f>AL106</f>
        <v>828.96600000000001</v>
      </c>
      <c r="AL106" s="92">
        <f>AL151</f>
        <v>828.96600000000001</v>
      </c>
      <c r="AM106" s="92">
        <f>AM151</f>
        <v>117.961</v>
      </c>
      <c r="AN106" s="92">
        <f>AO106</f>
        <v>220.483</v>
      </c>
      <c r="AO106" s="92">
        <f>AO151</f>
        <v>220.483</v>
      </c>
      <c r="AP106" s="92">
        <f>AP151</f>
        <v>141.80500000000001</v>
      </c>
      <c r="AQ106" s="92">
        <f>AR106</f>
        <v>372.70600000000002</v>
      </c>
      <c r="AR106" s="92">
        <f>AR151</f>
        <v>372.70600000000002</v>
      </c>
      <c r="AS106" s="92">
        <f>AS151</f>
        <v>336.7</v>
      </c>
      <c r="AT106" s="92">
        <f>AU106</f>
        <v>341.38</v>
      </c>
      <c r="AU106" s="92">
        <f>AU151</f>
        <v>341.38</v>
      </c>
      <c r="AV106" s="92">
        <f>AV151</f>
        <v>273.27100000000002</v>
      </c>
      <c r="AW106" s="92">
        <f>AX106</f>
        <v>275.411</v>
      </c>
      <c r="AX106" s="93">
        <f>AX151</f>
        <v>275.411</v>
      </c>
      <c r="AY106" s="92">
        <f t="shared" ref="AY106:BM106" si="154">AY151</f>
        <v>275.411</v>
      </c>
      <c r="AZ106" s="92">
        <f t="shared" si="154"/>
        <v>275.411</v>
      </c>
      <c r="BA106" s="92">
        <f t="shared" si="154"/>
        <v>275.411</v>
      </c>
      <c r="BB106" s="92">
        <f t="shared" si="154"/>
        <v>275.411</v>
      </c>
      <c r="BC106" s="92">
        <f t="shared" si="154"/>
        <v>275.411</v>
      </c>
      <c r="BD106" s="92">
        <f t="shared" si="154"/>
        <v>275.411</v>
      </c>
      <c r="BE106" s="92">
        <f t="shared" si="154"/>
        <v>275.411</v>
      </c>
      <c r="BF106" s="92">
        <f t="shared" si="154"/>
        <v>275.411</v>
      </c>
      <c r="BG106" s="92">
        <f t="shared" si="154"/>
        <v>275.411</v>
      </c>
      <c r="BH106" s="92">
        <f t="shared" si="154"/>
        <v>275.411</v>
      </c>
      <c r="BI106" s="92">
        <f t="shared" si="154"/>
        <v>275.411</v>
      </c>
      <c r="BJ106" s="92">
        <f t="shared" si="154"/>
        <v>275.411</v>
      </c>
      <c r="BK106" s="92">
        <f t="shared" si="154"/>
        <v>275.411</v>
      </c>
      <c r="BL106" s="92">
        <f t="shared" si="154"/>
        <v>275.411</v>
      </c>
      <c r="BM106" s="92">
        <f t="shared" si="154"/>
        <v>275.411</v>
      </c>
    </row>
    <row r="107" spans="1:73" outlineLevel="1">
      <c r="A107" s="6" t="s">
        <v>189</v>
      </c>
      <c r="B107" s="52" t="s">
        <v>172</v>
      </c>
      <c r="C107" s="92"/>
      <c r="D107" s="92"/>
      <c r="E107" s="92"/>
      <c r="F107" s="92">
        <f t="shared" ref="F107:AO107" si="155">F167+F174</f>
        <v>7.9820000000000002</v>
      </c>
      <c r="G107" s="92">
        <f t="shared" si="155"/>
        <v>8.3019999999999996</v>
      </c>
      <c r="H107" s="92">
        <f t="shared" si="155"/>
        <v>8.3019999999999996</v>
      </c>
      <c r="I107" s="92">
        <f t="shared" si="155"/>
        <v>9.0020000000000007</v>
      </c>
      <c r="J107" s="92">
        <f t="shared" si="155"/>
        <v>9.0180000000000007</v>
      </c>
      <c r="K107" s="92">
        <f t="shared" si="155"/>
        <v>9.0180000000000007</v>
      </c>
      <c r="L107" s="92">
        <f t="shared" si="155"/>
        <v>7.6710000000000003</v>
      </c>
      <c r="M107" s="92">
        <f t="shared" si="155"/>
        <v>8.8889999999999993</v>
      </c>
      <c r="N107" s="92">
        <f t="shared" si="155"/>
        <v>8.8889999999999993</v>
      </c>
      <c r="O107" s="92">
        <f t="shared" si="155"/>
        <v>9.5939999999999994</v>
      </c>
      <c r="P107" s="92">
        <f t="shared" si="155"/>
        <v>204.77699999999999</v>
      </c>
      <c r="Q107" s="92">
        <f t="shared" si="155"/>
        <v>204.77699999999999</v>
      </c>
      <c r="R107" s="92">
        <f t="shared" si="155"/>
        <v>194.113</v>
      </c>
      <c r="S107" s="92">
        <f t="shared" si="155"/>
        <v>175.11599999999999</v>
      </c>
      <c r="T107" s="92">
        <f t="shared" si="155"/>
        <v>175.11599999999999</v>
      </c>
      <c r="U107" s="92">
        <f t="shared" si="155"/>
        <v>165</v>
      </c>
      <c r="V107" s="92">
        <f t="shared" si="155"/>
        <v>145</v>
      </c>
      <c r="W107" s="92">
        <f t="shared" si="155"/>
        <v>145</v>
      </c>
      <c r="X107" s="92">
        <f t="shared" si="155"/>
        <v>120</v>
      </c>
      <c r="Y107" s="92">
        <f t="shared" si="155"/>
        <v>100</v>
      </c>
      <c r="Z107" s="92">
        <f t="shared" si="155"/>
        <v>100</v>
      </c>
      <c r="AA107" s="92">
        <f t="shared" si="155"/>
        <v>100</v>
      </c>
      <c r="AB107" s="92">
        <f t="shared" si="155"/>
        <v>0</v>
      </c>
      <c r="AC107" s="92">
        <f t="shared" si="155"/>
        <v>0</v>
      </c>
      <c r="AD107" s="92">
        <f t="shared" si="155"/>
        <v>1694.597</v>
      </c>
      <c r="AE107" s="92">
        <f t="shared" si="155"/>
        <v>1609.297</v>
      </c>
      <c r="AF107" s="92">
        <f t="shared" si="155"/>
        <v>1609.297</v>
      </c>
      <c r="AG107" s="92">
        <f t="shared" si="155"/>
        <v>1738.078</v>
      </c>
      <c r="AH107" s="92">
        <f t="shared" si="155"/>
        <v>1765.232</v>
      </c>
      <c r="AI107" s="92">
        <f t="shared" si="155"/>
        <v>1765.232</v>
      </c>
      <c r="AJ107" s="92">
        <f>AJ167+AJ174</f>
        <v>1564.915</v>
      </c>
      <c r="AK107" s="92">
        <f>AK167+AK174</f>
        <v>1335.616</v>
      </c>
      <c r="AL107" s="92">
        <f>AL167+AL174</f>
        <v>1335.616</v>
      </c>
      <c r="AM107" s="92">
        <f>AM167+AM174</f>
        <v>1015.9589999999999</v>
      </c>
      <c r="AN107" s="92">
        <f t="shared" si="155"/>
        <v>1090.088</v>
      </c>
      <c r="AO107" s="92">
        <f t="shared" si="155"/>
        <v>1090.088</v>
      </c>
      <c r="AP107" s="92">
        <f t="shared" ref="AP107:AU107" si="156">AP167+AP174</f>
        <v>1134.0780000000002</v>
      </c>
      <c r="AQ107" s="92">
        <f t="shared" si="156"/>
        <v>1097.49</v>
      </c>
      <c r="AR107" s="92">
        <f t="shared" si="156"/>
        <v>1097.49</v>
      </c>
      <c r="AS107" s="92">
        <f t="shared" si="156"/>
        <v>947.00599999999997</v>
      </c>
      <c r="AT107" s="92">
        <f t="shared" si="156"/>
        <v>859.322</v>
      </c>
      <c r="AU107" s="92">
        <f t="shared" si="156"/>
        <v>859.322</v>
      </c>
      <c r="AV107" s="92">
        <f t="shared" ref="AV107:AX107" si="157">AV167+AV174</f>
        <v>919.673</v>
      </c>
      <c r="AW107" s="92">
        <f t="shared" si="157"/>
        <v>865.72799999999995</v>
      </c>
      <c r="AX107" s="93">
        <f t="shared" si="157"/>
        <v>865.72799999999995</v>
      </c>
      <c r="AY107" s="92">
        <f t="shared" ref="AY107:BM107" si="158">AY167+AY174</f>
        <v>1000.4652080086732</v>
      </c>
      <c r="AZ107" s="92">
        <f t="shared" si="158"/>
        <v>835.59856963281732</v>
      </c>
      <c r="BA107" s="92">
        <f t="shared" si="158"/>
        <v>835.59856963281732</v>
      </c>
      <c r="BB107" s="92">
        <f t="shared" si="158"/>
        <v>954.89649199893404</v>
      </c>
      <c r="BC107" s="92">
        <f t="shared" si="158"/>
        <v>754.12498441931393</v>
      </c>
      <c r="BD107" s="92">
        <f t="shared" si="158"/>
        <v>754.12498441931393</v>
      </c>
      <c r="BE107" s="92">
        <f t="shared" si="158"/>
        <v>883.06944136400102</v>
      </c>
      <c r="BF107" s="92">
        <f t="shared" si="158"/>
        <v>650.43846749086038</v>
      </c>
      <c r="BG107" s="92">
        <f t="shared" si="158"/>
        <v>650.43846749086038</v>
      </c>
      <c r="BH107" s="92">
        <f t="shared" si="158"/>
        <v>696.39314175208995</v>
      </c>
      <c r="BI107" s="92">
        <f t="shared" si="158"/>
        <v>358.50267962141015</v>
      </c>
      <c r="BJ107" s="92">
        <f t="shared" si="158"/>
        <v>358.50267962141015</v>
      </c>
      <c r="BK107" s="92">
        <f t="shared" si="158"/>
        <v>354.73745511909317</v>
      </c>
      <c r="BL107" s="92">
        <f t="shared" si="158"/>
        <v>12.088236841637638</v>
      </c>
      <c r="BM107" s="92">
        <f t="shared" si="158"/>
        <v>12.088236841637638</v>
      </c>
    </row>
    <row r="108" spans="1:73" outlineLevel="1">
      <c r="A108" s="6" t="s">
        <v>207</v>
      </c>
      <c r="B108" s="52" t="s">
        <v>172</v>
      </c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3"/>
      <c r="AY108" s="92"/>
      <c r="AZ108" s="92"/>
      <c r="BA108" s="92"/>
      <c r="BB108" s="92"/>
      <c r="BC108" s="92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</row>
    <row r="109" spans="1:73" s="13" customFormat="1" outlineLevel="1">
      <c r="A109" s="13" t="s">
        <v>208</v>
      </c>
      <c r="B109" s="55" t="s">
        <v>172</v>
      </c>
      <c r="C109" s="94"/>
      <c r="D109" s="94"/>
      <c r="E109" s="94"/>
      <c r="F109" s="94">
        <f t="shared" ref="F109:W109" si="159">F108+F107-F106</f>
        <v>-90.519000000000005</v>
      </c>
      <c r="G109" s="94">
        <f t="shared" si="159"/>
        <v>-125.88400000000001</v>
      </c>
      <c r="H109" s="94">
        <f t="shared" si="159"/>
        <v>-125.88400000000001</v>
      </c>
      <c r="I109" s="94">
        <f t="shared" si="159"/>
        <v>-130.08499999999998</v>
      </c>
      <c r="J109" s="94">
        <f t="shared" si="159"/>
        <v>-157.74</v>
      </c>
      <c r="K109" s="94">
        <f t="shared" si="159"/>
        <v>-157.74</v>
      </c>
      <c r="L109" s="94">
        <f t="shared" si="159"/>
        <v>-127.09399999999998</v>
      </c>
      <c r="M109" s="94">
        <f t="shared" si="159"/>
        <v>-147.34299999999999</v>
      </c>
      <c r="N109" s="94">
        <f t="shared" si="159"/>
        <v>-147.34299999999999</v>
      </c>
      <c r="O109" s="94">
        <f t="shared" si="159"/>
        <v>-136.01900000000001</v>
      </c>
      <c r="P109" s="94">
        <f t="shared" si="159"/>
        <v>131.01499999999999</v>
      </c>
      <c r="Q109" s="94">
        <f t="shared" si="159"/>
        <v>131.01499999999999</v>
      </c>
      <c r="R109" s="94">
        <f t="shared" si="159"/>
        <v>139.01400000000001</v>
      </c>
      <c r="S109" s="94">
        <f t="shared" si="159"/>
        <v>90.094999999999985</v>
      </c>
      <c r="T109" s="94">
        <f t="shared" si="159"/>
        <v>90.094999999999985</v>
      </c>
      <c r="U109" s="94">
        <f t="shared" si="159"/>
        <v>91.55</v>
      </c>
      <c r="V109" s="94">
        <f t="shared" si="159"/>
        <v>39.876999999999995</v>
      </c>
      <c r="W109" s="94">
        <f t="shared" si="159"/>
        <v>39.876999999999995</v>
      </c>
      <c r="X109" s="94">
        <f t="shared" ref="X109:AC109" si="160">X108+X107-X106</f>
        <v>64.218999999999994</v>
      </c>
      <c r="Y109" s="94">
        <f t="shared" si="160"/>
        <v>-1.8050000000000068</v>
      </c>
      <c r="Z109" s="94">
        <f t="shared" si="160"/>
        <v>-1.8050000000000068</v>
      </c>
      <c r="AA109" s="94">
        <f t="shared" si="160"/>
        <v>49.744999999999997</v>
      </c>
      <c r="AB109" s="94">
        <f t="shared" si="160"/>
        <v>-539.89099999999996</v>
      </c>
      <c r="AC109" s="94">
        <f t="shared" si="160"/>
        <v>-539.89099999999996</v>
      </c>
      <c r="AD109" s="94">
        <f t="shared" ref="AD109:AI109" si="161">AD108+AD107-AD106</f>
        <v>1595.3219999999999</v>
      </c>
      <c r="AE109" s="94">
        <f t="shared" si="161"/>
        <v>1481.5900000000001</v>
      </c>
      <c r="AF109" s="94">
        <f t="shared" si="161"/>
        <v>1481.5900000000001</v>
      </c>
      <c r="AG109" s="94">
        <f t="shared" si="161"/>
        <v>1634.741</v>
      </c>
      <c r="AH109" s="94">
        <f t="shared" si="161"/>
        <v>760.524</v>
      </c>
      <c r="AI109" s="94">
        <f t="shared" si="161"/>
        <v>760.524</v>
      </c>
      <c r="AJ109" s="94">
        <f>AJ108+AJ107-AJ106</f>
        <v>611.11799999999994</v>
      </c>
      <c r="AK109" s="94">
        <f>AK108+AK107-AK106</f>
        <v>506.65</v>
      </c>
      <c r="AL109" s="94">
        <f>AL108+AL107-AL106</f>
        <v>506.65</v>
      </c>
      <c r="AM109" s="94">
        <f>AM108+AM107-AM106</f>
        <v>897.99799999999993</v>
      </c>
      <c r="AN109" s="94">
        <f t="shared" ref="AN109:AO109" si="162">AN108+AN107-AN106</f>
        <v>869.60500000000002</v>
      </c>
      <c r="AO109" s="94">
        <f t="shared" si="162"/>
        <v>869.60500000000002</v>
      </c>
      <c r="AP109" s="94">
        <f t="shared" ref="AP109:AU109" si="163">AP108+AP107-AP106</f>
        <v>992.27300000000014</v>
      </c>
      <c r="AQ109" s="94">
        <f t="shared" si="163"/>
        <v>724.78399999999999</v>
      </c>
      <c r="AR109" s="94">
        <f t="shared" si="163"/>
        <v>724.78399999999999</v>
      </c>
      <c r="AS109" s="94">
        <f t="shared" si="163"/>
        <v>610.30600000000004</v>
      </c>
      <c r="AT109" s="94">
        <f t="shared" si="163"/>
        <v>517.94200000000001</v>
      </c>
      <c r="AU109" s="94">
        <f t="shared" si="163"/>
        <v>517.94200000000001</v>
      </c>
      <c r="AV109" s="94">
        <f t="shared" ref="AV109:AX109" si="164">AV108+AV107-AV106</f>
        <v>646.40200000000004</v>
      </c>
      <c r="AW109" s="94">
        <f t="shared" si="164"/>
        <v>590.31700000000001</v>
      </c>
      <c r="AX109" s="95">
        <f t="shared" si="164"/>
        <v>590.31700000000001</v>
      </c>
      <c r="AY109" s="94">
        <f t="shared" ref="AY109:BM109" si="165">AY108+AY107-AY106</f>
        <v>725.05420800867319</v>
      </c>
      <c r="AZ109" s="94">
        <f t="shared" si="165"/>
        <v>560.18756963281726</v>
      </c>
      <c r="BA109" s="94">
        <f t="shared" si="165"/>
        <v>560.18756963281726</v>
      </c>
      <c r="BB109" s="94">
        <f t="shared" si="165"/>
        <v>679.48549199893409</v>
      </c>
      <c r="BC109" s="94">
        <f t="shared" si="165"/>
        <v>478.71398441931393</v>
      </c>
      <c r="BD109" s="94">
        <f t="shared" si="165"/>
        <v>478.71398441931393</v>
      </c>
      <c r="BE109" s="94">
        <f t="shared" si="165"/>
        <v>607.65844136400096</v>
      </c>
      <c r="BF109" s="94">
        <f t="shared" si="165"/>
        <v>375.02746749086037</v>
      </c>
      <c r="BG109" s="94">
        <f t="shared" si="165"/>
        <v>375.02746749086037</v>
      </c>
      <c r="BH109" s="94">
        <f t="shared" si="165"/>
        <v>420.98214175208994</v>
      </c>
      <c r="BI109" s="94">
        <f t="shared" si="165"/>
        <v>83.091679621410151</v>
      </c>
      <c r="BJ109" s="94">
        <f t="shared" si="165"/>
        <v>83.091679621410151</v>
      </c>
      <c r="BK109" s="94">
        <f t="shared" si="165"/>
        <v>79.326455119093168</v>
      </c>
      <c r="BL109" s="94">
        <f t="shared" si="165"/>
        <v>-263.32276315836236</v>
      </c>
      <c r="BM109" s="94">
        <f t="shared" si="165"/>
        <v>-263.32276315836236</v>
      </c>
      <c r="BP109"/>
      <c r="BQ109"/>
      <c r="BR109"/>
      <c r="BS109"/>
      <c r="BT109"/>
      <c r="BU109"/>
    </row>
    <row r="110" spans="1:73" outlineLevel="1">
      <c r="A110" s="6" t="s">
        <v>209</v>
      </c>
      <c r="B110" s="52" t="s">
        <v>172</v>
      </c>
      <c r="C110" s="92"/>
      <c r="D110" s="92"/>
      <c r="E110" s="92"/>
      <c r="F110" s="92">
        <f>F109-C109</f>
        <v>-90.519000000000005</v>
      </c>
      <c r="G110" s="92">
        <f>G109-F109</f>
        <v>-35.365000000000009</v>
      </c>
      <c r="H110" s="92">
        <f>H109-E109</f>
        <v>-125.88400000000001</v>
      </c>
      <c r="I110" s="92">
        <f>I109-F109</f>
        <v>-39.565999999999974</v>
      </c>
      <c r="J110" s="92">
        <f>J109-I109</f>
        <v>-27.65500000000003</v>
      </c>
      <c r="K110" s="92">
        <f>K109-H109</f>
        <v>-31.855999999999995</v>
      </c>
      <c r="L110" s="92">
        <f>L109-I109</f>
        <v>2.9909999999999997</v>
      </c>
      <c r="M110" s="92">
        <f>M109-L109</f>
        <v>-20.249000000000009</v>
      </c>
      <c r="N110" s="92">
        <f>N109-K109</f>
        <v>10.39700000000002</v>
      </c>
      <c r="O110" s="92">
        <f>O109-L109</f>
        <v>-8.9250000000000256</v>
      </c>
      <c r="P110" s="92">
        <f>P109-O109</f>
        <v>267.03399999999999</v>
      </c>
      <c r="Q110" s="92">
        <f>Q109-N109</f>
        <v>278.35799999999995</v>
      </c>
      <c r="R110" s="92">
        <f>R109-O109</f>
        <v>275.03300000000002</v>
      </c>
      <c r="S110" s="92">
        <f>S109-R109</f>
        <v>-48.919000000000025</v>
      </c>
      <c r="T110" s="92">
        <f>T109-Q109</f>
        <v>-40.92</v>
      </c>
      <c r="U110" s="92">
        <f>U109-R109</f>
        <v>-47.464000000000013</v>
      </c>
      <c r="V110" s="92">
        <f>V109-U109</f>
        <v>-51.673000000000002</v>
      </c>
      <c r="W110" s="92">
        <f>W109-T109</f>
        <v>-50.217999999999989</v>
      </c>
      <c r="X110" s="92">
        <f>X109-U109</f>
        <v>-27.331000000000003</v>
      </c>
      <c r="Y110" s="92">
        <f>Y109-X109</f>
        <v>-66.024000000000001</v>
      </c>
      <c r="Z110" s="92">
        <f>Z109-W109</f>
        <v>-41.682000000000002</v>
      </c>
      <c r="AA110" s="92">
        <f>AA109-X109</f>
        <v>-14.473999999999997</v>
      </c>
      <c r="AB110" s="92">
        <f>AB109-AA109</f>
        <v>-589.63599999999997</v>
      </c>
      <c r="AC110" s="92">
        <f>AC109-Z109</f>
        <v>-538.08600000000001</v>
      </c>
      <c r="AD110" s="92">
        <f>AD109-AA109</f>
        <v>1545.577</v>
      </c>
      <c r="AE110" s="92">
        <f>AE109-AD109</f>
        <v>-113.73199999999974</v>
      </c>
      <c r="AF110" s="92">
        <f>AF109-AC109</f>
        <v>2021.4810000000002</v>
      </c>
      <c r="AG110" s="92">
        <f>AG109-AD109</f>
        <v>39.419000000000096</v>
      </c>
      <c r="AH110" s="92">
        <f>AH109-AG109</f>
        <v>-874.21699999999998</v>
      </c>
      <c r="AI110" s="92">
        <f>AI109-AF109</f>
        <v>-721.06600000000014</v>
      </c>
      <c r="AJ110" s="92">
        <f>AJ109-AG109</f>
        <v>-1023.623</v>
      </c>
      <c r="AK110" s="92">
        <f>AK109-AJ109</f>
        <v>-104.46799999999996</v>
      </c>
      <c r="AL110" s="92">
        <f>AL109-AI109</f>
        <v>-253.87400000000002</v>
      </c>
      <c r="AM110" s="92">
        <f>AM109-AJ109</f>
        <v>286.88</v>
      </c>
      <c r="AN110" s="92">
        <f>AN109-AM109</f>
        <v>-28.392999999999915</v>
      </c>
      <c r="AO110" s="92">
        <f>AO109-AL109</f>
        <v>362.95500000000004</v>
      </c>
      <c r="AP110" s="92">
        <f>AP109-AM109</f>
        <v>94.275000000000205</v>
      </c>
      <c r="AQ110" s="92">
        <f>AQ109-AP109</f>
        <v>-267.48900000000015</v>
      </c>
      <c r="AR110" s="92">
        <f>AR109-AO109</f>
        <v>-144.82100000000003</v>
      </c>
      <c r="AS110" s="92">
        <f>AS109-AP109</f>
        <v>-381.9670000000001</v>
      </c>
      <c r="AT110" s="92">
        <f>AT109-AS109</f>
        <v>-92.364000000000033</v>
      </c>
      <c r="AU110" s="92">
        <f>AU109-AR109</f>
        <v>-206.84199999999998</v>
      </c>
      <c r="AV110" s="92">
        <f>AV109-AS109</f>
        <v>36.096000000000004</v>
      </c>
      <c r="AW110" s="92">
        <f>AW109-AV109</f>
        <v>-56.085000000000036</v>
      </c>
      <c r="AX110" s="93">
        <f>AX109-AU109</f>
        <v>72.375</v>
      </c>
      <c r="AY110" s="92">
        <f>AY109-AV109</f>
        <v>78.652208008673142</v>
      </c>
      <c r="AZ110" s="92">
        <f>AZ109-AY109</f>
        <v>-164.86663837585593</v>
      </c>
      <c r="BA110" s="92">
        <f>BA109-AX109</f>
        <v>-30.129430367182749</v>
      </c>
      <c r="BB110" s="92">
        <f>BB109-AY109</f>
        <v>-45.568716009739092</v>
      </c>
      <c r="BC110" s="92">
        <f>BC109-BB109</f>
        <v>-200.77150757962016</v>
      </c>
      <c r="BD110" s="92">
        <f>BD109-BA109</f>
        <v>-81.473585213503327</v>
      </c>
      <c r="BE110" s="92">
        <f>BE109-BB109</f>
        <v>-71.82705063493313</v>
      </c>
      <c r="BF110" s="92">
        <f>BF109-BE109</f>
        <v>-232.63097387314059</v>
      </c>
      <c r="BG110" s="92">
        <f>BG109-BD109</f>
        <v>-103.68651692845356</v>
      </c>
      <c r="BH110" s="92">
        <f>BH109-BE109</f>
        <v>-186.67629961191102</v>
      </c>
      <c r="BI110" s="92">
        <f>BI109-BH109</f>
        <v>-337.89046213067979</v>
      </c>
      <c r="BJ110" s="92">
        <f>BJ109-BG109</f>
        <v>-291.93578786945022</v>
      </c>
      <c r="BK110" s="92">
        <f>BK109-BH109</f>
        <v>-341.65568663299678</v>
      </c>
      <c r="BL110" s="92">
        <f>BL109-BK109</f>
        <v>-342.64921827745553</v>
      </c>
      <c r="BM110" s="92">
        <f>BM109-BJ109</f>
        <v>-346.41444277977251</v>
      </c>
    </row>
    <row r="111" spans="1:73" outlineLevel="1"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3"/>
      <c r="AY111" s="92"/>
      <c r="AZ111" s="92"/>
      <c r="BA111" s="92"/>
      <c r="BB111" s="92"/>
      <c r="BC111" s="92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</row>
    <row r="112" spans="1:73" outlineLevel="1">
      <c r="A112" s="6" t="s">
        <v>3</v>
      </c>
      <c r="C112" s="92">
        <f t="shared" ref="C112:AO112" si="166">-C27/C39</f>
        <v>114.69833729216151</v>
      </c>
      <c r="D112" s="92">
        <f t="shared" si="166"/>
        <v>103.62418300653596</v>
      </c>
      <c r="E112" s="92">
        <f t="shared" si="166"/>
        <v>108.92215909090909</v>
      </c>
      <c r="F112" s="92">
        <f t="shared" si="166"/>
        <v>78.631375579598142</v>
      </c>
      <c r="G112" s="92">
        <f t="shared" si="166"/>
        <v>82.73246329526917</v>
      </c>
      <c r="H112" s="92">
        <f t="shared" si="166"/>
        <v>80.626587301587307</v>
      </c>
      <c r="I112" s="92">
        <f t="shared" si="166"/>
        <v>346.10416666666669</v>
      </c>
      <c r="J112" s="92">
        <f t="shared" si="166"/>
        <v>616.38216560509534</v>
      </c>
      <c r="K112" s="92">
        <f t="shared" si="166"/>
        <v>441.46067415730334</v>
      </c>
      <c r="L112" s="92">
        <f t="shared" si="166"/>
        <v>726.58955223880594</v>
      </c>
      <c r="M112" s="92">
        <f t="shared" si="166"/>
        <v>827.02962962962954</v>
      </c>
      <c r="N112" s="92">
        <f t="shared" si="166"/>
        <v>776.99628252788102</v>
      </c>
      <c r="O112" s="92">
        <f t="shared" si="166"/>
        <v>698.27450980392166</v>
      </c>
      <c r="P112" s="92">
        <f t="shared" si="166"/>
        <v>29.228174603174597</v>
      </c>
      <c r="Q112" s="92">
        <f t="shared" si="166"/>
        <v>53.687933094384711</v>
      </c>
      <c r="R112" s="92">
        <f t="shared" si="166"/>
        <v>29.871287128712872</v>
      </c>
      <c r="S112" s="92">
        <f t="shared" si="166"/>
        <v>33.553619302949059</v>
      </c>
      <c r="T112" s="92">
        <f t="shared" si="166"/>
        <v>31.658354114713216</v>
      </c>
      <c r="U112" s="92">
        <f t="shared" si="166"/>
        <v>38.176082171680108</v>
      </c>
      <c r="V112" s="92">
        <f t="shared" si="166"/>
        <v>48.703389830508492</v>
      </c>
      <c r="W112" s="92">
        <f t="shared" si="166"/>
        <v>43.146895572479671</v>
      </c>
      <c r="X112" s="92">
        <f t="shared" si="166"/>
        <v>51.12356053532524</v>
      </c>
      <c r="Y112" s="92">
        <f t="shared" si="166"/>
        <v>72.41220238095238</v>
      </c>
      <c r="Z112" s="92">
        <f t="shared" si="166"/>
        <v>60.820877817319101</v>
      </c>
      <c r="AA112" s="92">
        <f t="shared" si="166"/>
        <v>66.97567365269461</v>
      </c>
      <c r="AB112" s="92">
        <f t="shared" si="166"/>
        <v>84.369022429115532</v>
      </c>
      <c r="AC112" s="92">
        <f t="shared" si="166"/>
        <v>75.138629592850037</v>
      </c>
      <c r="AD112" s="92">
        <f t="shared" si="166"/>
        <v>6.4131495907701401</v>
      </c>
      <c r="AE112" s="92">
        <f t="shared" si="166"/>
        <v>13.931832694763726</v>
      </c>
      <c r="AF112" s="92">
        <f t="shared" si="166"/>
        <v>8.7935507783543354</v>
      </c>
      <c r="AG112" s="92">
        <f t="shared" si="166"/>
        <v>5.7722523719865624</v>
      </c>
      <c r="AH112" s="92">
        <f t="shared" si="166"/>
        <v>7.6684496847472303</v>
      </c>
      <c r="AI112" s="92">
        <f t="shared" si="166"/>
        <v>6.6213827759487094</v>
      </c>
      <c r="AJ112" s="92">
        <f>-AJ27/AJ39</f>
        <v>5.2501014107360158</v>
      </c>
      <c r="AK112" s="92">
        <f>-AK27/AK39</f>
        <v>10.615023339729088</v>
      </c>
      <c r="AL112" s="92">
        <f>-AL27/AL39</f>
        <v>6.413076971030109</v>
      </c>
      <c r="AM112" s="92">
        <f>-AM27/AM39</f>
        <v>7.7582254505691912</v>
      </c>
      <c r="AN112" s="92">
        <f t="shared" si="166"/>
        <v>103.54787236909078</v>
      </c>
      <c r="AO112" s="92">
        <f t="shared" si="166"/>
        <v>14.830166321085969</v>
      </c>
      <c r="AP112" s="92">
        <f t="shared" ref="AP112:AU112" si="167">-AP27/AP39</f>
        <v>13.088626252880957</v>
      </c>
      <c r="AQ112" s="92">
        <f t="shared" si="167"/>
        <v>9.5988028845171698</v>
      </c>
      <c r="AR112" s="92">
        <f t="shared" si="167"/>
        <v>11.108328986263258</v>
      </c>
      <c r="AS112" s="92">
        <f t="shared" si="167"/>
        <v>11.436160500804242</v>
      </c>
      <c r="AT112" s="92">
        <f t="shared" si="167"/>
        <v>10.492544156496301</v>
      </c>
      <c r="AU112" s="92">
        <f t="shared" si="167"/>
        <v>10.965395549455936</v>
      </c>
      <c r="AV112" s="92">
        <f t="shared" ref="AV112:AX112" si="168">-AV27/AV39</f>
        <v>10.356480976779679</v>
      </c>
      <c r="AW112" s="92">
        <f t="shared" si="168"/>
        <v>8.2165259232062446</v>
      </c>
      <c r="AX112" s="93">
        <f t="shared" si="168"/>
        <v>9.2220070891470485</v>
      </c>
      <c r="AY112" s="92">
        <f t="shared" ref="AY112:BM112" si="169">-AY27/AY39</f>
        <v>7.6793366800633418</v>
      </c>
      <c r="AZ112" s="92">
        <f t="shared" si="169"/>
        <v>7.6522017383162764</v>
      </c>
      <c r="BA112" s="92">
        <f t="shared" si="169"/>
        <v>7.6655294871679693</v>
      </c>
      <c r="BB112" s="92">
        <f t="shared" si="169"/>
        <v>8.8248303932253354</v>
      </c>
      <c r="BC112" s="92">
        <f t="shared" si="169"/>
        <v>8.8480925496846492</v>
      </c>
      <c r="BD112" s="92">
        <f t="shared" si="169"/>
        <v>8.8366111786437678</v>
      </c>
      <c r="BE112" s="92">
        <f t="shared" si="169"/>
        <v>9.5291345327645836</v>
      </c>
      <c r="BF112" s="92">
        <f t="shared" si="169"/>
        <v>9.6579571483462647</v>
      </c>
      <c r="BG112" s="92">
        <f t="shared" si="169"/>
        <v>9.5938336907097828</v>
      </c>
      <c r="BH112" s="92">
        <f t="shared" si="169"/>
        <v>11.887710768076868</v>
      </c>
      <c r="BI112" s="92">
        <f t="shared" si="169"/>
        <v>14.789496369815474</v>
      </c>
      <c r="BJ112" s="92">
        <f t="shared" si="169"/>
        <v>13.197019234034519</v>
      </c>
      <c r="BK112" s="92">
        <f t="shared" si="169"/>
        <v>12.91812322228366</v>
      </c>
      <c r="BL112" s="92">
        <f t="shared" si="169"/>
        <v>21.253760188567512</v>
      </c>
      <c r="BM112" s="92">
        <f t="shared" si="169"/>
        <v>16.124507576887698</v>
      </c>
    </row>
    <row r="113" spans="1:65" outlineLevel="1">
      <c r="A113" s="6" t="s">
        <v>43</v>
      </c>
      <c r="C113" s="305">
        <f>C109/(C27*2)</f>
        <v>0</v>
      </c>
      <c r="D113" s="305">
        <f>D109/(D27*2)</f>
        <v>0</v>
      </c>
      <c r="E113" s="305">
        <f>E109/E27</f>
        <v>0</v>
      </c>
      <c r="F113" s="305">
        <f>F109/(F27*2)</f>
        <v>-0.4448151824587957</v>
      </c>
      <c r="G113" s="305">
        <f>G109/(G27*2)</f>
        <v>-0.62054618949028895</v>
      </c>
      <c r="H113" s="305">
        <f>H109/H27</f>
        <v>-0.6195719045767526</v>
      </c>
      <c r="I113" s="305">
        <f>I109/(I27*2)</f>
        <v>-0.65252613415196925</v>
      </c>
      <c r="J113" s="305">
        <f>J109/(J27*2)</f>
        <v>-0.81500847352540007</v>
      </c>
      <c r="K113" s="305">
        <f>K109/K27</f>
        <v>-0.80295240519216093</v>
      </c>
      <c r="L113" s="305">
        <f>L109/(L27*2)</f>
        <v>-0.65268120333186108</v>
      </c>
      <c r="M113" s="305">
        <f>M109/(M27*2)</f>
        <v>-0.65984917016722044</v>
      </c>
      <c r="N113" s="305">
        <f>N109/N27</f>
        <v>-0.70494995502650559</v>
      </c>
      <c r="O113" s="305">
        <f>O109/(O27*2)</f>
        <v>-0.63657849414055179</v>
      </c>
      <c r="P113" s="305">
        <f>P109/(P27*2)</f>
        <v>0.5558643337180097</v>
      </c>
      <c r="Q113" s="305">
        <f>Q109/Q27</f>
        <v>0.58310783144327138</v>
      </c>
      <c r="R113" s="305">
        <f>R109/(R27*2)</f>
        <v>0.49017976149338149</v>
      </c>
      <c r="S113" s="305">
        <f>S109/(S27*2)</f>
        <v>0.29994473519502479</v>
      </c>
      <c r="T113" s="305">
        <f>T109/T27</f>
        <v>0.3085603712519478</v>
      </c>
      <c r="U113" s="305">
        <f>U109/(U27*2)</f>
        <v>0.29323775480134789</v>
      </c>
      <c r="V113" s="305">
        <f>V109/(V27*2)</f>
        <v>0.11191533310507021</v>
      </c>
      <c r="W113" s="305">
        <f>W109/W27</f>
        <v>0.11929970471999256</v>
      </c>
      <c r="X113" s="305">
        <f>X109/(X27*2)</f>
        <v>0.19547972726165833</v>
      </c>
      <c r="Y113" s="305">
        <f>Y109/(Y27*2)</f>
        <v>-4.6366700232219E-3</v>
      </c>
      <c r="Z113" s="305">
        <f>Z109/Z27</f>
        <v>-5.0292000089160521E-3</v>
      </c>
      <c r="AA113" s="305">
        <f>AA109/(AA27*2)</f>
        <v>0.13898434837029711</v>
      </c>
      <c r="AB113" s="305">
        <f>AB109/(AB27*2)</f>
        <v>-1.3540333259766055</v>
      </c>
      <c r="AC113" s="305">
        <f>AC109/AC27</f>
        <v>-1.4270636466722879</v>
      </c>
      <c r="AD113" s="305">
        <f>AD109/(AD27*2)</f>
        <v>3.0662404908069791</v>
      </c>
      <c r="AE113" s="305">
        <f>AE109/(AE27*2)</f>
        <v>2.8295461924241909</v>
      </c>
      <c r="AF113" s="305">
        <f>AF109/AF27</f>
        <v>2.8385669125395161</v>
      </c>
      <c r="AG113" s="305">
        <f>AG109/(AG27*2)</f>
        <v>2.6138625418124373</v>
      </c>
      <c r="AH113" s="305">
        <f>AH109/(AH27*2)</f>
        <v>1.128715516269019</v>
      </c>
      <c r="AI113" s="305">
        <f>AI109/AI27</f>
        <v>1.1707501801097284</v>
      </c>
      <c r="AJ113" s="305">
        <f>AJ109/(AJ27*2)</f>
        <v>0.87439476666323268</v>
      </c>
      <c r="AK113" s="305">
        <f>AK109/(AK27*2)</f>
        <v>0.68343198458990018</v>
      </c>
      <c r="AL113" s="305">
        <f>AL109/AL27</f>
        <v>0.70356524902863138</v>
      </c>
      <c r="AM113" s="305">
        <f>AM109/(AM27*2)</f>
        <v>1.1300632736168648</v>
      </c>
      <c r="AN113" s="305">
        <f>AN109/(AN27*2)</f>
        <v>1.0285900496076572</v>
      </c>
      <c r="AO113" s="305">
        <f>AO109/AO27</f>
        <v>1.0604434667131686</v>
      </c>
      <c r="AP113" s="305">
        <f>AP109/(AP27*2)</f>
        <v>1.0158633793963421</v>
      </c>
      <c r="AQ113" s="305">
        <f>AQ109/(AQ27*2)</f>
        <v>0.77125849435270533</v>
      </c>
      <c r="AR113" s="305">
        <f>AR109/AR27</f>
        <v>0.75635422536681063</v>
      </c>
      <c r="AS113" s="305">
        <f>AS109/(AS27*2)</f>
        <v>0.57999323363718625</v>
      </c>
      <c r="AT113" s="305">
        <f>AT109/(AT27*2)</f>
        <v>0.53886056721945941</v>
      </c>
      <c r="AU113" s="305">
        <f>AU109/AU27</f>
        <v>0.51448364096543042</v>
      </c>
      <c r="AV113" s="305">
        <f>AV109/(AV27*2)</f>
        <v>0.68042315789473684</v>
      </c>
      <c r="AW113" s="305">
        <f>AW109/(AW27*2)</f>
        <v>0.69416882057022977</v>
      </c>
      <c r="AX113" s="409">
        <f>AX109/AX27</f>
        <v>0.65576423827228925</v>
      </c>
      <c r="AY113" s="305">
        <f>AY109/(AY27*2)</f>
        <v>0.83055235969968422</v>
      </c>
      <c r="AZ113" s="305">
        <f>AZ109/(AZ27*2)</f>
        <v>0.62161103032762643</v>
      </c>
      <c r="BA113" s="305">
        <f>BA109/BA27</f>
        <v>0.63149433517235676</v>
      </c>
      <c r="BB113" s="305">
        <f>BB109/(BB27*2)</f>
        <v>0.70122208007555775</v>
      </c>
      <c r="BC113" s="305">
        <f>BC109/(BC27*2)</f>
        <v>0.48020615920526116</v>
      </c>
      <c r="BD113" s="305">
        <f>BD109/BD27</f>
        <v>0.48701900112000812</v>
      </c>
      <c r="BE113" s="305">
        <f>BE109/(BE27*2)</f>
        <v>0.56898333559599923</v>
      </c>
      <c r="BF113" s="305">
        <f>BF109/(BF27*2)</f>
        <v>0.34339152842989284</v>
      </c>
      <c r="BG113" s="305">
        <f>BG109/BG27</f>
        <v>0.34723154808205242</v>
      </c>
      <c r="BH113" s="305">
        <f>BH109/(BH27*2)</f>
        <v>0.37578215421366462</v>
      </c>
      <c r="BI113" s="305">
        <f>BI109/(BI27*2)</f>
        <v>7.2511366708460812E-2</v>
      </c>
      <c r="BJ113" s="305">
        <f>BJ109/BJ27</f>
        <v>7.3331450686394212E-2</v>
      </c>
      <c r="BK113" s="305">
        <f>BK109/(BK27*2)</f>
        <v>6.8772128870320762E-2</v>
      </c>
      <c r="BL113" s="305">
        <f>BL109/(BL27*2)</f>
        <v>-0.22196524524420999</v>
      </c>
      <c r="BM113" s="305">
        <f>BM109/BM27</f>
        <v>-0.22508216238826445</v>
      </c>
    </row>
    <row r="114" spans="1:65" outlineLevel="1">
      <c r="A114" s="58" t="s">
        <v>210</v>
      </c>
      <c r="C114" s="106"/>
      <c r="D114" s="106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6"/>
      <c r="AS114" s="106"/>
      <c r="AT114" s="106"/>
      <c r="AU114" s="106"/>
      <c r="AV114" s="106"/>
      <c r="AW114" s="106"/>
      <c r="AX114" s="414"/>
      <c r="AY114" s="106"/>
      <c r="AZ114" s="106"/>
      <c r="BA114" s="106"/>
      <c r="BB114" s="106"/>
      <c r="BC114" s="106"/>
      <c r="BD114" s="106"/>
      <c r="BE114" s="106"/>
      <c r="BF114" s="106"/>
      <c r="BG114" s="106"/>
      <c r="BH114" s="106"/>
      <c r="BI114" s="106"/>
      <c r="BJ114" s="106"/>
      <c r="BK114" s="106"/>
      <c r="BL114" s="106"/>
      <c r="BM114" s="106"/>
    </row>
    <row r="115" spans="1:65" outlineLevel="1">
      <c r="A115" s="6" t="s">
        <v>388</v>
      </c>
      <c r="B115" s="52" t="s">
        <v>172</v>
      </c>
      <c r="C115" s="106"/>
      <c r="D115" s="106">
        <f>C116</f>
        <v>0</v>
      </c>
      <c r="E115" s="106"/>
      <c r="F115" s="106">
        <f>E109</f>
        <v>0</v>
      </c>
      <c r="G115" s="106">
        <f>F116</f>
        <v>-90.519000000000005</v>
      </c>
      <c r="H115" s="106">
        <f>F115</f>
        <v>0</v>
      </c>
      <c r="I115" s="106">
        <f>H109</f>
        <v>-125.88400000000001</v>
      </c>
      <c r="J115" s="106">
        <f>I116</f>
        <v>-130.08499999999998</v>
      </c>
      <c r="K115" s="106">
        <f>I115</f>
        <v>-125.88400000000001</v>
      </c>
      <c r="L115" s="106">
        <f>K109</f>
        <v>-157.74</v>
      </c>
      <c r="M115" s="106">
        <f>L116</f>
        <v>-127.09399999999998</v>
      </c>
      <c r="N115" s="106">
        <f>L115</f>
        <v>-157.74</v>
      </c>
      <c r="O115" s="106">
        <f>N109</f>
        <v>-147.34299999999999</v>
      </c>
      <c r="P115" s="106">
        <f>O116</f>
        <v>-136.01900000000001</v>
      </c>
      <c r="Q115" s="106">
        <f>O115</f>
        <v>-147.34299999999999</v>
      </c>
      <c r="R115" s="106">
        <f>Q109</f>
        <v>131.01499999999999</v>
      </c>
      <c r="S115" s="106">
        <f>R116</f>
        <v>139.01400000000001</v>
      </c>
      <c r="T115" s="106">
        <f>R115</f>
        <v>131.01499999999999</v>
      </c>
      <c r="U115" s="106">
        <f>T109</f>
        <v>90.094999999999985</v>
      </c>
      <c r="V115" s="106">
        <f>U116</f>
        <v>91.55</v>
      </c>
      <c r="W115" s="106">
        <f>U115</f>
        <v>90.094999999999985</v>
      </c>
      <c r="X115" s="106">
        <f>W109</f>
        <v>39.876999999999995</v>
      </c>
      <c r="Y115" s="106">
        <f>X116</f>
        <v>120</v>
      </c>
      <c r="Z115" s="106">
        <f>X115</f>
        <v>39.876999999999995</v>
      </c>
      <c r="AA115" s="106">
        <f>Z109</f>
        <v>-1.8050000000000068</v>
      </c>
      <c r="AB115" s="106">
        <f>AA116</f>
        <v>100</v>
      </c>
      <c r="AC115" s="106">
        <f>AA115</f>
        <v>-1.8050000000000068</v>
      </c>
      <c r="AD115" s="106">
        <f>AC109</f>
        <v>-539.89099999999996</v>
      </c>
      <c r="AE115" s="106">
        <f>AD116</f>
        <v>1694.597</v>
      </c>
      <c r="AF115" s="106">
        <f>AD115</f>
        <v>-539.89099999999996</v>
      </c>
      <c r="AG115" s="106">
        <f>AF109</f>
        <v>1481.5900000000001</v>
      </c>
      <c r="AH115" s="106">
        <f>AG116</f>
        <v>1738.078</v>
      </c>
      <c r="AI115" s="106">
        <f>AG115</f>
        <v>1481.5900000000001</v>
      </c>
      <c r="AJ115" s="106">
        <f>AI109</f>
        <v>760.524</v>
      </c>
      <c r="AK115" s="106">
        <f>AJ116</f>
        <v>1564.915</v>
      </c>
      <c r="AL115" s="106">
        <f>AJ115</f>
        <v>760.524</v>
      </c>
      <c r="AM115" s="106">
        <f>AL109</f>
        <v>506.65</v>
      </c>
      <c r="AN115" s="106">
        <f>AM116</f>
        <v>1015.9589999999999</v>
      </c>
      <c r="AO115" s="106">
        <f>AL116</f>
        <v>1335.616</v>
      </c>
      <c r="AP115" s="106">
        <f>AO109</f>
        <v>869.60500000000002</v>
      </c>
      <c r="AQ115" s="106">
        <f>AP116</f>
        <v>1134.0780000000002</v>
      </c>
      <c r="AR115" s="106">
        <f>AO116</f>
        <v>1090.088</v>
      </c>
      <c r="AS115" s="106">
        <f>AR109</f>
        <v>724.78399999999999</v>
      </c>
      <c r="AT115" s="106">
        <f>AS116</f>
        <v>947.00599999999997</v>
      </c>
      <c r="AU115" s="106">
        <f>AR116</f>
        <v>1097.49</v>
      </c>
      <c r="AV115" s="106">
        <f>AU109</f>
        <v>517.94200000000001</v>
      </c>
      <c r="AW115" s="106">
        <f>AV116</f>
        <v>919.673</v>
      </c>
      <c r="AX115" s="414">
        <f>AU116</f>
        <v>859.322</v>
      </c>
      <c r="AY115" s="106">
        <f>AX116</f>
        <v>865.72799999999995</v>
      </c>
      <c r="AZ115" s="106">
        <f>AY116</f>
        <v>1000.4652080086732</v>
      </c>
      <c r="BA115" s="106">
        <f>AX116</f>
        <v>865.72799999999995</v>
      </c>
      <c r="BB115" s="106">
        <f>BA116</f>
        <v>835.59856963281732</v>
      </c>
      <c r="BC115" s="106">
        <f>BB116</f>
        <v>954.89649199893404</v>
      </c>
      <c r="BD115" s="106">
        <f>BA116</f>
        <v>835.59856963281732</v>
      </c>
      <c r="BE115" s="106">
        <f>BD116</f>
        <v>754.12498441931393</v>
      </c>
      <c r="BF115" s="106">
        <f>BE116</f>
        <v>883.06944136400102</v>
      </c>
      <c r="BG115" s="106">
        <f>BD116</f>
        <v>754.12498441931393</v>
      </c>
      <c r="BH115" s="106">
        <f>BG116</f>
        <v>650.43846749086038</v>
      </c>
      <c r="BI115" s="106">
        <f>BH116</f>
        <v>696.39314175208995</v>
      </c>
      <c r="BJ115" s="106">
        <f>BG116</f>
        <v>650.43846749086038</v>
      </c>
      <c r="BK115" s="106">
        <f>BJ116</f>
        <v>358.50267962141015</v>
      </c>
      <c r="BL115" s="106">
        <f>BK116</f>
        <v>354.73745511909317</v>
      </c>
      <c r="BM115" s="106">
        <f>BJ116</f>
        <v>358.50267962141015</v>
      </c>
    </row>
    <row r="116" spans="1:65" outlineLevel="1">
      <c r="A116" s="6" t="s">
        <v>387</v>
      </c>
      <c r="B116" s="52" t="s">
        <v>172</v>
      </c>
      <c r="C116" s="106">
        <f>C109</f>
        <v>0</v>
      </c>
      <c r="D116" s="106">
        <f>D109</f>
        <v>0</v>
      </c>
      <c r="E116" s="106">
        <f>D116</f>
        <v>0</v>
      </c>
      <c r="F116" s="106">
        <f>F109</f>
        <v>-90.519000000000005</v>
      </c>
      <c r="G116" s="106">
        <f>G109</f>
        <v>-125.88400000000001</v>
      </c>
      <c r="H116" s="106">
        <f>G116</f>
        <v>-125.88400000000001</v>
      </c>
      <c r="I116" s="106">
        <f>I109</f>
        <v>-130.08499999999998</v>
      </c>
      <c r="J116" s="106">
        <f>J109</f>
        <v>-157.74</v>
      </c>
      <c r="K116" s="106">
        <f>J116</f>
        <v>-157.74</v>
      </c>
      <c r="L116" s="106">
        <f>L109</f>
        <v>-127.09399999999998</v>
      </c>
      <c r="M116" s="106">
        <f>M109</f>
        <v>-147.34299999999999</v>
      </c>
      <c r="N116" s="106">
        <f>M116</f>
        <v>-147.34299999999999</v>
      </c>
      <c r="O116" s="106">
        <f>O109</f>
        <v>-136.01900000000001</v>
      </c>
      <c r="P116" s="106">
        <f>P109</f>
        <v>131.01499999999999</v>
      </c>
      <c r="Q116" s="106">
        <f>P116</f>
        <v>131.01499999999999</v>
      </c>
      <c r="R116" s="106">
        <f>R109</f>
        <v>139.01400000000001</v>
      </c>
      <c r="S116" s="106">
        <f>S109</f>
        <v>90.094999999999985</v>
      </c>
      <c r="T116" s="106">
        <f>S116</f>
        <v>90.094999999999985</v>
      </c>
      <c r="U116" s="106">
        <f>U109</f>
        <v>91.55</v>
      </c>
      <c r="V116" s="106">
        <f>V109</f>
        <v>39.876999999999995</v>
      </c>
      <c r="W116" s="106">
        <f t="shared" ref="W116:AG116" si="170">W107</f>
        <v>145</v>
      </c>
      <c r="X116" s="106">
        <f t="shared" si="170"/>
        <v>120</v>
      </c>
      <c r="Y116" s="106">
        <f t="shared" si="170"/>
        <v>100</v>
      </c>
      <c r="Z116" s="106">
        <f t="shared" si="170"/>
        <v>100</v>
      </c>
      <c r="AA116" s="106">
        <f t="shared" si="170"/>
        <v>100</v>
      </c>
      <c r="AB116" s="106">
        <f t="shared" si="170"/>
        <v>0</v>
      </c>
      <c r="AC116" s="106">
        <f t="shared" si="170"/>
        <v>0</v>
      </c>
      <c r="AD116" s="106">
        <f t="shared" si="170"/>
        <v>1694.597</v>
      </c>
      <c r="AE116" s="106">
        <f t="shared" si="170"/>
        <v>1609.297</v>
      </c>
      <c r="AF116" s="106">
        <f t="shared" si="170"/>
        <v>1609.297</v>
      </c>
      <c r="AG116" s="106">
        <f t="shared" si="170"/>
        <v>1738.078</v>
      </c>
      <c r="AH116" s="106">
        <f>AH107</f>
        <v>1765.232</v>
      </c>
      <c r="AI116" s="106">
        <f>AI107</f>
        <v>1765.232</v>
      </c>
      <c r="AJ116" s="106">
        <f>AJ107</f>
        <v>1564.915</v>
      </c>
      <c r="AK116" s="106">
        <f>AK107</f>
        <v>1335.616</v>
      </c>
      <c r="AL116" s="106">
        <f>AK116</f>
        <v>1335.616</v>
      </c>
      <c r="AM116" s="106">
        <f>AM107</f>
        <v>1015.9589999999999</v>
      </c>
      <c r="AN116" s="106">
        <f t="shared" ref="AN116:BM116" si="171">AN107</f>
        <v>1090.088</v>
      </c>
      <c r="AO116" s="106">
        <f t="shared" si="171"/>
        <v>1090.088</v>
      </c>
      <c r="AP116" s="106">
        <f t="shared" si="171"/>
        <v>1134.0780000000002</v>
      </c>
      <c r="AQ116" s="106">
        <f>AQ107</f>
        <v>1097.49</v>
      </c>
      <c r="AR116" s="106">
        <f>AR107</f>
        <v>1097.49</v>
      </c>
      <c r="AS116" s="106">
        <f t="shared" ref="AS116" si="172">AS107</f>
        <v>947.00599999999997</v>
      </c>
      <c r="AT116" s="106">
        <f>AT107</f>
        <v>859.322</v>
      </c>
      <c r="AU116" s="106">
        <f>AU107</f>
        <v>859.322</v>
      </c>
      <c r="AV116" s="106">
        <f t="shared" ref="AV116" si="173">AV107</f>
        <v>919.673</v>
      </c>
      <c r="AW116" s="106">
        <f>AW107</f>
        <v>865.72799999999995</v>
      </c>
      <c r="AX116" s="414">
        <f>AX107</f>
        <v>865.72799999999995</v>
      </c>
      <c r="AY116" s="106">
        <f t="shared" si="171"/>
        <v>1000.4652080086732</v>
      </c>
      <c r="AZ116" s="106">
        <f t="shared" si="171"/>
        <v>835.59856963281732</v>
      </c>
      <c r="BA116" s="106">
        <f t="shared" si="171"/>
        <v>835.59856963281732</v>
      </c>
      <c r="BB116" s="106">
        <f t="shared" si="171"/>
        <v>954.89649199893404</v>
      </c>
      <c r="BC116" s="106">
        <f t="shared" si="171"/>
        <v>754.12498441931393</v>
      </c>
      <c r="BD116" s="106">
        <f t="shared" si="171"/>
        <v>754.12498441931393</v>
      </c>
      <c r="BE116" s="106">
        <f t="shared" si="171"/>
        <v>883.06944136400102</v>
      </c>
      <c r="BF116" s="106">
        <f t="shared" si="171"/>
        <v>650.43846749086038</v>
      </c>
      <c r="BG116" s="106">
        <f t="shared" si="171"/>
        <v>650.43846749086038</v>
      </c>
      <c r="BH116" s="106">
        <f t="shared" si="171"/>
        <v>696.39314175208995</v>
      </c>
      <c r="BI116" s="106">
        <f t="shared" si="171"/>
        <v>358.50267962141015</v>
      </c>
      <c r="BJ116" s="106">
        <f t="shared" si="171"/>
        <v>358.50267962141015</v>
      </c>
      <c r="BK116" s="106">
        <f t="shared" si="171"/>
        <v>354.73745511909317</v>
      </c>
      <c r="BL116" s="106">
        <f t="shared" si="171"/>
        <v>12.088236841637638</v>
      </c>
      <c r="BM116" s="106">
        <f t="shared" si="171"/>
        <v>12.088236841637638</v>
      </c>
    </row>
    <row r="117" spans="1:65" outlineLevel="1">
      <c r="A117" s="6" t="s">
        <v>211</v>
      </c>
      <c r="B117" s="52" t="s">
        <v>76</v>
      </c>
      <c r="C117" s="61">
        <v>0.5</v>
      </c>
      <c r="D117" s="61">
        <v>0.5</v>
      </c>
      <c r="E117" s="61">
        <v>0.5</v>
      </c>
      <c r="F117" s="61">
        <v>0.5</v>
      </c>
      <c r="G117" s="61">
        <v>0.5</v>
      </c>
      <c r="H117" s="61">
        <v>0.5</v>
      </c>
      <c r="I117" s="61">
        <v>0.5</v>
      </c>
      <c r="J117" s="61">
        <v>0.5</v>
      </c>
      <c r="K117" s="61">
        <v>0.5</v>
      </c>
      <c r="L117" s="61">
        <v>0.5</v>
      </c>
      <c r="M117" s="61">
        <v>0.5</v>
      </c>
      <c r="N117" s="61">
        <v>0.5</v>
      </c>
      <c r="O117" s="61">
        <v>0.5</v>
      </c>
      <c r="P117" s="61">
        <v>0.5</v>
      </c>
      <c r="Q117" s="61">
        <v>0.5</v>
      </c>
      <c r="R117" s="61">
        <v>0.5</v>
      </c>
      <c r="S117" s="61">
        <v>0.5</v>
      </c>
      <c r="T117" s="61">
        <v>0.5</v>
      </c>
      <c r="U117" s="61">
        <v>0.5</v>
      </c>
      <c r="V117" s="61">
        <v>0.5</v>
      </c>
      <c r="W117" s="61">
        <v>0.5</v>
      </c>
      <c r="X117" s="61">
        <v>0.5</v>
      </c>
      <c r="Y117" s="61">
        <v>0.5</v>
      </c>
      <c r="Z117" s="61">
        <v>0.5</v>
      </c>
      <c r="AA117" s="61">
        <v>0.5</v>
      </c>
      <c r="AB117" s="61">
        <v>0.5</v>
      </c>
      <c r="AC117" s="61">
        <v>0.5</v>
      </c>
      <c r="AD117" s="61">
        <v>0.5</v>
      </c>
      <c r="AE117" s="61">
        <v>0.5</v>
      </c>
      <c r="AF117" s="61">
        <v>0.5</v>
      </c>
      <c r="AG117" s="61">
        <v>0.5</v>
      </c>
      <c r="AH117" s="61">
        <v>0.5</v>
      </c>
      <c r="AI117" s="61">
        <v>0.5</v>
      </c>
      <c r="AJ117" s="61">
        <v>0.5</v>
      </c>
      <c r="AK117" s="61">
        <v>0.5</v>
      </c>
      <c r="AL117" s="61">
        <v>0.5</v>
      </c>
      <c r="AM117" s="61">
        <v>0.5</v>
      </c>
      <c r="AN117" s="61">
        <v>0.5</v>
      </c>
      <c r="AO117" s="61">
        <v>0.5</v>
      </c>
      <c r="AP117" s="61">
        <v>0.5</v>
      </c>
      <c r="AQ117" s="61">
        <v>0.5</v>
      </c>
      <c r="AR117" s="61">
        <v>0.5</v>
      </c>
      <c r="AS117" s="61">
        <v>0.5</v>
      </c>
      <c r="AT117" s="61">
        <v>0.5</v>
      </c>
      <c r="AU117" s="61">
        <v>0.5</v>
      </c>
      <c r="AV117" s="61">
        <v>0.5</v>
      </c>
      <c r="AW117" s="61">
        <v>0.5</v>
      </c>
      <c r="AX117" s="415">
        <v>0.5</v>
      </c>
      <c r="AY117" s="62">
        <v>0.5</v>
      </c>
      <c r="AZ117" s="62">
        <v>0.5</v>
      </c>
      <c r="BA117" s="62">
        <v>0.5</v>
      </c>
      <c r="BB117" s="62">
        <v>0.5</v>
      </c>
      <c r="BC117" s="62">
        <v>0.5</v>
      </c>
      <c r="BD117" s="62">
        <v>0.5</v>
      </c>
      <c r="BE117" s="62">
        <v>0.5</v>
      </c>
      <c r="BF117" s="62">
        <v>0.5</v>
      </c>
      <c r="BG117" s="62">
        <v>0.5</v>
      </c>
      <c r="BH117" s="62">
        <v>0.5</v>
      </c>
      <c r="BI117" s="62">
        <v>0.5</v>
      </c>
      <c r="BJ117" s="62">
        <v>0.5</v>
      </c>
      <c r="BK117" s="62">
        <v>0.5</v>
      </c>
      <c r="BL117" s="62">
        <v>0.5</v>
      </c>
      <c r="BM117" s="62">
        <v>0.5</v>
      </c>
    </row>
    <row r="118" spans="1:65" outlineLevel="1">
      <c r="A118" s="6" t="s">
        <v>386</v>
      </c>
      <c r="B118" s="52" t="s">
        <v>172</v>
      </c>
      <c r="C118" s="107">
        <f t="shared" ref="C118:W118" si="174">C117*C116+C115*(1-C117)</f>
        <v>0</v>
      </c>
      <c r="D118" s="107">
        <f t="shared" si="174"/>
        <v>0</v>
      </c>
      <c r="E118" s="107">
        <f t="shared" si="174"/>
        <v>0</v>
      </c>
      <c r="F118" s="107">
        <f t="shared" si="174"/>
        <v>-45.259500000000003</v>
      </c>
      <c r="G118" s="107">
        <f t="shared" si="174"/>
        <v>-108.20150000000001</v>
      </c>
      <c r="H118" s="107">
        <f t="shared" si="174"/>
        <v>-62.942000000000007</v>
      </c>
      <c r="I118" s="107">
        <f t="shared" si="174"/>
        <v>-127.9845</v>
      </c>
      <c r="J118" s="107">
        <f t="shared" si="174"/>
        <v>-143.91249999999999</v>
      </c>
      <c r="K118" s="107">
        <f t="shared" si="174"/>
        <v>-141.81200000000001</v>
      </c>
      <c r="L118" s="107">
        <f t="shared" si="174"/>
        <v>-142.417</v>
      </c>
      <c r="M118" s="107">
        <f t="shared" si="174"/>
        <v>-137.21849999999998</v>
      </c>
      <c r="N118" s="107">
        <f t="shared" si="174"/>
        <v>-152.54149999999998</v>
      </c>
      <c r="O118" s="107">
        <f t="shared" si="174"/>
        <v>-141.68099999999998</v>
      </c>
      <c r="P118" s="107">
        <f t="shared" si="174"/>
        <v>-2.5020000000000095</v>
      </c>
      <c r="Q118" s="107">
        <f t="shared" si="174"/>
        <v>-8.1640000000000015</v>
      </c>
      <c r="R118" s="107">
        <f t="shared" si="174"/>
        <v>135.0145</v>
      </c>
      <c r="S118" s="107">
        <f t="shared" si="174"/>
        <v>114.55449999999999</v>
      </c>
      <c r="T118" s="107">
        <f t="shared" si="174"/>
        <v>110.55499999999998</v>
      </c>
      <c r="U118" s="107">
        <f t="shared" si="174"/>
        <v>90.822499999999991</v>
      </c>
      <c r="V118" s="107">
        <f t="shared" si="174"/>
        <v>65.713499999999996</v>
      </c>
      <c r="W118" s="107">
        <f t="shared" si="174"/>
        <v>117.54749999999999</v>
      </c>
      <c r="X118" s="107">
        <f>X117*X116+X115*(1-X117)</f>
        <v>79.938500000000005</v>
      </c>
      <c r="Y118" s="107">
        <f>Y117*Y116+Y115*(1-Y117)</f>
        <v>110</v>
      </c>
      <c r="Z118" s="107">
        <f>Z117*Z116+Z115*(1-Z117)</f>
        <v>69.938500000000005</v>
      </c>
      <c r="AA118" s="107">
        <f t="shared" ref="AA118:AI118" si="175">AA117*AA116+AA115*(1-AA117)</f>
        <v>49.097499999999997</v>
      </c>
      <c r="AB118" s="107">
        <f t="shared" si="175"/>
        <v>50</v>
      </c>
      <c r="AC118" s="107">
        <f t="shared" si="175"/>
        <v>-0.90250000000000341</v>
      </c>
      <c r="AD118" s="107">
        <f t="shared" si="175"/>
        <v>577.35300000000007</v>
      </c>
      <c r="AE118" s="107">
        <f t="shared" si="175"/>
        <v>1651.9470000000001</v>
      </c>
      <c r="AF118" s="107">
        <f t="shared" si="175"/>
        <v>534.70299999999997</v>
      </c>
      <c r="AG118" s="107">
        <f t="shared" si="175"/>
        <v>1609.8340000000001</v>
      </c>
      <c r="AH118" s="107">
        <f t="shared" si="175"/>
        <v>1751.655</v>
      </c>
      <c r="AI118" s="107">
        <f t="shared" si="175"/>
        <v>1623.4110000000001</v>
      </c>
      <c r="AJ118" s="107">
        <f t="shared" ref="AJ118:AR118" si="176">AJ117*AJ116+AJ115*(1-AJ117)</f>
        <v>1162.7194999999999</v>
      </c>
      <c r="AK118" s="107">
        <f t="shared" si="176"/>
        <v>1450.2655</v>
      </c>
      <c r="AL118" s="107">
        <f t="shared" si="176"/>
        <v>1048.07</v>
      </c>
      <c r="AM118" s="107">
        <f t="shared" si="176"/>
        <v>761.30449999999996</v>
      </c>
      <c r="AN118" s="107">
        <f t="shared" si="176"/>
        <v>1053.0235</v>
      </c>
      <c r="AO118" s="107">
        <f t="shared" si="176"/>
        <v>1212.8519999999999</v>
      </c>
      <c r="AP118" s="107">
        <f t="shared" si="176"/>
        <v>1001.8415000000001</v>
      </c>
      <c r="AQ118" s="107">
        <f t="shared" si="176"/>
        <v>1115.7840000000001</v>
      </c>
      <c r="AR118" s="107">
        <f t="shared" si="176"/>
        <v>1093.789</v>
      </c>
      <c r="AS118" s="107">
        <f t="shared" ref="AS118:AU118" si="177">AS117*AS116+AS115*(1-AS117)</f>
        <v>835.89499999999998</v>
      </c>
      <c r="AT118" s="107">
        <f t="shared" si="177"/>
        <v>903.16399999999999</v>
      </c>
      <c r="AU118" s="107">
        <f t="shared" si="177"/>
        <v>978.40599999999995</v>
      </c>
      <c r="AV118" s="107">
        <f t="shared" ref="AV118:AX118" si="178">AV117*AV116+AV115*(1-AV117)</f>
        <v>718.8075</v>
      </c>
      <c r="AW118" s="107">
        <f t="shared" si="178"/>
        <v>892.70049999999992</v>
      </c>
      <c r="AX118" s="416">
        <f t="shared" si="178"/>
        <v>862.52499999999998</v>
      </c>
      <c r="AY118" s="107">
        <f t="shared" ref="AY118:BM118" si="179">AY117*AY116+AY115*(1-AY117)</f>
        <v>933.09660400433654</v>
      </c>
      <c r="AZ118" s="107">
        <f t="shared" si="179"/>
        <v>918.03188882074528</v>
      </c>
      <c r="BA118" s="107">
        <f t="shared" si="179"/>
        <v>850.66328481640858</v>
      </c>
      <c r="BB118" s="107">
        <f t="shared" si="179"/>
        <v>895.24753081587573</v>
      </c>
      <c r="BC118" s="107">
        <f t="shared" si="179"/>
        <v>854.51073820912393</v>
      </c>
      <c r="BD118" s="107">
        <f t="shared" si="179"/>
        <v>794.86177702606562</v>
      </c>
      <c r="BE118" s="107">
        <f t="shared" si="179"/>
        <v>818.59721289165748</v>
      </c>
      <c r="BF118" s="107">
        <f t="shared" si="179"/>
        <v>766.7539544274307</v>
      </c>
      <c r="BG118" s="107">
        <f t="shared" si="179"/>
        <v>702.28172595508715</v>
      </c>
      <c r="BH118" s="107">
        <f t="shared" si="179"/>
        <v>673.41580462147522</v>
      </c>
      <c r="BI118" s="107">
        <f t="shared" si="179"/>
        <v>527.44791068674999</v>
      </c>
      <c r="BJ118" s="107">
        <f t="shared" si="179"/>
        <v>504.47057355613526</v>
      </c>
      <c r="BK118" s="107">
        <f t="shared" si="179"/>
        <v>356.62006737025166</v>
      </c>
      <c r="BL118" s="107">
        <f t="shared" si="179"/>
        <v>183.4128459803654</v>
      </c>
      <c r="BM118" s="107">
        <f t="shared" si="179"/>
        <v>185.2954582315239</v>
      </c>
    </row>
    <row r="119" spans="1:65" outlineLevel="1">
      <c r="A119" s="6" t="s">
        <v>212</v>
      </c>
      <c r="B119" s="52" t="s">
        <v>76</v>
      </c>
      <c r="C119" s="70"/>
      <c r="D119" s="70"/>
      <c r="E119" s="70"/>
      <c r="F119" s="70">
        <f>-(F120/F118*2)</f>
        <v>-5.7181365238237275E-2</v>
      </c>
      <c r="G119" s="70">
        <f>-(G120/G118*2)</f>
        <v>-2.2661423362892379E-2</v>
      </c>
      <c r="H119" s="70">
        <f>-(H120/H118)</f>
        <v>-4.003685933081249E-2</v>
      </c>
      <c r="I119" s="70">
        <f>-(I120/I118*2)</f>
        <v>-4.5005449878696242E-3</v>
      </c>
      <c r="J119" s="70">
        <f>-(J120/J118*2)</f>
        <v>-2.1818813515156782E-3</v>
      </c>
      <c r="K119" s="70">
        <f>-(K120/K118)</f>
        <v>-3.1379572955744224E-3</v>
      </c>
      <c r="L119" s="70">
        <f>-(L120/L118*2)</f>
        <v>-1.8817978190805874E-3</v>
      </c>
      <c r="M119" s="70">
        <f>-(M120/M118*2)</f>
        <v>-1.9676647099334276E-3</v>
      </c>
      <c r="N119" s="70">
        <f>-(N120/N118)</f>
        <v>-1.7634545353231747E-3</v>
      </c>
      <c r="O119" s="70">
        <f>-(O120/O118*2)</f>
        <v>-2.1597814809325177E-3</v>
      </c>
      <c r="P119" s="70">
        <f>-(P120/P118*2)</f>
        <v>-3.2230215827338005</v>
      </c>
      <c r="Q119" s="70">
        <f>-(Q120/Q118)</f>
        <v>-0.51261636452719239</v>
      </c>
      <c r="R119" s="70">
        <f>-(R120/R118*2)</f>
        <v>7.031837321176615E-2</v>
      </c>
      <c r="S119" s="70">
        <f>-(S120/S118*2)</f>
        <v>7.8146209882632309E-2</v>
      </c>
      <c r="T119" s="70">
        <f>-(T120/T118)</f>
        <v>8.3424539821808169E-2</v>
      </c>
      <c r="U119" s="70">
        <f>-(U120/U118*2)</f>
        <v>9.0043766687770116E-2</v>
      </c>
      <c r="V119" s="70">
        <f>-(V120/V118*2)</f>
        <v>0.11133176592328821</v>
      </c>
      <c r="W119" s="70">
        <f>-(W120/W118)</f>
        <v>6.5905272336714948E-2</v>
      </c>
      <c r="X119" s="70">
        <f>-(X120/X118*2)</f>
        <v>8.0386797350463168E-2</v>
      </c>
      <c r="Y119" s="70">
        <f>-(Y120/Y118*2)</f>
        <v>4.8872727272727269E-2</v>
      </c>
      <c r="Z119" s="70">
        <f>-(Z120/Z118)</f>
        <v>8.4374128698785356E-2</v>
      </c>
      <c r="AA119" s="70">
        <f>-(AA120/AA118*2)</f>
        <v>0.10884464585773208</v>
      </c>
      <c r="AB119" s="70">
        <f>-(AB120/AB118*2)</f>
        <v>9.4519999999999993E-2</v>
      </c>
      <c r="AC119" s="70">
        <f>-(AC120/AC118)</f>
        <v>-5.5789473684210318</v>
      </c>
      <c r="AD119" s="70">
        <f>-(AD120/AD118*2)</f>
        <v>0.14051715328403938</v>
      </c>
      <c r="AE119" s="70">
        <f>-(AE120/AE118*2)</f>
        <v>2.2751335242595556E-2</v>
      </c>
      <c r="AF119" s="70">
        <f>-(AF120/AF118)</f>
        <v>0.111007419071896</v>
      </c>
      <c r="AG119" s="70">
        <f>-(AG120/AG118*2)</f>
        <v>6.7303833811436453E-2</v>
      </c>
      <c r="AH119" s="70">
        <f>-(AH120/AH118*2)</f>
        <v>5.0161704216869184E-2</v>
      </c>
      <c r="AI119" s="70">
        <f>-(AI120/AI118)</f>
        <v>6.0432632278578868E-2</v>
      </c>
      <c r="AJ119" s="70">
        <f>-(AJ120/AJ118*2)</f>
        <v>0.11449193034089479</v>
      </c>
      <c r="AK119" s="70">
        <f>-(AK120/AK118*2)</f>
        <v>4.8155320525793389E-2</v>
      </c>
      <c r="AL119" s="70">
        <f>-(AL120/AL118)</f>
        <v>0.10713883614644062</v>
      </c>
      <c r="AM119" s="70">
        <f>-(AM120/AM118*2)</f>
        <v>0.13454012159392201</v>
      </c>
      <c r="AN119" s="70">
        <f>-(AN120/AN118*2)</f>
        <v>7.7535477603301369E-3</v>
      </c>
      <c r="AO119" s="70">
        <f>-(AO120/AO118)</f>
        <v>4.5591163637442991E-2</v>
      </c>
      <c r="AP119" s="70">
        <f>-(AP120/AP118*2)</f>
        <v>7.4490825145494557E-2</v>
      </c>
      <c r="AQ119" s="70">
        <f>-(AQ120/AQ118*2)</f>
        <v>8.7742788926889068E-2</v>
      </c>
      <c r="AR119" s="70">
        <f>-(AR120/AR118)</f>
        <v>7.8868044933712078E-2</v>
      </c>
      <c r="AS119" s="70">
        <f>-(AS120/AS118*2)</f>
        <v>0.11007602629516866</v>
      </c>
      <c r="AT119" s="70">
        <f>-(AT120/AT118*2)</f>
        <v>0.10142786913561656</v>
      </c>
      <c r="AU119" s="70">
        <f>-(AU120/AU118)</f>
        <v>9.383527901505101E-2</v>
      </c>
      <c r="AV119" s="70">
        <f>-(AV120/AV118*2)</f>
        <v>0.12761413869499136</v>
      </c>
      <c r="AW119" s="70">
        <f>-(AW120/AW118*2)</f>
        <v>0.11593810018029564</v>
      </c>
      <c r="AX119" s="417">
        <f>-(AX120/AX118)</f>
        <v>0.1131723718153097</v>
      </c>
      <c r="AY119" s="62">
        <v>0.08</v>
      </c>
      <c r="AZ119" s="62">
        <v>0.08</v>
      </c>
      <c r="BA119" s="70">
        <f>-(BA120/BA118)</f>
        <v>8.7044005583224157E-2</v>
      </c>
      <c r="BB119" s="62">
        <v>0.08</v>
      </c>
      <c r="BC119" s="62">
        <v>0.08</v>
      </c>
      <c r="BD119" s="70">
        <f>-(BD120/BD118)</f>
        <v>8.8053461348796033E-2</v>
      </c>
      <c r="BE119" s="62">
        <v>0.09</v>
      </c>
      <c r="BF119" s="62">
        <v>0.09</v>
      </c>
      <c r="BG119" s="70">
        <f>-(BG120/BG118)</f>
        <v>0.10158430711312771</v>
      </c>
      <c r="BH119" s="62">
        <v>0.12</v>
      </c>
      <c r="BI119" s="62">
        <v>0.12</v>
      </c>
      <c r="BJ119" s="70">
        <f>-(BJ120/BJ118)</f>
        <v>0.142826612086772</v>
      </c>
      <c r="BK119" s="62">
        <v>0.2</v>
      </c>
      <c r="BL119" s="62">
        <v>0.2</v>
      </c>
      <c r="BM119" s="70">
        <f>-(BM120/BM118)</f>
        <v>0.2914442256193101</v>
      </c>
    </row>
    <row r="120" spans="1:65" outlineLevel="1">
      <c r="A120" s="13" t="s">
        <v>384</v>
      </c>
      <c r="B120" s="52" t="s">
        <v>172</v>
      </c>
      <c r="C120" s="107">
        <f t="shared" ref="C120:AI120" si="180">C39</f>
        <v>-0.84199999999999997</v>
      </c>
      <c r="D120" s="107">
        <f t="shared" si="180"/>
        <v>-0.91800000000000004</v>
      </c>
      <c r="E120" s="107">
        <f t="shared" si="180"/>
        <v>-1.76</v>
      </c>
      <c r="F120" s="107">
        <f t="shared" si="180"/>
        <v>-1.294</v>
      </c>
      <c r="G120" s="107">
        <f t="shared" si="180"/>
        <v>-1.226</v>
      </c>
      <c r="H120" s="107">
        <f t="shared" si="180"/>
        <v>-2.52</v>
      </c>
      <c r="I120" s="107">
        <f t="shared" si="180"/>
        <v>-0.28799999999999998</v>
      </c>
      <c r="J120" s="107">
        <f t="shared" si="180"/>
        <v>-0.15700000000000003</v>
      </c>
      <c r="K120" s="107">
        <f t="shared" si="180"/>
        <v>-0.44500000000000001</v>
      </c>
      <c r="L120" s="107">
        <f t="shared" si="180"/>
        <v>-0.13400000000000001</v>
      </c>
      <c r="M120" s="107">
        <f t="shared" si="180"/>
        <v>-0.13500000000000001</v>
      </c>
      <c r="N120" s="107">
        <f t="shared" si="180"/>
        <v>-0.26900000000000002</v>
      </c>
      <c r="O120" s="107">
        <f t="shared" si="180"/>
        <v>-0.153</v>
      </c>
      <c r="P120" s="107">
        <f t="shared" si="180"/>
        <v>-4.032</v>
      </c>
      <c r="Q120" s="107">
        <f t="shared" si="180"/>
        <v>-4.1849999999999996</v>
      </c>
      <c r="R120" s="107">
        <f t="shared" si="180"/>
        <v>-4.7469999999999999</v>
      </c>
      <c r="S120" s="107">
        <f t="shared" si="180"/>
        <v>-4.4760000000000009</v>
      </c>
      <c r="T120" s="107">
        <f t="shared" si="180"/>
        <v>-9.2230000000000008</v>
      </c>
      <c r="U120" s="107">
        <f t="shared" si="180"/>
        <v>-4.0890000000000004</v>
      </c>
      <c r="V120" s="107">
        <f t="shared" si="180"/>
        <v>-3.6579999999999995</v>
      </c>
      <c r="W120" s="107">
        <f t="shared" si="180"/>
        <v>-7.7469999999999999</v>
      </c>
      <c r="X120" s="107">
        <f t="shared" si="180"/>
        <v>-3.2130000000000001</v>
      </c>
      <c r="Y120" s="107">
        <f t="shared" si="180"/>
        <v>-2.6879999999999997</v>
      </c>
      <c r="Z120" s="107">
        <f t="shared" si="180"/>
        <v>-5.9009999999999998</v>
      </c>
      <c r="AA120" s="107">
        <f t="shared" si="180"/>
        <v>-2.6720000000000002</v>
      </c>
      <c r="AB120" s="107">
        <f t="shared" si="180"/>
        <v>-2.363</v>
      </c>
      <c r="AC120" s="107">
        <f t="shared" si="180"/>
        <v>-5.0350000000000001</v>
      </c>
      <c r="AD120" s="107">
        <f t="shared" si="180"/>
        <v>-40.564</v>
      </c>
      <c r="AE120" s="107">
        <f t="shared" si="180"/>
        <v>-18.792000000000002</v>
      </c>
      <c r="AF120" s="107">
        <f t="shared" si="180"/>
        <v>-59.356000000000002</v>
      </c>
      <c r="AG120" s="107">
        <f t="shared" si="180"/>
        <v>-54.173999999999999</v>
      </c>
      <c r="AH120" s="107">
        <f t="shared" si="180"/>
        <v>-43.932999999999993</v>
      </c>
      <c r="AI120" s="107">
        <f t="shared" si="180"/>
        <v>-98.106999999999999</v>
      </c>
      <c r="AJ120" s="107">
        <f t="shared" ref="AJ120:AR120" si="181">AJ39</f>
        <v>-66.561000000000007</v>
      </c>
      <c r="AK120" s="107">
        <f t="shared" si="181"/>
        <v>-34.919000000000004</v>
      </c>
      <c r="AL120" s="107">
        <f t="shared" si="181"/>
        <v>-112.28900000000002</v>
      </c>
      <c r="AM120" s="107">
        <f t="shared" si="181"/>
        <v>-51.213000000000001</v>
      </c>
      <c r="AN120" s="107">
        <f t="shared" si="181"/>
        <v>-4.0823340000000012</v>
      </c>
      <c r="AO120" s="107">
        <f t="shared" si="181"/>
        <v>-55.295334000000004</v>
      </c>
      <c r="AP120" s="107">
        <f t="shared" si="181"/>
        <v>-37.314</v>
      </c>
      <c r="AQ120" s="107">
        <f t="shared" si="181"/>
        <v>-48.951000000000001</v>
      </c>
      <c r="AR120" s="107">
        <f t="shared" si="181"/>
        <v>-86.265000000000001</v>
      </c>
      <c r="AS120" s="107">
        <f t="shared" ref="AS120:AU120" si="182">AS39</f>
        <v>-46.006</v>
      </c>
      <c r="AT120" s="107">
        <f t="shared" si="182"/>
        <v>-45.802999999999997</v>
      </c>
      <c r="AU120" s="107">
        <f t="shared" si="182"/>
        <v>-91.808999999999997</v>
      </c>
      <c r="AV120" s="107">
        <f t="shared" ref="AV120:AX120" si="183">AV39</f>
        <v>-45.865000000000002</v>
      </c>
      <c r="AW120" s="107">
        <f t="shared" si="183"/>
        <v>-51.749000000000002</v>
      </c>
      <c r="AX120" s="416">
        <f t="shared" si="183"/>
        <v>-97.614000000000004</v>
      </c>
      <c r="AY120" s="107">
        <f>-(AY119*AY118/2)</f>
        <v>-37.323864160173464</v>
      </c>
      <c r="AZ120" s="107">
        <f>-(AZ119*AZ118/2)</f>
        <v>-36.721275552829809</v>
      </c>
      <c r="BA120" s="107">
        <f>AZ120+AY120</f>
        <v>-74.045139713003266</v>
      </c>
      <c r="BB120" s="107">
        <f>-(BB119*BB118/2)</f>
        <v>-35.809901232635028</v>
      </c>
      <c r="BC120" s="107">
        <f>-(BC119*BC118/2)</f>
        <v>-34.180429528364961</v>
      </c>
      <c r="BD120" s="107">
        <f>BC120+BB120</f>
        <v>-69.990330760999996</v>
      </c>
      <c r="BE120" s="107">
        <f>-(BE119*BE118/2)</f>
        <v>-36.836874580124586</v>
      </c>
      <c r="BF120" s="107">
        <f>-(BF119*BF118/2)</f>
        <v>-34.503927949234381</v>
      </c>
      <c r="BG120" s="107">
        <f>BF120+BE120</f>
        <v>-71.340802529358967</v>
      </c>
      <c r="BH120" s="107">
        <f>-(BH119*BH118/2)</f>
        <v>-40.404948277288511</v>
      </c>
      <c r="BI120" s="107">
        <f>-(BI119*BI118/2)</f>
        <v>-31.646874641204999</v>
      </c>
      <c r="BJ120" s="107">
        <f>BI120+BH120</f>
        <v>-72.051822918493514</v>
      </c>
      <c r="BK120" s="107">
        <f>-(BK119*BK118/2)</f>
        <v>-35.662006737025166</v>
      </c>
      <c r="BL120" s="107">
        <f>-(BL119*BL118/2)</f>
        <v>-18.341284598036541</v>
      </c>
      <c r="BM120" s="107">
        <f>BL120+BK120</f>
        <v>-54.003291335061704</v>
      </c>
    </row>
    <row r="121" spans="1:65" outlineLevel="1">
      <c r="A121" s="6" t="s">
        <v>385</v>
      </c>
      <c r="B121" s="52" t="s">
        <v>172</v>
      </c>
      <c r="C121" s="107">
        <v>-0.84199999999999997</v>
      </c>
      <c r="D121" s="107">
        <v>-0.91800000000000004</v>
      </c>
      <c r="E121" s="107">
        <v>-1.76</v>
      </c>
      <c r="F121" s="107">
        <v>-1.294</v>
      </c>
      <c r="G121" s="107">
        <v>-1.226</v>
      </c>
      <c r="H121" s="107">
        <v>-2.52</v>
      </c>
      <c r="I121" s="107">
        <v>-0.28799999999999998</v>
      </c>
      <c r="J121" s="107">
        <v>-0.15700000000000003</v>
      </c>
      <c r="K121" s="107">
        <v>-0.44500000000000001</v>
      </c>
      <c r="L121" s="107">
        <v>-0.13400000000000001</v>
      </c>
      <c r="M121" s="107">
        <v>-0.13500000000000001</v>
      </c>
      <c r="N121" s="107">
        <v>-0.26900000000000002</v>
      </c>
      <c r="O121" s="107">
        <v>-0.153</v>
      </c>
      <c r="P121" s="107">
        <v>-4.032</v>
      </c>
      <c r="Q121" s="107">
        <v>-4.1849999999999996</v>
      </c>
      <c r="R121" s="107">
        <v>-4.7469999999999999</v>
      </c>
      <c r="S121" s="107">
        <v>-4.4760000000000009</v>
      </c>
      <c r="T121" s="107">
        <v>-9.2230000000000008</v>
      </c>
      <c r="U121" s="107">
        <v>-4.0890000000000004</v>
      </c>
      <c r="V121" s="107">
        <v>-3.6579999999999995</v>
      </c>
      <c r="W121" s="107">
        <v>-7.7469999999999999</v>
      </c>
      <c r="X121" s="107">
        <v>-3.2130000000000001</v>
      </c>
      <c r="Y121" s="107">
        <v>-2.6879999999999997</v>
      </c>
      <c r="Z121" s="107">
        <v>-5.9009999999999998</v>
      </c>
      <c r="AA121" s="107">
        <v>-2.6720000000000002</v>
      </c>
      <c r="AB121" s="107">
        <v>-2.363</v>
      </c>
      <c r="AC121" s="107">
        <v>-5.0350000000000001</v>
      </c>
      <c r="AD121" s="107">
        <v>-40.564</v>
      </c>
      <c r="AE121" s="107">
        <v>-18.792000000000002</v>
      </c>
      <c r="AF121" s="107">
        <v>-59.356000000000002</v>
      </c>
      <c r="AG121" s="107">
        <v>-54.173999999999999</v>
      </c>
      <c r="AH121" s="107">
        <v>-43.932999999999993</v>
      </c>
      <c r="AI121" s="107">
        <v>-98.106999999999999</v>
      </c>
      <c r="AJ121" s="107">
        <v>-66.561000000000007</v>
      </c>
      <c r="AK121" s="107">
        <v>-34.919000000000004</v>
      </c>
      <c r="AL121" s="107">
        <v>-112.28900000000002</v>
      </c>
      <c r="AM121" s="107">
        <v>-51.213000000000001</v>
      </c>
      <c r="AN121" s="107">
        <v>-4.0823340000000012</v>
      </c>
      <c r="AO121" s="107">
        <v>-55.295334000000004</v>
      </c>
      <c r="AP121" s="107">
        <v>-37.314</v>
      </c>
      <c r="AQ121" s="107">
        <v>-48.951000000000001</v>
      </c>
      <c r="AR121" s="107">
        <v>-86.265000000000001</v>
      </c>
      <c r="AS121" s="107">
        <v>-46.006</v>
      </c>
      <c r="AT121" s="107">
        <v>-45.802999999999997</v>
      </c>
      <c r="AU121" s="107">
        <v>-91.808999999999997</v>
      </c>
      <c r="AV121" s="107">
        <v>-45.865000000000002</v>
      </c>
      <c r="AW121" s="107">
        <v>-51.749000000000002</v>
      </c>
      <c r="AX121" s="416">
        <v>-97.614000000000004</v>
      </c>
      <c r="AY121" s="107">
        <v>-37.314545593644965</v>
      </c>
      <c r="AZ121" s="107">
        <v>-36.417251653508323</v>
      </c>
      <c r="BA121" s="107">
        <v>-73.731797247153281</v>
      </c>
      <c r="BB121" s="107">
        <v>-35.3771197612528</v>
      </c>
      <c r="BC121" s="107">
        <v>-33.866869594999464</v>
      </c>
      <c r="BD121" s="107">
        <v>-69.243989356252257</v>
      </c>
      <c r="BE121" s="107">
        <v>-36.512323870346236</v>
      </c>
      <c r="BF121" s="107">
        <v>-34.07342589437954</v>
      </c>
      <c r="BG121" s="107">
        <v>-70.585749764725776</v>
      </c>
      <c r="BH121" s="107">
        <v>-39.873460544049799</v>
      </c>
      <c r="BI121" s="107">
        <v>-31.494863754995489</v>
      </c>
      <c r="BJ121" s="107">
        <v>-71.368324299045284</v>
      </c>
      <c r="BK121" s="107">
        <v>-36.02239764788461</v>
      </c>
      <c r="BL121" s="107">
        <v>-19.285629408315664</v>
      </c>
      <c r="BM121" s="107">
        <v>-55.308027056200274</v>
      </c>
    </row>
    <row r="122" spans="1:65" outlineLevel="1">
      <c r="A122" s="39" t="s">
        <v>260</v>
      </c>
      <c r="C122" s="216">
        <f t="shared" ref="C122:W122" si="184">ROUND(C120-C121,2)</f>
        <v>0</v>
      </c>
      <c r="D122" s="216">
        <f t="shared" si="184"/>
        <v>0</v>
      </c>
      <c r="E122" s="216">
        <f t="shared" si="184"/>
        <v>0</v>
      </c>
      <c r="F122" s="216">
        <f t="shared" si="184"/>
        <v>0</v>
      </c>
      <c r="G122" s="216">
        <f t="shared" si="184"/>
        <v>0</v>
      </c>
      <c r="H122" s="216">
        <f t="shared" si="184"/>
        <v>0</v>
      </c>
      <c r="I122" s="216">
        <f t="shared" si="184"/>
        <v>0</v>
      </c>
      <c r="J122" s="216">
        <f t="shared" si="184"/>
        <v>0</v>
      </c>
      <c r="K122" s="216">
        <f t="shared" si="184"/>
        <v>0</v>
      </c>
      <c r="L122" s="216">
        <f t="shared" si="184"/>
        <v>0</v>
      </c>
      <c r="M122" s="216">
        <f t="shared" si="184"/>
        <v>0</v>
      </c>
      <c r="N122" s="216">
        <f t="shared" si="184"/>
        <v>0</v>
      </c>
      <c r="O122" s="216">
        <f t="shared" si="184"/>
        <v>0</v>
      </c>
      <c r="P122" s="216">
        <f t="shared" si="184"/>
        <v>0</v>
      </c>
      <c r="Q122" s="216">
        <f t="shared" si="184"/>
        <v>0</v>
      </c>
      <c r="R122" s="216">
        <f t="shared" si="184"/>
        <v>0</v>
      </c>
      <c r="S122" s="216">
        <f t="shared" si="184"/>
        <v>0</v>
      </c>
      <c r="T122" s="216">
        <f t="shared" si="184"/>
        <v>0</v>
      </c>
      <c r="U122" s="216">
        <f t="shared" si="184"/>
        <v>0</v>
      </c>
      <c r="V122" s="216">
        <f t="shared" si="184"/>
        <v>0</v>
      </c>
      <c r="W122" s="216">
        <f t="shared" si="184"/>
        <v>0</v>
      </c>
      <c r="X122" s="216">
        <f>ROUND(X120-X121,2)</f>
        <v>0</v>
      </c>
      <c r="Y122" s="216">
        <f>ROUND(Y120-Y121,2)</f>
        <v>0</v>
      </c>
      <c r="Z122" s="216">
        <f>ROUND(Z120-Z121,2)</f>
        <v>0</v>
      </c>
      <c r="AA122" s="216">
        <f t="shared" ref="AA122:AF122" si="185">ROUND(AA120-AA121,2)</f>
        <v>0</v>
      </c>
      <c r="AB122" s="216">
        <f t="shared" si="185"/>
        <v>0</v>
      </c>
      <c r="AC122" s="216">
        <f t="shared" si="185"/>
        <v>0</v>
      </c>
      <c r="AD122" s="216">
        <f t="shared" si="185"/>
        <v>0</v>
      </c>
      <c r="AE122" s="216">
        <f t="shared" si="185"/>
        <v>0</v>
      </c>
      <c r="AF122" s="216">
        <f t="shared" si="185"/>
        <v>0</v>
      </c>
      <c r="AG122" s="216">
        <f t="shared" ref="AG122:AL122" si="186">ROUND(AG120-AG121,2)</f>
        <v>0</v>
      </c>
      <c r="AH122" s="216">
        <f t="shared" si="186"/>
        <v>0</v>
      </c>
      <c r="AI122" s="216">
        <f t="shared" si="186"/>
        <v>0</v>
      </c>
      <c r="AJ122" s="216">
        <f t="shared" si="186"/>
        <v>0</v>
      </c>
      <c r="AK122" s="216">
        <f t="shared" si="186"/>
        <v>0</v>
      </c>
      <c r="AL122" s="216">
        <f t="shared" si="186"/>
        <v>0</v>
      </c>
      <c r="AM122" s="216">
        <f t="shared" ref="AM122:AR122" si="187">ROUND(AM120-AM121,2)</f>
        <v>0</v>
      </c>
      <c r="AN122" s="216">
        <f t="shared" si="187"/>
        <v>0</v>
      </c>
      <c r="AO122" s="216">
        <f t="shared" si="187"/>
        <v>0</v>
      </c>
      <c r="AP122" s="216">
        <f t="shared" si="187"/>
        <v>0</v>
      </c>
      <c r="AQ122" s="216">
        <f t="shared" si="187"/>
        <v>0</v>
      </c>
      <c r="AR122" s="216">
        <f t="shared" si="187"/>
        <v>0</v>
      </c>
      <c r="AS122" s="216">
        <f t="shared" ref="AS122:AU122" si="188">ROUND(AS120-AS121,2)</f>
        <v>0</v>
      </c>
      <c r="AT122" s="216">
        <f t="shared" si="188"/>
        <v>0</v>
      </c>
      <c r="AU122" s="216">
        <f t="shared" si="188"/>
        <v>0</v>
      </c>
      <c r="AV122" s="216">
        <f t="shared" ref="AV122:AX122" si="189">ROUND(AV120-AV121,2)</f>
        <v>0</v>
      </c>
      <c r="AW122" s="216">
        <f t="shared" si="189"/>
        <v>0</v>
      </c>
      <c r="AX122" s="418">
        <f t="shared" si="189"/>
        <v>0</v>
      </c>
      <c r="AY122" s="216">
        <f t="shared" ref="AY122:BM122" si="190">ROUND(AY120-AY121,2)</f>
        <v>-0.01</v>
      </c>
      <c r="AZ122" s="216">
        <f t="shared" si="190"/>
        <v>-0.3</v>
      </c>
      <c r="BA122" s="216">
        <f t="shared" si="190"/>
        <v>-0.31</v>
      </c>
      <c r="BB122" s="216">
        <f t="shared" si="190"/>
        <v>-0.43</v>
      </c>
      <c r="BC122" s="216">
        <f t="shared" si="190"/>
        <v>-0.31</v>
      </c>
      <c r="BD122" s="216">
        <f t="shared" si="190"/>
        <v>-0.75</v>
      </c>
      <c r="BE122" s="216">
        <f t="shared" si="190"/>
        <v>-0.32</v>
      </c>
      <c r="BF122" s="216">
        <f t="shared" si="190"/>
        <v>-0.43</v>
      </c>
      <c r="BG122" s="216">
        <f t="shared" si="190"/>
        <v>-0.76</v>
      </c>
      <c r="BH122" s="216">
        <f t="shared" si="190"/>
        <v>-0.53</v>
      </c>
      <c r="BI122" s="216">
        <f t="shared" si="190"/>
        <v>-0.15</v>
      </c>
      <c r="BJ122" s="216">
        <f t="shared" si="190"/>
        <v>-0.68</v>
      </c>
      <c r="BK122" s="216">
        <f t="shared" si="190"/>
        <v>0.36</v>
      </c>
      <c r="BL122" s="216">
        <f t="shared" si="190"/>
        <v>0.94</v>
      </c>
      <c r="BM122" s="216">
        <f t="shared" si="190"/>
        <v>1.3</v>
      </c>
    </row>
    <row r="123" spans="1:65" outlineLevel="1">
      <c r="A123" s="13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9"/>
      <c r="AM123" s="69"/>
      <c r="AN123" s="69"/>
      <c r="AO123" s="69"/>
      <c r="AP123" s="69"/>
      <c r="AQ123" s="69"/>
      <c r="AR123" s="69"/>
      <c r="AS123" s="69"/>
      <c r="AT123" s="69"/>
      <c r="AU123" s="69"/>
      <c r="AV123" s="69"/>
      <c r="AW123" s="69"/>
      <c r="AX123" s="419"/>
      <c r="AY123" s="69"/>
      <c r="AZ123" s="69"/>
      <c r="BA123" s="69"/>
      <c r="BB123" s="69"/>
      <c r="BC123" s="69"/>
      <c r="BD123" s="69"/>
      <c r="BE123" s="69"/>
      <c r="BF123" s="69"/>
      <c r="BG123" s="69"/>
      <c r="BH123" s="69"/>
      <c r="BI123" s="69"/>
      <c r="BJ123" s="69"/>
      <c r="BK123" s="69"/>
      <c r="BL123" s="69"/>
      <c r="BM123" s="69"/>
    </row>
    <row r="124" spans="1:65" outlineLevel="1">
      <c r="A124" s="58" t="s">
        <v>261</v>
      </c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419"/>
      <c r="AY124" s="69"/>
      <c r="AZ124" s="69"/>
      <c r="BA124" s="69"/>
      <c r="BB124" s="69"/>
      <c r="BC124" s="69"/>
      <c r="BD124" s="69"/>
      <c r="BE124" s="69"/>
      <c r="BF124" s="69"/>
      <c r="BG124" s="69"/>
      <c r="BH124" s="69"/>
      <c r="BI124" s="69"/>
      <c r="BJ124" s="69"/>
      <c r="BK124" s="69"/>
      <c r="BL124" s="69"/>
      <c r="BM124" s="69"/>
    </row>
    <row r="125" spans="1:65" outlineLevel="1">
      <c r="A125" s="71" t="s">
        <v>99</v>
      </c>
      <c r="B125" s="52" t="s">
        <v>172</v>
      </c>
      <c r="C125" s="107"/>
      <c r="D125" s="107">
        <f>C151</f>
        <v>85.501000000000005</v>
      </c>
      <c r="E125" s="107"/>
      <c r="F125" s="107">
        <f>E151</f>
        <v>122.631</v>
      </c>
      <c r="G125" s="107">
        <f>F151</f>
        <v>98.501000000000005</v>
      </c>
      <c r="H125" s="107">
        <f>E151</f>
        <v>122.631</v>
      </c>
      <c r="I125" s="107">
        <f>H151</f>
        <v>134.18600000000001</v>
      </c>
      <c r="J125" s="107">
        <f>I151</f>
        <v>139.08699999999999</v>
      </c>
      <c r="K125" s="107">
        <f>H151</f>
        <v>134.18600000000001</v>
      </c>
      <c r="L125" s="107">
        <f>K151</f>
        <v>166.75800000000001</v>
      </c>
      <c r="M125" s="107">
        <f>L151</f>
        <v>134.76499999999999</v>
      </c>
      <c r="N125" s="107">
        <f>K151</f>
        <v>166.75800000000001</v>
      </c>
      <c r="O125" s="107">
        <f>N151</f>
        <v>156.232</v>
      </c>
      <c r="P125" s="107">
        <f>O151</f>
        <v>145.613</v>
      </c>
      <c r="Q125" s="107">
        <f>N151</f>
        <v>156.232</v>
      </c>
      <c r="R125" s="107">
        <f>Q151</f>
        <v>73.762</v>
      </c>
      <c r="S125" s="107">
        <f>R151</f>
        <v>55.098999999999997</v>
      </c>
      <c r="T125" s="107">
        <f>Q151</f>
        <v>73.762</v>
      </c>
      <c r="U125" s="107">
        <f>T151</f>
        <v>85.021000000000001</v>
      </c>
      <c r="V125" s="107">
        <f>U151</f>
        <v>73.45</v>
      </c>
      <c r="W125" s="107">
        <f>T151</f>
        <v>85.021000000000001</v>
      </c>
      <c r="X125" s="107">
        <f>W151</f>
        <v>105.123</v>
      </c>
      <c r="Y125" s="107">
        <f>X151</f>
        <v>55.780999999999999</v>
      </c>
      <c r="Z125" s="107">
        <f>W151</f>
        <v>105.123</v>
      </c>
      <c r="AA125" s="107">
        <f>Z151</f>
        <v>101.80500000000001</v>
      </c>
      <c r="AB125" s="107">
        <f>AA151</f>
        <v>50.255000000000003</v>
      </c>
      <c r="AC125" s="107">
        <f>Z151</f>
        <v>101.80500000000001</v>
      </c>
      <c r="AD125" s="107">
        <f>AC151</f>
        <v>539.89099999999996</v>
      </c>
      <c r="AE125" s="107">
        <f>AD151</f>
        <v>99.275000000000006</v>
      </c>
      <c r="AF125" s="107">
        <f>AC151</f>
        <v>539.89099999999996</v>
      </c>
      <c r="AG125" s="107">
        <f>AF151</f>
        <v>127.70699999999999</v>
      </c>
      <c r="AH125" s="107">
        <f>AG151</f>
        <v>103.337</v>
      </c>
      <c r="AI125" s="107">
        <f>AF151</f>
        <v>127.70699999999999</v>
      </c>
      <c r="AJ125" s="107">
        <f>AI151</f>
        <v>1004.708</v>
      </c>
      <c r="AK125" s="107">
        <f>AJ151</f>
        <v>953.79700000000003</v>
      </c>
      <c r="AL125" s="107">
        <f>AI151</f>
        <v>1004.708</v>
      </c>
      <c r="AM125" s="107">
        <f>AL151</f>
        <v>828.96600000000001</v>
      </c>
      <c r="AN125" s="107">
        <f>AM151</f>
        <v>117.961</v>
      </c>
      <c r="AO125" s="107">
        <f>AL151</f>
        <v>828.96600000000001</v>
      </c>
      <c r="AP125" s="107">
        <f>AO151</f>
        <v>220.483</v>
      </c>
      <c r="AQ125" s="107">
        <f>AP151</f>
        <v>141.80500000000001</v>
      </c>
      <c r="AR125" s="107">
        <f>AO151</f>
        <v>220.483</v>
      </c>
      <c r="AS125" s="107">
        <f>AR151</f>
        <v>372.70600000000002</v>
      </c>
      <c r="AT125" s="107">
        <f>AS151</f>
        <v>336.7</v>
      </c>
      <c r="AU125" s="107">
        <f>AR151</f>
        <v>372.70600000000002</v>
      </c>
      <c r="AV125" s="107">
        <f>AU151</f>
        <v>341.38</v>
      </c>
      <c r="AW125" s="107">
        <f>AV151</f>
        <v>273.27100000000002</v>
      </c>
      <c r="AX125" s="416">
        <f>AU151</f>
        <v>341.38</v>
      </c>
      <c r="AY125" s="107">
        <f>AX151</f>
        <v>275.411</v>
      </c>
      <c r="AZ125" s="107">
        <f>AY151</f>
        <v>275.411</v>
      </c>
      <c r="BA125" s="107">
        <f>AX151</f>
        <v>275.411</v>
      </c>
      <c r="BB125" s="107">
        <f>BA151</f>
        <v>275.411</v>
      </c>
      <c r="BC125" s="107">
        <f>BB151</f>
        <v>275.411</v>
      </c>
      <c r="BD125" s="107">
        <f>BA151</f>
        <v>275.411</v>
      </c>
      <c r="BE125" s="107">
        <f>BD151</f>
        <v>275.411</v>
      </c>
      <c r="BF125" s="107">
        <f>BE151</f>
        <v>275.411</v>
      </c>
      <c r="BG125" s="107">
        <f>BD151</f>
        <v>275.411</v>
      </c>
      <c r="BH125" s="107">
        <f>BG151</f>
        <v>275.411</v>
      </c>
      <c r="BI125" s="107">
        <f>BH151</f>
        <v>275.411</v>
      </c>
      <c r="BJ125" s="107">
        <f>BG151</f>
        <v>275.411</v>
      </c>
      <c r="BK125" s="107">
        <f>BJ151</f>
        <v>275.411</v>
      </c>
      <c r="BL125" s="107">
        <f>BK151</f>
        <v>275.411</v>
      </c>
      <c r="BM125" s="107">
        <f>BJ151</f>
        <v>275.411</v>
      </c>
    </row>
    <row r="126" spans="1:65" outlineLevel="1">
      <c r="A126" s="71" t="s">
        <v>100</v>
      </c>
      <c r="B126" s="52" t="s">
        <v>172</v>
      </c>
      <c r="C126" s="107">
        <f>C151</f>
        <v>85.501000000000005</v>
      </c>
      <c r="D126" s="107">
        <f>D106</f>
        <v>0</v>
      </c>
      <c r="E126" s="107">
        <f>E151</f>
        <v>122.631</v>
      </c>
      <c r="F126" s="107">
        <f>F151</f>
        <v>98.501000000000005</v>
      </c>
      <c r="G126" s="107">
        <f>G106</f>
        <v>134.18600000000001</v>
      </c>
      <c r="H126" s="107">
        <f>H151</f>
        <v>134.18600000000001</v>
      </c>
      <c r="I126" s="107">
        <f>I151</f>
        <v>139.08699999999999</v>
      </c>
      <c r="J126" s="107">
        <f>J106</f>
        <v>166.75800000000001</v>
      </c>
      <c r="K126" s="107">
        <f>K151</f>
        <v>166.75800000000001</v>
      </c>
      <c r="L126" s="107">
        <f>L151</f>
        <v>134.76499999999999</v>
      </c>
      <c r="M126" s="107">
        <f>M106</f>
        <v>156.232</v>
      </c>
      <c r="N126" s="107">
        <f>N151</f>
        <v>156.232</v>
      </c>
      <c r="O126" s="107">
        <f>O151</f>
        <v>145.613</v>
      </c>
      <c r="P126" s="107">
        <f>P106</f>
        <v>73.762</v>
      </c>
      <c r="Q126" s="107">
        <f>Q151</f>
        <v>73.762</v>
      </c>
      <c r="R126" s="107">
        <f>R151</f>
        <v>55.098999999999997</v>
      </c>
      <c r="S126" s="107">
        <f>S106</f>
        <v>85.021000000000001</v>
      </c>
      <c r="T126" s="107">
        <f>T151</f>
        <v>85.021000000000001</v>
      </c>
      <c r="U126" s="107">
        <f>U151</f>
        <v>73.45</v>
      </c>
      <c r="V126" s="107">
        <f>V106</f>
        <v>105.123</v>
      </c>
      <c r="W126" s="107">
        <f>W151</f>
        <v>105.123</v>
      </c>
      <c r="X126" s="107">
        <f>X151</f>
        <v>55.780999999999999</v>
      </c>
      <c r="Y126" s="107">
        <f>Y106</f>
        <v>101.80500000000001</v>
      </c>
      <c r="Z126" s="107">
        <f>Z151</f>
        <v>101.80500000000001</v>
      </c>
      <c r="AA126" s="107">
        <f>AA151</f>
        <v>50.255000000000003</v>
      </c>
      <c r="AB126" s="107">
        <f>AB106</f>
        <v>539.89099999999996</v>
      </c>
      <c r="AC126" s="107">
        <f>AC151</f>
        <v>539.89099999999996</v>
      </c>
      <c r="AD126" s="107">
        <f>AD151</f>
        <v>99.275000000000006</v>
      </c>
      <c r="AE126" s="107">
        <f>AE106</f>
        <v>127.70699999999999</v>
      </c>
      <c r="AF126" s="107">
        <f>AF151</f>
        <v>127.70699999999999</v>
      </c>
      <c r="AG126" s="107">
        <f>AG151</f>
        <v>103.337</v>
      </c>
      <c r="AH126" s="107">
        <f>AH106</f>
        <v>1004.708</v>
      </c>
      <c r="AI126" s="107">
        <f>AI151</f>
        <v>1004.708</v>
      </c>
      <c r="AJ126" s="107">
        <f>AJ151</f>
        <v>953.79700000000003</v>
      </c>
      <c r="AK126" s="107">
        <f>AK106</f>
        <v>828.96600000000001</v>
      </c>
      <c r="AL126" s="107">
        <f>AL151</f>
        <v>828.96600000000001</v>
      </c>
      <c r="AM126" s="107">
        <f>AM151</f>
        <v>117.961</v>
      </c>
      <c r="AN126" s="107">
        <f>AN106</f>
        <v>220.483</v>
      </c>
      <c r="AO126" s="107">
        <f>AO151</f>
        <v>220.483</v>
      </c>
      <c r="AP126" s="107">
        <f>AP151</f>
        <v>141.80500000000001</v>
      </c>
      <c r="AQ126" s="107">
        <f>AQ106</f>
        <v>372.70600000000002</v>
      </c>
      <c r="AR126" s="107">
        <f>AR151</f>
        <v>372.70600000000002</v>
      </c>
      <c r="AS126" s="107">
        <f>AS151</f>
        <v>336.7</v>
      </c>
      <c r="AT126" s="107">
        <f>AT106</f>
        <v>341.38</v>
      </c>
      <c r="AU126" s="107">
        <f>AU151</f>
        <v>341.38</v>
      </c>
      <c r="AV126" s="107">
        <f>AV151</f>
        <v>273.27100000000002</v>
      </c>
      <c r="AW126" s="107">
        <f>AW106</f>
        <v>275.411</v>
      </c>
      <c r="AX126" s="416">
        <f>AX151</f>
        <v>275.411</v>
      </c>
      <c r="AY126" s="107">
        <f>AY151</f>
        <v>275.411</v>
      </c>
      <c r="AZ126" s="107">
        <f>AZ106</f>
        <v>275.411</v>
      </c>
      <c r="BA126" s="107">
        <f>BA151</f>
        <v>275.411</v>
      </c>
      <c r="BB126" s="107">
        <f>BB151</f>
        <v>275.411</v>
      </c>
      <c r="BC126" s="107">
        <f>BC106</f>
        <v>275.411</v>
      </c>
      <c r="BD126" s="107">
        <f>BD151</f>
        <v>275.411</v>
      </c>
      <c r="BE126" s="107">
        <f>BE151</f>
        <v>275.411</v>
      </c>
      <c r="BF126" s="107">
        <f>BF106</f>
        <v>275.411</v>
      </c>
      <c r="BG126" s="107">
        <f>BG151</f>
        <v>275.411</v>
      </c>
      <c r="BH126" s="107">
        <f>BH151</f>
        <v>275.411</v>
      </c>
      <c r="BI126" s="107">
        <f>BI106</f>
        <v>275.411</v>
      </c>
      <c r="BJ126" s="107">
        <f>BJ151</f>
        <v>275.411</v>
      </c>
      <c r="BK126" s="107">
        <f>BK151</f>
        <v>275.411</v>
      </c>
      <c r="BL126" s="107">
        <f>BL106</f>
        <v>275.411</v>
      </c>
      <c r="BM126" s="107">
        <f>BM151</f>
        <v>275.411</v>
      </c>
    </row>
    <row r="127" spans="1:65" outlineLevel="1">
      <c r="A127" s="71" t="s">
        <v>101</v>
      </c>
      <c r="B127" s="52" t="s">
        <v>172</v>
      </c>
      <c r="C127" s="107">
        <f t="shared" ref="C127:W127" si="191">AVERAGE(C125:C126)</f>
        <v>85.501000000000005</v>
      </c>
      <c r="D127" s="107">
        <f t="shared" si="191"/>
        <v>42.750500000000002</v>
      </c>
      <c r="E127" s="107">
        <f t="shared" si="191"/>
        <v>122.631</v>
      </c>
      <c r="F127" s="107">
        <f t="shared" si="191"/>
        <v>110.566</v>
      </c>
      <c r="G127" s="107">
        <f t="shared" si="191"/>
        <v>116.34350000000001</v>
      </c>
      <c r="H127" s="107">
        <f t="shared" si="191"/>
        <v>128.4085</v>
      </c>
      <c r="I127" s="107">
        <f t="shared" si="191"/>
        <v>136.63650000000001</v>
      </c>
      <c r="J127" s="107">
        <f t="shared" si="191"/>
        <v>152.92250000000001</v>
      </c>
      <c r="K127" s="107">
        <f t="shared" si="191"/>
        <v>150.47200000000001</v>
      </c>
      <c r="L127" s="107">
        <f t="shared" si="191"/>
        <v>150.76150000000001</v>
      </c>
      <c r="M127" s="107">
        <f t="shared" si="191"/>
        <v>145.49849999999998</v>
      </c>
      <c r="N127" s="107">
        <f t="shared" si="191"/>
        <v>161.495</v>
      </c>
      <c r="O127" s="107">
        <f t="shared" si="191"/>
        <v>150.92250000000001</v>
      </c>
      <c r="P127" s="107">
        <f t="shared" si="191"/>
        <v>109.6875</v>
      </c>
      <c r="Q127" s="107">
        <f t="shared" si="191"/>
        <v>114.997</v>
      </c>
      <c r="R127" s="107">
        <f t="shared" si="191"/>
        <v>64.430499999999995</v>
      </c>
      <c r="S127" s="107">
        <f t="shared" si="191"/>
        <v>70.06</v>
      </c>
      <c r="T127" s="107">
        <f t="shared" si="191"/>
        <v>79.391500000000008</v>
      </c>
      <c r="U127" s="107">
        <f t="shared" si="191"/>
        <v>79.235500000000002</v>
      </c>
      <c r="V127" s="107">
        <f t="shared" si="191"/>
        <v>89.286500000000004</v>
      </c>
      <c r="W127" s="107">
        <f t="shared" si="191"/>
        <v>95.072000000000003</v>
      </c>
      <c r="X127" s="107">
        <f>AVERAGE(X125:X126)</f>
        <v>80.451999999999998</v>
      </c>
      <c r="Y127" s="107">
        <f>AVERAGE(Y125:Y126)</f>
        <v>78.793000000000006</v>
      </c>
      <c r="Z127" s="107">
        <f>AVERAGE(Z125:Z126)</f>
        <v>103.464</v>
      </c>
      <c r="AA127" s="107">
        <f t="shared" ref="AA127:AI127" si="192">AVERAGE(AA125:AA126)</f>
        <v>76.03</v>
      </c>
      <c r="AB127" s="107">
        <f t="shared" si="192"/>
        <v>295.07299999999998</v>
      </c>
      <c r="AC127" s="107">
        <f t="shared" si="192"/>
        <v>320.84799999999996</v>
      </c>
      <c r="AD127" s="107">
        <f t="shared" si="192"/>
        <v>319.58299999999997</v>
      </c>
      <c r="AE127" s="107">
        <f t="shared" si="192"/>
        <v>113.491</v>
      </c>
      <c r="AF127" s="107">
        <f t="shared" si="192"/>
        <v>333.79899999999998</v>
      </c>
      <c r="AG127" s="107">
        <f t="shared" si="192"/>
        <v>115.52199999999999</v>
      </c>
      <c r="AH127" s="107">
        <f t="shared" si="192"/>
        <v>554.02250000000004</v>
      </c>
      <c r="AI127" s="107">
        <f t="shared" si="192"/>
        <v>566.20749999999998</v>
      </c>
      <c r="AJ127" s="107">
        <f>AVERAGE(AJ125:AJ126)</f>
        <v>979.25250000000005</v>
      </c>
      <c r="AK127" s="107">
        <f>AVERAGE(AK125:AK126)</f>
        <v>891.38149999999996</v>
      </c>
      <c r="AL127" s="107">
        <f>AVERAGE(AL125:AL126)</f>
        <v>916.83699999999999</v>
      </c>
      <c r="AM127" s="107">
        <f>AVERAGE(AM125:AM126)</f>
        <v>473.46350000000001</v>
      </c>
      <c r="AN127" s="107">
        <f t="shared" ref="AN127:AO127" si="193">AVERAGE(AN125:AN126)</f>
        <v>169.22200000000001</v>
      </c>
      <c r="AO127" s="107">
        <f t="shared" si="193"/>
        <v>524.72450000000003</v>
      </c>
      <c r="AP127" s="107">
        <f t="shared" ref="AP127:AU127" si="194">AVERAGE(AP125:AP126)</f>
        <v>181.14400000000001</v>
      </c>
      <c r="AQ127" s="107">
        <f t="shared" si="194"/>
        <v>257.25549999999998</v>
      </c>
      <c r="AR127" s="107">
        <f t="shared" si="194"/>
        <v>296.59450000000004</v>
      </c>
      <c r="AS127" s="107">
        <f t="shared" si="194"/>
        <v>354.70299999999997</v>
      </c>
      <c r="AT127" s="107">
        <f t="shared" si="194"/>
        <v>339.03999999999996</v>
      </c>
      <c r="AU127" s="107">
        <f t="shared" si="194"/>
        <v>357.04300000000001</v>
      </c>
      <c r="AV127" s="107">
        <f t="shared" ref="AV127:AX127" si="195">AVERAGE(AV125:AV126)</f>
        <v>307.32550000000003</v>
      </c>
      <c r="AW127" s="107">
        <f t="shared" si="195"/>
        <v>274.34100000000001</v>
      </c>
      <c r="AX127" s="416">
        <f t="shared" si="195"/>
        <v>308.39549999999997</v>
      </c>
      <c r="AY127" s="107">
        <f t="shared" ref="AY127:BM127" si="196">AVERAGE(AY125:AY126)</f>
        <v>275.411</v>
      </c>
      <c r="AZ127" s="107">
        <f t="shared" si="196"/>
        <v>275.411</v>
      </c>
      <c r="BA127" s="107">
        <f t="shared" si="196"/>
        <v>275.411</v>
      </c>
      <c r="BB127" s="107">
        <f t="shared" si="196"/>
        <v>275.411</v>
      </c>
      <c r="BC127" s="107">
        <f t="shared" si="196"/>
        <v>275.411</v>
      </c>
      <c r="BD127" s="107">
        <f t="shared" si="196"/>
        <v>275.411</v>
      </c>
      <c r="BE127" s="107">
        <f t="shared" si="196"/>
        <v>275.411</v>
      </c>
      <c r="BF127" s="107">
        <f t="shared" si="196"/>
        <v>275.411</v>
      </c>
      <c r="BG127" s="107">
        <f t="shared" si="196"/>
        <v>275.411</v>
      </c>
      <c r="BH127" s="107">
        <f t="shared" si="196"/>
        <v>275.411</v>
      </c>
      <c r="BI127" s="107">
        <f t="shared" si="196"/>
        <v>275.411</v>
      </c>
      <c r="BJ127" s="107">
        <f t="shared" si="196"/>
        <v>275.411</v>
      </c>
      <c r="BK127" s="107">
        <f t="shared" si="196"/>
        <v>275.411</v>
      </c>
      <c r="BL127" s="107">
        <f t="shared" si="196"/>
        <v>275.411</v>
      </c>
      <c r="BM127" s="107">
        <f t="shared" si="196"/>
        <v>275.411</v>
      </c>
    </row>
    <row r="128" spans="1:65" outlineLevel="1">
      <c r="A128" s="71" t="s">
        <v>102</v>
      </c>
      <c r="B128" s="52" t="s">
        <v>76</v>
      </c>
      <c r="C128" s="70">
        <f>C130/C127*2</f>
        <v>0</v>
      </c>
      <c r="D128" s="70">
        <f>D130/D127*2</f>
        <v>0</v>
      </c>
      <c r="E128" s="70">
        <f>E130/E127</f>
        <v>0</v>
      </c>
      <c r="F128" s="70">
        <f>F130/F127*2</f>
        <v>0</v>
      </c>
      <c r="G128" s="70">
        <f>G130/G127*2</f>
        <v>0</v>
      </c>
      <c r="H128" s="70">
        <f>H130/H127</f>
        <v>0</v>
      </c>
      <c r="I128" s="70">
        <f>I130/I127*2</f>
        <v>0</v>
      </c>
      <c r="J128" s="70">
        <f>J130/J127*2</f>
        <v>0</v>
      </c>
      <c r="K128" s="70">
        <f>K130/K127</f>
        <v>0</v>
      </c>
      <c r="L128" s="70">
        <f>L130/L127*2</f>
        <v>0</v>
      </c>
      <c r="M128" s="70">
        <f>M130/M127*2</f>
        <v>0</v>
      </c>
      <c r="N128" s="70">
        <f>N130/N127</f>
        <v>0</v>
      </c>
      <c r="O128" s="70">
        <f>O130/O127*2</f>
        <v>0</v>
      </c>
      <c r="P128" s="70">
        <f>P130/P127*2</f>
        <v>0</v>
      </c>
      <c r="Q128" s="70">
        <f>Q130/Q127</f>
        <v>0</v>
      </c>
      <c r="R128" s="70">
        <f>R130/R127*2</f>
        <v>0</v>
      </c>
      <c r="S128" s="70">
        <f>S130/S127*2</f>
        <v>0</v>
      </c>
      <c r="T128" s="70">
        <f>T130/T127</f>
        <v>0</v>
      </c>
      <c r="U128" s="70">
        <f>U130/U127*2</f>
        <v>0</v>
      </c>
      <c r="V128" s="70">
        <f>V130/V127*2</f>
        <v>0</v>
      </c>
      <c r="W128" s="70">
        <f>W130/W127</f>
        <v>0</v>
      </c>
      <c r="X128" s="70">
        <f>X130/X127*2</f>
        <v>0</v>
      </c>
      <c r="Y128" s="70">
        <f>Y130/Y127*2</f>
        <v>0</v>
      </c>
      <c r="Z128" s="70">
        <f>Z130/Z127</f>
        <v>0</v>
      </c>
      <c r="AA128" s="70">
        <f>AA130/AA127*2</f>
        <v>0</v>
      </c>
      <c r="AB128" s="70">
        <f>AB130/AB127*2</f>
        <v>0</v>
      </c>
      <c r="AC128" s="70">
        <f>AC130/AC127</f>
        <v>0</v>
      </c>
      <c r="AD128" s="70">
        <f>AD130/AD127*2</f>
        <v>1.5526482948091733E-2</v>
      </c>
      <c r="AE128" s="70">
        <f>AE130/AE127*2</f>
        <v>0.3783031253579579</v>
      </c>
      <c r="AF128" s="70">
        <f>AF130/AF127</f>
        <v>7.1743773947794937E-2</v>
      </c>
      <c r="AG128" s="70">
        <f>AG130/AG127*2</f>
        <v>8.9506760617025331E-3</v>
      </c>
      <c r="AH128" s="70">
        <f>AH130/AH127*2</f>
        <v>4.4243690463834952E-2</v>
      </c>
      <c r="AI128" s="70">
        <f>AI130/AI127</f>
        <v>2.255886755297307E-2</v>
      </c>
      <c r="AJ128" s="70">
        <f>AJ130/AJ127*2</f>
        <v>0</v>
      </c>
      <c r="AK128" s="70">
        <f>AK130/AK127*2</f>
        <v>5.8067168771171497E-3</v>
      </c>
      <c r="AL128" s="70">
        <f>AL130/AL127</f>
        <v>2.8227482093327386E-3</v>
      </c>
      <c r="AM128" s="70">
        <f>AM130/AM127*2</f>
        <v>-1.8882131357538688E-3</v>
      </c>
      <c r="AN128" s="70">
        <v>6.0000000000000001E-3</v>
      </c>
      <c r="AO128" s="70">
        <f>AO130/AO127</f>
        <v>1.1561495603883391E-4</v>
      </c>
      <c r="AP128" s="70">
        <f>AP130/AP127*2</f>
        <v>0</v>
      </c>
      <c r="AQ128" s="70">
        <v>6.0000000000000001E-3</v>
      </c>
      <c r="AR128" s="70">
        <f>AR130/AR127</f>
        <v>2.6020930934322786E-3</v>
      </c>
      <c r="AS128" s="70">
        <f>AS130/AS127*2</f>
        <v>0</v>
      </c>
      <c r="AT128" s="70">
        <v>6.0000000000000001E-3</v>
      </c>
      <c r="AU128" s="70">
        <f>AU130/AU127</f>
        <v>2.8487325056085677E-3</v>
      </c>
      <c r="AV128" s="70">
        <f>AV130/AV127*2</f>
        <v>4.0660472365618844E-2</v>
      </c>
      <c r="AW128" s="70">
        <v>1.006</v>
      </c>
      <c r="AX128" s="417">
        <f>AX130/AX127</f>
        <v>0.46771604319777693</v>
      </c>
      <c r="AY128" s="62">
        <v>0.02</v>
      </c>
      <c r="AZ128" s="62">
        <v>0.02</v>
      </c>
      <c r="BA128" s="30">
        <f>BA130/BA127</f>
        <v>0.02</v>
      </c>
      <c r="BB128" s="62">
        <v>0.02</v>
      </c>
      <c r="BC128" s="62">
        <v>0.02</v>
      </c>
      <c r="BD128" s="30">
        <f>BD130/BD127</f>
        <v>0.02</v>
      </c>
      <c r="BE128" s="62">
        <v>0.02</v>
      </c>
      <c r="BF128" s="62">
        <v>0.02</v>
      </c>
      <c r="BG128" s="30">
        <f>BG130/BG127</f>
        <v>0.02</v>
      </c>
      <c r="BH128" s="62">
        <v>0.02</v>
      </c>
      <c r="BI128" s="62">
        <v>0.02</v>
      </c>
      <c r="BJ128" s="30">
        <f>BJ130/BJ127</f>
        <v>0.02</v>
      </c>
      <c r="BK128" s="62">
        <v>0.01</v>
      </c>
      <c r="BL128" s="62">
        <v>0.01</v>
      </c>
      <c r="BM128" s="30">
        <f>BM130/BM127</f>
        <v>0.01</v>
      </c>
    </row>
    <row r="129" spans="1:65" outlineLevel="1">
      <c r="A129" s="13" t="s">
        <v>257</v>
      </c>
      <c r="B129" s="55" t="s">
        <v>172</v>
      </c>
      <c r="C129" s="106">
        <f t="shared" ref="C129:AI129" si="197">C38</f>
        <v>0</v>
      </c>
      <c r="D129" s="106">
        <f t="shared" si="197"/>
        <v>0</v>
      </c>
      <c r="E129" s="106">
        <f t="shared" si="197"/>
        <v>0</v>
      </c>
      <c r="F129" s="106">
        <f t="shared" si="197"/>
        <v>0</v>
      </c>
      <c r="G129" s="106">
        <f t="shared" si="197"/>
        <v>0</v>
      </c>
      <c r="H129" s="106">
        <f t="shared" si="197"/>
        <v>0</v>
      </c>
      <c r="I129" s="106">
        <f t="shared" si="197"/>
        <v>0</v>
      </c>
      <c r="J129" s="106">
        <f t="shared" si="197"/>
        <v>0</v>
      </c>
      <c r="K129" s="106">
        <f t="shared" si="197"/>
        <v>0</v>
      </c>
      <c r="L129" s="106">
        <f t="shared" si="197"/>
        <v>0</v>
      </c>
      <c r="M129" s="106">
        <f t="shared" si="197"/>
        <v>0</v>
      </c>
      <c r="N129" s="106">
        <f t="shared" si="197"/>
        <v>0</v>
      </c>
      <c r="O129" s="106">
        <f t="shared" si="197"/>
        <v>0</v>
      </c>
      <c r="P129" s="106">
        <f t="shared" si="197"/>
        <v>0</v>
      </c>
      <c r="Q129" s="106">
        <f t="shared" si="197"/>
        <v>0</v>
      </c>
      <c r="R129" s="106">
        <f t="shared" si="197"/>
        <v>0</v>
      </c>
      <c r="S129" s="106">
        <f t="shared" si="197"/>
        <v>0</v>
      </c>
      <c r="T129" s="106">
        <f t="shared" si="197"/>
        <v>0</v>
      </c>
      <c r="U129" s="106">
        <f t="shared" si="197"/>
        <v>0</v>
      </c>
      <c r="V129" s="106">
        <f t="shared" si="197"/>
        <v>0</v>
      </c>
      <c r="W129" s="106">
        <f t="shared" si="197"/>
        <v>0</v>
      </c>
      <c r="X129" s="106">
        <f t="shared" si="197"/>
        <v>0</v>
      </c>
      <c r="Y129" s="106">
        <f t="shared" si="197"/>
        <v>0</v>
      </c>
      <c r="Z129" s="106">
        <f t="shared" si="197"/>
        <v>0</v>
      </c>
      <c r="AA129" s="106">
        <f t="shared" si="197"/>
        <v>0</v>
      </c>
      <c r="AB129" s="106">
        <f t="shared" si="197"/>
        <v>0</v>
      </c>
      <c r="AC129" s="106">
        <f t="shared" si="197"/>
        <v>0</v>
      </c>
      <c r="AD129" s="106">
        <f t="shared" si="197"/>
        <v>2.4809999999999999</v>
      </c>
      <c r="AE129" s="106">
        <f t="shared" si="197"/>
        <v>21.466999999999999</v>
      </c>
      <c r="AF129" s="106">
        <f t="shared" si="197"/>
        <v>23.948</v>
      </c>
      <c r="AG129" s="106">
        <f t="shared" si="197"/>
        <v>0.51700000000000002</v>
      </c>
      <c r="AH129" s="106">
        <f t="shared" si="197"/>
        <v>12.256</v>
      </c>
      <c r="AI129" s="106">
        <f t="shared" si="197"/>
        <v>12.773</v>
      </c>
      <c r="AJ129" s="106">
        <f>AJ38</f>
        <v>0</v>
      </c>
      <c r="AK129" s="106">
        <f>AK38</f>
        <v>2.5880000000000001</v>
      </c>
      <c r="AL129" s="106">
        <f>AL38</f>
        <v>2.5880000000000001</v>
      </c>
      <c r="AM129" s="106">
        <f>AM38</f>
        <v>-0.44700000000000095</v>
      </c>
      <c r="AN129" s="106">
        <f>(AN128*AN127/2)</f>
        <v>0.50766600000000006</v>
      </c>
      <c r="AO129" s="106">
        <f>AN129+AM129</f>
        <v>6.066599999999911E-2</v>
      </c>
      <c r="AP129" s="106">
        <f>AP38</f>
        <v>0</v>
      </c>
      <c r="AQ129" s="106">
        <f>(AQ128*AQ127/2)</f>
        <v>0.77176650000000002</v>
      </c>
      <c r="AR129" s="106">
        <f>AQ129+AP129</f>
        <v>0.77176650000000002</v>
      </c>
      <c r="AS129" s="106">
        <f>AS38</f>
        <v>0</v>
      </c>
      <c r="AT129" s="106">
        <f>(AT128*AT127/2)</f>
        <v>1.0171199999999998</v>
      </c>
      <c r="AU129" s="106">
        <f>AT129+AS129</f>
        <v>1.0171199999999998</v>
      </c>
      <c r="AV129" s="106">
        <f>AV38</f>
        <v>6.2479999999999976</v>
      </c>
      <c r="AW129" s="106">
        <f>(AW128*AW127/2)</f>
        <v>137.99352300000001</v>
      </c>
      <c r="AX129" s="414">
        <f>AW129+AV129</f>
        <v>144.241523</v>
      </c>
      <c r="AY129" s="106">
        <f>(AY128*AY127/2)</f>
        <v>2.7541100000000003</v>
      </c>
      <c r="AZ129" s="106">
        <f>(AZ128*AZ127/2)</f>
        <v>2.7541100000000003</v>
      </c>
      <c r="BA129" s="106">
        <f>AZ129+AY129</f>
        <v>5.5082200000000006</v>
      </c>
      <c r="BB129" s="106">
        <f>(BB128*BB127/2)</f>
        <v>2.7541100000000003</v>
      </c>
      <c r="BC129" s="106">
        <f>(BC128*BC127/2)</f>
        <v>2.7541100000000003</v>
      </c>
      <c r="BD129" s="106">
        <f>BC129+BB129</f>
        <v>5.5082200000000006</v>
      </c>
      <c r="BE129" s="106">
        <f>(BE128*BE127/2)</f>
        <v>2.7541100000000003</v>
      </c>
      <c r="BF129" s="106">
        <f>(BF128*BF127/2)</f>
        <v>2.7541100000000003</v>
      </c>
      <c r="BG129" s="106">
        <f>BF129+BE129</f>
        <v>5.5082200000000006</v>
      </c>
      <c r="BH129" s="106">
        <f>(BH128*BH127/2)</f>
        <v>2.7541100000000003</v>
      </c>
      <c r="BI129" s="106">
        <f>(BI128*BI127/2)</f>
        <v>2.7541100000000003</v>
      </c>
      <c r="BJ129" s="106">
        <f>BI129+BH129</f>
        <v>5.5082200000000006</v>
      </c>
      <c r="BK129" s="106">
        <f>(BK128*BK127/2)</f>
        <v>1.3770550000000001</v>
      </c>
      <c r="BL129" s="106">
        <f>(BL128*BL127/2)</f>
        <v>1.3770550000000001</v>
      </c>
      <c r="BM129" s="106">
        <f>BL129+BK129</f>
        <v>2.7541100000000003</v>
      </c>
    </row>
    <row r="130" spans="1:65" outlineLevel="1">
      <c r="A130" s="6" t="s">
        <v>258</v>
      </c>
      <c r="B130" s="52" t="s">
        <v>172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2.4809999999999999</v>
      </c>
      <c r="AE130" s="106">
        <v>21.466999999999999</v>
      </c>
      <c r="AF130" s="106">
        <v>23.948</v>
      </c>
      <c r="AG130" s="106">
        <v>0.51700000000000002</v>
      </c>
      <c r="AH130" s="106">
        <v>12.256</v>
      </c>
      <c r="AI130" s="106">
        <v>12.773</v>
      </c>
      <c r="AJ130" s="106">
        <v>0</v>
      </c>
      <c r="AK130" s="106">
        <v>2.5880000000000001</v>
      </c>
      <c r="AL130" s="106">
        <v>2.5880000000000001</v>
      </c>
      <c r="AM130" s="106">
        <v>-0.44700000000000095</v>
      </c>
      <c r="AN130" s="106">
        <v>0.50766600000000006</v>
      </c>
      <c r="AO130" s="106">
        <v>6.066599999999911E-2</v>
      </c>
      <c r="AP130" s="106">
        <v>0</v>
      </c>
      <c r="AQ130" s="106">
        <v>0.77176650000000002</v>
      </c>
      <c r="AR130" s="106">
        <v>0.77176650000000002</v>
      </c>
      <c r="AS130" s="106">
        <v>0</v>
      </c>
      <c r="AT130" s="106">
        <v>1.0171199999999998</v>
      </c>
      <c r="AU130" s="106">
        <v>1.0171199999999998</v>
      </c>
      <c r="AV130" s="106">
        <v>6.2479999999999976</v>
      </c>
      <c r="AW130" s="106">
        <v>137.99352300000001</v>
      </c>
      <c r="AX130" s="414">
        <v>144.241523</v>
      </c>
      <c r="AY130" s="106">
        <v>2.7541100000000003</v>
      </c>
      <c r="AZ130" s="106">
        <v>2.7541100000000003</v>
      </c>
      <c r="BA130" s="106">
        <v>5.5082200000000006</v>
      </c>
      <c r="BB130" s="106">
        <v>2.7541100000000003</v>
      </c>
      <c r="BC130" s="106">
        <v>2.7541100000000003</v>
      </c>
      <c r="BD130" s="106">
        <v>5.5082200000000006</v>
      </c>
      <c r="BE130" s="106">
        <v>2.7541100000000003</v>
      </c>
      <c r="BF130" s="106">
        <v>2.7541100000000003</v>
      </c>
      <c r="BG130" s="106">
        <v>5.5082200000000006</v>
      </c>
      <c r="BH130" s="106">
        <v>2.7541100000000003</v>
      </c>
      <c r="BI130" s="106">
        <v>2.7541100000000003</v>
      </c>
      <c r="BJ130" s="106">
        <v>5.5082200000000006</v>
      </c>
      <c r="BK130" s="106">
        <v>1.3770550000000001</v>
      </c>
      <c r="BL130" s="106">
        <v>1.3770550000000001</v>
      </c>
      <c r="BM130" s="106">
        <v>2.7541100000000003</v>
      </c>
    </row>
    <row r="131" spans="1:65" outlineLevel="1">
      <c r="A131" s="39" t="s">
        <v>260</v>
      </c>
      <c r="B131" s="53"/>
      <c r="C131" s="217">
        <f t="shared" ref="C131:W131" si="198">ROUND(C129-C130,2)</f>
        <v>0</v>
      </c>
      <c r="D131" s="217">
        <f t="shared" si="198"/>
        <v>0</v>
      </c>
      <c r="E131" s="217">
        <f t="shared" si="198"/>
        <v>0</v>
      </c>
      <c r="F131" s="217">
        <f t="shared" si="198"/>
        <v>0</v>
      </c>
      <c r="G131" s="217">
        <f t="shared" si="198"/>
        <v>0</v>
      </c>
      <c r="H131" s="217">
        <f t="shared" si="198"/>
        <v>0</v>
      </c>
      <c r="I131" s="217">
        <f t="shared" si="198"/>
        <v>0</v>
      </c>
      <c r="J131" s="217">
        <f t="shared" si="198"/>
        <v>0</v>
      </c>
      <c r="K131" s="217">
        <f t="shared" si="198"/>
        <v>0</v>
      </c>
      <c r="L131" s="217">
        <f t="shared" si="198"/>
        <v>0</v>
      </c>
      <c r="M131" s="217">
        <f t="shared" si="198"/>
        <v>0</v>
      </c>
      <c r="N131" s="217">
        <f t="shared" si="198"/>
        <v>0</v>
      </c>
      <c r="O131" s="217">
        <f t="shared" si="198"/>
        <v>0</v>
      </c>
      <c r="P131" s="217">
        <f t="shared" si="198"/>
        <v>0</v>
      </c>
      <c r="Q131" s="217">
        <f t="shared" si="198"/>
        <v>0</v>
      </c>
      <c r="R131" s="217">
        <f t="shared" si="198"/>
        <v>0</v>
      </c>
      <c r="S131" s="217">
        <f t="shared" si="198"/>
        <v>0</v>
      </c>
      <c r="T131" s="217">
        <f t="shared" si="198"/>
        <v>0</v>
      </c>
      <c r="U131" s="217">
        <f t="shared" si="198"/>
        <v>0</v>
      </c>
      <c r="V131" s="217">
        <f t="shared" si="198"/>
        <v>0</v>
      </c>
      <c r="W131" s="217">
        <f t="shared" si="198"/>
        <v>0</v>
      </c>
      <c r="X131" s="217">
        <f t="shared" ref="X131:AF131" si="199">ROUND(X129-X130,2)</f>
        <v>0</v>
      </c>
      <c r="Y131" s="217">
        <f t="shared" si="199"/>
        <v>0</v>
      </c>
      <c r="Z131" s="217">
        <f t="shared" si="199"/>
        <v>0</v>
      </c>
      <c r="AA131" s="217">
        <f>ROUND(AA129-AA130,2)</f>
        <v>0</v>
      </c>
      <c r="AB131" s="217">
        <f>ROUND(AB129-AB130,2)</f>
        <v>0</v>
      </c>
      <c r="AC131" s="217">
        <f>ROUND(AC129-AC130,2)</f>
        <v>0</v>
      </c>
      <c r="AD131" s="217">
        <f t="shared" si="199"/>
        <v>0</v>
      </c>
      <c r="AE131" s="217">
        <f t="shared" si="199"/>
        <v>0</v>
      </c>
      <c r="AF131" s="217">
        <f t="shared" si="199"/>
        <v>0</v>
      </c>
      <c r="AG131" s="217">
        <f t="shared" ref="AG131:AL131" si="200">ROUND(AG129-AG130,2)</f>
        <v>0</v>
      </c>
      <c r="AH131" s="217">
        <f t="shared" si="200"/>
        <v>0</v>
      </c>
      <c r="AI131" s="217">
        <f t="shared" si="200"/>
        <v>0</v>
      </c>
      <c r="AJ131" s="217">
        <f t="shared" si="200"/>
        <v>0</v>
      </c>
      <c r="AK131" s="217">
        <f t="shared" si="200"/>
        <v>0</v>
      </c>
      <c r="AL131" s="217">
        <f t="shared" si="200"/>
        <v>0</v>
      </c>
      <c r="AM131" s="217">
        <f>ROUND(AM129-AM130,2)</f>
        <v>0</v>
      </c>
      <c r="AN131" s="217">
        <f t="shared" ref="AN131:AP131" si="201">ROUND(AN129-AN130,2)</f>
        <v>0</v>
      </c>
      <c r="AO131" s="217">
        <f t="shared" si="201"/>
        <v>0</v>
      </c>
      <c r="AP131" s="217">
        <f t="shared" si="201"/>
        <v>0</v>
      </c>
      <c r="AQ131" s="217">
        <f>ROUND(AQ129-AQ130,2)</f>
        <v>0</v>
      </c>
      <c r="AR131" s="217">
        <f>ROUND(AR129-AR130,2)</f>
        <v>0</v>
      </c>
      <c r="AS131" s="217">
        <f t="shared" ref="AS131" si="202">ROUND(AS129-AS130,2)</f>
        <v>0</v>
      </c>
      <c r="AT131" s="217">
        <f>ROUND(AT129-AT130,2)</f>
        <v>0</v>
      </c>
      <c r="AU131" s="217">
        <f>ROUND(AU129-AU130,2)</f>
        <v>0</v>
      </c>
      <c r="AV131" s="217">
        <f t="shared" ref="AV131" si="203">ROUND(AV129-AV130,2)</f>
        <v>0</v>
      </c>
      <c r="AW131" s="217">
        <f>ROUND(AW129-AW130,2)</f>
        <v>0</v>
      </c>
      <c r="AX131" s="420">
        <f>ROUND(AX129-AX130,2)</f>
        <v>0</v>
      </c>
      <c r="AY131" s="217">
        <f t="shared" ref="AY131:BM131" si="204">ROUND(AY129-AY130,2)</f>
        <v>0</v>
      </c>
      <c r="AZ131" s="217">
        <f t="shared" si="204"/>
        <v>0</v>
      </c>
      <c r="BA131" s="217">
        <f t="shared" si="204"/>
        <v>0</v>
      </c>
      <c r="BB131" s="217">
        <f t="shared" si="204"/>
        <v>0</v>
      </c>
      <c r="BC131" s="217">
        <f t="shared" si="204"/>
        <v>0</v>
      </c>
      <c r="BD131" s="217">
        <f t="shared" si="204"/>
        <v>0</v>
      </c>
      <c r="BE131" s="217">
        <f t="shared" si="204"/>
        <v>0</v>
      </c>
      <c r="BF131" s="217">
        <f t="shared" si="204"/>
        <v>0</v>
      </c>
      <c r="BG131" s="217">
        <f t="shared" si="204"/>
        <v>0</v>
      </c>
      <c r="BH131" s="217">
        <f t="shared" si="204"/>
        <v>0</v>
      </c>
      <c r="BI131" s="217">
        <f t="shared" si="204"/>
        <v>0</v>
      </c>
      <c r="BJ131" s="217">
        <f t="shared" si="204"/>
        <v>0</v>
      </c>
      <c r="BK131" s="217">
        <f t="shared" si="204"/>
        <v>0</v>
      </c>
      <c r="BL131" s="217">
        <f t="shared" si="204"/>
        <v>0</v>
      </c>
      <c r="BM131" s="217">
        <f t="shared" si="204"/>
        <v>0</v>
      </c>
    </row>
    <row r="132" spans="1:65" outlineLevel="1">
      <c r="A132" s="13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106"/>
      <c r="AC132" s="106"/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106"/>
      <c r="AN132" s="106"/>
      <c r="AO132" s="106"/>
      <c r="AP132" s="106"/>
      <c r="AQ132" s="106"/>
      <c r="AR132" s="106"/>
      <c r="AS132" s="106"/>
      <c r="AT132" s="106"/>
      <c r="AU132" s="106"/>
      <c r="AV132" s="106"/>
      <c r="AW132" s="106"/>
      <c r="AX132" s="414"/>
      <c r="AY132" s="106"/>
      <c r="AZ132" s="106"/>
      <c r="BA132" s="106"/>
      <c r="BB132" s="106"/>
      <c r="BC132" s="106"/>
      <c r="BD132" s="106"/>
      <c r="BE132" s="106"/>
      <c r="BF132" s="106"/>
      <c r="BG132" s="106"/>
      <c r="BH132" s="106"/>
      <c r="BI132" s="106"/>
      <c r="BJ132" s="106"/>
      <c r="BK132" s="106"/>
      <c r="BL132" s="106"/>
      <c r="BM132" s="106"/>
    </row>
    <row r="133" spans="1:65" outlineLevel="1">
      <c r="A133" s="6" t="s">
        <v>169</v>
      </c>
      <c r="B133" s="52" t="s">
        <v>80</v>
      </c>
      <c r="C133" s="200">
        <f t="shared" ref="C133:AH133" si="205">-C84/C23</f>
        <v>1.2351077493934639</v>
      </c>
      <c r="D133" s="200">
        <f t="shared" si="205"/>
        <v>1.1390682526196536</v>
      </c>
      <c r="E133" s="27">
        <f t="shared" si="205"/>
        <v>1.1869002772052029</v>
      </c>
      <c r="F133" s="200">
        <f t="shared" si="205"/>
        <v>2.1430332922318125</v>
      </c>
      <c r="G133" s="200">
        <f t="shared" si="205"/>
        <v>2.399973370614473</v>
      </c>
      <c r="H133" s="27">
        <f t="shared" si="205"/>
        <v>2.2733380600290354</v>
      </c>
      <c r="I133" s="200">
        <f t="shared" si="205"/>
        <v>2.0350657482780212</v>
      </c>
      <c r="J133" s="200">
        <f t="shared" si="205"/>
        <v>2.0700610758750302</v>
      </c>
      <c r="K133" s="27">
        <f t="shared" si="205"/>
        <v>2.0531244317837443</v>
      </c>
      <c r="L133" s="200">
        <f t="shared" si="205"/>
        <v>2.9759367287413059</v>
      </c>
      <c r="M133" s="200">
        <f t="shared" si="205"/>
        <v>1.9079751424132569</v>
      </c>
      <c r="N133" s="27">
        <f t="shared" si="205"/>
        <v>2.42064731541817</v>
      </c>
      <c r="O133" s="200">
        <f t="shared" si="205"/>
        <v>1.6150787878787878</v>
      </c>
      <c r="P133" s="200">
        <f t="shared" si="205"/>
        <v>1.5245311257658667</v>
      </c>
      <c r="Q133" s="27">
        <f t="shared" si="205"/>
        <v>1.5689901442651049</v>
      </c>
      <c r="R133" s="200">
        <f t="shared" si="205"/>
        <v>1.4517568064753494</v>
      </c>
      <c r="S133" s="200">
        <f t="shared" si="205"/>
        <v>1.4779411764705881</v>
      </c>
      <c r="T133" s="27">
        <f t="shared" si="205"/>
        <v>1.4651340651430627</v>
      </c>
      <c r="U133" s="200">
        <f t="shared" si="205"/>
        <v>1.9680272695892302</v>
      </c>
      <c r="V133" s="200">
        <f t="shared" si="205"/>
        <v>0.85017302516341264</v>
      </c>
      <c r="W133" s="27">
        <f t="shared" si="205"/>
        <v>1.4063284889337311</v>
      </c>
      <c r="X133" s="200">
        <f t="shared" si="205"/>
        <v>2.3210679734696464</v>
      </c>
      <c r="Y133" s="200">
        <f t="shared" si="205"/>
        <v>1.5195358569526343</v>
      </c>
      <c r="Z133" s="27">
        <f t="shared" si="205"/>
        <v>1.8993314116422451</v>
      </c>
      <c r="AA133" s="27">
        <f t="shared" si="205"/>
        <v>1.5241765664110614</v>
      </c>
      <c r="AB133" s="27">
        <f t="shared" si="205"/>
        <v>1.739382104749285</v>
      </c>
      <c r="AC133" s="27">
        <f t="shared" si="205"/>
        <v>1.6387913904210076</v>
      </c>
      <c r="AD133" s="27">
        <f t="shared" si="205"/>
        <v>0.83280584785926581</v>
      </c>
      <c r="AE133" s="27">
        <f t="shared" si="205"/>
        <v>0.71947681042733203</v>
      </c>
      <c r="AF133" s="27">
        <f t="shared" si="205"/>
        <v>0.77455649946904859</v>
      </c>
      <c r="AG133" s="27">
        <f t="shared" si="205"/>
        <v>0.43748184110143673</v>
      </c>
      <c r="AH133" s="27">
        <f t="shared" si="205"/>
        <v>0.29144897456083857</v>
      </c>
      <c r="AI133" s="27">
        <f>-AI84/AI141</f>
        <v>0.63846513374146652</v>
      </c>
      <c r="AJ133" s="27">
        <f>-AJ84/AJ141</f>
        <v>0.42602339181286547</v>
      </c>
      <c r="AK133" s="27">
        <f>-AK84/AK23</f>
        <v>0.36574833374044746</v>
      </c>
      <c r="AL133" s="27">
        <f>-AL84/AL141</f>
        <v>0.54586803431672404</v>
      </c>
      <c r="AM133" s="27">
        <f>-AM84/AM141</f>
        <v>1.3696095662544723</v>
      </c>
      <c r="AN133" s="28">
        <v>0.3</v>
      </c>
      <c r="AO133" s="27">
        <f>-AO84/AO23</f>
        <v>0.49587617288396824</v>
      </c>
      <c r="AP133" s="28">
        <v>0.5</v>
      </c>
      <c r="AQ133" s="28">
        <v>0.3</v>
      </c>
      <c r="AR133" s="27">
        <f>-AR84/AR23</f>
        <v>0.39670271295769299</v>
      </c>
      <c r="AS133" s="28">
        <v>0.5</v>
      </c>
      <c r="AT133" s="28">
        <v>0.3</v>
      </c>
      <c r="AU133" s="27">
        <f>-AU84/AU23</f>
        <v>0.3975924254425553</v>
      </c>
      <c r="AV133" s="28">
        <v>0.5</v>
      </c>
      <c r="AW133" s="28">
        <v>0.3</v>
      </c>
      <c r="AX133" s="402">
        <f>-AX84/AX23</f>
        <v>0.39680434529538866</v>
      </c>
      <c r="AY133" s="62">
        <v>0.5</v>
      </c>
      <c r="AZ133" s="62">
        <v>0.5</v>
      </c>
      <c r="BA133" s="62">
        <v>0.5</v>
      </c>
      <c r="BB133" s="62">
        <v>0.5</v>
      </c>
      <c r="BC133" s="62">
        <v>0.5</v>
      </c>
      <c r="BD133" s="62">
        <v>0.5</v>
      </c>
      <c r="BE133" s="62">
        <v>0.5</v>
      </c>
      <c r="BF133" s="62">
        <v>0.5</v>
      </c>
      <c r="BG133" s="62">
        <v>0.5</v>
      </c>
      <c r="BH133" s="62">
        <v>0.5</v>
      </c>
      <c r="BI133" s="62">
        <v>0.5</v>
      </c>
      <c r="BJ133" s="62">
        <v>0.5</v>
      </c>
      <c r="BK133" s="62">
        <v>0.5</v>
      </c>
      <c r="BL133" s="62">
        <v>0.5</v>
      </c>
      <c r="BM133" s="62">
        <v>0.5</v>
      </c>
    </row>
    <row r="134" spans="1:65" outlineLevel="1">
      <c r="B134" s="52"/>
      <c r="C134" s="106"/>
      <c r="D134" s="106"/>
      <c r="E134" s="106"/>
      <c r="F134" s="106"/>
      <c r="G134" s="106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106"/>
      <c r="AC134" s="106"/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414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1:65" outlineLevel="1">
      <c r="A135" s="58" t="s">
        <v>170</v>
      </c>
      <c r="B135" s="52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414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1:65" outlineLevel="1">
      <c r="A136" s="6" t="s">
        <v>128</v>
      </c>
      <c r="B136" s="52" t="s">
        <v>172</v>
      </c>
      <c r="C136" s="106">
        <f>-(C86+C87)</f>
        <v>17.308800000000002</v>
      </c>
      <c r="D136" s="106">
        <f>-(D86+D87)</f>
        <v>16.088199999999997</v>
      </c>
      <c r="E136" s="106">
        <f>D136+C136</f>
        <v>33.396999999999998</v>
      </c>
      <c r="F136" s="106">
        <f>-(F86+F87)</f>
        <v>31.283999999999999</v>
      </c>
      <c r="G136" s="106">
        <f>-(G86+G87)</f>
        <v>36.050000000000004</v>
      </c>
      <c r="H136" s="106">
        <f>G136+F136</f>
        <v>67.334000000000003</v>
      </c>
      <c r="I136" s="106">
        <f>-(I86+I87)</f>
        <v>32.5</v>
      </c>
      <c r="J136" s="106">
        <f>-(J86+J87)</f>
        <v>35.248999999999995</v>
      </c>
      <c r="K136" s="106">
        <f>J136+I136</f>
        <v>67.748999999999995</v>
      </c>
      <c r="L136" s="106">
        <f>-(L86+L87)</f>
        <v>56.421999999999997</v>
      </c>
      <c r="M136" s="106">
        <f>-(M86+M87)</f>
        <v>36.842999999999996</v>
      </c>
      <c r="N136" s="106">
        <f>M136+L136</f>
        <v>93.264999999999986</v>
      </c>
      <c r="O136" s="106">
        <f>-(O86+O87)</f>
        <v>33.311</v>
      </c>
      <c r="P136" s="106">
        <f>-(P86+P87)</f>
        <v>332.49900000000002</v>
      </c>
      <c r="Q136" s="106">
        <f>P136+O136</f>
        <v>365.81</v>
      </c>
      <c r="R136" s="106">
        <f>-(R86+R87)</f>
        <v>31.567</v>
      </c>
      <c r="S136" s="106">
        <f>-(S86+S87)</f>
        <v>33.567</v>
      </c>
      <c r="T136" s="106">
        <f>S136+R136</f>
        <v>65.134</v>
      </c>
      <c r="U136" s="106">
        <f>-(U86+U87)</f>
        <v>45.610999999999997</v>
      </c>
      <c r="V136" s="106">
        <f>-(V86+V87)</f>
        <v>19.899999999999999</v>
      </c>
      <c r="W136" s="106">
        <f>V136+U136</f>
        <v>65.510999999999996</v>
      </c>
      <c r="X136" s="106">
        <f>-(X86+X87)</f>
        <v>54.942</v>
      </c>
      <c r="Y136" s="106">
        <f>-(Y86+Y87)</f>
        <v>43.503999999999998</v>
      </c>
      <c r="Z136" s="106">
        <f>Y136+X136</f>
        <v>98.445999999999998</v>
      </c>
      <c r="AA136" s="106">
        <f>-(AA86+AA87)</f>
        <v>71.581000000000003</v>
      </c>
      <c r="AB136" s="106">
        <f>-(AB86+AB87)</f>
        <v>70.712999999999994</v>
      </c>
      <c r="AC136" s="106">
        <f>AB136+AA136</f>
        <v>142.29399999999998</v>
      </c>
      <c r="AD136" s="106">
        <f>-(AD86+AD87)</f>
        <v>2043.4379999999999</v>
      </c>
      <c r="AE136" s="106">
        <f>-(AE86+AE87)</f>
        <v>57.203000000000095</v>
      </c>
      <c r="AF136" s="106">
        <f>AE136+AD136</f>
        <v>2100.6410000000001</v>
      </c>
      <c r="AG136" s="106">
        <f>-(AG86+AG87)</f>
        <v>219.16</v>
      </c>
      <c r="AH136" s="106">
        <f>-(AH86+AH87)</f>
        <v>41.289000000000016</v>
      </c>
      <c r="AI136" s="106">
        <f>AH136+AG136</f>
        <v>260.44900000000001</v>
      </c>
      <c r="AJ136" s="106">
        <f>-(AJ86+AJ87)</f>
        <v>37.289000000000001</v>
      </c>
      <c r="AK136" s="106">
        <f>-(AK86+AK87)</f>
        <v>47.598000000000006</v>
      </c>
      <c r="AL136" s="106">
        <f>AK136+AJ136</f>
        <v>84.887</v>
      </c>
      <c r="AM136" s="106">
        <f>-(AM86+AM87)</f>
        <v>136.38900000000001</v>
      </c>
      <c r="AN136" s="106">
        <f>-(AN86+AN87)</f>
        <v>156.77199999999999</v>
      </c>
      <c r="AO136" s="106">
        <f>AN136+AM136</f>
        <v>293.161</v>
      </c>
      <c r="AP136" s="106">
        <f>-(AP86+AP87)</f>
        <v>123.047</v>
      </c>
      <c r="AQ136" s="106">
        <f>-(AQ86+AQ87)</f>
        <v>200.32300000000001</v>
      </c>
      <c r="AR136" s="106">
        <f>AQ136+AP136</f>
        <v>323.37</v>
      </c>
      <c r="AS136" s="106">
        <f>-(AS86+AS87)</f>
        <v>103.65499999999999</v>
      </c>
      <c r="AT136" s="106">
        <f>-(AT86+AT87)</f>
        <v>156.21600000000001</v>
      </c>
      <c r="AU136" s="106">
        <f>AT136+AS136</f>
        <v>259.87099999999998</v>
      </c>
      <c r="AV136" s="106">
        <f>-(AV86+AV87)</f>
        <v>146.863</v>
      </c>
      <c r="AW136" s="106">
        <f>-(AW86+AW87)</f>
        <v>204.65799999999999</v>
      </c>
      <c r="AX136" s="414">
        <f>AW136+AV136</f>
        <v>351.52099999999996</v>
      </c>
      <c r="AY136" s="106">
        <f>-(AY86+AY87)</f>
        <v>140.24401</v>
      </c>
      <c r="AZ136" s="106">
        <f>-(AZ86+AZ87)</f>
        <v>147.16180000000003</v>
      </c>
      <c r="BA136" s="106">
        <f>AZ136+AY136</f>
        <v>287.40581000000003</v>
      </c>
      <c r="BB136" s="106">
        <f>-(BB86+BB87)</f>
        <v>143.08584880000001</v>
      </c>
      <c r="BC136" s="106">
        <f>-(BC86+BC87)</f>
        <v>150.61720855000002</v>
      </c>
      <c r="BD136" s="106">
        <f>BC136+BB136</f>
        <v>293.70305734999999</v>
      </c>
      <c r="BE136" s="106">
        <f>-(BE86+BE87)</f>
        <v>146.01472863399999</v>
      </c>
      <c r="BF136" s="106">
        <f>-(BF86+BF87)</f>
        <v>154.20970776250002</v>
      </c>
      <c r="BG136" s="106">
        <f>BF136+BE136</f>
        <v>300.22443639649998</v>
      </c>
      <c r="BH136" s="106">
        <f>-(BH86+BH87)</f>
        <v>149.03425247541998</v>
      </c>
      <c r="BI136" s="106">
        <f>-(BI86+BI87)</f>
        <v>157.94520979124502</v>
      </c>
      <c r="BJ136" s="106">
        <f>BI136+BH136</f>
        <v>306.979462266665</v>
      </c>
      <c r="BK136" s="106">
        <f>-(BK86+BK87)</f>
        <v>152.14818327298059</v>
      </c>
      <c r="BL136" s="106">
        <f>-(BL86+BL87)</f>
        <v>161.82989668655728</v>
      </c>
      <c r="BM136" s="106">
        <f>BL136+BK136</f>
        <v>313.97807995953787</v>
      </c>
    </row>
    <row r="137" spans="1:65" outlineLevel="1">
      <c r="A137" s="6" t="s">
        <v>129</v>
      </c>
      <c r="B137" s="52" t="s">
        <v>172</v>
      </c>
      <c r="C137" s="106">
        <f>-C88</f>
        <v>-0.90400000000000003</v>
      </c>
      <c r="D137" s="106">
        <f>-D88</f>
        <v>-2.1720000000000002</v>
      </c>
      <c r="E137" s="106">
        <f>D137+C137</f>
        <v>-3.0760000000000001</v>
      </c>
      <c r="F137" s="106">
        <f>-F88</f>
        <v>-1.1180000000000001</v>
      </c>
      <c r="G137" s="106">
        <f>-G88</f>
        <v>-1.361</v>
      </c>
      <c r="H137" s="106">
        <f>G137+F137</f>
        <v>-2.4790000000000001</v>
      </c>
      <c r="I137" s="106">
        <f>-I88</f>
        <v>-2.0630000000000002</v>
      </c>
      <c r="J137" s="106">
        <f>-J88</f>
        <v>-1.746</v>
      </c>
      <c r="K137" s="106">
        <f>J137+I137</f>
        <v>-3.8090000000000002</v>
      </c>
      <c r="L137" s="106">
        <f>-L88</f>
        <v>-2.7589999999999999</v>
      </c>
      <c r="M137" s="106">
        <f>-M88</f>
        <v>-1.1020000000000003</v>
      </c>
      <c r="N137" s="106">
        <f>M137+L137</f>
        <v>-3.8610000000000002</v>
      </c>
      <c r="O137" s="106">
        <f>-O88</f>
        <v>-2.4</v>
      </c>
      <c r="P137" s="106">
        <f>-P88</f>
        <v>-2.0770000000000004</v>
      </c>
      <c r="Q137" s="106">
        <f>P137+O137</f>
        <v>-4.4770000000000003</v>
      </c>
      <c r="R137" s="106">
        <f>-R88</f>
        <v>-0.92700000000000005</v>
      </c>
      <c r="S137" s="106">
        <f>-S88</f>
        <v>-4.6169999999999991</v>
      </c>
      <c r="T137" s="106">
        <f>S137+R137</f>
        <v>-5.5439999999999987</v>
      </c>
      <c r="U137" s="106">
        <f>-U88</f>
        <v>-2.12</v>
      </c>
      <c r="V137" s="106">
        <f>-V88</f>
        <v>-2.4009999999999998</v>
      </c>
      <c r="W137" s="106">
        <f>V137+U137</f>
        <v>-4.5209999999999999</v>
      </c>
      <c r="X137" s="106">
        <f>-X88</f>
        <v>-17.242000000000001</v>
      </c>
      <c r="Y137" s="106">
        <f>-Y88</f>
        <v>-1.9830000000000005</v>
      </c>
      <c r="Z137" s="106">
        <f>Y137+X137</f>
        <v>-19.225000000000001</v>
      </c>
      <c r="AA137" s="106">
        <f>-AA88</f>
        <v>-1.7709999999999999</v>
      </c>
      <c r="AB137" s="106">
        <f>-AB88</f>
        <v>-3.891</v>
      </c>
      <c r="AC137" s="106">
        <f>AB137+AA137</f>
        <v>-5.6619999999999999</v>
      </c>
      <c r="AD137" s="106">
        <f>-AD88</f>
        <v>-7.8460000000000001</v>
      </c>
      <c r="AE137" s="106">
        <f>-AE88</f>
        <v>-2.5359999999999996</v>
      </c>
      <c r="AF137" s="106">
        <f>AE137+AD137</f>
        <v>-10.382</v>
      </c>
      <c r="AG137" s="106">
        <f>-AG88</f>
        <v>-6.3520000000000003</v>
      </c>
      <c r="AH137" s="106">
        <f>-AH88</f>
        <v>-2.0299999999999994</v>
      </c>
      <c r="AI137" s="106">
        <f>AH137+AG137</f>
        <v>-8.3819999999999997</v>
      </c>
      <c r="AJ137" s="106">
        <f>-AJ88</f>
        <v>-6.6319999999999997</v>
      </c>
      <c r="AK137" s="106">
        <f>-AK88</f>
        <v>-10.334999999999999</v>
      </c>
      <c r="AL137" s="106">
        <f>AK137+AJ137</f>
        <v>-16.966999999999999</v>
      </c>
      <c r="AM137" s="106">
        <f>-AM88</f>
        <v>-3.3759999999999999</v>
      </c>
      <c r="AN137" s="106">
        <v>0</v>
      </c>
      <c r="AO137" s="106">
        <f>AN137+AM137</f>
        <v>-3.3759999999999999</v>
      </c>
      <c r="AP137" s="106">
        <f>-AP88</f>
        <v>-6.77</v>
      </c>
      <c r="AQ137" s="106">
        <v>0</v>
      </c>
      <c r="AR137" s="106">
        <f>AQ137+AP137</f>
        <v>-6.77</v>
      </c>
      <c r="AS137" s="106">
        <f>-AS88</f>
        <v>-8.0210000000000008</v>
      </c>
      <c r="AT137" s="106">
        <v>0</v>
      </c>
      <c r="AU137" s="106">
        <f>AT137+AS137</f>
        <v>-8.0210000000000008</v>
      </c>
      <c r="AV137" s="106">
        <f>-AV88</f>
        <v>-3.1789999999999998</v>
      </c>
      <c r="AW137" s="106">
        <v>1</v>
      </c>
      <c r="AX137" s="414">
        <f>AW137+AV137</f>
        <v>-2.1789999999999998</v>
      </c>
      <c r="AY137" s="102">
        <v>0</v>
      </c>
      <c r="AZ137" s="102">
        <v>0</v>
      </c>
      <c r="BA137" s="106">
        <f>AZ137+AY137</f>
        <v>0</v>
      </c>
      <c r="BB137" s="102">
        <v>0</v>
      </c>
      <c r="BC137" s="102">
        <v>0</v>
      </c>
      <c r="BD137" s="106">
        <f>BC137+BB137</f>
        <v>0</v>
      </c>
      <c r="BE137" s="102">
        <v>0</v>
      </c>
      <c r="BF137" s="102">
        <v>0</v>
      </c>
      <c r="BG137" s="106">
        <f>BF137+BE137</f>
        <v>0</v>
      </c>
      <c r="BH137" s="102">
        <v>0</v>
      </c>
      <c r="BI137" s="102">
        <v>0</v>
      </c>
      <c r="BJ137" s="106">
        <f>BI137+BH137</f>
        <v>0</v>
      </c>
      <c r="BK137" s="102">
        <v>0</v>
      </c>
      <c r="BL137" s="102">
        <v>0</v>
      </c>
      <c r="BM137" s="106">
        <f>BL137+BK137</f>
        <v>0</v>
      </c>
    </row>
    <row r="138" spans="1:65" outlineLevel="1">
      <c r="A138" s="6" t="s">
        <v>130</v>
      </c>
      <c r="B138" s="52" t="s">
        <v>172</v>
      </c>
      <c r="C138" s="98">
        <v>0</v>
      </c>
      <c r="D138" s="98">
        <v>0</v>
      </c>
      <c r="E138" s="106">
        <f>D138+C138</f>
        <v>0</v>
      </c>
      <c r="F138" s="98">
        <v>0</v>
      </c>
      <c r="G138" s="98">
        <v>0</v>
      </c>
      <c r="H138" s="106">
        <f>G138+F138</f>
        <v>0</v>
      </c>
      <c r="I138" s="98">
        <v>0</v>
      </c>
      <c r="J138" s="98">
        <v>0</v>
      </c>
      <c r="K138" s="106">
        <f>J138+I138</f>
        <v>0</v>
      </c>
      <c r="L138" s="98">
        <v>0</v>
      </c>
      <c r="M138" s="98">
        <v>0</v>
      </c>
      <c r="N138" s="106">
        <f>M138+L138</f>
        <v>0</v>
      </c>
      <c r="O138" s="98">
        <v>0</v>
      </c>
      <c r="P138" s="98">
        <v>0</v>
      </c>
      <c r="Q138" s="106">
        <f>P138+O138</f>
        <v>0</v>
      </c>
      <c r="R138" s="98">
        <v>0</v>
      </c>
      <c r="S138" s="98">
        <v>0</v>
      </c>
      <c r="T138" s="106">
        <f>S138+R138</f>
        <v>0</v>
      </c>
      <c r="U138" s="98">
        <v>0</v>
      </c>
      <c r="V138" s="98">
        <v>0</v>
      </c>
      <c r="W138" s="106">
        <f>V138+U138</f>
        <v>0</v>
      </c>
      <c r="X138" s="98">
        <v>0</v>
      </c>
      <c r="Y138" s="98">
        <v>0</v>
      </c>
      <c r="Z138" s="106">
        <f>Y138+X138</f>
        <v>0</v>
      </c>
      <c r="AA138" s="98">
        <v>0</v>
      </c>
      <c r="AB138" s="98">
        <v>0</v>
      </c>
      <c r="AC138" s="106">
        <f>AB138+AA138</f>
        <v>0</v>
      </c>
      <c r="AD138" s="98">
        <v>0</v>
      </c>
      <c r="AE138" s="98">
        <v>0</v>
      </c>
      <c r="AF138" s="106">
        <f>AE138+AD138</f>
        <v>0</v>
      </c>
      <c r="AG138" s="98">
        <v>0</v>
      </c>
      <c r="AH138" s="98">
        <v>0</v>
      </c>
      <c r="AI138" s="106">
        <f>AH138+AG138</f>
        <v>0</v>
      </c>
      <c r="AJ138" s="98">
        <f>AJ140-(AI140+AJ136+AJ137-AJ139)</f>
        <v>2.9649999999999181</v>
      </c>
      <c r="AK138" s="98">
        <v>0</v>
      </c>
      <c r="AL138" s="106">
        <f>AK138+AJ138</f>
        <v>2.9649999999999181</v>
      </c>
      <c r="AM138" s="98">
        <f>AM140-(AL140+AM136+AM137-AM139)</f>
        <v>-21.503000000000043</v>
      </c>
      <c r="AN138" s="98">
        <v>0</v>
      </c>
      <c r="AO138" s="106">
        <f>AO140-(AN140+AO136+AO137-AO139)</f>
        <v>-178.29100000000005</v>
      </c>
      <c r="AP138" s="98">
        <f>AP140-(AO140+AP136+AP137-AP139)</f>
        <v>-14.597999999999956</v>
      </c>
      <c r="AQ138" s="98">
        <v>0</v>
      </c>
      <c r="AR138" s="106">
        <f>AR140-(AQ140+AR136+AR137-AR139)</f>
        <v>-249.85899999999992</v>
      </c>
      <c r="AS138" s="98">
        <f>AS140-(AR140+AS136+AS137-AS139)</f>
        <v>29.875999999999863</v>
      </c>
      <c r="AT138" s="98">
        <v>0</v>
      </c>
      <c r="AU138" s="106">
        <f>AU140-(AT140+AU136+AU137-AU139)</f>
        <v>-38.199000000000183</v>
      </c>
      <c r="AV138" s="92">
        <f>AV140-(AU140+AV136+AV137-AV139)</f>
        <v>42.327000000000112</v>
      </c>
      <c r="AW138" s="98">
        <v>1</v>
      </c>
      <c r="AX138" s="414">
        <f>AX140-(AW140+AX136+AX137-AX139)</f>
        <v>-217.12099999999964</v>
      </c>
      <c r="AY138" s="102">
        <v>0</v>
      </c>
      <c r="AZ138" s="102">
        <v>0</v>
      </c>
      <c r="BA138" s="106">
        <f>AZ138+AY138</f>
        <v>0</v>
      </c>
      <c r="BB138" s="102">
        <v>0</v>
      </c>
      <c r="BC138" s="102">
        <v>0</v>
      </c>
      <c r="BD138" s="106">
        <f>BC138+BB138</f>
        <v>0</v>
      </c>
      <c r="BE138" s="102">
        <v>0</v>
      </c>
      <c r="BF138" s="102">
        <v>0</v>
      </c>
      <c r="BG138" s="106">
        <f>BF138+BE138</f>
        <v>0</v>
      </c>
      <c r="BH138" s="102">
        <v>0</v>
      </c>
      <c r="BI138" s="102">
        <v>0</v>
      </c>
      <c r="BJ138" s="106">
        <f>BI138+BH138</f>
        <v>0</v>
      </c>
      <c r="BK138" s="102">
        <v>0</v>
      </c>
      <c r="BL138" s="102">
        <v>0</v>
      </c>
      <c r="BM138" s="106">
        <f>BL138+BK138</f>
        <v>0</v>
      </c>
    </row>
    <row r="139" spans="1:65" outlineLevel="1">
      <c r="A139" s="6" t="s">
        <v>131</v>
      </c>
      <c r="B139" s="52" t="s">
        <v>172</v>
      </c>
      <c r="C139" s="106">
        <f t="shared" ref="C139:W139" si="206">C141</f>
        <v>14.013999999999999</v>
      </c>
      <c r="D139" s="106">
        <f t="shared" si="206"/>
        <v>14.124000000000009</v>
      </c>
      <c r="E139" s="106">
        <f t="shared" si="206"/>
        <v>28.138000000000002</v>
      </c>
      <c r="F139" s="106">
        <f t="shared" si="206"/>
        <v>14.598000000000001</v>
      </c>
      <c r="G139" s="106">
        <f t="shared" si="206"/>
        <v>15.021000000000001</v>
      </c>
      <c r="H139" s="106">
        <f t="shared" si="206"/>
        <v>29.619</v>
      </c>
      <c r="I139" s="106">
        <f t="shared" si="206"/>
        <v>15.97</v>
      </c>
      <c r="J139" s="106">
        <f t="shared" si="206"/>
        <v>17.027999999999992</v>
      </c>
      <c r="K139" s="106">
        <f t="shared" si="206"/>
        <v>32.997999999999998</v>
      </c>
      <c r="L139" s="106">
        <f t="shared" si="206"/>
        <v>17.827999999999999</v>
      </c>
      <c r="M139" s="106">
        <f t="shared" si="206"/>
        <v>19.310000000000002</v>
      </c>
      <c r="N139" s="106">
        <f t="shared" si="206"/>
        <v>37.137999999999998</v>
      </c>
      <c r="O139" s="106">
        <f t="shared" si="206"/>
        <v>20.625</v>
      </c>
      <c r="P139" s="106">
        <f t="shared" si="206"/>
        <v>21.381</v>
      </c>
      <c r="Q139" s="106">
        <f t="shared" si="206"/>
        <v>42.006</v>
      </c>
      <c r="R139" s="106">
        <f t="shared" si="206"/>
        <v>21.744</v>
      </c>
      <c r="S139" s="106">
        <f t="shared" si="206"/>
        <v>22.712000000000003</v>
      </c>
      <c r="T139" s="106">
        <f t="shared" si="206"/>
        <v>44.456000000000003</v>
      </c>
      <c r="U139" s="106">
        <f t="shared" si="206"/>
        <v>23.175999999999998</v>
      </c>
      <c r="V139" s="106">
        <f t="shared" si="206"/>
        <v>23.407</v>
      </c>
      <c r="W139" s="106">
        <f t="shared" si="206"/>
        <v>46.582999999999998</v>
      </c>
      <c r="X139" s="106">
        <f t="shared" ref="X139:AC139" si="207">X141</f>
        <v>23.670999999999999</v>
      </c>
      <c r="Y139" s="106">
        <f t="shared" si="207"/>
        <v>26.285000000000004</v>
      </c>
      <c r="Z139" s="106">
        <f t="shared" si="207"/>
        <v>49.956000000000003</v>
      </c>
      <c r="AA139" s="106">
        <f t="shared" si="207"/>
        <v>25.169</v>
      </c>
      <c r="AB139" s="106">
        <f t="shared" si="207"/>
        <v>28.678000000000001</v>
      </c>
      <c r="AC139" s="106">
        <f t="shared" si="207"/>
        <v>53.847000000000001</v>
      </c>
      <c r="AD139" s="106">
        <f>SUM(ANZ!AD16,USA!AD11)</f>
        <v>62.244999999999997</v>
      </c>
      <c r="AE139" s="106">
        <f>SUM(ANZ!AE16,USA!AE11)</f>
        <v>65.827000000000012</v>
      </c>
      <c r="AF139" s="106">
        <f>SUM(ANZ!AF16,USA!AF11)</f>
        <v>128.072</v>
      </c>
      <c r="AG139" s="106">
        <f>SUM(ANZ!AG16,USA!AG11)</f>
        <v>55.729500000000002</v>
      </c>
      <c r="AH139" s="106">
        <f>SUM(ANZ!AH16,USA!AH11)</f>
        <v>100.26724999999998</v>
      </c>
      <c r="AI139" s="106">
        <f>SUM(ANZ!AI16,USA!AI11)</f>
        <v>130.51299999999998</v>
      </c>
      <c r="AJ139" s="106">
        <f>SUM(ANZ!AJ16,USA!AJ11)</f>
        <v>64.97999999999999</v>
      </c>
      <c r="AK139" s="106">
        <f>SUM(ANZ!AK16,USA!AK11)</f>
        <v>62.537999999999982</v>
      </c>
      <c r="AL139" s="106">
        <f>SUM(ANZ!AL16,USA!AL11)</f>
        <v>127.51799999999997</v>
      </c>
      <c r="AM139" s="106">
        <f>SUM(ANZ!AM16,USA!AM11)</f>
        <v>63.724000000000004</v>
      </c>
      <c r="AN139" s="106">
        <f>SUM(ANZ!AN16,USA!AN11)</f>
        <v>73.510999999999996</v>
      </c>
      <c r="AO139" s="106">
        <f>SUM(ANZ!AO16,USA!AO11)</f>
        <v>137.23500000000001</v>
      </c>
      <c r="AP139" s="106">
        <f>SUM(ANZ!AP16,USA!AP11)</f>
        <v>73.546999999999997</v>
      </c>
      <c r="AQ139" s="106">
        <f>SUM(ANZ!AQ16,USA!AQ11)</f>
        <v>82.066000000000031</v>
      </c>
      <c r="AR139" s="106">
        <f>SUM(ANZ!AR16,USA!AR11)</f>
        <v>155.61300000000003</v>
      </c>
      <c r="AS139" s="106">
        <f>SUM(ANZ!AS16,USA!AS11)</f>
        <v>83.233000000000004</v>
      </c>
      <c r="AT139" s="106">
        <f>SUM(ANZ!AT16,USA!AT11)</f>
        <v>103.23199999999997</v>
      </c>
      <c r="AU139" s="106">
        <f>SUM(ANZ!AU16,USA!AU11)</f>
        <v>186.46499999999997</v>
      </c>
      <c r="AV139" s="92">
        <f>SUM(ANZ!AV16,USA!AV11)</f>
        <v>89.070999999999984</v>
      </c>
      <c r="AW139" s="106">
        <f>SUM(ANZ!AW16,USA!AW11)</f>
        <v>109.92500000000003</v>
      </c>
      <c r="AX139" s="414">
        <f>SUM(ANZ!AX16,USA!AX11)</f>
        <v>198.99600000000001</v>
      </c>
      <c r="AY139" s="106">
        <f>SUM(ANZ!AY14,USA!AY9)</f>
        <v>180.48801999999998</v>
      </c>
      <c r="AZ139" s="106">
        <f>SUM(ANZ!AZ14,USA!AZ9)</f>
        <v>194.32360000000003</v>
      </c>
      <c r="BA139" s="106">
        <f>SUM(ANZ!BA14,USA!BA9)</f>
        <v>374.81162</v>
      </c>
      <c r="BB139" s="106">
        <f>SUM(ANZ!BB14,USA!BB9)</f>
        <v>186.17169759999999</v>
      </c>
      <c r="BC139" s="106">
        <f>SUM(ANZ!BC14,USA!BC9)</f>
        <v>201.23441710000003</v>
      </c>
      <c r="BD139" s="106">
        <f>SUM(ANZ!BD14,USA!BD9)</f>
        <v>387.40611469999999</v>
      </c>
      <c r="BE139" s="106">
        <f>SUM(ANZ!BE14,USA!BE9)</f>
        <v>192.02945726799999</v>
      </c>
      <c r="BF139" s="106">
        <f>SUM(ANZ!BF14,USA!BF9)</f>
        <v>208.41941552500003</v>
      </c>
      <c r="BG139" s="106">
        <f>SUM(ANZ!BG14,USA!BG9)</f>
        <v>400.44887279300002</v>
      </c>
      <c r="BH139" s="106">
        <f>SUM(ANZ!BH14,USA!BH9)</f>
        <v>198.06850495083998</v>
      </c>
      <c r="BI139" s="106">
        <f>SUM(ANZ!BI14,USA!BI9)</f>
        <v>215.89041958249004</v>
      </c>
      <c r="BJ139" s="106">
        <f>SUM(ANZ!BJ14,USA!BJ9)</f>
        <v>413.95892453332999</v>
      </c>
      <c r="BK139" s="106">
        <f>SUM(ANZ!BK14,USA!BK9)</f>
        <v>204.29636654596118</v>
      </c>
      <c r="BL139" s="106">
        <f>SUM(ANZ!BL14,USA!BL9)</f>
        <v>223.65979337311455</v>
      </c>
      <c r="BM139" s="106">
        <f>SUM(ANZ!BM14,USA!BM9)</f>
        <v>427.95615991907579</v>
      </c>
    </row>
    <row r="140" spans="1:65" outlineLevel="1">
      <c r="A140" s="6" t="s">
        <v>132</v>
      </c>
      <c r="B140" s="52" t="s">
        <v>172</v>
      </c>
      <c r="C140" s="106">
        <f t="shared" ref="C140:W140" si="208">C157</f>
        <v>304.84399999999999</v>
      </c>
      <c r="D140" s="106">
        <f t="shared" si="208"/>
        <v>308.04599999999999</v>
      </c>
      <c r="E140" s="106">
        <f t="shared" si="208"/>
        <v>308.04599999999999</v>
      </c>
      <c r="F140" s="106">
        <f t="shared" si="208"/>
        <v>320.48599999999999</v>
      </c>
      <c r="G140" s="106">
        <f t="shared" si="208"/>
        <v>341.012</v>
      </c>
      <c r="H140" s="106">
        <f t="shared" si="208"/>
        <v>341.012</v>
      </c>
      <c r="I140" s="106">
        <f t="shared" si="208"/>
        <v>358.68599999999998</v>
      </c>
      <c r="J140" s="106">
        <f t="shared" si="208"/>
        <v>374.19799999999998</v>
      </c>
      <c r="K140" s="106">
        <f t="shared" si="208"/>
        <v>374.19799999999998</v>
      </c>
      <c r="L140" s="106">
        <f t="shared" si="208"/>
        <v>409.81</v>
      </c>
      <c r="M140" s="106">
        <f t="shared" si="208"/>
        <v>423.779</v>
      </c>
      <c r="N140" s="106">
        <f t="shared" si="208"/>
        <v>423.779</v>
      </c>
      <c r="O140" s="106">
        <f t="shared" si="208"/>
        <v>427.86399999999998</v>
      </c>
      <c r="P140" s="106">
        <f t="shared" si="208"/>
        <v>452.13799999999998</v>
      </c>
      <c r="Q140" s="106">
        <f t="shared" si="208"/>
        <v>452.13799999999998</v>
      </c>
      <c r="R140" s="106">
        <f t="shared" si="208"/>
        <v>456.69900000000001</v>
      </c>
      <c r="S140" s="106">
        <f t="shared" si="208"/>
        <v>462.42700000000002</v>
      </c>
      <c r="T140" s="106">
        <f t="shared" si="208"/>
        <v>462.42700000000002</v>
      </c>
      <c r="U140" s="106">
        <f t="shared" si="208"/>
        <v>482.709</v>
      </c>
      <c r="V140" s="106">
        <f t="shared" si="208"/>
        <v>500.03500000000003</v>
      </c>
      <c r="W140" s="106">
        <f t="shared" si="208"/>
        <v>500.03500000000003</v>
      </c>
      <c r="X140" s="106">
        <f>X157</f>
        <v>516.65200000000004</v>
      </c>
      <c r="Y140" s="106">
        <f>Y157</f>
        <v>528.90800000000002</v>
      </c>
      <c r="Z140" s="106">
        <f>Z157</f>
        <v>528.90800000000002</v>
      </c>
      <c r="AA140" s="106">
        <f t="shared" ref="AA140:AF140" si="209">AA157</f>
        <v>543.4</v>
      </c>
      <c r="AB140" s="106">
        <f t="shared" si="209"/>
        <v>568.71400000000006</v>
      </c>
      <c r="AC140" s="106">
        <f t="shared" si="209"/>
        <v>568.71400000000006</v>
      </c>
      <c r="AD140" s="106">
        <f t="shared" si="209"/>
        <v>662.07100000000003</v>
      </c>
      <c r="AE140" s="106">
        <f t="shared" si="209"/>
        <v>664.00900000000001</v>
      </c>
      <c r="AF140" s="106">
        <f t="shared" si="209"/>
        <v>664.00900000000001</v>
      </c>
      <c r="AG140" s="106">
        <f t="shared" ref="AG140:AL140" si="210">AG157</f>
        <v>663.89800000000002</v>
      </c>
      <c r="AH140" s="106">
        <f t="shared" si="210"/>
        <v>656.93200000000002</v>
      </c>
      <c r="AI140" s="106">
        <f t="shared" si="210"/>
        <v>656.93200000000002</v>
      </c>
      <c r="AJ140" s="106">
        <f t="shared" si="210"/>
        <v>625.57399999999996</v>
      </c>
      <c r="AK140" s="106">
        <f t="shared" si="210"/>
        <v>624.09900000000005</v>
      </c>
      <c r="AL140" s="106">
        <f t="shared" si="210"/>
        <v>624.09900000000005</v>
      </c>
      <c r="AM140" s="106">
        <f>AM157</f>
        <v>671.88499999999999</v>
      </c>
      <c r="AN140" s="106">
        <f>AM140+SUM(AN136:AN138)-AN139</f>
        <v>755.14599999999996</v>
      </c>
      <c r="AO140" s="106">
        <f>AO157</f>
        <v>729.40499999999997</v>
      </c>
      <c r="AP140" s="106">
        <f>AP157</f>
        <v>757.53700000000003</v>
      </c>
      <c r="AQ140" s="106">
        <f>AP140+SUM(AQ136:AQ138)-AQ139</f>
        <v>875.79399999999998</v>
      </c>
      <c r="AR140" s="106">
        <f>AR157</f>
        <v>786.92200000000003</v>
      </c>
      <c r="AS140" s="106">
        <f>AS157</f>
        <v>829.19899999999996</v>
      </c>
      <c r="AT140" s="106">
        <f>AS140+SUM(AT136:AT138)-AT139</f>
        <v>882.18299999999999</v>
      </c>
      <c r="AU140" s="106">
        <f>AU157</f>
        <v>909.36900000000003</v>
      </c>
      <c r="AV140" s="106">
        <f>AV157</f>
        <v>1006.309</v>
      </c>
      <c r="AW140" s="106">
        <f>AV140+SUM(AW136:AW138)-AW139</f>
        <v>1103.0419999999999</v>
      </c>
      <c r="AX140" s="414">
        <f>AX157</f>
        <v>1036.2670000000001</v>
      </c>
      <c r="AY140" s="106">
        <f>AX140+SUM(AY136:AY138)-AY139</f>
        <v>996.02299000000016</v>
      </c>
      <c r="AZ140" s="106">
        <f>AY140+SUM(AZ136:AZ138)-AZ139</f>
        <v>948.86119000000019</v>
      </c>
      <c r="BA140" s="106">
        <f>AX140+SUM(BA136:BA138)-BA139</f>
        <v>948.86119000000008</v>
      </c>
      <c r="BB140" s="106">
        <f>BA140+SUM(BB136:BB138)-BB139</f>
        <v>905.77534119999996</v>
      </c>
      <c r="BC140" s="106">
        <f>BB140+SUM(BC136:BC138)-BC139</f>
        <v>855.15813264999997</v>
      </c>
      <c r="BD140" s="106">
        <f>BA140+SUM(BD136:BD138)-BD139</f>
        <v>855.1581326500002</v>
      </c>
      <c r="BE140" s="106">
        <f>BD140+SUM(BE136:BE138)-BE139</f>
        <v>809.1434040160002</v>
      </c>
      <c r="BF140" s="106">
        <f>BE140+SUM(BF136:BF138)-BF139</f>
        <v>754.9336962535001</v>
      </c>
      <c r="BG140" s="106">
        <f>BD140+SUM(BG136:BG138)-BG139</f>
        <v>754.9336962535001</v>
      </c>
      <c r="BH140" s="106">
        <f>BG140+SUM(BH136:BH138)-BH139</f>
        <v>705.89944377808013</v>
      </c>
      <c r="BI140" s="106">
        <f>BH140+SUM(BI136:BI138)-BI139</f>
        <v>647.95423398683511</v>
      </c>
      <c r="BJ140" s="106">
        <f>BG140+SUM(BJ136:BJ138)-BJ139</f>
        <v>647.95423398683511</v>
      </c>
      <c r="BK140" s="106">
        <f>BJ140+SUM(BK136:BK138)-BK139</f>
        <v>595.80605071385446</v>
      </c>
      <c r="BL140" s="106">
        <f>BK140+SUM(BL136:BL138)-BL139</f>
        <v>533.97615402729718</v>
      </c>
      <c r="BM140" s="106">
        <f>BJ140+SUM(BM136:BM138)-BM139</f>
        <v>533.97615402729707</v>
      </c>
    </row>
    <row r="141" spans="1:65" outlineLevel="1">
      <c r="A141" s="6" t="s">
        <v>133</v>
      </c>
      <c r="B141" s="52" t="s">
        <v>172</v>
      </c>
      <c r="C141" s="106">
        <f t="shared" ref="C141:W141" si="211">C142</f>
        <v>14.013999999999999</v>
      </c>
      <c r="D141" s="106">
        <f t="shared" si="211"/>
        <v>14.124000000000009</v>
      </c>
      <c r="E141" s="106">
        <f t="shared" si="211"/>
        <v>28.138000000000002</v>
      </c>
      <c r="F141" s="106">
        <f t="shared" si="211"/>
        <v>14.598000000000001</v>
      </c>
      <c r="G141" s="106">
        <f t="shared" si="211"/>
        <v>15.021000000000001</v>
      </c>
      <c r="H141" s="106">
        <f t="shared" si="211"/>
        <v>29.619</v>
      </c>
      <c r="I141" s="106">
        <f t="shared" si="211"/>
        <v>15.97</v>
      </c>
      <c r="J141" s="106">
        <f t="shared" si="211"/>
        <v>17.027999999999992</v>
      </c>
      <c r="K141" s="106">
        <f t="shared" si="211"/>
        <v>32.997999999999998</v>
      </c>
      <c r="L141" s="106">
        <f t="shared" si="211"/>
        <v>17.827999999999999</v>
      </c>
      <c r="M141" s="106">
        <f t="shared" si="211"/>
        <v>19.310000000000002</v>
      </c>
      <c r="N141" s="106">
        <f t="shared" si="211"/>
        <v>37.137999999999998</v>
      </c>
      <c r="O141" s="106">
        <f t="shared" si="211"/>
        <v>20.625</v>
      </c>
      <c r="P141" s="106">
        <f t="shared" si="211"/>
        <v>21.381</v>
      </c>
      <c r="Q141" s="106">
        <f t="shared" si="211"/>
        <v>42.006</v>
      </c>
      <c r="R141" s="106">
        <f t="shared" si="211"/>
        <v>21.744</v>
      </c>
      <c r="S141" s="106">
        <f t="shared" si="211"/>
        <v>22.712000000000003</v>
      </c>
      <c r="T141" s="106">
        <f t="shared" si="211"/>
        <v>44.456000000000003</v>
      </c>
      <c r="U141" s="106">
        <f t="shared" si="211"/>
        <v>23.175999999999998</v>
      </c>
      <c r="V141" s="106">
        <f t="shared" si="211"/>
        <v>23.407</v>
      </c>
      <c r="W141" s="106">
        <f t="shared" si="211"/>
        <v>46.582999999999998</v>
      </c>
      <c r="X141" s="106">
        <f>X142</f>
        <v>23.670999999999999</v>
      </c>
      <c r="Y141" s="106">
        <f>Y142</f>
        <v>26.285000000000004</v>
      </c>
      <c r="Z141" s="106">
        <f>Z142</f>
        <v>49.956000000000003</v>
      </c>
      <c r="AA141" s="106">
        <f>AA142</f>
        <v>25.169</v>
      </c>
      <c r="AB141" s="106">
        <f>AB23</f>
        <v>28.678000000000001</v>
      </c>
      <c r="AC141" s="106">
        <f>SUM(AA141:AB141)</f>
        <v>53.847000000000001</v>
      </c>
      <c r="AD141" s="106">
        <f>AD142</f>
        <v>62.244999999999997</v>
      </c>
      <c r="AE141" s="106">
        <f>AE23</f>
        <v>65.827000000000012</v>
      </c>
      <c r="AF141" s="106">
        <f>SUM(AD141:AE141)</f>
        <v>128.072</v>
      </c>
      <c r="AG141" s="106">
        <f>AG142</f>
        <v>106.697</v>
      </c>
      <c r="AH141" s="106">
        <f>AH23</f>
        <v>125.75099999999998</v>
      </c>
      <c r="AI141" s="106">
        <f>AI23-AI144</f>
        <v>130.51299999999998</v>
      </c>
      <c r="AJ141" s="106">
        <f>AJ23-AJ144</f>
        <v>64.98</v>
      </c>
      <c r="AK141" s="106">
        <f>AK23</f>
        <v>114.62799999999999</v>
      </c>
      <c r="AL141" s="106">
        <f>AL23-AL144</f>
        <v>127.51799999999999</v>
      </c>
      <c r="AM141" s="106">
        <f>AM23-AM144</f>
        <v>63.724000000000004</v>
      </c>
      <c r="AN141" s="106">
        <f>AN23-AN144</f>
        <v>73.510999999999981</v>
      </c>
      <c r="AO141" s="106">
        <f>AN141+AM141</f>
        <v>137.23499999999999</v>
      </c>
      <c r="AP141" s="106">
        <f>AP23-AP144</f>
        <v>73.546999999999997</v>
      </c>
      <c r="AQ141" s="106">
        <f>AQ23-AQ144</f>
        <v>82.066000000000031</v>
      </c>
      <c r="AR141" s="106">
        <f>AQ141+AP141</f>
        <v>155.61300000000003</v>
      </c>
      <c r="AS141" s="106">
        <f>AS23-AS144</f>
        <v>83.233000000000004</v>
      </c>
      <c r="AT141" s="106">
        <f>AT23-AT144</f>
        <v>103.23199999999997</v>
      </c>
      <c r="AU141" s="106">
        <f>AT141+AS141</f>
        <v>186.46499999999997</v>
      </c>
      <c r="AV141" s="106">
        <f>AV23-AV144</f>
        <v>89.070999999999998</v>
      </c>
      <c r="AW141" s="106">
        <f>AW23-AW144</f>
        <v>109.92500000000001</v>
      </c>
      <c r="AX141" s="414">
        <f>AW141+AV141</f>
        <v>198.99600000000001</v>
      </c>
      <c r="AY141" s="106">
        <f>AY23-AY144</f>
        <v>96.003019999999964</v>
      </c>
      <c r="AZ141" s="106">
        <f>AZ23-AZ144</f>
        <v>118.93255000000003</v>
      </c>
      <c r="BA141" s="106">
        <f>AZ141+AY141</f>
        <v>214.93556999999998</v>
      </c>
      <c r="BB141" s="106">
        <f>BB23-BB144</f>
        <v>98.499947599999985</v>
      </c>
      <c r="BC141" s="106">
        <f>BC23-BC144</f>
        <v>122.07381460000003</v>
      </c>
      <c r="BD141" s="106">
        <f>BC141+BB141</f>
        <v>220.57376220000003</v>
      </c>
      <c r="BE141" s="106">
        <f>BE23-BE144</f>
        <v>101.06411976799998</v>
      </c>
      <c r="BF141" s="106">
        <f>BF23-BF144</f>
        <v>125.30078290000003</v>
      </c>
      <c r="BG141" s="106">
        <f>BF141+BE141</f>
        <v>226.36490266800001</v>
      </c>
      <c r="BH141" s="106">
        <f>BH23-BH144</f>
        <v>103.69740057583998</v>
      </c>
      <c r="BI141" s="106">
        <f>BI23-BI144</f>
        <v>128.61585532624002</v>
      </c>
      <c r="BJ141" s="106">
        <f>BI141+BH141</f>
        <v>232.31325590208002</v>
      </c>
      <c r="BK141" s="106">
        <f>BK23-BK144</f>
        <v>106.40170695221119</v>
      </c>
      <c r="BL141" s="106">
        <f>BL23-BL144</f>
        <v>132.02150090405206</v>
      </c>
      <c r="BM141" s="106">
        <f>BL141+BK141</f>
        <v>238.42320785626325</v>
      </c>
    </row>
    <row r="142" spans="1:65" outlineLevel="1">
      <c r="A142" s="13" t="s">
        <v>134</v>
      </c>
      <c r="B142" s="52" t="s">
        <v>172</v>
      </c>
      <c r="C142" s="106">
        <f t="shared" ref="C142:AA142" si="212">C23</f>
        <v>14.013999999999999</v>
      </c>
      <c r="D142" s="106">
        <f t="shared" si="212"/>
        <v>14.124000000000009</v>
      </c>
      <c r="E142" s="106">
        <f t="shared" si="212"/>
        <v>28.138000000000002</v>
      </c>
      <c r="F142" s="106">
        <f t="shared" si="212"/>
        <v>14.598000000000001</v>
      </c>
      <c r="G142" s="106">
        <f t="shared" si="212"/>
        <v>15.021000000000001</v>
      </c>
      <c r="H142" s="106">
        <f t="shared" si="212"/>
        <v>29.619</v>
      </c>
      <c r="I142" s="106">
        <f t="shared" si="212"/>
        <v>15.97</v>
      </c>
      <c r="J142" s="106">
        <f t="shared" si="212"/>
        <v>17.027999999999992</v>
      </c>
      <c r="K142" s="106">
        <f t="shared" si="212"/>
        <v>32.997999999999998</v>
      </c>
      <c r="L142" s="106">
        <f t="shared" si="212"/>
        <v>17.827999999999999</v>
      </c>
      <c r="M142" s="106">
        <f t="shared" si="212"/>
        <v>19.310000000000002</v>
      </c>
      <c r="N142" s="106">
        <f t="shared" si="212"/>
        <v>37.137999999999998</v>
      </c>
      <c r="O142" s="106">
        <f t="shared" si="212"/>
        <v>20.625</v>
      </c>
      <c r="P142" s="106">
        <f t="shared" si="212"/>
        <v>21.381</v>
      </c>
      <c r="Q142" s="106">
        <f t="shared" si="212"/>
        <v>42.006</v>
      </c>
      <c r="R142" s="106">
        <f t="shared" si="212"/>
        <v>21.744</v>
      </c>
      <c r="S142" s="106">
        <f t="shared" si="212"/>
        <v>22.712000000000003</v>
      </c>
      <c r="T142" s="106">
        <f t="shared" si="212"/>
        <v>44.456000000000003</v>
      </c>
      <c r="U142" s="106">
        <f t="shared" si="212"/>
        <v>23.175999999999998</v>
      </c>
      <c r="V142" s="106">
        <f t="shared" si="212"/>
        <v>23.407</v>
      </c>
      <c r="W142" s="106">
        <f t="shared" si="212"/>
        <v>46.582999999999998</v>
      </c>
      <c r="X142" s="106">
        <f t="shared" si="212"/>
        <v>23.670999999999999</v>
      </c>
      <c r="Y142" s="106">
        <f t="shared" si="212"/>
        <v>26.285000000000004</v>
      </c>
      <c r="Z142" s="106">
        <f t="shared" si="212"/>
        <v>49.956000000000003</v>
      </c>
      <c r="AA142" s="106">
        <f t="shared" si="212"/>
        <v>25.169</v>
      </c>
      <c r="AB142" s="106">
        <f>AB141</f>
        <v>28.678000000000001</v>
      </c>
      <c r="AC142" s="106">
        <f>AC141</f>
        <v>53.847000000000001</v>
      </c>
      <c r="AD142" s="106">
        <f>AD23</f>
        <v>62.244999999999997</v>
      </c>
      <c r="AE142" s="106">
        <f>AE141</f>
        <v>65.827000000000012</v>
      </c>
      <c r="AF142" s="106">
        <f>AF141</f>
        <v>128.072</v>
      </c>
      <c r="AG142" s="106">
        <f>AG23</f>
        <v>106.697</v>
      </c>
      <c r="AH142" s="106">
        <f>AH141</f>
        <v>125.75099999999998</v>
      </c>
      <c r="AI142" s="106">
        <f>AI141</f>
        <v>130.51299999999998</v>
      </c>
      <c r="AJ142" s="106">
        <f>AJ23</f>
        <v>112.91800000000001</v>
      </c>
      <c r="AK142" s="106">
        <f>AK141</f>
        <v>114.62799999999999</v>
      </c>
      <c r="AL142" s="106">
        <f>AL141</f>
        <v>127.51799999999999</v>
      </c>
      <c r="AM142" s="106">
        <f>AM23</f>
        <v>122.319</v>
      </c>
      <c r="AN142" s="106">
        <f t="shared" ref="AN142:AO142" si="213">AN141</f>
        <v>73.510999999999981</v>
      </c>
      <c r="AO142" s="106">
        <f t="shared" si="213"/>
        <v>137.23499999999999</v>
      </c>
      <c r="AP142" s="106">
        <f>AP23</f>
        <v>140.173</v>
      </c>
      <c r="AQ142" s="106">
        <f>AQ141</f>
        <v>82.066000000000031</v>
      </c>
      <c r="AR142" s="106">
        <f>AR141</f>
        <v>155.61300000000003</v>
      </c>
      <c r="AS142" s="106">
        <f>AS23</f>
        <v>158.94</v>
      </c>
      <c r="AT142" s="106">
        <f>AT141</f>
        <v>103.23199999999997</v>
      </c>
      <c r="AU142" s="106">
        <f>AU141</f>
        <v>186.46499999999997</v>
      </c>
      <c r="AV142" s="106">
        <f>AV23</f>
        <v>170.471</v>
      </c>
      <c r="AW142" s="106">
        <f>AW141</f>
        <v>109.92500000000001</v>
      </c>
      <c r="AX142" s="414">
        <f>AX141</f>
        <v>198.99600000000001</v>
      </c>
      <c r="AY142" s="106">
        <f t="shared" ref="AY142:BM142" si="214">AY141</f>
        <v>96.003019999999964</v>
      </c>
      <c r="AZ142" s="106">
        <f t="shared" si="214"/>
        <v>118.93255000000003</v>
      </c>
      <c r="BA142" s="106">
        <f t="shared" si="214"/>
        <v>214.93556999999998</v>
      </c>
      <c r="BB142" s="106">
        <f t="shared" si="214"/>
        <v>98.499947599999985</v>
      </c>
      <c r="BC142" s="106">
        <f t="shared" si="214"/>
        <v>122.07381460000003</v>
      </c>
      <c r="BD142" s="106">
        <f t="shared" si="214"/>
        <v>220.57376220000003</v>
      </c>
      <c r="BE142" s="106">
        <f t="shared" si="214"/>
        <v>101.06411976799998</v>
      </c>
      <c r="BF142" s="106">
        <f t="shared" si="214"/>
        <v>125.30078290000003</v>
      </c>
      <c r="BG142" s="106">
        <f t="shared" si="214"/>
        <v>226.36490266800001</v>
      </c>
      <c r="BH142" s="106">
        <f t="shared" si="214"/>
        <v>103.69740057583998</v>
      </c>
      <c r="BI142" s="106">
        <f t="shared" si="214"/>
        <v>128.61585532624002</v>
      </c>
      <c r="BJ142" s="106">
        <f t="shared" si="214"/>
        <v>232.31325590208002</v>
      </c>
      <c r="BK142" s="106">
        <f t="shared" si="214"/>
        <v>106.40170695221119</v>
      </c>
      <c r="BL142" s="106">
        <f t="shared" si="214"/>
        <v>132.02150090405206</v>
      </c>
      <c r="BM142" s="106">
        <f t="shared" si="214"/>
        <v>238.42320785626325</v>
      </c>
    </row>
    <row r="143" spans="1:65" outlineLevel="1">
      <c r="A143" s="13"/>
      <c r="B143" s="52"/>
      <c r="C143" s="106"/>
      <c r="D143" s="106"/>
      <c r="E143" s="106"/>
      <c r="F143" s="106"/>
      <c r="G143" s="106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106"/>
      <c r="AC143" s="106"/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414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1:65" outlineLevel="1">
      <c r="A144" s="6" t="s">
        <v>548</v>
      </c>
      <c r="B144" s="52"/>
      <c r="C144" s="106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92">
        <f>SUM(ANZ!AI15,USA!AI10)</f>
        <v>101.935</v>
      </c>
      <c r="AJ144" s="305">
        <f>SUM(ANZ!AJ15,USA!AJ10)</f>
        <v>47.938000000000002</v>
      </c>
      <c r="AK144" s="305">
        <f>SUM(ANZ!AK15,USA!AK10)</f>
        <v>52.09</v>
      </c>
      <c r="AL144" s="92">
        <f>SUM(ANZ!AL15,USA!AL10)</f>
        <v>100.02800000000001</v>
      </c>
      <c r="AM144" s="305">
        <f>SUM(ANZ!AM15,USA!AM10)</f>
        <v>58.594999999999999</v>
      </c>
      <c r="AN144" s="305">
        <f>SUM(ANZ!AN15,USA!AN10)</f>
        <v>62.400999999999996</v>
      </c>
      <c r="AO144" s="92">
        <f>SUM(ANZ!AO15,USA!AO10)</f>
        <v>120.996</v>
      </c>
      <c r="AP144" s="305">
        <f>SUM(ANZ!AP15,USA!AP10)</f>
        <v>66.626000000000005</v>
      </c>
      <c r="AQ144" s="305">
        <f>SUM(ANZ!AQ15,USA!AQ10)</f>
        <v>67.665999999999997</v>
      </c>
      <c r="AR144" s="92">
        <f>SUM(ANZ!AR15,USA!AR10)</f>
        <v>134.292</v>
      </c>
      <c r="AS144" s="305">
        <f>SUM(ANZ!AS15,USA!AS10)</f>
        <v>75.706999999999994</v>
      </c>
      <c r="AT144" s="305">
        <f>SUM(ANZ!AT15,USA!AT10)</f>
        <v>63.550000000000011</v>
      </c>
      <c r="AU144" s="92">
        <f>SUM(ANZ!AU15,USA!AU10)</f>
        <v>139.25700000000001</v>
      </c>
      <c r="AV144" s="305">
        <f>SUM(ANZ!AV15,USA!AV10)</f>
        <v>81.400000000000006</v>
      </c>
      <c r="AW144" s="305">
        <f>SUM(ANZ!AW15,USA!AW10)</f>
        <v>71.800999999999988</v>
      </c>
      <c r="AX144" s="93">
        <f>SUM(ANZ!AX15,USA!AX10)</f>
        <v>153.20099999999999</v>
      </c>
      <c r="AY144" s="106">
        <f>SUM(ANZ!AY15,USA!AY10)</f>
        <v>84.485000000000014</v>
      </c>
      <c r="AZ144" s="106">
        <f>SUM(ANZ!AZ15,USA!AZ10)</f>
        <v>75.391049999999993</v>
      </c>
      <c r="BA144" s="106">
        <f>SUM(ANZ!BA15,USA!BA10)</f>
        <v>159.87605000000002</v>
      </c>
      <c r="BB144" s="106">
        <f>SUM(ANZ!BB15,USA!BB10)</f>
        <v>87.671750000000003</v>
      </c>
      <c r="BC144" s="106">
        <f>SUM(ANZ!BC15,USA!BC10)</f>
        <v>79.160602499999996</v>
      </c>
      <c r="BD144" s="106">
        <f>SUM(ANZ!BD15,USA!BD10)</f>
        <v>166.83235250000001</v>
      </c>
      <c r="BE144" s="106">
        <f>SUM(ANZ!BE15,USA!BE10)</f>
        <v>90.965337500000004</v>
      </c>
      <c r="BF144" s="106">
        <f>SUM(ANZ!BF15,USA!BF10)</f>
        <v>83.118632625000004</v>
      </c>
      <c r="BG144" s="106">
        <f>SUM(ANZ!BG15,USA!BG10)</f>
        <v>174.08397012500001</v>
      </c>
      <c r="BH144" s="106">
        <f>SUM(ANZ!BH15,USA!BH10)</f>
        <v>94.371104375000002</v>
      </c>
      <c r="BI144" s="106">
        <f>SUM(ANZ!BI15,USA!BI10)</f>
        <v>87.274564256250002</v>
      </c>
      <c r="BJ144" s="106">
        <f>SUM(ANZ!BJ15,USA!BJ10)</f>
        <v>181.64566863125</v>
      </c>
      <c r="BK144" s="106">
        <f>SUM(ANZ!BK15,USA!BK10)</f>
        <v>97.894659593749992</v>
      </c>
      <c r="BL144" s="106">
        <f>SUM(ANZ!BL15,USA!BL10)</f>
        <v>91.638292469062506</v>
      </c>
      <c r="BM144" s="106">
        <f>SUM(ANZ!BM15,USA!BM10)</f>
        <v>189.53295206281251</v>
      </c>
    </row>
    <row r="145" spans="1:73" outlineLevel="1">
      <c r="A145" s="13"/>
      <c r="B145" s="52"/>
      <c r="C145" s="106"/>
      <c r="D145" s="106"/>
      <c r="E145" s="106"/>
      <c r="F145" s="106"/>
      <c r="G145" s="106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414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1:73" outlineLevel="1">
      <c r="A146" s="13"/>
      <c r="B146" s="52"/>
      <c r="C146" s="106"/>
      <c r="D146" s="106"/>
      <c r="E146" s="106"/>
      <c r="F146" s="106"/>
      <c r="G146" s="106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414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1:73" outlineLevel="1">
      <c r="A147" s="13"/>
      <c r="B147" s="52"/>
      <c r="C147" s="106"/>
      <c r="D147" s="106"/>
      <c r="E147" s="106"/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414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9" spans="1:73" s="8" customFormat="1">
      <c r="A149" s="17" t="s">
        <v>69</v>
      </c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460"/>
      <c r="BP149"/>
      <c r="BQ149"/>
      <c r="BR149"/>
      <c r="BS149"/>
      <c r="BT149"/>
      <c r="BU149"/>
    </row>
    <row r="150" spans="1:73">
      <c r="A150" s="13" t="s">
        <v>141</v>
      </c>
      <c r="X150" s="25"/>
      <c r="Z150" s="25"/>
      <c r="AA150" s="25"/>
      <c r="AD150" s="25"/>
    </row>
    <row r="151" spans="1:73">
      <c r="A151" s="89" t="s">
        <v>70</v>
      </c>
      <c r="B151" s="52" t="s">
        <v>172</v>
      </c>
      <c r="C151" s="26">
        <v>85.501000000000005</v>
      </c>
      <c r="D151" s="25">
        <f>E151</f>
        <v>122.631</v>
      </c>
      <c r="E151" s="98">
        <v>122.631</v>
      </c>
      <c r="F151" s="26">
        <v>98.501000000000005</v>
      </c>
      <c r="G151" s="25">
        <f>H151</f>
        <v>134.18600000000001</v>
      </c>
      <c r="H151" s="98">
        <v>134.18600000000001</v>
      </c>
      <c r="I151" s="26">
        <v>139.08699999999999</v>
      </c>
      <c r="J151" s="25">
        <f>K151</f>
        <v>166.75800000000001</v>
      </c>
      <c r="K151" s="98">
        <v>166.75800000000001</v>
      </c>
      <c r="L151" s="26">
        <v>134.76499999999999</v>
      </c>
      <c r="M151" s="25">
        <f>N151</f>
        <v>156.232</v>
      </c>
      <c r="N151" s="98">
        <v>156.232</v>
      </c>
      <c r="O151" s="26">
        <v>145.613</v>
      </c>
      <c r="P151" s="25">
        <f>Q151</f>
        <v>73.762</v>
      </c>
      <c r="Q151" s="98">
        <v>73.762</v>
      </c>
      <c r="R151" s="26">
        <v>55.098999999999997</v>
      </c>
      <c r="S151" s="25">
        <f>T151</f>
        <v>85.021000000000001</v>
      </c>
      <c r="T151" s="98">
        <v>85.021000000000001</v>
      </c>
      <c r="U151" s="26">
        <v>73.45</v>
      </c>
      <c r="V151" s="25">
        <f>W151</f>
        <v>105.123</v>
      </c>
      <c r="W151" s="98">
        <v>105.123</v>
      </c>
      <c r="X151" s="98">
        <v>55.780999999999999</v>
      </c>
      <c r="Y151" s="92">
        <f>Z151</f>
        <v>101.80500000000001</v>
      </c>
      <c r="Z151" s="98">
        <v>101.80500000000001</v>
      </c>
      <c r="AA151" s="98">
        <v>50.255000000000003</v>
      </c>
      <c r="AB151" s="92">
        <f>AC151</f>
        <v>539.89099999999996</v>
      </c>
      <c r="AC151" s="98">
        <v>539.89099999999996</v>
      </c>
      <c r="AD151" s="98">
        <v>99.275000000000006</v>
      </c>
      <c r="AE151" s="92">
        <f>AF151</f>
        <v>127.70699999999999</v>
      </c>
      <c r="AF151" s="98">
        <v>127.70699999999999</v>
      </c>
      <c r="AG151" s="98">
        <v>103.337</v>
      </c>
      <c r="AH151" s="92">
        <f>AI151</f>
        <v>1004.708</v>
      </c>
      <c r="AI151" s="98">
        <v>1004.708</v>
      </c>
      <c r="AJ151" s="98">
        <v>953.79700000000003</v>
      </c>
      <c r="AK151" s="92">
        <f>AL151</f>
        <v>828.96600000000001</v>
      </c>
      <c r="AL151" s="98">
        <v>828.96600000000001</v>
      </c>
      <c r="AM151" s="98">
        <v>117.961</v>
      </c>
      <c r="AN151" s="92">
        <f>AO151</f>
        <v>220.483</v>
      </c>
      <c r="AO151" s="98">
        <v>220.483</v>
      </c>
      <c r="AP151" s="98">
        <v>141.80500000000001</v>
      </c>
      <c r="AQ151" s="92">
        <f>AR151</f>
        <v>372.70600000000002</v>
      </c>
      <c r="AR151" s="98">
        <v>372.70600000000002</v>
      </c>
      <c r="AS151" s="98">
        <v>336.7</v>
      </c>
      <c r="AT151" s="92">
        <f>AU151</f>
        <v>341.38</v>
      </c>
      <c r="AU151" s="98">
        <v>341.38</v>
      </c>
      <c r="AV151" s="98">
        <v>273.27100000000002</v>
      </c>
      <c r="AW151" s="92">
        <f>AX151</f>
        <v>275.411</v>
      </c>
      <c r="AX151" s="404">
        <v>275.411</v>
      </c>
      <c r="AY151" s="92">
        <f>AX151+AY98</f>
        <v>275.411</v>
      </c>
      <c r="AZ151" s="92">
        <f>AY151+AZ98</f>
        <v>275.411</v>
      </c>
      <c r="BA151" s="92">
        <f>AZ151</f>
        <v>275.411</v>
      </c>
      <c r="BB151" s="92">
        <f>BA151+BB98</f>
        <v>275.411</v>
      </c>
      <c r="BC151" s="92">
        <f>BB151+BC98</f>
        <v>275.411</v>
      </c>
      <c r="BD151" s="92">
        <f>BC151</f>
        <v>275.411</v>
      </c>
      <c r="BE151" s="92">
        <f>BD151+BE98</f>
        <v>275.411</v>
      </c>
      <c r="BF151" s="92">
        <f>BE151+BF98</f>
        <v>275.411</v>
      </c>
      <c r="BG151" s="92">
        <f>BF151</f>
        <v>275.411</v>
      </c>
      <c r="BH151" s="92">
        <f>BG151+BH98</f>
        <v>275.411</v>
      </c>
      <c r="BI151" s="92">
        <f>BH151+BI98</f>
        <v>275.411</v>
      </c>
      <c r="BJ151" s="92">
        <f>BI151</f>
        <v>275.411</v>
      </c>
      <c r="BK151" s="92">
        <f>BJ151+BK98</f>
        <v>275.411</v>
      </c>
      <c r="BL151" s="92">
        <f>BK151+BL98</f>
        <v>275.411</v>
      </c>
      <c r="BM151" s="92">
        <f>BL151</f>
        <v>275.411</v>
      </c>
    </row>
    <row r="152" spans="1:73">
      <c r="A152" s="89" t="s">
        <v>383</v>
      </c>
      <c r="B152" s="52" t="s">
        <v>172</v>
      </c>
      <c r="C152" s="26">
        <v>213.76</v>
      </c>
      <c r="D152" s="25">
        <f>E152</f>
        <v>231.833</v>
      </c>
      <c r="E152" s="98">
        <v>231.833</v>
      </c>
      <c r="F152" s="26">
        <v>222.05699999999999</v>
      </c>
      <c r="G152" s="25">
        <f>H152</f>
        <v>246.25700000000001</v>
      </c>
      <c r="H152" s="98">
        <v>246.25700000000001</v>
      </c>
      <c r="I152" s="26">
        <v>220.60400000000001</v>
      </c>
      <c r="J152" s="25">
        <f>K152</f>
        <v>230.24799999999999</v>
      </c>
      <c r="K152" s="98">
        <v>230.24799999999999</v>
      </c>
      <c r="L152" s="26">
        <v>215.49600000000001</v>
      </c>
      <c r="M152" s="25">
        <f>N152</f>
        <v>245.37700000000001</v>
      </c>
      <c r="N152" s="98">
        <v>245.37700000000001</v>
      </c>
      <c r="O152" s="26">
        <v>226.06899999999999</v>
      </c>
      <c r="P152" s="25">
        <f>Q152</f>
        <v>282.71499999999997</v>
      </c>
      <c r="Q152" s="98">
        <v>282.71499999999997</v>
      </c>
      <c r="R152" s="26">
        <v>285.96199999999999</v>
      </c>
      <c r="S152" s="25">
        <f>T152</f>
        <v>306.274</v>
      </c>
      <c r="T152" s="98">
        <v>306.274</v>
      </c>
      <c r="U152" s="26">
        <v>305.43799999999999</v>
      </c>
      <c r="V152" s="25">
        <f>W152</f>
        <v>347.20699999999999</v>
      </c>
      <c r="W152" s="98">
        <v>347.20699999999999</v>
      </c>
      <c r="X152" s="98">
        <v>332.02100000000002</v>
      </c>
      <c r="Y152" s="92">
        <f>Z152</f>
        <v>360.91199999999998</v>
      </c>
      <c r="Z152" s="98">
        <v>360.91199999999998</v>
      </c>
      <c r="AA152" s="98">
        <v>362.69900000000001</v>
      </c>
      <c r="AB152" s="92">
        <f>AC152</f>
        <v>405.733</v>
      </c>
      <c r="AC152" s="98">
        <v>405.733</v>
      </c>
      <c r="AD152" s="98">
        <v>804.60900000000004</v>
      </c>
      <c r="AE152" s="92">
        <f>AF152</f>
        <v>875.32399999999996</v>
      </c>
      <c r="AF152" s="98">
        <v>875.32399999999996</v>
      </c>
      <c r="AG152" s="98">
        <v>864.22799999999995</v>
      </c>
      <c r="AH152" s="92">
        <f>AI152</f>
        <v>931.62800000000004</v>
      </c>
      <c r="AI152" s="98">
        <v>931.62800000000004</v>
      </c>
      <c r="AJ152" s="98">
        <v>854.72299999999996</v>
      </c>
      <c r="AK152" s="92">
        <f>AL152</f>
        <v>1044.037</v>
      </c>
      <c r="AL152" s="98">
        <v>1044.037</v>
      </c>
      <c r="AM152" s="98">
        <v>1106.6289999999999</v>
      </c>
      <c r="AN152" s="92">
        <f>AO152</f>
        <v>1367.5029999999999</v>
      </c>
      <c r="AO152" s="98">
        <v>1367.5029999999999</v>
      </c>
      <c r="AP152" s="98">
        <v>1292.9390000000001</v>
      </c>
      <c r="AQ152" s="92">
        <f>AR152</f>
        <v>1338.414</v>
      </c>
      <c r="AR152" s="98">
        <v>1338.414</v>
      </c>
      <c r="AS152" s="98">
        <v>1229.902</v>
      </c>
      <c r="AT152" s="92">
        <f>AU152</f>
        <v>1369.3019999999999</v>
      </c>
      <c r="AU152" s="98">
        <v>1369.3019999999999</v>
      </c>
      <c r="AV152" s="98">
        <v>1315.5840000000001</v>
      </c>
      <c r="AW152" s="92">
        <f>AX152</f>
        <v>1376.482</v>
      </c>
      <c r="AX152" s="404">
        <v>1376.482</v>
      </c>
      <c r="AY152" s="92">
        <f>AY203</f>
        <v>1374.1947504418399</v>
      </c>
      <c r="AZ152" s="92">
        <f>AZ203</f>
        <v>1423.0993244576296</v>
      </c>
      <c r="BA152" s="92">
        <f>AZ152</f>
        <v>1423.0993244576296</v>
      </c>
      <c r="BB152" s="92">
        <f>BB203</f>
        <v>1436.2025440106622</v>
      </c>
      <c r="BC152" s="92">
        <f>BC203</f>
        <v>1484.678204206052</v>
      </c>
      <c r="BD152" s="92">
        <f>BC152</f>
        <v>1484.678204206052</v>
      </c>
      <c r="BE152" s="92">
        <f>BE203</f>
        <v>1513.3437844280731</v>
      </c>
      <c r="BF152" s="92">
        <f>BF203</f>
        <v>1558.2746900219431</v>
      </c>
      <c r="BG152" s="92">
        <f>BF152</f>
        <v>1558.2746900219431</v>
      </c>
      <c r="BH152" s="92">
        <f>BH203</f>
        <v>1564.011712512026</v>
      </c>
      <c r="BI152" s="92">
        <f>BI203</f>
        <v>1609.0727529686001</v>
      </c>
      <c r="BJ152" s="92">
        <f>BI152</f>
        <v>1609.0727529686001</v>
      </c>
      <c r="BK152" s="92">
        <f>BK203</f>
        <v>1587.3697661902356</v>
      </c>
      <c r="BL152" s="92">
        <f>BL203</f>
        <v>1640.9328744997274</v>
      </c>
      <c r="BM152" s="92">
        <f>BL152</f>
        <v>1640.9328744997274</v>
      </c>
    </row>
    <row r="153" spans="1:73">
      <c r="A153" s="89" t="s">
        <v>216</v>
      </c>
      <c r="B153" s="52" t="s">
        <v>172</v>
      </c>
      <c r="C153" s="26">
        <v>209.53399999999999</v>
      </c>
      <c r="D153" s="25">
        <f>E153</f>
        <v>202.161</v>
      </c>
      <c r="E153" s="98">
        <v>202.161</v>
      </c>
      <c r="F153" s="26">
        <v>222.12100000000001</v>
      </c>
      <c r="G153" s="25">
        <f>H153</f>
        <v>212.48099999999999</v>
      </c>
      <c r="H153" s="98">
        <v>212.48099999999999</v>
      </c>
      <c r="I153" s="26">
        <v>206.28800000000001</v>
      </c>
      <c r="J153" s="25">
        <f>K153</f>
        <v>212.624</v>
      </c>
      <c r="K153" s="98">
        <v>212.624</v>
      </c>
      <c r="L153" s="26">
        <v>217.11199999999999</v>
      </c>
      <c r="M153" s="25">
        <f>N153</f>
        <v>224.60900000000001</v>
      </c>
      <c r="N153" s="98">
        <v>224.60900000000001</v>
      </c>
      <c r="O153" s="26">
        <v>236.852</v>
      </c>
      <c r="P153" s="25">
        <f>Q153</f>
        <v>325.65499999999997</v>
      </c>
      <c r="Q153" s="98">
        <v>325.65499999999997</v>
      </c>
      <c r="R153" s="26">
        <v>349.71600000000001</v>
      </c>
      <c r="S153" s="25">
        <f>T153</f>
        <v>365.42500000000001</v>
      </c>
      <c r="T153" s="98">
        <v>365.42500000000001</v>
      </c>
      <c r="U153" s="26">
        <v>397.69600000000003</v>
      </c>
      <c r="V153" s="25">
        <f>W153</f>
        <v>405.9</v>
      </c>
      <c r="W153" s="98">
        <v>405.9</v>
      </c>
      <c r="X153" s="98">
        <v>444.69299999999998</v>
      </c>
      <c r="Y153" s="92">
        <f>Z153</f>
        <v>457.06299999999999</v>
      </c>
      <c r="Z153" s="98">
        <v>457.06299999999999</v>
      </c>
      <c r="AA153" s="98">
        <v>495.41500000000002</v>
      </c>
      <c r="AB153" s="92">
        <f>AC153</f>
        <v>540.56399999999996</v>
      </c>
      <c r="AC153" s="98">
        <v>540.56399999999996</v>
      </c>
      <c r="AD153" s="98">
        <v>958.202</v>
      </c>
      <c r="AE153" s="92">
        <f>AF153</f>
        <v>955.71100000000001</v>
      </c>
      <c r="AF153" s="98">
        <v>955.71100000000001</v>
      </c>
      <c r="AG153" s="98">
        <v>985.15700000000004</v>
      </c>
      <c r="AH153" s="92">
        <f>AI153</f>
        <v>967.51</v>
      </c>
      <c r="AI153" s="98">
        <v>967.51</v>
      </c>
      <c r="AJ153" s="98">
        <v>1023.314</v>
      </c>
      <c r="AK153" s="92">
        <f>AL153</f>
        <v>1138.117</v>
      </c>
      <c r="AL153" s="98">
        <v>1138.117</v>
      </c>
      <c r="AM153" s="98">
        <v>1421.413</v>
      </c>
      <c r="AN153" s="92">
        <f>AO153</f>
        <v>1528.4110000000001</v>
      </c>
      <c r="AO153" s="98">
        <v>1528.4110000000001</v>
      </c>
      <c r="AP153" s="98">
        <v>1575.0050000000001</v>
      </c>
      <c r="AQ153" s="92">
        <f>AR153</f>
        <v>1504.8920000000001</v>
      </c>
      <c r="AR153" s="98">
        <v>1504.8920000000001</v>
      </c>
      <c r="AS153" s="98">
        <v>1441.347</v>
      </c>
      <c r="AT153" s="92">
        <f>AU153</f>
        <v>1496.348</v>
      </c>
      <c r="AU153" s="98">
        <v>1496.348</v>
      </c>
      <c r="AV153" s="98">
        <v>1566.4110000000001</v>
      </c>
      <c r="AW153" s="92">
        <f>AX153</f>
        <v>1617.171</v>
      </c>
      <c r="AX153" s="404">
        <v>1617.171</v>
      </c>
      <c r="AY153" s="92">
        <f>AY202</f>
        <v>1663.7880060963184</v>
      </c>
      <c r="AZ153" s="92">
        <f>AZ202</f>
        <v>1700.3229564799981</v>
      </c>
      <c r="BA153" s="92">
        <f>AZ153</f>
        <v>1700.3229564799981</v>
      </c>
      <c r="BB153" s="92">
        <f>BB202</f>
        <v>1767.6997641605956</v>
      </c>
      <c r="BC153" s="92">
        <f>BC202</f>
        <v>1803.5089553402274</v>
      </c>
      <c r="BD153" s="92">
        <f>BC153</f>
        <v>1803.5089553402274</v>
      </c>
      <c r="BE153" s="92">
        <f>BE202</f>
        <v>1893.0318867522878</v>
      </c>
      <c r="BF153" s="92">
        <f>BF202</f>
        <v>1923.9893348433359</v>
      </c>
      <c r="BG153" s="92">
        <f>BF153</f>
        <v>1923.9893348433359</v>
      </c>
      <c r="BH153" s="92">
        <f>BH202</f>
        <v>1987.8149187457914</v>
      </c>
      <c r="BI153" s="92">
        <f>BI202</f>
        <v>2018.8016889947905</v>
      </c>
      <c r="BJ153" s="92">
        <f>BI153</f>
        <v>2018.8016889947905</v>
      </c>
      <c r="BK153" s="92">
        <f>BK202</f>
        <v>2049.3741912828059</v>
      </c>
      <c r="BL153" s="92">
        <f>BL202</f>
        <v>2091.5023957485619</v>
      </c>
      <c r="BM153" s="92">
        <f>BL153</f>
        <v>2091.5023957485619</v>
      </c>
    </row>
    <row r="154" spans="1:73">
      <c r="A154" s="89" t="s">
        <v>195</v>
      </c>
      <c r="B154" s="52" t="s">
        <v>172</v>
      </c>
      <c r="C154" s="308">
        <v>0</v>
      </c>
      <c r="D154" s="309">
        <f>E154</f>
        <v>0</v>
      </c>
      <c r="E154" s="308">
        <v>0</v>
      </c>
      <c r="F154" s="308">
        <v>0</v>
      </c>
      <c r="G154" s="309">
        <f>H154</f>
        <v>0</v>
      </c>
      <c r="H154" s="308">
        <v>0</v>
      </c>
      <c r="I154" s="308">
        <v>0</v>
      </c>
      <c r="J154" s="309">
        <f>K154</f>
        <v>0</v>
      </c>
      <c r="K154" s="308">
        <v>0</v>
      </c>
      <c r="L154" s="308">
        <v>0</v>
      </c>
      <c r="M154" s="309">
        <f>N154</f>
        <v>0</v>
      </c>
      <c r="N154" s="308">
        <v>0</v>
      </c>
      <c r="O154" s="308">
        <v>0</v>
      </c>
      <c r="P154" s="309">
        <f>Q154</f>
        <v>0</v>
      </c>
      <c r="Q154" s="308">
        <v>0</v>
      </c>
      <c r="R154" s="308">
        <v>0</v>
      </c>
      <c r="S154" s="309">
        <f>T154</f>
        <v>0</v>
      </c>
      <c r="T154" s="308">
        <v>0</v>
      </c>
      <c r="U154" s="308">
        <v>0</v>
      </c>
      <c r="V154" s="309">
        <f>W154</f>
        <v>0</v>
      </c>
      <c r="W154" s="308">
        <v>0</v>
      </c>
      <c r="X154" s="308">
        <v>0</v>
      </c>
      <c r="Y154" s="309">
        <f>Z154</f>
        <v>0</v>
      </c>
      <c r="Z154" s="308">
        <v>0</v>
      </c>
      <c r="AA154" s="308">
        <v>0</v>
      </c>
      <c r="AB154" s="92">
        <f>AC154</f>
        <v>4.4790000000000001</v>
      </c>
      <c r="AC154" s="98">
        <v>4.4790000000000001</v>
      </c>
      <c r="AD154" s="98">
        <v>3.0619999999999998</v>
      </c>
      <c r="AE154" s="92">
        <f>AF154</f>
        <v>2.2090000000000001</v>
      </c>
      <c r="AF154" s="98">
        <v>2.2090000000000001</v>
      </c>
      <c r="AG154" s="98"/>
      <c r="AH154" s="92">
        <f>AI154</f>
        <v>0</v>
      </c>
      <c r="AI154" s="98"/>
      <c r="AJ154" s="92">
        <f>AI154</f>
        <v>0</v>
      </c>
      <c r="AK154" s="92">
        <f>AL154</f>
        <v>1.0289999999999999</v>
      </c>
      <c r="AL154" s="98">
        <v>1.0289999999999999</v>
      </c>
      <c r="AM154" s="92">
        <v>0.74299999999999999</v>
      </c>
      <c r="AN154" s="92">
        <f>AO154</f>
        <v>6.7190000000000003</v>
      </c>
      <c r="AO154" s="98">
        <v>6.7190000000000003</v>
      </c>
      <c r="AP154" s="92">
        <v>0</v>
      </c>
      <c r="AQ154" s="92">
        <f>AR154</f>
        <v>3.0470000000000002</v>
      </c>
      <c r="AR154" s="98">
        <v>3.0470000000000002</v>
      </c>
      <c r="AS154" s="92">
        <v>0</v>
      </c>
      <c r="AT154" s="92">
        <f>AU154</f>
        <v>0</v>
      </c>
      <c r="AU154" s="98">
        <v>0</v>
      </c>
      <c r="AV154" s="98">
        <v>6.2610000000000001</v>
      </c>
      <c r="AW154" s="92">
        <f>AX154</f>
        <v>0</v>
      </c>
      <c r="AX154" s="404">
        <v>0</v>
      </c>
      <c r="AY154" s="92">
        <f t="shared" ref="AY154:BL154" si="215">AX154</f>
        <v>0</v>
      </c>
      <c r="AZ154" s="92">
        <f t="shared" si="215"/>
        <v>0</v>
      </c>
      <c r="BA154" s="92">
        <f t="shared" si="215"/>
        <v>0</v>
      </c>
      <c r="BB154" s="92">
        <f t="shared" si="215"/>
        <v>0</v>
      </c>
      <c r="BC154" s="92">
        <f t="shared" si="215"/>
        <v>0</v>
      </c>
      <c r="BD154" s="92">
        <f t="shared" si="215"/>
        <v>0</v>
      </c>
      <c r="BE154" s="92">
        <f t="shared" si="215"/>
        <v>0</v>
      </c>
      <c r="BF154" s="92">
        <f t="shared" si="215"/>
        <v>0</v>
      </c>
      <c r="BG154" s="92">
        <f t="shared" si="215"/>
        <v>0</v>
      </c>
      <c r="BH154" s="92">
        <f t="shared" si="215"/>
        <v>0</v>
      </c>
      <c r="BI154" s="92">
        <f t="shared" si="215"/>
        <v>0</v>
      </c>
      <c r="BJ154" s="92">
        <f t="shared" si="215"/>
        <v>0</v>
      </c>
      <c r="BK154" s="92">
        <f t="shared" si="215"/>
        <v>0</v>
      </c>
      <c r="BL154" s="92">
        <f t="shared" si="215"/>
        <v>0</v>
      </c>
      <c r="BM154" s="92">
        <f>BL154</f>
        <v>0</v>
      </c>
    </row>
    <row r="155" spans="1:73">
      <c r="A155" s="13" t="s">
        <v>75</v>
      </c>
      <c r="B155" s="55" t="s">
        <v>172</v>
      </c>
      <c r="C155" s="94">
        <f t="shared" ref="C155:S155" si="216">SUM(C151:C154)</f>
        <v>508.79499999999996</v>
      </c>
      <c r="D155" s="94">
        <f t="shared" si="216"/>
        <v>556.625</v>
      </c>
      <c r="E155" s="94">
        <f t="shared" si="216"/>
        <v>556.625</v>
      </c>
      <c r="F155" s="94">
        <f t="shared" si="216"/>
        <v>542.67899999999997</v>
      </c>
      <c r="G155" s="94">
        <f t="shared" si="216"/>
        <v>592.92399999999998</v>
      </c>
      <c r="H155" s="94">
        <f t="shared" si="216"/>
        <v>592.92399999999998</v>
      </c>
      <c r="I155" s="94">
        <f t="shared" si="216"/>
        <v>565.97900000000004</v>
      </c>
      <c r="J155" s="94">
        <f t="shared" si="216"/>
        <v>609.63</v>
      </c>
      <c r="K155" s="94">
        <f t="shared" si="216"/>
        <v>609.63</v>
      </c>
      <c r="L155" s="94">
        <f t="shared" si="216"/>
        <v>567.37299999999993</v>
      </c>
      <c r="M155" s="94">
        <f t="shared" si="216"/>
        <v>626.21800000000007</v>
      </c>
      <c r="N155" s="94">
        <f t="shared" si="216"/>
        <v>626.21800000000007</v>
      </c>
      <c r="O155" s="94">
        <f t="shared" si="216"/>
        <v>608.53399999999999</v>
      </c>
      <c r="P155" s="94">
        <f t="shared" si="216"/>
        <v>682.13199999999995</v>
      </c>
      <c r="Q155" s="94">
        <f t="shared" si="216"/>
        <v>682.13199999999995</v>
      </c>
      <c r="R155" s="94">
        <f t="shared" si="216"/>
        <v>690.77700000000004</v>
      </c>
      <c r="S155" s="94">
        <f t="shared" si="216"/>
        <v>756.72</v>
      </c>
      <c r="T155" s="94">
        <f t="shared" ref="T155:AD155" si="217">SUM(T151:T154)</f>
        <v>756.72</v>
      </c>
      <c r="U155" s="94">
        <f t="shared" si="217"/>
        <v>776.58400000000006</v>
      </c>
      <c r="V155" s="94">
        <f t="shared" si="217"/>
        <v>858.23</v>
      </c>
      <c r="W155" s="94">
        <f t="shared" si="217"/>
        <v>858.23</v>
      </c>
      <c r="X155" s="94">
        <f t="shared" si="217"/>
        <v>832.495</v>
      </c>
      <c r="Y155" s="94">
        <f t="shared" si="217"/>
        <v>919.78</v>
      </c>
      <c r="Z155" s="94">
        <f t="shared" si="217"/>
        <v>919.78</v>
      </c>
      <c r="AA155" s="94">
        <f t="shared" si="217"/>
        <v>908.36900000000003</v>
      </c>
      <c r="AB155" s="94">
        <f>SUM(AB151:AB154)</f>
        <v>1490.6670000000001</v>
      </c>
      <c r="AC155" s="94">
        <f t="shared" si="217"/>
        <v>1490.6670000000001</v>
      </c>
      <c r="AD155" s="94">
        <f t="shared" si="217"/>
        <v>1865.1479999999999</v>
      </c>
      <c r="AE155" s="94">
        <f>SUM(AE151:AE154)</f>
        <v>1960.951</v>
      </c>
      <c r="AF155" s="94">
        <f t="shared" ref="AF155:AO155" si="218">SUM(AF151:AF154)</f>
        <v>1960.951</v>
      </c>
      <c r="AG155" s="94">
        <f t="shared" si="218"/>
        <v>1952.722</v>
      </c>
      <c r="AH155" s="94">
        <f>SUM(AH151:AH154)</f>
        <v>2903.846</v>
      </c>
      <c r="AI155" s="94">
        <f t="shared" si="218"/>
        <v>2903.846</v>
      </c>
      <c r="AJ155" s="94">
        <f t="shared" si="218"/>
        <v>2831.8339999999998</v>
      </c>
      <c r="AK155" s="94">
        <f>SUM(AK151:AK154)</f>
        <v>3012.1489999999999</v>
      </c>
      <c r="AL155" s="94">
        <f t="shared" si="218"/>
        <v>3012.1489999999999</v>
      </c>
      <c r="AM155" s="94">
        <f t="shared" si="218"/>
        <v>2646.7459999999996</v>
      </c>
      <c r="AN155" s="94">
        <f>AO155</f>
        <v>3123.116</v>
      </c>
      <c r="AO155" s="94">
        <f t="shared" si="218"/>
        <v>3123.116</v>
      </c>
      <c r="AP155" s="94">
        <f>SUM(AP151:AP154)</f>
        <v>3009.7490000000003</v>
      </c>
      <c r="AQ155" s="94">
        <f>AR155</f>
        <v>3219.0589999999997</v>
      </c>
      <c r="AR155" s="94">
        <f>SUM(AR151:AR154)</f>
        <v>3219.0589999999997</v>
      </c>
      <c r="AS155" s="94">
        <f>SUM(AS151:AS154)</f>
        <v>3007.9490000000001</v>
      </c>
      <c r="AT155" s="94">
        <f>AU155</f>
        <v>3207.0299999999997</v>
      </c>
      <c r="AU155" s="94">
        <f>SUM(AU151:AU154)</f>
        <v>3207.0299999999997</v>
      </c>
      <c r="AV155" s="94">
        <f>SUM(AV151:AV154)</f>
        <v>3161.527</v>
      </c>
      <c r="AW155" s="94">
        <f>AX155</f>
        <v>3269.0640000000003</v>
      </c>
      <c r="AX155" s="95">
        <f>SUM(AX151:AX154)</f>
        <v>3269.0640000000003</v>
      </c>
      <c r="AY155" s="94">
        <f t="shared" ref="AY155:BM155" si="219">SUM(AY151:AY154)</f>
        <v>3313.3937565381584</v>
      </c>
      <c r="AZ155" s="94">
        <f t="shared" si="219"/>
        <v>3398.8332809376279</v>
      </c>
      <c r="BA155" s="94">
        <f t="shared" si="219"/>
        <v>3398.8332809376279</v>
      </c>
      <c r="BB155" s="94">
        <f t="shared" si="219"/>
        <v>3479.3133081712576</v>
      </c>
      <c r="BC155" s="94">
        <f t="shared" si="219"/>
        <v>3563.5981595462795</v>
      </c>
      <c r="BD155" s="94">
        <f t="shared" si="219"/>
        <v>3563.5981595462795</v>
      </c>
      <c r="BE155" s="94">
        <f t="shared" si="219"/>
        <v>3681.7866711803608</v>
      </c>
      <c r="BF155" s="94">
        <f t="shared" si="219"/>
        <v>3757.6750248652788</v>
      </c>
      <c r="BG155" s="94">
        <f t="shared" si="219"/>
        <v>3757.6750248652788</v>
      </c>
      <c r="BH155" s="94">
        <f t="shared" si="219"/>
        <v>3827.2376312578172</v>
      </c>
      <c r="BI155" s="94">
        <f t="shared" si="219"/>
        <v>3903.2854419633904</v>
      </c>
      <c r="BJ155" s="94">
        <f t="shared" si="219"/>
        <v>3903.2854419633904</v>
      </c>
      <c r="BK155" s="94">
        <f t="shared" si="219"/>
        <v>3912.1549574730416</v>
      </c>
      <c r="BL155" s="94">
        <f t="shared" si="219"/>
        <v>4007.8462702482893</v>
      </c>
      <c r="BM155" s="94">
        <f t="shared" si="219"/>
        <v>4007.8462702482893</v>
      </c>
    </row>
    <row r="156" spans="1:73">
      <c r="A156" s="13" t="s">
        <v>196</v>
      </c>
      <c r="E156" s="92"/>
      <c r="H156" s="92"/>
      <c r="K156" s="92"/>
      <c r="N156" s="92"/>
      <c r="Q156" s="92"/>
      <c r="T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W156" s="92"/>
      <c r="AX156" s="93"/>
      <c r="AY156" s="92"/>
      <c r="AZ156" s="92"/>
      <c r="BA156" s="92"/>
      <c r="BB156" s="92"/>
      <c r="BC156" s="92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</row>
    <row r="157" spans="1:73">
      <c r="A157" s="89" t="s">
        <v>197</v>
      </c>
      <c r="B157" s="52" t="s">
        <v>172</v>
      </c>
      <c r="C157" s="26">
        <v>304.84399999999999</v>
      </c>
      <c r="D157" s="25">
        <f>E157</f>
        <v>308.04599999999999</v>
      </c>
      <c r="E157" s="98">
        <v>308.04599999999999</v>
      </c>
      <c r="F157" s="26">
        <v>320.48599999999999</v>
      </c>
      <c r="G157" s="25">
        <f>H157</f>
        <v>341.012</v>
      </c>
      <c r="H157" s="98">
        <v>341.012</v>
      </c>
      <c r="I157" s="26">
        <v>358.68599999999998</v>
      </c>
      <c r="J157" s="25">
        <f>K157</f>
        <v>374.19799999999998</v>
      </c>
      <c r="K157" s="98">
        <v>374.19799999999998</v>
      </c>
      <c r="L157" s="26">
        <v>409.81</v>
      </c>
      <c r="M157" s="25">
        <f>N157</f>
        <v>423.779</v>
      </c>
      <c r="N157" s="98">
        <v>423.779</v>
      </c>
      <c r="O157" s="26">
        <v>427.86399999999998</v>
      </c>
      <c r="P157" s="25">
        <f>Q157</f>
        <v>452.13799999999998</v>
      </c>
      <c r="Q157" s="98">
        <v>452.13799999999998</v>
      </c>
      <c r="R157" s="26">
        <v>456.69900000000001</v>
      </c>
      <c r="S157" s="25">
        <f>T157</f>
        <v>462.42700000000002</v>
      </c>
      <c r="T157" s="98">
        <v>462.42700000000002</v>
      </c>
      <c r="U157" s="26">
        <v>482.709</v>
      </c>
      <c r="V157" s="25">
        <f>W157</f>
        <v>500.03500000000003</v>
      </c>
      <c r="W157" s="98">
        <v>500.03500000000003</v>
      </c>
      <c r="X157" s="98">
        <v>516.65200000000004</v>
      </c>
      <c r="Y157" s="92">
        <f>Z157</f>
        <v>528.90800000000002</v>
      </c>
      <c r="Z157" s="98">
        <v>528.90800000000002</v>
      </c>
      <c r="AA157" s="98">
        <v>543.4</v>
      </c>
      <c r="AB157" s="92">
        <f>AC157</f>
        <v>568.71400000000006</v>
      </c>
      <c r="AC157" s="98">
        <v>568.71400000000006</v>
      </c>
      <c r="AD157" s="98">
        <v>662.07100000000003</v>
      </c>
      <c r="AE157" s="92">
        <f>AF157</f>
        <v>664.00900000000001</v>
      </c>
      <c r="AF157" s="98">
        <v>664.00900000000001</v>
      </c>
      <c r="AG157" s="98">
        <v>663.89800000000002</v>
      </c>
      <c r="AH157" s="92">
        <f>AI157</f>
        <v>656.93200000000002</v>
      </c>
      <c r="AI157" s="98">
        <v>656.93200000000002</v>
      </c>
      <c r="AJ157" s="98">
        <v>625.57399999999996</v>
      </c>
      <c r="AK157" s="92">
        <f>AL157</f>
        <v>624.09900000000005</v>
      </c>
      <c r="AL157" s="98">
        <v>624.09900000000005</v>
      </c>
      <c r="AM157" s="98">
        <v>671.88499999999999</v>
      </c>
      <c r="AN157" s="92">
        <f>AO157</f>
        <v>729.40499999999997</v>
      </c>
      <c r="AO157" s="98">
        <v>729.40499999999997</v>
      </c>
      <c r="AP157" s="98">
        <v>757.53700000000003</v>
      </c>
      <c r="AQ157" s="92">
        <f>AR157</f>
        <v>786.92200000000003</v>
      </c>
      <c r="AR157" s="98">
        <v>786.92200000000003</v>
      </c>
      <c r="AS157" s="98">
        <v>829.19899999999996</v>
      </c>
      <c r="AT157" s="92">
        <f>AU157</f>
        <v>909.36900000000003</v>
      </c>
      <c r="AU157" s="98">
        <v>909.36900000000003</v>
      </c>
      <c r="AV157" s="98">
        <v>1006.309</v>
      </c>
      <c r="AW157" s="92">
        <f>AX157</f>
        <v>1036.2670000000001</v>
      </c>
      <c r="AX157" s="404">
        <v>1036.2670000000001</v>
      </c>
      <c r="AY157" s="92">
        <f t="shared" ref="AY157:BM157" si="220">AY140</f>
        <v>996.02299000000016</v>
      </c>
      <c r="AZ157" s="92">
        <f t="shared" si="220"/>
        <v>948.86119000000019</v>
      </c>
      <c r="BA157" s="92">
        <f t="shared" si="220"/>
        <v>948.86119000000008</v>
      </c>
      <c r="BB157" s="92">
        <f t="shared" si="220"/>
        <v>905.77534119999996</v>
      </c>
      <c r="BC157" s="92">
        <f t="shared" si="220"/>
        <v>855.15813264999997</v>
      </c>
      <c r="BD157" s="92">
        <f t="shared" si="220"/>
        <v>855.1581326500002</v>
      </c>
      <c r="BE157" s="92">
        <f t="shared" si="220"/>
        <v>809.1434040160002</v>
      </c>
      <c r="BF157" s="92">
        <f t="shared" si="220"/>
        <v>754.9336962535001</v>
      </c>
      <c r="BG157" s="92">
        <f t="shared" si="220"/>
        <v>754.9336962535001</v>
      </c>
      <c r="BH157" s="92">
        <f t="shared" si="220"/>
        <v>705.89944377808013</v>
      </c>
      <c r="BI157" s="92">
        <f t="shared" si="220"/>
        <v>647.95423398683511</v>
      </c>
      <c r="BJ157" s="92">
        <f t="shared" si="220"/>
        <v>647.95423398683511</v>
      </c>
      <c r="BK157" s="92">
        <f t="shared" si="220"/>
        <v>595.80605071385446</v>
      </c>
      <c r="BL157" s="92">
        <f t="shared" si="220"/>
        <v>533.97615402729718</v>
      </c>
      <c r="BM157" s="92">
        <f t="shared" si="220"/>
        <v>533.97615402729707</v>
      </c>
    </row>
    <row r="158" spans="1:73">
      <c r="A158" s="89" t="s">
        <v>459</v>
      </c>
      <c r="B158" s="52" t="s">
        <v>172</v>
      </c>
      <c r="C158" s="308">
        <v>0</v>
      </c>
      <c r="D158" s="309">
        <f>E158</f>
        <v>0</v>
      </c>
      <c r="E158" s="308">
        <v>0</v>
      </c>
      <c r="F158" s="308">
        <v>0</v>
      </c>
      <c r="G158" s="309">
        <f>H158</f>
        <v>0</v>
      </c>
      <c r="H158" s="308">
        <v>0</v>
      </c>
      <c r="I158" s="308">
        <v>0</v>
      </c>
      <c r="J158" s="309">
        <f>K158</f>
        <v>0</v>
      </c>
      <c r="K158" s="308">
        <v>0</v>
      </c>
      <c r="L158" s="308">
        <v>0</v>
      </c>
      <c r="M158" s="309">
        <f>N158</f>
        <v>0</v>
      </c>
      <c r="N158" s="308">
        <v>0</v>
      </c>
      <c r="O158" s="308">
        <v>0</v>
      </c>
      <c r="P158" s="309">
        <f>Q158</f>
        <v>0</v>
      </c>
      <c r="Q158" s="308">
        <v>0</v>
      </c>
      <c r="R158" s="308">
        <v>0</v>
      </c>
      <c r="S158" s="309">
        <f>T158</f>
        <v>0</v>
      </c>
      <c r="T158" s="308">
        <v>0</v>
      </c>
      <c r="U158" s="308">
        <v>0</v>
      </c>
      <c r="V158" s="309">
        <f>W158</f>
        <v>0</v>
      </c>
      <c r="W158" s="308">
        <v>0</v>
      </c>
      <c r="X158" s="308">
        <v>0</v>
      </c>
      <c r="Y158" s="309">
        <f>Z158</f>
        <v>0</v>
      </c>
      <c r="Z158" s="308">
        <v>0</v>
      </c>
      <c r="AA158" s="308">
        <v>0</v>
      </c>
      <c r="AB158" s="309">
        <f>AC158</f>
        <v>0</v>
      </c>
      <c r="AC158" s="308">
        <v>0</v>
      </c>
      <c r="AD158" s="308">
        <v>0</v>
      </c>
      <c r="AE158" s="309">
        <f>AF158</f>
        <v>0</v>
      </c>
      <c r="AF158" s="308">
        <v>0</v>
      </c>
      <c r="AG158" s="98">
        <v>676.64</v>
      </c>
      <c r="AH158" s="92">
        <f>AI158</f>
        <v>688.40800000000002</v>
      </c>
      <c r="AI158" s="98">
        <v>688.40800000000002</v>
      </c>
      <c r="AJ158" s="98">
        <v>615.81500000000005</v>
      </c>
      <c r="AK158" s="92">
        <f>AL158</f>
        <v>633.05200000000002</v>
      </c>
      <c r="AL158" s="98">
        <v>633.05200000000002</v>
      </c>
      <c r="AM158" s="98">
        <v>743.52</v>
      </c>
      <c r="AN158" s="92">
        <f>AO158</f>
        <v>763.51499999999999</v>
      </c>
      <c r="AO158" s="98">
        <v>763.51499999999999</v>
      </c>
      <c r="AP158" s="98">
        <v>738.08399999999995</v>
      </c>
      <c r="AQ158" s="92">
        <f>AR158</f>
        <v>799.37900000000002</v>
      </c>
      <c r="AR158" s="98">
        <v>799.37900000000002</v>
      </c>
      <c r="AS158" s="98">
        <v>811.44600000000003</v>
      </c>
      <c r="AT158" s="92">
        <f>AU158</f>
        <v>892.36900000000003</v>
      </c>
      <c r="AU158" s="98">
        <v>892.36900000000003</v>
      </c>
      <c r="AV158" s="98">
        <v>926.928</v>
      </c>
      <c r="AW158" s="92">
        <f>AX158</f>
        <v>985.94100000000003</v>
      </c>
      <c r="AX158" s="404">
        <v>985.94100000000003</v>
      </c>
      <c r="AY158" s="92">
        <f t="shared" ref="AY158:BM158" si="221">AX158</f>
        <v>985.94100000000003</v>
      </c>
      <c r="AZ158" s="92">
        <f t="shared" si="221"/>
        <v>985.94100000000003</v>
      </c>
      <c r="BA158" s="92">
        <f t="shared" si="221"/>
        <v>985.94100000000003</v>
      </c>
      <c r="BB158" s="92">
        <f t="shared" si="221"/>
        <v>985.94100000000003</v>
      </c>
      <c r="BC158" s="92">
        <f t="shared" si="221"/>
        <v>985.94100000000003</v>
      </c>
      <c r="BD158" s="92">
        <f t="shared" si="221"/>
        <v>985.94100000000003</v>
      </c>
      <c r="BE158" s="92">
        <f t="shared" si="221"/>
        <v>985.94100000000003</v>
      </c>
      <c r="BF158" s="92">
        <f t="shared" si="221"/>
        <v>985.94100000000003</v>
      </c>
      <c r="BG158" s="92">
        <f t="shared" si="221"/>
        <v>985.94100000000003</v>
      </c>
      <c r="BH158" s="92">
        <f t="shared" si="221"/>
        <v>985.94100000000003</v>
      </c>
      <c r="BI158" s="92">
        <f t="shared" si="221"/>
        <v>985.94100000000003</v>
      </c>
      <c r="BJ158" s="92">
        <f t="shared" si="221"/>
        <v>985.94100000000003</v>
      </c>
      <c r="BK158" s="92">
        <f t="shared" si="221"/>
        <v>985.94100000000003</v>
      </c>
      <c r="BL158" s="92">
        <f t="shared" si="221"/>
        <v>985.94100000000003</v>
      </c>
      <c r="BM158" s="92">
        <f t="shared" si="221"/>
        <v>985.94100000000003</v>
      </c>
    </row>
    <row r="159" spans="1:73">
      <c r="A159" s="89" t="s">
        <v>460</v>
      </c>
      <c r="B159" s="52" t="s">
        <v>172</v>
      </c>
      <c r="C159" s="308">
        <v>0</v>
      </c>
      <c r="D159" s="309">
        <f>E159</f>
        <v>0</v>
      </c>
      <c r="E159" s="308">
        <v>0</v>
      </c>
      <c r="F159" s="308">
        <v>0</v>
      </c>
      <c r="G159" s="309">
        <f>H159</f>
        <v>0</v>
      </c>
      <c r="H159" s="308">
        <v>0</v>
      </c>
      <c r="I159" s="308">
        <v>0</v>
      </c>
      <c r="J159" s="309">
        <f>K159</f>
        <v>0</v>
      </c>
      <c r="K159" s="308">
        <v>0</v>
      </c>
      <c r="L159" s="26">
        <v>3.367</v>
      </c>
      <c r="M159" s="25">
        <f>N159</f>
        <v>3.367</v>
      </c>
      <c r="N159" s="98">
        <v>3.367</v>
      </c>
      <c r="O159" s="26">
        <v>3.367</v>
      </c>
      <c r="P159" s="25">
        <f>Q159</f>
        <v>211.84299999999999</v>
      </c>
      <c r="Q159" s="98">
        <v>211.84299999999999</v>
      </c>
      <c r="R159" s="26">
        <v>211.84299999999999</v>
      </c>
      <c r="S159" s="25">
        <f>T159</f>
        <v>211.84299999999999</v>
      </c>
      <c r="T159" s="98">
        <v>211.84299999999999</v>
      </c>
      <c r="U159" s="26">
        <v>211.84299999999999</v>
      </c>
      <c r="V159" s="25">
        <f>W159</f>
        <v>201.392</v>
      </c>
      <c r="W159" s="98">
        <v>201.392</v>
      </c>
      <c r="X159" s="98">
        <v>201.392</v>
      </c>
      <c r="Y159" s="92">
        <f>Z159</f>
        <v>205.16900000000001</v>
      </c>
      <c r="Z159" s="98">
        <v>205.16900000000001</v>
      </c>
      <c r="AA159" s="98">
        <v>222.44900000000001</v>
      </c>
      <c r="AB159" s="92">
        <f>AC159</f>
        <v>225.74100000000001</v>
      </c>
      <c r="AC159" s="98">
        <v>225.74100000000001</v>
      </c>
      <c r="AD159" s="98">
        <v>1760.518</v>
      </c>
      <c r="AE159" s="92">
        <f>AF159</f>
        <v>1772.1659999999999</v>
      </c>
      <c r="AF159" s="98">
        <v>1772.1659999999999</v>
      </c>
      <c r="AG159" s="98">
        <v>1947.674</v>
      </c>
      <c r="AH159" s="92">
        <f>AI159</f>
        <v>1970.942</v>
      </c>
      <c r="AI159" s="98">
        <v>1970.942</v>
      </c>
      <c r="AJ159" s="98">
        <v>1765.056</v>
      </c>
      <c r="AK159" s="92">
        <f>AL159</f>
        <v>1780.63</v>
      </c>
      <c r="AL159" s="98">
        <v>1780.63</v>
      </c>
      <c r="AM159" s="98">
        <v>1836.7840000000001</v>
      </c>
      <c r="AN159" s="92">
        <f>AO159</f>
        <v>1906.34</v>
      </c>
      <c r="AO159" s="98">
        <v>1906.34</v>
      </c>
      <c r="AP159" s="98">
        <v>1906.0630000000001</v>
      </c>
      <c r="AQ159" s="92">
        <f>AR159</f>
        <v>2020.8879999999999</v>
      </c>
      <c r="AR159" s="98">
        <v>2020.8879999999999</v>
      </c>
      <c r="AS159" s="98">
        <v>1952.7329999999999</v>
      </c>
      <c r="AT159" s="92">
        <f>AU159</f>
        <v>1983.2190000000001</v>
      </c>
      <c r="AU159" s="98">
        <v>1983.2190000000001</v>
      </c>
      <c r="AV159" s="98">
        <v>2078.7280000000001</v>
      </c>
      <c r="AW159" s="92">
        <f>AX159</f>
        <v>2015.5609999999999</v>
      </c>
      <c r="AX159" s="404">
        <v>2015.5609999999999</v>
      </c>
      <c r="AY159" s="92">
        <f t="shared" ref="AY159:BM159" si="222">AX159</f>
        <v>2015.5609999999999</v>
      </c>
      <c r="AZ159" s="92">
        <f t="shared" si="222"/>
        <v>2015.5609999999999</v>
      </c>
      <c r="BA159" s="92">
        <f t="shared" si="222"/>
        <v>2015.5609999999999</v>
      </c>
      <c r="BB159" s="92">
        <f t="shared" si="222"/>
        <v>2015.5609999999999</v>
      </c>
      <c r="BC159" s="92">
        <f t="shared" si="222"/>
        <v>2015.5609999999999</v>
      </c>
      <c r="BD159" s="92">
        <f t="shared" si="222"/>
        <v>2015.5609999999999</v>
      </c>
      <c r="BE159" s="92">
        <f t="shared" si="222"/>
        <v>2015.5609999999999</v>
      </c>
      <c r="BF159" s="92">
        <f t="shared" si="222"/>
        <v>2015.5609999999999</v>
      </c>
      <c r="BG159" s="92">
        <f t="shared" si="222"/>
        <v>2015.5609999999999</v>
      </c>
      <c r="BH159" s="92">
        <f t="shared" si="222"/>
        <v>2015.5609999999999</v>
      </c>
      <c r="BI159" s="92">
        <f t="shared" si="222"/>
        <v>2015.5609999999999</v>
      </c>
      <c r="BJ159" s="92">
        <f t="shared" si="222"/>
        <v>2015.5609999999999</v>
      </c>
      <c r="BK159" s="92">
        <f t="shared" si="222"/>
        <v>2015.5609999999999</v>
      </c>
      <c r="BL159" s="92">
        <f t="shared" si="222"/>
        <v>2015.5609999999999</v>
      </c>
      <c r="BM159" s="92">
        <f t="shared" si="222"/>
        <v>2015.5609999999999</v>
      </c>
    </row>
    <row r="160" spans="1:73">
      <c r="A160" s="89" t="s">
        <v>264</v>
      </c>
      <c r="B160" s="52" t="s">
        <v>172</v>
      </c>
      <c r="C160" s="26">
        <v>19.359000000000002</v>
      </c>
      <c r="D160" s="25">
        <f>E160</f>
        <v>22.431000000000001</v>
      </c>
      <c r="E160" s="98">
        <v>22.431000000000001</v>
      </c>
      <c r="F160" s="26">
        <v>23.215</v>
      </c>
      <c r="G160" s="25">
        <f>H160</f>
        <v>24.081</v>
      </c>
      <c r="H160" s="98">
        <v>24.081</v>
      </c>
      <c r="I160" s="26">
        <v>23.59</v>
      </c>
      <c r="J160" s="25">
        <f>K160</f>
        <v>25.038</v>
      </c>
      <c r="K160" s="98">
        <v>25.038</v>
      </c>
      <c r="L160" s="26">
        <v>26.047999999999998</v>
      </c>
      <c r="M160" s="25">
        <f>N160</f>
        <v>23.39</v>
      </c>
      <c r="N160" s="98">
        <v>23.39</v>
      </c>
      <c r="O160" s="26">
        <v>23.75</v>
      </c>
      <c r="P160" s="25">
        <f>Q160</f>
        <v>30.670999999999999</v>
      </c>
      <c r="Q160" s="98">
        <v>30.670999999999999</v>
      </c>
      <c r="R160" s="26">
        <v>27.751000000000001</v>
      </c>
      <c r="S160" s="25">
        <f>T160</f>
        <v>29.609000000000002</v>
      </c>
      <c r="T160" s="98">
        <v>29.609000000000002</v>
      </c>
      <c r="U160" s="26">
        <v>30.084</v>
      </c>
      <c r="V160" s="25">
        <f>W160</f>
        <v>31.696999999999999</v>
      </c>
      <c r="W160" s="98">
        <v>31.696999999999999</v>
      </c>
      <c r="X160" s="98">
        <v>32.631999999999998</v>
      </c>
      <c r="Y160" s="92">
        <f>Z160</f>
        <v>34.088999999999999</v>
      </c>
      <c r="Z160" s="98">
        <v>34.088999999999999</v>
      </c>
      <c r="AA160" s="98">
        <v>36.517000000000003</v>
      </c>
      <c r="AB160" s="92">
        <f>AC160</f>
        <v>39.125</v>
      </c>
      <c r="AC160" s="98">
        <v>39.125</v>
      </c>
      <c r="AD160" s="98">
        <v>58.600999999999999</v>
      </c>
      <c r="AE160" s="92">
        <f>AF160</f>
        <v>39.262999999999998</v>
      </c>
      <c r="AF160" s="98">
        <v>39.262999999999998</v>
      </c>
      <c r="AG160" s="98">
        <v>50.054000000000002</v>
      </c>
      <c r="AH160" s="92">
        <f>AI160</f>
        <v>49.808</v>
      </c>
      <c r="AI160" s="98">
        <v>49.808</v>
      </c>
      <c r="AJ160" s="98">
        <v>51.656999999999996</v>
      </c>
      <c r="AK160" s="92">
        <f>AL160</f>
        <v>53.670999999999999</v>
      </c>
      <c r="AL160" s="98">
        <v>53.670999999999999</v>
      </c>
      <c r="AM160" s="98">
        <v>56.902999999999999</v>
      </c>
      <c r="AN160" s="92">
        <f>AO160</f>
        <v>63.872</v>
      </c>
      <c r="AO160" s="98">
        <v>63.872</v>
      </c>
      <c r="AP160" s="98">
        <v>68.024000000000001</v>
      </c>
      <c r="AQ160" s="92">
        <f>AR160</f>
        <v>72.614000000000004</v>
      </c>
      <c r="AR160" s="98">
        <v>72.614000000000004</v>
      </c>
      <c r="AS160" s="98">
        <v>77.200999999999993</v>
      </c>
      <c r="AT160" s="92">
        <f>AU160</f>
        <v>79.902000000000001</v>
      </c>
      <c r="AU160" s="98">
        <v>79.902000000000001</v>
      </c>
      <c r="AV160" s="98">
        <v>86.513999999999996</v>
      </c>
      <c r="AW160" s="92">
        <f>AX160</f>
        <v>90.251999999999995</v>
      </c>
      <c r="AX160" s="404">
        <v>90.251999999999995</v>
      </c>
      <c r="AY160" s="92">
        <f t="shared" ref="AY160:BM160" si="223">AX160</f>
        <v>90.251999999999995</v>
      </c>
      <c r="AZ160" s="92">
        <f t="shared" si="223"/>
        <v>90.251999999999995</v>
      </c>
      <c r="BA160" s="92">
        <f t="shared" si="223"/>
        <v>90.251999999999995</v>
      </c>
      <c r="BB160" s="92">
        <f t="shared" si="223"/>
        <v>90.251999999999995</v>
      </c>
      <c r="BC160" s="92">
        <f t="shared" si="223"/>
        <v>90.251999999999995</v>
      </c>
      <c r="BD160" s="92">
        <f t="shared" si="223"/>
        <v>90.251999999999995</v>
      </c>
      <c r="BE160" s="92">
        <f t="shared" si="223"/>
        <v>90.251999999999995</v>
      </c>
      <c r="BF160" s="92">
        <f t="shared" si="223"/>
        <v>90.251999999999995</v>
      </c>
      <c r="BG160" s="92">
        <f t="shared" si="223"/>
        <v>90.251999999999995</v>
      </c>
      <c r="BH160" s="92">
        <f t="shared" si="223"/>
        <v>90.251999999999995</v>
      </c>
      <c r="BI160" s="92">
        <f t="shared" si="223"/>
        <v>90.251999999999995</v>
      </c>
      <c r="BJ160" s="92">
        <f t="shared" si="223"/>
        <v>90.251999999999995</v>
      </c>
      <c r="BK160" s="92">
        <f t="shared" si="223"/>
        <v>90.251999999999995</v>
      </c>
      <c r="BL160" s="92">
        <f t="shared" si="223"/>
        <v>90.251999999999995</v>
      </c>
      <c r="BM160" s="92">
        <f t="shared" si="223"/>
        <v>90.251999999999995</v>
      </c>
    </row>
    <row r="161" spans="1:73">
      <c r="A161" s="89" t="s">
        <v>461</v>
      </c>
      <c r="B161" s="52" t="s">
        <v>172</v>
      </c>
      <c r="C161" s="308">
        <v>0</v>
      </c>
      <c r="D161" s="309">
        <f>E161</f>
        <v>0</v>
      </c>
      <c r="E161" s="308">
        <v>0</v>
      </c>
      <c r="F161" s="308">
        <v>0</v>
      </c>
      <c r="G161" s="309">
        <f>H161</f>
        <v>0</v>
      </c>
      <c r="H161" s="308">
        <v>0</v>
      </c>
      <c r="I161" s="308">
        <v>0</v>
      </c>
      <c r="J161" s="309">
        <f>K161</f>
        <v>0</v>
      </c>
      <c r="K161" s="308">
        <v>0</v>
      </c>
      <c r="L161" s="308">
        <v>0</v>
      </c>
      <c r="M161" s="309">
        <f>N161</f>
        <v>0</v>
      </c>
      <c r="N161" s="308">
        <v>0</v>
      </c>
      <c r="O161" s="308">
        <v>0</v>
      </c>
      <c r="P161" s="309">
        <f>Q161</f>
        <v>0</v>
      </c>
      <c r="Q161" s="308">
        <v>0</v>
      </c>
      <c r="R161" s="308">
        <v>0</v>
      </c>
      <c r="S161" s="309">
        <f>T161</f>
        <v>0</v>
      </c>
      <c r="T161" s="308">
        <v>0</v>
      </c>
      <c r="U161" s="308">
        <v>0</v>
      </c>
      <c r="V161" s="309">
        <f>W161</f>
        <v>0</v>
      </c>
      <c r="W161" s="308">
        <v>0</v>
      </c>
      <c r="X161" s="308">
        <v>0</v>
      </c>
      <c r="Y161" s="309">
        <f>Z161</f>
        <v>0</v>
      </c>
      <c r="Z161" s="308">
        <v>0</v>
      </c>
      <c r="AA161" s="308">
        <v>0</v>
      </c>
      <c r="AB161" s="309">
        <f>AC161</f>
        <v>0</v>
      </c>
      <c r="AC161" s="308">
        <v>0</v>
      </c>
      <c r="AD161" s="98">
        <v>44.155000000000001</v>
      </c>
      <c r="AE161" s="92">
        <f>AF161</f>
        <v>37.720999999999997</v>
      </c>
      <c r="AF161" s="98">
        <v>37.720999999999997</v>
      </c>
      <c r="AG161" s="98">
        <v>42.966000000000001</v>
      </c>
      <c r="AH161" s="92">
        <f>AI161</f>
        <v>73.948999999999998</v>
      </c>
      <c r="AI161" s="98">
        <v>73.948999999999998</v>
      </c>
      <c r="AJ161" s="98">
        <v>11.83</v>
      </c>
      <c r="AK161" s="92">
        <f>AL161</f>
        <v>14.468</v>
      </c>
      <c r="AL161" s="98">
        <v>14.468</v>
      </c>
      <c r="AM161" s="98">
        <v>21.227</v>
      </c>
      <c r="AN161" s="92">
        <f>AO161</f>
        <v>21.326000000000001</v>
      </c>
      <c r="AO161" s="98">
        <v>21.326000000000001</v>
      </c>
      <c r="AP161" s="98">
        <v>22.766999999999999</v>
      </c>
      <c r="AQ161" s="92">
        <f>AR161</f>
        <v>25.423999999999999</v>
      </c>
      <c r="AR161" s="98">
        <v>25.423999999999999</v>
      </c>
      <c r="AS161" s="98">
        <v>24.881</v>
      </c>
      <c r="AT161" s="92">
        <f>AU161</f>
        <v>22.98</v>
      </c>
      <c r="AU161" s="98">
        <v>22.98</v>
      </c>
      <c r="AV161" s="98">
        <v>22.204999999999998</v>
      </c>
      <c r="AW161" s="92">
        <f>AX161</f>
        <v>20.367999999999999</v>
      </c>
      <c r="AX161" s="404">
        <v>20.367999999999999</v>
      </c>
      <c r="AY161" s="92">
        <f t="shared" ref="AY161:BM161" si="224">+AX161</f>
        <v>20.367999999999999</v>
      </c>
      <c r="AZ161" s="92">
        <f t="shared" si="224"/>
        <v>20.367999999999999</v>
      </c>
      <c r="BA161" s="92">
        <f t="shared" si="224"/>
        <v>20.367999999999999</v>
      </c>
      <c r="BB161" s="92">
        <f t="shared" si="224"/>
        <v>20.367999999999999</v>
      </c>
      <c r="BC161" s="92">
        <f t="shared" si="224"/>
        <v>20.367999999999999</v>
      </c>
      <c r="BD161" s="92">
        <f t="shared" si="224"/>
        <v>20.367999999999999</v>
      </c>
      <c r="BE161" s="92">
        <f t="shared" si="224"/>
        <v>20.367999999999999</v>
      </c>
      <c r="BF161" s="92">
        <f t="shared" si="224"/>
        <v>20.367999999999999</v>
      </c>
      <c r="BG161" s="92">
        <f t="shared" si="224"/>
        <v>20.367999999999999</v>
      </c>
      <c r="BH161" s="92">
        <f t="shared" si="224"/>
        <v>20.367999999999999</v>
      </c>
      <c r="BI161" s="92">
        <f t="shared" si="224"/>
        <v>20.367999999999999</v>
      </c>
      <c r="BJ161" s="92">
        <f t="shared" si="224"/>
        <v>20.367999999999999</v>
      </c>
      <c r="BK161" s="92">
        <f t="shared" si="224"/>
        <v>20.367999999999999</v>
      </c>
      <c r="BL161" s="92">
        <f t="shared" si="224"/>
        <v>20.367999999999999</v>
      </c>
      <c r="BM161" s="92">
        <f t="shared" si="224"/>
        <v>20.367999999999999</v>
      </c>
    </row>
    <row r="162" spans="1:73" s="13" customFormat="1">
      <c r="A162" s="13" t="s">
        <v>44</v>
      </c>
      <c r="B162" s="55" t="s">
        <v>172</v>
      </c>
      <c r="C162" s="23">
        <f t="shared" ref="C162:R162" si="225">SUM(C157:C161)</f>
        <v>324.20299999999997</v>
      </c>
      <c r="D162" s="23">
        <f>SUM(D157:D161)</f>
        <v>330.47699999999998</v>
      </c>
      <c r="E162" s="94">
        <f t="shared" si="225"/>
        <v>330.47699999999998</v>
      </c>
      <c r="F162" s="23">
        <f t="shared" si="225"/>
        <v>343.70099999999996</v>
      </c>
      <c r="G162" s="23">
        <f>SUM(G157:G161)</f>
        <v>365.09300000000002</v>
      </c>
      <c r="H162" s="94">
        <f t="shared" si="225"/>
        <v>365.09300000000002</v>
      </c>
      <c r="I162" s="23">
        <f t="shared" si="225"/>
        <v>382.27599999999995</v>
      </c>
      <c r="J162" s="23">
        <f>SUM(J157:J161)</f>
        <v>399.23599999999999</v>
      </c>
      <c r="K162" s="94">
        <f t="shared" si="225"/>
        <v>399.23599999999999</v>
      </c>
      <c r="L162" s="23">
        <f t="shared" si="225"/>
        <v>439.22500000000002</v>
      </c>
      <c r="M162" s="23">
        <f>SUM(M157:M161)</f>
        <v>450.536</v>
      </c>
      <c r="N162" s="94">
        <f t="shared" si="225"/>
        <v>450.536</v>
      </c>
      <c r="O162" s="23">
        <f t="shared" si="225"/>
        <v>454.98099999999999</v>
      </c>
      <c r="P162" s="23">
        <f>SUM(P157:P161)</f>
        <v>694.65200000000004</v>
      </c>
      <c r="Q162" s="94">
        <f t="shared" si="225"/>
        <v>694.65200000000004</v>
      </c>
      <c r="R162" s="23">
        <f t="shared" si="225"/>
        <v>696.29300000000001</v>
      </c>
      <c r="S162" s="23">
        <f t="shared" ref="S162:AO162" si="226">SUM(S157:S161)</f>
        <v>703.87900000000002</v>
      </c>
      <c r="T162" s="94">
        <f t="shared" si="226"/>
        <v>703.87900000000002</v>
      </c>
      <c r="U162" s="23">
        <f t="shared" si="226"/>
        <v>724.63599999999997</v>
      </c>
      <c r="V162" s="23">
        <f t="shared" si="226"/>
        <v>733.12400000000002</v>
      </c>
      <c r="W162" s="94">
        <f t="shared" si="226"/>
        <v>733.12400000000002</v>
      </c>
      <c r="X162" s="94">
        <f t="shared" si="226"/>
        <v>750.67600000000004</v>
      </c>
      <c r="Y162" s="94">
        <f t="shared" si="226"/>
        <v>768.16599999999994</v>
      </c>
      <c r="Z162" s="94">
        <f t="shared" si="226"/>
        <v>768.16599999999994</v>
      </c>
      <c r="AA162" s="94">
        <f t="shared" si="226"/>
        <v>802.36599999999999</v>
      </c>
      <c r="AB162" s="94">
        <f t="shared" si="226"/>
        <v>833.58</v>
      </c>
      <c r="AC162" s="94">
        <f t="shared" si="226"/>
        <v>833.58</v>
      </c>
      <c r="AD162" s="94">
        <f t="shared" si="226"/>
        <v>2525.3450000000003</v>
      </c>
      <c r="AE162" s="94">
        <f t="shared" si="226"/>
        <v>2513.1590000000001</v>
      </c>
      <c r="AF162" s="94">
        <f t="shared" si="226"/>
        <v>2513.1590000000001</v>
      </c>
      <c r="AG162" s="94">
        <f t="shared" si="226"/>
        <v>3381.232</v>
      </c>
      <c r="AH162" s="94">
        <f t="shared" si="226"/>
        <v>3440.0390000000002</v>
      </c>
      <c r="AI162" s="94">
        <f t="shared" si="226"/>
        <v>3440.0390000000002</v>
      </c>
      <c r="AJ162" s="94">
        <f t="shared" si="226"/>
        <v>3069.9320000000002</v>
      </c>
      <c r="AK162" s="94">
        <f>SUM(AK157:AK161)</f>
        <v>3105.9199999999996</v>
      </c>
      <c r="AL162" s="94">
        <f t="shared" si="226"/>
        <v>3105.9199999999996</v>
      </c>
      <c r="AM162" s="94">
        <f t="shared" si="226"/>
        <v>3330.319</v>
      </c>
      <c r="AN162" s="94">
        <f>SUM(AN157:AN161)</f>
        <v>3484.4580000000001</v>
      </c>
      <c r="AO162" s="94">
        <f t="shared" si="226"/>
        <v>3484.4580000000001</v>
      </c>
      <c r="AP162" s="94">
        <f t="shared" ref="AP162:AU162" si="227">SUM(AP157:AP161)</f>
        <v>3492.4749999999999</v>
      </c>
      <c r="AQ162" s="94">
        <f t="shared" si="227"/>
        <v>3705.2269999999999</v>
      </c>
      <c r="AR162" s="94">
        <f t="shared" si="227"/>
        <v>3705.2269999999999</v>
      </c>
      <c r="AS162" s="94">
        <f t="shared" si="227"/>
        <v>3695.4599999999996</v>
      </c>
      <c r="AT162" s="94">
        <f t="shared" si="227"/>
        <v>3887.8390000000004</v>
      </c>
      <c r="AU162" s="94">
        <f t="shared" si="227"/>
        <v>3887.8390000000004</v>
      </c>
      <c r="AV162" s="94">
        <f t="shared" ref="AV162:AX162" si="228">SUM(AV157:AV161)</f>
        <v>4120.6840000000002</v>
      </c>
      <c r="AW162" s="94">
        <f t="shared" si="228"/>
        <v>4148.389000000001</v>
      </c>
      <c r="AX162" s="95">
        <f t="shared" si="228"/>
        <v>4148.389000000001</v>
      </c>
      <c r="AY162" s="94">
        <f t="shared" ref="AY162:BM162" si="229">SUM(AY157:AY161)</f>
        <v>4108.1449899999998</v>
      </c>
      <c r="AZ162" s="94">
        <f t="shared" si="229"/>
        <v>4060.9831899999999</v>
      </c>
      <c r="BA162" s="94">
        <f t="shared" si="229"/>
        <v>4060.9831899999999</v>
      </c>
      <c r="BB162" s="94">
        <f t="shared" si="229"/>
        <v>4017.8973411999996</v>
      </c>
      <c r="BC162" s="94">
        <f t="shared" si="229"/>
        <v>3967.2801326499998</v>
      </c>
      <c r="BD162" s="94">
        <f t="shared" si="229"/>
        <v>3967.2801326500003</v>
      </c>
      <c r="BE162" s="94">
        <f t="shared" si="229"/>
        <v>3921.265404016</v>
      </c>
      <c r="BF162" s="94">
        <f t="shared" si="229"/>
        <v>3867.0556962535002</v>
      </c>
      <c r="BG162" s="94">
        <f t="shared" si="229"/>
        <v>3867.0556962535002</v>
      </c>
      <c r="BH162" s="94">
        <f t="shared" si="229"/>
        <v>3818.0214437780796</v>
      </c>
      <c r="BI162" s="94">
        <f t="shared" si="229"/>
        <v>3760.0762339868352</v>
      </c>
      <c r="BJ162" s="94">
        <f t="shared" si="229"/>
        <v>3760.0762339868352</v>
      </c>
      <c r="BK162" s="94">
        <f t="shared" si="229"/>
        <v>3707.9280507138546</v>
      </c>
      <c r="BL162" s="94">
        <f t="shared" si="229"/>
        <v>3646.0981540272969</v>
      </c>
      <c r="BM162" s="94">
        <f t="shared" si="229"/>
        <v>3646.0981540272969</v>
      </c>
      <c r="BP162"/>
      <c r="BQ162"/>
      <c r="BR162"/>
      <c r="BS162"/>
      <c r="BT162"/>
      <c r="BU162"/>
    </row>
    <row r="163" spans="1:73" s="13" customFormat="1">
      <c r="A163" s="13" t="s">
        <v>45</v>
      </c>
      <c r="C163" s="23">
        <f t="shared" ref="C163:AO163" si="230">C162+C155</f>
        <v>832.99799999999993</v>
      </c>
      <c r="D163" s="23">
        <f t="shared" si="230"/>
        <v>887.10199999999998</v>
      </c>
      <c r="E163" s="90">
        <f t="shared" si="230"/>
        <v>887.10199999999998</v>
      </c>
      <c r="F163" s="23">
        <f t="shared" si="230"/>
        <v>886.37999999999988</v>
      </c>
      <c r="G163" s="23">
        <f t="shared" si="230"/>
        <v>958.01700000000005</v>
      </c>
      <c r="H163" s="23">
        <f t="shared" si="230"/>
        <v>958.01700000000005</v>
      </c>
      <c r="I163" s="23">
        <f t="shared" si="230"/>
        <v>948.255</v>
      </c>
      <c r="J163" s="23">
        <f t="shared" si="230"/>
        <v>1008.866</v>
      </c>
      <c r="K163" s="23">
        <f t="shared" si="230"/>
        <v>1008.866</v>
      </c>
      <c r="L163" s="23">
        <f t="shared" si="230"/>
        <v>1006.598</v>
      </c>
      <c r="M163" s="23">
        <f t="shared" si="230"/>
        <v>1076.7540000000001</v>
      </c>
      <c r="N163" s="339">
        <f t="shared" si="230"/>
        <v>1076.7540000000001</v>
      </c>
      <c r="O163" s="23">
        <f t="shared" si="230"/>
        <v>1063.5149999999999</v>
      </c>
      <c r="P163" s="23">
        <f t="shared" si="230"/>
        <v>1376.7840000000001</v>
      </c>
      <c r="Q163" s="23">
        <f t="shared" si="230"/>
        <v>1376.7840000000001</v>
      </c>
      <c r="R163" s="23">
        <f t="shared" si="230"/>
        <v>1387.0700000000002</v>
      </c>
      <c r="S163" s="23">
        <f t="shared" si="230"/>
        <v>1460.5990000000002</v>
      </c>
      <c r="T163" s="94">
        <f t="shared" si="230"/>
        <v>1460.5990000000002</v>
      </c>
      <c r="U163" s="94">
        <f t="shared" si="230"/>
        <v>1501.22</v>
      </c>
      <c r="V163" s="94">
        <f t="shared" si="230"/>
        <v>1591.354</v>
      </c>
      <c r="W163" s="94">
        <f t="shared" si="230"/>
        <v>1591.354</v>
      </c>
      <c r="X163" s="94">
        <f t="shared" si="230"/>
        <v>1583.171</v>
      </c>
      <c r="Y163" s="94">
        <f t="shared" si="230"/>
        <v>1687.9459999999999</v>
      </c>
      <c r="Z163" s="94">
        <f t="shared" si="230"/>
        <v>1687.9459999999999</v>
      </c>
      <c r="AA163" s="94">
        <f t="shared" si="230"/>
        <v>1710.7350000000001</v>
      </c>
      <c r="AB163" s="94">
        <f t="shared" si="230"/>
        <v>2324.2470000000003</v>
      </c>
      <c r="AC163" s="94">
        <f t="shared" si="230"/>
        <v>2324.2470000000003</v>
      </c>
      <c r="AD163" s="94">
        <f t="shared" si="230"/>
        <v>4390.4930000000004</v>
      </c>
      <c r="AE163" s="94">
        <f t="shared" si="230"/>
        <v>4474.1100000000006</v>
      </c>
      <c r="AF163" s="94">
        <f t="shared" si="230"/>
        <v>4474.1100000000006</v>
      </c>
      <c r="AG163" s="94">
        <f t="shared" si="230"/>
        <v>5333.9539999999997</v>
      </c>
      <c r="AH163" s="94">
        <f t="shared" si="230"/>
        <v>6343.8850000000002</v>
      </c>
      <c r="AI163" s="94">
        <f t="shared" si="230"/>
        <v>6343.8850000000002</v>
      </c>
      <c r="AJ163" s="94">
        <f t="shared" si="230"/>
        <v>5901.7659999999996</v>
      </c>
      <c r="AK163" s="94">
        <f>AK162+AK155</f>
        <v>6118.0689999999995</v>
      </c>
      <c r="AL163" s="94">
        <f t="shared" si="230"/>
        <v>6118.0689999999995</v>
      </c>
      <c r="AM163" s="94">
        <f t="shared" si="230"/>
        <v>5977.0649999999996</v>
      </c>
      <c r="AN163" s="94">
        <f>AN162+AN155</f>
        <v>6607.5740000000005</v>
      </c>
      <c r="AO163" s="94">
        <f t="shared" si="230"/>
        <v>6607.5740000000005</v>
      </c>
      <c r="AP163" s="94">
        <f t="shared" ref="AP163:AU163" si="231">AP162+AP155</f>
        <v>6502.2240000000002</v>
      </c>
      <c r="AQ163" s="94">
        <f t="shared" si="231"/>
        <v>6924.2860000000001</v>
      </c>
      <c r="AR163" s="94">
        <f t="shared" si="231"/>
        <v>6924.2860000000001</v>
      </c>
      <c r="AS163" s="94">
        <f t="shared" si="231"/>
        <v>6703.4089999999997</v>
      </c>
      <c r="AT163" s="94">
        <f t="shared" si="231"/>
        <v>7094.8690000000006</v>
      </c>
      <c r="AU163" s="94">
        <f t="shared" si="231"/>
        <v>7094.8690000000006</v>
      </c>
      <c r="AV163" s="94">
        <f t="shared" ref="AV163:AX163" si="232">AV162+AV155</f>
        <v>7282.2110000000002</v>
      </c>
      <c r="AW163" s="94">
        <f t="shared" si="232"/>
        <v>7417.4530000000013</v>
      </c>
      <c r="AX163" s="95">
        <f t="shared" si="232"/>
        <v>7417.4530000000013</v>
      </c>
      <c r="AY163" s="94">
        <f t="shared" ref="AY163:BM163" si="233">AY162+AY155</f>
        <v>7421.5387465381582</v>
      </c>
      <c r="AZ163" s="94">
        <f t="shared" si="233"/>
        <v>7459.8164709376279</v>
      </c>
      <c r="BA163" s="94">
        <f t="shared" si="233"/>
        <v>7459.8164709376279</v>
      </c>
      <c r="BB163" s="94">
        <f t="shared" si="233"/>
        <v>7497.2106493712572</v>
      </c>
      <c r="BC163" s="94">
        <f t="shared" si="233"/>
        <v>7530.8782921962793</v>
      </c>
      <c r="BD163" s="94">
        <f t="shared" si="233"/>
        <v>7530.8782921962793</v>
      </c>
      <c r="BE163" s="94">
        <f t="shared" si="233"/>
        <v>7603.0520751963613</v>
      </c>
      <c r="BF163" s="94">
        <f t="shared" si="233"/>
        <v>7624.730721118779</v>
      </c>
      <c r="BG163" s="94">
        <f t="shared" si="233"/>
        <v>7624.730721118779</v>
      </c>
      <c r="BH163" s="94">
        <f t="shared" si="233"/>
        <v>7645.2590750358968</v>
      </c>
      <c r="BI163" s="94">
        <f t="shared" si="233"/>
        <v>7663.3616759502256</v>
      </c>
      <c r="BJ163" s="94">
        <f t="shared" si="233"/>
        <v>7663.3616759502256</v>
      </c>
      <c r="BK163" s="94">
        <f t="shared" si="233"/>
        <v>7620.0830081868962</v>
      </c>
      <c r="BL163" s="94">
        <f t="shared" si="233"/>
        <v>7653.9444242755862</v>
      </c>
      <c r="BM163" s="94">
        <f t="shared" si="233"/>
        <v>7653.9444242755862</v>
      </c>
      <c r="BP163"/>
      <c r="BQ163"/>
      <c r="BR163"/>
      <c r="BS163"/>
      <c r="BT163"/>
      <c r="BU163"/>
    </row>
    <row r="164" spans="1:73">
      <c r="A164" s="13" t="s">
        <v>188</v>
      </c>
      <c r="E164" s="92"/>
      <c r="H164" s="92"/>
      <c r="K164" s="92"/>
      <c r="N164" s="92"/>
      <c r="Q164" s="92"/>
      <c r="T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3"/>
      <c r="AY164" s="92"/>
      <c r="AZ164" s="92"/>
      <c r="BA164" s="92"/>
      <c r="BB164" s="92"/>
      <c r="BC164" s="92"/>
      <c r="BD164" s="92"/>
      <c r="BE164" s="92"/>
      <c r="BF164" s="92"/>
      <c r="BG164" s="92"/>
      <c r="BH164" s="92"/>
      <c r="BI164" s="92"/>
      <c r="BJ164" s="92"/>
      <c r="BK164" s="92"/>
      <c r="BL164" s="92"/>
      <c r="BM164" s="92"/>
    </row>
    <row r="165" spans="1:73">
      <c r="A165" s="89" t="s">
        <v>382</v>
      </c>
      <c r="B165" s="52" t="s">
        <v>172</v>
      </c>
      <c r="C165" s="26">
        <v>191.60400000000001</v>
      </c>
      <c r="D165" s="25">
        <f t="shared" ref="D165:D170" si="234">E165</f>
        <v>221.506</v>
      </c>
      <c r="E165" s="98">
        <v>221.506</v>
      </c>
      <c r="F165" s="26">
        <v>202.18299999999999</v>
      </c>
      <c r="G165" s="25">
        <f t="shared" ref="G165:G170" si="235">H165</f>
        <v>229.251</v>
      </c>
      <c r="H165" s="98">
        <v>229.251</v>
      </c>
      <c r="I165" s="26">
        <v>205.39599999999999</v>
      </c>
      <c r="J165" s="25">
        <f t="shared" ref="J165:J170" si="236">K165</f>
        <v>229.898</v>
      </c>
      <c r="K165" s="98">
        <v>229.898</v>
      </c>
      <c r="L165" s="26">
        <v>209.28299999999999</v>
      </c>
      <c r="M165" s="25">
        <f t="shared" ref="M165:M170" si="237">N165</f>
        <v>236.85</v>
      </c>
      <c r="N165" s="98">
        <v>236.85</v>
      </c>
      <c r="O165" s="26">
        <v>209.828</v>
      </c>
      <c r="P165" s="25">
        <f t="shared" ref="P165:P170" si="238">Q165</f>
        <v>281.99200000000002</v>
      </c>
      <c r="Q165" s="98">
        <v>281.99200000000002</v>
      </c>
      <c r="R165" s="26">
        <v>273.36500000000001</v>
      </c>
      <c r="S165" s="25">
        <f t="shared" ref="S165:S170" si="239">T165</f>
        <v>296.71199999999999</v>
      </c>
      <c r="T165" s="98">
        <v>296.71199999999999</v>
      </c>
      <c r="U165" s="26">
        <v>309.12299999999999</v>
      </c>
      <c r="V165" s="25">
        <f t="shared" ref="V165:V170" si="240">W165</f>
        <v>317.32499999999999</v>
      </c>
      <c r="W165" s="98">
        <v>317.32499999999999</v>
      </c>
      <c r="X165" s="98">
        <v>320.892</v>
      </c>
      <c r="Y165" s="92">
        <f>Z165</f>
        <v>353.94200000000001</v>
      </c>
      <c r="Z165" s="98">
        <v>353.94200000000001</v>
      </c>
      <c r="AA165" s="98">
        <v>349.18</v>
      </c>
      <c r="AB165" s="92">
        <f>AC165</f>
        <v>369.55700000000002</v>
      </c>
      <c r="AC165" s="98">
        <v>369.55700000000002</v>
      </c>
      <c r="AD165" s="98">
        <v>608.11099999999999</v>
      </c>
      <c r="AE165" s="92">
        <f t="shared" ref="AE165:AE170" si="241">AF165</f>
        <v>699.89300000000003</v>
      </c>
      <c r="AF165" s="98">
        <v>699.89300000000003</v>
      </c>
      <c r="AG165" s="98">
        <v>651.85199999999998</v>
      </c>
      <c r="AH165" s="92">
        <f t="shared" ref="AH165:AH170" si="242">AI165</f>
        <v>792.97699999999998</v>
      </c>
      <c r="AI165" s="98">
        <v>792.97699999999998</v>
      </c>
      <c r="AJ165" s="98">
        <v>706.83699999999999</v>
      </c>
      <c r="AK165" s="92">
        <f t="shared" ref="AK165:AK170" si="243">AL165</f>
        <v>984.024</v>
      </c>
      <c r="AL165" s="98">
        <v>984.024</v>
      </c>
      <c r="AM165" s="98">
        <v>981.35299999999995</v>
      </c>
      <c r="AN165" s="92">
        <f t="shared" ref="AN165:AN170" si="244">AO165</f>
        <v>1215.9749999999999</v>
      </c>
      <c r="AO165" s="98">
        <v>1215.9749999999999</v>
      </c>
      <c r="AP165" s="98">
        <v>988.49</v>
      </c>
      <c r="AQ165" s="92">
        <f t="shared" ref="AQ165:AQ170" si="245">AR165</f>
        <v>1177.8969999999999</v>
      </c>
      <c r="AR165" s="98">
        <v>1177.8969999999999</v>
      </c>
      <c r="AS165" s="98">
        <v>1041.193</v>
      </c>
      <c r="AT165" s="92">
        <f t="shared" ref="AT165:AT170" si="246">AU165</f>
        <v>1240.395</v>
      </c>
      <c r="AU165" s="98">
        <v>1240.395</v>
      </c>
      <c r="AV165" s="98">
        <v>1085.193</v>
      </c>
      <c r="AW165" s="92">
        <f t="shared" ref="AW165:AW170" si="247">AX165</f>
        <v>1257.3679999999999</v>
      </c>
      <c r="AX165" s="404">
        <v>1257.3679999999999</v>
      </c>
      <c r="AY165" s="92">
        <f>AY204</f>
        <v>1133.5395716398432</v>
      </c>
      <c r="AZ165" s="92">
        <f>AZ204</f>
        <v>1299.9512898785752</v>
      </c>
      <c r="BA165" s="92">
        <f t="shared" ref="BA165:BA170" si="248">AZ165</f>
        <v>1299.9512898785752</v>
      </c>
      <c r="BB165" s="92">
        <f>BB204</f>
        <v>1184.6882809022932</v>
      </c>
      <c r="BC165" s="92">
        <f>BC204</f>
        <v>1356.2014354464172</v>
      </c>
      <c r="BD165" s="92">
        <f t="shared" ref="BD165:BD170" si="249">BC165</f>
        <v>1356.2014354464172</v>
      </c>
      <c r="BE165" s="92">
        <f>BE204</f>
        <v>1248.3201995880568</v>
      </c>
      <c r="BF165" s="92">
        <f>BF204</f>
        <v>1423.429242404558</v>
      </c>
      <c r="BG165" s="92">
        <f t="shared" ref="BG165:BG170" si="250">BF165</f>
        <v>1423.429242404558</v>
      </c>
      <c r="BH165" s="92">
        <f>BH204</f>
        <v>1290.1149317231459</v>
      </c>
      <c r="BI165" s="92">
        <f>BI204</f>
        <v>1469.8314901717731</v>
      </c>
      <c r="BJ165" s="92">
        <f t="shared" ref="BJ165:BJ170" si="251">BI165</f>
        <v>1469.8314901717731</v>
      </c>
      <c r="BK165" s="92">
        <f>BK204</f>
        <v>1309.3824177561298</v>
      </c>
      <c r="BL165" s="92">
        <f>BL204</f>
        <v>1498.934593074209</v>
      </c>
      <c r="BM165" s="92">
        <f t="shared" ref="BM165:BM170" si="252">BL165</f>
        <v>1498.934593074209</v>
      </c>
    </row>
    <row r="166" spans="1:73">
      <c r="A166" s="89" t="s">
        <v>462</v>
      </c>
      <c r="B166" s="52" t="s">
        <v>172</v>
      </c>
      <c r="C166" s="308">
        <v>0</v>
      </c>
      <c r="D166" s="309">
        <f t="shared" si="234"/>
        <v>0</v>
      </c>
      <c r="E166" s="308">
        <v>0</v>
      </c>
      <c r="F166" s="308">
        <v>0</v>
      </c>
      <c r="G166" s="309">
        <f t="shared" si="235"/>
        <v>0</v>
      </c>
      <c r="H166" s="308">
        <v>0</v>
      </c>
      <c r="I166" s="308">
        <v>0</v>
      </c>
      <c r="J166" s="309">
        <f t="shared" si="236"/>
        <v>0</v>
      </c>
      <c r="K166" s="308">
        <v>0</v>
      </c>
      <c r="L166" s="308">
        <v>0</v>
      </c>
      <c r="M166" s="309">
        <f t="shared" si="237"/>
        <v>0</v>
      </c>
      <c r="N166" s="308">
        <v>0</v>
      </c>
      <c r="O166" s="308">
        <v>0</v>
      </c>
      <c r="P166" s="309">
        <f t="shared" si="238"/>
        <v>0</v>
      </c>
      <c r="Q166" s="308">
        <v>0</v>
      </c>
      <c r="R166" s="308">
        <v>0</v>
      </c>
      <c r="S166" s="309">
        <f t="shared" si="239"/>
        <v>0</v>
      </c>
      <c r="T166" s="308">
        <v>0</v>
      </c>
      <c r="U166" s="308">
        <v>0</v>
      </c>
      <c r="V166" s="309">
        <f t="shared" si="240"/>
        <v>0</v>
      </c>
      <c r="W166" s="308">
        <v>0</v>
      </c>
      <c r="X166" s="308">
        <v>0</v>
      </c>
      <c r="Y166" s="309">
        <f t="shared" ref="Y166:AB167" si="253">Z166</f>
        <v>0</v>
      </c>
      <c r="Z166" s="308">
        <v>0</v>
      </c>
      <c r="AA166" s="308">
        <v>0</v>
      </c>
      <c r="AB166" s="309">
        <f t="shared" si="253"/>
        <v>0</v>
      </c>
      <c r="AC166" s="308">
        <v>0</v>
      </c>
      <c r="AD166" s="308">
        <v>0</v>
      </c>
      <c r="AE166" s="309">
        <f t="shared" si="241"/>
        <v>0</v>
      </c>
      <c r="AF166" s="308">
        <v>0</v>
      </c>
      <c r="AG166" s="98">
        <v>86.363</v>
      </c>
      <c r="AH166" s="92">
        <f t="shared" si="242"/>
        <v>81.936000000000007</v>
      </c>
      <c r="AI166" s="98">
        <v>81.936000000000007</v>
      </c>
      <c r="AJ166" s="98">
        <v>90.072000000000003</v>
      </c>
      <c r="AK166" s="92">
        <f t="shared" si="243"/>
        <v>95.933999999999997</v>
      </c>
      <c r="AL166" s="98">
        <v>95.933999999999997</v>
      </c>
      <c r="AM166" s="98">
        <v>109.298</v>
      </c>
      <c r="AN166" s="92">
        <f t="shared" si="244"/>
        <v>118.64400000000001</v>
      </c>
      <c r="AO166" s="98">
        <v>118.64400000000001</v>
      </c>
      <c r="AP166" s="98">
        <v>118.568</v>
      </c>
      <c r="AQ166" s="92">
        <f t="shared" si="245"/>
        <v>131.36000000000001</v>
      </c>
      <c r="AR166" s="98">
        <v>131.36000000000001</v>
      </c>
      <c r="AS166" s="98">
        <v>132.917</v>
      </c>
      <c r="AT166" s="92">
        <f t="shared" si="246"/>
        <v>135.84700000000001</v>
      </c>
      <c r="AU166" s="98">
        <v>135.84700000000001</v>
      </c>
      <c r="AV166" s="98">
        <v>144.83000000000001</v>
      </c>
      <c r="AW166" s="92">
        <f t="shared" si="247"/>
        <v>149.29300000000001</v>
      </c>
      <c r="AX166" s="404">
        <v>149.29300000000001</v>
      </c>
      <c r="AY166" s="92">
        <f>AX166</f>
        <v>149.29300000000001</v>
      </c>
      <c r="AZ166" s="92">
        <f>AY166</f>
        <v>149.29300000000001</v>
      </c>
      <c r="BA166" s="92">
        <f t="shared" si="248"/>
        <v>149.29300000000001</v>
      </c>
      <c r="BB166" s="92">
        <f>BA166</f>
        <v>149.29300000000001</v>
      </c>
      <c r="BC166" s="92">
        <f>BB166</f>
        <v>149.29300000000001</v>
      </c>
      <c r="BD166" s="92">
        <f t="shared" si="249"/>
        <v>149.29300000000001</v>
      </c>
      <c r="BE166" s="92">
        <f>BD166</f>
        <v>149.29300000000001</v>
      </c>
      <c r="BF166" s="92">
        <f>BE166</f>
        <v>149.29300000000001</v>
      </c>
      <c r="BG166" s="92">
        <f t="shared" si="250"/>
        <v>149.29300000000001</v>
      </c>
      <c r="BH166" s="92">
        <f>BG166</f>
        <v>149.29300000000001</v>
      </c>
      <c r="BI166" s="92">
        <f>BH166</f>
        <v>149.29300000000001</v>
      </c>
      <c r="BJ166" s="92">
        <f t="shared" si="251"/>
        <v>149.29300000000001</v>
      </c>
      <c r="BK166" s="92">
        <f>BJ166</f>
        <v>149.29300000000001</v>
      </c>
      <c r="BL166" s="92">
        <f>BK166</f>
        <v>149.29300000000001</v>
      </c>
      <c r="BM166" s="92">
        <f t="shared" si="252"/>
        <v>149.29300000000001</v>
      </c>
    </row>
    <row r="167" spans="1:73">
      <c r="A167" s="89" t="s">
        <v>201</v>
      </c>
      <c r="B167" s="52" t="s">
        <v>172</v>
      </c>
      <c r="C167" s="26">
        <v>32.94</v>
      </c>
      <c r="D167" s="25">
        <f t="shared" si="234"/>
        <v>8.9600000000000009</v>
      </c>
      <c r="E167" s="98">
        <v>8.9600000000000009</v>
      </c>
      <c r="F167" s="26">
        <v>7.9820000000000002</v>
      </c>
      <c r="G167" s="25">
        <f t="shared" si="235"/>
        <v>8.3019999999999996</v>
      </c>
      <c r="H167" s="98">
        <v>8.3019999999999996</v>
      </c>
      <c r="I167" s="26">
        <v>9.0020000000000007</v>
      </c>
      <c r="J167" s="25">
        <f t="shared" si="236"/>
        <v>9.0180000000000007</v>
      </c>
      <c r="K167" s="98">
        <v>9.0180000000000007</v>
      </c>
      <c r="L167" s="26">
        <v>7.6710000000000003</v>
      </c>
      <c r="M167" s="25">
        <f t="shared" si="237"/>
        <v>8.8889999999999993</v>
      </c>
      <c r="N167" s="98">
        <v>8.8889999999999993</v>
      </c>
      <c r="O167" s="26">
        <v>9.5939999999999994</v>
      </c>
      <c r="P167" s="25">
        <f t="shared" si="238"/>
        <v>29.777000000000001</v>
      </c>
      <c r="Q167" s="98">
        <v>29.777000000000001</v>
      </c>
      <c r="R167" s="26">
        <v>29.113</v>
      </c>
      <c r="S167" s="25">
        <f t="shared" si="239"/>
        <v>20.116</v>
      </c>
      <c r="T167" s="98">
        <v>20.116</v>
      </c>
      <c r="U167" s="26">
        <v>20</v>
      </c>
      <c r="V167" s="25">
        <f t="shared" si="240"/>
        <v>20</v>
      </c>
      <c r="W167" s="98">
        <v>20</v>
      </c>
      <c r="X167" s="98">
        <v>20</v>
      </c>
      <c r="Y167" s="309">
        <f t="shared" si="253"/>
        <v>0</v>
      </c>
      <c r="Z167" s="308">
        <v>0</v>
      </c>
      <c r="AA167" s="308">
        <v>0</v>
      </c>
      <c r="AB167" s="309">
        <f t="shared" si="253"/>
        <v>0</v>
      </c>
      <c r="AC167" s="308">
        <v>0</v>
      </c>
      <c r="AD167" s="98">
        <v>103.636</v>
      </c>
      <c r="AE167" s="92">
        <f t="shared" si="241"/>
        <v>16.256</v>
      </c>
      <c r="AF167" s="98">
        <v>16.256</v>
      </c>
      <c r="AG167" s="98">
        <v>16.271000000000001</v>
      </c>
      <c r="AH167" s="92">
        <f t="shared" si="242"/>
        <v>18.013000000000002</v>
      </c>
      <c r="AI167" s="98">
        <v>18.013000000000002</v>
      </c>
      <c r="AJ167" s="98">
        <v>16.05</v>
      </c>
      <c r="AK167" s="92">
        <f t="shared" si="243"/>
        <v>16.443000000000001</v>
      </c>
      <c r="AL167" s="98">
        <v>16.443000000000001</v>
      </c>
      <c r="AM167" s="98">
        <v>0</v>
      </c>
      <c r="AN167" s="92">
        <f t="shared" si="244"/>
        <v>0</v>
      </c>
      <c r="AO167" s="98">
        <v>0</v>
      </c>
      <c r="AP167" s="98">
        <v>5.4</v>
      </c>
      <c r="AQ167" s="92">
        <f t="shared" si="245"/>
        <v>0</v>
      </c>
      <c r="AR167" s="98">
        <v>0</v>
      </c>
      <c r="AS167" s="98">
        <v>0</v>
      </c>
      <c r="AT167" s="92">
        <f t="shared" si="246"/>
        <v>0</v>
      </c>
      <c r="AU167" s="98">
        <v>0</v>
      </c>
      <c r="AV167" s="98">
        <v>0</v>
      </c>
      <c r="AW167" s="92">
        <f t="shared" si="247"/>
        <v>0</v>
      </c>
      <c r="AX167" s="404">
        <v>0</v>
      </c>
      <c r="AY167" s="92">
        <f>AX167</f>
        <v>0</v>
      </c>
      <c r="AZ167" s="92">
        <f>AY167</f>
        <v>0</v>
      </c>
      <c r="BA167" s="92">
        <f t="shared" si="248"/>
        <v>0</v>
      </c>
      <c r="BB167" s="92">
        <f>BA167</f>
        <v>0</v>
      </c>
      <c r="BC167" s="92">
        <f>BB167</f>
        <v>0</v>
      </c>
      <c r="BD167" s="92">
        <f t="shared" si="249"/>
        <v>0</v>
      </c>
      <c r="BE167" s="92">
        <f>BD167</f>
        <v>0</v>
      </c>
      <c r="BF167" s="92">
        <f>BE167</f>
        <v>0</v>
      </c>
      <c r="BG167" s="92">
        <f t="shared" si="250"/>
        <v>0</v>
      </c>
      <c r="BH167" s="92">
        <f>BG167</f>
        <v>0</v>
      </c>
      <c r="BI167" s="92">
        <f>BH167</f>
        <v>0</v>
      </c>
      <c r="BJ167" s="92">
        <f t="shared" si="251"/>
        <v>0</v>
      </c>
      <c r="BK167" s="92">
        <f>BJ167</f>
        <v>0</v>
      </c>
      <c r="BL167" s="92">
        <f>BK167</f>
        <v>0</v>
      </c>
      <c r="BM167" s="92">
        <f t="shared" si="252"/>
        <v>0</v>
      </c>
    </row>
    <row r="168" spans="1:73">
      <c r="A168" s="89" t="s">
        <v>73</v>
      </c>
      <c r="B168" s="52" t="s">
        <v>172</v>
      </c>
      <c r="C168" s="26">
        <v>9.0289999999999999</v>
      </c>
      <c r="D168" s="25">
        <f t="shared" si="234"/>
        <v>14.561999999999999</v>
      </c>
      <c r="E168" s="98">
        <v>14.561999999999999</v>
      </c>
      <c r="F168" s="26">
        <v>14.67</v>
      </c>
      <c r="G168" s="25">
        <f t="shared" si="235"/>
        <v>18.263000000000002</v>
      </c>
      <c r="H168" s="98">
        <v>18.263000000000002</v>
      </c>
      <c r="I168" s="26">
        <v>11.339</v>
      </c>
      <c r="J168" s="25">
        <f t="shared" si="236"/>
        <v>12.234</v>
      </c>
      <c r="K168" s="98">
        <v>12.234</v>
      </c>
      <c r="L168" s="26">
        <v>11.018000000000001</v>
      </c>
      <c r="M168" s="25">
        <f t="shared" si="237"/>
        <v>12.343999999999999</v>
      </c>
      <c r="N168" s="98">
        <v>12.343999999999999</v>
      </c>
      <c r="O168" s="26">
        <v>11.882</v>
      </c>
      <c r="P168" s="25">
        <f t="shared" si="238"/>
        <v>10.518000000000001</v>
      </c>
      <c r="Q168" s="98">
        <v>10.518000000000001</v>
      </c>
      <c r="R168" s="26">
        <v>2.9729999999999999</v>
      </c>
      <c r="S168" s="25">
        <f t="shared" si="239"/>
        <v>9.1300000000000008</v>
      </c>
      <c r="T168" s="98">
        <v>9.1300000000000008</v>
      </c>
      <c r="U168" s="26">
        <v>7.0449999999999999</v>
      </c>
      <c r="V168" s="25">
        <f t="shared" si="240"/>
        <v>20.277999999999999</v>
      </c>
      <c r="W168" s="98">
        <v>20.277999999999999</v>
      </c>
      <c r="X168" s="98">
        <v>7.218</v>
      </c>
      <c r="Y168" s="92">
        <f>Z168</f>
        <v>16.170999999999999</v>
      </c>
      <c r="Z168" s="98">
        <v>16.170999999999999</v>
      </c>
      <c r="AA168" s="98">
        <v>5.1470000000000002</v>
      </c>
      <c r="AB168" s="92">
        <f>AC168</f>
        <v>7.6239999999999997</v>
      </c>
      <c r="AC168" s="98">
        <v>7.6239999999999997</v>
      </c>
      <c r="AD168" s="98">
        <v>9.8350000000000009</v>
      </c>
      <c r="AE168" s="92">
        <f t="shared" si="241"/>
        <v>1.5549999999999999</v>
      </c>
      <c r="AF168" s="98">
        <v>1.5549999999999999</v>
      </c>
      <c r="AG168" s="98">
        <v>7.1580000000000004</v>
      </c>
      <c r="AH168" s="92">
        <f t="shared" si="242"/>
        <v>34.430999999999997</v>
      </c>
      <c r="AI168" s="98">
        <v>34.430999999999997</v>
      </c>
      <c r="AJ168" s="98">
        <v>6.2210000000000001</v>
      </c>
      <c r="AK168" s="92">
        <f t="shared" si="243"/>
        <v>32.304000000000002</v>
      </c>
      <c r="AL168" s="98">
        <v>32.304000000000002</v>
      </c>
      <c r="AM168" s="98">
        <v>13.795999999999999</v>
      </c>
      <c r="AN168" s="92">
        <f t="shared" si="244"/>
        <v>30.783000000000001</v>
      </c>
      <c r="AO168" s="98">
        <v>30.783000000000001</v>
      </c>
      <c r="AP168" s="98">
        <v>22.831</v>
      </c>
      <c r="AQ168" s="92">
        <f t="shared" si="245"/>
        <v>11.44</v>
      </c>
      <c r="AR168" s="98">
        <v>11.44</v>
      </c>
      <c r="AS168" s="98">
        <v>6.37</v>
      </c>
      <c r="AT168" s="92">
        <f t="shared" si="246"/>
        <v>0.56000000000000005</v>
      </c>
      <c r="AU168" s="98">
        <v>0.56000000000000005</v>
      </c>
      <c r="AV168" s="98">
        <v>2.5339999999999998</v>
      </c>
      <c r="AW168" s="92">
        <f t="shared" si="247"/>
        <v>2.0529999999999999</v>
      </c>
      <c r="AX168" s="404">
        <v>2.0529999999999999</v>
      </c>
      <c r="AY168" s="92">
        <f t="shared" ref="AY168:AZ170" si="254">AX168</f>
        <v>2.0529999999999999</v>
      </c>
      <c r="AZ168" s="92">
        <f t="shared" si="254"/>
        <v>2.0529999999999999</v>
      </c>
      <c r="BA168" s="92">
        <f t="shared" si="248"/>
        <v>2.0529999999999999</v>
      </c>
      <c r="BB168" s="92">
        <f t="shared" ref="BB168:BC170" si="255">BA168</f>
        <v>2.0529999999999999</v>
      </c>
      <c r="BC168" s="92">
        <f t="shared" si="255"/>
        <v>2.0529999999999999</v>
      </c>
      <c r="BD168" s="92">
        <f t="shared" si="249"/>
        <v>2.0529999999999999</v>
      </c>
      <c r="BE168" s="92">
        <f t="shared" ref="BE168:BF170" si="256">BD168</f>
        <v>2.0529999999999999</v>
      </c>
      <c r="BF168" s="92">
        <f t="shared" si="256"/>
        <v>2.0529999999999999</v>
      </c>
      <c r="BG168" s="92">
        <f t="shared" si="250"/>
        <v>2.0529999999999999</v>
      </c>
      <c r="BH168" s="92">
        <f t="shared" ref="BH168:BI170" si="257">BG168</f>
        <v>2.0529999999999999</v>
      </c>
      <c r="BI168" s="92">
        <f t="shared" si="257"/>
        <v>2.0529999999999999</v>
      </c>
      <c r="BJ168" s="92">
        <f t="shared" si="251"/>
        <v>2.0529999999999999</v>
      </c>
      <c r="BK168" s="92">
        <f t="shared" ref="BK168:BL170" si="258">BJ168</f>
        <v>2.0529999999999999</v>
      </c>
      <c r="BL168" s="92">
        <f t="shared" si="258"/>
        <v>2.0529999999999999</v>
      </c>
      <c r="BM168" s="92">
        <f t="shared" si="252"/>
        <v>2.0529999999999999</v>
      </c>
    </row>
    <row r="169" spans="1:73">
      <c r="A169" s="89" t="s">
        <v>190</v>
      </c>
      <c r="B169" s="52" t="s">
        <v>172</v>
      </c>
      <c r="C169" s="26">
        <v>26.498000000000001</v>
      </c>
      <c r="D169" s="25">
        <f t="shared" si="234"/>
        <v>29.15</v>
      </c>
      <c r="E169" s="98">
        <v>29.15</v>
      </c>
      <c r="F169" s="26">
        <v>30.225999999999999</v>
      </c>
      <c r="G169" s="25">
        <f t="shared" si="235"/>
        <v>30.951000000000001</v>
      </c>
      <c r="H169" s="98">
        <v>30.951000000000001</v>
      </c>
      <c r="I169" s="26">
        <v>32.024000000000001</v>
      </c>
      <c r="J169" s="25">
        <f t="shared" si="236"/>
        <v>33.072000000000003</v>
      </c>
      <c r="K169" s="98">
        <v>33.072000000000003</v>
      </c>
      <c r="L169" s="26">
        <v>35.28</v>
      </c>
      <c r="M169" s="25">
        <f t="shared" si="237"/>
        <v>35.529000000000003</v>
      </c>
      <c r="N169" s="98">
        <v>35.529000000000003</v>
      </c>
      <c r="O169" s="26">
        <v>37.216999999999999</v>
      </c>
      <c r="P169" s="25">
        <f t="shared" si="238"/>
        <v>44.076999999999998</v>
      </c>
      <c r="Q169" s="98">
        <v>44.076999999999998</v>
      </c>
      <c r="R169" s="26">
        <v>45.570999999999998</v>
      </c>
      <c r="S169" s="25">
        <f t="shared" si="239"/>
        <v>48.802999999999997</v>
      </c>
      <c r="T169" s="98">
        <v>48.802999999999997</v>
      </c>
      <c r="U169" s="26">
        <v>50.417000000000002</v>
      </c>
      <c r="V169" s="25">
        <f t="shared" si="240"/>
        <v>51.140999999999998</v>
      </c>
      <c r="W169" s="98">
        <v>51.140999999999998</v>
      </c>
      <c r="X169" s="98">
        <v>53.475000000000001</v>
      </c>
      <c r="Y169" s="92">
        <f>Z169</f>
        <v>54.585000000000001</v>
      </c>
      <c r="Z169" s="98">
        <v>54.585000000000001</v>
      </c>
      <c r="AA169" s="98">
        <v>59.652000000000001</v>
      </c>
      <c r="AB169" s="92">
        <f>AC169</f>
        <v>60.012999999999998</v>
      </c>
      <c r="AC169" s="98">
        <v>60.012999999999998</v>
      </c>
      <c r="AD169" s="98">
        <v>82.509</v>
      </c>
      <c r="AE169" s="92">
        <f t="shared" si="241"/>
        <v>66.808000000000007</v>
      </c>
      <c r="AF169" s="98">
        <v>66.808000000000007</v>
      </c>
      <c r="AG169" s="98">
        <v>68.510999999999996</v>
      </c>
      <c r="AH169" s="92">
        <f t="shared" si="242"/>
        <v>69.373999999999995</v>
      </c>
      <c r="AI169" s="98">
        <v>69.373999999999995</v>
      </c>
      <c r="AJ169" s="98">
        <v>74.254000000000005</v>
      </c>
      <c r="AK169" s="92">
        <f t="shared" si="243"/>
        <v>76.697999999999993</v>
      </c>
      <c r="AL169" s="98">
        <v>76.697999999999993</v>
      </c>
      <c r="AM169" s="98">
        <v>81.057000000000002</v>
      </c>
      <c r="AN169" s="92">
        <f t="shared" si="244"/>
        <v>93.207999999999998</v>
      </c>
      <c r="AO169" s="98">
        <v>93.207999999999998</v>
      </c>
      <c r="AP169" s="98">
        <v>97.027000000000001</v>
      </c>
      <c r="AQ169" s="92">
        <f t="shared" si="245"/>
        <v>98.822999999999993</v>
      </c>
      <c r="AR169" s="98">
        <v>98.822999999999993</v>
      </c>
      <c r="AS169" s="98">
        <v>100.545</v>
      </c>
      <c r="AT169" s="92">
        <f t="shared" si="246"/>
        <v>102.08799999999999</v>
      </c>
      <c r="AU169" s="98">
        <v>102.08799999999999</v>
      </c>
      <c r="AV169" s="98">
        <v>105.331</v>
      </c>
      <c r="AW169" s="92">
        <f t="shared" si="247"/>
        <v>100.267</v>
      </c>
      <c r="AX169" s="404">
        <v>100.267</v>
      </c>
      <c r="AY169" s="92">
        <f t="shared" si="254"/>
        <v>100.267</v>
      </c>
      <c r="AZ169" s="92">
        <f t="shared" si="254"/>
        <v>100.267</v>
      </c>
      <c r="BA169" s="92">
        <f t="shared" si="248"/>
        <v>100.267</v>
      </c>
      <c r="BB169" s="92">
        <f t="shared" si="255"/>
        <v>100.267</v>
      </c>
      <c r="BC169" s="92">
        <f t="shared" si="255"/>
        <v>100.267</v>
      </c>
      <c r="BD169" s="92">
        <f t="shared" si="249"/>
        <v>100.267</v>
      </c>
      <c r="BE169" s="92">
        <f t="shared" si="256"/>
        <v>100.267</v>
      </c>
      <c r="BF169" s="92">
        <f t="shared" si="256"/>
        <v>100.267</v>
      </c>
      <c r="BG169" s="92">
        <f t="shared" si="250"/>
        <v>100.267</v>
      </c>
      <c r="BH169" s="92">
        <f t="shared" si="257"/>
        <v>100.267</v>
      </c>
      <c r="BI169" s="92">
        <f t="shared" si="257"/>
        <v>100.267</v>
      </c>
      <c r="BJ169" s="92">
        <f t="shared" si="251"/>
        <v>100.267</v>
      </c>
      <c r="BK169" s="92">
        <f t="shared" si="258"/>
        <v>100.267</v>
      </c>
      <c r="BL169" s="92">
        <f t="shared" si="258"/>
        <v>100.267</v>
      </c>
      <c r="BM169" s="92">
        <f t="shared" si="252"/>
        <v>100.267</v>
      </c>
    </row>
    <row r="170" spans="1:73">
      <c r="A170" s="89" t="s">
        <v>463</v>
      </c>
      <c r="B170" s="52" t="s">
        <v>172</v>
      </c>
      <c r="C170" s="308">
        <v>8.2490000000000006</v>
      </c>
      <c r="D170" s="309">
        <f t="shared" si="234"/>
        <v>10.91</v>
      </c>
      <c r="E170" s="308">
        <v>10.91</v>
      </c>
      <c r="F170" s="308">
        <v>7.6230000000000002</v>
      </c>
      <c r="G170" s="309">
        <f t="shared" si="235"/>
        <v>10.069000000000001</v>
      </c>
      <c r="H170" s="308">
        <v>10.069000000000001</v>
      </c>
      <c r="I170" s="308">
        <v>11.617000000000001</v>
      </c>
      <c r="J170" s="309">
        <f t="shared" si="236"/>
        <v>10.694000000000001</v>
      </c>
      <c r="K170" s="308">
        <v>10.694000000000001</v>
      </c>
      <c r="L170" s="308">
        <v>14.403</v>
      </c>
      <c r="M170" s="309">
        <f t="shared" si="237"/>
        <v>11.096</v>
      </c>
      <c r="N170" s="308">
        <v>11.096</v>
      </c>
      <c r="O170" s="308">
        <v>3.9180000000000001</v>
      </c>
      <c r="P170" s="309">
        <f t="shared" si="238"/>
        <v>2.9350000000000001</v>
      </c>
      <c r="Q170" s="308">
        <v>2.9350000000000001</v>
      </c>
      <c r="R170" s="308">
        <v>0</v>
      </c>
      <c r="S170" s="309">
        <f t="shared" si="239"/>
        <v>0</v>
      </c>
      <c r="T170" s="308">
        <v>0</v>
      </c>
      <c r="U170" s="72"/>
      <c r="V170" s="25">
        <f t="shared" si="240"/>
        <v>11.262</v>
      </c>
      <c r="W170" s="98">
        <v>11.262</v>
      </c>
      <c r="X170" s="308">
        <v>0</v>
      </c>
      <c r="Y170" s="309">
        <f>Z170</f>
        <v>0</v>
      </c>
      <c r="Z170" s="308">
        <v>0</v>
      </c>
      <c r="AA170" s="308">
        <v>0</v>
      </c>
      <c r="AB170" s="309">
        <f>AC170</f>
        <v>0</v>
      </c>
      <c r="AC170" s="308">
        <v>0</v>
      </c>
      <c r="AD170" s="98">
        <v>2.7730000000000001</v>
      </c>
      <c r="AE170" s="92">
        <f t="shared" si="241"/>
        <v>8.68</v>
      </c>
      <c r="AF170" s="98">
        <v>8.68</v>
      </c>
      <c r="AG170" s="98">
        <f>13.798+44.506</f>
        <v>58.304000000000002</v>
      </c>
      <c r="AH170" s="92">
        <f t="shared" si="242"/>
        <v>78.722999999999999</v>
      </c>
      <c r="AI170" s="98">
        <f>33.29+45.433</f>
        <v>78.722999999999999</v>
      </c>
      <c r="AJ170" s="98">
        <f>40.484+55.616</f>
        <v>96.1</v>
      </c>
      <c r="AK170" s="92">
        <f t="shared" si="243"/>
        <v>53.423999999999992</v>
      </c>
      <c r="AL170" s="98">
        <f>11.95+41.474</f>
        <v>53.423999999999992</v>
      </c>
      <c r="AM170" s="98">
        <v>0</v>
      </c>
      <c r="AN170" s="92">
        <f t="shared" si="244"/>
        <v>1.4510000000000001</v>
      </c>
      <c r="AO170" s="98">
        <v>1.4510000000000001</v>
      </c>
      <c r="AP170" s="98">
        <v>1.476</v>
      </c>
      <c r="AQ170" s="92">
        <f t="shared" si="245"/>
        <v>1.508</v>
      </c>
      <c r="AR170" s="98">
        <v>1.508</v>
      </c>
      <c r="AS170" s="98">
        <v>4.2619999999999996</v>
      </c>
      <c r="AT170" s="92">
        <f t="shared" si="246"/>
        <v>0.122</v>
      </c>
      <c r="AU170" s="98">
        <v>0.122</v>
      </c>
      <c r="AV170" s="98">
        <v>0</v>
      </c>
      <c r="AW170" s="92">
        <f t="shared" si="247"/>
        <v>1.879</v>
      </c>
      <c r="AX170" s="404">
        <v>1.879</v>
      </c>
      <c r="AY170" s="92">
        <f t="shared" si="254"/>
        <v>1.879</v>
      </c>
      <c r="AZ170" s="92">
        <f t="shared" si="254"/>
        <v>1.879</v>
      </c>
      <c r="BA170" s="92">
        <f t="shared" si="248"/>
        <v>1.879</v>
      </c>
      <c r="BB170" s="92">
        <f t="shared" si="255"/>
        <v>1.879</v>
      </c>
      <c r="BC170" s="92">
        <f t="shared" si="255"/>
        <v>1.879</v>
      </c>
      <c r="BD170" s="92">
        <f t="shared" si="249"/>
        <v>1.879</v>
      </c>
      <c r="BE170" s="92">
        <f t="shared" si="256"/>
        <v>1.879</v>
      </c>
      <c r="BF170" s="92">
        <f t="shared" si="256"/>
        <v>1.879</v>
      </c>
      <c r="BG170" s="92">
        <f t="shared" si="250"/>
        <v>1.879</v>
      </c>
      <c r="BH170" s="92">
        <f t="shared" si="257"/>
        <v>1.879</v>
      </c>
      <c r="BI170" s="92">
        <f t="shared" si="257"/>
        <v>1.879</v>
      </c>
      <c r="BJ170" s="92">
        <f t="shared" si="251"/>
        <v>1.879</v>
      </c>
      <c r="BK170" s="92">
        <f t="shared" si="258"/>
        <v>1.879</v>
      </c>
      <c r="BL170" s="92">
        <f t="shared" si="258"/>
        <v>1.879</v>
      </c>
      <c r="BM170" s="92">
        <f t="shared" si="252"/>
        <v>1.879</v>
      </c>
    </row>
    <row r="171" spans="1:73" s="13" customFormat="1">
      <c r="A171" s="13" t="s">
        <v>77</v>
      </c>
      <c r="B171" s="55" t="s">
        <v>172</v>
      </c>
      <c r="C171" s="23">
        <f t="shared" ref="C171:T171" si="259">SUM(C165:C170)</f>
        <v>268.32000000000005</v>
      </c>
      <c r="D171" s="23">
        <f>SUM(D165:D170)</f>
        <v>285.08800000000002</v>
      </c>
      <c r="E171" s="94">
        <f t="shared" si="259"/>
        <v>285.08800000000002</v>
      </c>
      <c r="F171" s="23">
        <f t="shared" si="259"/>
        <v>262.68399999999997</v>
      </c>
      <c r="G171" s="23">
        <f>SUM(G165:G170)</f>
        <v>296.83600000000001</v>
      </c>
      <c r="H171" s="94">
        <f t="shared" si="259"/>
        <v>296.83600000000001</v>
      </c>
      <c r="I171" s="23">
        <f t="shared" si="259"/>
        <v>269.37799999999999</v>
      </c>
      <c r="J171" s="23">
        <f>SUM(J165:J170)</f>
        <v>294.916</v>
      </c>
      <c r="K171" s="94">
        <f t="shared" si="259"/>
        <v>294.916</v>
      </c>
      <c r="L171" s="23">
        <f t="shared" si="259"/>
        <v>277.65499999999997</v>
      </c>
      <c r="M171" s="23">
        <f>SUM(M165:M170)</f>
        <v>304.70800000000003</v>
      </c>
      <c r="N171" s="94">
        <f t="shared" si="259"/>
        <v>304.70800000000003</v>
      </c>
      <c r="O171" s="23">
        <f t="shared" si="259"/>
        <v>272.43900000000002</v>
      </c>
      <c r="P171" s="23">
        <f>SUM(P165:P170)</f>
        <v>369.29900000000004</v>
      </c>
      <c r="Q171" s="94">
        <f t="shared" si="259"/>
        <v>369.29900000000004</v>
      </c>
      <c r="R171" s="23">
        <f t="shared" si="259"/>
        <v>351.02200000000005</v>
      </c>
      <c r="S171" s="23">
        <f>SUM(S165:S170)</f>
        <v>374.76099999999997</v>
      </c>
      <c r="T171" s="94">
        <f t="shared" si="259"/>
        <v>374.76099999999997</v>
      </c>
      <c r="U171" s="23">
        <f t="shared" ref="U171:AN171" si="260">SUM(U165:U170)</f>
        <v>386.58500000000004</v>
      </c>
      <c r="V171" s="23">
        <f t="shared" si="260"/>
        <v>420.00600000000003</v>
      </c>
      <c r="W171" s="94">
        <f t="shared" si="260"/>
        <v>420.00600000000003</v>
      </c>
      <c r="X171" s="94">
        <f t="shared" si="260"/>
        <v>401.58500000000004</v>
      </c>
      <c r="Y171" s="94">
        <f t="shared" si="260"/>
        <v>424.69799999999998</v>
      </c>
      <c r="Z171" s="94">
        <f t="shared" si="260"/>
        <v>424.69799999999998</v>
      </c>
      <c r="AA171" s="94">
        <f t="shared" si="260"/>
        <v>413.97899999999998</v>
      </c>
      <c r="AB171" s="94">
        <f t="shared" si="260"/>
        <v>437.19400000000002</v>
      </c>
      <c r="AC171" s="94">
        <f t="shared" si="260"/>
        <v>437.19400000000002</v>
      </c>
      <c r="AD171" s="94">
        <f t="shared" si="260"/>
        <v>806.86400000000003</v>
      </c>
      <c r="AE171" s="94">
        <f t="shared" si="260"/>
        <v>793.19199999999989</v>
      </c>
      <c r="AF171" s="94">
        <f t="shared" si="260"/>
        <v>793.19199999999989</v>
      </c>
      <c r="AG171" s="94">
        <f t="shared" si="260"/>
        <v>888.45899999999983</v>
      </c>
      <c r="AH171" s="94">
        <f t="shared" si="260"/>
        <v>1075.4540000000002</v>
      </c>
      <c r="AI171" s="94">
        <f t="shared" si="260"/>
        <v>1075.4540000000002</v>
      </c>
      <c r="AJ171" s="94">
        <f t="shared" si="260"/>
        <v>989.53399999999999</v>
      </c>
      <c r="AK171" s="94">
        <f>SUM(AK165:AK170)</f>
        <v>1258.8270000000002</v>
      </c>
      <c r="AL171" s="94">
        <f t="shared" si="260"/>
        <v>1258.8270000000002</v>
      </c>
      <c r="AM171" s="94">
        <f t="shared" si="260"/>
        <v>1185.5039999999999</v>
      </c>
      <c r="AN171" s="94">
        <f t="shared" si="260"/>
        <v>1460.0609999999999</v>
      </c>
      <c r="AO171" s="94">
        <f>SUM(AO165:AO170)</f>
        <v>1460.0609999999999</v>
      </c>
      <c r="AP171" s="94">
        <f t="shared" ref="AP171:AU171" si="261">SUM(AP165:AP170)</f>
        <v>1233.7920000000001</v>
      </c>
      <c r="AQ171" s="94">
        <f t="shared" si="261"/>
        <v>1421.0280000000002</v>
      </c>
      <c r="AR171" s="94">
        <f t="shared" si="261"/>
        <v>1421.0280000000002</v>
      </c>
      <c r="AS171" s="94">
        <f t="shared" si="261"/>
        <v>1285.2869999999998</v>
      </c>
      <c r="AT171" s="94">
        <f t="shared" si="261"/>
        <v>1479.0119999999999</v>
      </c>
      <c r="AU171" s="94">
        <f t="shared" si="261"/>
        <v>1479.0119999999999</v>
      </c>
      <c r="AV171" s="94">
        <f t="shared" ref="AV171:AX171" si="262">SUM(AV165:AV170)</f>
        <v>1337.8879999999999</v>
      </c>
      <c r="AW171" s="94">
        <f t="shared" si="262"/>
        <v>1510.8600000000001</v>
      </c>
      <c r="AX171" s="95">
        <f t="shared" si="262"/>
        <v>1510.8600000000001</v>
      </c>
      <c r="AY171" s="94">
        <f t="shared" ref="AY171:BM171" si="263">SUM(AY165:AY170)</f>
        <v>1387.0315716398432</v>
      </c>
      <c r="AZ171" s="94">
        <f t="shared" si="263"/>
        <v>1553.4432898785753</v>
      </c>
      <c r="BA171" s="94">
        <f t="shared" si="263"/>
        <v>1553.4432898785753</v>
      </c>
      <c r="BB171" s="94">
        <f t="shared" si="263"/>
        <v>1438.1802809022934</v>
      </c>
      <c r="BC171" s="94">
        <f t="shared" si="263"/>
        <v>1609.6934354464174</v>
      </c>
      <c r="BD171" s="94">
        <f t="shared" si="263"/>
        <v>1609.6934354464174</v>
      </c>
      <c r="BE171" s="94">
        <f t="shared" si="263"/>
        <v>1501.812199588057</v>
      </c>
      <c r="BF171" s="94">
        <f t="shared" si="263"/>
        <v>1676.9212424045581</v>
      </c>
      <c r="BG171" s="94">
        <f t="shared" si="263"/>
        <v>1676.9212424045581</v>
      </c>
      <c r="BH171" s="94">
        <f t="shared" si="263"/>
        <v>1543.6069317231459</v>
      </c>
      <c r="BI171" s="94">
        <f t="shared" si="263"/>
        <v>1723.3234901717733</v>
      </c>
      <c r="BJ171" s="94">
        <f t="shared" si="263"/>
        <v>1723.3234901717733</v>
      </c>
      <c r="BK171" s="94">
        <f t="shared" si="263"/>
        <v>1562.8744177561298</v>
      </c>
      <c r="BL171" s="94">
        <f t="shared" si="263"/>
        <v>1752.426593074209</v>
      </c>
      <c r="BM171" s="94">
        <f t="shared" si="263"/>
        <v>1752.426593074209</v>
      </c>
      <c r="BP171"/>
      <c r="BQ171"/>
      <c r="BR171"/>
      <c r="BS171"/>
      <c r="BT171"/>
      <c r="BU171"/>
    </row>
    <row r="172" spans="1:73">
      <c r="A172" s="13" t="s">
        <v>192</v>
      </c>
      <c r="C172" s="25"/>
      <c r="E172" s="92"/>
      <c r="F172" s="25"/>
      <c r="H172" s="92"/>
      <c r="I172" s="25"/>
      <c r="K172" s="92"/>
      <c r="L172" s="25"/>
      <c r="N172" s="92"/>
      <c r="O172" s="25"/>
      <c r="Q172" s="92"/>
      <c r="R172" s="25"/>
      <c r="T172" s="92"/>
      <c r="U172" s="25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3"/>
      <c r="AY172" s="92"/>
      <c r="AZ172" s="92"/>
      <c r="BA172" s="92"/>
      <c r="BB172" s="92"/>
      <c r="BC172" s="92"/>
      <c r="BD172" s="92"/>
      <c r="BE172" s="92"/>
      <c r="BF172" s="92"/>
      <c r="BG172" s="92"/>
      <c r="BH172" s="92"/>
      <c r="BI172" s="92"/>
      <c r="BJ172" s="92"/>
      <c r="BK172" s="92"/>
      <c r="BL172" s="92"/>
      <c r="BM172" s="92"/>
    </row>
    <row r="173" spans="1:73">
      <c r="A173" s="89" t="s">
        <v>465</v>
      </c>
      <c r="B173" s="52" t="s">
        <v>172</v>
      </c>
      <c r="C173" s="311">
        <v>5.8159999999999998</v>
      </c>
      <c r="D173" s="312">
        <f>E173</f>
        <v>5.5460000000000003</v>
      </c>
      <c r="E173" s="311">
        <v>5.5460000000000003</v>
      </c>
      <c r="F173" s="311">
        <v>5.6630000000000003</v>
      </c>
      <c r="G173" s="312">
        <f>H173</f>
        <v>5.1219999999999999</v>
      </c>
      <c r="H173" s="311">
        <v>5.1219999999999999</v>
      </c>
      <c r="I173" s="311">
        <v>4.8079999999999998</v>
      </c>
      <c r="J173" s="25">
        <f>K173</f>
        <v>4.7619999999999996</v>
      </c>
      <c r="K173" s="310">
        <v>4.7619999999999996</v>
      </c>
      <c r="L173" s="26">
        <v>4.4669999999999996</v>
      </c>
      <c r="M173" s="25">
        <f t="shared" ref="M173:M178" si="264">N173</f>
        <v>4.1710000000000003</v>
      </c>
      <c r="N173" s="98">
        <v>4.1710000000000003</v>
      </c>
      <c r="O173" s="26">
        <v>3.6070000000000002</v>
      </c>
      <c r="P173" s="25">
        <f t="shared" ref="P173:P178" si="265">Q173</f>
        <v>3.347</v>
      </c>
      <c r="Q173" s="98">
        <v>3.347</v>
      </c>
      <c r="R173" s="26">
        <v>3.0859999999999999</v>
      </c>
      <c r="S173" s="25">
        <f t="shared" ref="S173:S178" si="266">T173</f>
        <v>2.8260000000000001</v>
      </c>
      <c r="T173" s="98">
        <v>2.8260000000000001</v>
      </c>
      <c r="U173" s="26">
        <v>2.5649999999999999</v>
      </c>
      <c r="V173" s="25">
        <f t="shared" ref="V173:V178" si="267">W173</f>
        <v>2.3039999999999998</v>
      </c>
      <c r="W173" s="98">
        <v>2.3039999999999998</v>
      </c>
      <c r="X173" s="98">
        <v>2.0430000000000001</v>
      </c>
      <c r="Y173" s="92">
        <f t="shared" ref="Y173:Y178" si="268">Z173</f>
        <v>1.863</v>
      </c>
      <c r="Z173" s="98">
        <v>1.863</v>
      </c>
      <c r="AA173" s="98">
        <v>2.4689999999999999</v>
      </c>
      <c r="AB173" s="92">
        <f t="shared" ref="AB173:AB178" si="269">AC173</f>
        <v>2.2120000000000002</v>
      </c>
      <c r="AC173" s="98">
        <v>2.2120000000000002</v>
      </c>
      <c r="AD173" s="98">
        <v>17.952999999999999</v>
      </c>
      <c r="AE173" s="92">
        <f t="shared" ref="AE173:AE178" si="270">AF173</f>
        <v>29.335000000000001</v>
      </c>
      <c r="AF173" s="98">
        <v>29.335000000000001</v>
      </c>
      <c r="AG173" s="98">
        <v>25.969000000000001</v>
      </c>
      <c r="AH173" s="92">
        <f>AI173</f>
        <v>31.408000000000001</v>
      </c>
      <c r="AI173" s="98">
        <v>31.408000000000001</v>
      </c>
      <c r="AJ173" s="98">
        <v>26.8</v>
      </c>
      <c r="AK173" s="92">
        <f>AL173</f>
        <v>14.885999999999999</v>
      </c>
      <c r="AL173" s="98">
        <v>14.885999999999999</v>
      </c>
      <c r="AM173" s="98">
        <v>5.16</v>
      </c>
      <c r="AN173" s="92">
        <f t="shared" ref="AN173:AN178" si="271">AO173</f>
        <v>8.0109999999999992</v>
      </c>
      <c r="AO173" s="98">
        <v>8.0109999999999992</v>
      </c>
      <c r="AP173" s="98">
        <v>6.1059999999999999</v>
      </c>
      <c r="AQ173" s="92">
        <f t="shared" ref="AQ173:AQ178" si="272">AR173</f>
        <v>17.545000000000002</v>
      </c>
      <c r="AR173" s="98">
        <v>17.545000000000002</v>
      </c>
      <c r="AS173" s="98">
        <v>0</v>
      </c>
      <c r="AT173" s="92">
        <f t="shared" ref="AT173:AT178" si="273">AU173</f>
        <v>0</v>
      </c>
      <c r="AU173" s="98">
        <v>0</v>
      </c>
      <c r="AV173" s="98">
        <v>0</v>
      </c>
      <c r="AW173" s="92">
        <f t="shared" ref="AW173:AW178" si="274">AX173</f>
        <v>0</v>
      </c>
      <c r="AX173" s="404">
        <v>0</v>
      </c>
      <c r="AY173" s="92">
        <f>AX173</f>
        <v>0</v>
      </c>
      <c r="AZ173" s="92">
        <f>AY173</f>
        <v>0</v>
      </c>
      <c r="BA173" s="92">
        <f t="shared" ref="BA173:BA178" si="275">AZ173</f>
        <v>0</v>
      </c>
      <c r="BB173" s="92">
        <f>BA173</f>
        <v>0</v>
      </c>
      <c r="BC173" s="92">
        <f>BB173</f>
        <v>0</v>
      </c>
      <c r="BD173" s="92">
        <f t="shared" ref="BD173:BD178" si="276">BC173</f>
        <v>0</v>
      </c>
      <c r="BE173" s="92">
        <f>BD173</f>
        <v>0</v>
      </c>
      <c r="BF173" s="92">
        <f>BE173</f>
        <v>0</v>
      </c>
      <c r="BG173" s="92">
        <f t="shared" ref="BG173:BG178" si="277">BF173</f>
        <v>0</v>
      </c>
      <c r="BH173" s="92">
        <f>BG173</f>
        <v>0</v>
      </c>
      <c r="BI173" s="92">
        <f>BH173</f>
        <v>0</v>
      </c>
      <c r="BJ173" s="92">
        <f t="shared" ref="BJ173:BJ178" si="278">BI173</f>
        <v>0</v>
      </c>
      <c r="BK173" s="92">
        <f>BJ173</f>
        <v>0</v>
      </c>
      <c r="BL173" s="92">
        <f>BK173</f>
        <v>0</v>
      </c>
      <c r="BM173" s="92">
        <f t="shared" ref="BM173:BM178" si="279">BL173</f>
        <v>0</v>
      </c>
    </row>
    <row r="174" spans="1:73">
      <c r="A174" s="89" t="s">
        <v>135</v>
      </c>
      <c r="B174" s="52" t="s">
        <v>172</v>
      </c>
      <c r="C174" s="311">
        <v>0</v>
      </c>
      <c r="D174" s="312">
        <f t="shared" ref="D174:J174" si="280">E174</f>
        <v>0</v>
      </c>
      <c r="E174" s="311">
        <v>0</v>
      </c>
      <c r="F174" s="311">
        <v>0</v>
      </c>
      <c r="G174" s="312">
        <f t="shared" si="280"/>
        <v>0</v>
      </c>
      <c r="H174" s="311">
        <v>0</v>
      </c>
      <c r="I174" s="311">
        <v>0</v>
      </c>
      <c r="J174" s="309">
        <f t="shared" si="280"/>
        <v>0</v>
      </c>
      <c r="K174" s="308">
        <v>0</v>
      </c>
      <c r="L174" s="308">
        <v>0</v>
      </c>
      <c r="M174" s="309">
        <f t="shared" si="264"/>
        <v>0</v>
      </c>
      <c r="N174" s="308">
        <v>0</v>
      </c>
      <c r="O174" s="308">
        <v>0</v>
      </c>
      <c r="P174" s="25">
        <f t="shared" si="265"/>
        <v>175</v>
      </c>
      <c r="Q174" s="98">
        <v>175</v>
      </c>
      <c r="R174" s="26">
        <v>165</v>
      </c>
      <c r="S174" s="25">
        <f t="shared" si="266"/>
        <v>155</v>
      </c>
      <c r="T174" s="98">
        <v>155</v>
      </c>
      <c r="U174" s="26">
        <v>145</v>
      </c>
      <c r="V174" s="25">
        <f t="shared" si="267"/>
        <v>125</v>
      </c>
      <c r="W174" s="98">
        <v>125</v>
      </c>
      <c r="X174" s="98">
        <v>100</v>
      </c>
      <c r="Y174" s="92">
        <f t="shared" si="268"/>
        <v>100</v>
      </c>
      <c r="Z174" s="98">
        <v>100</v>
      </c>
      <c r="AA174" s="98">
        <v>100</v>
      </c>
      <c r="AB174" s="92">
        <f t="shared" si="269"/>
        <v>0</v>
      </c>
      <c r="AC174" s="98">
        <v>0</v>
      </c>
      <c r="AD174" s="98">
        <v>1590.961</v>
      </c>
      <c r="AE174" s="92">
        <f t="shared" si="270"/>
        <v>1593.0409999999999</v>
      </c>
      <c r="AF174" s="98">
        <v>1593.0409999999999</v>
      </c>
      <c r="AG174" s="98">
        <v>1721.807</v>
      </c>
      <c r="AH174" s="92">
        <f>AI174</f>
        <v>1747.2190000000001</v>
      </c>
      <c r="AI174" s="98">
        <v>1747.2190000000001</v>
      </c>
      <c r="AJ174" s="98">
        <v>1548.865</v>
      </c>
      <c r="AK174" s="92">
        <f>AL174</f>
        <v>1319.173</v>
      </c>
      <c r="AL174" s="98">
        <v>1319.173</v>
      </c>
      <c r="AM174" s="98">
        <v>1015.9589999999999</v>
      </c>
      <c r="AN174" s="92">
        <f t="shared" si="271"/>
        <v>1090.088</v>
      </c>
      <c r="AO174" s="98">
        <v>1090.088</v>
      </c>
      <c r="AP174" s="98">
        <v>1128.6780000000001</v>
      </c>
      <c r="AQ174" s="92">
        <f t="shared" si="272"/>
        <v>1097.49</v>
      </c>
      <c r="AR174" s="98">
        <v>1097.49</v>
      </c>
      <c r="AS174" s="98">
        <v>947.00599999999997</v>
      </c>
      <c r="AT174" s="92">
        <f t="shared" si="273"/>
        <v>859.322</v>
      </c>
      <c r="AU174" s="98">
        <v>859.322</v>
      </c>
      <c r="AV174" s="98">
        <v>919.673</v>
      </c>
      <c r="AW174" s="92">
        <f t="shared" si="274"/>
        <v>865.72799999999995</v>
      </c>
      <c r="AX174" s="404">
        <v>865.72799999999995</v>
      </c>
      <c r="AY174" s="92">
        <f>AX174+AY94-(AY167-AX167)</f>
        <v>1000.4652080086732</v>
      </c>
      <c r="AZ174" s="92">
        <f>AY174+AZ94-(AZ167-AY167)</f>
        <v>835.59856963281732</v>
      </c>
      <c r="BA174" s="92">
        <f t="shared" si="275"/>
        <v>835.59856963281732</v>
      </c>
      <c r="BB174" s="92">
        <f>BA174+BB94-(BB167-BA167)</f>
        <v>954.89649199893404</v>
      </c>
      <c r="BC174" s="92">
        <f>BB174+BC94-(BC167-BB167)</f>
        <v>754.12498441931393</v>
      </c>
      <c r="BD174" s="92">
        <f t="shared" si="276"/>
        <v>754.12498441931393</v>
      </c>
      <c r="BE174" s="92">
        <f>BD174+BE94-(BE167-BD167)</f>
        <v>883.06944136400102</v>
      </c>
      <c r="BF174" s="92">
        <f>BE174+BF94-(BF167-BE167)</f>
        <v>650.43846749086038</v>
      </c>
      <c r="BG174" s="92">
        <f t="shared" si="277"/>
        <v>650.43846749086038</v>
      </c>
      <c r="BH174" s="92">
        <f>BG174+BH94-(BH167-BG167)</f>
        <v>696.39314175208995</v>
      </c>
      <c r="BI174" s="92">
        <f>BH174+BI94-(BI167-BH167)</f>
        <v>358.50267962141015</v>
      </c>
      <c r="BJ174" s="92">
        <f t="shared" si="278"/>
        <v>358.50267962141015</v>
      </c>
      <c r="BK174" s="92">
        <f>BJ174+BK94-(BK167-BJ167)</f>
        <v>354.73745511909317</v>
      </c>
      <c r="BL174" s="92">
        <f>BK174+BL94-(BL167-BK167)</f>
        <v>12.088236841637638</v>
      </c>
      <c r="BM174" s="92">
        <f t="shared" si="279"/>
        <v>12.088236841637638</v>
      </c>
    </row>
    <row r="175" spans="1:73">
      <c r="A175" s="89" t="s">
        <v>462</v>
      </c>
      <c r="B175" s="52" t="s">
        <v>172</v>
      </c>
      <c r="C175" s="311">
        <v>0</v>
      </c>
      <c r="D175" s="312">
        <f>E175</f>
        <v>0</v>
      </c>
      <c r="E175" s="311">
        <v>0</v>
      </c>
      <c r="F175" s="311">
        <v>0</v>
      </c>
      <c r="G175" s="312">
        <f>H175</f>
        <v>0</v>
      </c>
      <c r="H175" s="311">
        <v>0</v>
      </c>
      <c r="I175" s="311">
        <v>0</v>
      </c>
      <c r="J175" s="309">
        <f>K175</f>
        <v>0</v>
      </c>
      <c r="K175" s="308">
        <v>0</v>
      </c>
      <c r="L175" s="308">
        <v>0</v>
      </c>
      <c r="M175" s="309">
        <f t="shared" si="264"/>
        <v>0</v>
      </c>
      <c r="N175" s="308">
        <v>0</v>
      </c>
      <c r="O175" s="308">
        <v>0</v>
      </c>
      <c r="P175" s="309">
        <f t="shared" si="265"/>
        <v>0</v>
      </c>
      <c r="Q175" s="308">
        <v>0</v>
      </c>
      <c r="R175" s="308">
        <v>0</v>
      </c>
      <c r="S175" s="309">
        <f t="shared" si="266"/>
        <v>0</v>
      </c>
      <c r="T175" s="308">
        <v>0</v>
      </c>
      <c r="U175" s="308">
        <v>0</v>
      </c>
      <c r="V175" s="309">
        <f t="shared" si="267"/>
        <v>0</v>
      </c>
      <c r="W175" s="308">
        <v>0</v>
      </c>
      <c r="X175" s="308">
        <v>0</v>
      </c>
      <c r="Y175" s="309">
        <f t="shared" si="268"/>
        <v>0</v>
      </c>
      <c r="Z175" s="308">
        <v>0</v>
      </c>
      <c r="AA175" s="308">
        <v>0</v>
      </c>
      <c r="AB175" s="309">
        <f t="shared" si="269"/>
        <v>0</v>
      </c>
      <c r="AC175" s="308">
        <v>0</v>
      </c>
      <c r="AD175" s="308">
        <v>0</v>
      </c>
      <c r="AE175" s="309">
        <f t="shared" si="270"/>
        <v>0</v>
      </c>
      <c r="AF175" s="308">
        <v>0</v>
      </c>
      <c r="AG175" s="98">
        <v>609.27700000000004</v>
      </c>
      <c r="AH175" s="92">
        <f>AI175</f>
        <v>633.73199999999997</v>
      </c>
      <c r="AI175" s="98">
        <v>633.73199999999997</v>
      </c>
      <c r="AJ175" s="98">
        <v>557.31700000000001</v>
      </c>
      <c r="AK175" s="92">
        <f>AL175</f>
        <v>574.32100000000003</v>
      </c>
      <c r="AL175" s="98">
        <v>574.32100000000003</v>
      </c>
      <c r="AM175" s="98">
        <v>677.55499999999995</v>
      </c>
      <c r="AN175" s="92">
        <f t="shared" si="271"/>
        <v>694.19600000000003</v>
      </c>
      <c r="AO175" s="98">
        <v>694.19600000000003</v>
      </c>
      <c r="AP175" s="98">
        <v>677.16099999999994</v>
      </c>
      <c r="AQ175" s="92">
        <f t="shared" si="272"/>
        <v>732.91700000000003</v>
      </c>
      <c r="AR175" s="98">
        <v>732.91700000000003</v>
      </c>
      <c r="AS175" s="98">
        <v>749.31600000000003</v>
      </c>
      <c r="AT175" s="92">
        <f t="shared" si="273"/>
        <v>837.09400000000005</v>
      </c>
      <c r="AU175" s="98">
        <v>837.09400000000005</v>
      </c>
      <c r="AV175" s="98">
        <v>885.33500000000004</v>
      </c>
      <c r="AW175" s="92">
        <f t="shared" si="274"/>
        <v>956.19600000000003</v>
      </c>
      <c r="AX175" s="404">
        <v>956.19600000000003</v>
      </c>
      <c r="AY175" s="92">
        <f>AX175+AY95</f>
        <v>885.88599999999997</v>
      </c>
      <c r="AZ175" s="92">
        <f>AY175+AZ95</f>
        <v>815.57600000000002</v>
      </c>
      <c r="BA175" s="92">
        <f>AZ175</f>
        <v>815.57600000000002</v>
      </c>
      <c r="BB175" s="92">
        <f>BA175+BB95</f>
        <v>745.26600000000008</v>
      </c>
      <c r="BC175" s="92">
        <f>BB175+BC95</f>
        <v>674.95600000000013</v>
      </c>
      <c r="BD175" s="92">
        <f t="shared" si="276"/>
        <v>674.95600000000013</v>
      </c>
      <c r="BE175" s="92">
        <f>BD175+BE95</f>
        <v>604.64600000000019</v>
      </c>
      <c r="BF175" s="92">
        <f>BE175+BF95</f>
        <v>534.33600000000024</v>
      </c>
      <c r="BG175" s="92">
        <f t="shared" si="277"/>
        <v>534.33600000000024</v>
      </c>
      <c r="BH175" s="92">
        <f>BG175+BH95</f>
        <v>518.33600000000024</v>
      </c>
      <c r="BI175" s="92">
        <f>BH175+BI95</f>
        <v>518.33600000000024</v>
      </c>
      <c r="BJ175" s="92">
        <f t="shared" si="278"/>
        <v>518.33600000000024</v>
      </c>
      <c r="BK175" s="92">
        <f>BJ175+BK95</f>
        <v>518.33600000000024</v>
      </c>
      <c r="BL175" s="92">
        <f>BK175+BL95</f>
        <v>518.33600000000024</v>
      </c>
      <c r="BM175" s="92">
        <f t="shared" si="279"/>
        <v>518.33600000000024</v>
      </c>
    </row>
    <row r="176" spans="1:73">
      <c r="A176" s="89" t="s">
        <v>464</v>
      </c>
      <c r="B176" s="52" t="s">
        <v>172</v>
      </c>
      <c r="C176" s="311">
        <v>0</v>
      </c>
      <c r="D176" s="312">
        <f>E176</f>
        <v>0</v>
      </c>
      <c r="E176" s="311">
        <v>0</v>
      </c>
      <c r="F176" s="311">
        <v>0</v>
      </c>
      <c r="G176" s="312">
        <f>H176</f>
        <v>0</v>
      </c>
      <c r="H176" s="311">
        <v>0</v>
      </c>
      <c r="I176" s="311">
        <v>0</v>
      </c>
      <c r="J176" s="309">
        <f>K176</f>
        <v>0</v>
      </c>
      <c r="K176" s="308">
        <v>0</v>
      </c>
      <c r="L176" s="308">
        <v>0</v>
      </c>
      <c r="M176" s="309">
        <f t="shared" si="264"/>
        <v>0</v>
      </c>
      <c r="N176" s="308">
        <v>0</v>
      </c>
      <c r="O176" s="308">
        <v>0</v>
      </c>
      <c r="P176" s="309">
        <f t="shared" si="265"/>
        <v>0</v>
      </c>
      <c r="Q176" s="308">
        <v>0</v>
      </c>
      <c r="R176" s="308">
        <v>0</v>
      </c>
      <c r="S176" s="309">
        <f t="shared" si="266"/>
        <v>0</v>
      </c>
      <c r="T176" s="308">
        <v>0</v>
      </c>
      <c r="U176" s="308">
        <v>0</v>
      </c>
      <c r="V176" s="309">
        <f t="shared" si="267"/>
        <v>0</v>
      </c>
      <c r="W176" s="308">
        <v>0</v>
      </c>
      <c r="X176" s="308">
        <v>0</v>
      </c>
      <c r="Y176" s="309">
        <f t="shared" si="268"/>
        <v>0</v>
      </c>
      <c r="Z176" s="308">
        <v>0</v>
      </c>
      <c r="AA176" s="308">
        <v>0</v>
      </c>
      <c r="AB176" s="309">
        <f t="shared" si="269"/>
        <v>0</v>
      </c>
      <c r="AC176" s="308">
        <v>0</v>
      </c>
      <c r="AD176" s="308">
        <v>0</v>
      </c>
      <c r="AE176" s="92">
        <f t="shared" si="270"/>
        <v>43.777000000000001</v>
      </c>
      <c r="AF176" s="98">
        <v>43.777000000000001</v>
      </c>
      <c r="AG176" s="98">
        <v>48.445999999999998</v>
      </c>
      <c r="AH176" s="92">
        <f>AI176</f>
        <v>74.424000000000007</v>
      </c>
      <c r="AI176" s="98">
        <v>74.424000000000007</v>
      </c>
      <c r="AJ176" s="98">
        <v>56.601999999999997</v>
      </c>
      <c r="AK176" s="92">
        <f>AL176</f>
        <v>47.982999999999997</v>
      </c>
      <c r="AL176" s="98">
        <v>47.982999999999997</v>
      </c>
      <c r="AM176" s="98">
        <v>43.558999999999997</v>
      </c>
      <c r="AN176" s="92">
        <f t="shared" si="271"/>
        <v>29.625</v>
      </c>
      <c r="AO176" s="98">
        <v>29.625</v>
      </c>
      <c r="AP176" s="98">
        <v>25.434999999999999</v>
      </c>
      <c r="AQ176" s="92">
        <f t="shared" si="272"/>
        <v>23.818000000000001</v>
      </c>
      <c r="AR176" s="98">
        <v>23.818000000000001</v>
      </c>
      <c r="AS176" s="98">
        <v>26.981999999999999</v>
      </c>
      <c r="AT176" s="92">
        <f t="shared" si="273"/>
        <v>21.097000000000001</v>
      </c>
      <c r="AU176" s="98">
        <v>21.097000000000001</v>
      </c>
      <c r="AV176" s="98">
        <v>33.725999999999999</v>
      </c>
      <c r="AW176" s="92">
        <f t="shared" si="274"/>
        <v>28.902999999999999</v>
      </c>
      <c r="AX176" s="404">
        <v>28.902999999999999</v>
      </c>
      <c r="AY176" s="92">
        <f t="shared" ref="AY176:AZ178" si="281">AX176</f>
        <v>28.902999999999999</v>
      </c>
      <c r="AZ176" s="92">
        <f t="shared" si="281"/>
        <v>28.902999999999999</v>
      </c>
      <c r="BA176" s="92">
        <f t="shared" si="275"/>
        <v>28.902999999999999</v>
      </c>
      <c r="BB176" s="92">
        <f t="shared" ref="BB176:BC178" si="282">BA176</f>
        <v>28.902999999999999</v>
      </c>
      <c r="BC176" s="92">
        <f t="shared" si="282"/>
        <v>28.902999999999999</v>
      </c>
      <c r="BD176" s="92">
        <f t="shared" si="276"/>
        <v>28.902999999999999</v>
      </c>
      <c r="BE176" s="92">
        <f t="shared" ref="BE176:BF178" si="283">BD176</f>
        <v>28.902999999999999</v>
      </c>
      <c r="BF176" s="92">
        <f t="shared" si="283"/>
        <v>28.902999999999999</v>
      </c>
      <c r="BG176" s="92">
        <f t="shared" si="277"/>
        <v>28.902999999999999</v>
      </c>
      <c r="BH176" s="92">
        <f t="shared" ref="BH176:BI178" si="284">BG176</f>
        <v>28.902999999999999</v>
      </c>
      <c r="BI176" s="92">
        <f t="shared" si="284"/>
        <v>28.902999999999999</v>
      </c>
      <c r="BJ176" s="92">
        <f t="shared" si="278"/>
        <v>28.902999999999999</v>
      </c>
      <c r="BK176" s="92">
        <f t="shared" ref="BK176:BL178" si="285">BJ176</f>
        <v>28.902999999999999</v>
      </c>
      <c r="BL176" s="92">
        <f t="shared" si="285"/>
        <v>28.902999999999999</v>
      </c>
      <c r="BM176" s="92">
        <f t="shared" si="279"/>
        <v>28.902999999999999</v>
      </c>
    </row>
    <row r="177" spans="1:73">
      <c r="A177" s="89" t="s">
        <v>190</v>
      </c>
      <c r="B177" s="52" t="s">
        <v>172</v>
      </c>
      <c r="C177" s="311">
        <v>0.73399999999999999</v>
      </c>
      <c r="D177" s="312">
        <f>E177</f>
        <v>1.597</v>
      </c>
      <c r="E177" s="311">
        <v>1.597</v>
      </c>
      <c r="F177" s="311">
        <v>1.69</v>
      </c>
      <c r="G177" s="312">
        <f>H177</f>
        <v>1.742</v>
      </c>
      <c r="H177" s="311">
        <v>1.742</v>
      </c>
      <c r="I177" s="311">
        <v>1.8140000000000001</v>
      </c>
      <c r="J177" s="25">
        <f>K177</f>
        <v>2.2410000000000001</v>
      </c>
      <c r="K177" s="310">
        <v>2.2410000000000001</v>
      </c>
      <c r="L177" s="26">
        <v>2.35</v>
      </c>
      <c r="M177" s="25">
        <f t="shared" si="264"/>
        <v>2.0430000000000001</v>
      </c>
      <c r="N177" s="98">
        <v>2.0430000000000001</v>
      </c>
      <c r="O177" s="26">
        <v>2.145</v>
      </c>
      <c r="P177" s="25">
        <f t="shared" si="265"/>
        <v>2.17</v>
      </c>
      <c r="Q177" s="98">
        <v>2.17</v>
      </c>
      <c r="R177" s="26">
        <v>2.2909999999999999</v>
      </c>
      <c r="S177" s="25">
        <f t="shared" si="266"/>
        <v>1.8</v>
      </c>
      <c r="T177" s="98">
        <v>1.8</v>
      </c>
      <c r="U177" s="26">
        <v>1.8</v>
      </c>
      <c r="V177" s="25">
        <f t="shared" si="267"/>
        <v>3.0179999999999998</v>
      </c>
      <c r="W177" s="98">
        <v>3.0179999999999998</v>
      </c>
      <c r="X177" s="98">
        <v>3.0179999999999998</v>
      </c>
      <c r="Y177" s="92">
        <f t="shared" si="268"/>
        <v>3.0840000000000001</v>
      </c>
      <c r="Z177" s="98">
        <v>3.0840000000000001</v>
      </c>
      <c r="AA177" s="98">
        <v>3.1480000000000001</v>
      </c>
      <c r="AB177" s="92">
        <f t="shared" si="269"/>
        <v>4.0030000000000001</v>
      </c>
      <c r="AC177" s="98">
        <v>4.0030000000000001</v>
      </c>
      <c r="AD177" s="98">
        <v>3.6659999999999999</v>
      </c>
      <c r="AE177" s="92">
        <f t="shared" si="270"/>
        <v>5.008</v>
      </c>
      <c r="AF177" s="98">
        <v>5.008</v>
      </c>
      <c r="AG177" s="98">
        <v>5.008</v>
      </c>
      <c r="AH177" s="92">
        <f>AI177</f>
        <v>5.444</v>
      </c>
      <c r="AI177" s="98">
        <v>5.444</v>
      </c>
      <c r="AJ177" s="98">
        <v>5.4429999999999996</v>
      </c>
      <c r="AK177" s="92">
        <f>AL177</f>
        <v>4.9580000000000002</v>
      </c>
      <c r="AL177" s="98">
        <v>4.9580000000000002</v>
      </c>
      <c r="AM177" s="98">
        <v>4.9580000000000002</v>
      </c>
      <c r="AN177" s="92">
        <f t="shared" si="271"/>
        <v>4.7240000000000002</v>
      </c>
      <c r="AO177" s="98">
        <v>4.7240000000000002</v>
      </c>
      <c r="AP177" s="98">
        <v>4.7240000000000002</v>
      </c>
      <c r="AQ177" s="92">
        <f t="shared" si="272"/>
        <v>6.0640000000000001</v>
      </c>
      <c r="AR177" s="98">
        <v>6.0640000000000001</v>
      </c>
      <c r="AS177" s="98">
        <v>22.004000000000001</v>
      </c>
      <c r="AT177" s="92">
        <f t="shared" si="273"/>
        <v>14.201000000000001</v>
      </c>
      <c r="AU177" s="98">
        <v>14.201000000000001</v>
      </c>
      <c r="AV177" s="98">
        <v>7.5640000000000001</v>
      </c>
      <c r="AW177" s="92">
        <f t="shared" si="274"/>
        <v>10.449</v>
      </c>
      <c r="AX177" s="404">
        <v>10.449</v>
      </c>
      <c r="AY177" s="92">
        <f t="shared" si="281"/>
        <v>10.449</v>
      </c>
      <c r="AZ177" s="92">
        <f t="shared" si="281"/>
        <v>10.449</v>
      </c>
      <c r="BA177" s="92">
        <f t="shared" si="275"/>
        <v>10.449</v>
      </c>
      <c r="BB177" s="92">
        <f t="shared" si="282"/>
        <v>10.449</v>
      </c>
      <c r="BC177" s="92">
        <f t="shared" si="282"/>
        <v>10.449</v>
      </c>
      <c r="BD177" s="92">
        <f t="shared" si="276"/>
        <v>10.449</v>
      </c>
      <c r="BE177" s="92">
        <f t="shared" si="283"/>
        <v>10.449</v>
      </c>
      <c r="BF177" s="92">
        <f t="shared" si="283"/>
        <v>10.449</v>
      </c>
      <c r="BG177" s="92">
        <f t="shared" si="277"/>
        <v>10.449</v>
      </c>
      <c r="BH177" s="92">
        <f t="shared" si="284"/>
        <v>10.449</v>
      </c>
      <c r="BI177" s="92">
        <f t="shared" si="284"/>
        <v>10.449</v>
      </c>
      <c r="BJ177" s="92">
        <f t="shared" si="278"/>
        <v>10.449</v>
      </c>
      <c r="BK177" s="92">
        <f t="shared" si="285"/>
        <v>10.449</v>
      </c>
      <c r="BL177" s="92">
        <f t="shared" si="285"/>
        <v>10.449</v>
      </c>
      <c r="BM177" s="92">
        <f t="shared" si="279"/>
        <v>10.449</v>
      </c>
    </row>
    <row r="178" spans="1:73">
      <c r="A178" s="89" t="s">
        <v>217</v>
      </c>
      <c r="B178" s="52" t="s">
        <v>172</v>
      </c>
      <c r="C178" s="311">
        <v>0</v>
      </c>
      <c r="D178" s="312">
        <f>E178</f>
        <v>0</v>
      </c>
      <c r="E178" s="311">
        <v>0</v>
      </c>
      <c r="F178" s="311">
        <v>0</v>
      </c>
      <c r="G178" s="312">
        <f>H178</f>
        <v>0</v>
      </c>
      <c r="H178" s="311">
        <v>0</v>
      </c>
      <c r="I178" s="311">
        <v>0</v>
      </c>
      <c r="J178" s="309">
        <f>K178</f>
        <v>0</v>
      </c>
      <c r="K178" s="308">
        <v>0</v>
      </c>
      <c r="L178" s="308">
        <v>0</v>
      </c>
      <c r="M178" s="309">
        <f t="shared" si="264"/>
        <v>0</v>
      </c>
      <c r="N178" s="308">
        <v>0</v>
      </c>
      <c r="O178" s="308">
        <v>0</v>
      </c>
      <c r="P178" s="309">
        <f t="shared" si="265"/>
        <v>0</v>
      </c>
      <c r="Q178" s="308">
        <v>0</v>
      </c>
      <c r="R178" s="308">
        <v>0</v>
      </c>
      <c r="S178" s="309">
        <f t="shared" si="266"/>
        <v>0</v>
      </c>
      <c r="T178" s="308">
        <v>0</v>
      </c>
      <c r="U178" s="308">
        <v>0</v>
      </c>
      <c r="V178" s="309">
        <f t="shared" si="267"/>
        <v>0</v>
      </c>
      <c r="W178" s="308">
        <v>0</v>
      </c>
      <c r="X178" s="308">
        <v>0</v>
      </c>
      <c r="Y178" s="309">
        <f t="shared" si="268"/>
        <v>0</v>
      </c>
      <c r="Z178" s="308">
        <v>0</v>
      </c>
      <c r="AA178" s="308">
        <v>0</v>
      </c>
      <c r="AB178" s="309">
        <f t="shared" si="269"/>
        <v>0</v>
      </c>
      <c r="AC178" s="308">
        <v>0</v>
      </c>
      <c r="AD178" s="98">
        <v>6.8780000000000001</v>
      </c>
      <c r="AE178" s="92">
        <f t="shared" si="270"/>
        <v>18.177</v>
      </c>
      <c r="AF178" s="98">
        <v>18.177</v>
      </c>
      <c r="AG178" s="98">
        <v>14.898999999999999</v>
      </c>
      <c r="AH178" s="92">
        <f>+AI178</f>
        <v>26.318000000000001</v>
      </c>
      <c r="AI178" s="98">
        <v>26.318000000000001</v>
      </c>
      <c r="AJ178" s="98">
        <v>15.657999999999999</v>
      </c>
      <c r="AK178" s="92">
        <f>+AL178</f>
        <v>9.8119999999999994</v>
      </c>
      <c r="AL178" s="98">
        <v>9.8119999999999994</v>
      </c>
      <c r="AM178" s="98">
        <v>0</v>
      </c>
      <c r="AN178" s="92">
        <f t="shared" si="271"/>
        <v>0</v>
      </c>
      <c r="AO178" s="98">
        <v>0</v>
      </c>
      <c r="AP178" s="98">
        <v>0</v>
      </c>
      <c r="AQ178" s="92">
        <f t="shared" si="272"/>
        <v>0</v>
      </c>
      <c r="AR178" s="98">
        <v>0</v>
      </c>
      <c r="AS178" s="98">
        <v>0</v>
      </c>
      <c r="AT178" s="92">
        <f t="shared" si="273"/>
        <v>0</v>
      </c>
      <c r="AU178" s="98">
        <v>0</v>
      </c>
      <c r="AV178" s="98">
        <v>0</v>
      </c>
      <c r="AW178" s="92">
        <f t="shared" si="274"/>
        <v>0</v>
      </c>
      <c r="AX178" s="404">
        <v>0</v>
      </c>
      <c r="AY178" s="92">
        <f t="shared" si="281"/>
        <v>0</v>
      </c>
      <c r="AZ178" s="92">
        <f t="shared" si="281"/>
        <v>0</v>
      </c>
      <c r="BA178" s="92">
        <f t="shared" si="275"/>
        <v>0</v>
      </c>
      <c r="BB178" s="92">
        <f t="shared" si="282"/>
        <v>0</v>
      </c>
      <c r="BC178" s="92">
        <f t="shared" si="282"/>
        <v>0</v>
      </c>
      <c r="BD178" s="92">
        <f t="shared" si="276"/>
        <v>0</v>
      </c>
      <c r="BE178" s="92">
        <f t="shared" si="283"/>
        <v>0</v>
      </c>
      <c r="BF178" s="92">
        <f t="shared" si="283"/>
        <v>0</v>
      </c>
      <c r="BG178" s="92">
        <f t="shared" si="277"/>
        <v>0</v>
      </c>
      <c r="BH178" s="92">
        <f t="shared" si="284"/>
        <v>0</v>
      </c>
      <c r="BI178" s="92">
        <f t="shared" si="284"/>
        <v>0</v>
      </c>
      <c r="BJ178" s="92">
        <f t="shared" si="278"/>
        <v>0</v>
      </c>
      <c r="BK178" s="92">
        <f t="shared" si="285"/>
        <v>0</v>
      </c>
      <c r="BL178" s="92">
        <f t="shared" si="285"/>
        <v>0</v>
      </c>
      <c r="BM178" s="92">
        <f t="shared" si="279"/>
        <v>0</v>
      </c>
    </row>
    <row r="179" spans="1:73" s="13" customFormat="1">
      <c r="A179" s="13" t="s">
        <v>227</v>
      </c>
      <c r="B179" s="55" t="s">
        <v>172</v>
      </c>
      <c r="C179" s="23">
        <f t="shared" ref="C179:AO179" si="286">SUM(C173:C178)</f>
        <v>6.55</v>
      </c>
      <c r="D179" s="23">
        <f t="shared" si="286"/>
        <v>7.1430000000000007</v>
      </c>
      <c r="E179" s="94">
        <f t="shared" si="286"/>
        <v>7.1430000000000007</v>
      </c>
      <c r="F179" s="23">
        <f t="shared" si="286"/>
        <v>7.3529999999999998</v>
      </c>
      <c r="G179" s="23">
        <f t="shared" si="286"/>
        <v>6.8639999999999999</v>
      </c>
      <c r="H179" s="219">
        <f t="shared" si="286"/>
        <v>6.8639999999999999</v>
      </c>
      <c r="I179" s="23">
        <f t="shared" si="286"/>
        <v>6.6219999999999999</v>
      </c>
      <c r="J179" s="23">
        <f t="shared" si="286"/>
        <v>7.0030000000000001</v>
      </c>
      <c r="K179" s="94">
        <f t="shared" si="286"/>
        <v>7.0030000000000001</v>
      </c>
      <c r="L179" s="23">
        <f t="shared" si="286"/>
        <v>6.8170000000000002</v>
      </c>
      <c r="M179" s="23">
        <f t="shared" si="286"/>
        <v>6.2140000000000004</v>
      </c>
      <c r="N179" s="94">
        <f t="shared" si="286"/>
        <v>6.2140000000000004</v>
      </c>
      <c r="O179" s="23">
        <f t="shared" si="286"/>
        <v>5.7520000000000007</v>
      </c>
      <c r="P179" s="23">
        <f t="shared" si="286"/>
        <v>180.517</v>
      </c>
      <c r="Q179" s="94">
        <f t="shared" si="286"/>
        <v>180.517</v>
      </c>
      <c r="R179" s="23">
        <f t="shared" si="286"/>
        <v>170.37700000000001</v>
      </c>
      <c r="S179" s="23">
        <f t="shared" si="286"/>
        <v>159.626</v>
      </c>
      <c r="T179" s="94">
        <f t="shared" si="286"/>
        <v>159.626</v>
      </c>
      <c r="U179" s="23">
        <f t="shared" si="286"/>
        <v>149.36500000000001</v>
      </c>
      <c r="V179" s="23">
        <f t="shared" si="286"/>
        <v>130.322</v>
      </c>
      <c r="W179" s="94">
        <f t="shared" si="286"/>
        <v>130.322</v>
      </c>
      <c r="X179" s="94">
        <f t="shared" si="286"/>
        <v>105.06100000000001</v>
      </c>
      <c r="Y179" s="94">
        <f t="shared" si="286"/>
        <v>104.947</v>
      </c>
      <c r="Z179" s="94">
        <f t="shared" si="286"/>
        <v>104.947</v>
      </c>
      <c r="AA179" s="94">
        <f t="shared" si="286"/>
        <v>105.61699999999999</v>
      </c>
      <c r="AB179" s="94">
        <f t="shared" si="286"/>
        <v>6.2149999999999999</v>
      </c>
      <c r="AC179" s="94">
        <f t="shared" si="286"/>
        <v>6.2149999999999999</v>
      </c>
      <c r="AD179" s="94">
        <f t="shared" si="286"/>
        <v>1619.4579999999999</v>
      </c>
      <c r="AE179" s="94">
        <f t="shared" si="286"/>
        <v>1689.338</v>
      </c>
      <c r="AF179" s="94">
        <f t="shared" si="286"/>
        <v>1689.338</v>
      </c>
      <c r="AG179" s="94">
        <f t="shared" si="286"/>
        <v>2425.4059999999995</v>
      </c>
      <c r="AH179" s="94">
        <f t="shared" si="286"/>
        <v>2518.5450000000001</v>
      </c>
      <c r="AI179" s="94">
        <f t="shared" si="286"/>
        <v>2518.5450000000001</v>
      </c>
      <c r="AJ179" s="94">
        <f t="shared" si="286"/>
        <v>2210.6849999999999</v>
      </c>
      <c r="AK179" s="94">
        <f>SUM(AK173:AK178)</f>
        <v>1971.133</v>
      </c>
      <c r="AL179" s="94">
        <f t="shared" si="286"/>
        <v>1971.133</v>
      </c>
      <c r="AM179" s="94">
        <f t="shared" si="286"/>
        <v>1747.191</v>
      </c>
      <c r="AN179" s="94">
        <f t="shared" si="286"/>
        <v>1826.644</v>
      </c>
      <c r="AO179" s="94">
        <f t="shared" si="286"/>
        <v>1826.644</v>
      </c>
      <c r="AP179" s="94">
        <f t="shared" ref="AP179:AU179" si="287">SUM(AP173:AP178)</f>
        <v>1842.104</v>
      </c>
      <c r="AQ179" s="94">
        <f t="shared" si="287"/>
        <v>1877.8340000000003</v>
      </c>
      <c r="AR179" s="94">
        <f t="shared" si="287"/>
        <v>1877.8340000000003</v>
      </c>
      <c r="AS179" s="94">
        <f t="shared" si="287"/>
        <v>1745.308</v>
      </c>
      <c r="AT179" s="94">
        <f t="shared" si="287"/>
        <v>1731.7140000000002</v>
      </c>
      <c r="AU179" s="94">
        <f t="shared" si="287"/>
        <v>1731.7140000000002</v>
      </c>
      <c r="AV179" s="94">
        <f t="shared" ref="AV179:AX179" si="288">SUM(AV173:AV178)</f>
        <v>1846.298</v>
      </c>
      <c r="AW179" s="94">
        <f t="shared" si="288"/>
        <v>1861.2760000000001</v>
      </c>
      <c r="AX179" s="95">
        <f t="shared" si="288"/>
        <v>1861.2760000000001</v>
      </c>
      <c r="AY179" s="94">
        <f t="shared" ref="AY179:BM179" si="289">SUM(AY173:AY178)</f>
        <v>1925.7032080086733</v>
      </c>
      <c r="AZ179" s="94">
        <f t="shared" si="289"/>
        <v>1690.5265696328174</v>
      </c>
      <c r="BA179" s="94">
        <f t="shared" si="289"/>
        <v>1690.5265696328174</v>
      </c>
      <c r="BB179" s="94">
        <f t="shared" si="289"/>
        <v>1739.5144919989341</v>
      </c>
      <c r="BC179" s="94">
        <f t="shared" si="289"/>
        <v>1468.4329844193142</v>
      </c>
      <c r="BD179" s="94">
        <f t="shared" si="289"/>
        <v>1468.4329844193142</v>
      </c>
      <c r="BE179" s="94">
        <f t="shared" si="289"/>
        <v>1527.0674413640013</v>
      </c>
      <c r="BF179" s="94">
        <f t="shared" si="289"/>
        <v>1224.1264674908607</v>
      </c>
      <c r="BG179" s="94">
        <f t="shared" si="289"/>
        <v>1224.1264674908607</v>
      </c>
      <c r="BH179" s="94">
        <f t="shared" si="289"/>
        <v>1254.0811417520902</v>
      </c>
      <c r="BI179" s="94">
        <f t="shared" si="289"/>
        <v>916.19067962141037</v>
      </c>
      <c r="BJ179" s="94">
        <f t="shared" si="289"/>
        <v>916.19067962141037</v>
      </c>
      <c r="BK179" s="94">
        <f t="shared" si="289"/>
        <v>912.42545511909339</v>
      </c>
      <c r="BL179" s="94">
        <f t="shared" si="289"/>
        <v>569.7762368416378</v>
      </c>
      <c r="BM179" s="94">
        <f t="shared" si="289"/>
        <v>569.7762368416378</v>
      </c>
      <c r="BP179"/>
      <c r="BQ179"/>
      <c r="BR179"/>
      <c r="BS179"/>
      <c r="BT179"/>
      <c r="BU179"/>
    </row>
    <row r="180" spans="1:73" s="13" customFormat="1">
      <c r="A180" s="13" t="s">
        <v>117</v>
      </c>
      <c r="C180" s="23">
        <f t="shared" ref="C180:AO180" si="290">C179+C171</f>
        <v>274.87000000000006</v>
      </c>
      <c r="D180" s="23">
        <f t="shared" si="290"/>
        <v>292.23099999999999</v>
      </c>
      <c r="E180" s="219">
        <f t="shared" si="290"/>
        <v>292.23099999999999</v>
      </c>
      <c r="F180" s="23">
        <f t="shared" si="290"/>
        <v>270.03699999999998</v>
      </c>
      <c r="G180" s="23">
        <f t="shared" si="290"/>
        <v>303.7</v>
      </c>
      <c r="H180" s="94">
        <f t="shared" si="290"/>
        <v>303.7</v>
      </c>
      <c r="I180" s="23">
        <f t="shared" si="290"/>
        <v>276</v>
      </c>
      <c r="J180" s="23">
        <f t="shared" si="290"/>
        <v>301.91899999999998</v>
      </c>
      <c r="K180" s="94">
        <f t="shared" si="290"/>
        <v>301.91899999999998</v>
      </c>
      <c r="L180" s="23">
        <f t="shared" si="290"/>
        <v>284.47199999999998</v>
      </c>
      <c r="M180" s="23">
        <f t="shared" si="290"/>
        <v>310.92200000000003</v>
      </c>
      <c r="N180" s="219">
        <f t="shared" si="290"/>
        <v>310.92200000000003</v>
      </c>
      <c r="O180" s="23">
        <f t="shared" si="290"/>
        <v>278.19100000000003</v>
      </c>
      <c r="P180" s="23">
        <f t="shared" si="290"/>
        <v>549.81600000000003</v>
      </c>
      <c r="Q180" s="94">
        <f t="shared" si="290"/>
        <v>549.81600000000003</v>
      </c>
      <c r="R180" s="23">
        <f t="shared" si="290"/>
        <v>521.39900000000011</v>
      </c>
      <c r="S180" s="23">
        <f t="shared" si="290"/>
        <v>534.38699999999994</v>
      </c>
      <c r="T180" s="94">
        <f t="shared" si="290"/>
        <v>534.38699999999994</v>
      </c>
      <c r="U180" s="335">
        <f t="shared" si="290"/>
        <v>535.95000000000005</v>
      </c>
      <c r="V180" s="23">
        <f t="shared" si="290"/>
        <v>550.32799999999997</v>
      </c>
      <c r="W180" s="94">
        <f t="shared" si="290"/>
        <v>550.32799999999997</v>
      </c>
      <c r="X180" s="94">
        <f t="shared" si="290"/>
        <v>506.64600000000007</v>
      </c>
      <c r="Y180" s="94">
        <f t="shared" si="290"/>
        <v>529.64499999999998</v>
      </c>
      <c r="Z180" s="94">
        <f t="shared" si="290"/>
        <v>529.64499999999998</v>
      </c>
      <c r="AA180" s="94">
        <f t="shared" si="290"/>
        <v>519.596</v>
      </c>
      <c r="AB180" s="94">
        <f t="shared" si="290"/>
        <v>443.40899999999999</v>
      </c>
      <c r="AC180" s="94">
        <f t="shared" si="290"/>
        <v>443.40899999999999</v>
      </c>
      <c r="AD180" s="94">
        <f t="shared" si="290"/>
        <v>2426.3220000000001</v>
      </c>
      <c r="AE180" s="94">
        <f t="shared" si="290"/>
        <v>2482.5299999999997</v>
      </c>
      <c r="AF180" s="94">
        <f t="shared" si="290"/>
        <v>2482.5299999999997</v>
      </c>
      <c r="AG180" s="94">
        <f t="shared" si="290"/>
        <v>3313.8649999999993</v>
      </c>
      <c r="AH180" s="94">
        <f t="shared" si="290"/>
        <v>3593.9990000000003</v>
      </c>
      <c r="AI180" s="94">
        <f t="shared" si="290"/>
        <v>3593.9990000000003</v>
      </c>
      <c r="AJ180" s="94">
        <f t="shared" si="290"/>
        <v>3200.2190000000001</v>
      </c>
      <c r="AK180" s="94">
        <f>AK179+AK171</f>
        <v>3229.96</v>
      </c>
      <c r="AL180" s="94">
        <f t="shared" si="290"/>
        <v>3229.96</v>
      </c>
      <c r="AM180" s="94">
        <f t="shared" si="290"/>
        <v>2932.6949999999997</v>
      </c>
      <c r="AN180" s="94">
        <f t="shared" si="290"/>
        <v>3286.7049999999999</v>
      </c>
      <c r="AO180" s="94">
        <f t="shared" si="290"/>
        <v>3286.7049999999999</v>
      </c>
      <c r="AP180" s="94">
        <f t="shared" ref="AP180:AU180" si="291">AP179+AP171</f>
        <v>3075.8960000000002</v>
      </c>
      <c r="AQ180" s="94">
        <f t="shared" si="291"/>
        <v>3298.8620000000005</v>
      </c>
      <c r="AR180" s="94">
        <f t="shared" si="291"/>
        <v>3298.8620000000005</v>
      </c>
      <c r="AS180" s="94">
        <f t="shared" si="291"/>
        <v>3030.5949999999998</v>
      </c>
      <c r="AT180" s="94">
        <f t="shared" si="291"/>
        <v>3210.7260000000001</v>
      </c>
      <c r="AU180" s="94">
        <f t="shared" si="291"/>
        <v>3210.7260000000001</v>
      </c>
      <c r="AV180" s="94">
        <f t="shared" ref="AV180:AX180" si="292">AV179+AV171</f>
        <v>3184.1859999999997</v>
      </c>
      <c r="AW180" s="94">
        <f t="shared" si="292"/>
        <v>3372.1360000000004</v>
      </c>
      <c r="AX180" s="95">
        <f t="shared" si="292"/>
        <v>3372.1360000000004</v>
      </c>
      <c r="AY180" s="94">
        <f t="shared" ref="AY180:BM180" si="293">AY179+AY171</f>
        <v>3312.7347796485165</v>
      </c>
      <c r="AZ180" s="94">
        <f t="shared" si="293"/>
        <v>3243.9698595113928</v>
      </c>
      <c r="BA180" s="94">
        <f t="shared" si="293"/>
        <v>3243.9698595113928</v>
      </c>
      <c r="BB180" s="94">
        <f t="shared" si="293"/>
        <v>3177.6947729012272</v>
      </c>
      <c r="BC180" s="94">
        <f t="shared" si="293"/>
        <v>3078.1264198657318</v>
      </c>
      <c r="BD180" s="94">
        <f t="shared" si="293"/>
        <v>3078.1264198657318</v>
      </c>
      <c r="BE180" s="94">
        <f t="shared" si="293"/>
        <v>3028.8796409520583</v>
      </c>
      <c r="BF180" s="94">
        <f t="shared" si="293"/>
        <v>2901.0477098954188</v>
      </c>
      <c r="BG180" s="94">
        <f t="shared" si="293"/>
        <v>2901.0477098954188</v>
      </c>
      <c r="BH180" s="94">
        <f t="shared" si="293"/>
        <v>2797.6880734752358</v>
      </c>
      <c r="BI180" s="94">
        <f t="shared" si="293"/>
        <v>2639.5141697931836</v>
      </c>
      <c r="BJ180" s="94">
        <f t="shared" si="293"/>
        <v>2639.5141697931836</v>
      </c>
      <c r="BK180" s="94">
        <f t="shared" si="293"/>
        <v>2475.2998728752232</v>
      </c>
      <c r="BL180" s="94">
        <f t="shared" si="293"/>
        <v>2322.2028299158469</v>
      </c>
      <c r="BM180" s="94">
        <f t="shared" si="293"/>
        <v>2322.2028299158469</v>
      </c>
      <c r="BP180"/>
      <c r="BQ180"/>
      <c r="BR180"/>
      <c r="BS180"/>
      <c r="BT180"/>
      <c r="BU180"/>
    </row>
    <row r="181" spans="1:73" s="13" customFormat="1">
      <c r="A181" s="13" t="s">
        <v>228</v>
      </c>
      <c r="C181" s="23">
        <f t="shared" ref="C181:AO181" si="294">C163-C180</f>
        <v>558.12799999999993</v>
      </c>
      <c r="D181" s="23">
        <f t="shared" si="294"/>
        <v>594.87099999999998</v>
      </c>
      <c r="E181" s="23">
        <f t="shared" si="294"/>
        <v>594.87099999999998</v>
      </c>
      <c r="F181" s="23">
        <f t="shared" si="294"/>
        <v>616.34299999999985</v>
      </c>
      <c r="G181" s="23">
        <f t="shared" si="294"/>
        <v>654.31700000000001</v>
      </c>
      <c r="H181" s="23">
        <f t="shared" si="294"/>
        <v>654.31700000000001</v>
      </c>
      <c r="I181" s="23">
        <f t="shared" si="294"/>
        <v>672.255</v>
      </c>
      <c r="J181" s="23">
        <f t="shared" si="294"/>
        <v>706.947</v>
      </c>
      <c r="K181" s="23">
        <f t="shared" si="294"/>
        <v>706.947</v>
      </c>
      <c r="L181" s="23">
        <f t="shared" si="294"/>
        <v>722.12599999999998</v>
      </c>
      <c r="M181" s="23">
        <f t="shared" si="294"/>
        <v>765.83200000000011</v>
      </c>
      <c r="N181" s="23">
        <f t="shared" si="294"/>
        <v>765.83200000000011</v>
      </c>
      <c r="O181" s="23">
        <f t="shared" si="294"/>
        <v>785.32399999999984</v>
      </c>
      <c r="P181" s="23">
        <f t="shared" si="294"/>
        <v>826.96800000000007</v>
      </c>
      <c r="Q181" s="23">
        <f t="shared" si="294"/>
        <v>826.96800000000007</v>
      </c>
      <c r="R181" s="23">
        <f t="shared" si="294"/>
        <v>865.67100000000005</v>
      </c>
      <c r="S181" s="23">
        <f t="shared" si="294"/>
        <v>926.21200000000022</v>
      </c>
      <c r="T181" s="23">
        <f t="shared" si="294"/>
        <v>926.21200000000022</v>
      </c>
      <c r="U181" s="23">
        <f t="shared" si="294"/>
        <v>965.27</v>
      </c>
      <c r="V181" s="23">
        <f t="shared" si="294"/>
        <v>1041.0260000000001</v>
      </c>
      <c r="W181" s="94">
        <f t="shared" si="294"/>
        <v>1041.0260000000001</v>
      </c>
      <c r="X181" s="94">
        <f t="shared" si="294"/>
        <v>1076.5250000000001</v>
      </c>
      <c r="Y181" s="94">
        <f t="shared" si="294"/>
        <v>1158.3009999999999</v>
      </c>
      <c r="Z181" s="94">
        <f t="shared" si="294"/>
        <v>1158.3009999999999</v>
      </c>
      <c r="AA181" s="94">
        <f t="shared" si="294"/>
        <v>1191.1390000000001</v>
      </c>
      <c r="AB181" s="94">
        <f t="shared" si="294"/>
        <v>1880.8380000000002</v>
      </c>
      <c r="AC181" s="94">
        <f t="shared" si="294"/>
        <v>1880.8380000000002</v>
      </c>
      <c r="AD181" s="94">
        <f t="shared" si="294"/>
        <v>1964.1710000000003</v>
      </c>
      <c r="AE181" s="94">
        <f t="shared" si="294"/>
        <v>1991.5800000000008</v>
      </c>
      <c r="AF181" s="94">
        <f t="shared" si="294"/>
        <v>1991.5800000000008</v>
      </c>
      <c r="AG181" s="94">
        <f t="shared" si="294"/>
        <v>2020.0890000000004</v>
      </c>
      <c r="AH181" s="94">
        <f t="shared" si="294"/>
        <v>2749.886</v>
      </c>
      <c r="AI181" s="94">
        <f t="shared" si="294"/>
        <v>2749.886</v>
      </c>
      <c r="AJ181" s="94">
        <f t="shared" si="294"/>
        <v>2701.5469999999996</v>
      </c>
      <c r="AK181" s="94">
        <f>AK163-AK180</f>
        <v>2888.1089999999995</v>
      </c>
      <c r="AL181" s="94">
        <f t="shared" si="294"/>
        <v>2888.1089999999995</v>
      </c>
      <c r="AM181" s="94">
        <f t="shared" si="294"/>
        <v>3044.37</v>
      </c>
      <c r="AN181" s="94">
        <f t="shared" si="294"/>
        <v>3320.8690000000006</v>
      </c>
      <c r="AO181" s="94">
        <f t="shared" si="294"/>
        <v>3320.8690000000006</v>
      </c>
      <c r="AP181" s="94">
        <f t="shared" ref="AP181:AU181" si="295">AP163-AP180</f>
        <v>3426.328</v>
      </c>
      <c r="AQ181" s="94">
        <f t="shared" si="295"/>
        <v>3625.4239999999995</v>
      </c>
      <c r="AR181" s="94">
        <f t="shared" si="295"/>
        <v>3625.4239999999995</v>
      </c>
      <c r="AS181" s="94">
        <f t="shared" si="295"/>
        <v>3672.8139999999999</v>
      </c>
      <c r="AT181" s="94">
        <f t="shared" si="295"/>
        <v>3884.1430000000005</v>
      </c>
      <c r="AU181" s="94">
        <f t="shared" si="295"/>
        <v>3884.1430000000005</v>
      </c>
      <c r="AV181" s="94">
        <f t="shared" ref="AV181:AX181" si="296">AV163-AV180</f>
        <v>4098.0250000000005</v>
      </c>
      <c r="AW181" s="94">
        <f t="shared" si="296"/>
        <v>4045.3170000000009</v>
      </c>
      <c r="AX181" s="95">
        <f t="shared" si="296"/>
        <v>4045.3170000000009</v>
      </c>
      <c r="AY181" s="94">
        <f t="shared" ref="AY181:BM181" si="297">AY163-AY180</f>
        <v>4108.8039668896417</v>
      </c>
      <c r="AZ181" s="94">
        <f t="shared" si="297"/>
        <v>4215.8466114262355</v>
      </c>
      <c r="BA181" s="94">
        <f t="shared" si="297"/>
        <v>4215.8466114262355</v>
      </c>
      <c r="BB181" s="94">
        <f t="shared" si="297"/>
        <v>4319.51587647003</v>
      </c>
      <c r="BC181" s="94">
        <f t="shared" si="297"/>
        <v>4452.7518723305475</v>
      </c>
      <c r="BD181" s="94">
        <f t="shared" si="297"/>
        <v>4452.7518723305475</v>
      </c>
      <c r="BE181" s="94">
        <f t="shared" si="297"/>
        <v>4574.1724342443031</v>
      </c>
      <c r="BF181" s="94">
        <f t="shared" si="297"/>
        <v>4723.6830112233602</v>
      </c>
      <c r="BG181" s="94">
        <f t="shared" si="297"/>
        <v>4723.6830112233602</v>
      </c>
      <c r="BH181" s="94">
        <f t="shared" si="297"/>
        <v>4847.571001560661</v>
      </c>
      <c r="BI181" s="94">
        <f t="shared" si="297"/>
        <v>5023.8475061570425</v>
      </c>
      <c r="BJ181" s="94">
        <f t="shared" si="297"/>
        <v>5023.8475061570425</v>
      </c>
      <c r="BK181" s="94">
        <f t="shared" si="297"/>
        <v>5144.7831353116726</v>
      </c>
      <c r="BL181" s="94">
        <f t="shared" si="297"/>
        <v>5331.7415943597389</v>
      </c>
      <c r="BM181" s="94">
        <f t="shared" si="297"/>
        <v>5331.7415943597389</v>
      </c>
      <c r="BP181"/>
      <c r="BQ181"/>
      <c r="BR181"/>
      <c r="BS181"/>
      <c r="BT181"/>
      <c r="BU181"/>
    </row>
    <row r="182" spans="1:73">
      <c r="A182" s="13" t="s">
        <v>61</v>
      </c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3"/>
      <c r="AY182" s="92"/>
      <c r="AZ182" s="92"/>
      <c r="BA182" s="92"/>
      <c r="BB182" s="92"/>
      <c r="BC182" s="92"/>
      <c r="BD182" s="92"/>
      <c r="BE182" s="92"/>
      <c r="BF182" s="92"/>
      <c r="BG182" s="92"/>
      <c r="BH182" s="92"/>
      <c r="BI182" s="92"/>
      <c r="BJ182" s="92"/>
      <c r="BK182" s="92"/>
      <c r="BL182" s="92"/>
      <c r="BM182" s="92"/>
    </row>
    <row r="183" spans="1:73">
      <c r="A183" s="89" t="s">
        <v>229</v>
      </c>
      <c r="B183" s="52" t="s">
        <v>172</v>
      </c>
      <c r="C183" s="26">
        <v>9.9600000000000009</v>
      </c>
      <c r="D183" s="25">
        <f>E183</f>
        <v>9.9600000000000009</v>
      </c>
      <c r="E183" s="310">
        <v>9.9600000000000009</v>
      </c>
      <c r="F183" s="26">
        <v>9.9600000000000009</v>
      </c>
      <c r="G183" s="25">
        <f>H183</f>
        <v>9.9600000000000009</v>
      </c>
      <c r="H183" s="98">
        <v>9.9600000000000009</v>
      </c>
      <c r="I183" s="26">
        <v>9.9600000000000009</v>
      </c>
      <c r="J183" s="25">
        <f>K183</f>
        <v>9.9600000000000009</v>
      </c>
      <c r="K183" s="98">
        <v>9.9600000000000009</v>
      </c>
      <c r="L183" s="26">
        <v>9.9600000000000009</v>
      </c>
      <c r="M183" s="25">
        <f>N183</f>
        <v>9.9600000000000009</v>
      </c>
      <c r="N183" s="98">
        <v>9.9600000000000009</v>
      </c>
      <c r="O183" s="26">
        <v>9.9600000000000009</v>
      </c>
      <c r="P183" s="25">
        <f>Q183</f>
        <v>9.9600000000000009</v>
      </c>
      <c r="Q183" s="98">
        <v>9.9600000000000009</v>
      </c>
      <c r="R183" s="26">
        <v>9.9600000000000009</v>
      </c>
      <c r="S183" s="25">
        <f>T183</f>
        <v>9.9600000000000009</v>
      </c>
      <c r="T183" s="98">
        <v>9.9600000000000009</v>
      </c>
      <c r="U183" s="26">
        <v>9.9600000000000009</v>
      </c>
      <c r="V183" s="25">
        <f>W183</f>
        <v>9.9600000000000009</v>
      </c>
      <c r="W183" s="98">
        <v>9.9600000000000009</v>
      </c>
      <c r="X183" s="98">
        <v>9.9600000000000009</v>
      </c>
      <c r="Y183" s="92">
        <f>Z183</f>
        <v>9.9600000000000009</v>
      </c>
      <c r="Z183" s="98">
        <v>9.9600000000000009</v>
      </c>
      <c r="AA183" s="98">
        <v>9.9600000000000009</v>
      </c>
      <c r="AB183" s="92">
        <f>AC183</f>
        <v>604.34900000000005</v>
      </c>
      <c r="AC183" s="98">
        <v>604.34900000000005</v>
      </c>
      <c r="AD183" s="98">
        <v>604.84900000000005</v>
      </c>
      <c r="AE183" s="92">
        <f>AF183</f>
        <v>604.84900000000005</v>
      </c>
      <c r="AF183" s="98">
        <v>604.84900000000005</v>
      </c>
      <c r="AG183" s="98">
        <v>604.84900000000005</v>
      </c>
      <c r="AH183" s="92">
        <f>AI183</f>
        <v>1246.9179999999999</v>
      </c>
      <c r="AI183" s="98">
        <v>1246.9179999999999</v>
      </c>
      <c r="AJ183" s="98">
        <v>1246.9179999999999</v>
      </c>
      <c r="AK183" s="92">
        <f>AL183</f>
        <v>1246.9179999999999</v>
      </c>
      <c r="AL183" s="98">
        <v>1246.9179999999999</v>
      </c>
      <c r="AM183" s="98">
        <v>1246.9179999999999</v>
      </c>
      <c r="AN183" s="92">
        <f>AO183</f>
        <v>1246.9179999999999</v>
      </c>
      <c r="AO183" s="98">
        <v>1246.9179999999999</v>
      </c>
      <c r="AP183" s="98">
        <v>1246.9179999999999</v>
      </c>
      <c r="AQ183" s="92">
        <f>AR183</f>
        <v>1246.9179999999999</v>
      </c>
      <c r="AR183" s="98">
        <v>1246.9179999999999</v>
      </c>
      <c r="AS183" s="98">
        <v>1246.9179999999999</v>
      </c>
      <c r="AT183" s="92">
        <f>AU183</f>
        <v>1246.9179999999999</v>
      </c>
      <c r="AU183" s="98">
        <v>1246.9179999999999</v>
      </c>
      <c r="AV183" s="98">
        <v>1246.9179999999999</v>
      </c>
      <c r="AW183" s="92">
        <f>AX183</f>
        <v>1246.9179999999999</v>
      </c>
      <c r="AX183" s="404">
        <v>1246.9179999999999</v>
      </c>
      <c r="AY183" s="92">
        <f>AX183+AY93</f>
        <v>1246.9179999999999</v>
      </c>
      <c r="AZ183" s="92">
        <f>AY183+AZ93</f>
        <v>1246.9179999999999</v>
      </c>
      <c r="BA183" s="92">
        <f>AX183+BA93</f>
        <v>1246.9179999999999</v>
      </c>
      <c r="BB183" s="92">
        <f>BA183+BB93</f>
        <v>1246.9179999999999</v>
      </c>
      <c r="BC183" s="92">
        <f>BB183+BC93</f>
        <v>1246.9179999999999</v>
      </c>
      <c r="BD183" s="92">
        <f>BA183+BD93</f>
        <v>1246.9179999999999</v>
      </c>
      <c r="BE183" s="92">
        <f>BD183+BE93</f>
        <v>1246.9179999999999</v>
      </c>
      <c r="BF183" s="92">
        <f>BE183+BF93</f>
        <v>1246.9179999999999</v>
      </c>
      <c r="BG183" s="92">
        <f>BD183+BG93</f>
        <v>1246.9179999999999</v>
      </c>
      <c r="BH183" s="92">
        <f>BG183+BH93</f>
        <v>1246.9179999999999</v>
      </c>
      <c r="BI183" s="92">
        <f>BH183+BI93</f>
        <v>1246.9179999999999</v>
      </c>
      <c r="BJ183" s="92">
        <f>BG183+BJ93</f>
        <v>1246.9179999999999</v>
      </c>
      <c r="BK183" s="92">
        <f>BJ183+BK93</f>
        <v>1246.9179999999999</v>
      </c>
      <c r="BL183" s="92">
        <f>BK183+BL93</f>
        <v>1246.9179999999999</v>
      </c>
      <c r="BM183" s="92">
        <f>BJ183+BM93</f>
        <v>1246.9179999999999</v>
      </c>
    </row>
    <row r="184" spans="1:73">
      <c r="A184" s="89" t="s">
        <v>58</v>
      </c>
      <c r="B184" s="52" t="s">
        <v>172</v>
      </c>
      <c r="C184" s="26">
        <v>2.8460000000000001</v>
      </c>
      <c r="D184" s="25">
        <f>E184</f>
        <v>2.8620000000000001</v>
      </c>
      <c r="E184" s="310">
        <v>2.8620000000000001</v>
      </c>
      <c r="F184" s="26">
        <v>2.3559999999999999</v>
      </c>
      <c r="G184" s="25">
        <f>H184</f>
        <v>2.4609999999999999</v>
      </c>
      <c r="H184" s="98">
        <v>2.4609999999999999</v>
      </c>
      <c r="I184" s="26">
        <v>2.37</v>
      </c>
      <c r="J184" s="25">
        <f>K184</f>
        <v>2.5670000000000002</v>
      </c>
      <c r="K184" s="98">
        <v>2.5670000000000002</v>
      </c>
      <c r="L184" s="26">
        <v>2.6539999999999999</v>
      </c>
      <c r="M184" s="25">
        <f>N184</f>
        <v>3.077</v>
      </c>
      <c r="N184" s="98">
        <v>3.077</v>
      </c>
      <c r="O184" s="26">
        <v>3.8170000000000002</v>
      </c>
      <c r="P184" s="25">
        <f>Q184</f>
        <v>3.9359999999999999</v>
      </c>
      <c r="Q184" s="98">
        <v>3.9359999999999999</v>
      </c>
      <c r="R184" s="26">
        <v>4.194</v>
      </c>
      <c r="S184" s="25">
        <f>T184</f>
        <v>3.36</v>
      </c>
      <c r="T184" s="98">
        <v>3.36</v>
      </c>
      <c r="U184" s="26">
        <v>4.2919999999999998</v>
      </c>
      <c r="V184" s="25">
        <f>W184</f>
        <v>4.6399999999999997</v>
      </c>
      <c r="W184" s="98">
        <v>4.6399999999999997</v>
      </c>
      <c r="X184" s="98">
        <v>8.7319999999999993</v>
      </c>
      <c r="Y184" s="92">
        <f>Z184</f>
        <v>3.7480000000000002</v>
      </c>
      <c r="Z184" s="98">
        <v>3.7480000000000002</v>
      </c>
      <c r="AA184" s="98">
        <v>1.5840000000000001</v>
      </c>
      <c r="AB184" s="92">
        <f>AC184</f>
        <v>7.8719999999999999</v>
      </c>
      <c r="AC184" s="98">
        <v>7.8719999999999999</v>
      </c>
      <c r="AD184" s="98">
        <v>72.885999999999996</v>
      </c>
      <c r="AE184" s="92">
        <f>AF184</f>
        <v>29.58</v>
      </c>
      <c r="AF184" s="98">
        <v>29.58</v>
      </c>
      <c r="AG184" s="98">
        <v>33.076000000000001</v>
      </c>
      <c r="AH184" s="92">
        <f>AI184</f>
        <v>30.384</v>
      </c>
      <c r="AI184" s="98">
        <v>30.384</v>
      </c>
      <c r="AJ184" s="98">
        <v>-102.239</v>
      </c>
      <c r="AK184" s="92">
        <f>AL184</f>
        <v>-39.47</v>
      </c>
      <c r="AL184" s="98">
        <v>-39.47</v>
      </c>
      <c r="AM184" s="98">
        <v>37.226999999999997</v>
      </c>
      <c r="AN184" s="92">
        <f>AO184</f>
        <v>126.76900000000001</v>
      </c>
      <c r="AO184" s="98">
        <v>126.76900000000001</v>
      </c>
      <c r="AP184" s="98">
        <v>143.196</v>
      </c>
      <c r="AQ184" s="92">
        <f>AR184</f>
        <v>192.29400000000001</v>
      </c>
      <c r="AR184" s="98">
        <v>192.29400000000001</v>
      </c>
      <c r="AS184" s="98">
        <v>125.87</v>
      </c>
      <c r="AT184" s="92">
        <f>AU184</f>
        <v>193.33799999999999</v>
      </c>
      <c r="AU184" s="98">
        <v>193.33799999999999</v>
      </c>
      <c r="AV184" s="98">
        <v>341.00599999999997</v>
      </c>
      <c r="AW184" s="92">
        <f>AX184</f>
        <v>194.226</v>
      </c>
      <c r="AX184" s="404">
        <v>194.226</v>
      </c>
      <c r="AY184" s="92">
        <f t="shared" ref="AY184:BM184" si="298">AX184</f>
        <v>194.226</v>
      </c>
      <c r="AZ184" s="92">
        <f t="shared" si="298"/>
        <v>194.226</v>
      </c>
      <c r="BA184" s="92">
        <f t="shared" si="298"/>
        <v>194.226</v>
      </c>
      <c r="BB184" s="92">
        <f t="shared" si="298"/>
        <v>194.226</v>
      </c>
      <c r="BC184" s="92">
        <f t="shared" si="298"/>
        <v>194.226</v>
      </c>
      <c r="BD184" s="92">
        <f t="shared" si="298"/>
        <v>194.226</v>
      </c>
      <c r="BE184" s="92">
        <f t="shared" si="298"/>
        <v>194.226</v>
      </c>
      <c r="BF184" s="92">
        <f t="shared" si="298"/>
        <v>194.226</v>
      </c>
      <c r="BG184" s="92">
        <f t="shared" si="298"/>
        <v>194.226</v>
      </c>
      <c r="BH184" s="92">
        <f t="shared" si="298"/>
        <v>194.226</v>
      </c>
      <c r="BI184" s="92">
        <f t="shared" si="298"/>
        <v>194.226</v>
      </c>
      <c r="BJ184" s="92">
        <f t="shared" si="298"/>
        <v>194.226</v>
      </c>
      <c r="BK184" s="92">
        <f t="shared" si="298"/>
        <v>194.226</v>
      </c>
      <c r="BL184" s="92">
        <f t="shared" si="298"/>
        <v>194.226</v>
      </c>
      <c r="BM184" s="92">
        <f t="shared" si="298"/>
        <v>194.226</v>
      </c>
    </row>
    <row r="185" spans="1:73">
      <c r="A185" s="89" t="s">
        <v>202</v>
      </c>
      <c r="B185" s="52" t="s">
        <v>172</v>
      </c>
      <c r="C185" s="26">
        <v>545.322</v>
      </c>
      <c r="D185" s="25">
        <f>E185</f>
        <v>582.04899999999998</v>
      </c>
      <c r="E185" s="310">
        <v>582.04899999999998</v>
      </c>
      <c r="F185" s="26">
        <v>604.02700000000004</v>
      </c>
      <c r="G185" s="25">
        <f>H185</f>
        <v>641.89599999999996</v>
      </c>
      <c r="H185" s="98">
        <v>641.89599999999996</v>
      </c>
      <c r="I185" s="26">
        <v>659.92499999999995</v>
      </c>
      <c r="J185" s="25">
        <f>K185</f>
        <v>694.42</v>
      </c>
      <c r="K185" s="98">
        <v>694.42</v>
      </c>
      <c r="L185" s="26">
        <v>709.51199999999994</v>
      </c>
      <c r="M185" s="25">
        <f>N185</f>
        <v>752.79499999999996</v>
      </c>
      <c r="N185" s="98">
        <v>752.79499999999996</v>
      </c>
      <c r="O185" s="26">
        <v>771.54700000000003</v>
      </c>
      <c r="P185" s="25">
        <f>Q185</f>
        <v>813.072</v>
      </c>
      <c r="Q185" s="98">
        <v>813.072</v>
      </c>
      <c r="R185" s="26">
        <v>851.51700000000005</v>
      </c>
      <c r="S185" s="25">
        <f>T185</f>
        <v>912.89200000000005</v>
      </c>
      <c r="T185" s="98">
        <v>912.89200000000005</v>
      </c>
      <c r="U185" s="26">
        <v>951.01800000000003</v>
      </c>
      <c r="V185" s="25">
        <f>W185</f>
        <v>1026.4259999999999</v>
      </c>
      <c r="W185" s="98">
        <v>1026.4259999999999</v>
      </c>
      <c r="X185" s="98">
        <v>1057.8330000000001</v>
      </c>
      <c r="Y185" s="92">
        <f>Z185</f>
        <v>1144.5930000000001</v>
      </c>
      <c r="Z185" s="98">
        <v>1144.5930000000001</v>
      </c>
      <c r="AA185" s="98">
        <v>1179.595</v>
      </c>
      <c r="AB185" s="92">
        <f>AC185</f>
        <v>1268.617</v>
      </c>
      <c r="AC185" s="98">
        <v>1268.617</v>
      </c>
      <c r="AD185" s="98">
        <v>1286.4359999999999</v>
      </c>
      <c r="AE185" s="92">
        <f>AF185</f>
        <v>1357.1510000000001</v>
      </c>
      <c r="AF185" s="98">
        <v>1357.1510000000001</v>
      </c>
      <c r="AG185" s="98">
        <v>1382.164</v>
      </c>
      <c r="AH185" s="92">
        <f>AI185</f>
        <v>1472.5840000000001</v>
      </c>
      <c r="AI185" s="98">
        <v>1472.5840000000001</v>
      </c>
      <c r="AJ185" s="98">
        <v>1556.8679999999999</v>
      </c>
      <c r="AK185" s="92">
        <f>AL185</f>
        <v>1680.6610000000001</v>
      </c>
      <c r="AL185" s="98">
        <v>1680.6610000000001</v>
      </c>
      <c r="AM185" s="98">
        <v>1760.2249999999999</v>
      </c>
      <c r="AN185" s="92">
        <f>AO185</f>
        <v>1947.182</v>
      </c>
      <c r="AO185" s="98">
        <v>1947.182</v>
      </c>
      <c r="AP185" s="98">
        <v>2036.2139999999999</v>
      </c>
      <c r="AQ185" s="92">
        <f>AR185</f>
        <v>2186.212</v>
      </c>
      <c r="AR185" s="98">
        <v>2186.212</v>
      </c>
      <c r="AS185" s="98">
        <v>2300.0259999999998</v>
      </c>
      <c r="AT185" s="92">
        <f>AU185</f>
        <v>2443.8870000000002</v>
      </c>
      <c r="AU185" s="98">
        <v>2443.8870000000002</v>
      </c>
      <c r="AV185" s="98">
        <v>2510.1010000000001</v>
      </c>
      <c r="AW185" s="92">
        <f>AX185</f>
        <v>2604.1729999999998</v>
      </c>
      <c r="AX185" s="404">
        <v>2604.1729999999998</v>
      </c>
      <c r="AY185" s="92">
        <f>AX185+AY49+AY92</f>
        <v>2667.6599668896411</v>
      </c>
      <c r="AZ185" s="92">
        <f>AY185+AZ49+AZ92</f>
        <v>2774.7026114262349</v>
      </c>
      <c r="BA185" s="92">
        <f>AX185+BA49+BA92</f>
        <v>2774.7026114262349</v>
      </c>
      <c r="BB185" s="92">
        <f>BA185+BB49+BB92</f>
        <v>2878.3718764700297</v>
      </c>
      <c r="BC185" s="92">
        <f>BB185+BC49+BC92</f>
        <v>3011.6078723305473</v>
      </c>
      <c r="BD185" s="92">
        <f>BA185+BD49+BD92</f>
        <v>3011.6078723305473</v>
      </c>
      <c r="BE185" s="92">
        <f>BD185+BE49+BE92</f>
        <v>3133.0284342443019</v>
      </c>
      <c r="BF185" s="92">
        <f>BE185+BF49+BF92</f>
        <v>3282.539011223359</v>
      </c>
      <c r="BG185" s="92">
        <f>BD185+BG49+BG92</f>
        <v>3282.5390112233595</v>
      </c>
      <c r="BH185" s="92">
        <f>BG185+BH49+BH92</f>
        <v>3406.4270015606608</v>
      </c>
      <c r="BI185" s="92">
        <f>BH185+BI49+BI92</f>
        <v>3582.7035061570414</v>
      </c>
      <c r="BJ185" s="92">
        <f>BG185+BJ49+BJ92</f>
        <v>3582.7035061570414</v>
      </c>
      <c r="BK185" s="92">
        <f>BJ185+BK49+BK92</f>
        <v>3703.6391353116719</v>
      </c>
      <c r="BL185" s="92">
        <f>BK185+BL49+BL92</f>
        <v>3890.5975943597387</v>
      </c>
      <c r="BM185" s="92">
        <f>BJ185+BM49+BM92</f>
        <v>3890.5975943597387</v>
      </c>
    </row>
    <row r="186" spans="1:73">
      <c r="A186" s="89" t="s">
        <v>203</v>
      </c>
      <c r="B186" s="52" t="s">
        <v>172</v>
      </c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5"/>
      <c r="Q186" s="26"/>
      <c r="R186" s="26"/>
      <c r="S186" s="25"/>
      <c r="T186" s="26"/>
      <c r="U186" s="72"/>
      <c r="V186" s="33">
        <f>W186</f>
        <v>0</v>
      </c>
      <c r="W186" s="103"/>
      <c r="X186" s="103"/>
      <c r="Y186" s="105">
        <f>Z186</f>
        <v>0</v>
      </c>
      <c r="Z186" s="103"/>
      <c r="AA186" s="103"/>
      <c r="AB186" s="92">
        <f>AA186</f>
        <v>0</v>
      </c>
      <c r="AC186" s="92"/>
      <c r="AD186" s="103"/>
      <c r="AE186" s="92">
        <f>AD186</f>
        <v>0</v>
      </c>
      <c r="AF186" s="92"/>
      <c r="AG186" s="98"/>
      <c r="AH186" s="92">
        <f>AG186</f>
        <v>0</v>
      </c>
      <c r="AI186" s="98"/>
      <c r="AJ186" s="98">
        <v>0</v>
      </c>
      <c r="AK186" s="92">
        <f>AJ186</f>
        <v>0</v>
      </c>
      <c r="AL186" s="98">
        <v>0</v>
      </c>
      <c r="AM186" s="98">
        <v>0</v>
      </c>
      <c r="AN186" s="92">
        <f>AO186</f>
        <v>0</v>
      </c>
      <c r="AO186" s="98">
        <v>0</v>
      </c>
      <c r="AP186" s="98">
        <v>0</v>
      </c>
      <c r="AQ186" s="92">
        <f>AR186</f>
        <v>0</v>
      </c>
      <c r="AR186" s="98">
        <v>0</v>
      </c>
      <c r="AS186" s="98">
        <v>0</v>
      </c>
      <c r="AT186" s="92">
        <f>AU186</f>
        <v>0</v>
      </c>
      <c r="AU186" s="98">
        <v>0</v>
      </c>
      <c r="AV186" s="98">
        <v>0</v>
      </c>
      <c r="AW186" s="92">
        <f>AX186</f>
        <v>0</v>
      </c>
      <c r="AX186" s="404">
        <v>0</v>
      </c>
      <c r="AY186" s="92">
        <f t="shared" ref="AY186:BM186" si="299">AX186</f>
        <v>0</v>
      </c>
      <c r="AZ186" s="92">
        <f t="shared" si="299"/>
        <v>0</v>
      </c>
      <c r="BA186" s="92">
        <f t="shared" si="299"/>
        <v>0</v>
      </c>
      <c r="BB186" s="92">
        <f t="shared" si="299"/>
        <v>0</v>
      </c>
      <c r="BC186" s="92">
        <f t="shared" si="299"/>
        <v>0</v>
      </c>
      <c r="BD186" s="92">
        <f t="shared" si="299"/>
        <v>0</v>
      </c>
      <c r="BE186" s="92">
        <f t="shared" si="299"/>
        <v>0</v>
      </c>
      <c r="BF186" s="92">
        <f t="shared" si="299"/>
        <v>0</v>
      </c>
      <c r="BG186" s="92">
        <f t="shared" si="299"/>
        <v>0</v>
      </c>
      <c r="BH186" s="92">
        <f t="shared" si="299"/>
        <v>0</v>
      </c>
      <c r="BI186" s="92">
        <f t="shared" si="299"/>
        <v>0</v>
      </c>
      <c r="BJ186" s="92">
        <f t="shared" si="299"/>
        <v>0</v>
      </c>
      <c r="BK186" s="92">
        <f t="shared" si="299"/>
        <v>0</v>
      </c>
      <c r="BL186" s="92">
        <f t="shared" si="299"/>
        <v>0</v>
      </c>
      <c r="BM186" s="92">
        <f t="shared" si="299"/>
        <v>0</v>
      </c>
    </row>
    <row r="187" spans="1:73" s="13" customFormat="1">
      <c r="A187" s="13" t="s">
        <v>230</v>
      </c>
      <c r="B187" s="55" t="s">
        <v>172</v>
      </c>
      <c r="C187" s="23">
        <f t="shared" ref="C187:T187" si="300">SUM(C183:C186)</f>
        <v>558.12800000000004</v>
      </c>
      <c r="D187" s="23">
        <f t="shared" si="300"/>
        <v>594.87099999999998</v>
      </c>
      <c r="E187" s="23">
        <f t="shared" si="300"/>
        <v>594.87099999999998</v>
      </c>
      <c r="F187" s="23">
        <f t="shared" si="300"/>
        <v>616.34300000000007</v>
      </c>
      <c r="G187" s="23">
        <f t="shared" si="300"/>
        <v>654.31700000000001</v>
      </c>
      <c r="H187" s="23">
        <f t="shared" si="300"/>
        <v>654.31700000000001</v>
      </c>
      <c r="I187" s="23">
        <f t="shared" si="300"/>
        <v>672.255</v>
      </c>
      <c r="J187" s="23">
        <f t="shared" si="300"/>
        <v>706.947</v>
      </c>
      <c r="K187" s="23">
        <f t="shared" si="300"/>
        <v>706.947</v>
      </c>
      <c r="L187" s="23">
        <f t="shared" si="300"/>
        <v>722.12599999999998</v>
      </c>
      <c r="M187" s="23">
        <f t="shared" si="300"/>
        <v>765.83199999999999</v>
      </c>
      <c r="N187" s="90">
        <f t="shared" si="300"/>
        <v>765.83199999999999</v>
      </c>
      <c r="O187" s="23">
        <f t="shared" si="300"/>
        <v>785.32400000000007</v>
      </c>
      <c r="P187" s="23">
        <f t="shared" si="300"/>
        <v>826.96799999999996</v>
      </c>
      <c r="Q187" s="23">
        <f t="shared" si="300"/>
        <v>826.96799999999996</v>
      </c>
      <c r="R187" s="23">
        <f t="shared" si="300"/>
        <v>865.67100000000005</v>
      </c>
      <c r="S187" s="23">
        <f t="shared" si="300"/>
        <v>926.2120000000001</v>
      </c>
      <c r="T187" s="23">
        <f t="shared" si="300"/>
        <v>926.2120000000001</v>
      </c>
      <c r="U187" s="23">
        <f t="shared" ref="U187:AO187" si="301">SUM(U183:U186)</f>
        <v>965.27</v>
      </c>
      <c r="V187" s="23">
        <f t="shared" si="301"/>
        <v>1041.0259999999998</v>
      </c>
      <c r="W187" s="219">
        <f t="shared" si="301"/>
        <v>1041.0259999999998</v>
      </c>
      <c r="X187" s="219">
        <f t="shared" si="301"/>
        <v>1076.5250000000001</v>
      </c>
      <c r="Y187" s="219">
        <f t="shared" si="301"/>
        <v>1158.3010000000002</v>
      </c>
      <c r="Z187" s="219">
        <f t="shared" si="301"/>
        <v>1158.3010000000002</v>
      </c>
      <c r="AA187" s="219">
        <f t="shared" si="301"/>
        <v>1191.1390000000001</v>
      </c>
      <c r="AB187" s="219">
        <f t="shared" si="301"/>
        <v>1880.838</v>
      </c>
      <c r="AC187" s="219">
        <f t="shared" si="301"/>
        <v>1880.838</v>
      </c>
      <c r="AD187" s="219">
        <f t="shared" si="301"/>
        <v>1964.1709999999998</v>
      </c>
      <c r="AE187" s="219">
        <f t="shared" si="301"/>
        <v>1991.5800000000002</v>
      </c>
      <c r="AF187" s="219">
        <f t="shared" si="301"/>
        <v>1991.5800000000002</v>
      </c>
      <c r="AG187" s="94">
        <f t="shared" si="301"/>
        <v>2020.0889999999999</v>
      </c>
      <c r="AH187" s="219">
        <f>SUM(AH183:AH186)</f>
        <v>2749.886</v>
      </c>
      <c r="AI187" s="94">
        <f t="shared" si="301"/>
        <v>2749.886</v>
      </c>
      <c r="AJ187" s="219">
        <f t="shared" si="301"/>
        <v>2701.5469999999996</v>
      </c>
      <c r="AK187" s="219">
        <f>SUM(AK183:AK186)</f>
        <v>2888.1089999999999</v>
      </c>
      <c r="AL187" s="219">
        <f t="shared" si="301"/>
        <v>2888.1089999999999</v>
      </c>
      <c r="AM187" s="219">
        <f t="shared" si="301"/>
        <v>3044.37</v>
      </c>
      <c r="AN187" s="219">
        <f t="shared" si="301"/>
        <v>3320.8689999999997</v>
      </c>
      <c r="AO187" s="219">
        <f t="shared" si="301"/>
        <v>3320.8689999999997</v>
      </c>
      <c r="AP187" s="219">
        <f t="shared" ref="AP187:AU187" si="302">SUM(AP183:AP186)</f>
        <v>3426.3279999999995</v>
      </c>
      <c r="AQ187" s="219">
        <f t="shared" si="302"/>
        <v>3625.424</v>
      </c>
      <c r="AR187" s="219">
        <f t="shared" si="302"/>
        <v>3625.424</v>
      </c>
      <c r="AS187" s="219">
        <f t="shared" si="302"/>
        <v>3672.8139999999999</v>
      </c>
      <c r="AT187" s="219">
        <f t="shared" si="302"/>
        <v>3884.143</v>
      </c>
      <c r="AU187" s="219">
        <f t="shared" si="302"/>
        <v>3884.143</v>
      </c>
      <c r="AV187" s="219">
        <f t="shared" ref="AV187:AX187" si="303">SUM(AV183:AV186)</f>
        <v>4098.0249999999996</v>
      </c>
      <c r="AW187" s="219">
        <f t="shared" si="303"/>
        <v>4045.3169999999996</v>
      </c>
      <c r="AX187" s="462">
        <f t="shared" si="303"/>
        <v>4045.3169999999996</v>
      </c>
      <c r="AY187" s="219">
        <f t="shared" ref="AY187:BM187" si="304">SUM(AY183:AY186)</f>
        <v>4108.8039668896408</v>
      </c>
      <c r="AZ187" s="219">
        <f t="shared" si="304"/>
        <v>4215.8466114262346</v>
      </c>
      <c r="BA187" s="219">
        <f t="shared" si="304"/>
        <v>4215.8466114262346</v>
      </c>
      <c r="BB187" s="219">
        <f t="shared" si="304"/>
        <v>4319.51587647003</v>
      </c>
      <c r="BC187" s="219">
        <f t="shared" si="304"/>
        <v>4452.7518723305475</v>
      </c>
      <c r="BD187" s="219">
        <f t="shared" si="304"/>
        <v>4452.7518723305475</v>
      </c>
      <c r="BE187" s="219">
        <f t="shared" si="304"/>
        <v>4574.1724342443013</v>
      </c>
      <c r="BF187" s="219">
        <f t="shared" si="304"/>
        <v>4723.6830112233583</v>
      </c>
      <c r="BG187" s="219">
        <f t="shared" si="304"/>
        <v>4723.6830112233592</v>
      </c>
      <c r="BH187" s="219">
        <f t="shared" si="304"/>
        <v>4847.5710015606601</v>
      </c>
      <c r="BI187" s="219">
        <f t="shared" si="304"/>
        <v>5023.8475061570407</v>
      </c>
      <c r="BJ187" s="219">
        <f t="shared" si="304"/>
        <v>5023.8475061570407</v>
      </c>
      <c r="BK187" s="219">
        <f t="shared" si="304"/>
        <v>5144.7831353116717</v>
      </c>
      <c r="BL187" s="219">
        <f t="shared" si="304"/>
        <v>5331.7415943597389</v>
      </c>
      <c r="BM187" s="219">
        <f t="shared" si="304"/>
        <v>5331.7415943597389</v>
      </c>
      <c r="BP187"/>
      <c r="BQ187"/>
      <c r="BR187"/>
      <c r="BS187"/>
      <c r="BT187"/>
      <c r="BU187"/>
    </row>
    <row r="188" spans="1:73">
      <c r="A188" s="40" t="s">
        <v>260</v>
      </c>
      <c r="B188" s="73"/>
      <c r="C188" s="322">
        <f t="shared" ref="C188:T188" si="305">ROUND(C181-C187,4)</f>
        <v>0</v>
      </c>
      <c r="D188" s="322">
        <f t="shared" si="305"/>
        <v>0</v>
      </c>
      <c r="E188" s="67">
        <f t="shared" si="305"/>
        <v>0</v>
      </c>
      <c r="F188" s="67">
        <f t="shared" si="305"/>
        <v>0</v>
      </c>
      <c r="G188" s="67">
        <f t="shared" si="305"/>
        <v>0</v>
      </c>
      <c r="H188" s="67">
        <f t="shared" si="305"/>
        <v>0</v>
      </c>
      <c r="I188" s="67">
        <f t="shared" si="305"/>
        <v>0</v>
      </c>
      <c r="J188" s="67">
        <f t="shared" si="305"/>
        <v>0</v>
      </c>
      <c r="K188" s="67">
        <f t="shared" si="305"/>
        <v>0</v>
      </c>
      <c r="L188" s="67">
        <f t="shared" si="305"/>
        <v>0</v>
      </c>
      <c r="M188" s="67">
        <f t="shared" si="305"/>
        <v>0</v>
      </c>
      <c r="N188" s="67">
        <f t="shared" si="305"/>
        <v>0</v>
      </c>
      <c r="O188" s="67">
        <f t="shared" si="305"/>
        <v>0</v>
      </c>
      <c r="P188" s="67">
        <f t="shared" si="305"/>
        <v>0</v>
      </c>
      <c r="Q188" s="67">
        <f t="shared" si="305"/>
        <v>0</v>
      </c>
      <c r="R188" s="67">
        <f t="shared" si="305"/>
        <v>0</v>
      </c>
      <c r="S188" s="67">
        <f t="shared" si="305"/>
        <v>0</v>
      </c>
      <c r="T188" s="67">
        <f t="shared" si="305"/>
        <v>0</v>
      </c>
      <c r="U188" s="67">
        <f t="shared" ref="U188:AM188" si="306">ROUND(U181-U187,4)</f>
        <v>0</v>
      </c>
      <c r="V188" s="67">
        <f t="shared" si="306"/>
        <v>0</v>
      </c>
      <c r="W188" s="67">
        <f t="shared" si="306"/>
        <v>0</v>
      </c>
      <c r="X188" s="67">
        <f t="shared" si="306"/>
        <v>0</v>
      </c>
      <c r="Y188" s="67">
        <f t="shared" si="306"/>
        <v>0</v>
      </c>
      <c r="Z188" s="67">
        <f t="shared" si="306"/>
        <v>0</v>
      </c>
      <c r="AA188" s="67">
        <f t="shared" si="306"/>
        <v>0</v>
      </c>
      <c r="AB188" s="67">
        <f t="shared" si="306"/>
        <v>0</v>
      </c>
      <c r="AC188" s="67">
        <f t="shared" si="306"/>
        <v>0</v>
      </c>
      <c r="AD188" s="67">
        <f t="shared" si="306"/>
        <v>0</v>
      </c>
      <c r="AE188" s="67">
        <f t="shared" si="306"/>
        <v>0</v>
      </c>
      <c r="AF188" s="67">
        <f t="shared" si="306"/>
        <v>0</v>
      </c>
      <c r="AG188" s="67">
        <f t="shared" si="306"/>
        <v>0</v>
      </c>
      <c r="AH188" s="67">
        <f t="shared" si="306"/>
        <v>0</v>
      </c>
      <c r="AI188" s="67">
        <f t="shared" si="306"/>
        <v>0</v>
      </c>
      <c r="AJ188" s="67">
        <f t="shared" si="306"/>
        <v>0</v>
      </c>
      <c r="AK188" s="67">
        <f>ROUND(AK181-AK187,4)</f>
        <v>0</v>
      </c>
      <c r="AL188" s="67">
        <f t="shared" si="306"/>
        <v>0</v>
      </c>
      <c r="AM188" s="67">
        <f t="shared" si="306"/>
        <v>0</v>
      </c>
      <c r="AN188" s="67">
        <f>ROUND(AN181-AN187,4)</f>
        <v>0</v>
      </c>
      <c r="AO188" s="67">
        <f t="shared" ref="AO188:BM188" si="307">ROUND(AO181-AO187,4)</f>
        <v>0</v>
      </c>
      <c r="AP188" s="67">
        <f t="shared" si="307"/>
        <v>0</v>
      </c>
      <c r="AQ188" s="67">
        <f>ROUND(AQ181-AQ187,4)</f>
        <v>0</v>
      </c>
      <c r="AR188" s="67">
        <f>ROUND(AR181-AR187,4)</f>
        <v>0</v>
      </c>
      <c r="AS188" s="67">
        <f t="shared" ref="AS188" si="308">ROUND(AS181-AS187,4)</f>
        <v>0</v>
      </c>
      <c r="AT188" s="67">
        <f>ROUND(AT181-AT187,4)</f>
        <v>0</v>
      </c>
      <c r="AU188" s="67">
        <f>ROUND(AU181-AU187,4)</f>
        <v>0</v>
      </c>
      <c r="AV188" s="67">
        <f t="shared" ref="AV188" si="309">ROUND(AV181-AV187,4)</f>
        <v>0</v>
      </c>
      <c r="AW188" s="67">
        <f>ROUND(AW181-AW187,4)</f>
        <v>0</v>
      </c>
      <c r="AX188" s="408">
        <f>ROUND(AX181-AX187,4)</f>
        <v>0</v>
      </c>
      <c r="AY188" s="67">
        <f t="shared" si="307"/>
        <v>0</v>
      </c>
      <c r="AZ188" s="67">
        <f t="shared" si="307"/>
        <v>0</v>
      </c>
      <c r="BA188" s="67">
        <f t="shared" si="307"/>
        <v>0</v>
      </c>
      <c r="BB188" s="67">
        <f t="shared" si="307"/>
        <v>0</v>
      </c>
      <c r="BC188" s="67">
        <f t="shared" si="307"/>
        <v>0</v>
      </c>
      <c r="BD188" s="67">
        <f t="shared" si="307"/>
        <v>0</v>
      </c>
      <c r="BE188" s="67">
        <f t="shared" si="307"/>
        <v>0</v>
      </c>
      <c r="BF188" s="67">
        <f t="shared" si="307"/>
        <v>0</v>
      </c>
      <c r="BG188" s="67">
        <f t="shared" si="307"/>
        <v>0</v>
      </c>
      <c r="BH188" s="67">
        <f t="shared" si="307"/>
        <v>0</v>
      </c>
      <c r="BI188" s="67">
        <f t="shared" si="307"/>
        <v>0</v>
      </c>
      <c r="BJ188" s="67">
        <f t="shared" si="307"/>
        <v>0</v>
      </c>
      <c r="BK188" s="67">
        <f t="shared" si="307"/>
        <v>0</v>
      </c>
      <c r="BL188" s="67">
        <f t="shared" si="307"/>
        <v>0</v>
      </c>
      <c r="BM188" s="67">
        <f t="shared" si="307"/>
        <v>0</v>
      </c>
    </row>
    <row r="189" spans="1:73">
      <c r="A189" s="74"/>
      <c r="B189" s="73"/>
      <c r="Q189" s="35"/>
      <c r="T189" s="35"/>
      <c r="W189" s="35" t="str">
        <f>IF(V187=W187,"","ERROR")</f>
        <v/>
      </c>
      <c r="Z189" s="35" t="str">
        <f>IF(Y187=Z187,"","ERROR")</f>
        <v/>
      </c>
      <c r="AC189" s="35" t="str">
        <f>IF(AB187=AC187,"","ERROR")</f>
        <v/>
      </c>
      <c r="AF189" s="35" t="str">
        <f>IF(AE187=AF187,"","ERROR")</f>
        <v/>
      </c>
      <c r="AG189" s="92"/>
      <c r="AI189" s="35" t="str">
        <f>IF(AH187=AI187,"","ERROR")</f>
        <v/>
      </c>
      <c r="AL189" s="35"/>
      <c r="AO189" s="35" t="str">
        <f>IF(AN187=AO187,"","ERROR")</f>
        <v/>
      </c>
      <c r="AR189" s="35" t="str">
        <f>IF(AQ187=AR187,"","ERROR")</f>
        <v/>
      </c>
      <c r="AU189" s="35" t="str">
        <f>IF(AT187=AU187,"","ERROR")</f>
        <v/>
      </c>
      <c r="AX189" s="466" t="str">
        <f>IF(AW187=AX187,"","ERROR")</f>
        <v/>
      </c>
      <c r="BA189" s="35" t="str">
        <f>IF(AZ187=BA187,"","ERROR")</f>
        <v/>
      </c>
      <c r="BD189" s="35" t="str">
        <f>IF(BC187=BD187,"","ERROR")</f>
        <v/>
      </c>
      <c r="BG189" s="35" t="str">
        <f>IF(BF187=BG187,"","ERROR")</f>
        <v/>
      </c>
      <c r="BJ189" s="35" t="str">
        <f>IF(BI187=BJ187,"","ERROR")</f>
        <v/>
      </c>
    </row>
    <row r="190" spans="1:73" s="12" customFormat="1">
      <c r="A190" s="85" t="s">
        <v>231</v>
      </c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5"/>
      <c r="AE190" s="85"/>
      <c r="AF190" s="85"/>
      <c r="AG190" s="85"/>
      <c r="AH190" s="85"/>
      <c r="AI190" s="85"/>
      <c r="AJ190" s="85"/>
      <c r="AK190" s="85"/>
      <c r="AL190" s="85"/>
      <c r="AM190" s="85"/>
      <c r="AN190" s="85"/>
      <c r="AO190" s="85"/>
      <c r="AP190" s="85"/>
      <c r="AQ190" s="85"/>
      <c r="AR190" s="85"/>
      <c r="AS190" s="85"/>
      <c r="AT190" s="85"/>
      <c r="AU190" s="85"/>
      <c r="AV190" s="85"/>
      <c r="AW190" s="85"/>
      <c r="AX190" s="459"/>
      <c r="BP190"/>
      <c r="BQ190"/>
      <c r="BR190"/>
      <c r="BS190"/>
      <c r="BT190"/>
      <c r="BU190"/>
    </row>
    <row r="192" spans="1:73">
      <c r="A192" s="13" t="s">
        <v>219</v>
      </c>
    </row>
    <row r="193" spans="1:73">
      <c r="A193" s="89" t="s">
        <v>11</v>
      </c>
      <c r="B193" s="52" t="s">
        <v>76</v>
      </c>
      <c r="C193" s="27">
        <f>C153/C11/2</f>
        <v>0.13618661363075044</v>
      </c>
      <c r="D193" s="27">
        <f>D153/D11/2</f>
        <v>0.137674901967728</v>
      </c>
      <c r="E193" s="27">
        <f>E153/E11</f>
        <v>0.13446142201429076</v>
      </c>
      <c r="F193" s="27">
        <f>F153/F11/2</f>
        <v>0.13945368955433032</v>
      </c>
      <c r="G193" s="27">
        <f>G153/G11/2</f>
        <v>0.13847155442190615</v>
      </c>
      <c r="H193" s="27">
        <f>H153/H11</f>
        <v>0.1358892170418397</v>
      </c>
      <c r="I193" s="30">
        <f>I153/I11/2</f>
        <v>0.13143632644999331</v>
      </c>
      <c r="J193" s="30">
        <f>J153/J11/2</f>
        <v>0.14488621651162092</v>
      </c>
      <c r="K193" s="27">
        <f>K153/K11</f>
        <v>0.14002174504299289</v>
      </c>
      <c r="L193" s="30">
        <f>L153/L11/2</f>
        <v>0.13902962556927914</v>
      </c>
      <c r="M193" s="30">
        <f>M153/M11/2</f>
        <v>0.14893192373081404</v>
      </c>
      <c r="N193" s="27">
        <f>N153/N11</f>
        <v>0.14633671210350271</v>
      </c>
      <c r="O193" s="30">
        <f>O153/O11/2</f>
        <v>0.14084182083715885</v>
      </c>
      <c r="P193" s="30">
        <f>P153/P11/2</f>
        <v>0.17414109891426174</v>
      </c>
      <c r="Q193" s="30">
        <f>Q153/Q11</f>
        <v>0.18337710515824301</v>
      </c>
      <c r="R193" s="30">
        <f>R153/R11/2</f>
        <v>0.16653206297928752</v>
      </c>
      <c r="S193" s="30">
        <f>S153/S11/2</f>
        <v>0.17651130483841673</v>
      </c>
      <c r="T193" s="30">
        <f>T153/T11</f>
        <v>0.1752530300298111</v>
      </c>
      <c r="U193" s="30">
        <f>U153/U11/2</f>
        <v>0.17425534338769466</v>
      </c>
      <c r="V193" s="30">
        <f>V153/V11/2</f>
        <v>0.17877544764332645</v>
      </c>
      <c r="W193" s="30">
        <f>W153/W11</f>
        <v>0.17831153604032413</v>
      </c>
      <c r="X193" s="30">
        <f>X153/X11/2</f>
        <v>0.18365407568137271</v>
      </c>
      <c r="Y193" s="30">
        <f>Y153/Y11/2</f>
        <v>0.18753210583066507</v>
      </c>
      <c r="Z193" s="30">
        <f>Z153/Z11</f>
        <v>0.18814542583543373</v>
      </c>
      <c r="AA193" s="30">
        <f>AA153/AA11/2</f>
        <v>0.18592387934903842</v>
      </c>
      <c r="AB193" s="30">
        <f>AB153/AB11/2</f>
        <v>0.19928332854077727</v>
      </c>
      <c r="AC193" s="30">
        <f>AC153/AC11</f>
        <v>0.20105959437263443</v>
      </c>
      <c r="AD193" s="30">
        <f>AD153/AD11/2</f>
        <v>0.17625606557256429</v>
      </c>
      <c r="AE193" s="30">
        <f>AE153/AE11/2</f>
        <v>0.17362446389045127</v>
      </c>
      <c r="AF193" s="30">
        <f>AF153/AF11</f>
        <v>0.17470440252951955</v>
      </c>
      <c r="AG193" s="30">
        <f>AG153/AG11/2</f>
        <v>0.16631793300261882</v>
      </c>
      <c r="AH193" s="30">
        <f>AH153/AH11/2</f>
        <v>0.15850046837018641</v>
      </c>
      <c r="AI193" s="30">
        <f>AI153/AI11</f>
        <v>0.16088321728521399</v>
      </c>
      <c r="AJ193" s="30">
        <f>AJ153/AJ11/2</f>
        <v>0.16647199378434971</v>
      </c>
      <c r="AK193" s="30">
        <f>AK153/AK11/2</f>
        <v>0.17798796687324492</v>
      </c>
      <c r="AL193" s="30">
        <f>AL153/AL11</f>
        <v>0.1814974262866095</v>
      </c>
      <c r="AM193" s="30">
        <f>AM153/AM11/2</f>
        <v>0.19740745030624679</v>
      </c>
      <c r="AN193" s="30">
        <f>AN153/AN11/2</f>
        <v>0.18851588349595036</v>
      </c>
      <c r="AO193" s="30">
        <f>AO153/AO11</f>
        <v>0.19968787562059054</v>
      </c>
      <c r="AP193" s="30">
        <f>AP153/AP11/2</f>
        <v>0.17787461404154686</v>
      </c>
      <c r="AQ193" s="30">
        <f>AQ153/AQ11/2</f>
        <v>0.17053021819689146</v>
      </c>
      <c r="AR193" s="30">
        <f>AR153/AR11</f>
        <v>0.17024279496058736</v>
      </c>
      <c r="AS193" s="30">
        <f>AS153/AS11/2</f>
        <v>0.15883406178116238</v>
      </c>
      <c r="AT193" s="30">
        <f>AT153/AT11/2</f>
        <v>0.16379569094212504</v>
      </c>
      <c r="AU193" s="30">
        <f>AU153/AU11</f>
        <v>0.16434354750137287</v>
      </c>
      <c r="AV193" s="30">
        <f>AV153/AV11/2</f>
        <v>0.17790138263293107</v>
      </c>
      <c r="AW193" s="30">
        <f>AW153/AW11/2</f>
        <v>0.17671778956743142</v>
      </c>
      <c r="AX193" s="403">
        <f>AX153/AX11</f>
        <v>0.18012507177230677</v>
      </c>
      <c r="AY193" s="87">
        <f>AV193+0.3%</f>
        <v>0.18090138263293107</v>
      </c>
      <c r="AZ193" s="87">
        <f>AW193+0.3%</f>
        <v>0.17971778956743142</v>
      </c>
      <c r="BA193" s="30">
        <f>BA153/BA11</f>
        <v>0.18225932604002507</v>
      </c>
      <c r="BB193" s="87">
        <f t="shared" ref="BB193:BC193" si="310">AY193+0.3%</f>
        <v>0.18390138263293107</v>
      </c>
      <c r="BC193" s="87">
        <f t="shared" si="310"/>
        <v>0.18271778956743143</v>
      </c>
      <c r="BD193" s="30">
        <f t="shared" ref="BD193" si="311">BD153/BD11</f>
        <v>0.18513974327838134</v>
      </c>
      <c r="BE193" s="87">
        <f t="shared" ref="BE193:BF193" si="312">BB193+0.3%</f>
        <v>0.18690138263293107</v>
      </c>
      <c r="BF193" s="87">
        <f t="shared" si="312"/>
        <v>0.18571778956743143</v>
      </c>
      <c r="BG193" s="30">
        <f t="shared" ref="BG193" si="313">BG153/BG11</f>
        <v>0.18781389199109566</v>
      </c>
      <c r="BH193" s="87">
        <f t="shared" ref="BH193:BI193" si="314">BE193+0.3%</f>
        <v>0.18990138263293108</v>
      </c>
      <c r="BI193" s="87">
        <f t="shared" si="314"/>
        <v>0.18871778956743143</v>
      </c>
      <c r="BJ193" s="30">
        <f t="shared" ref="BJ193" si="315">BJ153/BJ11</f>
        <v>0.19076721097132171</v>
      </c>
      <c r="BK193" s="87">
        <f t="shared" ref="BK193:BL193" si="316">BH193+0.3%</f>
        <v>0.19290138263293108</v>
      </c>
      <c r="BL193" s="87">
        <f t="shared" si="316"/>
        <v>0.19171778956743143</v>
      </c>
      <c r="BM193" s="30">
        <f t="shared" ref="BM193" si="317">BM153/BM11</f>
        <v>0.19425817249339239</v>
      </c>
    </row>
    <row r="194" spans="1:73">
      <c r="A194" s="89" t="s">
        <v>12</v>
      </c>
      <c r="B194" s="52" t="s">
        <v>76</v>
      </c>
      <c r="C194" s="27">
        <f>C152/C11/2</f>
        <v>0.13893330213573554</v>
      </c>
      <c r="D194" s="27">
        <f>D152/D11/2</f>
        <v>0.15788201259335027</v>
      </c>
      <c r="E194" s="27">
        <f>E152/E11</f>
        <v>0.15419687699328294</v>
      </c>
      <c r="F194" s="27">
        <f>F152/F11/2</f>
        <v>0.13941350858930909</v>
      </c>
      <c r="G194" s="27">
        <f>G152/G11/2</f>
        <v>0.16048300590299999</v>
      </c>
      <c r="H194" s="27">
        <f>H152/H11</f>
        <v>0.15749017992701617</v>
      </c>
      <c r="I194" s="30">
        <f>I152/I11/2</f>
        <v>0.14055776080127941</v>
      </c>
      <c r="J194" s="30">
        <f>J152/J11/2</f>
        <v>0.15689556014075406</v>
      </c>
      <c r="K194" s="27">
        <f>K152/K11</f>
        <v>0.15162788186027459</v>
      </c>
      <c r="L194" s="30">
        <f>L152/L11/2</f>
        <v>0.13799480540770379</v>
      </c>
      <c r="M194" s="30">
        <f>M152/M11/2</f>
        <v>0.16270260162903516</v>
      </c>
      <c r="N194" s="27">
        <f>N152/N11</f>
        <v>0.15986742920284219</v>
      </c>
      <c r="O194" s="30">
        <f>O152/O11/2</f>
        <v>0.13442981099942436</v>
      </c>
      <c r="P194" s="30">
        <f>P152/P11/2</f>
        <v>0.151179317927087</v>
      </c>
      <c r="Q194" s="30">
        <f>Q152/Q11</f>
        <v>0.15919748901387257</v>
      </c>
      <c r="R194" s="30">
        <f>R152/R11/2</f>
        <v>0.13617289970628457</v>
      </c>
      <c r="S194" s="30">
        <f>S152/S11/2</f>
        <v>0.147939586448878</v>
      </c>
      <c r="T194" s="30">
        <f>T152/T11</f>
        <v>0.1468849873964572</v>
      </c>
      <c r="U194" s="30">
        <f>U152/U11/2</f>
        <v>0.13383137766950301</v>
      </c>
      <c r="V194" s="30">
        <f>V152/V11/2</f>
        <v>0.1529245795759952</v>
      </c>
      <c r="W194" s="30">
        <f>W152/W11</f>
        <v>0.15252774943077807</v>
      </c>
      <c r="X194" s="30">
        <f>X152/X11/2</f>
        <v>0.13712158694156429</v>
      </c>
      <c r="Y194" s="30">
        <f>Y152/Y11/2</f>
        <v>0.14808152788468326</v>
      </c>
      <c r="Z194" s="30">
        <f>Z152/Z11</f>
        <v>0.14856582556259873</v>
      </c>
      <c r="AA194" s="30">
        <f>AA152/AA11/2</f>
        <v>0.13611700315092778</v>
      </c>
      <c r="AB194" s="30">
        <f>AB152/AB11/2</f>
        <v>0.14957678043457423</v>
      </c>
      <c r="AC194" s="30">
        <f>AC152/AC11</f>
        <v>0.15090999845271252</v>
      </c>
      <c r="AD194" s="30">
        <f>AD152/AD11/2</f>
        <v>0.14800346551590937</v>
      </c>
      <c r="AE194" s="30">
        <f>AE152/AE11/2</f>
        <v>0.15902052004261263</v>
      </c>
      <c r="AF194" s="30">
        <f>AF152/AF11</f>
        <v>0.16000962261577939</v>
      </c>
      <c r="AG194" s="30">
        <f>AG152/AG11/2</f>
        <v>0.14590224157468024</v>
      </c>
      <c r="AH194" s="30">
        <f>AH152/AH11/2</f>
        <v>0.15262216860474831</v>
      </c>
      <c r="AI194" s="30">
        <f>AI152/AI11</f>
        <v>0.15491654861757431</v>
      </c>
      <c r="AJ194" s="30">
        <f>AJ152/AJ11/2</f>
        <v>0.13904572979881125</v>
      </c>
      <c r="AK194" s="30">
        <f>AK152/AK11/2</f>
        <v>0.16327497346093769</v>
      </c>
      <c r="AL194" s="30">
        <f>AL152/AL11</f>
        <v>0.16649433094136451</v>
      </c>
      <c r="AM194" s="30">
        <f>AM152/AM11/2</f>
        <v>0.15368989120329668</v>
      </c>
      <c r="AN194" s="30">
        <f>AN152/AN11/2</f>
        <v>0.16866931488216361</v>
      </c>
      <c r="AO194" s="30">
        <f>AO152/AO11</f>
        <v>0.17866514240919779</v>
      </c>
      <c r="AP194" s="30">
        <f>AP152/AP11/2</f>
        <v>0.14601923524323007</v>
      </c>
      <c r="AQ194" s="30">
        <f>AQ152/AQ11/2</f>
        <v>0.15166538958129505</v>
      </c>
      <c r="AR194" s="30">
        <f>AR152/AR11</f>
        <v>0.15140976241110962</v>
      </c>
      <c r="AS194" s="30">
        <f>AS152/AS11/2</f>
        <v>0.13553317157684802</v>
      </c>
      <c r="AT194" s="30">
        <f>AT152/AT11/2</f>
        <v>0.1498887740007229</v>
      </c>
      <c r="AU194" s="30">
        <f>AU152/AU11</f>
        <v>0.15039011532125204</v>
      </c>
      <c r="AV194" s="30">
        <f>AV152/AV11/2</f>
        <v>0.14941430606000722</v>
      </c>
      <c r="AW194" s="30">
        <f>AW152/AW11/2</f>
        <v>0.15041628647765581</v>
      </c>
      <c r="AX194" s="403">
        <f>AX152/AX11</f>
        <v>0.15331645141007869</v>
      </c>
      <c r="AY194" s="87">
        <f t="shared" ref="AY194:AZ195" si="318">AV194</f>
        <v>0.14941430606000722</v>
      </c>
      <c r="AZ194" s="87">
        <f t="shared" si="318"/>
        <v>0.15041628647765581</v>
      </c>
      <c r="BA194" s="30">
        <f>BA152/BA11</f>
        <v>0.15254344639362849</v>
      </c>
      <c r="BB194" s="87">
        <f t="shared" ref="BB194:BC195" si="319">AY194</f>
        <v>0.14941430606000722</v>
      </c>
      <c r="BC194" s="87">
        <f t="shared" si="319"/>
        <v>0.15041628647765581</v>
      </c>
      <c r="BD194" s="30">
        <f>BD152/BD11</f>
        <v>0.15241007856590466</v>
      </c>
      <c r="BE194" s="87">
        <f t="shared" ref="BE194:BF195" si="320">BB194</f>
        <v>0.14941430606000722</v>
      </c>
      <c r="BF194" s="87">
        <f t="shared" si="320"/>
        <v>0.15041628647765581</v>
      </c>
      <c r="BG194" s="30">
        <f>BG152/BG11</f>
        <v>0.1521139587543868</v>
      </c>
      <c r="BH194" s="87">
        <f t="shared" ref="BH194:BI195" si="321">BE194</f>
        <v>0.14941430606000722</v>
      </c>
      <c r="BI194" s="87">
        <f t="shared" si="321"/>
        <v>0.15041628647765581</v>
      </c>
      <c r="BJ194" s="30">
        <f>BJ152/BJ11</f>
        <v>0.15204976447518637</v>
      </c>
      <c r="BK194" s="87">
        <f t="shared" ref="BK194:BL195" si="322">BH194</f>
        <v>0.14941430606000722</v>
      </c>
      <c r="BL194" s="87">
        <f t="shared" si="322"/>
        <v>0.15041628647765581</v>
      </c>
      <c r="BM194" s="30">
        <f>BM152/BM11</f>
        <v>0.15240939815923968</v>
      </c>
    </row>
    <row r="195" spans="1:73">
      <c r="A195" s="89" t="s">
        <v>13</v>
      </c>
      <c r="B195" s="52" t="s">
        <v>76</v>
      </c>
      <c r="C195" s="27">
        <f>C165/C11/2</f>
        <v>0.12453301095815623</v>
      </c>
      <c r="D195" s="27">
        <f>D165/D11/2</f>
        <v>0.15084915901318036</v>
      </c>
      <c r="E195" s="27">
        <f>E165/E11</f>
        <v>0.14732817776276083</v>
      </c>
      <c r="F195" s="27">
        <f>F165/F11/2</f>
        <v>0.12693606329506513</v>
      </c>
      <c r="G195" s="27">
        <f>G165/G11/2</f>
        <v>0.14940038084711765</v>
      </c>
      <c r="H195" s="27">
        <f>H165/H11</f>
        <v>0.14661423325407352</v>
      </c>
      <c r="I195" s="30">
        <f>I165/I11/2</f>
        <v>0.13086798896456811</v>
      </c>
      <c r="J195" s="30">
        <f>J165/J11/2</f>
        <v>0.15665706318942654</v>
      </c>
      <c r="K195" s="27">
        <f>K165/K11</f>
        <v>0.15139739230704896</v>
      </c>
      <c r="L195" s="30">
        <f>L165/L11/2</f>
        <v>0.13401625487313207</v>
      </c>
      <c r="M195" s="30">
        <f>M165/M11/2</f>
        <v>0.15704858725894022</v>
      </c>
      <c r="N195" s="27">
        <f>N165/N11</f>
        <v>0.15431193879904462</v>
      </c>
      <c r="O195" s="30">
        <f>O165/O11/2</f>
        <v>0.12477225264139365</v>
      </c>
      <c r="P195" s="30">
        <f>P165/P11/2</f>
        <v>0.15079270014288285</v>
      </c>
      <c r="Q195" s="30">
        <f>Q165/Q11</f>
        <v>0.15879036599402213</v>
      </c>
      <c r="R195" s="30">
        <f>R165/R11/2</f>
        <v>0.13017430542592542</v>
      </c>
      <c r="S195" s="30">
        <f>S165/S11/2</f>
        <v>0.14332085183338936</v>
      </c>
      <c r="T195" s="30">
        <f>T165/T11</f>
        <v>0.14229917779627915</v>
      </c>
      <c r="U195" s="30">
        <f>U165/U11/2</f>
        <v>0.13544600527547254</v>
      </c>
      <c r="V195" s="30">
        <f>V165/V11/2</f>
        <v>0.13976328879876465</v>
      </c>
      <c r="W195" s="30">
        <f>W165/W11</f>
        <v>0.13940061141659488</v>
      </c>
      <c r="X195" s="30">
        <f>X165/X11/2</f>
        <v>0.13252541338304641</v>
      </c>
      <c r="Y195" s="30">
        <f>Y165/Y11/2</f>
        <v>0.14522174974110189</v>
      </c>
      <c r="Z195" s="30">
        <f>Z165/Z11</f>
        <v>0.14569669457174414</v>
      </c>
      <c r="AA195" s="30">
        <f>AA165/AA11/2</f>
        <v>0.13104346899285899</v>
      </c>
      <c r="AB195" s="30">
        <f>AB165/AB11/2</f>
        <v>0.13624020290945019</v>
      </c>
      <c r="AC195" s="30">
        <f>AC165/AC11</f>
        <v>0.13745454843009833</v>
      </c>
      <c r="AD195" s="30">
        <f>AD165/AD11/2</f>
        <v>0.11185872320387313</v>
      </c>
      <c r="AE195" s="30">
        <f>AE165/AE11/2</f>
        <v>0.12714988830899676</v>
      </c>
      <c r="AF195" s="30">
        <f>AF165/AF11</f>
        <v>0.12794075656719764</v>
      </c>
      <c r="AG195" s="30">
        <f>AG165/AG11/2</f>
        <v>0.11004812153151536</v>
      </c>
      <c r="AH195" s="30">
        <f>AH165/AH11/2</f>
        <v>0.12990793470536252</v>
      </c>
      <c r="AI195" s="30">
        <f>AI165/AI11</f>
        <v>0.13186085001000208</v>
      </c>
      <c r="AJ195" s="30">
        <f>AJ165/AJ11/2</f>
        <v>0.11498774048879269</v>
      </c>
      <c r="AK195" s="30">
        <f>AK165/AK11/2</f>
        <v>0.15388965380051259</v>
      </c>
      <c r="AL195" s="30">
        <f>AL165/AL11</f>
        <v>0.15692395720673238</v>
      </c>
      <c r="AM195" s="30">
        <f>AM165/AM11/2</f>
        <v>0.13629141817359641</v>
      </c>
      <c r="AN195" s="30">
        <f>AN165/AN11/2</f>
        <v>0.14997968572196105</v>
      </c>
      <c r="AO195" s="30">
        <f>AO165/AO11</f>
        <v>0.15886791220276977</v>
      </c>
      <c r="AP195" s="30">
        <f>AP165/AP11/2</f>
        <v>0.11163601209769408</v>
      </c>
      <c r="AQ195" s="30">
        <f>AQ165/AQ11/2</f>
        <v>0.13347604507397465</v>
      </c>
      <c r="AR195" s="30">
        <f>AR165/AR11</f>
        <v>0.13325107546301726</v>
      </c>
      <c r="AS195" s="30">
        <f>AS165/AS11/2</f>
        <v>0.11473775106765671</v>
      </c>
      <c r="AT195" s="30">
        <f>AT165/AT11/2</f>
        <v>0.13577814523503703</v>
      </c>
      <c r="AU195" s="30">
        <f>AU165/AU11</f>
        <v>0.1362322899505766</v>
      </c>
      <c r="AV195" s="30">
        <f>AV165/AV11/2</f>
        <v>0.1232481993062985</v>
      </c>
      <c r="AW195" s="30">
        <f>AW165/AW11/2</f>
        <v>0.13739999890724117</v>
      </c>
      <c r="AX195" s="403">
        <f>AX165/AX11</f>
        <v>0.14004919779306074</v>
      </c>
      <c r="AY195" s="87">
        <f t="shared" si="318"/>
        <v>0.1232481993062985</v>
      </c>
      <c r="AZ195" s="87">
        <f t="shared" si="318"/>
        <v>0.13739999890724117</v>
      </c>
      <c r="BA195" s="30">
        <f>BA165/BA11</f>
        <v>0.13934308483878749</v>
      </c>
      <c r="BB195" s="87">
        <f t="shared" si="319"/>
        <v>0.1232481993062985</v>
      </c>
      <c r="BC195" s="87">
        <f t="shared" si="319"/>
        <v>0.13739999890724117</v>
      </c>
      <c r="BD195" s="30">
        <f>BD165/BD11</f>
        <v>0.13922125800864407</v>
      </c>
      <c r="BE195" s="87">
        <f t="shared" si="320"/>
        <v>0.1232481993062985</v>
      </c>
      <c r="BF195" s="87">
        <f t="shared" si="320"/>
        <v>0.13739999890724117</v>
      </c>
      <c r="BG195" s="30">
        <f>BG165/BG11</f>
        <v>0.13895076295301051</v>
      </c>
      <c r="BH195" s="87">
        <f t="shared" si="321"/>
        <v>0.1232481993062985</v>
      </c>
      <c r="BI195" s="87">
        <f t="shared" si="321"/>
        <v>0.13739999890724117</v>
      </c>
      <c r="BJ195" s="30">
        <f>BJ165/BJ11</f>
        <v>0.13889212373182949</v>
      </c>
      <c r="BK195" s="87">
        <f t="shared" si="322"/>
        <v>0.1232481993062985</v>
      </c>
      <c r="BL195" s="87">
        <f t="shared" si="322"/>
        <v>0.13739999890724117</v>
      </c>
      <c r="BM195" s="30">
        <f>BM165/BM11</f>
        <v>0.13922063648103419</v>
      </c>
    </row>
    <row r="196" spans="1:73">
      <c r="A196" s="89" t="s">
        <v>475</v>
      </c>
      <c r="B196" s="52" t="s">
        <v>76</v>
      </c>
      <c r="C196" s="27">
        <f>+C205/C11/2</f>
        <v>0.15058690480832976</v>
      </c>
      <c r="D196" s="27">
        <f>+D205/D11/2</f>
        <v>0.14470775554789791</v>
      </c>
      <c r="E196" s="27">
        <f>+E205/E11</f>
        <v>0.1413301212448129</v>
      </c>
      <c r="F196" s="27">
        <f>+F205/F11/2</f>
        <v>0.15193113484857426</v>
      </c>
      <c r="G196" s="27">
        <f>+G205/G11/2</f>
        <v>0.14955417947778848</v>
      </c>
      <c r="H196" s="27">
        <f>+H205/H11</f>
        <v>0.14676516371478235</v>
      </c>
      <c r="I196" s="27">
        <f>+I205/I11/2</f>
        <v>0.14112609828670464</v>
      </c>
      <c r="J196" s="27">
        <f>+J205/J11/2</f>
        <v>0.14512471346294845</v>
      </c>
      <c r="K196" s="27">
        <f>+K205/K11</f>
        <v>0.14025223459621849</v>
      </c>
      <c r="L196" s="27">
        <f>+L205/L11/2</f>
        <v>0.14300817610385086</v>
      </c>
      <c r="M196" s="27">
        <f>+M205/M11/2</f>
        <v>0.15458593810090895</v>
      </c>
      <c r="N196" s="27">
        <f>+N205/N11</f>
        <v>0.15189220250730026</v>
      </c>
      <c r="O196" s="27">
        <f>+O205/O11/2</f>
        <v>0.15049937919518958</v>
      </c>
      <c r="P196" s="27">
        <f>+P205/P11/2</f>
        <v>0.17452771669846587</v>
      </c>
      <c r="Q196" s="30">
        <f>+Q205/Q11</f>
        <v>0.18378422817809345</v>
      </c>
      <c r="R196" s="30">
        <f>+R205/R11/2</f>
        <v>0.17253065725964667</v>
      </c>
      <c r="S196" s="30">
        <f>+S205/S11/2</f>
        <v>0.18113003945390543</v>
      </c>
      <c r="T196" s="30">
        <f>+T205/T11</f>
        <v>0.17983883962998917</v>
      </c>
      <c r="U196" s="30">
        <f>+U205/U11/2</f>
        <v>0.17264071578172513</v>
      </c>
      <c r="V196" s="30">
        <f>+V205/V11/2</f>
        <v>0.19193673842055703</v>
      </c>
      <c r="W196" s="30">
        <f>+W205/W11</f>
        <v>0.19143867405450735</v>
      </c>
      <c r="X196" s="30">
        <f>+X205/X11/2</f>
        <v>0.18825024923989059</v>
      </c>
      <c r="Y196" s="30">
        <f>+Y205/Y11/2</f>
        <v>0.19039188397424642</v>
      </c>
      <c r="Z196" s="30">
        <f>+Z205/Z11</f>
        <v>0.19101455682628829</v>
      </c>
      <c r="AA196" s="30">
        <f>+AA205/AA11/2</f>
        <v>0.19099741350710722</v>
      </c>
      <c r="AB196" s="30">
        <f>+AB205/AB11/2</f>
        <v>0.21261990606590134</v>
      </c>
      <c r="AC196" s="30">
        <f>+AC205/AC11</f>
        <v>0.21451504439524863</v>
      </c>
      <c r="AD196" s="30">
        <f>+AD205/AD11/2</f>
        <v>0.21240080788460058</v>
      </c>
      <c r="AE196" s="30">
        <f>+AE205/AE11/2</f>
        <v>0.20549509562406715</v>
      </c>
      <c r="AF196" s="30">
        <f>+AF205/AF11</f>
        <v>0.20677326857810127</v>
      </c>
      <c r="AG196" s="30">
        <f>+AG205/AG11/2</f>
        <v>0.20217205304578367</v>
      </c>
      <c r="AH196" s="30">
        <f>+AH205/AH11/2</f>
        <v>0.18121470226957218</v>
      </c>
      <c r="AI196" s="30">
        <f>+AI205/AI11</f>
        <v>0.18393891589278621</v>
      </c>
      <c r="AJ196" s="30">
        <f>+AJ205/AJ11/2</f>
        <v>0.19052998309436828</v>
      </c>
      <c r="AK196" s="30">
        <f>+AK205/AK11/2</f>
        <v>0.18737328653367002</v>
      </c>
      <c r="AL196" s="30">
        <f>+AL205/AL11</f>
        <v>0.19106780002124163</v>
      </c>
      <c r="AM196" s="30">
        <f>+AM205/AM11/2</f>
        <v>0.21480592333594706</v>
      </c>
      <c r="AN196" s="30">
        <f t="shared" ref="AN196:BL196" si="323">+AN205/AN11/2</f>
        <v>0.20720551265615289</v>
      </c>
      <c r="AO196" s="30">
        <f>+AO205/AO11</f>
        <v>0.21948510582701852</v>
      </c>
      <c r="AP196" s="30">
        <f>+AP205/AP11/2</f>
        <v>0.21225783718708288</v>
      </c>
      <c r="AQ196" s="30">
        <f>+AQ205/AQ11/2</f>
        <v>0.18871956270421186</v>
      </c>
      <c r="AR196" s="30">
        <f>+AR205/AR11</f>
        <v>0.18840148190867972</v>
      </c>
      <c r="AS196" s="30">
        <f>+AS205/AS11/2</f>
        <v>0.17962948229035366</v>
      </c>
      <c r="AT196" s="30">
        <f>+AT205/AT11/2</f>
        <v>0.17790631970781087</v>
      </c>
      <c r="AU196" s="30">
        <f>+AU205/AU11</f>
        <v>0.17850137287204829</v>
      </c>
      <c r="AV196" s="30">
        <f>+AV205/AV11/2</f>
        <v>0.20406748938663974</v>
      </c>
      <c r="AW196" s="30">
        <f>+AW205/AW11/2</f>
        <v>0.1897340771378461</v>
      </c>
      <c r="AX196" s="403">
        <f>+AX205/AX11</f>
        <v>0.19339232538932477</v>
      </c>
      <c r="AY196" s="30">
        <f t="shared" si="323"/>
        <v>0.2070674893866398</v>
      </c>
      <c r="AZ196" s="30">
        <f t="shared" si="323"/>
        <v>0.19273407713784607</v>
      </c>
      <c r="BA196" s="30">
        <f>+BA205/BA11</f>
        <v>0.19545968759486609</v>
      </c>
      <c r="BB196" s="30">
        <f t="shared" si="323"/>
        <v>0.21006748938663977</v>
      </c>
      <c r="BC196" s="30">
        <f t="shared" si="323"/>
        <v>0.19573407713784607</v>
      </c>
      <c r="BD196" s="30">
        <f>+BD205/BD11</f>
        <v>0.19832856383564193</v>
      </c>
      <c r="BE196" s="30">
        <f t="shared" si="323"/>
        <v>0.21306748938663975</v>
      </c>
      <c r="BF196" s="30">
        <f t="shared" si="323"/>
        <v>0.19873407713784602</v>
      </c>
      <c r="BG196" s="30">
        <f>+BG205/BG11</f>
        <v>0.20097708779247189</v>
      </c>
      <c r="BH196" s="30">
        <f t="shared" si="323"/>
        <v>0.21606748938663978</v>
      </c>
      <c r="BI196" s="30">
        <f t="shared" si="323"/>
        <v>0.20173407713784605</v>
      </c>
      <c r="BJ196" s="30">
        <f>+BJ205/BJ11</f>
        <v>0.20392485171467856</v>
      </c>
      <c r="BK196" s="30">
        <f t="shared" si="323"/>
        <v>0.21906748938663975</v>
      </c>
      <c r="BL196" s="30">
        <f t="shared" si="323"/>
        <v>0.20473407713784605</v>
      </c>
      <c r="BM196" s="30">
        <f>+BM205/BM11</f>
        <v>0.20744693417159787</v>
      </c>
    </row>
    <row r="197" spans="1:73">
      <c r="B197" s="52"/>
      <c r="E197" s="81"/>
      <c r="H197" s="81"/>
      <c r="K197" s="81"/>
      <c r="N197" s="81"/>
      <c r="Q197" s="81"/>
      <c r="T197" s="81"/>
      <c r="W197" s="81"/>
      <c r="X197" s="81"/>
      <c r="Y197" s="81"/>
      <c r="Z197" s="81"/>
      <c r="AA197" s="81"/>
      <c r="AB197" s="81"/>
      <c r="AC197" s="81"/>
      <c r="AD197" s="81"/>
      <c r="AE197" s="81"/>
      <c r="AF197" s="81"/>
      <c r="AG197" s="81"/>
      <c r="AH197" s="81"/>
      <c r="AI197" s="81"/>
      <c r="AJ197" s="81"/>
      <c r="AK197" s="81"/>
      <c r="AL197" s="81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401"/>
      <c r="AY197" s="81"/>
      <c r="AZ197" s="81"/>
      <c r="BA197" s="81"/>
      <c r="BB197" s="81"/>
      <c r="BC197" s="81"/>
      <c r="BD197" s="81"/>
      <c r="BE197" s="81"/>
      <c r="BF197" s="81"/>
      <c r="BG197" s="81"/>
      <c r="BH197" s="81"/>
      <c r="BI197" s="81"/>
      <c r="BJ197" s="81"/>
      <c r="BK197" s="81"/>
      <c r="BL197" s="81"/>
      <c r="BM197" s="81"/>
    </row>
    <row r="198" spans="1:73">
      <c r="A198" s="6" t="s">
        <v>14</v>
      </c>
      <c r="B198" s="52" t="s">
        <v>15</v>
      </c>
      <c r="C198" s="38">
        <f>365/(C$11/AVERAGE(B153:C153))*0.5</f>
        <v>49.70811397522391</v>
      </c>
      <c r="D198" s="38">
        <f>365/(D$11/AVERAGE(C153:D153))*0.5</f>
        <v>51.167695795542599</v>
      </c>
      <c r="E198" s="38">
        <f>365/(E$11/AVERAGE(D153:E153))</f>
        <v>49.078419035216129</v>
      </c>
      <c r="F198" s="38">
        <f>365/(F$11/AVERAGE(E153:F153))*0.5</f>
        <v>48.613609167287173</v>
      </c>
      <c r="G198" s="38">
        <f>365/(G$11/AVERAGE(F153:G153))*0.5</f>
        <v>51.688634020517782</v>
      </c>
      <c r="H198" s="92">
        <f>365/(H$11/AVERAGE(G153:H153))</f>
        <v>49.599564220271496</v>
      </c>
      <c r="I198" s="25">
        <f>365/(I$11/AVERAGE(H153:I153))*0.5</f>
        <v>48.694380021535657</v>
      </c>
      <c r="J198" s="25">
        <f>365/(J$11/AVERAGE(I153:J153))*0.5</f>
        <v>52.095529613144322</v>
      </c>
      <c r="K198" s="92">
        <f>365/(K$11/AVERAGE(J153:K153))</f>
        <v>51.107936940692397</v>
      </c>
      <c r="L198" s="25">
        <f>365/(L$11/AVERAGE(K153:L153))*0.5</f>
        <v>50.221320881338912</v>
      </c>
      <c r="M198" s="25">
        <f>365/(M$11/AVERAGE(L153:M153))*0.5</f>
        <v>53.452935485753244</v>
      </c>
      <c r="N198" s="92">
        <f>365/(N$11/AVERAGE(M153:N153))</f>
        <v>53.412899917778482</v>
      </c>
      <c r="O198" s="25">
        <f>365/(O$11/AVERAGE(N153:O153))*0.5</f>
        <v>50.078630816179931</v>
      </c>
      <c r="P198" s="25">
        <f>365/(P$11/AVERAGE(O153:P153))*0.5</f>
        <v>54.895194763387778</v>
      </c>
      <c r="Q198" s="92">
        <f>365/(Q$11/AVERAGE(P153:Q153))</f>
        <v>66.932643382758698</v>
      </c>
      <c r="R198" s="25">
        <f>365/(R$11/AVERAGE(Q153:R153))*0.5</f>
        <v>58.693179545445879</v>
      </c>
      <c r="S198" s="25">
        <f>365/(S$11/AVERAGE(R153:S153))*0.5</f>
        <v>63.041830655414003</v>
      </c>
      <c r="T198" s="92">
        <f>365/(T$11/AVERAGE(S153:T153))</f>
        <v>63.967355960881058</v>
      </c>
      <c r="U198" s="25">
        <f>365/(U$11/AVERAGE(T153:U153))*0.5</f>
        <v>61.022662842971442</v>
      </c>
      <c r="V198" s="25">
        <f>365/(V$11/AVERAGE(U153:V153))*0.5</f>
        <v>64.593595267185393</v>
      </c>
      <c r="W198" s="92">
        <f>365/(W$11/AVERAGE(V153:W153))</f>
        <v>65.083710654718303</v>
      </c>
      <c r="X198" s="92">
        <f>365/(X$11/AVERAGE(W153:X153))*0.5</f>
        <v>64.109878035584927</v>
      </c>
      <c r="Y198" s="92">
        <f>365/(Y$11/AVERAGE(X153:Y153))*0.5</f>
        <v>67.522960284779757</v>
      </c>
      <c r="Z198" s="92">
        <f>365/(Z$11/AVERAGE(Y153:Z153))</f>
        <v>68.673080429933307</v>
      </c>
      <c r="AA198" s="92">
        <f>365/(AA$11/AVERAGE(Z153:AA153))*0.5</f>
        <v>65.235477060074786</v>
      </c>
      <c r="AB198" s="92">
        <f>365/(AB$11/AVERAGE(AA153:AB153))*0.5</f>
        <v>69.700785057547549</v>
      </c>
      <c r="AC198" s="92">
        <f>365/(AC$11/AVERAGE(AB153:AC153))</f>
        <v>73.386751946011557</v>
      </c>
      <c r="AD198" s="92">
        <f>365/(AD$11/AVERAGE(AC153:AD153))*0.5</f>
        <v>50.313403857685756</v>
      </c>
      <c r="AE198" s="92">
        <f>365/(AE$11/AVERAGE(AD153:AE153))*0.5</f>
        <v>63.455518076938169</v>
      </c>
      <c r="AF198" s="92">
        <f>365/(AF$11/AVERAGE(AE153:AF153))</f>
        <v>63.767106923274632</v>
      </c>
      <c r="AG198" s="92">
        <f>365/(AG$11/AVERAGE(AF153:AG153))*0.5</f>
        <v>59.798804254899608</v>
      </c>
      <c r="AH198" s="92">
        <f>365/(AH$11/AVERAGE(AG153:AH153))*0.5</f>
        <v>58.380275881343593</v>
      </c>
      <c r="AI198" s="92">
        <f>365/(AI$11/AVERAGE(AH153:AI153))</f>
        <v>58.722374309103095</v>
      </c>
      <c r="AJ198" s="92">
        <f>365/(AJ$11/AVERAGE(AI153:AJ153))*0.5</f>
        <v>59.105514437461522</v>
      </c>
      <c r="AK198" s="92">
        <f>365/(AK$11/AVERAGE(AJ153:AK153))*0.5</f>
        <v>61.689034988399136</v>
      </c>
      <c r="AL198" s="92">
        <f>365/(AL$11/AVERAGE(AK153:AL153))</f>
        <v>66.246560594612475</v>
      </c>
      <c r="AM198" s="92">
        <f>365/(AM$11/AVERAGE(AL153:AM153))*0.5</f>
        <v>64.873353598868505</v>
      </c>
      <c r="AN198" s="92">
        <f>365/(AN$11/AVERAGE(AM153:AN153))*0.5</f>
        <v>66.399799299373257</v>
      </c>
      <c r="AO198" s="92">
        <f>365/(AO$11/AVERAGE(AN153:AO153))</f>
        <v>72.886074601515546</v>
      </c>
      <c r="AP198" s="92">
        <f>365/(AP$11/AVERAGE(AO153:AP153))*0.5</f>
        <v>63.963894391377124</v>
      </c>
      <c r="AQ198" s="92">
        <f>365/(AQ$11/AVERAGE(AP153:AQ153))*0.5</f>
        <v>63.693494354874716</v>
      </c>
      <c r="AR198" s="92">
        <f>365/(AR$11/AVERAGE(AQ153:AR153))</f>
        <v>62.138620160614394</v>
      </c>
      <c r="AS198" s="92">
        <f>365/(AS$11/AVERAGE(AR153:AS153))*0.5</f>
        <v>59.25239868749356</v>
      </c>
      <c r="AT198" s="92">
        <f>365/(AT$11/AVERAGE(AS153:AT153))*0.5</f>
        <v>58.686665982883824</v>
      </c>
      <c r="AU198" s="92">
        <f>365/(AU$11/AVERAGE(AT153:AU153))</f>
        <v>59.985394838001099</v>
      </c>
      <c r="AV198" s="92">
        <f>365/(AV$11/AVERAGE(AU153:AV153))*0.5</f>
        <v>63.481808791428442</v>
      </c>
      <c r="AW198" s="92">
        <f>365/(AW$11/AVERAGE(AV153:AW153))*0.5</f>
        <v>63.489694191440428</v>
      </c>
      <c r="AX198" s="93">
        <f>365/(AX$11/AVERAGE(AW153:AX153))</f>
        <v>65.74565119689197</v>
      </c>
      <c r="AY198" s="92">
        <f>365/(AY$11/AVERAGE(AX153:AY153))*0.5</f>
        <v>65.103984615936525</v>
      </c>
      <c r="AZ198" s="92">
        <f>365/(AZ$11/AVERAGE(AY153:AZ153))*0.5</f>
        <v>64.892249754267638</v>
      </c>
      <c r="BA198" s="92">
        <f>365/(BA$11/AVERAGE(AZ153:BA153))</f>
        <v>66.524654004609147</v>
      </c>
      <c r="BB198" s="92">
        <f>365/(BB$11/AVERAGE(BA153:BB153))*0.5</f>
        <v>65.844771262766642</v>
      </c>
      <c r="BC198" s="92">
        <f>365/(BC$11/AVERAGE(BB153:BC153))*0.5</f>
        <v>66.029898799041788</v>
      </c>
      <c r="BD198" s="92">
        <f>365/(BD$11/AVERAGE(BC153:BD153))</f>
        <v>67.576006296609194</v>
      </c>
      <c r="BE198" s="92">
        <f>365/(BE$11/AVERAGE(BD153:BE153))*0.5</f>
        <v>66.605940106215883</v>
      </c>
      <c r="BF198" s="92">
        <f>365/(BF$11/AVERAGE(BE153:BF153))*0.5</f>
        <v>67.241638733803072</v>
      </c>
      <c r="BG198" s="92">
        <f>365/(BG$11/AVERAGE(BF153:BG153))</f>
        <v>68.552070576749912</v>
      </c>
      <c r="BH198" s="92">
        <f>365/(BH$11/AVERAGE(BG153:BH153))*0.5</f>
        <v>68.201223290282769</v>
      </c>
      <c r="BI198" s="92">
        <f>365/(BI$11/AVERAGE(BH153:BI153))*0.5</f>
        <v>68.353355211231872</v>
      </c>
      <c r="BJ198" s="92">
        <f>365/(BJ$11/AVERAGE(BI153:BJ153))</f>
        <v>69.630032004532424</v>
      </c>
      <c r="BK198" s="92">
        <f>365/(BK$11/AVERAGE(BJ153:BK153))*0.5</f>
        <v>69.883824958539904</v>
      </c>
      <c r="BL198" s="92">
        <f>365/(BL$11/AVERAGE(BK153:BL153))*0.5</f>
        <v>69.272235434462132</v>
      </c>
      <c r="BM198" s="92">
        <f>365/(BM$11/AVERAGE(BL153:BM153))</f>
        <v>70.904232960088223</v>
      </c>
    </row>
    <row r="199" spans="1:73">
      <c r="A199" s="6" t="s">
        <v>16</v>
      </c>
      <c r="B199" s="52" t="s">
        <v>15</v>
      </c>
      <c r="C199" s="38">
        <f>365/(C$11/AVERAGE(B152:C152))*0.5</f>
        <v>50.710655279543474</v>
      </c>
      <c r="D199" s="38">
        <f>365/(D$11/AVERAGE(C152:D152))*0.5</f>
        <v>55.380723770323208</v>
      </c>
      <c r="E199" s="38">
        <f>365/(E$11/AVERAGE(D152:E152))</f>
        <v>56.281860102548272</v>
      </c>
      <c r="F199" s="38">
        <f>365/(F$11/AVERAGE(E152:F152))*0.5</f>
        <v>52.006050374373579</v>
      </c>
      <c r="G199" s="38">
        <f>365/(G$11/AVERAGE(F152:G152))*0.5</f>
        <v>55.698112186977426</v>
      </c>
      <c r="H199" s="92">
        <f>365/(H$11/AVERAGE(G152:H152))</f>
        <v>57.483915673360897</v>
      </c>
      <c r="I199" s="25">
        <f>365/(I$11/AVERAGE(H152:I152))*0.5</f>
        <v>54.286508674792444</v>
      </c>
      <c r="J199" s="25">
        <f>365/(J$11/AVERAGE(I152:J152))*0.5</f>
        <v>56.067560053532333</v>
      </c>
      <c r="K199" s="92">
        <f>365/(K$11/AVERAGE(J152:K152))</f>
        <v>55.344176879000223</v>
      </c>
      <c r="L199" s="25">
        <f>365/(L$11/AVERAGE(K152:L152))*0.5</f>
        <v>52.092104117252298</v>
      </c>
      <c r="M199" s="25">
        <f>365/(M$11/AVERAGE(L152:M152))*0.5</f>
        <v>55.770531027788032</v>
      </c>
      <c r="N199" s="92">
        <f>365/(N$11/AVERAGE(M152:N152))</f>
        <v>58.351611659037395</v>
      </c>
      <c r="O199" s="25">
        <f>365/(O$11/AVERAGE(N152:O152))*0.5</f>
        <v>51.162222124436873</v>
      </c>
      <c r="P199" s="25">
        <f>365/(P$11/AVERAGE(O152:P152))*0.5</f>
        <v>49.652354144029296</v>
      </c>
      <c r="Q199" s="92">
        <f>365/(Q$11/AVERAGE(P152:Q152))</f>
        <v>58.107083490063495</v>
      </c>
      <c r="R199" s="25">
        <f>365/(R$11/AVERAGE(Q152:R152))*0.5</f>
        <v>49.420927555914488</v>
      </c>
      <c r="S199" s="25">
        <f>365/(S$11/AVERAGE(R152:S152))*0.5</f>
        <v>52.207385145082945</v>
      </c>
      <c r="T199" s="92">
        <f>365/(T$11/AVERAGE(S152:T152))</f>
        <v>53.613020399706876</v>
      </c>
      <c r="U199" s="25">
        <f>365/(U$11/AVERAGE(T152:U152))*0.5</f>
        <v>48.915303252039642</v>
      </c>
      <c r="V199" s="25">
        <f>365/(V$11/AVERAGE(U152:V152))*0.5</f>
        <v>52.460050800591603</v>
      </c>
      <c r="W199" s="92">
        <f>365/(W$11/AVERAGE(V152:W152))</f>
        <v>55.672628542234001</v>
      </c>
      <c r="X199" s="92">
        <f>365/(X$11/AVERAGE(W152:X152))*0.5</f>
        <v>51.193960258730421</v>
      </c>
      <c r="Y199" s="92">
        <f>365/(Y$11/AVERAGE(X152:Y152))*0.5</f>
        <v>51.886416546175781</v>
      </c>
      <c r="Z199" s="92">
        <f>365/(Z$11/AVERAGE(Y152:Z152))</f>
        <v>54.226526330348534</v>
      </c>
      <c r="AA199" s="92">
        <f>365/(AA$11/AVERAGE(Z152:AA152))*0.5</f>
        <v>49.560314034463552</v>
      </c>
      <c r="AB199" s="92">
        <f>365/(AB$11/AVERAGE(AA152:AB152))*0.5</f>
        <v>51.700192439558499</v>
      </c>
      <c r="AC199" s="92">
        <f>365/(AC$11/AVERAGE(AB152:AC152))</f>
        <v>55.082149435240069</v>
      </c>
      <c r="AD199" s="92">
        <f>365/(AD$11/AVERAGE(AC152:AD152))*0.5</f>
        <v>40.631043039353109</v>
      </c>
      <c r="AE199" s="92">
        <f>365/(AE$11/AVERAGE(AD152:AE152))*0.5</f>
        <v>55.697943871819135</v>
      </c>
      <c r="AF199" s="92">
        <f>365/(AF$11/AVERAGE(AE152:AF152))</f>
        <v>58.403512254759484</v>
      </c>
      <c r="AG199" s="92">
        <f>365/(AG$11/AVERAGE(AF152:AG152))*0.5</f>
        <v>53.596189714714818</v>
      </c>
      <c r="AH199" s="92">
        <f>365/(AH$11/AVERAGE(AG152:AH152))*0.5</f>
        <v>53.691985742149676</v>
      </c>
      <c r="AI199" s="92">
        <f>365/(AI$11/AVERAGE(AH152:AI152))</f>
        <v>56.54454024541463</v>
      </c>
      <c r="AJ199" s="92">
        <f>365/(AJ$11/AVERAGE(AI152:AJ152))*0.5</f>
        <v>53.034921630879388</v>
      </c>
      <c r="AK199" s="92">
        <f>365/(AK$11/AVERAGE(AJ152:AK152))*0.5</f>
        <v>54.192186599790944</v>
      </c>
      <c r="AL199" s="92">
        <f>365/(AL$11/AVERAGE(AK152:AL152))</f>
        <v>60.770430793598045</v>
      </c>
      <c r="AM199" s="92">
        <f>365/(AM$11/AVERAGE(AL152:AM152))*0.5</f>
        <v>54.510365532368894</v>
      </c>
      <c r="AN199" s="92">
        <f>365/(AN$11/AVERAGE(AM152:AN152))*0.5</f>
        <v>55.692091541785857</v>
      </c>
      <c r="AO199" s="92">
        <f>365/(AO$11/AVERAGE(AN152:AO152))</f>
        <v>65.212776979357201</v>
      </c>
      <c r="AP199" s="92">
        <f>365/(AP$11/AVERAGE(AO152:AP152))*0.5</f>
        <v>54.833844744753563</v>
      </c>
      <c r="AQ199" s="92">
        <f>365/(AQ$11/AVERAGE(AP152:AQ152))*0.5</f>
        <v>54.417426118854841</v>
      </c>
      <c r="AR199" s="92">
        <f>365/(AR$11/AVERAGE(AQ152:AR152))</f>
        <v>55.264563280055015</v>
      </c>
      <c r="AS199" s="92">
        <f>365/(AS$11/AVERAGE(AR152:AS152))*0.5</f>
        <v>51.651914046168251</v>
      </c>
      <c r="AT199" s="92">
        <f>365/(AT$11/AVERAGE(AS152:AT152))*0.5</f>
        <v>51.924592910215516</v>
      </c>
      <c r="AU199" s="92">
        <f>365/(AU$11/AVERAGE(AT152:AU152))</f>
        <v>54.892392092256998</v>
      </c>
      <c r="AV199" s="92">
        <f>365/(AV$11/AVERAGE(AU152:AV152))*0.5</f>
        <v>55.649634750492332</v>
      </c>
      <c r="AW199" s="92">
        <f>365/(AW$11/AVERAGE(AV152:AW152))*0.5</f>
        <v>53.687464963419899</v>
      </c>
      <c r="AX199" s="93">
        <f>365/(AX$11/AVERAGE(AW152:AX152))</f>
        <v>55.960504764678717</v>
      </c>
      <c r="AY199" s="92">
        <f>365/(AY$11/AVERAGE(AX152:AY152))*0.5</f>
        <v>54.581607545669705</v>
      </c>
      <c r="AZ199" s="92">
        <f>365/(AZ$11/AVERAGE(AY152:AZ152))*0.5</f>
        <v>53.958596420819312</v>
      </c>
      <c r="BA199" s="92">
        <f>365/(BA$11/AVERAGE(AZ152:BA152))</f>
        <v>55.678357933674405</v>
      </c>
      <c r="BB199" s="92">
        <f>365/(BB$11/AVERAGE(BA152:BB152))*0.5</f>
        <v>54.287440615648499</v>
      </c>
      <c r="BC199" s="92">
        <f>365/(BC$11/AVERAGE(BB152:BC152))*0.5</f>
        <v>54.005653367629954</v>
      </c>
      <c r="BD199" s="92">
        <f>365/(BD$11/AVERAGE(BC152:BD152))</f>
        <v>55.629678676555201</v>
      </c>
      <c r="BE199" s="92">
        <f>365/(BE$11/AVERAGE(BD152:BE152))*0.5</f>
        <v>54.019712358715815</v>
      </c>
      <c r="BF199" s="92">
        <f>365/(BF$11/AVERAGE(BE152:BF152))*0.5</f>
        <v>54.110430043850641</v>
      </c>
      <c r="BG199" s="92">
        <f>365/(BG$11/AVERAGE(BF152:BG152))</f>
        <v>55.521594945351183</v>
      </c>
      <c r="BH199" s="92">
        <f>365/(BH$11/AVERAGE(BG152:BH152))*0.5</f>
        <v>54.436198314385102</v>
      </c>
      <c r="BI199" s="92">
        <f>365/(BI$11/AVERAGE(BH152:BI152))*0.5</f>
        <v>54.133197862060612</v>
      </c>
      <c r="BJ199" s="92">
        <f>365/(BJ$11/AVERAGE(BI152:BJ152))</f>
        <v>55.498164033443025</v>
      </c>
      <c r="BK199" s="92">
        <f>365/(BK$11/AVERAGE(BJ152:BK152))*0.5</f>
        <v>54.909039351486413</v>
      </c>
      <c r="BL199" s="92">
        <f>365/(BL$11/AVERAGE(BK152:BL152))*0.5</f>
        <v>54.005893650623044</v>
      </c>
      <c r="BM199" s="92">
        <f>365/(BM$11/AVERAGE(BL152:BM152))</f>
        <v>55.629430328122481</v>
      </c>
    </row>
    <row r="200" spans="1:73">
      <c r="A200" s="6" t="s">
        <v>17</v>
      </c>
      <c r="B200" s="52" t="s">
        <v>15</v>
      </c>
      <c r="C200" s="38">
        <f>365/(C$11/AVERAGE(B165:C165))*0.5</f>
        <v>45.454548999727031</v>
      </c>
      <c r="D200" s="38">
        <f>365/(D$11/AVERAGE(C165:D165))*0.5</f>
        <v>51.343559698555012</v>
      </c>
      <c r="E200" s="38">
        <f>365/(E$11/AVERAGE(D165:E165))</f>
        <v>53.774784883407698</v>
      </c>
      <c r="F200" s="38">
        <f>365/(F$11/AVERAGE(E165:F165))*0.5</f>
        <v>48.545664097177657</v>
      </c>
      <c r="G200" s="38">
        <f>365/(G$11/AVERAGE(F165:G165))*0.5</f>
        <v>51.311853442938748</v>
      </c>
      <c r="H200" s="92">
        <f>365/(H$11/AVERAGE(G165:H165))</f>
        <v>53.514195137736834</v>
      </c>
      <c r="I200" s="25">
        <f>365/(I$11/AVERAGE(H165:I165))*0.5</f>
        <v>50.540670854863684</v>
      </c>
      <c r="J200" s="25">
        <f>365/(J$11/AVERAGE(I165:J165))*0.5</f>
        <v>54.132780792682091</v>
      </c>
      <c r="K200" s="92">
        <f>365/(K$11/AVERAGE(J165:K165))</f>
        <v>55.260048192072865</v>
      </c>
      <c r="L200" s="25">
        <f>365/(L$11/AVERAGE(K165:L165))*0.5</f>
        <v>51.325115712873263</v>
      </c>
      <c r="M200" s="25">
        <f>365/(M$11/AVERAGE(L165:M165))*0.5</f>
        <v>53.98683437524037</v>
      </c>
      <c r="N200" s="92">
        <f>365/(N$11/AVERAGE(M165:N165))</f>
        <v>56.323857661651289</v>
      </c>
      <c r="O200" s="25">
        <f>365/(O$11/AVERAGE(N165:O165))*0.5</f>
        <v>48.474351366008435</v>
      </c>
      <c r="P200" s="25">
        <f>365/(P$11/AVERAGE(O165:P165))*0.5</f>
        <v>47.996833263460509</v>
      </c>
      <c r="Q200" s="92">
        <f>365/(Q$11/AVERAGE(P165:Q165))</f>
        <v>57.958483587818073</v>
      </c>
      <c r="R200" s="25">
        <f>365/(R$11/AVERAGE(Q165:R165))*0.5</f>
        <v>48.263351717530341</v>
      </c>
      <c r="S200" s="25">
        <f>365/(S$11/AVERAGE(R165:S165))*0.5</f>
        <v>50.254002629616316</v>
      </c>
      <c r="T200" s="92">
        <f>365/(T$11/AVERAGE(S165:T165))</f>
        <v>51.939199895641892</v>
      </c>
      <c r="U200" s="25">
        <f>365/(U$11/AVERAGE(T165:U165))*0.5</f>
        <v>48.445351318429978</v>
      </c>
      <c r="V200" s="25">
        <f>365/(V$11/AVERAGE(U165:V165))*0.5</f>
        <v>50.35431805028616</v>
      </c>
      <c r="W200" s="92">
        <f>365/(W$11/AVERAGE(V165:W165))</f>
        <v>50.881223167057129</v>
      </c>
      <c r="X200" s="92">
        <f>365/(X$11/AVERAGE(W165:X165))*0.5</f>
        <v>48.102928227997303</v>
      </c>
      <c r="Y200" s="92">
        <f>365/(Y$11/AVERAGE(X165:Y165))*0.5</f>
        <v>50.531174043553982</v>
      </c>
      <c r="Z200" s="92">
        <f>365/(Z$11/AVERAGE(Y165:Z165))</f>
        <v>53.179293518686606</v>
      </c>
      <c r="AA200" s="92">
        <f>365/(AA$11/AVERAGE(Z165:AA165))*0.5</f>
        <v>48.157016856487928</v>
      </c>
      <c r="AB200" s="92">
        <f>365/(AB$11/AVERAGE(AA165:AB165))*0.5</f>
        <v>48.356707182198242</v>
      </c>
      <c r="AC200" s="92">
        <f>365/(AC$11/AVERAGE(AB165:AC165))</f>
        <v>50.170910176985892</v>
      </c>
      <c r="AD200" s="92">
        <f>365/(AD$11/AVERAGE(AC165:AD165))*0.5</f>
        <v>32.820203369128947</v>
      </c>
      <c r="AE200" s="92">
        <f>365/(AE$11/AVERAGE(AD165:AE165))*0.5</f>
        <v>43.366689847818279</v>
      </c>
      <c r="AF200" s="92">
        <f>365/(AF$11/AVERAGE(AE165:AF165))</f>
        <v>46.698376147027133</v>
      </c>
      <c r="AG200" s="92">
        <f>365/(AG$11/AVERAGE(AF165:AG165))*0.5</f>
        <v>41.647723934620629</v>
      </c>
      <c r="AH200" s="92">
        <f>365/(AH$11/AVERAGE(AG165:AH165))*0.5</f>
        <v>43.197081540972306</v>
      </c>
      <c r="AI200" s="92">
        <f>365/(AI$11/AVERAGE(AH165:AI165))</f>
        <v>48.129210253650761</v>
      </c>
      <c r="AJ200" s="92">
        <f>365/(AJ$11/AVERAGE(AI165:AJ165))*0.5</f>
        <v>44.527933172649568</v>
      </c>
      <c r="AK200" s="92">
        <f>365/(AK$11/AVERAGE(AJ165:AK165))*0.5</f>
        <v>48.258576558548263</v>
      </c>
      <c r="AL200" s="92">
        <f>365/(AL$11/AVERAGE(AK165:AL165))</f>
        <v>57.277244380457319</v>
      </c>
      <c r="AM200" s="92">
        <f>365/(AM$11/AVERAGE(AL165:AM165))*0.5</f>
        <v>49.814066284076915</v>
      </c>
      <c r="AN200" s="92">
        <f>365/(AN$11/AVERAGE(AM165:AN165))*0.5</f>
        <v>49.461302842099471</v>
      </c>
      <c r="AO200" s="92">
        <f>365/(AO$11/AVERAGE(AN165:AO165))</f>
        <v>57.986787954010964</v>
      </c>
      <c r="AP200" s="92">
        <f>365/(AP$11/AVERAGE(AO165:AP165))*0.5</f>
        <v>45.435792832635777</v>
      </c>
      <c r="AQ200" s="92">
        <f>365/(AQ$11/AVERAGE(AP165:AQ165))*0.5</f>
        <v>44.80174439436577</v>
      </c>
      <c r="AR200" s="92">
        <f>365/(AR$11/AVERAGE(AQ165:AR165))</f>
        <v>48.636642544001297</v>
      </c>
      <c r="AS200" s="92">
        <f>365/(AS$11/AVERAGE(AR165:AS165))*0.5</f>
        <v>44.628560481152448</v>
      </c>
      <c r="AT200" s="92">
        <f>365/(AT$11/AVERAGE(AS165:AT165))*0.5</f>
        <v>45.579542078587437</v>
      </c>
      <c r="AU200" s="92">
        <f>365/(AU$11/AVERAGE(AT165:AU165))</f>
        <v>49.72478583196046</v>
      </c>
      <c r="AV200" s="92">
        <f>365/(AV$11/AVERAGE(AU165:AV165))*0.5</f>
        <v>48.202464752741072</v>
      </c>
      <c r="AW200" s="92">
        <f>365/(AW$11/AVERAGE(AV165:AW165))*0.5</f>
        <v>46.71733962398168</v>
      </c>
      <c r="AX200" s="93">
        <f>365/(AX$11/AVERAGE(AW165:AX165))</f>
        <v>51.117957194467166</v>
      </c>
      <c r="AY200" s="92">
        <f>365/(AY$11/AVERAGE(AX165:AY165))*0.5</f>
        <v>47.442717044906864</v>
      </c>
      <c r="AZ200" s="92">
        <f>365/(AZ$11/AVERAGE(AY165:AZ165))*0.5</f>
        <v>46.940989318451699</v>
      </c>
      <c r="BA200" s="92">
        <f>365/(BA$11/AVERAGE(AZ165:BA165))</f>
        <v>50.860225966157437</v>
      </c>
      <c r="BB200" s="92">
        <f>365/(BB$11/AVERAGE(BA165:BB165))*0.5</f>
        <v>47.174005877985017</v>
      </c>
      <c r="BC200" s="92">
        <f>365/(BC$11/AVERAGE(BB165:BC165))*0.5</f>
        <v>46.979805440630365</v>
      </c>
      <c r="BD200" s="92">
        <f>365/(BD$11/AVERAGE(BC165:BD165))</f>
        <v>50.815759173155094</v>
      </c>
      <c r="BE200" s="92">
        <f>365/(BE$11/AVERAGE(BD165:BE165))*0.5</f>
        <v>46.929445511076537</v>
      </c>
      <c r="BF200" s="92">
        <f>365/(BF$11/AVERAGE(BE165:BF165))*0.5</f>
        <v>47.066233153036379</v>
      </c>
      <c r="BG200" s="92">
        <f>365/(BG$11/AVERAGE(BF165:BG165))</f>
        <v>50.717028477848842</v>
      </c>
      <c r="BH200" s="92">
        <f>365/(BH$11/AVERAGE(BG165:BH165))*0.5</f>
        <v>47.309890815198187</v>
      </c>
      <c r="BI200" s="92">
        <f>365/(BI$11/AVERAGE(BH165:BI165))*0.5</f>
        <v>47.085013768296768</v>
      </c>
      <c r="BJ200" s="92">
        <f>365/(BJ$11/AVERAGE(BI165:BJ165))</f>
        <v>50.695625162117764</v>
      </c>
      <c r="BK200" s="92">
        <f>365/(BK$11/AVERAGE(BJ165:BK165))*0.5</f>
        <v>47.741814508452435</v>
      </c>
      <c r="BL200" s="92">
        <f>365/(BL$11/AVERAGE(BK165:BL165))*0.5</f>
        <v>46.980003644182631</v>
      </c>
      <c r="BM200" s="92">
        <f>365/(BM$11/AVERAGE(BL165:BM165))</f>
        <v>50.815532315577478</v>
      </c>
    </row>
    <row r="201" spans="1:73">
      <c r="B201" s="52"/>
      <c r="C201" s="3"/>
      <c r="E201" s="92"/>
      <c r="F201" s="3"/>
      <c r="H201" s="92"/>
      <c r="I201" s="3"/>
      <c r="K201" s="92"/>
      <c r="L201" s="3"/>
      <c r="N201" s="92"/>
      <c r="O201" s="3"/>
      <c r="Q201" s="92"/>
      <c r="R201" s="3"/>
      <c r="T201" s="92"/>
      <c r="U201" s="3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3"/>
      <c r="AY201" s="92"/>
      <c r="AZ201" s="92"/>
      <c r="BA201" s="92"/>
      <c r="BB201" s="92"/>
      <c r="BC201" s="92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</row>
    <row r="202" spans="1:73">
      <c r="A202" s="89" t="s">
        <v>18</v>
      </c>
      <c r="B202" s="52" t="s">
        <v>172</v>
      </c>
      <c r="C202" s="348">
        <f t="shared" ref="C202:AA202" si="324">C153</f>
        <v>209.53399999999999</v>
      </c>
      <c r="D202" s="105">
        <f t="shared" si="324"/>
        <v>202.161</v>
      </c>
      <c r="E202" s="105">
        <f t="shared" si="324"/>
        <v>202.161</v>
      </c>
      <c r="F202" s="348">
        <f t="shared" si="324"/>
        <v>222.12100000000001</v>
      </c>
      <c r="G202" s="105">
        <f t="shared" si="324"/>
        <v>212.48099999999999</v>
      </c>
      <c r="H202" s="105">
        <f t="shared" si="324"/>
        <v>212.48099999999999</v>
      </c>
      <c r="I202" s="348">
        <f t="shared" si="324"/>
        <v>206.28800000000001</v>
      </c>
      <c r="J202" s="105">
        <f t="shared" si="324"/>
        <v>212.624</v>
      </c>
      <c r="K202" s="105">
        <f t="shared" si="324"/>
        <v>212.624</v>
      </c>
      <c r="L202" s="348">
        <f t="shared" si="324"/>
        <v>217.11199999999999</v>
      </c>
      <c r="M202" s="105">
        <f t="shared" si="324"/>
        <v>224.60900000000001</v>
      </c>
      <c r="N202" s="105">
        <f t="shared" si="324"/>
        <v>224.60900000000001</v>
      </c>
      <c r="O202" s="348">
        <f t="shared" si="324"/>
        <v>236.852</v>
      </c>
      <c r="P202" s="105">
        <f t="shared" si="324"/>
        <v>325.65499999999997</v>
      </c>
      <c r="Q202" s="105">
        <f t="shared" si="324"/>
        <v>325.65499999999997</v>
      </c>
      <c r="R202" s="348">
        <f t="shared" si="324"/>
        <v>349.71600000000001</v>
      </c>
      <c r="S202" s="105">
        <f t="shared" si="324"/>
        <v>365.42500000000001</v>
      </c>
      <c r="T202" s="105">
        <f t="shared" si="324"/>
        <v>365.42500000000001</v>
      </c>
      <c r="U202" s="348">
        <f t="shared" si="324"/>
        <v>397.69600000000003</v>
      </c>
      <c r="V202" s="105">
        <f t="shared" si="324"/>
        <v>405.9</v>
      </c>
      <c r="W202" s="105">
        <f t="shared" si="324"/>
        <v>405.9</v>
      </c>
      <c r="X202" s="105">
        <f t="shared" si="324"/>
        <v>444.69299999999998</v>
      </c>
      <c r="Y202" s="105">
        <f t="shared" si="324"/>
        <v>457.06299999999999</v>
      </c>
      <c r="Z202" s="105">
        <f t="shared" si="324"/>
        <v>457.06299999999999</v>
      </c>
      <c r="AA202" s="105">
        <f t="shared" si="324"/>
        <v>495.41500000000002</v>
      </c>
      <c r="AB202" s="105">
        <f>AB11*AB193*2</f>
        <v>540.56399999999996</v>
      </c>
      <c r="AC202" s="105">
        <f>AC153</f>
        <v>540.56399999999996</v>
      </c>
      <c r="AD202" s="105">
        <f>AD153</f>
        <v>958.202</v>
      </c>
      <c r="AE202" s="105">
        <f>AE11*AE193*2</f>
        <v>955.71100000000001</v>
      </c>
      <c r="AF202" s="105">
        <f>AF153</f>
        <v>955.71100000000001</v>
      </c>
      <c r="AG202" s="105">
        <f>AG153</f>
        <v>985.15700000000004</v>
      </c>
      <c r="AH202" s="105">
        <f>AH11*AH193*2</f>
        <v>967.51</v>
      </c>
      <c r="AI202" s="105">
        <f>AI153</f>
        <v>967.51</v>
      </c>
      <c r="AJ202" s="105">
        <f>AJ153</f>
        <v>1023.314</v>
      </c>
      <c r="AK202" s="105">
        <f>AK11*AK193*2</f>
        <v>1138.117</v>
      </c>
      <c r="AL202" s="105">
        <f>AL153</f>
        <v>1138.117</v>
      </c>
      <c r="AM202" s="105">
        <f>AM153</f>
        <v>1421.413</v>
      </c>
      <c r="AN202" s="105">
        <f>AN11*AN193*2</f>
        <v>1528.4110000000001</v>
      </c>
      <c r="AO202" s="105">
        <f>AO153</f>
        <v>1528.4110000000001</v>
      </c>
      <c r="AP202" s="105">
        <f>AP153</f>
        <v>1575.0050000000001</v>
      </c>
      <c r="AQ202" s="105">
        <f>AQ11*AQ193*2</f>
        <v>1504.8920000000001</v>
      </c>
      <c r="AR202" s="105">
        <f>AR153</f>
        <v>1504.8920000000001</v>
      </c>
      <c r="AS202" s="105">
        <f>AS153</f>
        <v>1441.347</v>
      </c>
      <c r="AT202" s="105">
        <f>AT11*AT193*2</f>
        <v>1496.348</v>
      </c>
      <c r="AU202" s="105">
        <f>AU153</f>
        <v>1496.348</v>
      </c>
      <c r="AV202" s="105">
        <f>AV153</f>
        <v>1566.4110000000001</v>
      </c>
      <c r="AW202" s="105">
        <f>AW11*AW193*2</f>
        <v>1617.171</v>
      </c>
      <c r="AX202" s="407">
        <f>AX153</f>
        <v>1617.171</v>
      </c>
      <c r="AY202" s="105">
        <f>AY11*AY193*2</f>
        <v>1663.7880060963184</v>
      </c>
      <c r="AZ202" s="105">
        <f>AZ11*AZ193*2</f>
        <v>1700.3229564799981</v>
      </c>
      <c r="BA202" s="105">
        <f>BA153</f>
        <v>1700.3229564799981</v>
      </c>
      <c r="BB202" s="105">
        <f>BB11*BB193*2</f>
        <v>1767.6997641605956</v>
      </c>
      <c r="BC202" s="105">
        <f>BC11*BC193*2</f>
        <v>1803.5089553402274</v>
      </c>
      <c r="BD202" s="105">
        <f>BD153</f>
        <v>1803.5089553402274</v>
      </c>
      <c r="BE202" s="105">
        <f>BE11*BE193*2</f>
        <v>1893.0318867522878</v>
      </c>
      <c r="BF202" s="105">
        <f>BF11*BF193*2</f>
        <v>1923.9893348433359</v>
      </c>
      <c r="BG202" s="105">
        <f>BG153</f>
        <v>1923.9893348433359</v>
      </c>
      <c r="BH202" s="105">
        <f>BH11*BH193*2</f>
        <v>1987.8149187457914</v>
      </c>
      <c r="BI202" s="105">
        <f>BI11*BI193*2</f>
        <v>2018.8016889947905</v>
      </c>
      <c r="BJ202" s="105">
        <f>BJ153</f>
        <v>2018.8016889947905</v>
      </c>
      <c r="BK202" s="105">
        <f>BK11*BK193*2</f>
        <v>2049.3741912828059</v>
      </c>
      <c r="BL202" s="105">
        <f>BL11*BL193*2</f>
        <v>2091.5023957485619</v>
      </c>
      <c r="BM202" s="105">
        <f>BM153</f>
        <v>2091.5023957485619</v>
      </c>
    </row>
    <row r="203" spans="1:73">
      <c r="A203" s="89" t="s">
        <v>19</v>
      </c>
      <c r="B203" s="52" t="s">
        <v>172</v>
      </c>
      <c r="C203" s="348">
        <f t="shared" ref="C203:AA203" si="325">C152</f>
        <v>213.76</v>
      </c>
      <c r="D203" s="105">
        <f t="shared" si="325"/>
        <v>231.833</v>
      </c>
      <c r="E203" s="105">
        <f t="shared" si="325"/>
        <v>231.833</v>
      </c>
      <c r="F203" s="348">
        <f t="shared" si="325"/>
        <v>222.05699999999999</v>
      </c>
      <c r="G203" s="105">
        <f t="shared" si="325"/>
        <v>246.25700000000001</v>
      </c>
      <c r="H203" s="105">
        <f t="shared" si="325"/>
        <v>246.25700000000001</v>
      </c>
      <c r="I203" s="348">
        <f t="shared" si="325"/>
        <v>220.60400000000001</v>
      </c>
      <c r="J203" s="105">
        <f t="shared" si="325"/>
        <v>230.24799999999999</v>
      </c>
      <c r="K203" s="105">
        <f t="shared" si="325"/>
        <v>230.24799999999999</v>
      </c>
      <c r="L203" s="348">
        <f t="shared" si="325"/>
        <v>215.49600000000001</v>
      </c>
      <c r="M203" s="105">
        <f t="shared" si="325"/>
        <v>245.37700000000001</v>
      </c>
      <c r="N203" s="105">
        <f t="shared" si="325"/>
        <v>245.37700000000001</v>
      </c>
      <c r="O203" s="348">
        <f t="shared" si="325"/>
        <v>226.06899999999999</v>
      </c>
      <c r="P203" s="105">
        <f t="shared" si="325"/>
        <v>282.71499999999997</v>
      </c>
      <c r="Q203" s="105">
        <f t="shared" si="325"/>
        <v>282.71499999999997</v>
      </c>
      <c r="R203" s="348">
        <f t="shared" si="325"/>
        <v>285.96199999999999</v>
      </c>
      <c r="S203" s="105">
        <f t="shared" si="325"/>
        <v>306.274</v>
      </c>
      <c r="T203" s="105">
        <f t="shared" si="325"/>
        <v>306.274</v>
      </c>
      <c r="U203" s="348">
        <f t="shared" si="325"/>
        <v>305.43799999999999</v>
      </c>
      <c r="V203" s="105">
        <f t="shared" si="325"/>
        <v>347.20699999999999</v>
      </c>
      <c r="W203" s="105">
        <f t="shared" si="325"/>
        <v>347.20699999999999</v>
      </c>
      <c r="X203" s="105">
        <f t="shared" si="325"/>
        <v>332.02100000000002</v>
      </c>
      <c r="Y203" s="105">
        <f t="shared" si="325"/>
        <v>360.91199999999998</v>
      </c>
      <c r="Z203" s="105">
        <f t="shared" si="325"/>
        <v>360.91199999999998</v>
      </c>
      <c r="AA203" s="105">
        <f t="shared" si="325"/>
        <v>362.69900000000001</v>
      </c>
      <c r="AB203" s="105">
        <f>AB11*AB194*2</f>
        <v>405.733</v>
      </c>
      <c r="AC203" s="105">
        <f>AC152</f>
        <v>405.733</v>
      </c>
      <c r="AD203" s="105">
        <f>AD152</f>
        <v>804.60900000000004</v>
      </c>
      <c r="AE203" s="105">
        <f>AE11*AE194*2</f>
        <v>875.32400000000007</v>
      </c>
      <c r="AF203" s="105">
        <f>AF152</f>
        <v>875.32399999999996</v>
      </c>
      <c r="AG203" s="105">
        <f>AG152</f>
        <v>864.22799999999995</v>
      </c>
      <c r="AH203" s="105">
        <f>AH11*AH194*2</f>
        <v>931.62800000000004</v>
      </c>
      <c r="AI203" s="105">
        <f>AI152</f>
        <v>931.62800000000004</v>
      </c>
      <c r="AJ203" s="105">
        <f>AJ152</f>
        <v>854.72299999999996</v>
      </c>
      <c r="AK203" s="105">
        <f>AK11*AK194*2</f>
        <v>1044.037</v>
      </c>
      <c r="AL203" s="105">
        <f>AL152</f>
        <v>1044.037</v>
      </c>
      <c r="AM203" s="105">
        <f>AM152</f>
        <v>1106.6289999999999</v>
      </c>
      <c r="AN203" s="105">
        <f>AN11*AN194*2</f>
        <v>1367.5029999999999</v>
      </c>
      <c r="AO203" s="105">
        <f>AO152</f>
        <v>1367.5029999999999</v>
      </c>
      <c r="AP203" s="105">
        <f>AP152</f>
        <v>1292.9390000000001</v>
      </c>
      <c r="AQ203" s="105">
        <f>AQ11*AQ194*2</f>
        <v>1338.414</v>
      </c>
      <c r="AR203" s="105">
        <f>AR152</f>
        <v>1338.414</v>
      </c>
      <c r="AS203" s="105">
        <f>AS152</f>
        <v>1229.902</v>
      </c>
      <c r="AT203" s="105">
        <f>AT11*AT194*2</f>
        <v>1369.3019999999999</v>
      </c>
      <c r="AU203" s="105">
        <f>AU152</f>
        <v>1369.3019999999999</v>
      </c>
      <c r="AV203" s="105">
        <f>AV152</f>
        <v>1315.5840000000001</v>
      </c>
      <c r="AW203" s="105">
        <f>AW11*AW194*2</f>
        <v>1376.482</v>
      </c>
      <c r="AX203" s="407">
        <f>AX152</f>
        <v>1376.482</v>
      </c>
      <c r="AY203" s="105">
        <f>AY11*AY194*2</f>
        <v>1374.1947504418399</v>
      </c>
      <c r="AZ203" s="105">
        <f>AZ11*AZ194*2</f>
        <v>1423.0993244576296</v>
      </c>
      <c r="BA203" s="105">
        <f>BA152</f>
        <v>1423.0993244576296</v>
      </c>
      <c r="BB203" s="105">
        <f>BB11*BB194*2</f>
        <v>1436.2025440106622</v>
      </c>
      <c r="BC203" s="105">
        <f>BC11*BC194*2</f>
        <v>1484.678204206052</v>
      </c>
      <c r="BD203" s="105">
        <f>BD152</f>
        <v>1484.678204206052</v>
      </c>
      <c r="BE203" s="105">
        <f>BE11*BE194*2</f>
        <v>1513.3437844280731</v>
      </c>
      <c r="BF203" s="105">
        <f>BF11*BF194*2</f>
        <v>1558.2746900219431</v>
      </c>
      <c r="BG203" s="105">
        <f>BG152</f>
        <v>1558.2746900219431</v>
      </c>
      <c r="BH203" s="105">
        <f>BH11*BH194*2</f>
        <v>1564.011712512026</v>
      </c>
      <c r="BI203" s="105">
        <f>BI11*BI194*2</f>
        <v>1609.0727529686001</v>
      </c>
      <c r="BJ203" s="105">
        <f>BJ152</f>
        <v>1609.0727529686001</v>
      </c>
      <c r="BK203" s="105">
        <f>BK11*BK194*2</f>
        <v>1587.3697661902356</v>
      </c>
      <c r="BL203" s="105">
        <f>BL11*BL194*2</f>
        <v>1640.9328744997274</v>
      </c>
      <c r="BM203" s="105">
        <f>BM152</f>
        <v>1640.9328744997274</v>
      </c>
    </row>
    <row r="204" spans="1:73">
      <c r="A204" s="89" t="s">
        <v>20</v>
      </c>
      <c r="B204" s="52" t="s">
        <v>172</v>
      </c>
      <c r="C204" s="348">
        <f t="shared" ref="C204:AA204" si="326">C165</f>
        <v>191.60400000000001</v>
      </c>
      <c r="D204" s="105">
        <f t="shared" si="326"/>
        <v>221.506</v>
      </c>
      <c r="E204" s="105">
        <f t="shared" si="326"/>
        <v>221.506</v>
      </c>
      <c r="F204" s="348">
        <f t="shared" si="326"/>
        <v>202.18299999999999</v>
      </c>
      <c r="G204" s="105">
        <f t="shared" si="326"/>
        <v>229.251</v>
      </c>
      <c r="H204" s="105">
        <f t="shared" si="326"/>
        <v>229.251</v>
      </c>
      <c r="I204" s="348">
        <f t="shared" si="326"/>
        <v>205.39599999999999</v>
      </c>
      <c r="J204" s="105">
        <f t="shared" si="326"/>
        <v>229.898</v>
      </c>
      <c r="K204" s="105">
        <f t="shared" si="326"/>
        <v>229.898</v>
      </c>
      <c r="L204" s="348">
        <f t="shared" si="326"/>
        <v>209.28299999999999</v>
      </c>
      <c r="M204" s="105">
        <f t="shared" si="326"/>
        <v>236.85</v>
      </c>
      <c r="N204" s="105">
        <f t="shared" si="326"/>
        <v>236.85</v>
      </c>
      <c r="O204" s="348">
        <f t="shared" si="326"/>
        <v>209.828</v>
      </c>
      <c r="P204" s="105">
        <f t="shared" si="326"/>
        <v>281.99200000000002</v>
      </c>
      <c r="Q204" s="105">
        <f t="shared" si="326"/>
        <v>281.99200000000002</v>
      </c>
      <c r="R204" s="348">
        <f t="shared" si="326"/>
        <v>273.36500000000001</v>
      </c>
      <c r="S204" s="105">
        <f t="shared" si="326"/>
        <v>296.71199999999999</v>
      </c>
      <c r="T204" s="105">
        <f t="shared" si="326"/>
        <v>296.71199999999999</v>
      </c>
      <c r="U204" s="348">
        <f t="shared" si="326"/>
        <v>309.12299999999999</v>
      </c>
      <c r="V204" s="105">
        <f t="shared" si="326"/>
        <v>317.32499999999999</v>
      </c>
      <c r="W204" s="105">
        <f t="shared" si="326"/>
        <v>317.32499999999999</v>
      </c>
      <c r="X204" s="105">
        <f t="shared" si="326"/>
        <v>320.892</v>
      </c>
      <c r="Y204" s="105">
        <f t="shared" si="326"/>
        <v>353.94200000000001</v>
      </c>
      <c r="Z204" s="105">
        <f t="shared" si="326"/>
        <v>353.94200000000001</v>
      </c>
      <c r="AA204" s="105">
        <f t="shared" si="326"/>
        <v>349.18</v>
      </c>
      <c r="AB204" s="105">
        <f>AB11*AB195*2</f>
        <v>369.55700000000002</v>
      </c>
      <c r="AC204" s="105">
        <f>AC165</f>
        <v>369.55700000000002</v>
      </c>
      <c r="AD204" s="105">
        <f>AD165</f>
        <v>608.11099999999999</v>
      </c>
      <c r="AE204" s="105">
        <f>AE11*AE195*2</f>
        <v>699.89300000000003</v>
      </c>
      <c r="AF204" s="105">
        <f>AF165</f>
        <v>699.89300000000003</v>
      </c>
      <c r="AG204" s="105">
        <f>AG165</f>
        <v>651.85199999999998</v>
      </c>
      <c r="AH204" s="105">
        <f>AH11*AH195*2</f>
        <v>792.97699999999986</v>
      </c>
      <c r="AI204" s="105">
        <f>AI165</f>
        <v>792.97699999999998</v>
      </c>
      <c r="AJ204" s="105">
        <f>AJ165</f>
        <v>706.83699999999999</v>
      </c>
      <c r="AK204" s="105">
        <f>AK11*AK195*2</f>
        <v>984.02400000000011</v>
      </c>
      <c r="AL204" s="105">
        <f>AL165</f>
        <v>984.024</v>
      </c>
      <c r="AM204" s="105">
        <f>AM165</f>
        <v>981.35299999999995</v>
      </c>
      <c r="AN204" s="105">
        <f>AN11*AN195*2</f>
        <v>1215.9749999999999</v>
      </c>
      <c r="AO204" s="105">
        <f>AO165</f>
        <v>1215.9749999999999</v>
      </c>
      <c r="AP204" s="105">
        <f>AP165</f>
        <v>988.49</v>
      </c>
      <c r="AQ204" s="105">
        <f>AQ11*AQ195*2</f>
        <v>1177.8969999999999</v>
      </c>
      <c r="AR204" s="105">
        <f>AR165</f>
        <v>1177.8969999999999</v>
      </c>
      <c r="AS204" s="105">
        <f>AS165</f>
        <v>1041.193</v>
      </c>
      <c r="AT204" s="105">
        <f>AT11*AT195*2</f>
        <v>1240.395</v>
      </c>
      <c r="AU204" s="105">
        <f>AU165</f>
        <v>1240.395</v>
      </c>
      <c r="AV204" s="105">
        <f>AV165</f>
        <v>1085.193</v>
      </c>
      <c r="AW204" s="105">
        <f>AW11*AW195*2</f>
        <v>1257.3679999999999</v>
      </c>
      <c r="AX204" s="407">
        <f>AX165</f>
        <v>1257.3679999999999</v>
      </c>
      <c r="AY204" s="105">
        <f>AY11*AY195*2</f>
        <v>1133.5395716398432</v>
      </c>
      <c r="AZ204" s="105">
        <f>AZ11*AZ195*2</f>
        <v>1299.9512898785752</v>
      </c>
      <c r="BA204" s="105">
        <f>BA165</f>
        <v>1299.9512898785752</v>
      </c>
      <c r="BB204" s="105">
        <f>BB11*BB195*2</f>
        <v>1184.6882809022932</v>
      </c>
      <c r="BC204" s="105">
        <f>BC11*BC195*2</f>
        <v>1356.2014354464172</v>
      </c>
      <c r="BD204" s="105">
        <f>BD165</f>
        <v>1356.2014354464172</v>
      </c>
      <c r="BE204" s="105">
        <f>BE11*BE195*2</f>
        <v>1248.3201995880568</v>
      </c>
      <c r="BF204" s="105">
        <f>BF11*BF195*2</f>
        <v>1423.429242404558</v>
      </c>
      <c r="BG204" s="105">
        <f>BG165</f>
        <v>1423.429242404558</v>
      </c>
      <c r="BH204" s="105">
        <f>BH11*BH195*2</f>
        <v>1290.1149317231459</v>
      </c>
      <c r="BI204" s="105">
        <f>BI11*BI195*2</f>
        <v>1469.8314901717731</v>
      </c>
      <c r="BJ204" s="105">
        <f>BJ165</f>
        <v>1469.8314901717731</v>
      </c>
      <c r="BK204" s="105">
        <f>BK11*BK195*2</f>
        <v>1309.3824177561298</v>
      </c>
      <c r="BL204" s="105">
        <f>BL11*BL195*2</f>
        <v>1498.934593074209</v>
      </c>
      <c r="BM204" s="105">
        <f>BM165</f>
        <v>1498.934593074209</v>
      </c>
    </row>
    <row r="205" spans="1:73" s="13" customFormat="1">
      <c r="A205" s="13" t="s">
        <v>142</v>
      </c>
      <c r="B205" s="55" t="s">
        <v>172</v>
      </c>
      <c r="C205" s="349">
        <f t="shared" ref="C205:T205" si="327">C202+C203-C204</f>
        <v>231.68999999999997</v>
      </c>
      <c r="D205" s="108">
        <f t="shared" si="327"/>
        <v>212.48800000000003</v>
      </c>
      <c r="E205" s="108">
        <f t="shared" si="327"/>
        <v>212.48800000000003</v>
      </c>
      <c r="F205" s="349">
        <f t="shared" si="327"/>
        <v>241.995</v>
      </c>
      <c r="G205" s="108">
        <f t="shared" si="327"/>
        <v>229.48699999999999</v>
      </c>
      <c r="H205" s="108">
        <f t="shared" si="327"/>
        <v>229.48699999999999</v>
      </c>
      <c r="I205" s="349">
        <f t="shared" si="327"/>
        <v>221.49600000000007</v>
      </c>
      <c r="J205" s="108">
        <f t="shared" si="327"/>
        <v>212.97399999999996</v>
      </c>
      <c r="K205" s="108">
        <f t="shared" si="327"/>
        <v>212.97399999999996</v>
      </c>
      <c r="L205" s="349">
        <f t="shared" si="327"/>
        <v>223.32500000000002</v>
      </c>
      <c r="M205" s="108">
        <f t="shared" si="327"/>
        <v>233.136</v>
      </c>
      <c r="N205" s="108">
        <f t="shared" si="327"/>
        <v>233.136</v>
      </c>
      <c r="O205" s="349">
        <f t="shared" si="327"/>
        <v>253.09299999999999</v>
      </c>
      <c r="P205" s="108">
        <f t="shared" si="327"/>
        <v>326.37799999999987</v>
      </c>
      <c r="Q205" s="108">
        <f t="shared" si="327"/>
        <v>326.37799999999987</v>
      </c>
      <c r="R205" s="349">
        <f t="shared" si="327"/>
        <v>362.31299999999999</v>
      </c>
      <c r="S205" s="108">
        <f t="shared" si="327"/>
        <v>374.98700000000008</v>
      </c>
      <c r="T205" s="108">
        <f t="shared" si="327"/>
        <v>374.98700000000008</v>
      </c>
      <c r="U205" s="349">
        <f t="shared" ref="U205:AC205" si="328">U202+U203-U204</f>
        <v>394.01100000000002</v>
      </c>
      <c r="V205" s="108">
        <f t="shared" si="328"/>
        <v>435.78199999999998</v>
      </c>
      <c r="W205" s="108">
        <f t="shared" si="328"/>
        <v>435.78199999999998</v>
      </c>
      <c r="X205" s="108">
        <f t="shared" si="328"/>
        <v>455.82199999999995</v>
      </c>
      <c r="Y205" s="108">
        <f t="shared" si="328"/>
        <v>464.0329999999999</v>
      </c>
      <c r="Z205" s="108">
        <f t="shared" si="328"/>
        <v>464.0329999999999</v>
      </c>
      <c r="AA205" s="108">
        <f t="shared" si="328"/>
        <v>508.93400000000003</v>
      </c>
      <c r="AB205" s="108">
        <f t="shared" si="328"/>
        <v>576.74</v>
      </c>
      <c r="AC205" s="94">
        <f t="shared" si="328"/>
        <v>576.74</v>
      </c>
      <c r="AD205" s="108">
        <f t="shared" ref="AD205:AI205" si="329">AD202+AD203-AD204</f>
        <v>1154.7000000000003</v>
      </c>
      <c r="AE205" s="108">
        <f t="shared" si="329"/>
        <v>1131.1420000000001</v>
      </c>
      <c r="AF205" s="94">
        <f t="shared" si="329"/>
        <v>1131.1419999999998</v>
      </c>
      <c r="AG205" s="108">
        <f t="shared" si="329"/>
        <v>1197.5329999999999</v>
      </c>
      <c r="AH205" s="108">
        <f t="shared" si="329"/>
        <v>1106.1610000000001</v>
      </c>
      <c r="AI205" s="94">
        <f t="shared" si="329"/>
        <v>1106.1610000000001</v>
      </c>
      <c r="AJ205" s="108">
        <f>AJ202+AJ203-AJ204</f>
        <v>1171.1999999999998</v>
      </c>
      <c r="AK205" s="108">
        <f>AK202+AK203-AK204</f>
        <v>1198.1299999999999</v>
      </c>
      <c r="AL205" s="94">
        <f>AL202+AL203-AL204</f>
        <v>1198.1300000000001</v>
      </c>
      <c r="AM205" s="108">
        <f>AM202+AM203-AM204</f>
        <v>1546.6889999999999</v>
      </c>
      <c r="AN205" s="108">
        <f t="shared" ref="AN205:AO205" si="330">AN202+AN203-AN204</f>
        <v>1679.9389999999999</v>
      </c>
      <c r="AO205" s="94">
        <f t="shared" si="330"/>
        <v>1679.9389999999999</v>
      </c>
      <c r="AP205" s="108">
        <f t="shared" ref="AP205:AU205" si="331">AP202+AP203-AP204</f>
        <v>1879.4540000000004</v>
      </c>
      <c r="AQ205" s="108">
        <f t="shared" si="331"/>
        <v>1665.4090000000001</v>
      </c>
      <c r="AR205" s="94">
        <f t="shared" si="331"/>
        <v>1665.4090000000001</v>
      </c>
      <c r="AS205" s="108">
        <f t="shared" si="331"/>
        <v>1630.0559999999998</v>
      </c>
      <c r="AT205" s="108">
        <f t="shared" si="331"/>
        <v>1625.2549999999997</v>
      </c>
      <c r="AU205" s="94">
        <f t="shared" si="331"/>
        <v>1625.2549999999997</v>
      </c>
      <c r="AV205" s="108">
        <f t="shared" ref="AV205:AX205" si="332">AV202+AV203-AV204</f>
        <v>1796.8019999999999</v>
      </c>
      <c r="AW205" s="108">
        <f t="shared" si="332"/>
        <v>1736.2850000000003</v>
      </c>
      <c r="AX205" s="95">
        <f t="shared" si="332"/>
        <v>1736.2850000000003</v>
      </c>
      <c r="AY205" s="108">
        <f t="shared" ref="AY205:BM205" si="333">AY202+AY203-AY204</f>
        <v>1904.4431848983152</v>
      </c>
      <c r="AZ205" s="108">
        <f t="shared" si="333"/>
        <v>1823.4709910590527</v>
      </c>
      <c r="BA205" s="94">
        <f t="shared" si="333"/>
        <v>1823.4709910590527</v>
      </c>
      <c r="BB205" s="108">
        <f t="shared" si="333"/>
        <v>2019.2140272689644</v>
      </c>
      <c r="BC205" s="108">
        <f t="shared" si="333"/>
        <v>1931.9857240998622</v>
      </c>
      <c r="BD205" s="94">
        <f t="shared" si="333"/>
        <v>1931.9857240998622</v>
      </c>
      <c r="BE205" s="108">
        <f t="shared" si="333"/>
        <v>2158.055471592304</v>
      </c>
      <c r="BF205" s="108">
        <f t="shared" si="333"/>
        <v>2058.8347824607208</v>
      </c>
      <c r="BG205" s="94">
        <f t="shared" si="333"/>
        <v>2058.8347824607208</v>
      </c>
      <c r="BH205" s="108">
        <f t="shared" si="333"/>
        <v>2261.7116995346714</v>
      </c>
      <c r="BI205" s="108">
        <f t="shared" si="333"/>
        <v>2158.0429517916173</v>
      </c>
      <c r="BJ205" s="94">
        <f t="shared" si="333"/>
        <v>2158.0429517916173</v>
      </c>
      <c r="BK205" s="108">
        <f t="shared" si="333"/>
        <v>2327.3615397169115</v>
      </c>
      <c r="BL205" s="108">
        <f t="shared" si="333"/>
        <v>2233.50067717408</v>
      </c>
      <c r="BM205" s="94">
        <f t="shared" si="333"/>
        <v>2233.50067717408</v>
      </c>
      <c r="BP205"/>
      <c r="BQ205"/>
      <c r="BR205"/>
      <c r="BS205"/>
      <c r="BT205"/>
      <c r="BU205"/>
    </row>
    <row r="206" spans="1:73">
      <c r="A206" s="89" t="s">
        <v>557</v>
      </c>
      <c r="B206" s="52" t="s">
        <v>172</v>
      </c>
      <c r="C206" s="92"/>
      <c r="D206" s="92"/>
      <c r="E206" s="92"/>
      <c r="F206" s="109">
        <f>F205-E205</f>
        <v>29.506999999999977</v>
      </c>
      <c r="G206" s="38">
        <f>G205-F205</f>
        <v>-12.50800000000001</v>
      </c>
      <c r="H206" s="92">
        <f>H205-E205</f>
        <v>16.998999999999967</v>
      </c>
      <c r="I206" s="42">
        <f>I205-H205</f>
        <v>-7.9909999999999286</v>
      </c>
      <c r="J206" s="25">
        <f>J205-I205</f>
        <v>-8.522000000000105</v>
      </c>
      <c r="K206" s="92">
        <f>K205-H205</f>
        <v>-16.513000000000034</v>
      </c>
      <c r="L206" s="42">
        <f>L205-K205</f>
        <v>10.351000000000056</v>
      </c>
      <c r="M206" s="25">
        <f>M205-L205</f>
        <v>9.8109999999999786</v>
      </c>
      <c r="N206" s="92">
        <f>N205-K205</f>
        <v>20.162000000000035</v>
      </c>
      <c r="O206" s="42">
        <f>O205-N205</f>
        <v>19.956999999999994</v>
      </c>
      <c r="P206" s="25">
        <f>P205-O205</f>
        <v>73.284999999999883</v>
      </c>
      <c r="Q206" s="92">
        <f>Q205-N205</f>
        <v>93.241999999999877</v>
      </c>
      <c r="R206" s="42">
        <f>R205-Q205</f>
        <v>35.935000000000116</v>
      </c>
      <c r="S206" s="25">
        <f>S205-R205</f>
        <v>12.674000000000092</v>
      </c>
      <c r="T206" s="92">
        <f>T205-Q205</f>
        <v>48.609000000000208</v>
      </c>
      <c r="U206" s="42">
        <f>U205-T205</f>
        <v>19.023999999999944</v>
      </c>
      <c r="V206" s="25">
        <f>V205-U205</f>
        <v>41.770999999999958</v>
      </c>
      <c r="W206" s="92">
        <f>W205-T205</f>
        <v>60.794999999999902</v>
      </c>
      <c r="X206" s="92">
        <f>X205-W205</f>
        <v>20.039999999999964</v>
      </c>
      <c r="Y206" s="92">
        <f>Y205-X205</f>
        <v>8.2109999999999559</v>
      </c>
      <c r="Z206" s="92">
        <f>Z205-W205</f>
        <v>28.25099999999992</v>
      </c>
      <c r="AA206" s="92">
        <f>AA205-Z205</f>
        <v>44.901000000000124</v>
      </c>
      <c r="AB206" s="92">
        <f>AB205-AA205</f>
        <v>67.805999999999983</v>
      </c>
      <c r="AC206" s="92">
        <f>AC205-Z205</f>
        <v>112.70700000000011</v>
      </c>
      <c r="AD206" s="92">
        <f>AD205-AC205</f>
        <v>577.96000000000026</v>
      </c>
      <c r="AE206" s="92">
        <f>AE205-AD205</f>
        <v>-23.55800000000022</v>
      </c>
      <c r="AF206" s="92">
        <f>AF205-AC205</f>
        <v>554.40199999999982</v>
      </c>
      <c r="AG206" s="92">
        <f>AG205-AF205</f>
        <v>66.391000000000076</v>
      </c>
      <c r="AH206" s="92">
        <f>AH205-AG205</f>
        <v>-91.371999999999844</v>
      </c>
      <c r="AI206" s="92">
        <f>AI205-AF205</f>
        <v>-24.980999999999767</v>
      </c>
      <c r="AJ206" s="92">
        <f>AJ205-AI205</f>
        <v>65.03899999999976</v>
      </c>
      <c r="AK206" s="92">
        <f>AK205-AJ205</f>
        <v>26.930000000000064</v>
      </c>
      <c r="AL206" s="92">
        <f>AL205-AI205</f>
        <v>91.969000000000051</v>
      </c>
      <c r="AM206" s="92">
        <f>AM205-AL205</f>
        <v>348.55899999999974</v>
      </c>
      <c r="AN206" s="92">
        <f>AN205-AM205</f>
        <v>133.25</v>
      </c>
      <c r="AO206" s="92">
        <f>AO205-AL205</f>
        <v>481.80899999999974</v>
      </c>
      <c r="AP206" s="92">
        <f>AP205-AO205</f>
        <v>199.51500000000055</v>
      </c>
      <c r="AQ206" s="92">
        <f>AQ205-AP205</f>
        <v>-214.0450000000003</v>
      </c>
      <c r="AR206" s="92">
        <f>AR205-AO205</f>
        <v>-14.529999999999745</v>
      </c>
      <c r="AS206" s="92">
        <f>AS205-AR205</f>
        <v>-35.353000000000293</v>
      </c>
      <c r="AT206" s="92">
        <f>AT205-AS205</f>
        <v>-4.8010000000001583</v>
      </c>
      <c r="AU206" s="92">
        <f>AU205-AR205</f>
        <v>-40.154000000000451</v>
      </c>
      <c r="AV206" s="92">
        <f>AV205-AU205</f>
        <v>171.54700000000025</v>
      </c>
      <c r="AW206" s="92">
        <f>AW205-AV205</f>
        <v>-60.516999999999598</v>
      </c>
      <c r="AX206" s="93">
        <f>AX205-AU205</f>
        <v>111.03000000000065</v>
      </c>
      <c r="AY206" s="92">
        <f>AY205-AX205</f>
        <v>168.15818489831486</v>
      </c>
      <c r="AZ206" s="92">
        <f>AZ205-AY205</f>
        <v>-80.972193839262445</v>
      </c>
      <c r="BA206" s="92">
        <f>BA205-AX205</f>
        <v>87.185991059052412</v>
      </c>
      <c r="BB206" s="92">
        <f>BB205-BA205</f>
        <v>195.74303620991168</v>
      </c>
      <c r="BC206" s="92">
        <f>BC205-BB205</f>
        <v>-87.228303169102219</v>
      </c>
      <c r="BD206" s="92">
        <f>BD205-BA205</f>
        <v>108.51473304080946</v>
      </c>
      <c r="BE206" s="92">
        <f>BE205-BD205</f>
        <v>226.06974749244182</v>
      </c>
      <c r="BF206" s="92">
        <f>BF205-BE205</f>
        <v>-99.220689131583185</v>
      </c>
      <c r="BG206" s="92">
        <f>BG205-BD205</f>
        <v>126.84905836085863</v>
      </c>
      <c r="BH206" s="92">
        <f>BH205-BG205</f>
        <v>202.87691707395061</v>
      </c>
      <c r="BI206" s="92">
        <f>BI205-BH205</f>
        <v>-103.66874774305415</v>
      </c>
      <c r="BJ206" s="92">
        <f>BJ205-BG205</f>
        <v>99.208169330896453</v>
      </c>
      <c r="BK206" s="92">
        <f>BK205-BJ205</f>
        <v>169.3185879252942</v>
      </c>
      <c r="BL206" s="92">
        <f>BL205-BK205</f>
        <v>-93.860862542831455</v>
      </c>
      <c r="BM206" s="92">
        <f>BM205-BJ205</f>
        <v>75.457725382462741</v>
      </c>
    </row>
    <row r="207" spans="1:73">
      <c r="C207" s="3"/>
      <c r="E207" s="92"/>
      <c r="F207" s="3"/>
      <c r="H207" s="92"/>
      <c r="I207" s="3"/>
      <c r="K207" s="92"/>
      <c r="L207" s="3"/>
      <c r="N207" s="92"/>
      <c r="O207" s="3"/>
      <c r="Q207" s="92"/>
      <c r="R207" s="3"/>
      <c r="T207" s="92"/>
      <c r="U207" s="3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3"/>
      <c r="AY207" s="92"/>
      <c r="AZ207" s="92"/>
      <c r="BA207" s="92"/>
      <c r="BB207" s="92"/>
      <c r="BC207" s="92"/>
      <c r="BD207" s="92"/>
      <c r="BE207" s="92"/>
      <c r="BF207" s="92"/>
      <c r="BG207" s="92"/>
      <c r="BH207" s="92"/>
      <c r="BI207" s="92"/>
      <c r="BJ207" s="92"/>
      <c r="BK207" s="92"/>
      <c r="BL207" s="92"/>
      <c r="BM207" s="92"/>
    </row>
    <row r="208" spans="1:73">
      <c r="A208" s="58" t="s">
        <v>143</v>
      </c>
      <c r="C208" s="3"/>
      <c r="E208" s="92"/>
      <c r="F208" s="3"/>
      <c r="H208" s="92"/>
      <c r="I208" s="3"/>
      <c r="K208" s="92"/>
      <c r="L208" s="3"/>
      <c r="N208" s="92"/>
      <c r="O208" s="3"/>
      <c r="Q208" s="92"/>
      <c r="R208" s="3"/>
      <c r="T208" s="92"/>
      <c r="U208" s="3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3"/>
      <c r="AY208" s="92"/>
      <c r="AZ208" s="92"/>
      <c r="BA208" s="92"/>
      <c r="BB208" s="92"/>
      <c r="BC208" s="92"/>
      <c r="BD208" s="92"/>
      <c r="BE208" s="92"/>
      <c r="BF208" s="92"/>
      <c r="BG208" s="92"/>
      <c r="BH208" s="92"/>
      <c r="BI208" s="92"/>
      <c r="BJ208" s="92"/>
      <c r="BK208" s="92"/>
      <c r="BL208" s="92"/>
      <c r="BM208" s="92"/>
    </row>
    <row r="209" spans="1:65">
      <c r="A209" s="6" t="s">
        <v>144</v>
      </c>
      <c r="B209" s="52" t="s">
        <v>145</v>
      </c>
      <c r="C209" s="76"/>
      <c r="D209" s="65"/>
      <c r="E209" s="92"/>
      <c r="F209" s="76"/>
      <c r="G209" s="65"/>
      <c r="H209" s="92"/>
      <c r="I209" s="76"/>
      <c r="J209" s="65">
        <f>(J181-J159)/J225</f>
        <v>1.4195722891566265</v>
      </c>
      <c r="K209" s="92">
        <f>(K181-K159)/K225</f>
        <v>1.4195722891566265</v>
      </c>
      <c r="L209" s="76"/>
      <c r="M209" s="65">
        <f>(M181-M159)/M225</f>
        <v>1.5310542168674701</v>
      </c>
      <c r="N209" s="92">
        <f>(N181-N159)/N225</f>
        <v>1.5310542168674701</v>
      </c>
      <c r="O209" s="76"/>
      <c r="P209" s="65">
        <f>(P181-P159)/P225</f>
        <v>1.235190763052209</v>
      </c>
      <c r="Q209" s="92">
        <f>(Q181-Q159)/Q225</f>
        <v>1.235190763052209</v>
      </c>
      <c r="R209" s="76"/>
      <c r="S209" s="65">
        <f>(S181-S159)/S225</f>
        <v>1.4344759036144583</v>
      </c>
      <c r="T209" s="92">
        <f>(T181-T159)/T225</f>
        <v>1.4344759036144583</v>
      </c>
      <c r="U209" s="76"/>
      <c r="V209" s="65">
        <f t="shared" ref="V209:AP209" si="334">(V181-V159)/V225</f>
        <v>1.6860120481927712</v>
      </c>
      <c r="W209" s="92">
        <f t="shared" si="334"/>
        <v>1.6860120481927712</v>
      </c>
      <c r="X209" s="92">
        <f t="shared" si="334"/>
        <v>1.7572951807228916</v>
      </c>
      <c r="Y209" s="92">
        <f t="shared" si="334"/>
        <v>1.9139196787148594</v>
      </c>
      <c r="Z209" s="92">
        <f t="shared" si="334"/>
        <v>1.9139196787148594</v>
      </c>
      <c r="AA209" s="92">
        <f t="shared" si="334"/>
        <v>1.9451606425702812</v>
      </c>
      <c r="AB209" s="92">
        <f t="shared" si="334"/>
        <v>3.3234879518072291</v>
      </c>
      <c r="AC209" s="92">
        <f t="shared" si="334"/>
        <v>3.2882547642131699</v>
      </c>
      <c r="AD209" s="92">
        <f t="shared" si="334"/>
        <v>0.36313249038326056</v>
      </c>
      <c r="AE209" s="92">
        <f t="shared" si="334"/>
        <v>0.39123583863214861</v>
      </c>
      <c r="AF209" s="92">
        <f t="shared" si="334"/>
        <v>0.39123583863214861</v>
      </c>
      <c r="AG209" s="92">
        <f t="shared" si="334"/>
        <v>0.12912276907830444</v>
      </c>
      <c r="AH209" s="92">
        <f t="shared" si="334"/>
        <v>1.2909172332667769</v>
      </c>
      <c r="AI209" s="92">
        <f t="shared" si="334"/>
        <v>1.3567569262282233</v>
      </c>
      <c r="AJ209" s="92">
        <f t="shared" si="334"/>
        <v>1.4497119705784243</v>
      </c>
      <c r="AK209" s="92">
        <f>(AK181-AK159)/AK225</f>
        <v>1.7144057587998418</v>
      </c>
      <c r="AL209" s="92">
        <f>(AL181-AL159)/AL225</f>
        <v>1.7144062391638173</v>
      </c>
      <c r="AM209" s="92">
        <f>(AM181-AM159)/AM225</f>
        <v>1.8693739498862429</v>
      </c>
      <c r="AN209" s="92">
        <f t="shared" si="334"/>
        <v>2.1897269958070393</v>
      </c>
      <c r="AO209" s="92">
        <f t="shared" si="334"/>
        <v>2.1897269958070393</v>
      </c>
      <c r="AP209" s="92">
        <f t="shared" si="334"/>
        <v>2.3534090225655229</v>
      </c>
      <c r="AQ209" s="92">
        <f>(AQ181-AQ159)/AQ225</f>
        <v>2.4848750466532752</v>
      </c>
      <c r="AR209" s="92">
        <f>(AR181-AR159)/AR225</f>
        <v>2.4848750466532752</v>
      </c>
      <c r="AS209" s="92">
        <f t="shared" ref="AS209" si="335">(AS181-AS159)/AS225</f>
        <v>2.6638145576804839</v>
      </c>
      <c r="AT209" s="92">
        <f>(AT181-AT159)/AT225</f>
        <v>2.9438782384342472</v>
      </c>
      <c r="AU209" s="92">
        <f>(AU181-AU159)/AU225</f>
        <v>2.9438782384342472</v>
      </c>
      <c r="AV209" s="92">
        <f t="shared" ref="AV209" si="336">(AV181-AV159)/AV225</f>
        <v>3.1271973499390611</v>
      </c>
      <c r="AW209" s="92">
        <f>(AW181-AW159)/AW225</f>
        <v>3.1509339062616442</v>
      </c>
      <c r="AX209" s="93">
        <f>(AX181-AX159)/AX225</f>
        <v>3.1509339062616442</v>
      </c>
      <c r="AY209" s="92">
        <f t="shared" ref="AY209:BM209" si="337">(AY181-AY159)/AY225</f>
        <v>3.3219375723153455</v>
      </c>
      <c r="AZ209" s="92">
        <f t="shared" si="337"/>
        <v>3.5714385666764756</v>
      </c>
      <c r="BA209" s="92">
        <f t="shared" si="337"/>
        <v>3.4918122540177174</v>
      </c>
      <c r="BB209" s="92">
        <f t="shared" si="337"/>
        <v>3.7397114533570446</v>
      </c>
      <c r="BC209" s="92">
        <f t="shared" si="337"/>
        <v>3.955976183542393</v>
      </c>
      <c r="BD209" s="92">
        <f t="shared" si="337"/>
        <v>3.955976183542393</v>
      </c>
      <c r="BE209" s="92">
        <f t="shared" si="337"/>
        <v>4.1530624505953435</v>
      </c>
      <c r="BF209" s="92">
        <f t="shared" si="337"/>
        <v>4.3957435997953036</v>
      </c>
      <c r="BG209" s="92">
        <f t="shared" si="337"/>
        <v>4.3957435997953036</v>
      </c>
      <c r="BH209" s="92">
        <f t="shared" si="337"/>
        <v>4.5968349237311426</v>
      </c>
      <c r="BI209" s="92">
        <f t="shared" si="337"/>
        <v>4.8829617354709862</v>
      </c>
      <c r="BJ209" s="92">
        <f t="shared" si="337"/>
        <v>4.8829617354709862</v>
      </c>
      <c r="BK209" s="92">
        <f t="shared" si="337"/>
        <v>5.079260874003352</v>
      </c>
      <c r="BL209" s="92">
        <f t="shared" si="337"/>
        <v>5.3827263184634715</v>
      </c>
      <c r="BM209" s="92">
        <f t="shared" si="337"/>
        <v>5.3827263184634715</v>
      </c>
    </row>
    <row r="210" spans="1:65">
      <c r="A210" s="6" t="s">
        <v>146</v>
      </c>
      <c r="B210" s="52" t="s">
        <v>172</v>
      </c>
      <c r="C210" s="42">
        <f t="shared" ref="C210:AH210" si="338">C109+C177+SUM(C183:C185)</f>
        <v>558.86200000000008</v>
      </c>
      <c r="D210" s="25">
        <f t="shared" si="338"/>
        <v>596.46799999999996</v>
      </c>
      <c r="E210" s="92">
        <f t="shared" si="338"/>
        <v>596.46799999999996</v>
      </c>
      <c r="F210" s="42">
        <f t="shared" si="338"/>
        <v>527.51400000000012</v>
      </c>
      <c r="G210" s="25">
        <f t="shared" si="338"/>
        <v>530.17499999999995</v>
      </c>
      <c r="H210" s="92">
        <f t="shared" si="338"/>
        <v>530.17499999999995</v>
      </c>
      <c r="I210" s="42">
        <f t="shared" si="338"/>
        <v>543.98400000000004</v>
      </c>
      <c r="J210" s="25">
        <f t="shared" si="338"/>
        <v>551.44799999999998</v>
      </c>
      <c r="K210" s="92">
        <f t="shared" si="338"/>
        <v>551.44799999999998</v>
      </c>
      <c r="L210" s="42">
        <f t="shared" si="338"/>
        <v>597.38199999999995</v>
      </c>
      <c r="M210" s="25">
        <f t="shared" si="338"/>
        <v>620.53200000000004</v>
      </c>
      <c r="N210" s="92">
        <f t="shared" si="338"/>
        <v>620.53200000000004</v>
      </c>
      <c r="O210" s="42">
        <f t="shared" si="338"/>
        <v>651.45000000000005</v>
      </c>
      <c r="P210" s="25">
        <f t="shared" si="338"/>
        <v>960.15299999999991</v>
      </c>
      <c r="Q210" s="92">
        <f t="shared" si="338"/>
        <v>960.15299999999991</v>
      </c>
      <c r="R210" s="42">
        <f t="shared" si="338"/>
        <v>1006.9760000000001</v>
      </c>
      <c r="S210" s="25">
        <f t="shared" si="338"/>
        <v>1018.1070000000001</v>
      </c>
      <c r="T210" s="92">
        <f t="shared" si="338"/>
        <v>1018.1070000000001</v>
      </c>
      <c r="U210" s="42">
        <f t="shared" si="338"/>
        <v>1058.6199999999999</v>
      </c>
      <c r="V210" s="25">
        <f t="shared" si="338"/>
        <v>1083.9209999999998</v>
      </c>
      <c r="W210" s="92">
        <f t="shared" si="338"/>
        <v>1083.9209999999998</v>
      </c>
      <c r="X210" s="92">
        <f t="shared" si="338"/>
        <v>1143.7620000000002</v>
      </c>
      <c r="Y210" s="92">
        <f t="shared" si="338"/>
        <v>1159.5800000000002</v>
      </c>
      <c r="Z210" s="92">
        <f t="shared" si="338"/>
        <v>1159.5800000000002</v>
      </c>
      <c r="AA210" s="92">
        <f t="shared" si="338"/>
        <v>1244.0320000000002</v>
      </c>
      <c r="AB210" s="92">
        <f t="shared" si="338"/>
        <v>1344.95</v>
      </c>
      <c r="AC210" s="92">
        <f t="shared" si="338"/>
        <v>1344.95</v>
      </c>
      <c r="AD210" s="92">
        <f t="shared" si="338"/>
        <v>3563.1589999999997</v>
      </c>
      <c r="AE210" s="92">
        <f t="shared" si="338"/>
        <v>3478.1780000000003</v>
      </c>
      <c r="AF210" s="92">
        <f t="shared" si="338"/>
        <v>3478.1780000000003</v>
      </c>
      <c r="AG210" s="92">
        <f t="shared" si="338"/>
        <v>3659.8379999999997</v>
      </c>
      <c r="AH210" s="92">
        <f t="shared" si="338"/>
        <v>3515.8539999999998</v>
      </c>
      <c r="AI210" s="92">
        <f t="shared" ref="AI210:BM210" si="339">AI109+AI177+SUM(AI183:AI185)</f>
        <v>3515.8539999999998</v>
      </c>
      <c r="AJ210" s="92">
        <f t="shared" si="339"/>
        <v>3318.1079999999993</v>
      </c>
      <c r="AK210" s="92">
        <f>AK109+AK177+SUM(AK183:AK185)</f>
        <v>3399.7170000000001</v>
      </c>
      <c r="AL210" s="92">
        <f>AL109+AL177+SUM(AL183:AL185)</f>
        <v>3399.7170000000001</v>
      </c>
      <c r="AM210" s="92">
        <f>AM109+AM177+SUM(AM183:AM185)</f>
        <v>3947.326</v>
      </c>
      <c r="AN210" s="92">
        <f t="shared" si="339"/>
        <v>4195.1979999999994</v>
      </c>
      <c r="AO210" s="92">
        <f t="shared" si="339"/>
        <v>4195.1979999999994</v>
      </c>
      <c r="AP210" s="92">
        <f t="shared" ref="AP210:AU210" si="340">AP109+AP177+SUM(AP183:AP185)</f>
        <v>4423.3249999999998</v>
      </c>
      <c r="AQ210" s="92">
        <f t="shared" si="340"/>
        <v>4356.2719999999999</v>
      </c>
      <c r="AR210" s="92">
        <f t="shared" si="340"/>
        <v>4356.2719999999999</v>
      </c>
      <c r="AS210" s="92">
        <f t="shared" si="340"/>
        <v>4305.1239999999998</v>
      </c>
      <c r="AT210" s="92">
        <f t="shared" si="340"/>
        <v>4416.2860000000001</v>
      </c>
      <c r="AU210" s="92">
        <f t="shared" si="340"/>
        <v>4416.2860000000001</v>
      </c>
      <c r="AV210" s="92">
        <f t="shared" ref="AV210:AX210" si="341">AV109+AV177+SUM(AV183:AV185)</f>
        <v>4751.991</v>
      </c>
      <c r="AW210" s="92">
        <f t="shared" si="341"/>
        <v>4646.0829999999996</v>
      </c>
      <c r="AX210" s="93">
        <f t="shared" si="341"/>
        <v>4646.0829999999996</v>
      </c>
      <c r="AY210" s="92">
        <f t="shared" si="339"/>
        <v>4844.3071748983139</v>
      </c>
      <c r="AZ210" s="92">
        <f t="shared" si="339"/>
        <v>4786.4831810590522</v>
      </c>
      <c r="BA210" s="92">
        <f t="shared" si="339"/>
        <v>4786.4831810590522</v>
      </c>
      <c r="BB210" s="92">
        <f t="shared" si="339"/>
        <v>5009.4503684689644</v>
      </c>
      <c r="BC210" s="92">
        <f t="shared" si="339"/>
        <v>4941.9148567498614</v>
      </c>
      <c r="BD210" s="92">
        <f t="shared" si="339"/>
        <v>4941.9148567498614</v>
      </c>
      <c r="BE210" s="92">
        <f t="shared" si="339"/>
        <v>5192.2798756083021</v>
      </c>
      <c r="BF210" s="92">
        <f t="shared" si="339"/>
        <v>5109.1594787142185</v>
      </c>
      <c r="BG210" s="92">
        <f t="shared" si="339"/>
        <v>5109.1594787142194</v>
      </c>
      <c r="BH210" s="92">
        <f t="shared" si="339"/>
        <v>5279.0021433127504</v>
      </c>
      <c r="BI210" s="92">
        <f t="shared" si="339"/>
        <v>5117.3881857784509</v>
      </c>
      <c r="BJ210" s="92">
        <f t="shared" si="339"/>
        <v>5117.3881857784509</v>
      </c>
      <c r="BK210" s="92">
        <f t="shared" si="339"/>
        <v>5234.5585904307645</v>
      </c>
      <c r="BL210" s="92">
        <f t="shared" si="339"/>
        <v>5078.8678312013762</v>
      </c>
      <c r="BM210" s="92">
        <f t="shared" si="339"/>
        <v>5078.8678312013762</v>
      </c>
    </row>
    <row r="211" spans="1:65">
      <c r="A211" s="6" t="s">
        <v>42</v>
      </c>
      <c r="B211" s="52" t="s">
        <v>76</v>
      </c>
      <c r="C211" s="75">
        <f t="shared" ref="C211:AH211" si="342">C109/(C109+C187)</f>
        <v>0</v>
      </c>
      <c r="D211" s="30">
        <f t="shared" si="342"/>
        <v>0</v>
      </c>
      <c r="E211" s="27">
        <f t="shared" si="342"/>
        <v>0</v>
      </c>
      <c r="F211" s="75">
        <f t="shared" si="342"/>
        <v>-0.17214695411392403</v>
      </c>
      <c r="G211" s="30">
        <f t="shared" si="342"/>
        <v>-0.23822130714773684</v>
      </c>
      <c r="H211" s="27">
        <f t="shared" si="342"/>
        <v>-0.23822130714773684</v>
      </c>
      <c r="I211" s="75">
        <f t="shared" si="342"/>
        <v>-0.23993396905029782</v>
      </c>
      <c r="J211" s="30">
        <f t="shared" si="342"/>
        <v>-0.28721411052663204</v>
      </c>
      <c r="K211" s="27">
        <f t="shared" si="342"/>
        <v>-0.28721411052663204</v>
      </c>
      <c r="L211" s="75">
        <f t="shared" si="342"/>
        <v>-0.2135918740504712</v>
      </c>
      <c r="M211" s="30">
        <f t="shared" si="342"/>
        <v>-0.23823059100485211</v>
      </c>
      <c r="N211" s="27">
        <f t="shared" si="342"/>
        <v>-0.23823059100485211</v>
      </c>
      <c r="O211" s="75">
        <f t="shared" si="342"/>
        <v>-0.20948398672426671</v>
      </c>
      <c r="P211" s="30">
        <f t="shared" si="342"/>
        <v>0.13676129952201657</v>
      </c>
      <c r="Q211" s="27">
        <f t="shared" si="342"/>
        <v>0.13676129952201657</v>
      </c>
      <c r="R211" s="75">
        <f t="shared" si="342"/>
        <v>0.1383657564311202</v>
      </c>
      <c r="S211" s="30">
        <f t="shared" si="342"/>
        <v>8.8649394326714245E-2</v>
      </c>
      <c r="T211" s="27">
        <f t="shared" si="342"/>
        <v>8.8649394326714245E-2</v>
      </c>
      <c r="U211" s="75">
        <f t="shared" si="342"/>
        <v>8.6627807952158367E-2</v>
      </c>
      <c r="V211" s="30">
        <f t="shared" si="342"/>
        <v>3.6892302084460864E-2</v>
      </c>
      <c r="W211" s="27">
        <f t="shared" si="342"/>
        <v>3.6892302084460864E-2</v>
      </c>
      <c r="X211" s="27">
        <f t="shared" si="342"/>
        <v>5.6295715778474385E-2</v>
      </c>
      <c r="Y211" s="27">
        <f t="shared" si="342"/>
        <v>-1.560749021181229E-3</v>
      </c>
      <c r="Z211" s="27">
        <f t="shared" si="342"/>
        <v>-1.560749021181229E-3</v>
      </c>
      <c r="AA211" s="27">
        <f t="shared" si="342"/>
        <v>4.0088356365300865E-2</v>
      </c>
      <c r="AB211" s="27">
        <f t="shared" si="342"/>
        <v>-0.40261919374889532</v>
      </c>
      <c r="AC211" s="27">
        <f t="shared" si="342"/>
        <v>-0.40261919374889532</v>
      </c>
      <c r="AD211" s="27">
        <f t="shared" si="342"/>
        <v>0.44818798632277129</v>
      </c>
      <c r="AE211" s="27">
        <f t="shared" si="342"/>
        <v>0.42658148031913212</v>
      </c>
      <c r="AF211" s="27">
        <f t="shared" si="342"/>
        <v>0.42658148031913212</v>
      </c>
      <c r="AG211" s="27">
        <f t="shared" si="342"/>
        <v>0.4472823633383769</v>
      </c>
      <c r="AH211" s="27">
        <f t="shared" si="342"/>
        <v>0.21664819778886227</v>
      </c>
      <c r="AI211" s="27">
        <f t="shared" ref="AI211:BM211" si="343">AI109/(AI109+AI187)</f>
        <v>0.21664819778886227</v>
      </c>
      <c r="AJ211" s="27">
        <f t="shared" si="343"/>
        <v>0.1844792636744132</v>
      </c>
      <c r="AK211" s="27">
        <f t="shared" si="343"/>
        <v>0.14924476229387712</v>
      </c>
      <c r="AL211" s="27">
        <f>AL109/(AL109+AL187)</f>
        <v>0.14924476229387712</v>
      </c>
      <c r="AM211" s="27">
        <f>AM109/(AM109+AM187)</f>
        <v>0.22778137403712692</v>
      </c>
      <c r="AN211" s="27">
        <f t="shared" si="343"/>
        <v>0.20751948347609364</v>
      </c>
      <c r="AO211" s="27">
        <f t="shared" si="343"/>
        <v>0.20751948347609364</v>
      </c>
      <c r="AP211" s="27">
        <f t="shared" si="343"/>
        <v>0.22456723293187147</v>
      </c>
      <c r="AQ211" s="27">
        <f>AQ109/(AQ109+AQ187)</f>
        <v>0.16660904490084152</v>
      </c>
      <c r="AR211" s="27">
        <f>AR109/(AR109+AR187)</f>
        <v>0.16660904490084152</v>
      </c>
      <c r="AS211" s="27">
        <f t="shared" ref="AS211" si="344">AS109/(AS109+AS187)</f>
        <v>0.1424909878779955</v>
      </c>
      <c r="AT211" s="27">
        <f>AT109/(AT109+AT187)</f>
        <v>0.11765833690171816</v>
      </c>
      <c r="AU211" s="27">
        <f>AU109/(AU109+AU187)</f>
        <v>0.11765833690171816</v>
      </c>
      <c r="AV211" s="27">
        <f t="shared" ref="AV211" si="345">AV109/(AV109+AV187)</f>
        <v>0.13624448221039129</v>
      </c>
      <c r="AW211" s="27">
        <f>AW109/(AW109+AW187)</f>
        <v>0.12734331485186276</v>
      </c>
      <c r="AX211" s="402">
        <f>AX109/(AX109+AX187)</f>
        <v>0.12734331485186276</v>
      </c>
      <c r="AY211" s="27">
        <f t="shared" si="343"/>
        <v>0.14999492781434895</v>
      </c>
      <c r="AZ211" s="27">
        <f t="shared" si="343"/>
        <v>0.11729136526166981</v>
      </c>
      <c r="BA211" s="27">
        <f t="shared" si="343"/>
        <v>0.11729136526166981</v>
      </c>
      <c r="BB211" s="27">
        <f t="shared" si="343"/>
        <v>0.13592424604737385</v>
      </c>
      <c r="BC211" s="27">
        <f t="shared" si="343"/>
        <v>9.7073364862514888E-2</v>
      </c>
      <c r="BD211" s="27">
        <f t="shared" si="343"/>
        <v>9.7073364862514888E-2</v>
      </c>
      <c r="BE211" s="27">
        <f t="shared" si="343"/>
        <v>0.11726713124203751</v>
      </c>
      <c r="BF211" s="27">
        <f t="shared" si="343"/>
        <v>7.3553395325445886E-2</v>
      </c>
      <c r="BG211" s="27">
        <f t="shared" si="343"/>
        <v>7.3553395325445872E-2</v>
      </c>
      <c r="BH211" s="27">
        <f t="shared" si="343"/>
        <v>7.9904696849538784E-2</v>
      </c>
      <c r="BI211" s="27">
        <f t="shared" si="343"/>
        <v>1.6270348363027251E-2</v>
      </c>
      <c r="BJ211" s="27">
        <f t="shared" si="343"/>
        <v>1.6270348363027251E-2</v>
      </c>
      <c r="BK211" s="27">
        <f t="shared" si="343"/>
        <v>1.5184684345902501E-2</v>
      </c>
      <c r="BL211" s="27">
        <f t="shared" si="343"/>
        <v>-5.1953631285823802E-2</v>
      </c>
      <c r="BM211" s="27">
        <f t="shared" si="343"/>
        <v>-5.1953631285823802E-2</v>
      </c>
    </row>
    <row r="212" spans="1:65">
      <c r="A212" s="6" t="s">
        <v>52</v>
      </c>
      <c r="B212" s="52" t="s">
        <v>76</v>
      </c>
      <c r="C212" s="75">
        <f t="shared" ref="C212:AH212" si="346">C109/C187</f>
        <v>0</v>
      </c>
      <c r="D212" s="30">
        <f t="shared" si="346"/>
        <v>0</v>
      </c>
      <c r="E212" s="27">
        <f t="shared" si="346"/>
        <v>0</v>
      </c>
      <c r="F212" s="75">
        <f t="shared" si="346"/>
        <v>-0.14686465166311616</v>
      </c>
      <c r="G212" s="30">
        <f t="shared" si="346"/>
        <v>-0.19238992720653753</v>
      </c>
      <c r="H212" s="27">
        <f t="shared" si="346"/>
        <v>-0.19238992720653753</v>
      </c>
      <c r="I212" s="75">
        <f t="shared" si="346"/>
        <v>-0.19350544064380329</v>
      </c>
      <c r="J212" s="30">
        <f t="shared" si="346"/>
        <v>-0.22312846649041584</v>
      </c>
      <c r="K212" s="27">
        <f t="shared" si="346"/>
        <v>-0.22312846649041584</v>
      </c>
      <c r="L212" s="75">
        <f t="shared" si="346"/>
        <v>-0.17599975627522066</v>
      </c>
      <c r="M212" s="30">
        <f t="shared" si="346"/>
        <v>-0.19239598240867448</v>
      </c>
      <c r="N212" s="27">
        <f t="shared" si="346"/>
        <v>-0.19239598240867448</v>
      </c>
      <c r="O212" s="75">
        <f t="shared" si="346"/>
        <v>-0.17320112463136234</v>
      </c>
      <c r="P212" s="30">
        <f t="shared" si="346"/>
        <v>0.15842813748536821</v>
      </c>
      <c r="Q212" s="27">
        <f t="shared" si="346"/>
        <v>0.15842813748536821</v>
      </c>
      <c r="R212" s="75">
        <f t="shared" si="346"/>
        <v>0.16058525698562157</v>
      </c>
      <c r="S212" s="30">
        <f t="shared" si="346"/>
        <v>9.7272546673979582E-2</v>
      </c>
      <c r="T212" s="27">
        <f t="shared" si="346"/>
        <v>9.7272546673979582E-2</v>
      </c>
      <c r="U212" s="75">
        <f t="shared" si="346"/>
        <v>9.4843929677706759E-2</v>
      </c>
      <c r="V212" s="30">
        <f t="shared" si="346"/>
        <v>3.8305479402051437E-2</v>
      </c>
      <c r="W212" s="27">
        <f t="shared" si="346"/>
        <v>3.8305479402051437E-2</v>
      </c>
      <c r="X212" s="27">
        <f t="shared" si="346"/>
        <v>5.9653979238754318E-2</v>
      </c>
      <c r="Y212" s="27">
        <f t="shared" si="346"/>
        <v>-1.558316879636646E-3</v>
      </c>
      <c r="Z212" s="27">
        <f t="shared" si="346"/>
        <v>-1.558316879636646E-3</v>
      </c>
      <c r="AA212" s="27">
        <f t="shared" si="346"/>
        <v>4.1762548283617605E-2</v>
      </c>
      <c r="AB212" s="27">
        <f t="shared" si="346"/>
        <v>-0.28704811365997496</v>
      </c>
      <c r="AC212" s="27">
        <f t="shared" si="346"/>
        <v>-0.28704811365997496</v>
      </c>
      <c r="AD212" s="27">
        <f t="shared" si="346"/>
        <v>0.81221136041617559</v>
      </c>
      <c r="AE212" s="27">
        <f t="shared" si="346"/>
        <v>0.74392693238534235</v>
      </c>
      <c r="AF212" s="27">
        <f t="shared" si="346"/>
        <v>0.74392693238534235</v>
      </c>
      <c r="AG212" s="27">
        <f t="shared" si="346"/>
        <v>0.80924206804749699</v>
      </c>
      <c r="AH212" s="27">
        <f t="shared" si="346"/>
        <v>0.27656564672135497</v>
      </c>
      <c r="AI212" s="27">
        <f t="shared" ref="AI212:BM212" si="347">AI109/AI187</f>
        <v>0.27656564672135497</v>
      </c>
      <c r="AJ212" s="27">
        <f t="shared" si="347"/>
        <v>0.226210389824793</v>
      </c>
      <c r="AK212" s="27">
        <f t="shared" si="347"/>
        <v>0.17542620448189455</v>
      </c>
      <c r="AL212" s="27">
        <f>AL109/AL187</f>
        <v>0.17542620448189455</v>
      </c>
      <c r="AM212" s="27">
        <f>AM109/AM187</f>
        <v>0.29497005948685606</v>
      </c>
      <c r="AN212" s="27">
        <f t="shared" si="347"/>
        <v>0.26186067562436222</v>
      </c>
      <c r="AO212" s="27">
        <f t="shared" si="347"/>
        <v>0.26186067562436222</v>
      </c>
      <c r="AP212" s="27">
        <f t="shared" si="347"/>
        <v>0.28960245487297198</v>
      </c>
      <c r="AQ212" s="27">
        <f>AQ109/AQ187</f>
        <v>0.19991703039423803</v>
      </c>
      <c r="AR212" s="27">
        <f>AR109/AR187</f>
        <v>0.19991703039423803</v>
      </c>
      <c r="AS212" s="27">
        <f t="shared" ref="AS212" si="348">AS109/AS187</f>
        <v>0.16616850186260454</v>
      </c>
      <c r="AT212" s="27">
        <f>AT109/AT187</f>
        <v>0.13334781958336756</v>
      </c>
      <c r="AU212" s="27">
        <f>AU109/AU187</f>
        <v>0.13334781958336756</v>
      </c>
      <c r="AV212" s="27">
        <f t="shared" ref="AV212" si="349">AV109/AV187</f>
        <v>0.15773500649703212</v>
      </c>
      <c r="AW212" s="27">
        <f>AW109/AW187</f>
        <v>0.14592601766437588</v>
      </c>
      <c r="AX212" s="402">
        <f>AX109/AX187</f>
        <v>0.14592601766437588</v>
      </c>
      <c r="AY212" s="27">
        <f t="shared" si="347"/>
        <v>0.17646356795102547</v>
      </c>
      <c r="AZ212" s="27">
        <f t="shared" si="347"/>
        <v>0.13287664881225458</v>
      </c>
      <c r="BA212" s="27">
        <f t="shared" si="347"/>
        <v>0.13287664881225458</v>
      </c>
      <c r="BB212" s="27">
        <f t="shared" si="347"/>
        <v>0.15730593692231531</v>
      </c>
      <c r="BC212" s="27">
        <f t="shared" si="347"/>
        <v>0.10750969246547248</v>
      </c>
      <c r="BD212" s="27">
        <f t="shared" si="347"/>
        <v>0.10750969246547248</v>
      </c>
      <c r="BE212" s="27">
        <f t="shared" si="347"/>
        <v>0.13284554749506119</v>
      </c>
      <c r="BF212" s="27">
        <f t="shared" si="347"/>
        <v>7.9393021631596367E-2</v>
      </c>
      <c r="BG212" s="27">
        <f t="shared" si="347"/>
        <v>7.9393021631596353E-2</v>
      </c>
      <c r="BH212" s="27">
        <f t="shared" si="347"/>
        <v>8.6843935161868918E-2</v>
      </c>
      <c r="BI212" s="27">
        <f t="shared" si="347"/>
        <v>1.6539450992406932E-2</v>
      </c>
      <c r="BJ212" s="27">
        <f t="shared" si="347"/>
        <v>1.6539450992406932E-2</v>
      </c>
      <c r="BK212" s="27">
        <f t="shared" si="347"/>
        <v>1.5418814172093877E-2</v>
      </c>
      <c r="BL212" s="27">
        <f t="shared" si="347"/>
        <v>-4.9387757920774371E-2</v>
      </c>
      <c r="BM212" s="27">
        <f t="shared" si="347"/>
        <v>-4.9387757920774371E-2</v>
      </c>
    </row>
    <row r="213" spans="1:65">
      <c r="B213" s="52"/>
      <c r="C213" s="3"/>
      <c r="F213" s="3"/>
      <c r="I213" s="3"/>
      <c r="L213" s="3"/>
      <c r="O213" s="3"/>
      <c r="R213" s="3"/>
      <c r="U213" s="3"/>
    </row>
    <row r="214" spans="1:65">
      <c r="A214" s="58" t="s">
        <v>186</v>
      </c>
      <c r="B214" s="52"/>
      <c r="C214" s="3"/>
      <c r="F214" s="3"/>
      <c r="I214" s="3"/>
      <c r="L214" s="3"/>
      <c r="O214" s="3"/>
      <c r="R214" s="3"/>
      <c r="U214" s="3"/>
    </row>
    <row r="215" spans="1:65">
      <c r="A215" s="6" t="s">
        <v>187</v>
      </c>
      <c r="B215" s="52" t="s">
        <v>76</v>
      </c>
      <c r="C215" s="27">
        <f t="shared" ref="C215:AH215" si="350">C27/AVERAGE(C163,B163)*2</f>
        <v>0.23187570678441005</v>
      </c>
      <c r="D215" s="27">
        <f t="shared" si="350"/>
        <v>0.22121272019068663</v>
      </c>
      <c r="E215" s="27">
        <f t="shared" si="350"/>
        <v>0.43220058121839428</v>
      </c>
      <c r="F215" s="27">
        <f t="shared" si="350"/>
        <v>0.22948978337530349</v>
      </c>
      <c r="G215" s="27">
        <f t="shared" si="350"/>
        <v>0.21997433307471226</v>
      </c>
      <c r="H215" s="27">
        <f t="shared" si="350"/>
        <v>0.42416575071214807</v>
      </c>
      <c r="I215" s="27">
        <f t="shared" si="350"/>
        <v>0.20915797955380974</v>
      </c>
      <c r="J215" s="27">
        <f t="shared" si="350"/>
        <v>0.1977843986140867</v>
      </c>
      <c r="K215" s="27">
        <f t="shared" si="350"/>
        <v>0.38944716146643854</v>
      </c>
      <c r="L215" s="27">
        <f t="shared" si="350"/>
        <v>0.19323193071173686</v>
      </c>
      <c r="M215" s="27">
        <f t="shared" si="350"/>
        <v>0.21436415929713271</v>
      </c>
      <c r="N215" s="27">
        <f t="shared" si="350"/>
        <v>0.38822609435395639</v>
      </c>
      <c r="O215" s="27">
        <f t="shared" si="350"/>
        <v>0.19966835944453712</v>
      </c>
      <c r="P215" s="27">
        <f t="shared" si="350"/>
        <v>0.19316977140915925</v>
      </c>
      <c r="Q215" s="27">
        <f t="shared" si="350"/>
        <v>0.32638961521923554</v>
      </c>
      <c r="R215" s="27">
        <f t="shared" si="350"/>
        <v>0.20521923372218648</v>
      </c>
      <c r="S215" s="27">
        <f t="shared" si="350"/>
        <v>0.21095991142228959</v>
      </c>
      <c r="T215" s="27">
        <f t="shared" si="350"/>
        <v>0.39981541819486388</v>
      </c>
      <c r="U215" s="27">
        <f t="shared" si="350"/>
        <v>0.21081909461719295</v>
      </c>
      <c r="V215" s="27">
        <f t="shared" si="350"/>
        <v>0.23043199613008455</v>
      </c>
      <c r="W215" s="27">
        <f t="shared" si="350"/>
        <v>0.42009383204491269</v>
      </c>
      <c r="X215" s="27">
        <f t="shared" si="350"/>
        <v>0.20697269670265628</v>
      </c>
      <c r="Y215" s="27">
        <f t="shared" si="350"/>
        <v>0.23801533237728881</v>
      </c>
      <c r="Z215" s="27">
        <f t="shared" si="350"/>
        <v>0.42525531030021102</v>
      </c>
      <c r="AA215" s="27">
        <f t="shared" si="350"/>
        <v>0.21062170883351511</v>
      </c>
      <c r="AB215" s="27">
        <f t="shared" si="350"/>
        <v>0.19763557805214496</v>
      </c>
      <c r="AC215" s="27">
        <f t="shared" si="350"/>
        <v>0.32554457422124233</v>
      </c>
      <c r="AD215" s="27">
        <f t="shared" si="350"/>
        <v>0.15496832341981964</v>
      </c>
      <c r="AE215" s="27">
        <f t="shared" si="350"/>
        <v>0.11813591652102183</v>
      </c>
      <c r="AF215" s="27">
        <f t="shared" si="350"/>
        <v>0.23332014635312939</v>
      </c>
      <c r="AG215" s="27">
        <f t="shared" si="350"/>
        <v>0.12753016293531527</v>
      </c>
      <c r="AH215" s="27">
        <f t="shared" si="350"/>
        <v>0.11539737788815209</v>
      </c>
      <c r="AI215" s="27">
        <f t="shared" ref="AI215:BM215" si="351">AI27/AVERAGE(AI163,AH163)*2</f>
        <v>0.20479690284423505</v>
      </c>
      <c r="AJ215" s="27">
        <f t="shared" si="351"/>
        <v>0.11414730013128743</v>
      </c>
      <c r="AK215" s="27">
        <f>AK27/AVERAGE(AK163,AJ163)*2</f>
        <v>0.12335144367622354</v>
      </c>
      <c r="AL215" s="27">
        <f>AL27/AVERAGE(AL163,AK163)*2</f>
        <v>0.23540695601831235</v>
      </c>
      <c r="AM215" s="27">
        <f t="shared" si="351"/>
        <v>0.13139895763039916</v>
      </c>
      <c r="AN215" s="27">
        <f t="shared" si="351"/>
        <v>0.13435967452065967</v>
      </c>
      <c r="AO215" s="27">
        <f t="shared" si="351"/>
        <v>0.24821182479378964</v>
      </c>
      <c r="AP215" s="27">
        <f t="shared" si="351"/>
        <v>0.1490149581252129</v>
      </c>
      <c r="AQ215" s="27">
        <f>AQ27/AVERAGE(AQ163,AP163)*2</f>
        <v>0.139983063357492</v>
      </c>
      <c r="AR215" s="27">
        <f>AR27/AVERAGE(AR163,AQ163)*2</f>
        <v>0.27678232817073123</v>
      </c>
      <c r="AS215" s="27">
        <f t="shared" si="351"/>
        <v>0.1544302246271288</v>
      </c>
      <c r="AT215" s="27">
        <f>AT27/AVERAGE(AT163,AS163)*2</f>
        <v>0.13931883384288968</v>
      </c>
      <c r="AU215" s="27">
        <f>AU27/AVERAGE(AU163,AT163)*2</f>
        <v>0.2837887493060125</v>
      </c>
      <c r="AV215" s="27">
        <f t="shared" si="351"/>
        <v>0.13215479081983267</v>
      </c>
      <c r="AW215" s="27">
        <f>AW27/AVERAGE(AW163,AV163)*2</f>
        <v>0.11570250857434564</v>
      </c>
      <c r="AX215" s="402">
        <f>AX27/AVERAGE(AX163,AW163)*2</f>
        <v>0.2427240186085439</v>
      </c>
      <c r="AY215" s="27">
        <f t="shared" si="351"/>
        <v>0.11766005941211087</v>
      </c>
      <c r="AZ215" s="27">
        <f t="shared" si="351"/>
        <v>0.12111620871493962</v>
      </c>
      <c r="BA215" s="27">
        <f t="shared" si="351"/>
        <v>0.23782957588958378</v>
      </c>
      <c r="BB215" s="27">
        <f t="shared" si="351"/>
        <v>0.12957145039401441</v>
      </c>
      <c r="BC215" s="27">
        <f t="shared" si="351"/>
        <v>0.13267057987381042</v>
      </c>
      <c r="BD215" s="27">
        <f t="shared" si="351"/>
        <v>0.2610445169395601</v>
      </c>
      <c r="BE215" s="27">
        <f t="shared" si="351"/>
        <v>0.14113614556132756</v>
      </c>
      <c r="BF215" s="27">
        <f t="shared" si="351"/>
        <v>0.14343885918677982</v>
      </c>
      <c r="BG215" s="27">
        <f t="shared" si="351"/>
        <v>0.2833018338292827</v>
      </c>
      <c r="BH215" s="27">
        <f t="shared" si="351"/>
        <v>0.14672995026842664</v>
      </c>
      <c r="BI215" s="27">
        <f t="shared" si="351"/>
        <v>0.1497081275559102</v>
      </c>
      <c r="BJ215" s="27">
        <f t="shared" si="351"/>
        <v>0.29571811844055007</v>
      </c>
      <c r="BK215" s="27">
        <f t="shared" si="351"/>
        <v>0.15094346845120557</v>
      </c>
      <c r="BL215" s="27">
        <f t="shared" si="351"/>
        <v>0.15533876714623757</v>
      </c>
      <c r="BM215" s="27">
        <f t="shared" si="351"/>
        <v>0.30569759079908887</v>
      </c>
    </row>
    <row r="216" spans="1:65">
      <c r="A216" s="6" t="s">
        <v>71</v>
      </c>
      <c r="B216" s="52" t="s">
        <v>76</v>
      </c>
      <c r="C216" s="27">
        <f t="shared" ref="C216:AH216" si="352">C27/AVERAGE(C210,B210)*2</f>
        <v>0.3456166280763408</v>
      </c>
      <c r="D216" s="27">
        <f t="shared" si="352"/>
        <v>0.32935005582820498</v>
      </c>
      <c r="E216" s="27">
        <f t="shared" si="352"/>
        <v>0.64279391350416126</v>
      </c>
      <c r="F216" s="27">
        <f t="shared" si="352"/>
        <v>0.36210188419387496</v>
      </c>
      <c r="G216" s="27">
        <f t="shared" si="352"/>
        <v>0.38359101777554649</v>
      </c>
      <c r="H216" s="27">
        <f t="shared" si="352"/>
        <v>0.76646013108879152</v>
      </c>
      <c r="I216" s="27">
        <f t="shared" si="352"/>
        <v>0.37118527145422603</v>
      </c>
      <c r="J216" s="27">
        <f t="shared" si="352"/>
        <v>0.35336561283584922</v>
      </c>
      <c r="K216" s="27">
        <f t="shared" si="352"/>
        <v>0.71248785016900962</v>
      </c>
      <c r="L216" s="27">
        <f t="shared" si="352"/>
        <v>0.33899880748239514</v>
      </c>
      <c r="M216" s="27">
        <f t="shared" si="352"/>
        <v>0.36668927362687348</v>
      </c>
      <c r="N216" s="27">
        <f t="shared" si="352"/>
        <v>0.67365421928280889</v>
      </c>
      <c r="O216" s="27">
        <f t="shared" si="352"/>
        <v>0.33596701840120385</v>
      </c>
      <c r="P216" s="27">
        <f t="shared" si="352"/>
        <v>0.29249883501085561</v>
      </c>
      <c r="Q216" s="27">
        <f t="shared" si="352"/>
        <v>0.46801707644510826</v>
      </c>
      <c r="R216" s="27">
        <f t="shared" si="352"/>
        <v>0.28833696214127291</v>
      </c>
      <c r="S216" s="27">
        <f t="shared" si="352"/>
        <v>0.29665154465273769</v>
      </c>
      <c r="T216" s="27">
        <f t="shared" si="352"/>
        <v>0.57358411247540775</v>
      </c>
      <c r="U216" s="27">
        <f t="shared" si="352"/>
        <v>0.30066927429556217</v>
      </c>
      <c r="V216" s="27">
        <f t="shared" si="352"/>
        <v>0.33260880421891587</v>
      </c>
      <c r="W216" s="27">
        <f t="shared" si="352"/>
        <v>0.61675897044157291</v>
      </c>
      <c r="X216" s="27">
        <f t="shared" si="352"/>
        <v>0.2949432212751994</v>
      </c>
      <c r="Y216" s="27">
        <f t="shared" si="352"/>
        <v>0.33802014637860972</v>
      </c>
      <c r="Z216" s="27">
        <f t="shared" si="352"/>
        <v>0.61902412942617147</v>
      </c>
      <c r="AA216" s="27">
        <f t="shared" si="352"/>
        <v>0.29781678573746512</v>
      </c>
      <c r="AB216" s="27">
        <f t="shared" si="352"/>
        <v>0.30801913647912577</v>
      </c>
      <c r="AC216" s="27">
        <f t="shared" si="352"/>
        <v>0.56258299565039582</v>
      </c>
      <c r="AD216" s="27">
        <f t="shared" si="352"/>
        <v>0.21201077645178623</v>
      </c>
      <c r="AE216" s="27">
        <f t="shared" si="352"/>
        <v>0.14872573205912457</v>
      </c>
      <c r="AF216" s="27">
        <f t="shared" si="352"/>
        <v>0.30012840055914325</v>
      </c>
      <c r="AG216" s="27">
        <f t="shared" si="352"/>
        <v>0.1752341266816998</v>
      </c>
      <c r="AH216" s="27">
        <f t="shared" si="352"/>
        <v>0.18779958783069289</v>
      </c>
      <c r="AI216" s="27">
        <f t="shared" ref="AI216:BM216" si="353">AI27/AVERAGE(AI210,AH210)*2</f>
        <v>0.36952842751718362</v>
      </c>
      <c r="AJ216" s="27">
        <f t="shared" si="353"/>
        <v>0.20453845075521346</v>
      </c>
      <c r="AK216" s="27">
        <f>AK27/AVERAGE(AK210,AJ210)*2</f>
        <v>0.2207059576574264</v>
      </c>
      <c r="AL216" s="27">
        <f>AL27/AVERAGE(AL210,AK210)*2</f>
        <v>0.42363408483706144</v>
      </c>
      <c r="AM216" s="27">
        <f t="shared" si="353"/>
        <v>0.21631668686300054</v>
      </c>
      <c r="AN216" s="27">
        <f t="shared" si="353"/>
        <v>0.20765895194168296</v>
      </c>
      <c r="AO216" s="27">
        <f t="shared" si="353"/>
        <v>0.39094173862592424</v>
      </c>
      <c r="AP216" s="27">
        <f t="shared" si="353"/>
        <v>0.2266694652900503</v>
      </c>
      <c r="AQ216" s="27">
        <f>AQ27/AVERAGE(AQ210,AP210)*2</f>
        <v>0.21407406285277103</v>
      </c>
      <c r="AR216" s="27">
        <f>AR27/AVERAGE(AR210,AQ210)*2</f>
        <v>0.43994498047872127</v>
      </c>
      <c r="AS216" s="27">
        <f t="shared" si="353"/>
        <v>0.24297792180382927</v>
      </c>
      <c r="AT216" s="27">
        <f>AT27/AVERAGE(AT210,AS210)*2</f>
        <v>0.22041848737761441</v>
      </c>
      <c r="AU216" s="27">
        <f>AU27/AVERAGE(AU210,AT210)*2</f>
        <v>0.45591340778201411</v>
      </c>
      <c r="AV216" s="27">
        <f t="shared" si="353"/>
        <v>0.20723632150293889</v>
      </c>
      <c r="AW216" s="27">
        <f>AW27/AVERAGE(AW210,AV210)*2</f>
        <v>0.18097197361927561</v>
      </c>
      <c r="AX216" s="402">
        <f>AX27/AVERAGE(AX210,AW210)*2</f>
        <v>0.38750792872189327</v>
      </c>
      <c r="AY216" s="27">
        <f t="shared" si="353"/>
        <v>0.18397100839241418</v>
      </c>
      <c r="AZ216" s="27">
        <f t="shared" si="353"/>
        <v>0.18714697941338221</v>
      </c>
      <c r="BA216" s="27">
        <f t="shared" si="353"/>
        <v>0.37066148994692127</v>
      </c>
      <c r="BB216" s="27">
        <f t="shared" si="353"/>
        <v>0.19783757084126063</v>
      </c>
      <c r="BC216" s="27">
        <f t="shared" si="353"/>
        <v>0.20035293943591753</v>
      </c>
      <c r="BD216" s="27">
        <f t="shared" si="353"/>
        <v>0.39780015295728965</v>
      </c>
      <c r="BE216" s="27">
        <f t="shared" si="353"/>
        <v>0.21076609002068214</v>
      </c>
      <c r="BF216" s="27">
        <f t="shared" si="353"/>
        <v>0.21203403884826968</v>
      </c>
      <c r="BG216" s="27">
        <f t="shared" si="353"/>
        <v>0.42278973767541</v>
      </c>
      <c r="BH216" s="27">
        <f t="shared" si="353"/>
        <v>0.21568444205164108</v>
      </c>
      <c r="BI216" s="27">
        <f t="shared" si="353"/>
        <v>0.22044429610157043</v>
      </c>
      <c r="BJ216" s="27">
        <f t="shared" si="353"/>
        <v>0.44284209316762829</v>
      </c>
      <c r="BK216" s="27">
        <f t="shared" si="353"/>
        <v>0.22285046478480591</v>
      </c>
      <c r="BL216" s="27">
        <f t="shared" si="353"/>
        <v>0.23005434796528593</v>
      </c>
      <c r="BM216" s="27">
        <f t="shared" si="353"/>
        <v>0.46069172271760062</v>
      </c>
    </row>
    <row r="217" spans="1:65">
      <c r="A217" s="6" t="s">
        <v>72</v>
      </c>
      <c r="B217" s="52" t="s">
        <v>76</v>
      </c>
      <c r="C217" s="75">
        <f>C44*2/AVERAGE(SUM(B183:B185),SUM(C183:C185))</f>
        <v>0.41290886678324679</v>
      </c>
      <c r="D217" s="30">
        <f>D44*2/AVERAGE(SUM(C183:C185),SUM(D183:D185))</f>
        <v>0.19652055205598618</v>
      </c>
      <c r="E217" s="27">
        <f>E44/AVERAGE(SUM(B183:B185),SUM(E183:E185))</f>
        <v>0.38415387537802315</v>
      </c>
      <c r="F217" s="75">
        <f>F44*2/AVERAGE(SUM(E183:E185),SUM(F183:F185))</f>
        <v>0.19757367401631754</v>
      </c>
      <c r="G217" s="30">
        <f>G44*2/AVERAGE(SUM(F183:F185),SUM(G183:G185))</f>
        <v>0.18505343679662536</v>
      </c>
      <c r="H217" s="27">
        <f>H44/AVERAGE(SUM(E183:E185),SUM(H183:H185))</f>
        <v>0.18990095966339735</v>
      </c>
      <c r="I217" s="75">
        <f>I44*2/AVERAGE(SUM(H183:H185),SUM(I183:I185))</f>
        <v>0.17449184816202964</v>
      </c>
      <c r="J217" s="30">
        <f>J44*2/AVERAGE(SUM(I183:I185),SUM(J183:J185))</f>
        <v>0.16070452334030838</v>
      </c>
      <c r="K217" s="27">
        <f>K44/AVERAGE(SUM(H183:H185),SUM(K183:K185))</f>
        <v>0.16643354999471077</v>
      </c>
      <c r="L217" s="75">
        <f>L44*2/AVERAGE(SUM(K183:K185),SUM(L183:L185))</f>
        <v>0.15375561640308089</v>
      </c>
      <c r="M217" s="30">
        <f>M44*2/AVERAGE(SUM(L183:L185),SUM(M183:M185))</f>
        <v>0.17258282827875515</v>
      </c>
      <c r="N217" s="27">
        <f>N44/AVERAGE(SUM(K183:K185),SUM(N183:N185))</f>
        <v>0.16177715733317763</v>
      </c>
      <c r="O217" s="75">
        <f>O44*2/AVERAGE(SUM(N183:N185),SUM(O183:O185))</f>
        <v>0.15366088259336907</v>
      </c>
      <c r="P217" s="30">
        <f>P44*2/AVERAGE(SUM(O183:O185),SUM(P183:P185))</f>
        <v>0.15738340201402726</v>
      </c>
      <c r="Q217" s="27">
        <f>Q44/AVERAGE(SUM(N183:N185),SUM(Q183:Q185))</f>
        <v>0.15447639377197389</v>
      </c>
      <c r="R217" s="75">
        <f>R44*2/AVERAGE(SUM(Q183:Q185),SUM(R183:R185))</f>
        <v>0.18970849661386743</v>
      </c>
      <c r="S217" s="30">
        <f>S44*2/AVERAGE(SUM(R183:R185),SUM(S183:S185))</f>
        <v>0.19036733983189749</v>
      </c>
      <c r="T217" s="27">
        <f>T44/AVERAGE(SUM(Q183:Q185),SUM(T183:T185))</f>
        <v>0.18886366488324074</v>
      </c>
      <c r="U217" s="75">
        <f>U44*2/AVERAGE(SUM(T183:T185),SUM(U183:U185))</f>
        <v>0.19015354098003578</v>
      </c>
      <c r="V217" s="30">
        <f>V44*2/AVERAGE(SUM(U183:U185),SUM(V183:V185))</f>
        <v>0.20395794040360943</v>
      </c>
      <c r="W217" s="27">
        <f>W44/AVERAGE(SUM(T183:T185),SUM(W183:W185))</f>
        <v>0.19541916128094314</v>
      </c>
      <c r="X217" s="27">
        <f>X44*2/AVERAGE(SUM(W183:W185),SUM(X183:X185))</f>
        <v>0.18161923845045527</v>
      </c>
      <c r="Y217" s="27">
        <f>Y44*2/AVERAGE(SUM(X183:X185),SUM(Y183:Y185))</f>
        <v>0.20531710298698869</v>
      </c>
      <c r="Z217" s="27">
        <f>Z44/AVERAGE(SUM(W183:W185),SUM(Z183:Z185))</f>
        <v>0.19174865765754703</v>
      </c>
      <c r="AA217" s="27">
        <f>AA44*2/AVERAGE(SUM(Z183:Z185),SUM(AA183:AA185))</f>
        <v>0.17998842277308633</v>
      </c>
      <c r="AB217" s="27">
        <f>AB44*2/AVERAGE(SUM(AA183:AA185),SUM(AB183:AB185))</f>
        <v>0.15482147164513277</v>
      </c>
      <c r="AC217" s="27">
        <f>AC44/AVERAGE(SUM(Z183:Z185),SUM(AC183:AC185))</f>
        <v>0.14781818139940292</v>
      </c>
      <c r="AD217" s="27">
        <f>AD44*2/AVERAGE(SUM(AC183:AC185),SUM(AD183:AD185))</f>
        <v>7.9855209701719804E-2</v>
      </c>
      <c r="AE217" s="27">
        <f>AE44*2/AVERAGE(SUM(AD183:AD185),SUM(AE183:AE185))</f>
        <v>0.16304261820321855</v>
      </c>
      <c r="AF217" s="27">
        <f>AF44/AVERAGE(SUM(AC183:AC185),SUM(AF183:AF185))</f>
        <v>0.1229206144584598</v>
      </c>
      <c r="AG217" s="27">
        <f>AG44*2/AVERAGE(SUM(AF183:AF185),SUM(AG183:AG185))</f>
        <v>0.10462478335076998</v>
      </c>
      <c r="AH217" s="27">
        <f>AH44*2/AVERAGE(SUM(AG183:AG185),SUM(AH183:AH185))</f>
        <v>0.10404163543834086</v>
      </c>
      <c r="AI217" s="27">
        <f>AI44/AVERAGE(SUM(AF183:AF185),SUM(AI183:AI185))</f>
        <v>9.6594175725397996E-2</v>
      </c>
      <c r="AJ217" s="27">
        <f>AJ44*2/AVERAGE(SUM(AI183:AI185),SUM(AJ183:AJ185))</f>
        <v>9.0283050346578617E-2</v>
      </c>
      <c r="AK217" s="27">
        <f>AK44*2/AVERAGE(SUM(AJ183:AJ185),SUM(AK183:AK185))</f>
        <v>0.1163234374351481</v>
      </c>
      <c r="AL217" s="27">
        <f>AL44/AVERAGE(SUM(AI183:AI185),SUM(AL183:AL185))</f>
        <v>0.10131083833880662</v>
      </c>
      <c r="AM217" s="27">
        <f>AM44*2/AVERAGE(SUM(AL183:AL185),SUM(AM183:AM185))</f>
        <v>0.1105777197019998</v>
      </c>
      <c r="AN217" s="27">
        <f>AN44*2/AVERAGE(SUM(AM183:AM185),SUM(AN183:AN185))</f>
        <v>0.12444382119822994</v>
      </c>
      <c r="AO217" s="27">
        <f>AO44/AVERAGE(SUM(AL183:AL185),SUM(AO183:AO185))</f>
        <v>0.1166145752167265</v>
      </c>
      <c r="AP217" s="27">
        <f>AP44*2/AVERAGE(SUM(AO183:AO185),SUM(AP183:AP185))</f>
        <v>0.12464968786297481</v>
      </c>
      <c r="AQ217" s="27">
        <f>AQ44*2/AVERAGE(SUM(AP183:AP185),SUM(AQ183:AQ185))</f>
        <v>0.11021204375877086</v>
      </c>
      <c r="AR217" s="27">
        <f>AR44/AVERAGE(SUM(AO183:AO185),SUM(AR183:AR185))</f>
        <v>0.11648112165726381</v>
      </c>
      <c r="AS217" s="27">
        <f>AS44*2/AVERAGE(SUM(AR183:AR185),SUM(AS183:AS185))</f>
        <v>0.12256711825511858</v>
      </c>
      <c r="AT217" s="27">
        <f>AT44*2/AVERAGE(SUM(AS183:AS185),SUM(AT183:AT185))</f>
        <v>0.10156839585034028</v>
      </c>
      <c r="AU217" s="27">
        <f>AU44/AVERAGE(SUM(AR183:AR185),SUM(AU183:AU185))</f>
        <v>0.11066363746405085</v>
      </c>
      <c r="AV217" s="27">
        <f>AV44*2/AVERAGE(SUM(AU183:AU185),SUM(AV183:AV185))</f>
        <v>9.0639535524684525E-2</v>
      </c>
      <c r="AW217" s="27">
        <f>AW44*2/AVERAGE(SUM(AV183:AV185),SUM(AW183:AW185))</f>
        <v>7.7952270701635767E-2</v>
      </c>
      <c r="AX217" s="402">
        <f>AX44/AVERAGE(SUM(AU183:AU185),SUM(AX183:AX185))</f>
        <v>8.5648455254203948E-2</v>
      </c>
      <c r="AY217" s="27">
        <f>AY44*2/AVERAGE(SUM(AX183:AX185),SUM(AY183:AY185))</f>
        <v>6.8711012779134967E-2</v>
      </c>
      <c r="AZ217" s="27">
        <f>AZ44*2/AVERAGE(SUM(AY183:AY185),SUM(AZ183:AZ185))</f>
        <v>6.6910409380697325E-2</v>
      </c>
      <c r="BA217" s="27">
        <f>BA44/AVERAGE(SUM(AX183:AX185),SUM(BA183:BA185))</f>
        <v>6.762265829958844E-2</v>
      </c>
      <c r="BB217" s="27">
        <f>BB44*2/AVERAGE(SUM(BA183:BA185),SUM(BB183:BB185))</f>
        <v>8.0342397856871695E-2</v>
      </c>
      <c r="BC217" s="27">
        <f>BC44*2/AVERAGE(SUM(BB183:BB185),SUM(BC183:BC185))</f>
        <v>7.7608525208906959E-2</v>
      </c>
      <c r="BD217" s="27">
        <f>BD44/AVERAGE(SUM(BA183:BA185),SUM(BD183:BD185))</f>
        <v>7.8822098758980497E-2</v>
      </c>
      <c r="BE217" s="27">
        <f>BE44*2/AVERAGE(SUM(BD183:BD185),SUM(BE183:BE185))</f>
        <v>8.9293197629665463E-2</v>
      </c>
      <c r="BF217" s="27">
        <f>BF44*2/AVERAGE(SUM(BE183:BE185),SUM(BF183:BF185))</f>
        <v>8.5523737341372863E-2</v>
      </c>
      <c r="BG217" s="27">
        <f>BG44/AVERAGE(SUM(BD183:BD185),SUM(BG183:BG185))</f>
        <v>8.7246861301276624E-2</v>
      </c>
      <c r="BH217" s="27">
        <f>BH44*2/AVERAGE(SUM(BG183:BG185),SUM(BH183:BH185))</f>
        <v>9.2970266826130687E-2</v>
      </c>
      <c r="BI217" s="27">
        <f>BI44*2/AVERAGE(SUM(BH183:BH185),SUM(BI183:BI185))</f>
        <v>9.1400345018309376E-2</v>
      </c>
      <c r="BJ217" s="27">
        <f>BJ44/AVERAGE(SUM(BG183:BG185),SUM(BJ183:BJ185))</f>
        <v>9.1925493008681691E-2</v>
      </c>
      <c r="BK217" s="27">
        <f>BK44*2/AVERAGE(SUM(BJ183:BJ185),SUM(BK183:BK185))</f>
        <v>9.1194073927399977E-2</v>
      </c>
      <c r="BL217" s="27">
        <f>BL44*2/AVERAGE(SUM(BK183:BK185),SUM(BL183:BL185))</f>
        <v>9.2551874799295081E-2</v>
      </c>
      <c r="BM217" s="27">
        <f>BM44/AVERAGE(SUM(BJ183:BJ185),SUM(BM183:BM185))</f>
        <v>9.1590195456679804E-2</v>
      </c>
    </row>
    <row r="218" spans="1:65">
      <c r="A218" s="20"/>
      <c r="B218" s="51"/>
      <c r="C218" s="77"/>
      <c r="D218" s="51"/>
      <c r="E218" s="51"/>
      <c r="F218" s="77"/>
      <c r="G218" s="51"/>
      <c r="H218" s="51"/>
      <c r="I218" s="77"/>
      <c r="J218" s="51"/>
      <c r="K218" s="51"/>
      <c r="L218" s="77"/>
      <c r="M218" s="51"/>
      <c r="N218" s="51"/>
      <c r="O218" s="77"/>
      <c r="P218" s="51"/>
      <c r="Q218" s="51"/>
      <c r="R218" s="77"/>
      <c r="S218" s="51"/>
      <c r="T218" s="51"/>
      <c r="U218" s="77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461"/>
    </row>
    <row r="219" spans="1:65">
      <c r="A219" s="13" t="s">
        <v>22</v>
      </c>
      <c r="C219" s="3"/>
      <c r="F219" s="3"/>
      <c r="I219" s="3"/>
      <c r="L219" s="3"/>
      <c r="O219" s="3"/>
      <c r="R219" s="3"/>
      <c r="U219" s="3"/>
    </row>
    <row r="220" spans="1:65">
      <c r="A220" s="6" t="s">
        <v>23</v>
      </c>
      <c r="B220" s="336" t="s">
        <v>389</v>
      </c>
      <c r="C220" s="316">
        <f>99.6*5</f>
        <v>498</v>
      </c>
      <c r="D220" s="317">
        <f>C223</f>
        <v>498</v>
      </c>
      <c r="E220" s="317">
        <f>D223</f>
        <v>498</v>
      </c>
      <c r="F220" s="317">
        <f>E223</f>
        <v>498</v>
      </c>
      <c r="G220" s="317">
        <f>F223</f>
        <v>498</v>
      </c>
      <c r="H220" s="220">
        <f>E223</f>
        <v>498</v>
      </c>
      <c r="I220" s="317">
        <f>H223</f>
        <v>498</v>
      </c>
      <c r="J220" s="317">
        <f>I223</f>
        <v>498</v>
      </c>
      <c r="K220" s="220">
        <f>H223</f>
        <v>498</v>
      </c>
      <c r="L220" s="317">
        <f>K223</f>
        <v>498</v>
      </c>
      <c r="M220" s="317">
        <f>L223</f>
        <v>498</v>
      </c>
      <c r="N220" s="220">
        <f>K223</f>
        <v>498</v>
      </c>
      <c r="O220" s="317">
        <f>N223</f>
        <v>498</v>
      </c>
      <c r="P220" s="317">
        <f>O223</f>
        <v>498</v>
      </c>
      <c r="Q220" s="220">
        <f>N223</f>
        <v>498</v>
      </c>
      <c r="R220" s="317">
        <f>Q223</f>
        <v>498</v>
      </c>
      <c r="S220" s="317">
        <f>R223</f>
        <v>498</v>
      </c>
      <c r="T220" s="220">
        <f>Q223</f>
        <v>498</v>
      </c>
      <c r="U220" s="317">
        <f>T223</f>
        <v>498</v>
      </c>
      <c r="V220" s="317">
        <f>U223</f>
        <v>498</v>
      </c>
      <c r="W220" s="220">
        <f>T223</f>
        <v>498</v>
      </c>
      <c r="X220" s="315">
        <f>W223</f>
        <v>498</v>
      </c>
      <c r="Y220" s="315">
        <f>X223</f>
        <v>498</v>
      </c>
      <c r="Z220" s="92">
        <f>W223</f>
        <v>498</v>
      </c>
      <c r="AA220" s="315">
        <f>Z223</f>
        <v>498</v>
      </c>
      <c r="AB220" s="315">
        <f>AA223</f>
        <v>498</v>
      </c>
      <c r="AC220" s="92">
        <f>Z223</f>
        <v>498</v>
      </c>
      <c r="AD220" s="315">
        <f>AC223</f>
        <v>560.822855</v>
      </c>
      <c r="AE220" s="315">
        <f>AD223</f>
        <v>560.822855</v>
      </c>
      <c r="AF220" s="92">
        <f>AC223</f>
        <v>560.822855</v>
      </c>
      <c r="AG220" s="315">
        <f>AF223</f>
        <v>560.822855</v>
      </c>
      <c r="AH220" s="315">
        <f>AG223</f>
        <v>560.822855</v>
      </c>
      <c r="AI220" s="92">
        <f>AF223</f>
        <v>560.822855</v>
      </c>
      <c r="AJ220" s="92">
        <f>AI223</f>
        <v>645.98418100000004</v>
      </c>
      <c r="AK220" s="315">
        <f>AJ223</f>
        <v>645.98418100000004</v>
      </c>
      <c r="AL220" s="92">
        <f>AI223</f>
        <v>645.98418100000004</v>
      </c>
      <c r="AM220" s="92">
        <f>AL223</f>
        <v>645.98418100000004</v>
      </c>
      <c r="AN220" s="315">
        <f>AM223</f>
        <v>645.98418100000004</v>
      </c>
      <c r="AO220" s="92">
        <f>AL223</f>
        <v>645.98418100000004</v>
      </c>
      <c r="AP220" s="92">
        <f>AO223</f>
        <v>645.98418100000004</v>
      </c>
      <c r="AQ220" s="315">
        <f>AP223</f>
        <v>645.98418100000004</v>
      </c>
      <c r="AR220" s="92">
        <f>AO223</f>
        <v>645.98418100000004</v>
      </c>
      <c r="AS220" s="92">
        <f>AR223</f>
        <v>645.721</v>
      </c>
      <c r="AT220" s="315">
        <f>AS223</f>
        <v>645.721</v>
      </c>
      <c r="AU220" s="92">
        <f>AR223</f>
        <v>645.721</v>
      </c>
      <c r="AV220" s="92">
        <f>AU223</f>
        <v>645.721</v>
      </c>
      <c r="AW220" s="315">
        <f>AV223</f>
        <v>645.721</v>
      </c>
      <c r="AX220" s="93">
        <f>AU223</f>
        <v>645.721</v>
      </c>
      <c r="AY220" s="92">
        <f>AX223</f>
        <v>644.17600000000004</v>
      </c>
      <c r="AZ220" s="92">
        <f>AY223</f>
        <v>616.07824700000003</v>
      </c>
      <c r="BA220" s="92">
        <f>AX223</f>
        <v>644.17600000000004</v>
      </c>
      <c r="BB220" s="92">
        <f>BA223</f>
        <v>616.07824700000003</v>
      </c>
      <c r="BC220" s="92">
        <f>BB223</f>
        <v>616.07824700000003</v>
      </c>
      <c r="BD220" s="92">
        <f>BA223</f>
        <v>616.07824700000003</v>
      </c>
      <c r="BE220" s="92">
        <f>BD223</f>
        <v>616.07824700000003</v>
      </c>
      <c r="BF220" s="92">
        <f>BE223</f>
        <v>616.07824700000003</v>
      </c>
      <c r="BG220" s="92">
        <f>BD223</f>
        <v>616.07824700000003</v>
      </c>
      <c r="BH220" s="92">
        <f>BG223</f>
        <v>616.07824700000003</v>
      </c>
      <c r="BI220" s="92">
        <f>BH223</f>
        <v>616.07824700000003</v>
      </c>
      <c r="BJ220" s="92">
        <f>BG223</f>
        <v>616.07824700000003</v>
      </c>
      <c r="BK220" s="92">
        <f>BJ223</f>
        <v>616.07824700000003</v>
      </c>
      <c r="BL220" s="92">
        <f>BK223</f>
        <v>616.07824700000003</v>
      </c>
      <c r="BM220" s="92">
        <f>BJ223</f>
        <v>616.07824700000003</v>
      </c>
    </row>
    <row r="221" spans="1:65">
      <c r="A221" s="6" t="s">
        <v>24</v>
      </c>
      <c r="B221" s="336" t="s">
        <v>389</v>
      </c>
      <c r="C221" s="316"/>
      <c r="D221" s="220"/>
      <c r="E221" s="220"/>
      <c r="F221" s="316"/>
      <c r="G221" s="220"/>
      <c r="H221" s="220"/>
      <c r="I221" s="316"/>
      <c r="J221" s="220"/>
      <c r="K221" s="220"/>
      <c r="L221" s="316"/>
      <c r="M221" s="220"/>
      <c r="N221" s="220"/>
      <c r="O221" s="316"/>
      <c r="P221" s="220"/>
      <c r="Q221" s="220"/>
      <c r="R221" s="316"/>
      <c r="S221" s="220"/>
      <c r="T221" s="220"/>
      <c r="U221" s="316"/>
      <c r="V221" s="220"/>
      <c r="W221" s="220"/>
      <c r="X221" s="78"/>
      <c r="AA221" s="78"/>
      <c r="AC221" s="92">
        <f>AC223-AC220</f>
        <v>62.822855000000004</v>
      </c>
      <c r="AD221" s="78"/>
      <c r="AF221" s="92"/>
      <c r="AG221" s="78"/>
      <c r="AH221" s="92">
        <f>AH223-AH220</f>
        <v>85.161326000000031</v>
      </c>
      <c r="AI221" s="92"/>
      <c r="AJ221" s="92"/>
      <c r="AK221" s="92"/>
      <c r="AL221" s="92"/>
      <c r="AM221" s="92"/>
      <c r="AN221" s="92"/>
      <c r="AO221" s="92">
        <f>SUM(AM221:AN221)</f>
        <v>0</v>
      </c>
      <c r="AP221" s="92"/>
      <c r="AQ221" s="92"/>
      <c r="AR221" s="92">
        <f>SUM(AP221:AQ221)</f>
        <v>0</v>
      </c>
      <c r="AS221" s="92"/>
      <c r="AT221" s="92"/>
      <c r="AU221" s="92">
        <f>SUM(AS221:AT221)</f>
        <v>0</v>
      </c>
      <c r="AV221" s="92"/>
      <c r="AW221" s="92"/>
      <c r="AX221" s="93">
        <f>SUM(AV221:AW221)</f>
        <v>0</v>
      </c>
      <c r="AY221" s="92">
        <v>-28.097753000000001</v>
      </c>
      <c r="AZ221" s="92"/>
      <c r="BA221" s="92">
        <f>SUM(AY221:AZ221)</f>
        <v>-28.097753000000001</v>
      </c>
      <c r="BB221" s="92"/>
      <c r="BC221" s="92"/>
      <c r="BD221" s="92">
        <f>SUM(BB221:BC221)</f>
        <v>0</v>
      </c>
      <c r="BE221" s="92"/>
      <c r="BF221" s="92"/>
      <c r="BG221" s="92">
        <f>SUM(BE221:BF221)</f>
        <v>0</v>
      </c>
      <c r="BH221" s="92"/>
      <c r="BI221" s="92"/>
      <c r="BJ221" s="92">
        <f>SUM(BH221:BI221)</f>
        <v>0</v>
      </c>
      <c r="BK221" s="92"/>
      <c r="BL221" s="92"/>
      <c r="BM221" s="92">
        <f>SUM(BK221:BL221)</f>
        <v>0</v>
      </c>
    </row>
    <row r="222" spans="1:65">
      <c r="A222" s="6" t="s">
        <v>220</v>
      </c>
      <c r="B222" s="336" t="s">
        <v>389</v>
      </c>
      <c r="C222" s="316"/>
      <c r="D222" s="220"/>
      <c r="E222" s="220"/>
      <c r="F222" s="316"/>
      <c r="G222" s="220"/>
      <c r="H222" s="220"/>
      <c r="I222" s="316"/>
      <c r="J222" s="220"/>
      <c r="K222" s="220"/>
      <c r="L222" s="316"/>
      <c r="M222" s="220"/>
      <c r="N222" s="220"/>
      <c r="O222" s="316"/>
      <c r="P222" s="220"/>
      <c r="Q222" s="220"/>
      <c r="R222" s="316"/>
      <c r="S222" s="220"/>
      <c r="T222" s="220"/>
      <c r="U222" s="316"/>
      <c r="V222" s="220"/>
      <c r="W222" s="220"/>
      <c r="X222" s="78"/>
      <c r="AA222" s="78"/>
      <c r="AC222" s="92"/>
      <c r="AD222" s="78"/>
      <c r="AF222" s="92"/>
      <c r="AG222" s="78"/>
      <c r="AI222" s="92"/>
      <c r="AJ222" s="92"/>
      <c r="AL222" s="92"/>
      <c r="AM222" s="92"/>
      <c r="AO222" s="92"/>
      <c r="AP222" s="92"/>
      <c r="AR222" s="92"/>
      <c r="AS222" s="92"/>
      <c r="AU222" s="92"/>
      <c r="AV222" s="92"/>
      <c r="AX222" s="93"/>
      <c r="AY222" s="92"/>
      <c r="AZ222" s="92"/>
      <c r="BA222" s="92"/>
      <c r="BB222" s="92"/>
      <c r="BC222" s="92"/>
      <c r="BD222" s="92"/>
      <c r="BE222" s="92"/>
      <c r="BF222" s="92"/>
      <c r="BG222" s="92"/>
      <c r="BH222" s="92"/>
      <c r="BI222" s="92"/>
      <c r="BJ222" s="92"/>
      <c r="BK222" s="92"/>
      <c r="BL222" s="92"/>
      <c r="BM222" s="92"/>
    </row>
    <row r="223" spans="1:65">
      <c r="A223" s="6" t="s">
        <v>221</v>
      </c>
      <c r="B223" s="336" t="s">
        <v>389</v>
      </c>
      <c r="C223" s="317">
        <f t="shared" ref="C223:AB223" si="354">SUM(C220:C222)</f>
        <v>498</v>
      </c>
      <c r="D223" s="317">
        <f t="shared" si="354"/>
        <v>498</v>
      </c>
      <c r="E223" s="317">
        <f t="shared" si="354"/>
        <v>498</v>
      </c>
      <c r="F223" s="317">
        <f t="shared" si="354"/>
        <v>498</v>
      </c>
      <c r="G223" s="317">
        <f t="shared" si="354"/>
        <v>498</v>
      </c>
      <c r="H223" s="317">
        <f t="shared" si="354"/>
        <v>498</v>
      </c>
      <c r="I223" s="317">
        <f t="shared" si="354"/>
        <v>498</v>
      </c>
      <c r="J223" s="317">
        <f t="shared" si="354"/>
        <v>498</v>
      </c>
      <c r="K223" s="317">
        <f t="shared" si="354"/>
        <v>498</v>
      </c>
      <c r="L223" s="317">
        <f t="shared" si="354"/>
        <v>498</v>
      </c>
      <c r="M223" s="317">
        <f t="shared" si="354"/>
        <v>498</v>
      </c>
      <c r="N223" s="317">
        <f t="shared" si="354"/>
        <v>498</v>
      </c>
      <c r="O223" s="317">
        <f t="shared" si="354"/>
        <v>498</v>
      </c>
      <c r="P223" s="317">
        <f t="shared" si="354"/>
        <v>498</v>
      </c>
      <c r="Q223" s="317">
        <f t="shared" si="354"/>
        <v>498</v>
      </c>
      <c r="R223" s="317">
        <f t="shared" si="354"/>
        <v>498</v>
      </c>
      <c r="S223" s="317">
        <f t="shared" si="354"/>
        <v>498</v>
      </c>
      <c r="T223" s="317">
        <f t="shared" si="354"/>
        <v>498</v>
      </c>
      <c r="U223" s="317">
        <f t="shared" si="354"/>
        <v>498</v>
      </c>
      <c r="V223" s="317">
        <f t="shared" si="354"/>
        <v>498</v>
      </c>
      <c r="W223" s="317">
        <f t="shared" si="354"/>
        <v>498</v>
      </c>
      <c r="X223" s="315">
        <f t="shared" si="354"/>
        <v>498</v>
      </c>
      <c r="Y223" s="315">
        <f t="shared" si="354"/>
        <v>498</v>
      </c>
      <c r="Z223" s="315">
        <f t="shared" si="354"/>
        <v>498</v>
      </c>
      <c r="AA223" s="315">
        <f t="shared" si="354"/>
        <v>498</v>
      </c>
      <c r="AB223" s="315">
        <f t="shared" si="354"/>
        <v>498</v>
      </c>
      <c r="AC223" s="314">
        <v>560.822855</v>
      </c>
      <c r="AD223" s="315">
        <f>SUM(AD220:AD222)</f>
        <v>560.822855</v>
      </c>
      <c r="AE223" s="315">
        <f>SUM(AE220:AE222)</f>
        <v>560.822855</v>
      </c>
      <c r="AF223" s="315">
        <f>SUM(AF220:AF222)</f>
        <v>560.822855</v>
      </c>
      <c r="AG223" s="315">
        <f>SUM(AG220:AG222)</f>
        <v>560.822855</v>
      </c>
      <c r="AH223" s="315">
        <f>AI223</f>
        <v>645.98418100000004</v>
      </c>
      <c r="AI223" s="314">
        <v>645.98418100000004</v>
      </c>
      <c r="AJ223" s="92">
        <f>SUM(AJ220:AJ222)</f>
        <v>645.98418100000004</v>
      </c>
      <c r="AK223" s="315">
        <f>AL223</f>
        <v>645.98418100000004</v>
      </c>
      <c r="AL223" s="98">
        <v>645.98418100000004</v>
      </c>
      <c r="AM223" s="92">
        <f>SUM(AM220:AM222)</f>
        <v>645.98418100000004</v>
      </c>
      <c r="AN223" s="315">
        <f>AO223</f>
        <v>645.98418100000004</v>
      </c>
      <c r="AO223" s="98">
        <f>SUM(AO220:AO222)</f>
        <v>645.98418100000004</v>
      </c>
      <c r="AP223" s="92">
        <f>SUM(AP220:AP222)</f>
        <v>645.98418100000004</v>
      </c>
      <c r="AQ223" s="315">
        <f>AR223</f>
        <v>645.721</v>
      </c>
      <c r="AR223" s="98">
        <f>AR225</f>
        <v>645.721</v>
      </c>
      <c r="AS223" s="92">
        <f>SUM(AS220:AS222)</f>
        <v>645.721</v>
      </c>
      <c r="AT223" s="315">
        <f>AU223</f>
        <v>645.721</v>
      </c>
      <c r="AU223" s="98">
        <f>AU225</f>
        <v>645.721</v>
      </c>
      <c r="AV223" s="92">
        <f>SUM(AV220:AV222)</f>
        <v>645.721</v>
      </c>
      <c r="AW223" s="315">
        <f>AX223</f>
        <v>644.17600000000004</v>
      </c>
      <c r="AX223" s="404">
        <f>AX225</f>
        <v>644.17600000000004</v>
      </c>
      <c r="AY223" s="92">
        <f t="shared" ref="AY223:BM223" si="355">SUM(AY220:AY222)</f>
        <v>616.07824700000003</v>
      </c>
      <c r="AZ223" s="92">
        <f t="shared" si="355"/>
        <v>616.07824700000003</v>
      </c>
      <c r="BA223" s="92">
        <f t="shared" si="355"/>
        <v>616.07824700000003</v>
      </c>
      <c r="BB223" s="92">
        <f t="shared" si="355"/>
        <v>616.07824700000003</v>
      </c>
      <c r="BC223" s="92">
        <f t="shared" si="355"/>
        <v>616.07824700000003</v>
      </c>
      <c r="BD223" s="92">
        <f t="shared" si="355"/>
        <v>616.07824700000003</v>
      </c>
      <c r="BE223" s="92">
        <f t="shared" si="355"/>
        <v>616.07824700000003</v>
      </c>
      <c r="BF223" s="92">
        <f t="shared" si="355"/>
        <v>616.07824700000003</v>
      </c>
      <c r="BG223" s="92">
        <f t="shared" si="355"/>
        <v>616.07824700000003</v>
      </c>
      <c r="BH223" s="92">
        <f t="shared" si="355"/>
        <v>616.07824700000003</v>
      </c>
      <c r="BI223" s="92">
        <f t="shared" si="355"/>
        <v>616.07824700000003</v>
      </c>
      <c r="BJ223" s="92">
        <f t="shared" si="355"/>
        <v>616.07824700000003</v>
      </c>
      <c r="BK223" s="92">
        <f t="shared" si="355"/>
        <v>616.07824700000003</v>
      </c>
      <c r="BL223" s="92">
        <f t="shared" si="355"/>
        <v>616.07824700000003</v>
      </c>
      <c r="BM223" s="92">
        <f t="shared" si="355"/>
        <v>616.07824700000003</v>
      </c>
    </row>
    <row r="224" spans="1:65">
      <c r="C224" s="317"/>
      <c r="D224" s="220"/>
      <c r="E224" s="220"/>
      <c r="F224" s="317"/>
      <c r="G224" s="220"/>
      <c r="H224" s="220"/>
      <c r="I224" s="317"/>
      <c r="J224" s="220"/>
      <c r="K224" s="220"/>
      <c r="L224" s="317"/>
      <c r="M224" s="220"/>
      <c r="N224" s="220"/>
      <c r="O224" s="317"/>
      <c r="P224" s="220"/>
      <c r="Q224" s="220"/>
      <c r="R224" s="317"/>
      <c r="S224" s="220"/>
      <c r="T224" s="220"/>
      <c r="U224" s="317"/>
      <c r="V224" s="220"/>
      <c r="W224" s="220"/>
      <c r="X224" s="42"/>
      <c r="Y224" s="25"/>
      <c r="Z224" s="92"/>
      <c r="AA224" s="42"/>
      <c r="AB224" s="25"/>
      <c r="AC224" s="92"/>
      <c r="AD224" s="42"/>
      <c r="AE224" s="25"/>
      <c r="AF224" s="92"/>
      <c r="AG224" s="42"/>
      <c r="AH224" s="25"/>
      <c r="AI224" s="92"/>
      <c r="AJ224" s="92"/>
      <c r="AK224" s="25"/>
      <c r="AL224" s="92"/>
      <c r="AM224" s="92"/>
      <c r="AN224" s="25"/>
      <c r="AO224" s="92"/>
      <c r="AP224" s="92"/>
      <c r="AQ224" s="25"/>
      <c r="AR224" s="92"/>
      <c r="AS224" s="92"/>
      <c r="AT224" s="25"/>
      <c r="AU224" s="92"/>
      <c r="AV224" s="92"/>
      <c r="AW224" s="25"/>
      <c r="AX224" s="93"/>
      <c r="AY224" s="92"/>
      <c r="AZ224" s="92"/>
      <c r="BA224" s="92"/>
      <c r="BB224" s="92"/>
      <c r="BC224" s="92"/>
      <c r="BD224" s="92"/>
      <c r="BE224" s="92"/>
      <c r="BF224" s="92"/>
      <c r="BG224" s="92"/>
      <c r="BH224" s="92"/>
      <c r="BI224" s="92"/>
      <c r="BJ224" s="92"/>
      <c r="BK224" s="92"/>
      <c r="BL224" s="92"/>
      <c r="BM224" s="92"/>
    </row>
    <row r="225" spans="1:65">
      <c r="A225" s="6" t="s">
        <v>222</v>
      </c>
      <c r="B225" s="336" t="s">
        <v>389</v>
      </c>
      <c r="C225" s="316">
        <f>99.6*5</f>
        <v>498</v>
      </c>
      <c r="D225" s="220">
        <f>E225</f>
        <v>498</v>
      </c>
      <c r="E225" s="316">
        <f>99.6*5</f>
        <v>498</v>
      </c>
      <c r="F225" s="317">
        <f>AVERAGE(E223:F223)</f>
        <v>498</v>
      </c>
      <c r="G225" s="317">
        <f>AVERAGE(F223:G223)</f>
        <v>498</v>
      </c>
      <c r="H225" s="220">
        <f>AVERAGE(E223,H223)</f>
        <v>498</v>
      </c>
      <c r="I225" s="317">
        <f>AVERAGE(H223:I223)</f>
        <v>498</v>
      </c>
      <c r="J225" s="317">
        <f>AVERAGE(I223:J223)</f>
        <v>498</v>
      </c>
      <c r="K225" s="220">
        <f>AVERAGE(H223,K223)</f>
        <v>498</v>
      </c>
      <c r="L225" s="317">
        <f>AVERAGE(K223:L223)</f>
        <v>498</v>
      </c>
      <c r="M225" s="317">
        <f>AVERAGE(L223:M223)</f>
        <v>498</v>
      </c>
      <c r="N225" s="220">
        <f>AVERAGE(K223,N223)</f>
        <v>498</v>
      </c>
      <c r="O225" s="317">
        <f>AVERAGE(N223:O223)</f>
        <v>498</v>
      </c>
      <c r="P225" s="317">
        <f>AVERAGE(O223:P223)</f>
        <v>498</v>
      </c>
      <c r="Q225" s="220">
        <f>AVERAGE(N223,Q223)</f>
        <v>498</v>
      </c>
      <c r="R225" s="317">
        <f>AVERAGE(Q223:R223)</f>
        <v>498</v>
      </c>
      <c r="S225" s="317">
        <f>AVERAGE(R223:S223)</f>
        <v>498</v>
      </c>
      <c r="T225" s="220">
        <f>AVERAGE(Q223,T223)</f>
        <v>498</v>
      </c>
      <c r="U225" s="317">
        <f>AVERAGE(T223:U223)</f>
        <v>498</v>
      </c>
      <c r="V225" s="317">
        <f>AVERAGE(U223:V223)</f>
        <v>498</v>
      </c>
      <c r="W225" s="220">
        <f>AVERAGE(T223,W223)</f>
        <v>498</v>
      </c>
      <c r="X225" s="315">
        <f>AVERAGE(W223:X223)</f>
        <v>498</v>
      </c>
      <c r="Y225" s="315">
        <f>AVERAGE(X223:Y223)</f>
        <v>498</v>
      </c>
      <c r="Z225" s="92">
        <f>AVERAGE(W223,Z223)</f>
        <v>498</v>
      </c>
      <c r="AA225" s="315">
        <f>AVERAGE(Z223:AA223)</f>
        <v>498</v>
      </c>
      <c r="AB225" s="315">
        <f>AVERAGE(AA223:AB223)</f>
        <v>498</v>
      </c>
      <c r="AC225" s="98">
        <v>503.33600000000001</v>
      </c>
      <c r="AD225" s="315">
        <f>AVERAGE(AC223:AD223)</f>
        <v>560.822855</v>
      </c>
      <c r="AE225" s="315">
        <f>AVERAGE(AD223:AE223)</f>
        <v>560.822855</v>
      </c>
      <c r="AF225" s="92">
        <f>AVERAGE(AC223,AF223)</f>
        <v>560.822855</v>
      </c>
      <c r="AG225" s="315">
        <f>AVERAGE(AF223:AG223)</f>
        <v>560.822855</v>
      </c>
      <c r="AH225" s="315">
        <f>AVERAGE(AG223:AH223)</f>
        <v>603.40351800000008</v>
      </c>
      <c r="AI225" s="98">
        <v>574.12199999999996</v>
      </c>
      <c r="AJ225" s="92">
        <f>+(AJ220+AJ223)/2</f>
        <v>645.98418100000004</v>
      </c>
      <c r="AK225" s="315">
        <f>AVERAGE(AJ223:AK223)</f>
        <v>645.98418100000004</v>
      </c>
      <c r="AL225" s="98">
        <v>645.98400000000004</v>
      </c>
      <c r="AM225" s="92">
        <f>+(AM220+AM223)/2</f>
        <v>645.98418100000004</v>
      </c>
      <c r="AN225" s="315">
        <f>AO225</f>
        <v>645.98418100000004</v>
      </c>
      <c r="AO225" s="98">
        <f>+(AO220+AO223)/2</f>
        <v>645.98418100000004</v>
      </c>
      <c r="AP225" s="92">
        <f>+(AP220+AP223)/2</f>
        <v>645.98418100000004</v>
      </c>
      <c r="AQ225" s="315">
        <f>AR225</f>
        <v>645.721</v>
      </c>
      <c r="AR225" s="98">
        <v>645.721</v>
      </c>
      <c r="AS225" s="92">
        <f>+(AS220+AS223)/2</f>
        <v>645.721</v>
      </c>
      <c r="AT225" s="315">
        <f>AU225</f>
        <v>645.721</v>
      </c>
      <c r="AU225" s="98">
        <v>645.721</v>
      </c>
      <c r="AV225" s="92">
        <f>+(AV220+AV223)/2</f>
        <v>645.721</v>
      </c>
      <c r="AW225" s="315">
        <f>AX225</f>
        <v>644.17600000000004</v>
      </c>
      <c r="AX225" s="404">
        <v>644.17600000000004</v>
      </c>
      <c r="AY225" s="92">
        <f t="shared" ref="AY225:BM225" si="356">+(AY220+AY223)/2</f>
        <v>630.12712350000004</v>
      </c>
      <c r="AZ225" s="92">
        <f t="shared" si="356"/>
        <v>616.07824700000003</v>
      </c>
      <c r="BA225" s="92">
        <f t="shared" si="356"/>
        <v>630.12712350000004</v>
      </c>
      <c r="BB225" s="92">
        <f t="shared" si="356"/>
        <v>616.07824700000003</v>
      </c>
      <c r="BC225" s="92">
        <f t="shared" si="356"/>
        <v>616.07824700000003</v>
      </c>
      <c r="BD225" s="92">
        <f t="shared" si="356"/>
        <v>616.07824700000003</v>
      </c>
      <c r="BE225" s="92">
        <f t="shared" si="356"/>
        <v>616.07824700000003</v>
      </c>
      <c r="BF225" s="92">
        <f t="shared" si="356"/>
        <v>616.07824700000003</v>
      </c>
      <c r="BG225" s="92">
        <f t="shared" si="356"/>
        <v>616.07824700000003</v>
      </c>
      <c r="BH225" s="92">
        <f t="shared" si="356"/>
        <v>616.07824700000003</v>
      </c>
      <c r="BI225" s="92">
        <f t="shared" si="356"/>
        <v>616.07824700000003</v>
      </c>
      <c r="BJ225" s="92">
        <f t="shared" si="356"/>
        <v>616.07824700000003</v>
      </c>
      <c r="BK225" s="92">
        <f t="shared" si="356"/>
        <v>616.07824700000003</v>
      </c>
      <c r="BL225" s="92">
        <f t="shared" si="356"/>
        <v>616.07824700000003</v>
      </c>
      <c r="BM225" s="92">
        <f t="shared" si="356"/>
        <v>616.07824700000003</v>
      </c>
    </row>
    <row r="226" spans="1:65">
      <c r="A226" s="6" t="s">
        <v>243</v>
      </c>
      <c r="B226" s="336" t="s">
        <v>389</v>
      </c>
      <c r="C226" s="317">
        <f>C225</f>
        <v>498</v>
      </c>
      <c r="D226" s="220">
        <f>+D225</f>
        <v>498</v>
      </c>
      <c r="E226" s="317">
        <f>E225</f>
        <v>498</v>
      </c>
      <c r="F226" s="317">
        <f>F225</f>
        <v>498</v>
      </c>
      <c r="G226" s="317">
        <f>G225</f>
        <v>498</v>
      </c>
      <c r="H226" s="317">
        <f>H225</f>
        <v>498</v>
      </c>
      <c r="I226" s="317">
        <f t="shared" ref="I226:AI226" si="357">I225</f>
        <v>498</v>
      </c>
      <c r="J226" s="317">
        <f t="shared" si="357"/>
        <v>498</v>
      </c>
      <c r="K226" s="317">
        <f t="shared" si="357"/>
        <v>498</v>
      </c>
      <c r="L226" s="317">
        <f t="shared" si="357"/>
        <v>498</v>
      </c>
      <c r="M226" s="317">
        <f t="shared" si="357"/>
        <v>498</v>
      </c>
      <c r="N226" s="317">
        <f t="shared" si="357"/>
        <v>498</v>
      </c>
      <c r="O226" s="317">
        <f t="shared" si="357"/>
        <v>498</v>
      </c>
      <c r="P226" s="317">
        <f t="shared" si="357"/>
        <v>498</v>
      </c>
      <c r="Q226" s="317">
        <f t="shared" si="357"/>
        <v>498</v>
      </c>
      <c r="R226" s="317">
        <f t="shared" si="357"/>
        <v>498</v>
      </c>
      <c r="S226" s="317">
        <f t="shared" si="357"/>
        <v>498</v>
      </c>
      <c r="T226" s="317">
        <f t="shared" si="357"/>
        <v>498</v>
      </c>
      <c r="U226" s="317">
        <f t="shared" si="357"/>
        <v>498</v>
      </c>
      <c r="V226" s="317">
        <f t="shared" si="357"/>
        <v>498</v>
      </c>
      <c r="W226" s="317">
        <f t="shared" si="357"/>
        <v>498</v>
      </c>
      <c r="X226" s="315">
        <f t="shared" si="357"/>
        <v>498</v>
      </c>
      <c r="Y226" s="315">
        <f t="shared" si="357"/>
        <v>498</v>
      </c>
      <c r="Z226" s="315">
        <f t="shared" si="357"/>
        <v>498</v>
      </c>
      <c r="AA226" s="315">
        <f t="shared" si="357"/>
        <v>498</v>
      </c>
      <c r="AB226" s="315">
        <f t="shared" si="357"/>
        <v>498</v>
      </c>
      <c r="AC226" s="315">
        <f t="shared" si="357"/>
        <v>503.33600000000001</v>
      </c>
      <c r="AD226" s="315">
        <f t="shared" si="357"/>
        <v>560.822855</v>
      </c>
      <c r="AE226" s="315">
        <f t="shared" si="357"/>
        <v>560.822855</v>
      </c>
      <c r="AF226" s="315">
        <f t="shared" si="357"/>
        <v>560.822855</v>
      </c>
      <c r="AG226" s="315">
        <f t="shared" si="357"/>
        <v>560.822855</v>
      </c>
      <c r="AH226" s="315">
        <f t="shared" si="357"/>
        <v>603.40351800000008</v>
      </c>
      <c r="AI226" s="315">
        <f t="shared" si="357"/>
        <v>574.12199999999996</v>
      </c>
      <c r="AJ226" s="92">
        <f>+AJ225+(AI226-AI225)</f>
        <v>645.98418100000004</v>
      </c>
      <c r="AK226" s="315">
        <f>AK225</f>
        <v>645.98418100000004</v>
      </c>
      <c r="AL226" s="315">
        <f>AL225</f>
        <v>645.98400000000004</v>
      </c>
      <c r="AM226" s="92">
        <f>+AM225+(AL226-AL225)</f>
        <v>645.98418100000004</v>
      </c>
      <c r="AN226" s="315">
        <f t="shared" ref="AN226:AO226" si="358">+AN225+(AM226-AM225)</f>
        <v>645.98418100000004</v>
      </c>
      <c r="AO226" s="315">
        <f t="shared" si="358"/>
        <v>645.98418100000004</v>
      </c>
      <c r="AP226" s="92">
        <f>+AP225+(AO226-AO225)</f>
        <v>645.98418100000004</v>
      </c>
      <c r="AQ226" s="315">
        <f>+AQ225+(AP226-AP225)</f>
        <v>645.721</v>
      </c>
      <c r="AR226" s="315">
        <f>AR225</f>
        <v>645.721</v>
      </c>
      <c r="AS226" s="92">
        <f>+AS225+(AR226-AR225)</f>
        <v>645.721</v>
      </c>
      <c r="AT226" s="315">
        <f>+AT225+(AS226-AS225)</f>
        <v>645.721</v>
      </c>
      <c r="AU226" s="315">
        <f>AU225</f>
        <v>645.721</v>
      </c>
      <c r="AV226" s="92">
        <f>+AV225+(AU226-AU225)</f>
        <v>645.721</v>
      </c>
      <c r="AW226" s="315">
        <f>+AW225+(AV226-AV225)</f>
        <v>644.17600000000004</v>
      </c>
      <c r="AX226" s="467">
        <f>AX225</f>
        <v>644.17600000000004</v>
      </c>
      <c r="AY226" s="92">
        <f t="shared" ref="AY226:BM226" si="359">+AY225+(AX226-AX225)</f>
        <v>630.12712350000004</v>
      </c>
      <c r="AZ226" s="92">
        <f t="shared" si="359"/>
        <v>616.07824700000003</v>
      </c>
      <c r="BA226" s="92">
        <f t="shared" si="359"/>
        <v>630.12712350000004</v>
      </c>
      <c r="BB226" s="92">
        <f t="shared" si="359"/>
        <v>616.07824700000003</v>
      </c>
      <c r="BC226" s="92">
        <f t="shared" si="359"/>
        <v>616.07824700000003</v>
      </c>
      <c r="BD226" s="92">
        <f t="shared" si="359"/>
        <v>616.07824700000003</v>
      </c>
      <c r="BE226" s="92">
        <f t="shared" si="359"/>
        <v>616.07824700000003</v>
      </c>
      <c r="BF226" s="92">
        <f t="shared" si="359"/>
        <v>616.07824700000003</v>
      </c>
      <c r="BG226" s="92">
        <f t="shared" si="359"/>
        <v>616.07824700000003</v>
      </c>
      <c r="BH226" s="92">
        <f t="shared" si="359"/>
        <v>616.07824700000003</v>
      </c>
      <c r="BI226" s="92">
        <f t="shared" si="359"/>
        <v>616.07824700000003</v>
      </c>
      <c r="BJ226" s="92">
        <f t="shared" si="359"/>
        <v>616.07824700000003</v>
      </c>
      <c r="BK226" s="92">
        <f t="shared" si="359"/>
        <v>616.07824700000003</v>
      </c>
      <c r="BL226" s="92">
        <f t="shared" si="359"/>
        <v>616.07824700000003</v>
      </c>
      <c r="BM226" s="92">
        <f t="shared" si="359"/>
        <v>616.07824700000003</v>
      </c>
    </row>
    <row r="227" spans="1:65">
      <c r="C227" s="42"/>
      <c r="D227" s="25"/>
      <c r="E227" s="92"/>
      <c r="F227" s="42"/>
      <c r="G227" s="25"/>
      <c r="H227" s="92"/>
      <c r="I227" s="42"/>
      <c r="J227" s="25"/>
      <c r="K227" s="92"/>
      <c r="L227" s="42"/>
      <c r="M227" s="25"/>
      <c r="N227" s="92"/>
      <c r="O227" s="42"/>
      <c r="P227" s="25"/>
      <c r="Q227" s="92"/>
      <c r="R227" s="42"/>
      <c r="S227" s="25"/>
      <c r="T227" s="92"/>
      <c r="U227" s="42"/>
      <c r="V227" s="25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W227" s="92"/>
      <c r="AX227" s="93"/>
      <c r="AY227" s="92"/>
      <c r="AZ227" s="92"/>
      <c r="BA227" s="92"/>
      <c r="BB227" s="92"/>
      <c r="BC227" s="92"/>
      <c r="BD227" s="92"/>
      <c r="BE227" s="92"/>
      <c r="BF227" s="92"/>
      <c r="BG227" s="92"/>
      <c r="BH227" s="92"/>
      <c r="BI227" s="92"/>
      <c r="BJ227" s="92"/>
      <c r="BK227" s="92"/>
      <c r="BL227" s="92"/>
      <c r="BM227" s="92"/>
    </row>
    <row r="228" spans="1:65">
      <c r="A228" s="13" t="s">
        <v>35</v>
      </c>
      <c r="C228" s="25"/>
      <c r="D228" s="25"/>
      <c r="E228" s="92"/>
      <c r="F228" s="25"/>
      <c r="G228" s="25"/>
      <c r="H228" s="92"/>
      <c r="I228" s="25"/>
      <c r="J228" s="25"/>
      <c r="K228" s="92"/>
      <c r="L228" s="25"/>
      <c r="M228" s="25"/>
      <c r="N228" s="92"/>
      <c r="O228" s="25"/>
      <c r="P228" s="25"/>
      <c r="Q228" s="92"/>
      <c r="R228" s="25"/>
      <c r="S228" s="25"/>
      <c r="T228" s="92"/>
      <c r="U228" s="25"/>
      <c r="V228" s="25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W228" s="92"/>
      <c r="AX228" s="93"/>
      <c r="AY228" s="92"/>
      <c r="AZ228" s="92"/>
      <c r="BA228" s="92"/>
      <c r="BB228" s="92"/>
      <c r="BC228" s="92"/>
      <c r="BD228" s="92"/>
      <c r="BE228" s="92"/>
      <c r="BF228" s="92"/>
      <c r="BG228" s="92"/>
      <c r="BH228" s="92"/>
      <c r="BI228" s="92"/>
      <c r="BJ228" s="92"/>
      <c r="BK228" s="92"/>
      <c r="BL228" s="92"/>
      <c r="BM228" s="92"/>
    </row>
    <row r="229" spans="1:65">
      <c r="A229" s="6" t="s">
        <v>214</v>
      </c>
      <c r="B229" s="336" t="s">
        <v>389</v>
      </c>
      <c r="C229" s="66"/>
      <c r="D229" s="66"/>
      <c r="E229" s="104"/>
      <c r="F229" s="66"/>
      <c r="G229" s="66"/>
      <c r="H229" s="104"/>
      <c r="I229" s="66"/>
      <c r="J229" s="66"/>
      <c r="K229" s="104"/>
      <c r="L229" s="66"/>
      <c r="M229" s="66"/>
      <c r="N229" s="104"/>
      <c r="O229" s="66"/>
      <c r="P229" s="66"/>
      <c r="Q229" s="104"/>
      <c r="R229" s="66"/>
      <c r="S229" s="66"/>
      <c r="T229" s="104"/>
      <c r="U229" s="66"/>
      <c r="V229" s="66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421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</row>
    <row r="230" spans="1:65">
      <c r="A230" s="6" t="s">
        <v>213</v>
      </c>
      <c r="B230" s="52" t="s">
        <v>242</v>
      </c>
      <c r="C230" s="66"/>
      <c r="D230" s="66"/>
      <c r="E230" s="104"/>
      <c r="F230" s="66"/>
      <c r="G230" s="66"/>
      <c r="H230" s="104"/>
      <c r="I230" s="66"/>
      <c r="J230" s="66"/>
      <c r="K230" s="104"/>
      <c r="L230" s="66"/>
      <c r="M230" s="66"/>
      <c r="N230" s="104"/>
      <c r="O230" s="66"/>
      <c r="P230" s="66"/>
      <c r="Q230" s="104"/>
      <c r="R230" s="66"/>
      <c r="S230" s="66"/>
      <c r="T230" s="104"/>
      <c r="U230" s="66"/>
      <c r="V230" s="66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421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</row>
    <row r="231" spans="1:65">
      <c r="A231" s="13" t="s">
        <v>122</v>
      </c>
      <c r="B231" s="55" t="s">
        <v>172</v>
      </c>
      <c r="C231" s="25">
        <f t="shared" ref="C231:T231" si="360">C230*C229</f>
        <v>0</v>
      </c>
      <c r="D231" s="25">
        <f t="shared" si="360"/>
        <v>0</v>
      </c>
      <c r="E231" s="92">
        <f t="shared" si="360"/>
        <v>0</v>
      </c>
      <c r="F231" s="25">
        <f t="shared" si="360"/>
        <v>0</v>
      </c>
      <c r="G231" s="25">
        <f t="shared" si="360"/>
        <v>0</v>
      </c>
      <c r="H231" s="92">
        <f t="shared" si="360"/>
        <v>0</v>
      </c>
      <c r="I231" s="25">
        <f t="shared" si="360"/>
        <v>0</v>
      </c>
      <c r="J231" s="25">
        <f t="shared" si="360"/>
        <v>0</v>
      </c>
      <c r="K231" s="92">
        <f t="shared" si="360"/>
        <v>0</v>
      </c>
      <c r="L231" s="25">
        <f t="shared" si="360"/>
        <v>0</v>
      </c>
      <c r="M231" s="25">
        <f t="shared" si="360"/>
        <v>0</v>
      </c>
      <c r="N231" s="92">
        <f t="shared" si="360"/>
        <v>0</v>
      </c>
      <c r="O231" s="25">
        <f t="shared" si="360"/>
        <v>0</v>
      </c>
      <c r="P231" s="25">
        <f t="shared" si="360"/>
        <v>0</v>
      </c>
      <c r="Q231" s="92">
        <f t="shared" si="360"/>
        <v>0</v>
      </c>
      <c r="R231" s="25">
        <f t="shared" si="360"/>
        <v>0</v>
      </c>
      <c r="S231" s="25">
        <f t="shared" si="360"/>
        <v>0</v>
      </c>
      <c r="T231" s="92">
        <f t="shared" si="360"/>
        <v>0</v>
      </c>
      <c r="U231" s="25">
        <f t="shared" ref="U231:AF231" si="361">U230*U229</f>
        <v>0</v>
      </c>
      <c r="V231" s="25">
        <f t="shared" si="361"/>
        <v>0</v>
      </c>
      <c r="W231" s="92">
        <f t="shared" si="361"/>
        <v>0</v>
      </c>
      <c r="X231" s="92">
        <f t="shared" si="361"/>
        <v>0</v>
      </c>
      <c r="Y231" s="92">
        <f t="shared" si="361"/>
        <v>0</v>
      </c>
      <c r="Z231" s="92">
        <f t="shared" si="361"/>
        <v>0</v>
      </c>
      <c r="AA231" s="92">
        <f t="shared" si="361"/>
        <v>0</v>
      </c>
      <c r="AB231" s="92">
        <f t="shared" si="361"/>
        <v>0</v>
      </c>
      <c r="AC231" s="92">
        <f t="shared" si="361"/>
        <v>0</v>
      </c>
      <c r="AD231" s="92">
        <f t="shared" si="361"/>
        <v>0</v>
      </c>
      <c r="AE231" s="92">
        <f t="shared" si="361"/>
        <v>0</v>
      </c>
      <c r="AF231" s="92">
        <f t="shared" si="361"/>
        <v>0</v>
      </c>
      <c r="AG231" s="92">
        <f t="shared" ref="AG231:AL231" si="362">AG230*AG229</f>
        <v>0</v>
      </c>
      <c r="AH231" s="92">
        <f t="shared" si="362"/>
        <v>0</v>
      </c>
      <c r="AI231" s="92">
        <f t="shared" si="362"/>
        <v>0</v>
      </c>
      <c r="AJ231" s="92">
        <f t="shared" si="362"/>
        <v>0</v>
      </c>
      <c r="AK231" s="92">
        <f t="shared" si="362"/>
        <v>0</v>
      </c>
      <c r="AL231" s="92">
        <f t="shared" si="362"/>
        <v>0</v>
      </c>
      <c r="AM231" s="92">
        <f t="shared" ref="AM231:AO231" si="363">AM230*AM229</f>
        <v>0</v>
      </c>
      <c r="AN231" s="92">
        <f t="shared" si="363"/>
        <v>0</v>
      </c>
      <c r="AO231" s="92">
        <f t="shared" si="363"/>
        <v>0</v>
      </c>
      <c r="AP231" s="92">
        <f t="shared" ref="AP231:AU231" si="364">AP230*AP229</f>
        <v>0</v>
      </c>
      <c r="AQ231" s="92">
        <f t="shared" si="364"/>
        <v>0</v>
      </c>
      <c r="AR231" s="92">
        <f t="shared" si="364"/>
        <v>0</v>
      </c>
      <c r="AS231" s="92">
        <f t="shared" si="364"/>
        <v>0</v>
      </c>
      <c r="AT231" s="92">
        <f t="shared" si="364"/>
        <v>0</v>
      </c>
      <c r="AU231" s="92">
        <f t="shared" si="364"/>
        <v>0</v>
      </c>
      <c r="AV231" s="92">
        <f t="shared" ref="AV231:AX231" si="365">AV230*AV229</f>
        <v>0</v>
      </c>
      <c r="AW231" s="92">
        <f t="shared" si="365"/>
        <v>0</v>
      </c>
      <c r="AX231" s="93">
        <f t="shared" si="365"/>
        <v>0</v>
      </c>
      <c r="AY231" s="92">
        <f t="shared" ref="AY231:BM231" si="366">AY230*AY229</f>
        <v>0</v>
      </c>
      <c r="AZ231" s="92">
        <f t="shared" si="366"/>
        <v>0</v>
      </c>
      <c r="BA231" s="92">
        <f t="shared" si="366"/>
        <v>0</v>
      </c>
      <c r="BB231" s="92">
        <f t="shared" si="366"/>
        <v>0</v>
      </c>
      <c r="BC231" s="92">
        <f t="shared" si="366"/>
        <v>0</v>
      </c>
      <c r="BD231" s="92">
        <f t="shared" si="366"/>
        <v>0</v>
      </c>
      <c r="BE231" s="92">
        <f t="shared" si="366"/>
        <v>0</v>
      </c>
      <c r="BF231" s="92">
        <f t="shared" si="366"/>
        <v>0</v>
      </c>
      <c r="BG231" s="92">
        <f t="shared" si="366"/>
        <v>0</v>
      </c>
      <c r="BH231" s="92">
        <f t="shared" si="366"/>
        <v>0</v>
      </c>
      <c r="BI231" s="92">
        <f t="shared" si="366"/>
        <v>0</v>
      </c>
      <c r="BJ231" s="92">
        <f t="shared" si="366"/>
        <v>0</v>
      </c>
      <c r="BK231" s="92">
        <f t="shared" si="366"/>
        <v>0</v>
      </c>
      <c r="BL231" s="92">
        <f t="shared" si="366"/>
        <v>0</v>
      </c>
      <c r="BM231" s="92">
        <f t="shared" si="366"/>
        <v>0</v>
      </c>
    </row>
    <row r="232" spans="1:65">
      <c r="E232" s="92"/>
      <c r="H232" s="92"/>
      <c r="K232" s="92"/>
      <c r="N232" s="92"/>
      <c r="Q232" s="92"/>
      <c r="T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W232" s="92"/>
      <c r="AX232" s="93"/>
      <c r="AY232" s="92"/>
      <c r="AZ232" s="92"/>
      <c r="BA232" s="92"/>
      <c r="BB232" s="92"/>
      <c r="BC232" s="92"/>
      <c r="BD232" s="92"/>
      <c r="BE232" s="92"/>
      <c r="BF232" s="92"/>
      <c r="BG232" s="92"/>
      <c r="BH232" s="92"/>
      <c r="BI232" s="92"/>
      <c r="BJ232" s="92"/>
      <c r="BK232" s="92"/>
      <c r="BL232" s="92"/>
      <c r="BM232" s="92"/>
    </row>
    <row r="233" spans="1:65">
      <c r="A233" s="13" t="s">
        <v>4</v>
      </c>
      <c r="E233" s="92"/>
      <c r="H233" s="92"/>
      <c r="K233" s="92"/>
      <c r="N233" s="92"/>
      <c r="Q233" s="92"/>
      <c r="T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W233" s="92"/>
      <c r="AX233" s="93"/>
      <c r="AY233" s="92"/>
      <c r="AZ233" s="92"/>
      <c r="BA233" s="92"/>
      <c r="BB233" s="92"/>
      <c r="BC233" s="92"/>
      <c r="BD233" s="92"/>
      <c r="BE233" s="92"/>
      <c r="BF233" s="92"/>
      <c r="BG233" s="92"/>
      <c r="BH233" s="92"/>
      <c r="BI233" s="92"/>
      <c r="BJ233" s="92"/>
      <c r="BK233" s="92"/>
      <c r="BL233" s="92"/>
      <c r="BM233" s="92"/>
    </row>
    <row r="234" spans="1:65">
      <c r="A234" s="6" t="s">
        <v>5</v>
      </c>
      <c r="B234" s="52" t="s">
        <v>172</v>
      </c>
      <c r="C234" s="25">
        <f t="shared" ref="C234:AH234" si="367">C49</f>
        <v>57.613999999999997</v>
      </c>
      <c r="D234" s="25">
        <f t="shared" si="367"/>
        <v>56.646999999999998</v>
      </c>
      <c r="E234" s="92">
        <f t="shared" si="367"/>
        <v>114.261</v>
      </c>
      <c r="F234" s="25">
        <f t="shared" si="367"/>
        <v>59.826000000000001</v>
      </c>
      <c r="G234" s="25">
        <f t="shared" si="367"/>
        <v>58.785000000000004</v>
      </c>
      <c r="H234" s="92">
        <f t="shared" si="367"/>
        <v>118.611</v>
      </c>
      <c r="I234" s="25">
        <f t="shared" si="367"/>
        <v>57.869</v>
      </c>
      <c r="J234" s="25">
        <f t="shared" si="367"/>
        <v>55.411000000000001</v>
      </c>
      <c r="K234" s="92">
        <f t="shared" si="367"/>
        <v>113.28</v>
      </c>
      <c r="L234" s="25">
        <f t="shared" si="367"/>
        <v>54.932000000000002</v>
      </c>
      <c r="M234" s="25">
        <f t="shared" si="367"/>
        <v>64.198999999999998</v>
      </c>
      <c r="N234" s="92">
        <f t="shared" si="367"/>
        <v>119.131</v>
      </c>
      <c r="O234" s="25">
        <f t="shared" si="367"/>
        <v>59.588000000000001</v>
      </c>
      <c r="P234" s="25">
        <f t="shared" si="367"/>
        <v>63.437000000000005</v>
      </c>
      <c r="Q234" s="92">
        <f t="shared" si="367"/>
        <v>123.02500000000001</v>
      </c>
      <c r="R234" s="25">
        <f t="shared" si="367"/>
        <v>80.277000000000001</v>
      </c>
      <c r="S234" s="25">
        <f t="shared" si="367"/>
        <v>85.279000000000011</v>
      </c>
      <c r="T234" s="92">
        <f t="shared" si="367"/>
        <v>165.55600000000001</v>
      </c>
      <c r="U234" s="25">
        <f t="shared" si="367"/>
        <v>89.918000000000006</v>
      </c>
      <c r="V234" s="25">
        <f t="shared" si="367"/>
        <v>102.29999999999998</v>
      </c>
      <c r="W234" s="92">
        <f t="shared" si="367"/>
        <v>192.21799999999999</v>
      </c>
      <c r="X234" s="92">
        <f t="shared" si="367"/>
        <v>96.147000000000006</v>
      </c>
      <c r="Y234" s="92">
        <f t="shared" si="367"/>
        <v>114.712</v>
      </c>
      <c r="Z234" s="92">
        <f t="shared" si="367"/>
        <v>210.85900000000001</v>
      </c>
      <c r="AA234" s="92">
        <f t="shared" si="367"/>
        <v>105.718</v>
      </c>
      <c r="AB234" s="92">
        <f t="shared" si="367"/>
        <v>118.902</v>
      </c>
      <c r="AC234" s="92">
        <f t="shared" si="367"/>
        <v>224.62</v>
      </c>
      <c r="AD234" s="92">
        <f t="shared" si="367"/>
        <v>76.760999999999996</v>
      </c>
      <c r="AE234" s="92">
        <f t="shared" si="367"/>
        <v>125.339</v>
      </c>
      <c r="AF234" s="92">
        <f t="shared" si="367"/>
        <v>202.1</v>
      </c>
      <c r="AG234" s="92">
        <f t="shared" si="367"/>
        <v>104.93</v>
      </c>
      <c r="AH234" s="92">
        <f t="shared" si="367"/>
        <v>124.06899999999999</v>
      </c>
      <c r="AI234" s="92">
        <f t="shared" ref="AI234:BM234" si="368">AI49</f>
        <v>228.999</v>
      </c>
      <c r="AJ234" s="92">
        <f t="shared" si="368"/>
        <v>123.04300000000001</v>
      </c>
      <c r="AK234" s="92">
        <f t="shared" si="368"/>
        <v>162.55200000000002</v>
      </c>
      <c r="AL234" s="92">
        <f t="shared" si="368"/>
        <v>285.59500000000003</v>
      </c>
      <c r="AM234" s="92">
        <f t="shared" si="368"/>
        <v>157</v>
      </c>
      <c r="AN234" s="92">
        <f t="shared" si="368"/>
        <v>235.02866599999999</v>
      </c>
      <c r="AO234" s="92">
        <f t="shared" si="368"/>
        <v>392.02866599999999</v>
      </c>
      <c r="AP234" s="92">
        <f t="shared" ref="AP234:AU234" si="369">AP49</f>
        <v>185.92999999999998</v>
      </c>
      <c r="AQ234" s="92">
        <f t="shared" si="369"/>
        <v>201.67699999999999</v>
      </c>
      <c r="AR234" s="92">
        <f t="shared" si="369"/>
        <v>387.60700000000003</v>
      </c>
      <c r="AS234" s="92">
        <f t="shared" si="369"/>
        <v>223.631</v>
      </c>
      <c r="AT234" s="92">
        <f t="shared" si="369"/>
        <v>195.54</v>
      </c>
      <c r="AU234" s="92">
        <f t="shared" si="369"/>
        <v>419.17099999999999</v>
      </c>
      <c r="AV234" s="92">
        <f t="shared" ref="AV234:AX234" si="370">AV49</f>
        <v>180.875</v>
      </c>
      <c r="AW234" s="92">
        <f t="shared" si="370"/>
        <v>136.06200000000001</v>
      </c>
      <c r="AX234" s="93">
        <f t="shared" si="370"/>
        <v>316.93700000000001</v>
      </c>
      <c r="AY234" s="92">
        <f t="shared" si="368"/>
        <v>140.06947748964163</v>
      </c>
      <c r="AZ234" s="92">
        <f t="shared" si="368"/>
        <v>139.25144453659348</v>
      </c>
      <c r="BA234" s="92">
        <f t="shared" si="368"/>
        <v>279.32092202623511</v>
      </c>
      <c r="BB234" s="92">
        <f t="shared" si="368"/>
        <v>171.437872213795</v>
      </c>
      <c r="BC234" s="92">
        <f t="shared" si="368"/>
        <v>170.20069068051777</v>
      </c>
      <c r="BD234" s="92">
        <f t="shared" si="368"/>
        <v>341.63856289431277</v>
      </c>
      <c r="BE234" s="92">
        <f t="shared" si="368"/>
        <v>201.51073402375471</v>
      </c>
      <c r="BF234" s="92">
        <f t="shared" si="368"/>
        <v>198.79683673905737</v>
      </c>
      <c r="BG234" s="92">
        <f t="shared" si="368"/>
        <v>400.30757076281208</v>
      </c>
      <c r="BH234" s="92">
        <f t="shared" si="368"/>
        <v>222.46050985730108</v>
      </c>
      <c r="BI234" s="92">
        <f t="shared" si="368"/>
        <v>225.56276435638063</v>
      </c>
      <c r="BJ234" s="92">
        <f t="shared" si="368"/>
        <v>448.0232742136817</v>
      </c>
      <c r="BK234" s="92">
        <f t="shared" si="368"/>
        <v>231.82971361463063</v>
      </c>
      <c r="BL234" s="92">
        <f t="shared" si="368"/>
        <v>242.40550127806682</v>
      </c>
      <c r="BM234" s="92">
        <f t="shared" si="368"/>
        <v>474.23521489269746</v>
      </c>
    </row>
    <row r="235" spans="1:65">
      <c r="A235" s="6" t="s">
        <v>57</v>
      </c>
      <c r="B235" s="52" t="s">
        <v>172</v>
      </c>
      <c r="C235" s="92">
        <f t="shared" ref="C235:AH235" si="371">+C44</f>
        <v>57.613999999999997</v>
      </c>
      <c r="D235" s="92">
        <f t="shared" si="371"/>
        <v>56.646999999999998</v>
      </c>
      <c r="E235" s="92">
        <f t="shared" si="371"/>
        <v>114.261</v>
      </c>
      <c r="F235" s="92">
        <f t="shared" si="371"/>
        <v>59.826000000000001</v>
      </c>
      <c r="G235" s="92">
        <f t="shared" si="371"/>
        <v>58.785000000000004</v>
      </c>
      <c r="H235" s="92">
        <f t="shared" si="371"/>
        <v>118.611</v>
      </c>
      <c r="I235" s="92">
        <f t="shared" si="371"/>
        <v>57.869</v>
      </c>
      <c r="J235" s="92">
        <f t="shared" si="371"/>
        <v>55.411000000000001</v>
      </c>
      <c r="K235" s="92">
        <f t="shared" si="371"/>
        <v>113.28</v>
      </c>
      <c r="L235" s="92">
        <f t="shared" si="371"/>
        <v>54.932000000000002</v>
      </c>
      <c r="M235" s="92">
        <f t="shared" si="371"/>
        <v>64.198999999999998</v>
      </c>
      <c r="N235" s="92">
        <f t="shared" si="371"/>
        <v>119.131</v>
      </c>
      <c r="O235" s="92">
        <f t="shared" si="371"/>
        <v>59.588000000000001</v>
      </c>
      <c r="P235" s="92">
        <f t="shared" si="371"/>
        <v>63.437000000000005</v>
      </c>
      <c r="Q235" s="92">
        <f t="shared" si="371"/>
        <v>123.02500000000001</v>
      </c>
      <c r="R235" s="92">
        <f t="shared" si="371"/>
        <v>80.277000000000001</v>
      </c>
      <c r="S235" s="92">
        <f t="shared" si="371"/>
        <v>85.279000000000011</v>
      </c>
      <c r="T235" s="92">
        <f t="shared" si="371"/>
        <v>165.55600000000001</v>
      </c>
      <c r="U235" s="92">
        <f t="shared" si="371"/>
        <v>89.918000000000006</v>
      </c>
      <c r="V235" s="92">
        <f t="shared" si="371"/>
        <v>102.29999999999998</v>
      </c>
      <c r="W235" s="92">
        <f t="shared" si="371"/>
        <v>192.21799999999999</v>
      </c>
      <c r="X235" s="92">
        <f t="shared" si="371"/>
        <v>96.147000000000006</v>
      </c>
      <c r="Y235" s="92">
        <f t="shared" si="371"/>
        <v>114.712</v>
      </c>
      <c r="Z235" s="92">
        <f t="shared" si="371"/>
        <v>210.85900000000001</v>
      </c>
      <c r="AA235" s="92">
        <f t="shared" si="371"/>
        <v>105.718</v>
      </c>
      <c r="AB235" s="92">
        <f t="shared" si="371"/>
        <v>118.902</v>
      </c>
      <c r="AC235" s="92">
        <f t="shared" si="371"/>
        <v>224.62</v>
      </c>
      <c r="AD235" s="92">
        <f t="shared" si="371"/>
        <v>76.760999999999996</v>
      </c>
      <c r="AE235" s="92">
        <f t="shared" si="371"/>
        <v>161.239</v>
      </c>
      <c r="AF235" s="92">
        <f t="shared" si="371"/>
        <v>238</v>
      </c>
      <c r="AG235" s="92">
        <f t="shared" si="371"/>
        <v>104.93</v>
      </c>
      <c r="AH235" s="92">
        <f t="shared" si="371"/>
        <v>124.06899999999999</v>
      </c>
      <c r="AI235" s="92">
        <f t="shared" ref="AI235:BM235" si="372">+AI44</f>
        <v>228.999</v>
      </c>
      <c r="AJ235" s="92">
        <f t="shared" si="372"/>
        <v>123.04300000000001</v>
      </c>
      <c r="AK235" s="92">
        <f t="shared" si="372"/>
        <v>162.55200000000002</v>
      </c>
      <c r="AL235" s="92">
        <f t="shared" si="372"/>
        <v>285.59500000000003</v>
      </c>
      <c r="AM235" s="92">
        <f t="shared" si="372"/>
        <v>164</v>
      </c>
      <c r="AN235" s="92">
        <f t="shared" si="372"/>
        <v>198.02866599999999</v>
      </c>
      <c r="AO235" s="92">
        <f t="shared" si="372"/>
        <v>362.02866599999999</v>
      </c>
      <c r="AP235" s="92">
        <f t="shared" ref="AP235:AU235" si="373">+AP44</f>
        <v>210.25899999999999</v>
      </c>
      <c r="AQ235" s="92">
        <f t="shared" si="373"/>
        <v>194.29699999999997</v>
      </c>
      <c r="AR235" s="92">
        <f t="shared" si="373"/>
        <v>404.55599999999998</v>
      </c>
      <c r="AS235" s="92">
        <f t="shared" si="373"/>
        <v>223.631</v>
      </c>
      <c r="AT235" s="92">
        <f t="shared" si="373"/>
        <v>191.88699999999997</v>
      </c>
      <c r="AU235" s="92">
        <f t="shared" si="373"/>
        <v>415.51799999999997</v>
      </c>
      <c r="AV235" s="92">
        <f t="shared" ref="AV235:AX235" si="374">+AV44</f>
        <v>180.875</v>
      </c>
      <c r="AW235" s="92">
        <f t="shared" si="374"/>
        <v>158.69799999999998</v>
      </c>
      <c r="AX235" s="93">
        <f t="shared" si="374"/>
        <v>339.57299999999998</v>
      </c>
      <c r="AY235" s="92">
        <f t="shared" si="372"/>
        <v>140.06947748964163</v>
      </c>
      <c r="AZ235" s="92">
        <f t="shared" si="372"/>
        <v>139.25144453659348</v>
      </c>
      <c r="BA235" s="92">
        <f t="shared" si="372"/>
        <v>279.32092202623511</v>
      </c>
      <c r="BB235" s="92">
        <f t="shared" si="372"/>
        <v>171.437872213795</v>
      </c>
      <c r="BC235" s="92">
        <f t="shared" si="372"/>
        <v>170.20069068051777</v>
      </c>
      <c r="BD235" s="92">
        <f t="shared" si="372"/>
        <v>341.63856289431277</v>
      </c>
      <c r="BE235" s="92">
        <f t="shared" si="372"/>
        <v>201.51073402375471</v>
      </c>
      <c r="BF235" s="92">
        <f t="shared" si="372"/>
        <v>198.79683673905737</v>
      </c>
      <c r="BG235" s="92">
        <f t="shared" si="372"/>
        <v>400.30757076281208</v>
      </c>
      <c r="BH235" s="92">
        <f t="shared" si="372"/>
        <v>222.46050985730108</v>
      </c>
      <c r="BI235" s="92">
        <f t="shared" si="372"/>
        <v>225.56276435638063</v>
      </c>
      <c r="BJ235" s="92">
        <f t="shared" si="372"/>
        <v>448.0232742136817</v>
      </c>
      <c r="BK235" s="92">
        <f t="shared" si="372"/>
        <v>231.82971361463063</v>
      </c>
      <c r="BL235" s="92">
        <f t="shared" si="372"/>
        <v>242.40550127806682</v>
      </c>
      <c r="BM235" s="92">
        <f t="shared" si="372"/>
        <v>474.23521489269746</v>
      </c>
    </row>
    <row r="236" spans="1:65">
      <c r="E236" s="92"/>
      <c r="H236" s="92"/>
      <c r="K236" s="92"/>
      <c r="N236" s="92"/>
      <c r="Q236" s="92"/>
      <c r="T236" s="92"/>
      <c r="W236" s="92"/>
      <c r="X236" s="92"/>
      <c r="Y236" s="92"/>
      <c r="Z236" s="92"/>
      <c r="AA236" s="92"/>
      <c r="AB236" s="92"/>
      <c r="AC236" s="92">
        <f>78.6/AC226*100</f>
        <v>15.615811306959962</v>
      </c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W236" s="92"/>
      <c r="AX236" s="93"/>
      <c r="AY236" s="92"/>
      <c r="AZ236" s="92"/>
      <c r="BA236" s="92"/>
      <c r="BB236" s="92"/>
      <c r="BC236" s="92"/>
      <c r="BD236" s="92"/>
      <c r="BE236" s="92"/>
      <c r="BF236" s="92"/>
      <c r="BG236" s="92"/>
      <c r="BH236" s="92"/>
      <c r="BI236" s="92"/>
      <c r="BJ236" s="92"/>
      <c r="BK236" s="92"/>
      <c r="BL236" s="92"/>
      <c r="BM236" s="92"/>
    </row>
    <row r="237" spans="1:65">
      <c r="A237" s="13" t="s">
        <v>6</v>
      </c>
      <c r="E237" s="92"/>
      <c r="H237" s="92"/>
      <c r="K237" s="92"/>
      <c r="N237" s="92"/>
      <c r="Q237" s="92"/>
      <c r="T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W237" s="92"/>
      <c r="AX237" s="93"/>
      <c r="AY237" s="92"/>
      <c r="AZ237" s="92"/>
      <c r="BA237" s="92"/>
      <c r="BB237" s="92"/>
      <c r="BC237" s="92"/>
      <c r="BD237" s="92"/>
      <c r="BE237" s="92"/>
      <c r="BF237" s="92"/>
      <c r="BG237" s="92"/>
      <c r="BH237" s="92"/>
      <c r="BI237" s="92"/>
      <c r="BJ237" s="92"/>
      <c r="BK237" s="92"/>
      <c r="BL237" s="92"/>
      <c r="BM237" s="92"/>
    </row>
    <row r="238" spans="1:65">
      <c r="A238" s="6" t="s">
        <v>5</v>
      </c>
      <c r="B238" s="336" t="s">
        <v>390</v>
      </c>
      <c r="C238" s="92">
        <f t="shared" ref="C238:W238" si="375">+C234/C226*100</f>
        <v>11.569076305220884</v>
      </c>
      <c r="D238" s="92">
        <f t="shared" si="375"/>
        <v>11.374899598393574</v>
      </c>
      <c r="E238" s="92">
        <f t="shared" si="375"/>
        <v>22.943975903614458</v>
      </c>
      <c r="F238" s="92">
        <f t="shared" si="375"/>
        <v>12.013253012048192</v>
      </c>
      <c r="G238" s="92">
        <f t="shared" si="375"/>
        <v>11.804216867469879</v>
      </c>
      <c r="H238" s="92">
        <f t="shared" si="375"/>
        <v>23.817469879518075</v>
      </c>
      <c r="I238" s="92">
        <f t="shared" si="375"/>
        <v>11.620281124497991</v>
      </c>
      <c r="J238" s="92">
        <f t="shared" si="375"/>
        <v>11.126706827309238</v>
      </c>
      <c r="K238" s="92">
        <f t="shared" si="375"/>
        <v>22.746987951807228</v>
      </c>
      <c r="L238" s="92">
        <f t="shared" si="375"/>
        <v>11.030522088353415</v>
      </c>
      <c r="M238" s="92">
        <f t="shared" si="375"/>
        <v>12.891365461847389</v>
      </c>
      <c r="N238" s="92">
        <f t="shared" si="375"/>
        <v>23.921887550200804</v>
      </c>
      <c r="O238" s="92">
        <f t="shared" si="375"/>
        <v>11.965461847389559</v>
      </c>
      <c r="P238" s="92">
        <f t="shared" si="375"/>
        <v>12.738353413654618</v>
      </c>
      <c r="Q238" s="92">
        <f t="shared" si="375"/>
        <v>24.703815261044181</v>
      </c>
      <c r="R238" s="92">
        <f t="shared" si="375"/>
        <v>16.119879518072288</v>
      </c>
      <c r="S238" s="92">
        <f t="shared" si="375"/>
        <v>17.124297188755023</v>
      </c>
      <c r="T238" s="92">
        <f t="shared" si="375"/>
        <v>33.244176706827311</v>
      </c>
      <c r="U238" s="92">
        <f t="shared" si="375"/>
        <v>18.055823293172693</v>
      </c>
      <c r="V238" s="92">
        <f t="shared" si="375"/>
        <v>20.542168674698789</v>
      </c>
      <c r="W238" s="92">
        <f t="shared" si="375"/>
        <v>38.597991967871479</v>
      </c>
      <c r="X238" s="92">
        <f t="shared" ref="X238:AO238" si="376">+X234/X226*100</f>
        <v>19.306626506024095</v>
      </c>
      <c r="Y238" s="92">
        <f t="shared" si="376"/>
        <v>23.034538152610441</v>
      </c>
      <c r="Z238" s="92">
        <f t="shared" si="376"/>
        <v>42.34116465863454</v>
      </c>
      <c r="AA238" s="92">
        <f t="shared" si="376"/>
        <v>21.228514056224903</v>
      </c>
      <c r="AB238" s="92">
        <f>AC238-AA238</f>
        <v>23.39773957951742</v>
      </c>
      <c r="AC238" s="92">
        <f t="shared" si="376"/>
        <v>44.626253635742323</v>
      </c>
      <c r="AD238" s="92">
        <f>+AD234/AD226*100</f>
        <v>13.687209662666119</v>
      </c>
      <c r="AE238" s="92">
        <f t="shared" si="376"/>
        <v>22.349124840855499</v>
      </c>
      <c r="AF238" s="92">
        <f t="shared" si="376"/>
        <v>36.036334503521616</v>
      </c>
      <c r="AG238" s="92">
        <f t="shared" ref="AG238:AL238" si="377">+AG234/AG226*100</f>
        <v>18.710007815212883</v>
      </c>
      <c r="AH238" s="92">
        <f t="shared" si="377"/>
        <v>20.561530766547499</v>
      </c>
      <c r="AI238" s="92">
        <f t="shared" si="377"/>
        <v>39.886818481089385</v>
      </c>
      <c r="AJ238" s="92">
        <f t="shared" si="377"/>
        <v>19.047370449463067</v>
      </c>
      <c r="AK238" s="92">
        <f t="shared" si="377"/>
        <v>25.163464490471789</v>
      </c>
      <c r="AL238" s="92">
        <f t="shared" si="377"/>
        <v>44.21084732748799</v>
      </c>
      <c r="AM238" s="92">
        <f t="shared" si="376"/>
        <v>24.304000719794715</v>
      </c>
      <c r="AN238" s="92">
        <f t="shared" si="376"/>
        <v>36.3830373734802</v>
      </c>
      <c r="AO238" s="92">
        <f t="shared" si="376"/>
        <v>60.687038093274914</v>
      </c>
      <c r="AP238" s="92">
        <f t="shared" ref="AP238:AU238" si="378">+AP234/AP226*100</f>
        <v>28.782438559435864</v>
      </c>
      <c r="AQ238" s="92">
        <f t="shared" si="378"/>
        <v>31.232838950568432</v>
      </c>
      <c r="AR238" s="92">
        <f t="shared" si="378"/>
        <v>60.027008568716212</v>
      </c>
      <c r="AS238" s="92">
        <f t="shared" si="378"/>
        <v>34.632759349626227</v>
      </c>
      <c r="AT238" s="92">
        <f t="shared" si="378"/>
        <v>30.282428479172889</v>
      </c>
      <c r="AU238" s="92">
        <f t="shared" si="378"/>
        <v>64.91518782879912</v>
      </c>
      <c r="AV238" s="92">
        <f t="shared" ref="AV238:AX238" si="379">+AV234/AV226*100</f>
        <v>28.011323776058077</v>
      </c>
      <c r="AW238" s="92">
        <f t="shared" si="379"/>
        <v>21.121867315764636</v>
      </c>
      <c r="AX238" s="93">
        <f t="shared" si="379"/>
        <v>49.200373810883981</v>
      </c>
      <c r="AY238" s="92">
        <f t="shared" ref="AY238:BM238" si="380">+AY234/AY226*100</f>
        <v>22.228765000883445</v>
      </c>
      <c r="AZ238" s="92">
        <f t="shared" si="380"/>
        <v>22.602882866694284</v>
      </c>
      <c r="BA238" s="92">
        <f t="shared" si="380"/>
        <v>44.327709696856921</v>
      </c>
      <c r="BB238" s="92">
        <f t="shared" si="380"/>
        <v>27.827288668056966</v>
      </c>
      <c r="BC238" s="92">
        <f t="shared" si="380"/>
        <v>27.626473018534892</v>
      </c>
      <c r="BD238" s="92">
        <f t="shared" si="380"/>
        <v>55.453761686591861</v>
      </c>
      <c r="BE238" s="92">
        <f t="shared" si="380"/>
        <v>32.708626705294904</v>
      </c>
      <c r="BF238" s="92">
        <f t="shared" si="380"/>
        <v>32.268114919996087</v>
      </c>
      <c r="BG238" s="92">
        <f t="shared" si="380"/>
        <v>64.976741625290984</v>
      </c>
      <c r="BH238" s="92">
        <f t="shared" si="380"/>
        <v>36.109132393583934</v>
      </c>
      <c r="BI238" s="92">
        <f t="shared" si="380"/>
        <v>36.612681173984157</v>
      </c>
      <c r="BJ238" s="92">
        <f t="shared" si="380"/>
        <v>72.721813567568091</v>
      </c>
      <c r="BK238" s="92">
        <f t="shared" si="380"/>
        <v>37.629913853236665</v>
      </c>
      <c r="BL238" s="92">
        <f t="shared" si="380"/>
        <v>39.346544446012032</v>
      </c>
      <c r="BM238" s="92">
        <f t="shared" si="380"/>
        <v>76.976458299248705</v>
      </c>
    </row>
    <row r="239" spans="1:65">
      <c r="A239" s="6" t="s">
        <v>65</v>
      </c>
      <c r="B239" s="336" t="s">
        <v>390</v>
      </c>
      <c r="C239" s="92">
        <f t="shared" ref="C239:W239" si="381">+C235/C226*100</f>
        <v>11.569076305220884</v>
      </c>
      <c r="D239" s="92">
        <f>+D235/D226*100</f>
        <v>11.374899598393574</v>
      </c>
      <c r="E239" s="92">
        <f t="shared" si="381"/>
        <v>22.943975903614458</v>
      </c>
      <c r="F239" s="92">
        <f t="shared" si="381"/>
        <v>12.013253012048192</v>
      </c>
      <c r="G239" s="92">
        <f t="shared" si="381"/>
        <v>11.804216867469879</v>
      </c>
      <c r="H239" s="92">
        <f t="shared" si="381"/>
        <v>23.817469879518075</v>
      </c>
      <c r="I239" s="92">
        <f t="shared" si="381"/>
        <v>11.620281124497991</v>
      </c>
      <c r="J239" s="92">
        <f t="shared" si="381"/>
        <v>11.126706827309238</v>
      </c>
      <c r="K239" s="92">
        <f t="shared" si="381"/>
        <v>22.746987951807228</v>
      </c>
      <c r="L239" s="92">
        <f t="shared" si="381"/>
        <v>11.030522088353415</v>
      </c>
      <c r="M239" s="92">
        <f t="shared" si="381"/>
        <v>12.891365461847389</v>
      </c>
      <c r="N239" s="92">
        <f t="shared" si="381"/>
        <v>23.921887550200804</v>
      </c>
      <c r="O239" s="92">
        <f t="shared" si="381"/>
        <v>11.965461847389559</v>
      </c>
      <c r="P239" s="92">
        <f t="shared" si="381"/>
        <v>12.738353413654618</v>
      </c>
      <c r="Q239" s="92">
        <f t="shared" si="381"/>
        <v>24.703815261044181</v>
      </c>
      <c r="R239" s="92">
        <f t="shared" si="381"/>
        <v>16.119879518072288</v>
      </c>
      <c r="S239" s="92">
        <f t="shared" si="381"/>
        <v>17.124297188755023</v>
      </c>
      <c r="T239" s="92">
        <f t="shared" si="381"/>
        <v>33.244176706827311</v>
      </c>
      <c r="U239" s="92">
        <f t="shared" si="381"/>
        <v>18.055823293172693</v>
      </c>
      <c r="V239" s="92">
        <f t="shared" si="381"/>
        <v>20.542168674698789</v>
      </c>
      <c r="W239" s="92">
        <f t="shared" si="381"/>
        <v>38.597991967871479</v>
      </c>
      <c r="X239" s="92">
        <f t="shared" ref="X239:AO239" si="382">+X235/X226*100</f>
        <v>19.306626506024095</v>
      </c>
      <c r="Y239" s="92">
        <f t="shared" si="382"/>
        <v>23.034538152610441</v>
      </c>
      <c r="Z239" s="92">
        <f t="shared" si="382"/>
        <v>42.34116465863454</v>
      </c>
      <c r="AA239" s="92">
        <f t="shared" si="382"/>
        <v>21.228514056224903</v>
      </c>
      <c r="AB239" s="92">
        <f>AC239-AA239</f>
        <v>23.39773957951742</v>
      </c>
      <c r="AC239" s="92">
        <f t="shared" si="382"/>
        <v>44.626253635742323</v>
      </c>
      <c r="AD239" s="92">
        <f>+AD235/AD226*100</f>
        <v>13.687209662666119</v>
      </c>
      <c r="AE239" s="92">
        <f t="shared" si="382"/>
        <v>28.750433147022868</v>
      </c>
      <c r="AF239" s="92">
        <f t="shared" si="382"/>
        <v>42.437642809688988</v>
      </c>
      <c r="AG239" s="92">
        <f>+AG235/AG226*100</f>
        <v>18.710007815212883</v>
      </c>
      <c r="AH239" s="92">
        <f>+AH235/AH226*100</f>
        <v>20.561530766547499</v>
      </c>
      <c r="AI239" s="92">
        <f>+AI235/AI226*100</f>
        <v>39.886818481089385</v>
      </c>
      <c r="AJ239" s="92">
        <f t="shared" si="382"/>
        <v>19.047370449463067</v>
      </c>
      <c r="AK239" s="92">
        <f>+AK235/AK226*100</f>
        <v>25.163464490471789</v>
      </c>
      <c r="AL239" s="92">
        <f>+AL235/AL226*100</f>
        <v>44.21084732748799</v>
      </c>
      <c r="AM239" s="92">
        <f t="shared" si="382"/>
        <v>25.387618586282379</v>
      </c>
      <c r="AN239" s="92">
        <f t="shared" si="382"/>
        <v>30.655342936331127</v>
      </c>
      <c r="AO239" s="92">
        <f t="shared" si="382"/>
        <v>56.042961522613496</v>
      </c>
      <c r="AP239" s="92">
        <f t="shared" ref="AP239:AU239" si="383">+AP235/AP226*100</f>
        <v>32.548629855689917</v>
      </c>
      <c r="AQ239" s="92">
        <f t="shared" si="383"/>
        <v>30.089930480811368</v>
      </c>
      <c r="AR239" s="92">
        <f t="shared" si="383"/>
        <v>62.651826407999735</v>
      </c>
      <c r="AS239" s="92">
        <f t="shared" si="383"/>
        <v>34.632759349626227</v>
      </c>
      <c r="AT239" s="92">
        <f t="shared" si="383"/>
        <v>29.716704273207771</v>
      </c>
      <c r="AU239" s="92">
        <f t="shared" si="383"/>
        <v>64.349463622834008</v>
      </c>
      <c r="AV239" s="92">
        <f t="shared" ref="AV239:AX239" si="384">+AV235/AV226*100</f>
        <v>28.011323776058077</v>
      </c>
      <c r="AW239" s="92">
        <f t="shared" si="384"/>
        <v>24.635813814858047</v>
      </c>
      <c r="AX239" s="93">
        <f t="shared" si="384"/>
        <v>52.714320309977388</v>
      </c>
      <c r="AY239" s="92">
        <f t="shared" ref="AY239:BM239" si="385">+AY235/AY226*100</f>
        <v>22.228765000883445</v>
      </c>
      <c r="AZ239" s="92">
        <f t="shared" si="385"/>
        <v>22.602882866694284</v>
      </c>
      <c r="BA239" s="92">
        <f t="shared" si="385"/>
        <v>44.327709696856921</v>
      </c>
      <c r="BB239" s="92">
        <f t="shared" si="385"/>
        <v>27.827288668056966</v>
      </c>
      <c r="BC239" s="92">
        <f t="shared" si="385"/>
        <v>27.626473018534892</v>
      </c>
      <c r="BD239" s="92">
        <f t="shared" si="385"/>
        <v>55.453761686591861</v>
      </c>
      <c r="BE239" s="92">
        <f t="shared" si="385"/>
        <v>32.708626705294904</v>
      </c>
      <c r="BF239" s="92">
        <f t="shared" si="385"/>
        <v>32.268114919996087</v>
      </c>
      <c r="BG239" s="92">
        <f t="shared" si="385"/>
        <v>64.976741625290984</v>
      </c>
      <c r="BH239" s="92">
        <f t="shared" si="385"/>
        <v>36.109132393583934</v>
      </c>
      <c r="BI239" s="92">
        <f t="shared" si="385"/>
        <v>36.612681173984157</v>
      </c>
      <c r="BJ239" s="92">
        <f t="shared" si="385"/>
        <v>72.721813567568091</v>
      </c>
      <c r="BK239" s="92">
        <f t="shared" si="385"/>
        <v>37.629913853236665</v>
      </c>
      <c r="BL239" s="92">
        <f t="shared" si="385"/>
        <v>39.346544446012032</v>
      </c>
      <c r="BM239" s="92">
        <f t="shared" si="385"/>
        <v>76.976458299248705</v>
      </c>
    </row>
    <row r="240" spans="1:65">
      <c r="A240" s="6" t="s">
        <v>7</v>
      </c>
      <c r="B240" s="52" t="s">
        <v>76</v>
      </c>
      <c r="C240" s="27"/>
      <c r="D240" s="27"/>
      <c r="E240" s="27"/>
      <c r="F240" s="27">
        <f t="shared" ref="F240:O241" si="386">+F238/C238-1</f>
        <v>3.8393446037421342E-2</v>
      </c>
      <c r="G240" s="27">
        <f t="shared" si="386"/>
        <v>3.774251063604428E-2</v>
      </c>
      <c r="H240" s="27">
        <f t="shared" si="386"/>
        <v>3.8070732795967288E-2</v>
      </c>
      <c r="I240" s="27">
        <f t="shared" si="386"/>
        <v>-3.2711530103968212E-2</v>
      </c>
      <c r="J240" s="27">
        <f t="shared" si="386"/>
        <v>-5.7395594114144632E-2</v>
      </c>
      <c r="K240" s="27">
        <f t="shared" si="386"/>
        <v>-4.4945241166502448E-2</v>
      </c>
      <c r="L240" s="27">
        <f t="shared" si="386"/>
        <v>-5.0752561820663677E-2</v>
      </c>
      <c r="M240" s="27">
        <f t="shared" si="386"/>
        <v>0.15859666853151877</v>
      </c>
      <c r="N240" s="27">
        <f t="shared" si="386"/>
        <v>5.1650776836158263E-2</v>
      </c>
      <c r="O240" s="27">
        <f t="shared" si="386"/>
        <v>8.4759338818903407E-2</v>
      </c>
      <c r="P240" s="27">
        <f t="shared" ref="P240:Y241" si="387">+P238/M238-1</f>
        <v>-1.186934375924853E-2</v>
      </c>
      <c r="Q240" s="27">
        <f t="shared" si="387"/>
        <v>3.2686706230955931E-2</v>
      </c>
      <c r="R240" s="27">
        <f t="shared" si="387"/>
        <v>0.3472007786802711</v>
      </c>
      <c r="S240" s="27">
        <f t="shared" si="387"/>
        <v>0.34431010293677211</v>
      </c>
      <c r="T240" s="27">
        <f t="shared" si="387"/>
        <v>0.34571022149969499</v>
      </c>
      <c r="U240" s="27">
        <f t="shared" si="387"/>
        <v>0.1200966652964115</v>
      </c>
      <c r="V240" s="27">
        <f t="shared" si="387"/>
        <v>0.1995919276726974</v>
      </c>
      <c r="W240" s="27">
        <f t="shared" si="387"/>
        <v>0.16104520524777088</v>
      </c>
      <c r="X240" s="27">
        <f t="shared" si="387"/>
        <v>6.9274227629617879E-2</v>
      </c>
      <c r="Y240" s="27">
        <f t="shared" si="387"/>
        <v>0.12132942326490737</v>
      </c>
      <c r="Z240" s="27">
        <f>+Z238/W238-1</f>
        <v>9.6978430740097377E-2</v>
      </c>
      <c r="AA240" s="27">
        <f>+AA238/X238-1</f>
        <v>9.9545487638720065E-2</v>
      </c>
      <c r="AB240" s="27">
        <f t="shared" ref="AB240:AD241" si="388">+AB238/Y238-1</f>
        <v>1.576768869862577E-2</v>
      </c>
      <c r="AC240" s="27">
        <f t="shared" si="388"/>
        <v>5.3968496037621216E-2</v>
      </c>
      <c r="AD240" s="27">
        <f t="shared" si="388"/>
        <v>-0.35524410109841975</v>
      </c>
      <c r="AE240" s="27">
        <f t="shared" ref="AE240:AI241" si="389">+AE238/AB238-1</f>
        <v>-4.4816924946881942E-2</v>
      </c>
      <c r="AF240" s="27">
        <f t="shared" si="389"/>
        <v>-0.19248577759484653</v>
      </c>
      <c r="AG240" s="27">
        <f t="shared" si="389"/>
        <v>0.36697020622451526</v>
      </c>
      <c r="AH240" s="27">
        <f t="shared" si="389"/>
        <v>-7.9984969748800872E-2</v>
      </c>
      <c r="AI240" s="27">
        <f t="shared" si="389"/>
        <v>0.10685004539491905</v>
      </c>
      <c r="AJ240" s="27">
        <f t="shared" ref="AJ240:AL241" si="390">+AJ238/AG238-1</f>
        <v>1.8031132727581056E-2</v>
      </c>
      <c r="AK240" s="27">
        <f t="shared" si="390"/>
        <v>0.22381279760607065</v>
      </c>
      <c r="AL240" s="27">
        <f t="shared" si="390"/>
        <v>0.1084074641964401</v>
      </c>
      <c r="AM240" s="27">
        <f t="shared" ref="AM240:AP241" si="391">+AM238/AJ238-1</f>
        <v>0.27597669107547751</v>
      </c>
      <c r="AN240" s="27">
        <f t="shared" si="391"/>
        <v>0.44586757468379323</v>
      </c>
      <c r="AO240" s="27">
        <f t="shared" si="391"/>
        <v>0.37267303754078673</v>
      </c>
      <c r="AP240" s="27">
        <f t="shared" si="391"/>
        <v>0.18426751592356672</v>
      </c>
      <c r="AQ240" s="27">
        <f>+AQ238/AN238-1</f>
        <v>-0.14155493314216194</v>
      </c>
      <c r="AR240" s="27">
        <f>+AR238/AO238-1</f>
        <v>-1.0875955480711519E-2</v>
      </c>
      <c r="AS240" s="27">
        <f t="shared" ref="AS240:AS241" si="392">+AS238/AP238-1</f>
        <v>0.20326008090347947</v>
      </c>
      <c r="AT240" s="27">
        <f>+AT238/AQ238-1</f>
        <v>-3.0429845743441319E-2</v>
      </c>
      <c r="AU240" s="27">
        <f>+AU238/AR238-1</f>
        <v>8.1432997856075717E-2</v>
      </c>
      <c r="AV240" s="27">
        <f t="shared" ref="AV240:AV241" si="393">+AV238/AS238-1</f>
        <v>-0.19118995130371008</v>
      </c>
      <c r="AW240" s="27">
        <f>+AW238/AT238-1</f>
        <v>-0.30250417894022408</v>
      </c>
      <c r="AX240" s="402">
        <f>+AX238/AU238-1</f>
        <v>-0.24208223904950921</v>
      </c>
      <c r="AY240" s="27">
        <f t="shared" ref="AY240:BM241" si="394">+AY238/AV238-1</f>
        <v>-0.2064364691010111</v>
      </c>
      <c r="AZ240" s="27">
        <f t="shared" si="394"/>
        <v>7.0117642952158388E-2</v>
      </c>
      <c r="BA240" s="27">
        <f t="shared" si="394"/>
        <v>-9.9037136033896189E-2</v>
      </c>
      <c r="BB240" s="27">
        <f t="shared" si="394"/>
        <v>0.25185941130562206</v>
      </c>
      <c r="BC240" s="27">
        <f t="shared" si="394"/>
        <v>0.22225439920510981</v>
      </c>
      <c r="BD240" s="27">
        <f t="shared" si="394"/>
        <v>0.25099541721921703</v>
      </c>
      <c r="BE240" s="27">
        <f t="shared" si="394"/>
        <v>0.17541551012985468</v>
      </c>
      <c r="BF240" s="27">
        <f t="shared" si="394"/>
        <v>0.16801427740512032</v>
      </c>
      <c r="BG240" s="27">
        <f t="shared" si="394"/>
        <v>0.17172829487240504</v>
      </c>
      <c r="BH240" s="27">
        <f t="shared" si="394"/>
        <v>0.10396357263567269</v>
      </c>
      <c r="BI240" s="27">
        <f t="shared" si="394"/>
        <v>0.13463960521895268</v>
      </c>
      <c r="BJ240" s="27">
        <f t="shared" si="394"/>
        <v>0.1191976043819114</v>
      </c>
      <c r="BK240" s="27">
        <f t="shared" si="394"/>
        <v>4.2116255884424136E-2</v>
      </c>
      <c r="BL240" s="27">
        <f t="shared" si="394"/>
        <v>7.4669846194451273E-2</v>
      </c>
      <c r="BM240" s="27">
        <f t="shared" si="394"/>
        <v>5.8505756704313905E-2</v>
      </c>
    </row>
    <row r="241" spans="1:65">
      <c r="A241" s="6" t="s">
        <v>95</v>
      </c>
      <c r="B241" s="52" t="s">
        <v>76</v>
      </c>
      <c r="C241" s="27"/>
      <c r="D241" s="27"/>
      <c r="E241" s="27"/>
      <c r="F241" s="27">
        <f t="shared" si="386"/>
        <v>3.8393446037421342E-2</v>
      </c>
      <c r="G241" s="27">
        <f t="shared" si="386"/>
        <v>3.774251063604428E-2</v>
      </c>
      <c r="H241" s="27">
        <f t="shared" si="386"/>
        <v>3.8070732795967288E-2</v>
      </c>
      <c r="I241" s="27">
        <f t="shared" si="386"/>
        <v>-3.2711530103968212E-2</v>
      </c>
      <c r="J241" s="27">
        <f t="shared" si="386"/>
        <v>-5.7395594114144632E-2</v>
      </c>
      <c r="K241" s="27">
        <f t="shared" si="386"/>
        <v>-4.4945241166502448E-2</v>
      </c>
      <c r="L241" s="27">
        <f t="shared" si="386"/>
        <v>-5.0752561820663677E-2</v>
      </c>
      <c r="M241" s="27">
        <f t="shared" si="386"/>
        <v>0.15859666853151877</v>
      </c>
      <c r="N241" s="27">
        <f t="shared" si="386"/>
        <v>5.1650776836158263E-2</v>
      </c>
      <c r="O241" s="27">
        <f t="shared" si="386"/>
        <v>8.4759338818903407E-2</v>
      </c>
      <c r="P241" s="27">
        <f t="shared" si="387"/>
        <v>-1.186934375924853E-2</v>
      </c>
      <c r="Q241" s="27">
        <f t="shared" si="387"/>
        <v>3.2686706230955931E-2</v>
      </c>
      <c r="R241" s="27">
        <f t="shared" si="387"/>
        <v>0.3472007786802711</v>
      </c>
      <c r="S241" s="27">
        <f t="shared" si="387"/>
        <v>0.34431010293677211</v>
      </c>
      <c r="T241" s="27">
        <f t="shared" si="387"/>
        <v>0.34571022149969499</v>
      </c>
      <c r="U241" s="27">
        <f t="shared" si="387"/>
        <v>0.1200966652964115</v>
      </c>
      <c r="V241" s="27">
        <f t="shared" si="387"/>
        <v>0.1995919276726974</v>
      </c>
      <c r="W241" s="27">
        <f t="shared" si="387"/>
        <v>0.16104520524777088</v>
      </c>
      <c r="X241" s="27">
        <f t="shared" si="387"/>
        <v>6.9274227629617879E-2</v>
      </c>
      <c r="Y241" s="27">
        <f t="shared" si="387"/>
        <v>0.12132942326490737</v>
      </c>
      <c r="Z241" s="27">
        <f>+Z239/W239-1</f>
        <v>9.6978430740097377E-2</v>
      </c>
      <c r="AA241" s="27">
        <f>+AA239/X239-1</f>
        <v>9.9545487638720065E-2</v>
      </c>
      <c r="AB241" s="27">
        <f t="shared" si="388"/>
        <v>1.576768869862577E-2</v>
      </c>
      <c r="AC241" s="27">
        <f t="shared" si="388"/>
        <v>5.3968496037621216E-2</v>
      </c>
      <c r="AD241" s="27">
        <f t="shared" si="388"/>
        <v>-0.35524410109841975</v>
      </c>
      <c r="AE241" s="27">
        <f t="shared" si="389"/>
        <v>0.22876968731591663</v>
      </c>
      <c r="AF241" s="27">
        <f t="shared" si="389"/>
        <v>-4.9043122551081009E-2</v>
      </c>
      <c r="AG241" s="27">
        <f t="shared" si="389"/>
        <v>0.36697020622451526</v>
      </c>
      <c r="AH241" s="27">
        <f t="shared" si="389"/>
        <v>-0.28482709594666877</v>
      </c>
      <c r="AI241" s="27">
        <f t="shared" si="389"/>
        <v>-6.0107587502886028E-2</v>
      </c>
      <c r="AJ241" s="27">
        <f t="shared" si="390"/>
        <v>1.8031132727581056E-2</v>
      </c>
      <c r="AK241" s="27">
        <f t="shared" si="390"/>
        <v>0.22381279760607065</v>
      </c>
      <c r="AL241" s="27">
        <f t="shared" si="390"/>
        <v>0.1084074641964401</v>
      </c>
      <c r="AM241" s="27">
        <f t="shared" si="391"/>
        <v>0.33286737156928869</v>
      </c>
      <c r="AN241" s="27">
        <f t="shared" si="391"/>
        <v>0.21824810522171356</v>
      </c>
      <c r="AO241" s="27">
        <f t="shared" si="391"/>
        <v>0.26762921116349925</v>
      </c>
      <c r="AP241" s="27">
        <f t="shared" si="391"/>
        <v>0.28206707317073154</v>
      </c>
      <c r="AQ241" s="27">
        <f>+AQ239/AN239-1</f>
        <v>-1.8444173229250072E-2</v>
      </c>
      <c r="AR241" s="27">
        <f>+AR239/AO239-1</f>
        <v>0.11792497587265349</v>
      </c>
      <c r="AS241" s="27">
        <f t="shared" si="392"/>
        <v>6.4031251182512516E-2</v>
      </c>
      <c r="AT241" s="27">
        <f>+AT239/AQ239-1</f>
        <v>-1.2403691256169802E-2</v>
      </c>
      <c r="AU241" s="27">
        <f>+AU239/AR239-1</f>
        <v>2.7096372319283413E-2</v>
      </c>
      <c r="AV241" s="27">
        <f t="shared" si="393"/>
        <v>-0.19118995130371008</v>
      </c>
      <c r="AW241" s="27">
        <f>+AW239/AT239-1</f>
        <v>-0.17097758929245044</v>
      </c>
      <c r="AX241" s="402">
        <f>+AX239/AU239-1</f>
        <v>-0.18081181501453825</v>
      </c>
      <c r="AY241" s="27">
        <f t="shared" si="394"/>
        <v>-0.2064364691010111</v>
      </c>
      <c r="AZ241" s="27">
        <f t="shared" si="394"/>
        <v>-8.2519333984318655E-2</v>
      </c>
      <c r="BA241" s="27">
        <f t="shared" si="394"/>
        <v>-0.15909548987456279</v>
      </c>
      <c r="BB241" s="27">
        <f t="shared" si="394"/>
        <v>0.25185941130562206</v>
      </c>
      <c r="BC241" s="27">
        <f t="shared" si="394"/>
        <v>0.22225439920510981</v>
      </c>
      <c r="BD241" s="27">
        <f t="shared" si="394"/>
        <v>0.25099541721921703</v>
      </c>
      <c r="BE241" s="27">
        <f t="shared" si="394"/>
        <v>0.17541551012985468</v>
      </c>
      <c r="BF241" s="27">
        <f t="shared" si="394"/>
        <v>0.16801427740512032</v>
      </c>
      <c r="BG241" s="27">
        <f t="shared" si="394"/>
        <v>0.17172829487240504</v>
      </c>
      <c r="BH241" s="27">
        <f t="shared" si="394"/>
        <v>0.10396357263567269</v>
      </c>
      <c r="BI241" s="27">
        <f t="shared" si="394"/>
        <v>0.13463960521895268</v>
      </c>
      <c r="BJ241" s="27">
        <f t="shared" si="394"/>
        <v>0.1191976043819114</v>
      </c>
      <c r="BK241" s="27">
        <f t="shared" si="394"/>
        <v>4.2116255884424136E-2</v>
      </c>
      <c r="BL241" s="27">
        <f t="shared" si="394"/>
        <v>7.4669846194451273E-2</v>
      </c>
      <c r="BM241" s="27">
        <f t="shared" si="394"/>
        <v>5.8505756704313905E-2</v>
      </c>
    </row>
    <row r="243" spans="1:65">
      <c r="A243" s="13" t="s">
        <v>119</v>
      </c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30"/>
    </row>
    <row r="244" spans="1:65">
      <c r="A244" s="6" t="s">
        <v>120</v>
      </c>
      <c r="B244" s="336" t="s">
        <v>390</v>
      </c>
      <c r="C244" s="26">
        <v>4</v>
      </c>
      <c r="D244" s="26">
        <v>7.6</v>
      </c>
      <c r="E244" s="320">
        <f>SUM(C244:D244)</f>
        <v>11.6</v>
      </c>
      <c r="F244" s="26">
        <v>4.2</v>
      </c>
      <c r="G244" s="26">
        <v>8</v>
      </c>
      <c r="H244" s="320">
        <f>SUM(F244:G244)</f>
        <v>12.2</v>
      </c>
      <c r="I244" s="26">
        <v>4.2</v>
      </c>
      <c r="J244" s="26">
        <v>8</v>
      </c>
      <c r="K244" s="320">
        <f>SUM(I244:J244)</f>
        <v>12.2</v>
      </c>
      <c r="L244" s="26">
        <v>4.2</v>
      </c>
      <c r="M244" s="26">
        <v>8.1999999999999993</v>
      </c>
      <c r="N244" s="320">
        <f>SUM(L244:M244)</f>
        <v>12.399999999999999</v>
      </c>
      <c r="O244" s="26">
        <v>4.4000000000000004</v>
      </c>
      <c r="P244" s="26">
        <v>8.4</v>
      </c>
      <c r="Q244" s="320">
        <f>SUM(O244:P244)</f>
        <v>12.8</v>
      </c>
      <c r="R244" s="26">
        <v>4.8</v>
      </c>
      <c r="S244" s="26">
        <v>10.4</v>
      </c>
      <c r="T244" s="320">
        <f>SUM(R244:S244)</f>
        <v>15.2</v>
      </c>
      <c r="U244" s="26">
        <v>5.4</v>
      </c>
      <c r="V244" s="26">
        <v>13</v>
      </c>
      <c r="W244" s="320">
        <f>SUM(U244:V244)</f>
        <v>18.399999999999999</v>
      </c>
      <c r="X244" s="26">
        <v>5.8</v>
      </c>
      <c r="Y244" s="26">
        <v>14.2</v>
      </c>
      <c r="Z244" s="38">
        <f>Y244+X244</f>
        <v>20</v>
      </c>
      <c r="AA244" s="26">
        <v>6</v>
      </c>
      <c r="AB244" s="91">
        <v>14.25</v>
      </c>
      <c r="AC244" s="38">
        <f>AB244+AA244</f>
        <v>20.25</v>
      </c>
      <c r="AD244" s="91">
        <v>6</v>
      </c>
      <c r="AE244" s="91">
        <v>14.25</v>
      </c>
      <c r="AF244" s="38">
        <f>AE244+AD244</f>
        <v>20.25</v>
      </c>
      <c r="AG244" s="26">
        <v>6</v>
      </c>
      <c r="AH244" s="26">
        <v>6</v>
      </c>
      <c r="AI244" s="25">
        <f>AH244+AG244</f>
        <v>12</v>
      </c>
      <c r="AJ244" s="26">
        <v>6</v>
      </c>
      <c r="AK244" s="26">
        <v>12</v>
      </c>
      <c r="AL244" s="25">
        <f>AK244+AJ244</f>
        <v>18</v>
      </c>
      <c r="AM244" s="26">
        <v>7.5</v>
      </c>
      <c r="AN244" s="26">
        <f>ROUND(AN252*AN239,0)</f>
        <v>14</v>
      </c>
      <c r="AO244" s="25">
        <f>AN244+AM244</f>
        <v>21.5</v>
      </c>
      <c r="AP244" s="26">
        <v>8</v>
      </c>
      <c r="AQ244" s="26">
        <v>17</v>
      </c>
      <c r="AR244" s="25">
        <f>AQ244+AP244</f>
        <v>25</v>
      </c>
      <c r="AS244" s="26">
        <v>8</v>
      </c>
      <c r="AT244" s="26">
        <v>17.75</v>
      </c>
      <c r="AU244" s="25">
        <f>AT244+AS244</f>
        <v>25.75</v>
      </c>
      <c r="AV244" s="26">
        <v>6.5</v>
      </c>
      <c r="AW244" s="26">
        <v>11.86</v>
      </c>
      <c r="AX244" s="413">
        <f>AW244+AV244</f>
        <v>18.36</v>
      </c>
      <c r="AY244" s="38">
        <f>ROUND(AY252*AY239,0)</f>
        <v>5</v>
      </c>
      <c r="AZ244" s="38">
        <f>ROUND(AZ252*AZ239,0)</f>
        <v>11</v>
      </c>
      <c r="BA244" s="38">
        <f>AZ244+AY244</f>
        <v>16</v>
      </c>
      <c r="BB244" s="38">
        <f>ROUND(BB252*BB239,0)</f>
        <v>6</v>
      </c>
      <c r="BC244" s="38">
        <f>ROUND(BC252*BC239,0)</f>
        <v>13</v>
      </c>
      <c r="BD244" s="38">
        <f>BC244+BB244</f>
        <v>19</v>
      </c>
      <c r="BE244" s="38">
        <f>ROUND(BE252*BE239,0)</f>
        <v>8</v>
      </c>
      <c r="BF244" s="38">
        <f>ROUND(BF252*BF239,0)</f>
        <v>16</v>
      </c>
      <c r="BG244" s="38">
        <f>BF244+BE244</f>
        <v>24</v>
      </c>
      <c r="BH244" s="38">
        <f>ROUND(BH252*BH239,0)</f>
        <v>8</v>
      </c>
      <c r="BI244" s="38">
        <f>ROUND(BI252*BI239,0)</f>
        <v>18</v>
      </c>
      <c r="BJ244" s="38">
        <f>BI244+BH244</f>
        <v>26</v>
      </c>
      <c r="BK244" s="38">
        <f>ROUND(BK252*BK239,0)</f>
        <v>9</v>
      </c>
      <c r="BL244" s="38">
        <f>ROUND(BL252*BL239,0)</f>
        <v>19</v>
      </c>
      <c r="BM244" s="38">
        <f>BL244+BK244</f>
        <v>28</v>
      </c>
    </row>
    <row r="245" spans="1:65">
      <c r="A245" s="6" t="s">
        <v>121</v>
      </c>
      <c r="B245" s="336" t="s">
        <v>390</v>
      </c>
      <c r="C245" s="318">
        <v>0</v>
      </c>
      <c r="D245" s="319">
        <v>0</v>
      </c>
      <c r="E245" s="320">
        <f>SUM(C245:D245)</f>
        <v>0</v>
      </c>
      <c r="F245" s="318">
        <v>0</v>
      </c>
      <c r="G245" s="319">
        <v>0</v>
      </c>
      <c r="H245" s="320">
        <f>SUM(F245:G245)</f>
        <v>0</v>
      </c>
      <c r="I245" s="318">
        <v>0</v>
      </c>
      <c r="J245" s="319">
        <v>0</v>
      </c>
      <c r="K245" s="320">
        <f>SUM(I245:J245)</f>
        <v>0</v>
      </c>
      <c r="L245" s="318">
        <v>0</v>
      </c>
      <c r="M245" s="319">
        <v>0</v>
      </c>
      <c r="N245" s="320">
        <f>SUM(L245:M245)</f>
        <v>0</v>
      </c>
      <c r="O245" s="318">
        <v>0</v>
      </c>
      <c r="P245" s="319">
        <v>0</v>
      </c>
      <c r="Q245" s="320">
        <f>SUM(O245:P245)</f>
        <v>0</v>
      </c>
      <c r="R245" s="318">
        <v>0</v>
      </c>
      <c r="S245" s="319">
        <v>0</v>
      </c>
      <c r="T245" s="320">
        <f>SUM(R245:S245)</f>
        <v>0</v>
      </c>
      <c r="U245" s="318">
        <v>0</v>
      </c>
      <c r="V245" s="319">
        <v>0</v>
      </c>
      <c r="W245" s="320">
        <f>SUM(U245:V245)</f>
        <v>0</v>
      </c>
      <c r="X245" s="318">
        <v>0</v>
      </c>
      <c r="Y245" s="319">
        <v>0</v>
      </c>
      <c r="Z245" s="320">
        <f>SUM(X245:Y245)</f>
        <v>0</v>
      </c>
      <c r="AA245" s="318">
        <v>0</v>
      </c>
      <c r="AB245" s="319">
        <v>0</v>
      </c>
      <c r="AC245" s="320">
        <f>SUM(AA245:AB245)</f>
        <v>0</v>
      </c>
      <c r="AD245" s="318">
        <v>0</v>
      </c>
      <c r="AE245" s="319">
        <v>0</v>
      </c>
      <c r="AF245" s="320">
        <f>SUM(AD245:AE245)</f>
        <v>0</v>
      </c>
      <c r="AG245" s="318">
        <v>0</v>
      </c>
      <c r="AH245" s="319">
        <v>0</v>
      </c>
      <c r="AI245" s="320">
        <f>SUM(AG245:AH245)</f>
        <v>0</v>
      </c>
      <c r="AJ245" s="318">
        <v>0</v>
      </c>
      <c r="AK245" s="319">
        <v>0</v>
      </c>
      <c r="AL245" s="320">
        <f>SUM(AJ245:AK245)</f>
        <v>0</v>
      </c>
      <c r="AM245" s="318"/>
      <c r="AN245" s="319"/>
      <c r="AO245" s="320"/>
      <c r="AP245" s="318"/>
      <c r="AQ245" s="319"/>
      <c r="AR245" s="320"/>
      <c r="AS245" s="318"/>
      <c r="AT245" s="319"/>
      <c r="AU245" s="320"/>
      <c r="AV245" s="318"/>
      <c r="AW245" s="319"/>
      <c r="AX245" s="46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</row>
    <row r="246" spans="1:65">
      <c r="A246" s="6" t="s">
        <v>122</v>
      </c>
      <c r="B246" s="336" t="s">
        <v>390</v>
      </c>
      <c r="C246" s="36">
        <f>SUM(C244:C245)</f>
        <v>4</v>
      </c>
      <c r="D246" s="36">
        <f>SUM(D244:D245)</f>
        <v>7.6</v>
      </c>
      <c r="E246" s="36">
        <f>SUM(E244:E245)</f>
        <v>11.6</v>
      </c>
      <c r="F246" s="36">
        <f t="shared" ref="F246:AI246" si="395">SUM(F244:F245)</f>
        <v>4.2</v>
      </c>
      <c r="G246" s="36">
        <f t="shared" si="395"/>
        <v>8</v>
      </c>
      <c r="H246" s="36">
        <f t="shared" si="395"/>
        <v>12.2</v>
      </c>
      <c r="I246" s="36">
        <f t="shared" si="395"/>
        <v>4.2</v>
      </c>
      <c r="J246" s="36">
        <f t="shared" si="395"/>
        <v>8</v>
      </c>
      <c r="K246" s="36">
        <f t="shared" si="395"/>
        <v>12.2</v>
      </c>
      <c r="L246" s="36">
        <f t="shared" si="395"/>
        <v>4.2</v>
      </c>
      <c r="M246" s="36">
        <f t="shared" si="395"/>
        <v>8.1999999999999993</v>
      </c>
      <c r="N246" s="36">
        <f t="shared" si="395"/>
        <v>12.399999999999999</v>
      </c>
      <c r="O246" s="36">
        <f t="shared" si="395"/>
        <v>4.4000000000000004</v>
      </c>
      <c r="P246" s="36">
        <f t="shared" si="395"/>
        <v>8.4</v>
      </c>
      <c r="Q246" s="36">
        <f t="shared" si="395"/>
        <v>12.8</v>
      </c>
      <c r="R246" s="36">
        <f t="shared" si="395"/>
        <v>4.8</v>
      </c>
      <c r="S246" s="36">
        <f t="shared" si="395"/>
        <v>10.4</v>
      </c>
      <c r="T246" s="36">
        <f t="shared" si="395"/>
        <v>15.2</v>
      </c>
      <c r="U246" s="36">
        <f t="shared" si="395"/>
        <v>5.4</v>
      </c>
      <c r="V246" s="36">
        <f t="shared" si="395"/>
        <v>13</v>
      </c>
      <c r="W246" s="36">
        <f t="shared" si="395"/>
        <v>18.399999999999999</v>
      </c>
      <c r="X246" s="36">
        <f t="shared" si="395"/>
        <v>5.8</v>
      </c>
      <c r="Y246" s="36">
        <f t="shared" si="395"/>
        <v>14.2</v>
      </c>
      <c r="Z246" s="36">
        <f t="shared" si="395"/>
        <v>20</v>
      </c>
      <c r="AA246" s="36">
        <f t="shared" si="395"/>
        <v>6</v>
      </c>
      <c r="AB246" s="36">
        <f t="shared" si="395"/>
        <v>14.25</v>
      </c>
      <c r="AC246" s="36">
        <f t="shared" si="395"/>
        <v>20.25</v>
      </c>
      <c r="AD246" s="36">
        <f t="shared" si="395"/>
        <v>6</v>
      </c>
      <c r="AE246" s="36">
        <f t="shared" si="395"/>
        <v>14.25</v>
      </c>
      <c r="AF246" s="36">
        <f t="shared" si="395"/>
        <v>20.25</v>
      </c>
      <c r="AG246" s="36">
        <f t="shared" si="395"/>
        <v>6</v>
      </c>
      <c r="AH246" s="36">
        <f t="shared" si="395"/>
        <v>6</v>
      </c>
      <c r="AI246" s="36">
        <f t="shared" si="395"/>
        <v>12</v>
      </c>
      <c r="AJ246" s="36">
        <f>SUM(AJ244:AJ245)</f>
        <v>6</v>
      </c>
      <c r="AK246" s="36">
        <f>SUM(AK244:AK245)</f>
        <v>12</v>
      </c>
      <c r="AL246" s="36">
        <f>SUM(AL244:AL245)</f>
        <v>18</v>
      </c>
      <c r="AM246" s="36">
        <f t="shared" ref="AM246:AO246" si="396">+AM244+AM245</f>
        <v>7.5</v>
      </c>
      <c r="AN246" s="36">
        <f t="shared" si="396"/>
        <v>14</v>
      </c>
      <c r="AO246" s="36">
        <f t="shared" si="396"/>
        <v>21.5</v>
      </c>
      <c r="AP246" s="36">
        <f t="shared" ref="AP246:AU246" si="397">+AP244+AP245</f>
        <v>8</v>
      </c>
      <c r="AQ246" s="36">
        <f t="shared" si="397"/>
        <v>17</v>
      </c>
      <c r="AR246" s="36">
        <f t="shared" si="397"/>
        <v>25</v>
      </c>
      <c r="AS246" s="36">
        <f t="shared" si="397"/>
        <v>8</v>
      </c>
      <c r="AT246" s="36">
        <f t="shared" si="397"/>
        <v>17.75</v>
      </c>
      <c r="AU246" s="36">
        <f t="shared" si="397"/>
        <v>25.75</v>
      </c>
      <c r="AV246" s="36">
        <f t="shared" ref="AV246:AX246" si="398">+AV244+AV245</f>
        <v>6.5</v>
      </c>
      <c r="AW246" s="36">
        <f t="shared" si="398"/>
        <v>11.86</v>
      </c>
      <c r="AX246" s="463">
        <f t="shared" si="398"/>
        <v>18.36</v>
      </c>
      <c r="AY246" s="38">
        <f t="shared" ref="AY246:BM246" si="399">+AY244+AY245</f>
        <v>5</v>
      </c>
      <c r="AZ246" s="38">
        <f t="shared" si="399"/>
        <v>11</v>
      </c>
      <c r="BA246" s="38">
        <f t="shared" si="399"/>
        <v>16</v>
      </c>
      <c r="BB246" s="38">
        <f t="shared" si="399"/>
        <v>6</v>
      </c>
      <c r="BC246" s="38">
        <f t="shared" si="399"/>
        <v>13</v>
      </c>
      <c r="BD246" s="38">
        <f t="shared" si="399"/>
        <v>19</v>
      </c>
      <c r="BE246" s="38">
        <f t="shared" si="399"/>
        <v>8</v>
      </c>
      <c r="BF246" s="38">
        <f t="shared" si="399"/>
        <v>16</v>
      </c>
      <c r="BG246" s="38">
        <f t="shared" si="399"/>
        <v>24</v>
      </c>
      <c r="BH246" s="38">
        <f t="shared" si="399"/>
        <v>8</v>
      </c>
      <c r="BI246" s="38">
        <f t="shared" si="399"/>
        <v>18</v>
      </c>
      <c r="BJ246" s="38">
        <f t="shared" si="399"/>
        <v>26</v>
      </c>
      <c r="BK246" s="38">
        <f t="shared" si="399"/>
        <v>9</v>
      </c>
      <c r="BL246" s="38">
        <f t="shared" si="399"/>
        <v>19</v>
      </c>
      <c r="BM246" s="38">
        <f t="shared" si="399"/>
        <v>28</v>
      </c>
    </row>
    <row r="248" spans="1:65">
      <c r="A248" s="79" t="s">
        <v>174</v>
      </c>
      <c r="C248" s="30"/>
      <c r="D248" s="30"/>
      <c r="E248" s="30"/>
      <c r="F248" s="27">
        <f t="shared" ref="F248:Z248" si="400">+F246/C246-1</f>
        <v>5.0000000000000044E-2</v>
      </c>
      <c r="G248" s="27">
        <f t="shared" si="400"/>
        <v>5.2631578947368363E-2</v>
      </c>
      <c r="H248" s="27">
        <f t="shared" si="400"/>
        <v>5.1724137931034475E-2</v>
      </c>
      <c r="I248" s="27">
        <f t="shared" si="400"/>
        <v>0</v>
      </c>
      <c r="J248" s="27">
        <f t="shared" si="400"/>
        <v>0</v>
      </c>
      <c r="K248" s="27">
        <f t="shared" si="400"/>
        <v>0</v>
      </c>
      <c r="L248" s="27">
        <f t="shared" si="400"/>
        <v>0</v>
      </c>
      <c r="M248" s="27">
        <f t="shared" si="400"/>
        <v>2.4999999999999911E-2</v>
      </c>
      <c r="N248" s="27">
        <f t="shared" si="400"/>
        <v>1.6393442622950838E-2</v>
      </c>
      <c r="O248" s="27">
        <f t="shared" si="400"/>
        <v>4.7619047619047672E-2</v>
      </c>
      <c r="P248" s="27">
        <f t="shared" si="400"/>
        <v>2.4390243902439046E-2</v>
      </c>
      <c r="Q248" s="27">
        <f t="shared" si="400"/>
        <v>3.2258064516129226E-2</v>
      </c>
      <c r="R248" s="27">
        <f t="shared" si="400"/>
        <v>9.0909090909090828E-2</v>
      </c>
      <c r="S248" s="27">
        <f t="shared" si="400"/>
        <v>0.23809523809523814</v>
      </c>
      <c r="T248" s="27">
        <f t="shared" si="400"/>
        <v>0.18749999999999978</v>
      </c>
      <c r="U248" s="27">
        <f t="shared" si="400"/>
        <v>0.12500000000000022</v>
      </c>
      <c r="V248" s="27">
        <f t="shared" si="400"/>
        <v>0.25</v>
      </c>
      <c r="W248" s="27">
        <f t="shared" si="400"/>
        <v>0.21052631578947367</v>
      </c>
      <c r="X248" s="27">
        <f t="shared" si="400"/>
        <v>7.4074074074073959E-2</v>
      </c>
      <c r="Y248" s="27">
        <f t="shared" si="400"/>
        <v>9.2307692307692202E-2</v>
      </c>
      <c r="Z248" s="27">
        <f t="shared" si="400"/>
        <v>8.6956521739130599E-2</v>
      </c>
      <c r="AA248" s="27">
        <f t="shared" ref="AA248:AJ248" si="401">+AA246/X246-1</f>
        <v>3.4482758620689724E-2</v>
      </c>
      <c r="AB248" s="27">
        <f t="shared" si="401"/>
        <v>3.5211267605634866E-3</v>
      </c>
      <c r="AC248" s="27">
        <f t="shared" si="401"/>
        <v>1.2499999999999956E-2</v>
      </c>
      <c r="AD248" s="27">
        <f t="shared" si="401"/>
        <v>0</v>
      </c>
      <c r="AE248" s="27">
        <f>+AE246/AB246-1</f>
        <v>0</v>
      </c>
      <c r="AF248" s="27">
        <f>+AF246/AC246-1</f>
        <v>0</v>
      </c>
      <c r="AG248" s="27">
        <f t="shared" si="401"/>
        <v>0</v>
      </c>
      <c r="AH248" s="27">
        <f>+AH246/AE246-1</f>
        <v>-0.57894736842105265</v>
      </c>
      <c r="AI248" s="27">
        <f>+AI246/AF246-1</f>
        <v>-0.40740740740740744</v>
      </c>
      <c r="AJ248" s="27">
        <f t="shared" si="401"/>
        <v>0</v>
      </c>
      <c r="AK248" s="27">
        <f t="shared" ref="AK248:AS248" si="402">+AK246/AH246-1</f>
        <v>1</v>
      </c>
      <c r="AL248" s="27">
        <f t="shared" si="402"/>
        <v>0.5</v>
      </c>
      <c r="AM248" s="27">
        <f t="shared" si="402"/>
        <v>0.25</v>
      </c>
      <c r="AN248" s="27">
        <f t="shared" si="402"/>
        <v>0.16666666666666674</v>
      </c>
      <c r="AO248" s="27">
        <f t="shared" si="402"/>
        <v>0.19444444444444442</v>
      </c>
      <c r="AP248" s="27">
        <f t="shared" si="402"/>
        <v>6.6666666666666652E-2</v>
      </c>
      <c r="AQ248" s="27">
        <f t="shared" si="402"/>
        <v>0.21428571428571419</v>
      </c>
      <c r="AR248" s="27">
        <f t="shared" si="402"/>
        <v>0.16279069767441867</v>
      </c>
      <c r="AS248" s="27">
        <f t="shared" si="402"/>
        <v>0</v>
      </c>
      <c r="AT248" s="27">
        <f t="shared" ref="AT248" si="403">+AT246/AQ246-1</f>
        <v>4.4117647058823595E-2</v>
      </c>
      <c r="AU248" s="27">
        <f t="shared" ref="AU248:AV248" si="404">+AU246/AR246-1</f>
        <v>3.0000000000000027E-2</v>
      </c>
      <c r="AV248" s="27">
        <f t="shared" si="404"/>
        <v>-0.1875</v>
      </c>
      <c r="AW248" s="27">
        <f t="shared" ref="AW248" si="405">+AW246/AT246-1</f>
        <v>-0.33183098591549298</v>
      </c>
      <c r="AX248" s="402">
        <f t="shared" ref="AX248" si="406">+AX246/AU246-1</f>
        <v>-0.28699029126213593</v>
      </c>
      <c r="AY248" s="27">
        <f t="shared" ref="AY248:BM248" si="407">+AY246/AV246-1</f>
        <v>-0.23076923076923073</v>
      </c>
      <c r="AZ248" s="27">
        <f t="shared" si="407"/>
        <v>-7.251264755480602E-2</v>
      </c>
      <c r="BA248" s="27">
        <f t="shared" si="407"/>
        <v>-0.1285403050108932</v>
      </c>
      <c r="BB248" s="27">
        <f t="shared" si="407"/>
        <v>0.19999999999999996</v>
      </c>
      <c r="BC248" s="27">
        <f t="shared" si="407"/>
        <v>0.18181818181818188</v>
      </c>
      <c r="BD248" s="27">
        <f t="shared" si="407"/>
        <v>0.1875</v>
      </c>
      <c r="BE248" s="27">
        <f t="shared" si="407"/>
        <v>0.33333333333333326</v>
      </c>
      <c r="BF248" s="27">
        <f t="shared" si="407"/>
        <v>0.23076923076923084</v>
      </c>
      <c r="BG248" s="27">
        <f t="shared" si="407"/>
        <v>0.26315789473684204</v>
      </c>
      <c r="BH248" s="27">
        <f t="shared" si="407"/>
        <v>0</v>
      </c>
      <c r="BI248" s="27">
        <f t="shared" si="407"/>
        <v>0.125</v>
      </c>
      <c r="BJ248" s="27">
        <f t="shared" si="407"/>
        <v>8.3333333333333259E-2</v>
      </c>
      <c r="BK248" s="27">
        <f t="shared" si="407"/>
        <v>0.125</v>
      </c>
      <c r="BL248" s="27">
        <f t="shared" si="407"/>
        <v>5.555555555555558E-2</v>
      </c>
      <c r="BM248" s="27">
        <f t="shared" si="407"/>
        <v>7.6923076923076872E-2</v>
      </c>
    </row>
    <row r="249" spans="1:65">
      <c r="A249" s="6" t="s">
        <v>199</v>
      </c>
      <c r="B249" s="80">
        <f>'Fin Sum'!AE7</f>
        <v>13.73</v>
      </c>
      <c r="C249" s="30">
        <f t="shared" ref="C249:W249" si="408">+(C246/100)/$B$249</f>
        <v>2.9133284777858705E-3</v>
      </c>
      <c r="D249" s="30">
        <f t="shared" si="408"/>
        <v>5.5353241077931532E-3</v>
      </c>
      <c r="E249" s="27">
        <f t="shared" si="408"/>
        <v>8.4486525855790237E-3</v>
      </c>
      <c r="F249" s="30">
        <f t="shared" si="408"/>
        <v>3.058994901675164E-3</v>
      </c>
      <c r="G249" s="30">
        <f t="shared" si="408"/>
        <v>5.826656955571741E-3</v>
      </c>
      <c r="H249" s="27">
        <f t="shared" si="408"/>
        <v>8.8856518572469033E-3</v>
      </c>
      <c r="I249" s="30">
        <f t="shared" si="408"/>
        <v>3.058994901675164E-3</v>
      </c>
      <c r="J249" s="30">
        <f t="shared" si="408"/>
        <v>5.826656955571741E-3</v>
      </c>
      <c r="K249" s="27">
        <f t="shared" si="408"/>
        <v>8.8856518572469033E-3</v>
      </c>
      <c r="L249" s="30">
        <f t="shared" si="408"/>
        <v>3.058994901675164E-3</v>
      </c>
      <c r="M249" s="30">
        <f t="shared" si="408"/>
        <v>5.9723233794610336E-3</v>
      </c>
      <c r="N249" s="27">
        <f t="shared" si="408"/>
        <v>9.0313182811361959E-3</v>
      </c>
      <c r="O249" s="30">
        <f t="shared" si="408"/>
        <v>3.2046613255644575E-3</v>
      </c>
      <c r="P249" s="30">
        <f t="shared" si="408"/>
        <v>6.117989803350328E-3</v>
      </c>
      <c r="Q249" s="27">
        <f t="shared" si="408"/>
        <v>9.3226511289147846E-3</v>
      </c>
      <c r="R249" s="30">
        <f t="shared" si="408"/>
        <v>3.4959941733430444E-3</v>
      </c>
      <c r="S249" s="30">
        <f t="shared" si="408"/>
        <v>7.5746540422432637E-3</v>
      </c>
      <c r="T249" s="27">
        <f t="shared" si="408"/>
        <v>1.1070648215586306E-2</v>
      </c>
      <c r="U249" s="30">
        <f t="shared" si="408"/>
        <v>3.9329934450109249E-3</v>
      </c>
      <c r="V249" s="30">
        <f t="shared" si="408"/>
        <v>9.468317552804079E-3</v>
      </c>
      <c r="W249" s="27">
        <f t="shared" si="408"/>
        <v>1.3401310997815004E-2</v>
      </c>
      <c r="X249" s="30">
        <f>+(X246/100)/$B$249</f>
        <v>4.2243262927895119E-3</v>
      </c>
      <c r="Y249" s="30">
        <f>+(Y246/100)/$B$249</f>
        <v>1.0342316096139838E-2</v>
      </c>
      <c r="Z249" s="27">
        <f>+(Z246/100)/$B$249</f>
        <v>1.4566642388929352E-2</v>
      </c>
      <c r="AA249" s="27">
        <f t="shared" ref="AA249:AL249" si="409">+(AA246/100)/$B$249</f>
        <v>4.3699927166788053E-3</v>
      </c>
      <c r="AB249" s="27">
        <f t="shared" si="409"/>
        <v>1.0378732702112162E-2</v>
      </c>
      <c r="AC249" s="27">
        <f t="shared" si="409"/>
        <v>1.474872541879097E-2</v>
      </c>
      <c r="AD249" s="27">
        <f t="shared" ref="AD249:AI249" si="410">+(AD246/100)/$B$249</f>
        <v>4.3699927166788053E-3</v>
      </c>
      <c r="AE249" s="27">
        <f t="shared" si="410"/>
        <v>1.0378732702112162E-2</v>
      </c>
      <c r="AF249" s="27">
        <f t="shared" si="410"/>
        <v>1.474872541879097E-2</v>
      </c>
      <c r="AG249" s="27">
        <f t="shared" si="410"/>
        <v>4.3699927166788053E-3</v>
      </c>
      <c r="AH249" s="27">
        <f t="shared" si="410"/>
        <v>4.3699927166788053E-3</v>
      </c>
      <c r="AI249" s="27">
        <f t="shared" si="410"/>
        <v>8.7399854333576107E-3</v>
      </c>
      <c r="AJ249" s="27">
        <f t="shared" si="409"/>
        <v>4.3699927166788053E-3</v>
      </c>
      <c r="AK249" s="27">
        <f t="shared" si="409"/>
        <v>8.7399854333576107E-3</v>
      </c>
      <c r="AL249" s="27">
        <f t="shared" si="409"/>
        <v>1.3109978150036415E-2</v>
      </c>
      <c r="AM249" s="27">
        <f>+(AM246/100)/$B$249</f>
        <v>5.4624908958485069E-3</v>
      </c>
      <c r="AN249" s="27">
        <f t="shared" ref="AN249:AP249" si="411">+(AN246/100)/$B$249</f>
        <v>1.0196649672250547E-2</v>
      </c>
      <c r="AO249" s="27">
        <f t="shared" si="411"/>
        <v>1.5659140568099052E-2</v>
      </c>
      <c r="AP249" s="27">
        <f t="shared" si="411"/>
        <v>5.826656955571741E-3</v>
      </c>
      <c r="AQ249" s="27">
        <f>+(AQ246/100)/$B$249</f>
        <v>1.238164603058995E-2</v>
      </c>
      <c r="AR249" s="27">
        <f>+(AR246/100)/$B$249</f>
        <v>1.820830298616169E-2</v>
      </c>
      <c r="AS249" s="27">
        <f t="shared" ref="AS249" si="412">+(AS246/100)/$B$249</f>
        <v>5.826656955571741E-3</v>
      </c>
      <c r="AT249" s="27">
        <f>+(AT246/100)/$B$249</f>
        <v>1.2927895120174799E-2</v>
      </c>
      <c r="AU249" s="27">
        <f>+(AU246/100)/$B$249</f>
        <v>1.8754552075746542E-2</v>
      </c>
      <c r="AV249" s="27">
        <f t="shared" ref="AV249" si="413">+(AV246/100)/$B$249</f>
        <v>4.7341587764020395E-3</v>
      </c>
      <c r="AW249" s="27">
        <f>+(AW246/100)/$B$249</f>
        <v>8.6380189366351053E-3</v>
      </c>
      <c r="AX249" s="402">
        <f>+(AX246/100)/$B$249</f>
        <v>1.3372177713037144E-2</v>
      </c>
      <c r="AY249" s="27">
        <f t="shared" ref="AY249:BM249" si="414">+(AY246/100)/$B$249</f>
        <v>3.6416605972323379E-3</v>
      </c>
      <c r="AZ249" s="27">
        <f t="shared" si="414"/>
        <v>8.0116533139111441E-3</v>
      </c>
      <c r="BA249" s="27">
        <f t="shared" si="414"/>
        <v>1.1653313911143482E-2</v>
      </c>
      <c r="BB249" s="27">
        <f t="shared" si="414"/>
        <v>4.3699927166788053E-3</v>
      </c>
      <c r="BC249" s="27">
        <f t="shared" si="414"/>
        <v>9.468317552804079E-3</v>
      </c>
      <c r="BD249" s="27">
        <f t="shared" si="414"/>
        <v>1.3838310269482883E-2</v>
      </c>
      <c r="BE249" s="27">
        <f t="shared" si="414"/>
        <v>5.826656955571741E-3</v>
      </c>
      <c r="BF249" s="27">
        <f t="shared" si="414"/>
        <v>1.1653313911143482E-2</v>
      </c>
      <c r="BG249" s="27">
        <f t="shared" si="414"/>
        <v>1.7479970866715221E-2</v>
      </c>
      <c r="BH249" s="27">
        <f t="shared" si="414"/>
        <v>5.826656955571741E-3</v>
      </c>
      <c r="BI249" s="27">
        <f t="shared" si="414"/>
        <v>1.3109978150036415E-2</v>
      </c>
      <c r="BJ249" s="27">
        <f t="shared" si="414"/>
        <v>1.8936635105608158E-2</v>
      </c>
      <c r="BK249" s="27">
        <f t="shared" si="414"/>
        <v>6.5549890750182076E-3</v>
      </c>
      <c r="BL249" s="27">
        <f t="shared" si="414"/>
        <v>1.3838310269482883E-2</v>
      </c>
      <c r="BM249" s="27">
        <f t="shared" si="414"/>
        <v>2.0393299344501094E-2</v>
      </c>
    </row>
    <row r="250" spans="1:65">
      <c r="A250" s="6" t="s">
        <v>200</v>
      </c>
      <c r="C250" s="30">
        <f t="shared" ref="C250:W250" si="415">(C244/100)/$B$249</f>
        <v>2.9133284777858705E-3</v>
      </c>
      <c r="D250" s="30">
        <f t="shared" si="415"/>
        <v>5.5353241077931532E-3</v>
      </c>
      <c r="E250" s="27">
        <f t="shared" si="415"/>
        <v>8.4486525855790237E-3</v>
      </c>
      <c r="F250" s="30">
        <f t="shared" si="415"/>
        <v>3.058994901675164E-3</v>
      </c>
      <c r="G250" s="30">
        <f t="shared" si="415"/>
        <v>5.826656955571741E-3</v>
      </c>
      <c r="H250" s="27">
        <f t="shared" si="415"/>
        <v>8.8856518572469033E-3</v>
      </c>
      <c r="I250" s="30">
        <f t="shared" si="415"/>
        <v>3.058994901675164E-3</v>
      </c>
      <c r="J250" s="30">
        <f t="shared" si="415"/>
        <v>5.826656955571741E-3</v>
      </c>
      <c r="K250" s="27">
        <f t="shared" si="415"/>
        <v>8.8856518572469033E-3</v>
      </c>
      <c r="L250" s="30">
        <f t="shared" si="415"/>
        <v>3.058994901675164E-3</v>
      </c>
      <c r="M250" s="30">
        <f t="shared" si="415"/>
        <v>5.9723233794610336E-3</v>
      </c>
      <c r="N250" s="27">
        <f t="shared" si="415"/>
        <v>9.0313182811361959E-3</v>
      </c>
      <c r="O250" s="30">
        <f t="shared" si="415"/>
        <v>3.2046613255644575E-3</v>
      </c>
      <c r="P250" s="30">
        <f t="shared" si="415"/>
        <v>6.117989803350328E-3</v>
      </c>
      <c r="Q250" s="27">
        <f t="shared" si="415"/>
        <v>9.3226511289147846E-3</v>
      </c>
      <c r="R250" s="30">
        <f t="shared" si="415"/>
        <v>3.4959941733430444E-3</v>
      </c>
      <c r="S250" s="30">
        <f t="shared" si="415"/>
        <v>7.5746540422432637E-3</v>
      </c>
      <c r="T250" s="27">
        <f t="shared" si="415"/>
        <v>1.1070648215586306E-2</v>
      </c>
      <c r="U250" s="30">
        <f t="shared" si="415"/>
        <v>3.9329934450109249E-3</v>
      </c>
      <c r="V250" s="30">
        <f t="shared" si="415"/>
        <v>9.468317552804079E-3</v>
      </c>
      <c r="W250" s="27">
        <f t="shared" si="415"/>
        <v>1.3401310997815004E-2</v>
      </c>
      <c r="X250" s="30">
        <f>(X244/100)/$B$249</f>
        <v>4.2243262927895119E-3</v>
      </c>
      <c r="Y250" s="30">
        <f>(Y244/100)/$B$249</f>
        <v>1.0342316096139838E-2</v>
      </c>
      <c r="Z250" s="27">
        <f>(Z244/100)/$B$249</f>
        <v>1.4566642388929352E-2</v>
      </c>
      <c r="AA250" s="27">
        <f t="shared" ref="AA250:AL250" si="416">(AA244/100)/$B$249</f>
        <v>4.3699927166788053E-3</v>
      </c>
      <c r="AB250" s="27">
        <f t="shared" si="416"/>
        <v>1.0378732702112162E-2</v>
      </c>
      <c r="AC250" s="27">
        <f t="shared" si="416"/>
        <v>1.474872541879097E-2</v>
      </c>
      <c r="AD250" s="27">
        <f t="shared" ref="AD250:AI250" si="417">(AD244/100)/$B$249</f>
        <v>4.3699927166788053E-3</v>
      </c>
      <c r="AE250" s="27">
        <f t="shared" si="417"/>
        <v>1.0378732702112162E-2</v>
      </c>
      <c r="AF250" s="27">
        <f t="shared" si="417"/>
        <v>1.474872541879097E-2</v>
      </c>
      <c r="AG250" s="27">
        <f t="shared" si="417"/>
        <v>4.3699927166788053E-3</v>
      </c>
      <c r="AH250" s="27">
        <f t="shared" si="417"/>
        <v>4.3699927166788053E-3</v>
      </c>
      <c r="AI250" s="27">
        <f t="shared" si="417"/>
        <v>8.7399854333576107E-3</v>
      </c>
      <c r="AJ250" s="27">
        <f t="shared" si="416"/>
        <v>4.3699927166788053E-3</v>
      </c>
      <c r="AK250" s="27">
        <f t="shared" si="416"/>
        <v>8.7399854333576107E-3</v>
      </c>
      <c r="AL250" s="27">
        <f t="shared" si="416"/>
        <v>1.3109978150036415E-2</v>
      </c>
      <c r="AM250" s="27">
        <f>(AM244/100)/$B$249</f>
        <v>5.4624908958485069E-3</v>
      </c>
      <c r="AN250" s="27">
        <f t="shared" ref="AN250:AP250" si="418">(AN244/100)/$B$249</f>
        <v>1.0196649672250547E-2</v>
      </c>
      <c r="AO250" s="27">
        <f t="shared" si="418"/>
        <v>1.5659140568099052E-2</v>
      </c>
      <c r="AP250" s="27">
        <f t="shared" si="418"/>
        <v>5.826656955571741E-3</v>
      </c>
      <c r="AQ250" s="27">
        <f>(AQ244/100)/$B$249</f>
        <v>1.238164603058995E-2</v>
      </c>
      <c r="AR250" s="27">
        <f>(AR244/100)/$B$249</f>
        <v>1.820830298616169E-2</v>
      </c>
      <c r="AS250" s="27">
        <f t="shared" ref="AS250" si="419">(AS244/100)/$B$249</f>
        <v>5.826656955571741E-3</v>
      </c>
      <c r="AT250" s="27">
        <f>(AT244/100)/$B$249</f>
        <v>1.2927895120174799E-2</v>
      </c>
      <c r="AU250" s="27">
        <f>(AU244/100)/$B$249</f>
        <v>1.8754552075746542E-2</v>
      </c>
      <c r="AV250" s="27">
        <f t="shared" ref="AV250" si="420">(AV244/100)/$B$249</f>
        <v>4.7341587764020395E-3</v>
      </c>
      <c r="AW250" s="27">
        <f>(AW244/100)/$B$249</f>
        <v>8.6380189366351053E-3</v>
      </c>
      <c r="AX250" s="402">
        <f>(AX244/100)/$B$249</f>
        <v>1.3372177713037144E-2</v>
      </c>
      <c r="AY250" s="27">
        <f t="shared" ref="AY250:BM250" si="421">(AY244/100)/$B$249</f>
        <v>3.6416605972323379E-3</v>
      </c>
      <c r="AZ250" s="27">
        <f t="shared" si="421"/>
        <v>8.0116533139111441E-3</v>
      </c>
      <c r="BA250" s="27">
        <f t="shared" si="421"/>
        <v>1.1653313911143482E-2</v>
      </c>
      <c r="BB250" s="27">
        <f t="shared" si="421"/>
        <v>4.3699927166788053E-3</v>
      </c>
      <c r="BC250" s="27">
        <f t="shared" si="421"/>
        <v>9.468317552804079E-3</v>
      </c>
      <c r="BD250" s="27">
        <f t="shared" si="421"/>
        <v>1.3838310269482883E-2</v>
      </c>
      <c r="BE250" s="27">
        <f t="shared" si="421"/>
        <v>5.826656955571741E-3</v>
      </c>
      <c r="BF250" s="27">
        <f t="shared" si="421"/>
        <v>1.1653313911143482E-2</v>
      </c>
      <c r="BG250" s="27">
        <f t="shared" si="421"/>
        <v>1.7479970866715221E-2</v>
      </c>
      <c r="BH250" s="27">
        <f t="shared" si="421"/>
        <v>5.826656955571741E-3</v>
      </c>
      <c r="BI250" s="27">
        <f t="shared" si="421"/>
        <v>1.3109978150036415E-2</v>
      </c>
      <c r="BJ250" s="27">
        <f t="shared" si="421"/>
        <v>1.8936635105608158E-2</v>
      </c>
      <c r="BK250" s="27">
        <f t="shared" si="421"/>
        <v>6.5549890750182076E-3</v>
      </c>
      <c r="BL250" s="27">
        <f t="shared" si="421"/>
        <v>1.3838310269482883E-2</v>
      </c>
      <c r="BM250" s="27">
        <f t="shared" si="421"/>
        <v>2.0393299344501094E-2</v>
      </c>
    </row>
    <row r="251" spans="1:65">
      <c r="A251" s="13" t="s">
        <v>123</v>
      </c>
      <c r="E251" s="81"/>
      <c r="H251" s="81"/>
      <c r="K251" s="81"/>
      <c r="N251" s="81"/>
      <c r="Q251" s="81"/>
      <c r="T251" s="81"/>
      <c r="W251" s="81"/>
      <c r="Z251" s="81"/>
      <c r="AA251" s="81"/>
      <c r="AB251" s="81"/>
      <c r="AC251" s="81"/>
      <c r="AD251" s="81"/>
      <c r="AE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401"/>
      <c r="AY251" s="81"/>
      <c r="AZ251" s="81"/>
      <c r="BA251" s="81"/>
      <c r="BB251" s="81"/>
      <c r="BC251" s="81"/>
      <c r="BD251" s="81"/>
      <c r="BE251" s="81"/>
      <c r="BF251" s="81"/>
      <c r="BG251" s="81"/>
      <c r="BH251" s="81"/>
      <c r="BI251" s="81"/>
      <c r="BJ251" s="81"/>
      <c r="BK251" s="81"/>
      <c r="BL251" s="81"/>
      <c r="BM251" s="81"/>
    </row>
    <row r="252" spans="1:65">
      <c r="A252" s="79" t="s">
        <v>120</v>
      </c>
      <c r="C252" s="81">
        <f t="shared" ref="C252:W252" si="422">C244/C239</f>
        <v>0.34574929704585688</v>
      </c>
      <c r="D252" s="81">
        <f t="shared" si="422"/>
        <v>0.66813776545977721</v>
      </c>
      <c r="E252" s="81">
        <f t="shared" si="422"/>
        <v>0.50557933153044343</v>
      </c>
      <c r="F252" s="81">
        <f t="shared" si="422"/>
        <v>0.34961388025273293</v>
      </c>
      <c r="G252" s="81">
        <f t="shared" si="422"/>
        <v>0.67772390916050018</v>
      </c>
      <c r="H252" s="81">
        <f t="shared" si="422"/>
        <v>0.51222905126843199</v>
      </c>
      <c r="I252" s="81">
        <f t="shared" si="422"/>
        <v>0.36143703882907952</v>
      </c>
      <c r="J252" s="81">
        <f t="shared" si="422"/>
        <v>0.71899081409828369</v>
      </c>
      <c r="K252" s="81">
        <f t="shared" si="422"/>
        <v>0.5363347457627119</v>
      </c>
      <c r="L252" s="81">
        <f t="shared" si="422"/>
        <v>0.38076166897254787</v>
      </c>
      <c r="M252" s="81">
        <f t="shared" si="422"/>
        <v>0.63608467421610926</v>
      </c>
      <c r="N252" s="81">
        <f t="shared" si="422"/>
        <v>0.51835374503697607</v>
      </c>
      <c r="O252" s="81">
        <f t="shared" si="422"/>
        <v>0.36772504531113648</v>
      </c>
      <c r="P252" s="81">
        <f t="shared" si="422"/>
        <v>0.65942588710058803</v>
      </c>
      <c r="Q252" s="81">
        <f t="shared" si="422"/>
        <v>0.51813858971753701</v>
      </c>
      <c r="R252" s="81">
        <f t="shared" si="422"/>
        <v>0.29776897492432453</v>
      </c>
      <c r="S252" s="81">
        <f t="shared" si="422"/>
        <v>0.60732419470209542</v>
      </c>
      <c r="T252" s="81">
        <f t="shared" si="422"/>
        <v>0.45722293362970834</v>
      </c>
      <c r="U252" s="81">
        <f t="shared" si="422"/>
        <v>0.29907248826708777</v>
      </c>
      <c r="V252" s="81">
        <f t="shared" si="422"/>
        <v>0.63284457478005884</v>
      </c>
      <c r="W252" s="81">
        <f t="shared" si="422"/>
        <v>0.47670873695491583</v>
      </c>
      <c r="X252" s="81">
        <f t="shared" ref="X252:AC252" si="423">X244/X239</f>
        <v>0.30041498954725576</v>
      </c>
      <c r="Y252" s="81">
        <f t="shared" si="423"/>
        <v>0.61646558337401491</v>
      </c>
      <c r="Z252" s="81">
        <f t="shared" si="423"/>
        <v>0.4723535632816242</v>
      </c>
      <c r="AA252" s="81">
        <f t="shared" si="423"/>
        <v>0.2826387180990938</v>
      </c>
      <c r="AB252" s="81">
        <f t="shared" si="423"/>
        <v>0.60903319107263554</v>
      </c>
      <c r="AC252" s="81">
        <f t="shared" si="423"/>
        <v>0.45376876502537622</v>
      </c>
      <c r="AD252" s="81">
        <f t="shared" ref="AD252:AJ252" si="424">AD244/AD239</f>
        <v>0.43836546293039436</v>
      </c>
      <c r="AE252" s="81">
        <f t="shared" si="424"/>
        <v>0.49564470653812043</v>
      </c>
      <c r="AF252" s="81">
        <f t="shared" si="424"/>
        <v>0.47717070646008403</v>
      </c>
      <c r="AG252" s="81">
        <f t="shared" si="424"/>
        <v>0.32068399218526633</v>
      </c>
      <c r="AH252" s="81">
        <f t="shared" si="424"/>
        <v>0.2918070676800813</v>
      </c>
      <c r="AI252" s="81">
        <f t="shared" si="424"/>
        <v>0.30085127009288248</v>
      </c>
      <c r="AJ252" s="81">
        <f t="shared" si="424"/>
        <v>0.31500411124566208</v>
      </c>
      <c r="AK252" s="81">
        <f>AK244/AK239</f>
        <v>0.476881869924701</v>
      </c>
      <c r="AL252" s="81">
        <f>AL244/AL239</f>
        <v>0.40713990090862934</v>
      </c>
      <c r="AM252" s="81">
        <f>AM244/AM239</f>
        <v>0.2954195949695122</v>
      </c>
      <c r="AN252" s="81">
        <v>0.45</v>
      </c>
      <c r="AO252" s="81">
        <f t="shared" ref="AO252:AU252" si="425">AO244/AO239</f>
        <v>0.38363425871640794</v>
      </c>
      <c r="AP252" s="81">
        <f t="shared" si="425"/>
        <v>0.24578607564955604</v>
      </c>
      <c r="AQ252" s="81">
        <f t="shared" si="425"/>
        <v>0.56497305671214693</v>
      </c>
      <c r="AR252" s="81">
        <f t="shared" si="425"/>
        <v>0.39903066571747797</v>
      </c>
      <c r="AS252" s="81">
        <f t="shared" si="425"/>
        <v>0.23099516614422869</v>
      </c>
      <c r="AT252" s="81">
        <f t="shared" si="425"/>
        <v>0.59730715212599095</v>
      </c>
      <c r="AU252" s="81">
        <f t="shared" si="425"/>
        <v>0.40015873560230847</v>
      </c>
      <c r="AV252" s="81">
        <f t="shared" ref="AV252:AX252" si="426">AV244/AV239</f>
        <v>0.23204901174844508</v>
      </c>
      <c r="AW252" s="81">
        <f t="shared" si="426"/>
        <v>0.48141295794527977</v>
      </c>
      <c r="AX252" s="401">
        <f t="shared" si="426"/>
        <v>0.34829245434707712</v>
      </c>
      <c r="AY252" s="82">
        <f>AV252</f>
        <v>0.23204901174844508</v>
      </c>
      <c r="AZ252" s="82">
        <f>AW252</f>
        <v>0.48141295794527977</v>
      </c>
      <c r="BA252" s="81">
        <f>BA244/BA239</f>
        <v>0.36094804151666982</v>
      </c>
      <c r="BB252" s="82">
        <f>AY252</f>
        <v>0.23204901174844508</v>
      </c>
      <c r="BC252" s="82">
        <f>AZ252</f>
        <v>0.48141295794527977</v>
      </c>
      <c r="BD252" s="81">
        <f>BD244/BD239</f>
        <v>0.3426277933566047</v>
      </c>
      <c r="BE252" s="82">
        <f>BB252</f>
        <v>0.23204901174844508</v>
      </c>
      <c r="BF252" s="82">
        <f>BC252</f>
        <v>0.48141295794527977</v>
      </c>
      <c r="BG252" s="81">
        <f>BG244/BG239</f>
        <v>0.36936293510074147</v>
      </c>
      <c r="BH252" s="82">
        <f>BE252</f>
        <v>0.23204901174844508</v>
      </c>
      <c r="BI252" s="82">
        <f>BF252</f>
        <v>0.48141295794527977</v>
      </c>
      <c r="BJ252" s="81">
        <f>BJ244/BJ239</f>
        <v>0.35752683719641554</v>
      </c>
      <c r="BK252" s="82">
        <f>BH252</f>
        <v>0.23204901174844508</v>
      </c>
      <c r="BL252" s="82">
        <f>BI252</f>
        <v>0.48141295794527977</v>
      </c>
      <c r="BM252" s="81">
        <f>BM244/BM239</f>
        <v>0.36374757450062212</v>
      </c>
    </row>
    <row r="253" spans="1:65">
      <c r="A253" s="6" t="s">
        <v>121</v>
      </c>
      <c r="C253" s="27">
        <f t="shared" ref="C253:W253" si="427">+C245/C239</f>
        <v>0</v>
      </c>
      <c r="D253" s="27">
        <f t="shared" si="427"/>
        <v>0</v>
      </c>
      <c r="E253" s="27">
        <f t="shared" si="427"/>
        <v>0</v>
      </c>
      <c r="F253" s="27">
        <f t="shared" si="427"/>
        <v>0</v>
      </c>
      <c r="G253" s="27">
        <f t="shared" si="427"/>
        <v>0</v>
      </c>
      <c r="H253" s="27">
        <f t="shared" si="427"/>
        <v>0</v>
      </c>
      <c r="I253" s="27">
        <f t="shared" si="427"/>
        <v>0</v>
      </c>
      <c r="J253" s="27">
        <f t="shared" si="427"/>
        <v>0</v>
      </c>
      <c r="K253" s="27">
        <f t="shared" si="427"/>
        <v>0</v>
      </c>
      <c r="L253" s="27">
        <f t="shared" si="427"/>
        <v>0</v>
      </c>
      <c r="M253" s="27">
        <f t="shared" si="427"/>
        <v>0</v>
      </c>
      <c r="N253" s="27">
        <f t="shared" si="427"/>
        <v>0</v>
      </c>
      <c r="O253" s="27">
        <f t="shared" si="427"/>
        <v>0</v>
      </c>
      <c r="P253" s="27">
        <f t="shared" si="427"/>
        <v>0</v>
      </c>
      <c r="Q253" s="27">
        <f t="shared" si="427"/>
        <v>0</v>
      </c>
      <c r="R253" s="27">
        <f t="shared" si="427"/>
        <v>0</v>
      </c>
      <c r="S253" s="27">
        <f t="shared" si="427"/>
        <v>0</v>
      </c>
      <c r="T253" s="27">
        <f t="shared" si="427"/>
        <v>0</v>
      </c>
      <c r="U253" s="27">
        <f t="shared" si="427"/>
        <v>0</v>
      </c>
      <c r="V253" s="27">
        <f t="shared" si="427"/>
        <v>0</v>
      </c>
      <c r="W253" s="27">
        <f t="shared" si="427"/>
        <v>0</v>
      </c>
      <c r="X253" s="27">
        <f t="shared" ref="X253:AJ253" si="428">+X245/X239</f>
        <v>0</v>
      </c>
      <c r="Y253" s="27">
        <f t="shared" si="428"/>
        <v>0</v>
      </c>
      <c r="Z253" s="27">
        <f t="shared" si="428"/>
        <v>0</v>
      </c>
      <c r="AA253" s="27">
        <f t="shared" si="428"/>
        <v>0</v>
      </c>
      <c r="AB253" s="27">
        <f t="shared" si="428"/>
        <v>0</v>
      </c>
      <c r="AC253" s="27">
        <f t="shared" si="428"/>
        <v>0</v>
      </c>
      <c r="AD253" s="27">
        <f t="shared" si="428"/>
        <v>0</v>
      </c>
      <c r="AE253" s="27">
        <f t="shared" si="428"/>
        <v>0</v>
      </c>
      <c r="AF253" s="27">
        <f t="shared" si="428"/>
        <v>0</v>
      </c>
      <c r="AG253" s="27">
        <f t="shared" si="428"/>
        <v>0</v>
      </c>
      <c r="AH253" s="27">
        <f t="shared" si="428"/>
        <v>0</v>
      </c>
      <c r="AI253" s="27">
        <f t="shared" si="428"/>
        <v>0</v>
      </c>
      <c r="AJ253" s="27">
        <f t="shared" si="428"/>
        <v>0</v>
      </c>
      <c r="AK253" s="27">
        <f>+AK245/AK239</f>
        <v>0</v>
      </c>
      <c r="AL253" s="27">
        <f>+AL245/AL239</f>
        <v>0</v>
      </c>
      <c r="AM253" s="27">
        <f>+AM245/AM239</f>
        <v>0</v>
      </c>
      <c r="AN253" s="27">
        <f t="shared" ref="AN253:AP253" si="429">+AN245/AN239</f>
        <v>0</v>
      </c>
      <c r="AO253" s="27">
        <f t="shared" si="429"/>
        <v>0</v>
      </c>
      <c r="AP253" s="27">
        <f t="shared" si="429"/>
        <v>0</v>
      </c>
      <c r="AQ253" s="27">
        <f>+AQ245/AQ239</f>
        <v>0</v>
      </c>
      <c r="AR253" s="27">
        <f>+AR245/AR239</f>
        <v>0</v>
      </c>
      <c r="AS253" s="27">
        <f t="shared" ref="AS253" si="430">+AS245/AS239</f>
        <v>0</v>
      </c>
      <c r="AT253" s="27">
        <f>+AT245/AT239</f>
        <v>0</v>
      </c>
      <c r="AU253" s="27">
        <f>+AU245/AU239</f>
        <v>0</v>
      </c>
      <c r="AV253" s="27">
        <f t="shared" ref="AV253" si="431">+AV245/AV239</f>
        <v>0</v>
      </c>
      <c r="AW253" s="27">
        <f>+AW245/AW239</f>
        <v>0</v>
      </c>
      <c r="AX253" s="402">
        <f>+AX245/AX239</f>
        <v>0</v>
      </c>
      <c r="AY253" s="27">
        <f t="shared" ref="AY253:BM253" si="432">+AY245/AY239</f>
        <v>0</v>
      </c>
      <c r="AZ253" s="27">
        <f t="shared" si="432"/>
        <v>0</v>
      </c>
      <c r="BA253" s="27">
        <f t="shared" si="432"/>
        <v>0</v>
      </c>
      <c r="BB253" s="27">
        <f t="shared" si="432"/>
        <v>0</v>
      </c>
      <c r="BC253" s="27">
        <f t="shared" si="432"/>
        <v>0</v>
      </c>
      <c r="BD253" s="27">
        <f t="shared" si="432"/>
        <v>0</v>
      </c>
      <c r="BE253" s="27">
        <f t="shared" si="432"/>
        <v>0</v>
      </c>
      <c r="BF253" s="27">
        <f t="shared" si="432"/>
        <v>0</v>
      </c>
      <c r="BG253" s="27">
        <f t="shared" si="432"/>
        <v>0</v>
      </c>
      <c r="BH253" s="27">
        <f t="shared" si="432"/>
        <v>0</v>
      </c>
      <c r="BI253" s="27">
        <f t="shared" si="432"/>
        <v>0</v>
      </c>
      <c r="BJ253" s="27">
        <f t="shared" si="432"/>
        <v>0</v>
      </c>
      <c r="BK253" s="27">
        <f t="shared" si="432"/>
        <v>0</v>
      </c>
      <c r="BL253" s="27">
        <f t="shared" si="432"/>
        <v>0</v>
      </c>
      <c r="BM253" s="27">
        <f t="shared" si="432"/>
        <v>0</v>
      </c>
    </row>
    <row r="254" spans="1:65">
      <c r="A254" s="6" t="s">
        <v>122</v>
      </c>
      <c r="C254" s="27">
        <f t="shared" ref="C254:W254" si="433">+C246/C239</f>
        <v>0.34574929704585688</v>
      </c>
      <c r="D254" s="27">
        <f t="shared" si="433"/>
        <v>0.66813776545977721</v>
      </c>
      <c r="E254" s="27">
        <f t="shared" si="433"/>
        <v>0.50557933153044343</v>
      </c>
      <c r="F254" s="27">
        <f t="shared" si="433"/>
        <v>0.34961388025273293</v>
      </c>
      <c r="G254" s="27">
        <f t="shared" si="433"/>
        <v>0.67772390916050018</v>
      </c>
      <c r="H254" s="27">
        <f t="shared" si="433"/>
        <v>0.51222905126843199</v>
      </c>
      <c r="I254" s="27">
        <f t="shared" si="433"/>
        <v>0.36143703882907952</v>
      </c>
      <c r="J254" s="27">
        <f t="shared" si="433"/>
        <v>0.71899081409828369</v>
      </c>
      <c r="K254" s="27">
        <f t="shared" si="433"/>
        <v>0.5363347457627119</v>
      </c>
      <c r="L254" s="27">
        <f t="shared" si="433"/>
        <v>0.38076166897254787</v>
      </c>
      <c r="M254" s="27">
        <f t="shared" si="433"/>
        <v>0.63608467421610926</v>
      </c>
      <c r="N254" s="27">
        <f t="shared" si="433"/>
        <v>0.51835374503697607</v>
      </c>
      <c r="O254" s="27">
        <f t="shared" si="433"/>
        <v>0.36772504531113648</v>
      </c>
      <c r="P254" s="27">
        <f t="shared" si="433"/>
        <v>0.65942588710058803</v>
      </c>
      <c r="Q254" s="27">
        <f t="shared" si="433"/>
        <v>0.51813858971753701</v>
      </c>
      <c r="R254" s="27">
        <f t="shared" si="433"/>
        <v>0.29776897492432453</v>
      </c>
      <c r="S254" s="27">
        <f t="shared" si="433"/>
        <v>0.60732419470209542</v>
      </c>
      <c r="T254" s="27">
        <f t="shared" si="433"/>
        <v>0.45722293362970834</v>
      </c>
      <c r="U254" s="27">
        <f t="shared" si="433"/>
        <v>0.29907248826708777</v>
      </c>
      <c r="V254" s="27">
        <f t="shared" si="433"/>
        <v>0.63284457478005884</v>
      </c>
      <c r="W254" s="27">
        <f t="shared" si="433"/>
        <v>0.47670873695491583</v>
      </c>
      <c r="X254" s="27">
        <f t="shared" ref="X254:AJ254" si="434">+X246/X239</f>
        <v>0.30041498954725576</v>
      </c>
      <c r="Y254" s="27">
        <f t="shared" si="434"/>
        <v>0.61646558337401491</v>
      </c>
      <c r="Z254" s="27">
        <f t="shared" si="434"/>
        <v>0.4723535632816242</v>
      </c>
      <c r="AA254" s="27">
        <f t="shared" si="434"/>
        <v>0.2826387180990938</v>
      </c>
      <c r="AB254" s="27">
        <f t="shared" si="434"/>
        <v>0.60903319107263554</v>
      </c>
      <c r="AC254" s="27">
        <f t="shared" si="434"/>
        <v>0.45376876502537622</v>
      </c>
      <c r="AD254" s="27">
        <f t="shared" si="434"/>
        <v>0.43836546293039436</v>
      </c>
      <c r="AE254" s="27">
        <f t="shared" si="434"/>
        <v>0.49564470653812043</v>
      </c>
      <c r="AF254" s="27">
        <f t="shared" si="434"/>
        <v>0.47717070646008403</v>
      </c>
      <c r="AG254" s="27">
        <f t="shared" si="434"/>
        <v>0.32068399218526633</v>
      </c>
      <c r="AH254" s="27">
        <f t="shared" si="434"/>
        <v>0.2918070676800813</v>
      </c>
      <c r="AI254" s="27">
        <f t="shared" si="434"/>
        <v>0.30085127009288248</v>
      </c>
      <c r="AJ254" s="27">
        <f t="shared" si="434"/>
        <v>0.31500411124566208</v>
      </c>
      <c r="AK254" s="27">
        <f>+AK246/AK239</f>
        <v>0.476881869924701</v>
      </c>
      <c r="AL254" s="27">
        <f>+AL246/AL239</f>
        <v>0.40713990090862934</v>
      </c>
      <c r="AM254" s="27">
        <f>+AM246/AM239</f>
        <v>0.2954195949695122</v>
      </c>
      <c r="AN254" s="27">
        <f t="shared" ref="AN254:AP254" si="435">+AN246/AN239</f>
        <v>0.45669037299882637</v>
      </c>
      <c r="AO254" s="27">
        <f t="shared" si="435"/>
        <v>0.38363425871640794</v>
      </c>
      <c r="AP254" s="27">
        <f t="shared" si="435"/>
        <v>0.24578607564955604</v>
      </c>
      <c r="AQ254" s="27">
        <f>+AQ246/AQ239</f>
        <v>0.56497305671214693</v>
      </c>
      <c r="AR254" s="27">
        <f>+AR246/AR239</f>
        <v>0.39903066571747797</v>
      </c>
      <c r="AS254" s="27">
        <f t="shared" ref="AS254" si="436">+AS246/AS239</f>
        <v>0.23099516614422869</v>
      </c>
      <c r="AT254" s="27">
        <f>+AT246/AT239</f>
        <v>0.59730715212599095</v>
      </c>
      <c r="AU254" s="27">
        <f>+AU246/AU239</f>
        <v>0.40015873560230847</v>
      </c>
      <c r="AV254" s="27">
        <f t="shared" ref="AV254" si="437">+AV246/AV239</f>
        <v>0.23204901174844508</v>
      </c>
      <c r="AW254" s="27">
        <f>+AW246/AW239</f>
        <v>0.48141295794527977</v>
      </c>
      <c r="AX254" s="402">
        <f>+AX246/AX239</f>
        <v>0.34829245434707712</v>
      </c>
      <c r="AY254" s="27">
        <f t="shared" ref="AY254:BM254" si="438">+AY246/AY239</f>
        <v>0.22493377386468763</v>
      </c>
      <c r="AZ254" s="27">
        <f t="shared" si="438"/>
        <v>0.48666358467966397</v>
      </c>
      <c r="BA254" s="27">
        <f t="shared" si="438"/>
        <v>0.36094804151666982</v>
      </c>
      <c r="BB254" s="27">
        <f t="shared" si="438"/>
        <v>0.21561568831128775</v>
      </c>
      <c r="BC254" s="27">
        <f t="shared" si="438"/>
        <v>0.47056314395537074</v>
      </c>
      <c r="BD254" s="27">
        <f t="shared" si="438"/>
        <v>0.3426277933566047</v>
      </c>
      <c r="BE254" s="27">
        <f t="shared" si="438"/>
        <v>0.24458379350744652</v>
      </c>
      <c r="BF254" s="27">
        <f t="shared" si="438"/>
        <v>0.495845513122461</v>
      </c>
      <c r="BG254" s="27">
        <f t="shared" si="438"/>
        <v>0.36936293510074147</v>
      </c>
      <c r="BH254" s="27">
        <f t="shared" si="438"/>
        <v>0.22155060146007505</v>
      </c>
      <c r="BI254" s="27">
        <f t="shared" si="438"/>
        <v>0.49163293762791249</v>
      </c>
      <c r="BJ254" s="27">
        <f t="shared" si="438"/>
        <v>0.35752683719641554</v>
      </c>
      <c r="BK254" s="27">
        <f t="shared" si="438"/>
        <v>0.23917142184012419</v>
      </c>
      <c r="BL254" s="27">
        <f t="shared" si="438"/>
        <v>0.48288865686973292</v>
      </c>
      <c r="BM254" s="27">
        <f t="shared" si="438"/>
        <v>0.36374757450062212</v>
      </c>
    </row>
    <row r="256" spans="1:65">
      <c r="A256" s="13" t="s">
        <v>391</v>
      </c>
    </row>
    <row r="257" spans="1:65">
      <c r="A257" s="6" t="s">
        <v>163</v>
      </c>
      <c r="B257" s="52" t="s">
        <v>76</v>
      </c>
      <c r="C257" s="321">
        <v>1</v>
      </c>
      <c r="D257" s="321">
        <v>1</v>
      </c>
      <c r="E257" s="27">
        <f>AVERAGE(C257:D257)</f>
        <v>1</v>
      </c>
      <c r="F257" s="321">
        <v>1</v>
      </c>
      <c r="G257" s="321">
        <v>1</v>
      </c>
      <c r="H257" s="27">
        <f>AVERAGE(F257:G257)</f>
        <v>1</v>
      </c>
      <c r="I257" s="321">
        <v>1</v>
      </c>
      <c r="J257" s="321">
        <v>1</v>
      </c>
      <c r="K257" s="27">
        <f>AVERAGE(I257:J257)</f>
        <v>1</v>
      </c>
      <c r="L257" s="321">
        <v>1</v>
      </c>
      <c r="M257" s="321">
        <v>1</v>
      </c>
      <c r="N257" s="27">
        <f>AVERAGE(L257:M257)</f>
        <v>1</v>
      </c>
      <c r="O257" s="321">
        <v>1</v>
      </c>
      <c r="P257" s="321">
        <v>1</v>
      </c>
      <c r="Q257" s="27">
        <f>AVERAGE(O257:P257)</f>
        <v>1</v>
      </c>
      <c r="R257" s="321">
        <v>1</v>
      </c>
      <c r="S257" s="321">
        <v>1</v>
      </c>
      <c r="T257" s="27">
        <f>AVERAGE(R257:S257)</f>
        <v>1</v>
      </c>
      <c r="U257" s="321">
        <v>1</v>
      </c>
      <c r="V257" s="321">
        <v>1</v>
      </c>
      <c r="W257" s="27">
        <f>AVERAGE(U257:V257)</f>
        <v>1</v>
      </c>
      <c r="X257" s="321">
        <v>1</v>
      </c>
      <c r="Y257" s="321">
        <v>1</v>
      </c>
      <c r="Z257" s="27">
        <f>AVERAGE(X257:Y257)</f>
        <v>1</v>
      </c>
      <c r="AA257" s="321">
        <v>1</v>
      </c>
      <c r="AB257" s="321">
        <v>1</v>
      </c>
      <c r="AC257" s="27">
        <f>AVERAGE(AA257:AB257)</f>
        <v>1</v>
      </c>
      <c r="AD257" s="321">
        <v>1</v>
      </c>
      <c r="AE257" s="321">
        <v>1</v>
      </c>
      <c r="AF257" s="27">
        <f>AVERAGE(AD257:AE257)</f>
        <v>1</v>
      </c>
      <c r="AG257" s="321">
        <v>1</v>
      </c>
      <c r="AH257" s="321">
        <v>1</v>
      </c>
      <c r="AI257" s="27">
        <f>AVERAGE(AG257:AH257)</f>
        <v>1</v>
      </c>
      <c r="AJ257" s="83">
        <v>1</v>
      </c>
      <c r="AK257" s="321">
        <v>1</v>
      </c>
      <c r="AL257" s="27">
        <f>AVERAGE(AJ257:AK257)</f>
        <v>1</v>
      </c>
      <c r="AM257" s="83">
        <v>1</v>
      </c>
      <c r="AN257" s="321">
        <v>1</v>
      </c>
      <c r="AO257" s="27">
        <f>(SUM(AM257*AM244)+SUM(AN257*AN244))/SUM(AM244:AN244)</f>
        <v>1</v>
      </c>
      <c r="AP257" s="83">
        <v>1</v>
      </c>
      <c r="AQ257" s="321">
        <v>1</v>
      </c>
      <c r="AR257" s="27">
        <f>(SUM(AP257*AP244)+SUM(AQ257*AQ244))/SUM(AP244:AQ244)</f>
        <v>1</v>
      </c>
      <c r="AS257" s="83">
        <v>1</v>
      </c>
      <c r="AT257" s="321">
        <v>1</v>
      </c>
      <c r="AU257" s="27">
        <f>(SUM(AS257*AS244)+SUM(AT257*AT244))/SUM(AS244:AT244)</f>
        <v>1</v>
      </c>
      <c r="AV257" s="83">
        <v>1</v>
      </c>
      <c r="AW257" s="321">
        <v>1</v>
      </c>
      <c r="AX257" s="402">
        <f>(SUM(AV257*AV244)+SUM(AW257*AW244))/SUM(AV244:AW244)</f>
        <v>1</v>
      </c>
      <c r="AY257" s="82">
        <f>+AV257</f>
        <v>1</v>
      </c>
      <c r="AZ257" s="82">
        <f>+AW257</f>
        <v>1</v>
      </c>
      <c r="BA257" s="81">
        <f>(SUM(AY257*AY244)+SUM(AZ257*AZ244))/SUM(AY244:AZ244)</f>
        <v>1</v>
      </c>
      <c r="BB257" s="82">
        <f>+AY257</f>
        <v>1</v>
      </c>
      <c r="BC257" s="82">
        <f>+AZ257</f>
        <v>1</v>
      </c>
      <c r="BD257" s="81">
        <f>(SUM(BB257*BB244)+SUM(BC257*BC244))/SUM(BB244:BC244)</f>
        <v>1</v>
      </c>
      <c r="BE257" s="82">
        <f>+BB257</f>
        <v>1</v>
      </c>
      <c r="BF257" s="82">
        <f>+BC257</f>
        <v>1</v>
      </c>
      <c r="BG257" s="81">
        <f>(SUM(BE257*BE244)+SUM(BF257*BF244))/SUM(BE244:BF244)</f>
        <v>1</v>
      </c>
      <c r="BH257" s="82">
        <f>+BE257</f>
        <v>1</v>
      </c>
      <c r="BI257" s="82">
        <f>+BF257</f>
        <v>1</v>
      </c>
      <c r="BJ257" s="81">
        <f>(SUM(BH257*BH244)+SUM(BI257*BI244))/SUM(BH244:BI244)</f>
        <v>1</v>
      </c>
      <c r="BK257" s="82">
        <f>+BH257</f>
        <v>1</v>
      </c>
      <c r="BL257" s="82">
        <f>+BI257</f>
        <v>1</v>
      </c>
      <c r="BM257" s="81">
        <f>(SUM(BK257*BK244)+SUM(BL257*BL244))/SUM(BK244:BL244)</f>
        <v>1</v>
      </c>
    </row>
    <row r="258" spans="1:65">
      <c r="A258" s="6" t="s">
        <v>164</v>
      </c>
      <c r="B258" s="52" t="s">
        <v>76</v>
      </c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83"/>
      <c r="P258" s="83"/>
      <c r="Q258" s="83"/>
      <c r="R258" s="83"/>
      <c r="S258" s="83"/>
      <c r="T258" s="83"/>
      <c r="U258" s="83"/>
      <c r="V258" s="83"/>
      <c r="W258" s="83"/>
      <c r="X258" s="83"/>
      <c r="Y258" s="83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2"/>
      <c r="AW258" s="82"/>
      <c r="AX258" s="42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</row>
    <row r="259" spans="1:65">
      <c r="A259" s="6" t="s">
        <v>165</v>
      </c>
      <c r="B259" s="52" t="s">
        <v>76</v>
      </c>
      <c r="C259" s="81">
        <f t="shared" ref="C259:W259" si="439">+C257</f>
        <v>1</v>
      </c>
      <c r="D259" s="81">
        <f t="shared" si="439"/>
        <v>1</v>
      </c>
      <c r="E259" s="81">
        <f t="shared" si="439"/>
        <v>1</v>
      </c>
      <c r="F259" s="81">
        <f t="shared" si="439"/>
        <v>1</v>
      </c>
      <c r="G259" s="81">
        <f t="shared" si="439"/>
        <v>1</v>
      </c>
      <c r="H259" s="81">
        <f t="shared" si="439"/>
        <v>1</v>
      </c>
      <c r="I259" s="81">
        <f t="shared" si="439"/>
        <v>1</v>
      </c>
      <c r="J259" s="81">
        <f t="shared" si="439"/>
        <v>1</v>
      </c>
      <c r="K259" s="81">
        <f t="shared" si="439"/>
        <v>1</v>
      </c>
      <c r="L259" s="81">
        <f t="shared" si="439"/>
        <v>1</v>
      </c>
      <c r="M259" s="81">
        <f t="shared" si="439"/>
        <v>1</v>
      </c>
      <c r="N259" s="81">
        <f t="shared" si="439"/>
        <v>1</v>
      </c>
      <c r="O259" s="81">
        <f t="shared" si="439"/>
        <v>1</v>
      </c>
      <c r="P259" s="81">
        <f t="shared" si="439"/>
        <v>1</v>
      </c>
      <c r="Q259" s="81">
        <f t="shared" si="439"/>
        <v>1</v>
      </c>
      <c r="R259" s="81">
        <f t="shared" si="439"/>
        <v>1</v>
      </c>
      <c r="S259" s="81">
        <f t="shared" si="439"/>
        <v>1</v>
      </c>
      <c r="T259" s="81">
        <f t="shared" si="439"/>
        <v>1</v>
      </c>
      <c r="U259" s="81">
        <f t="shared" si="439"/>
        <v>1</v>
      </c>
      <c r="V259" s="81">
        <f t="shared" si="439"/>
        <v>1</v>
      </c>
      <c r="W259" s="81">
        <f t="shared" si="439"/>
        <v>1</v>
      </c>
      <c r="X259" s="81">
        <f t="shared" ref="X259:AF259" si="440">+X257</f>
        <v>1</v>
      </c>
      <c r="Y259" s="81">
        <f t="shared" si="440"/>
        <v>1</v>
      </c>
      <c r="Z259" s="81">
        <f t="shared" si="440"/>
        <v>1</v>
      </c>
      <c r="AA259" s="81">
        <f t="shared" si="440"/>
        <v>1</v>
      </c>
      <c r="AB259" s="81">
        <f t="shared" si="440"/>
        <v>1</v>
      </c>
      <c r="AC259" s="81">
        <f t="shared" si="440"/>
        <v>1</v>
      </c>
      <c r="AD259" s="81">
        <f t="shared" si="440"/>
        <v>1</v>
      </c>
      <c r="AE259" s="81">
        <f t="shared" si="440"/>
        <v>1</v>
      </c>
      <c r="AF259" s="81">
        <f t="shared" si="440"/>
        <v>1</v>
      </c>
      <c r="AG259" s="81">
        <f t="shared" ref="AG259:AL259" si="441">+AG257</f>
        <v>1</v>
      </c>
      <c r="AH259" s="81">
        <f t="shared" si="441"/>
        <v>1</v>
      </c>
      <c r="AI259" s="81">
        <f t="shared" si="441"/>
        <v>1</v>
      </c>
      <c r="AJ259" s="81">
        <f t="shared" si="441"/>
        <v>1</v>
      </c>
      <c r="AK259" s="81">
        <f t="shared" si="441"/>
        <v>1</v>
      </c>
      <c r="AL259" s="81">
        <f t="shared" si="441"/>
        <v>1</v>
      </c>
      <c r="AM259" s="81">
        <f t="shared" ref="AM259:AO259" si="442">+AM257</f>
        <v>1</v>
      </c>
      <c r="AN259" s="81">
        <f t="shared" si="442"/>
        <v>1</v>
      </c>
      <c r="AO259" s="81">
        <f t="shared" si="442"/>
        <v>1</v>
      </c>
      <c r="AP259" s="81">
        <f t="shared" ref="AP259:AU259" si="443">+AP257</f>
        <v>1</v>
      </c>
      <c r="AQ259" s="81">
        <f t="shared" si="443"/>
        <v>1</v>
      </c>
      <c r="AR259" s="81">
        <f t="shared" si="443"/>
        <v>1</v>
      </c>
      <c r="AS259" s="81">
        <f t="shared" si="443"/>
        <v>1</v>
      </c>
      <c r="AT259" s="81">
        <f t="shared" si="443"/>
        <v>1</v>
      </c>
      <c r="AU259" s="81">
        <f t="shared" si="443"/>
        <v>1</v>
      </c>
      <c r="AV259" s="81">
        <f t="shared" ref="AV259:AX259" si="444">+AV257</f>
        <v>1</v>
      </c>
      <c r="AW259" s="81">
        <f t="shared" si="444"/>
        <v>1</v>
      </c>
      <c r="AX259" s="401">
        <f t="shared" si="444"/>
        <v>1</v>
      </c>
      <c r="AY259" s="81">
        <f t="shared" ref="AY259:BM259" si="445">+AY257</f>
        <v>1</v>
      </c>
      <c r="AZ259" s="81">
        <f t="shared" si="445"/>
        <v>1</v>
      </c>
      <c r="BA259" s="81">
        <f t="shared" si="445"/>
        <v>1</v>
      </c>
      <c r="BB259" s="81">
        <f t="shared" si="445"/>
        <v>1</v>
      </c>
      <c r="BC259" s="81">
        <f t="shared" si="445"/>
        <v>1</v>
      </c>
      <c r="BD259" s="81">
        <f t="shared" si="445"/>
        <v>1</v>
      </c>
      <c r="BE259" s="81">
        <f t="shared" si="445"/>
        <v>1</v>
      </c>
      <c r="BF259" s="81">
        <f t="shared" si="445"/>
        <v>1</v>
      </c>
      <c r="BG259" s="81">
        <f t="shared" si="445"/>
        <v>1</v>
      </c>
      <c r="BH259" s="81">
        <f t="shared" si="445"/>
        <v>1</v>
      </c>
      <c r="BI259" s="81">
        <f t="shared" si="445"/>
        <v>1</v>
      </c>
      <c r="BJ259" s="81">
        <f t="shared" si="445"/>
        <v>1</v>
      </c>
      <c r="BK259" s="81">
        <f t="shared" si="445"/>
        <v>1</v>
      </c>
      <c r="BL259" s="81">
        <f t="shared" si="445"/>
        <v>1</v>
      </c>
      <c r="BM259" s="81">
        <f t="shared" si="445"/>
        <v>1</v>
      </c>
    </row>
    <row r="261" spans="1:65">
      <c r="A261" s="13" t="s">
        <v>55</v>
      </c>
    </row>
    <row r="262" spans="1:65">
      <c r="A262" s="6" t="s">
        <v>163</v>
      </c>
      <c r="B262" s="52" t="s">
        <v>172</v>
      </c>
      <c r="C262" s="25"/>
      <c r="D262" s="25"/>
      <c r="E262" s="38"/>
      <c r="F262" s="25">
        <f>F244*D223/100</f>
        <v>20.916</v>
      </c>
      <c r="G262" s="25">
        <f>G244*F223/100</f>
        <v>39.840000000000003</v>
      </c>
      <c r="H262" s="38">
        <f>SUM(F262:G262)</f>
        <v>60.756</v>
      </c>
      <c r="I262" s="25">
        <f>I244*G223/100</f>
        <v>20.916</v>
      </c>
      <c r="J262" s="25">
        <f>J244*I223/100</f>
        <v>39.840000000000003</v>
      </c>
      <c r="K262" s="38">
        <f>SUM(I262:J262)</f>
        <v>60.756</v>
      </c>
      <c r="L262" s="25">
        <f>L244*J223/100</f>
        <v>20.916</v>
      </c>
      <c r="M262" s="25">
        <f>M244*L223/100</f>
        <v>40.835999999999991</v>
      </c>
      <c r="N262" s="38">
        <f>SUM(L262:M262)</f>
        <v>61.751999999999995</v>
      </c>
      <c r="O262" s="25">
        <f>O244*M223/100</f>
        <v>21.912000000000003</v>
      </c>
      <c r="P262" s="25">
        <f>P244*O223/100</f>
        <v>41.832000000000001</v>
      </c>
      <c r="Q262" s="38">
        <f>SUM(O262:P262)</f>
        <v>63.744</v>
      </c>
      <c r="R262" s="25">
        <f>R244*P223/100</f>
        <v>23.904</v>
      </c>
      <c r="S262" s="25">
        <f>S244*R223/100</f>
        <v>51.792000000000002</v>
      </c>
      <c r="T262" s="38">
        <f>SUM(R262:S262)</f>
        <v>75.695999999999998</v>
      </c>
      <c r="U262" s="25">
        <f>U244*S223/100</f>
        <v>26.892000000000003</v>
      </c>
      <c r="V262" s="25">
        <f>V244*U223/100</f>
        <v>64.739999999999995</v>
      </c>
      <c r="W262" s="38">
        <f>SUM(U262:V262)</f>
        <v>91.632000000000005</v>
      </c>
      <c r="X262" s="38">
        <f>X244*V223/100</f>
        <v>28.884</v>
      </c>
      <c r="Y262" s="38">
        <f>Y244*X223/100</f>
        <v>70.715999999999994</v>
      </c>
      <c r="Z262" s="38">
        <f>SUM(X262:Y262)</f>
        <v>99.6</v>
      </c>
      <c r="AA262" s="38">
        <f>AA244*Y223/100</f>
        <v>29.88</v>
      </c>
      <c r="AB262" s="38">
        <f>AB244*AA223/100</f>
        <v>70.965000000000003</v>
      </c>
      <c r="AC262" s="38">
        <f>SUM(AA262:AB262)</f>
        <v>100.845</v>
      </c>
      <c r="AD262" s="38">
        <f>AD244*AB223/100</f>
        <v>29.88</v>
      </c>
      <c r="AE262" s="38">
        <f>AE244*AD223/100</f>
        <v>79.917256837500005</v>
      </c>
      <c r="AF262" s="38">
        <f>SUM(AD262:AE262)</f>
        <v>109.7972568375</v>
      </c>
      <c r="AG262" s="38">
        <f>AG244*AE223/100</f>
        <v>33.649371300000006</v>
      </c>
      <c r="AH262" s="38">
        <f>AH244*AG223/100</f>
        <v>33.649371300000006</v>
      </c>
      <c r="AI262" s="38">
        <f>SUM(AG262:AH262)</f>
        <v>67.298742600000011</v>
      </c>
      <c r="AJ262" s="38">
        <f>AJ244*AH223/100</f>
        <v>38.759050860000002</v>
      </c>
      <c r="AK262" s="38">
        <f>AK244*AJ223/100</f>
        <v>77.518101720000004</v>
      </c>
      <c r="AL262" s="38">
        <f>SUM(AJ262:AK262)</f>
        <v>116.27715258000001</v>
      </c>
      <c r="AM262" s="38">
        <f>AM244*AK223/100</f>
        <v>48.448813575000003</v>
      </c>
      <c r="AN262" s="38">
        <f>AN244*AM223/100</f>
        <v>90.437785340000005</v>
      </c>
      <c r="AO262" s="38">
        <f>SUM(AM262:AN262)</f>
        <v>138.88659891500001</v>
      </c>
      <c r="AP262" s="38">
        <f>AP244*AN223/100</f>
        <v>51.678734480000003</v>
      </c>
      <c r="AQ262" s="38">
        <f>AQ244*AP223/100</f>
        <v>109.81731077000001</v>
      </c>
      <c r="AR262" s="38">
        <f>SUM(AP262:AQ262)</f>
        <v>161.49604525000001</v>
      </c>
      <c r="AS262" s="38">
        <f>AS244*AQ223/100</f>
        <v>51.657679999999999</v>
      </c>
      <c r="AT262" s="38">
        <f>AT244*AS223/100</f>
        <v>114.6154775</v>
      </c>
      <c r="AU262" s="38">
        <f>SUM(AS262:AT262)</f>
        <v>166.2731575</v>
      </c>
      <c r="AV262" s="38">
        <f>AV244*AT223/100</f>
        <v>41.971865000000001</v>
      </c>
      <c r="AW262" s="38">
        <f>AW244*AV223/100</f>
        <v>76.582510599999992</v>
      </c>
      <c r="AX262" s="406">
        <f>SUM(AV262:AW262)</f>
        <v>118.55437559999999</v>
      </c>
      <c r="AY262" s="38">
        <f>AY244*AW223/100</f>
        <v>32.208800000000004</v>
      </c>
      <c r="AZ262" s="38">
        <f>AZ244*AY223/100</f>
        <v>67.76860717000001</v>
      </c>
      <c r="BA262" s="38">
        <f>SUM(AY262:AZ262)</f>
        <v>99.977407170000021</v>
      </c>
      <c r="BB262" s="38">
        <f>BB244*AZ223/100</f>
        <v>36.964694820000005</v>
      </c>
      <c r="BC262" s="38">
        <f>BC244*BB223/100</f>
        <v>80.090172109999997</v>
      </c>
      <c r="BD262" s="38">
        <f>SUM(BB262:BC262)</f>
        <v>117.05486693</v>
      </c>
      <c r="BE262" s="38">
        <f>BE244*BC223/100</f>
        <v>49.28625976</v>
      </c>
      <c r="BF262" s="38">
        <f>BF244*BE223/100</f>
        <v>98.57251952</v>
      </c>
      <c r="BG262" s="38">
        <f>SUM(BE262:BF262)</f>
        <v>147.85877927999999</v>
      </c>
      <c r="BH262" s="38">
        <f>BH244*BF223/100</f>
        <v>49.28625976</v>
      </c>
      <c r="BI262" s="38">
        <f>BI244*BH223/100</f>
        <v>110.89408446000002</v>
      </c>
      <c r="BJ262" s="38">
        <f>SUM(BH262:BI262)</f>
        <v>160.18034422000002</v>
      </c>
      <c r="BK262" s="38">
        <f>BK244*BI223/100</f>
        <v>55.447042230000008</v>
      </c>
      <c r="BL262" s="38">
        <f>BL244*BK223/100</f>
        <v>117.05486693</v>
      </c>
      <c r="BM262" s="38">
        <f>SUM(BK262:BL262)</f>
        <v>172.50190916000003</v>
      </c>
    </row>
    <row r="263" spans="1:65">
      <c r="A263" s="6" t="s">
        <v>164</v>
      </c>
      <c r="B263" s="52" t="s">
        <v>172</v>
      </c>
      <c r="C263" s="25"/>
      <c r="D263" s="25"/>
      <c r="E263" s="38"/>
      <c r="F263" s="25">
        <f>+F245*D223/100</f>
        <v>0</v>
      </c>
      <c r="G263" s="25">
        <f>+G245*F223/100</f>
        <v>0</v>
      </c>
      <c r="H263" s="38">
        <f>SUM(F263:G263)</f>
        <v>0</v>
      </c>
      <c r="I263" s="25">
        <f>+I245*G223/100</f>
        <v>0</v>
      </c>
      <c r="J263" s="25">
        <f>+J245*I223/100</f>
        <v>0</v>
      </c>
      <c r="K263" s="38">
        <f>SUM(I263:J263)</f>
        <v>0</v>
      </c>
      <c r="L263" s="25">
        <f>+L245*J223/100</f>
        <v>0</v>
      </c>
      <c r="M263" s="25">
        <f>+M245*L223/100</f>
        <v>0</v>
      </c>
      <c r="N263" s="38">
        <f>SUM(L263:M263)</f>
        <v>0</v>
      </c>
      <c r="O263" s="25">
        <f>+O245*M223/100</f>
        <v>0</v>
      </c>
      <c r="P263" s="25">
        <f>+P245*O223/100</f>
        <v>0</v>
      </c>
      <c r="Q263" s="38">
        <f>SUM(O263:P263)</f>
        <v>0</v>
      </c>
      <c r="R263" s="25">
        <f>+R245*P223/100</f>
        <v>0</v>
      </c>
      <c r="S263" s="25">
        <f>+S245*R223/100</f>
        <v>0</v>
      </c>
      <c r="T263" s="38">
        <f>SUM(R263:S263)</f>
        <v>0</v>
      </c>
      <c r="U263" s="25">
        <f>+U245*S223/100</f>
        <v>0</v>
      </c>
      <c r="V263" s="25">
        <f>+V245*U223/100</f>
        <v>0</v>
      </c>
      <c r="W263" s="38">
        <f>SUM(U263:V263)</f>
        <v>0</v>
      </c>
      <c r="X263" s="38">
        <f>+X245*V223/100</f>
        <v>0</v>
      </c>
      <c r="Y263" s="38">
        <f>+Y245*X223/100</f>
        <v>0</v>
      </c>
      <c r="Z263" s="38">
        <f>SUM(X263:Y263)</f>
        <v>0</v>
      </c>
      <c r="AA263" s="38">
        <f>+AA245*Y223/100</f>
        <v>0</v>
      </c>
      <c r="AB263" s="38">
        <f>+AB245*AA223/100</f>
        <v>0</v>
      </c>
      <c r="AC263" s="38">
        <f>SUM(AA263:AB263)</f>
        <v>0</v>
      </c>
      <c r="AD263" s="38">
        <f>+AD245*AB223/100</f>
        <v>0</v>
      </c>
      <c r="AE263" s="38">
        <f>+AE245*AD223/100</f>
        <v>0</v>
      </c>
      <c r="AF263" s="38">
        <f>SUM(AD263:AE263)</f>
        <v>0</v>
      </c>
      <c r="AG263" s="38">
        <f>+AG245*AE223/100</f>
        <v>0</v>
      </c>
      <c r="AH263" s="38">
        <f>+AH245*AG223/100</f>
        <v>0</v>
      </c>
      <c r="AI263" s="38">
        <f>SUM(AG263:AH263)</f>
        <v>0</v>
      </c>
      <c r="AJ263" s="38">
        <f>+AJ245*AH223/100</f>
        <v>0</v>
      </c>
      <c r="AK263" s="38">
        <f>+AK245*AJ223/100</f>
        <v>0</v>
      </c>
      <c r="AL263" s="38">
        <f>SUM(AJ263:AK263)</f>
        <v>0</v>
      </c>
      <c r="AM263" s="38">
        <f>+AM245*AK223/100</f>
        <v>0</v>
      </c>
      <c r="AN263" s="38">
        <f>+AN245*AM223/100</f>
        <v>0</v>
      </c>
      <c r="AO263" s="38">
        <f>SUM(AM263:AN263)</f>
        <v>0</v>
      </c>
      <c r="AP263" s="38">
        <f>+AP245*AN223/100</f>
        <v>0</v>
      </c>
      <c r="AQ263" s="38">
        <f>+AQ245*AP223/100</f>
        <v>0</v>
      </c>
      <c r="AR263" s="38">
        <f>SUM(AP263:AQ263)</f>
        <v>0</v>
      </c>
      <c r="AS263" s="38">
        <f>+AS245*AQ223/100</f>
        <v>0</v>
      </c>
      <c r="AT263" s="38">
        <f>+AT245*AS223/100</f>
        <v>0</v>
      </c>
      <c r="AU263" s="38">
        <f>SUM(AS263:AT263)</f>
        <v>0</v>
      </c>
      <c r="AV263" s="38">
        <f>+AV245*AT223/100</f>
        <v>0</v>
      </c>
      <c r="AW263" s="38">
        <f>+AW245*AV223/100</f>
        <v>0</v>
      </c>
      <c r="AX263" s="406">
        <f>SUM(AV263:AW263)</f>
        <v>0</v>
      </c>
      <c r="AY263" s="38">
        <f>+AY245*AW223/100</f>
        <v>0</v>
      </c>
      <c r="AZ263" s="38">
        <f>+AZ245*AY223/100</f>
        <v>0</v>
      </c>
      <c r="BA263" s="38">
        <f>SUM(AY263:AZ263)</f>
        <v>0</v>
      </c>
      <c r="BB263" s="38">
        <f>+BB245*AZ223/100</f>
        <v>0</v>
      </c>
      <c r="BC263" s="38">
        <f>+BC245*BB223/100</f>
        <v>0</v>
      </c>
      <c r="BD263" s="38">
        <f>SUM(BB263:BC263)</f>
        <v>0</v>
      </c>
      <c r="BE263" s="38">
        <f>+BE245*BC223/100</f>
        <v>0</v>
      </c>
      <c r="BF263" s="38">
        <f>+BF245*BE223/100</f>
        <v>0</v>
      </c>
      <c r="BG263" s="38">
        <f>SUM(BE263:BF263)</f>
        <v>0</v>
      </c>
      <c r="BH263" s="38">
        <f>+BH245*BF223/100</f>
        <v>0</v>
      </c>
      <c r="BI263" s="38">
        <f>+BI245*BH223/100</f>
        <v>0</v>
      </c>
      <c r="BJ263" s="38">
        <f>SUM(BH263:BI263)</f>
        <v>0</v>
      </c>
      <c r="BK263" s="38">
        <f>+BK245*BI223/100</f>
        <v>0</v>
      </c>
      <c r="BL263" s="38">
        <f>+BL245*BK223/100</f>
        <v>0</v>
      </c>
      <c r="BM263" s="38">
        <f>SUM(BK263:BL263)</f>
        <v>0</v>
      </c>
    </row>
    <row r="264" spans="1:65">
      <c r="A264" s="6" t="s">
        <v>1</v>
      </c>
      <c r="B264" s="52" t="s">
        <v>172</v>
      </c>
      <c r="C264" s="25"/>
      <c r="D264" s="25"/>
      <c r="E264" s="38"/>
      <c r="F264" s="25">
        <f t="shared" ref="F264:T264" si="446">+F262+F263</f>
        <v>20.916</v>
      </c>
      <c r="G264" s="25">
        <f t="shared" si="446"/>
        <v>39.840000000000003</v>
      </c>
      <c r="H264" s="38">
        <f t="shared" si="446"/>
        <v>60.756</v>
      </c>
      <c r="I264" s="25">
        <f t="shared" si="446"/>
        <v>20.916</v>
      </c>
      <c r="J264" s="25">
        <f t="shared" si="446"/>
        <v>39.840000000000003</v>
      </c>
      <c r="K264" s="38">
        <f t="shared" si="446"/>
        <v>60.756</v>
      </c>
      <c r="L264" s="25">
        <f t="shared" si="446"/>
        <v>20.916</v>
      </c>
      <c r="M264" s="25">
        <f t="shared" si="446"/>
        <v>40.835999999999991</v>
      </c>
      <c r="N264" s="38">
        <f t="shared" si="446"/>
        <v>61.751999999999995</v>
      </c>
      <c r="O264" s="25">
        <f t="shared" si="446"/>
        <v>21.912000000000003</v>
      </c>
      <c r="P264" s="25">
        <f t="shared" si="446"/>
        <v>41.832000000000001</v>
      </c>
      <c r="Q264" s="38">
        <f t="shared" si="446"/>
        <v>63.744</v>
      </c>
      <c r="R264" s="25">
        <f t="shared" si="446"/>
        <v>23.904</v>
      </c>
      <c r="S264" s="25">
        <f t="shared" si="446"/>
        <v>51.792000000000002</v>
      </c>
      <c r="T264" s="38">
        <f t="shared" si="446"/>
        <v>75.695999999999998</v>
      </c>
      <c r="U264" s="25">
        <f t="shared" ref="U264:AF264" si="447">+U262+U263</f>
        <v>26.892000000000003</v>
      </c>
      <c r="V264" s="25">
        <f t="shared" si="447"/>
        <v>64.739999999999995</v>
      </c>
      <c r="W264" s="38">
        <f t="shared" si="447"/>
        <v>91.632000000000005</v>
      </c>
      <c r="X264" s="38">
        <f t="shared" si="447"/>
        <v>28.884</v>
      </c>
      <c r="Y264" s="38">
        <f t="shared" si="447"/>
        <v>70.715999999999994</v>
      </c>
      <c r="Z264" s="38">
        <f t="shared" si="447"/>
        <v>99.6</v>
      </c>
      <c r="AA264" s="38">
        <f t="shared" si="447"/>
        <v>29.88</v>
      </c>
      <c r="AB264" s="38">
        <f t="shared" si="447"/>
        <v>70.965000000000003</v>
      </c>
      <c r="AC264" s="38">
        <f t="shared" si="447"/>
        <v>100.845</v>
      </c>
      <c r="AD264" s="38">
        <f>+AD262+AD263</f>
        <v>29.88</v>
      </c>
      <c r="AE264" s="38">
        <f t="shared" si="447"/>
        <v>79.917256837500005</v>
      </c>
      <c r="AF264" s="38">
        <f t="shared" si="447"/>
        <v>109.7972568375</v>
      </c>
      <c r="AG264" s="38">
        <f t="shared" ref="AG264:AM264" si="448">+AG262+AG263</f>
        <v>33.649371300000006</v>
      </c>
      <c r="AH264" s="38">
        <f t="shared" si="448"/>
        <v>33.649371300000006</v>
      </c>
      <c r="AI264" s="38">
        <f t="shared" si="448"/>
        <v>67.298742600000011</v>
      </c>
      <c r="AJ264" s="38">
        <f t="shared" si="448"/>
        <v>38.759050860000002</v>
      </c>
      <c r="AK264" s="38">
        <f t="shared" si="448"/>
        <v>77.518101720000004</v>
      </c>
      <c r="AL264" s="38">
        <f t="shared" si="448"/>
        <v>116.27715258000001</v>
      </c>
      <c r="AM264" s="38">
        <f t="shared" si="448"/>
        <v>48.448813575000003</v>
      </c>
      <c r="AN264" s="38">
        <f t="shared" ref="AN264:AP264" si="449">+AN262+AN263</f>
        <v>90.437785340000005</v>
      </c>
      <c r="AO264" s="38">
        <f t="shared" si="449"/>
        <v>138.88659891500001</v>
      </c>
      <c r="AP264" s="38">
        <f t="shared" si="449"/>
        <v>51.678734480000003</v>
      </c>
      <c r="AQ264" s="38">
        <f>+AQ262+AQ263</f>
        <v>109.81731077000001</v>
      </c>
      <c r="AR264" s="38">
        <f>+AR262+AR263</f>
        <v>161.49604525000001</v>
      </c>
      <c r="AS264" s="38">
        <f t="shared" ref="AS264" si="450">+AS262+AS263</f>
        <v>51.657679999999999</v>
      </c>
      <c r="AT264" s="38">
        <f>+AT262+AT263</f>
        <v>114.6154775</v>
      </c>
      <c r="AU264" s="38">
        <f>+AU262+AU263</f>
        <v>166.2731575</v>
      </c>
      <c r="AV264" s="38">
        <f t="shared" ref="AV264" si="451">+AV262+AV263</f>
        <v>41.971865000000001</v>
      </c>
      <c r="AW264" s="38">
        <f>+AW262+AW263</f>
        <v>76.582510599999992</v>
      </c>
      <c r="AX264" s="406">
        <f>+AX262+AX263</f>
        <v>118.55437559999999</v>
      </c>
      <c r="AY264" s="38">
        <f t="shared" ref="AY264:BM264" si="452">+AY262+AY263</f>
        <v>32.208800000000004</v>
      </c>
      <c r="AZ264" s="38">
        <f t="shared" si="452"/>
        <v>67.76860717000001</v>
      </c>
      <c r="BA264" s="38">
        <f t="shared" si="452"/>
        <v>99.977407170000021</v>
      </c>
      <c r="BB264" s="38">
        <f t="shared" si="452"/>
        <v>36.964694820000005</v>
      </c>
      <c r="BC264" s="38">
        <f t="shared" si="452"/>
        <v>80.090172109999997</v>
      </c>
      <c r="BD264" s="38">
        <f t="shared" si="452"/>
        <v>117.05486693</v>
      </c>
      <c r="BE264" s="38">
        <f t="shared" si="452"/>
        <v>49.28625976</v>
      </c>
      <c r="BF264" s="38">
        <f t="shared" si="452"/>
        <v>98.57251952</v>
      </c>
      <c r="BG264" s="38">
        <f t="shared" si="452"/>
        <v>147.85877927999999</v>
      </c>
      <c r="BH264" s="38">
        <f t="shared" si="452"/>
        <v>49.28625976</v>
      </c>
      <c r="BI264" s="38">
        <f t="shared" si="452"/>
        <v>110.89408446000002</v>
      </c>
      <c r="BJ264" s="38">
        <f t="shared" si="452"/>
        <v>160.18034422000002</v>
      </c>
      <c r="BK264" s="38">
        <f t="shared" si="452"/>
        <v>55.447042230000008</v>
      </c>
      <c r="BL264" s="38">
        <f t="shared" si="452"/>
        <v>117.05486693</v>
      </c>
      <c r="BM264" s="38">
        <f t="shared" si="452"/>
        <v>172.50190916000003</v>
      </c>
    </row>
    <row r="265" spans="1:65">
      <c r="A265" s="58" t="s">
        <v>115</v>
      </c>
      <c r="C265" s="25"/>
      <c r="D265" s="25"/>
      <c r="E265" s="38"/>
      <c r="F265" s="25"/>
      <c r="G265" s="25"/>
      <c r="H265" s="38"/>
      <c r="I265" s="25"/>
      <c r="J265" s="25"/>
      <c r="K265" s="38"/>
      <c r="L265" s="25"/>
      <c r="M265" s="25"/>
      <c r="N265" s="38"/>
      <c r="O265" s="25"/>
      <c r="P265" s="25"/>
      <c r="Q265" s="38"/>
      <c r="R265" s="25"/>
      <c r="S265" s="25"/>
      <c r="T265" s="38"/>
      <c r="U265" s="25"/>
      <c r="V265" s="25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406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</row>
    <row r="266" spans="1:65">
      <c r="A266" s="6" t="s">
        <v>116</v>
      </c>
      <c r="B266" s="52" t="s">
        <v>172</v>
      </c>
      <c r="C266" s="25"/>
      <c r="D266" s="25"/>
      <c r="E266" s="38"/>
      <c r="F266" s="25">
        <f>D264</f>
        <v>0</v>
      </c>
      <c r="G266" s="25">
        <f>F264</f>
        <v>20.916</v>
      </c>
      <c r="H266" s="38">
        <f>G266+F266</f>
        <v>20.916</v>
      </c>
      <c r="I266" s="25">
        <f>G264</f>
        <v>39.840000000000003</v>
      </c>
      <c r="J266" s="25">
        <f>I264</f>
        <v>20.916</v>
      </c>
      <c r="K266" s="38">
        <f>J266+I266</f>
        <v>60.756</v>
      </c>
      <c r="L266" s="25">
        <f>J264</f>
        <v>39.840000000000003</v>
      </c>
      <c r="M266" s="25">
        <f>L264</f>
        <v>20.916</v>
      </c>
      <c r="N266" s="38">
        <f>M266+L266</f>
        <v>60.756</v>
      </c>
      <c r="O266" s="25">
        <f>M264</f>
        <v>40.835999999999991</v>
      </c>
      <c r="P266" s="25">
        <f>O264</f>
        <v>21.912000000000003</v>
      </c>
      <c r="Q266" s="38">
        <f>P266+O266</f>
        <v>62.74799999999999</v>
      </c>
      <c r="R266" s="25">
        <f>P264</f>
        <v>41.832000000000001</v>
      </c>
      <c r="S266" s="25">
        <f>R264</f>
        <v>23.904</v>
      </c>
      <c r="T266" s="38">
        <f>S266+R266</f>
        <v>65.736000000000004</v>
      </c>
      <c r="U266" s="25">
        <f>S264</f>
        <v>51.792000000000002</v>
      </c>
      <c r="V266" s="25">
        <f>U264</f>
        <v>26.892000000000003</v>
      </c>
      <c r="W266" s="38">
        <f>V266+U266</f>
        <v>78.683999999999997</v>
      </c>
      <c r="X266" s="38">
        <f>V264</f>
        <v>64.739999999999995</v>
      </c>
      <c r="Y266" s="38">
        <f>X264</f>
        <v>28.884</v>
      </c>
      <c r="Z266" s="38">
        <f>Y266+X266</f>
        <v>93.623999999999995</v>
      </c>
      <c r="AA266" s="38">
        <f>Y264</f>
        <v>70.715999999999994</v>
      </c>
      <c r="AB266" s="38">
        <f>AA264</f>
        <v>29.88</v>
      </c>
      <c r="AC266" s="38">
        <f>AB266+AA266</f>
        <v>100.59599999999999</v>
      </c>
      <c r="AD266" s="38">
        <f>AB264</f>
        <v>70.965000000000003</v>
      </c>
      <c r="AE266" s="38">
        <f>AD264</f>
        <v>29.88</v>
      </c>
      <c r="AF266" s="38">
        <f>AE266+AD266</f>
        <v>100.845</v>
      </c>
      <c r="AG266" s="38">
        <f>AE264</f>
        <v>79.917256837500005</v>
      </c>
      <c r="AH266" s="38">
        <f>AG264</f>
        <v>33.649371300000006</v>
      </c>
      <c r="AI266" s="38">
        <f>AH266+AG266</f>
        <v>113.5666281375</v>
      </c>
      <c r="AJ266" s="38">
        <f>AI264</f>
        <v>67.298742600000011</v>
      </c>
      <c r="AK266" s="38">
        <f>AJ264</f>
        <v>38.759050860000002</v>
      </c>
      <c r="AL266" s="38">
        <f>AK266+AJ266</f>
        <v>106.05779346000001</v>
      </c>
      <c r="AM266" s="38">
        <f>AL264</f>
        <v>116.27715258000001</v>
      </c>
      <c r="AN266" s="38">
        <f>AM264</f>
        <v>48.448813575000003</v>
      </c>
      <c r="AO266" s="38">
        <f>AN266+AM266</f>
        <v>164.72596615500001</v>
      </c>
      <c r="AP266" s="38">
        <f>AO264</f>
        <v>138.88659891500001</v>
      </c>
      <c r="AQ266" s="38">
        <f>AP264</f>
        <v>51.678734480000003</v>
      </c>
      <c r="AR266" s="38">
        <f>AQ266+AP266</f>
        <v>190.56533339500001</v>
      </c>
      <c r="AS266" s="38">
        <f>AR264</f>
        <v>161.49604525000001</v>
      </c>
      <c r="AT266" s="38">
        <f>AS264</f>
        <v>51.657679999999999</v>
      </c>
      <c r="AU266" s="38">
        <f>AT266+AS266</f>
        <v>213.15372525000001</v>
      </c>
      <c r="AV266" s="38">
        <f>AU264</f>
        <v>166.2731575</v>
      </c>
      <c r="AW266" s="38">
        <f>AV264</f>
        <v>41.971865000000001</v>
      </c>
      <c r="AX266" s="406">
        <f>AW266+AV266</f>
        <v>208.2450225</v>
      </c>
      <c r="AY266" s="38">
        <f>AW264</f>
        <v>76.582510599999992</v>
      </c>
      <c r="AZ266" s="38">
        <f>AY264</f>
        <v>32.208800000000004</v>
      </c>
      <c r="BA266" s="38">
        <f>AZ266+AY266</f>
        <v>108.7913106</v>
      </c>
      <c r="BB266" s="38">
        <f>AZ264</f>
        <v>67.76860717000001</v>
      </c>
      <c r="BC266" s="38">
        <f>BB264</f>
        <v>36.964694820000005</v>
      </c>
      <c r="BD266" s="38">
        <f>BC266+BB266</f>
        <v>104.73330199000002</v>
      </c>
      <c r="BE266" s="38">
        <f>BC264</f>
        <v>80.090172109999997</v>
      </c>
      <c r="BF266" s="38">
        <f>BE264</f>
        <v>49.28625976</v>
      </c>
      <c r="BG266" s="38">
        <f>BF266+BE266</f>
        <v>129.37643187</v>
      </c>
      <c r="BH266" s="38">
        <f>BF264</f>
        <v>98.57251952</v>
      </c>
      <c r="BI266" s="38">
        <f>BH264</f>
        <v>49.28625976</v>
      </c>
      <c r="BJ266" s="38">
        <f>BI266+BH266</f>
        <v>147.85877927999999</v>
      </c>
      <c r="BK266" s="38">
        <f>BI264</f>
        <v>110.89408446000002</v>
      </c>
      <c r="BL266" s="38">
        <f>BK264</f>
        <v>55.447042230000008</v>
      </c>
      <c r="BM266" s="38">
        <f>BL266+BK266</f>
        <v>166.34112669000001</v>
      </c>
    </row>
    <row r="267" spans="1:65">
      <c r="A267" s="6" t="s">
        <v>175</v>
      </c>
      <c r="B267" s="52" t="s">
        <v>172</v>
      </c>
      <c r="C267" s="26"/>
      <c r="D267" s="26"/>
      <c r="E267" s="38"/>
      <c r="F267" s="26">
        <v>0</v>
      </c>
      <c r="G267" s="26">
        <v>0</v>
      </c>
      <c r="H267" s="38">
        <f>G267+F267</f>
        <v>0</v>
      </c>
      <c r="I267" s="26">
        <v>0</v>
      </c>
      <c r="J267" s="26">
        <v>0</v>
      </c>
      <c r="K267" s="38">
        <f>J267+I267</f>
        <v>0</v>
      </c>
      <c r="L267" s="26">
        <v>0</v>
      </c>
      <c r="M267" s="26">
        <v>0</v>
      </c>
      <c r="N267" s="38">
        <f>M267+L267</f>
        <v>0</v>
      </c>
      <c r="O267" s="26">
        <v>0</v>
      </c>
      <c r="P267" s="26">
        <v>0</v>
      </c>
      <c r="Q267" s="38">
        <f>P267+O267</f>
        <v>0</v>
      </c>
      <c r="R267" s="26">
        <v>0</v>
      </c>
      <c r="S267" s="26">
        <v>0</v>
      </c>
      <c r="T267" s="38">
        <f>S267+R267</f>
        <v>0</v>
      </c>
      <c r="U267" s="26">
        <v>0</v>
      </c>
      <c r="V267" s="26">
        <v>0</v>
      </c>
      <c r="W267" s="38">
        <f>V267+U267</f>
        <v>0</v>
      </c>
      <c r="X267" s="91">
        <v>0</v>
      </c>
      <c r="Y267" s="91">
        <v>0</v>
      </c>
      <c r="Z267" s="38">
        <f>Y267+X267</f>
        <v>0</v>
      </c>
      <c r="AA267" s="91">
        <v>0</v>
      </c>
      <c r="AB267" s="91">
        <v>0</v>
      </c>
      <c r="AC267" s="38">
        <f>AB267+AA267</f>
        <v>0</v>
      </c>
      <c r="AD267" s="91">
        <v>0</v>
      </c>
      <c r="AE267" s="37">
        <v>0</v>
      </c>
      <c r="AF267" s="38">
        <f>AE267+AD267</f>
        <v>0</v>
      </c>
      <c r="AG267" s="91">
        <v>0</v>
      </c>
      <c r="AH267" s="37">
        <v>0</v>
      </c>
      <c r="AI267" s="38">
        <f>AH267+AG267</f>
        <v>0</v>
      </c>
      <c r="AJ267" s="37">
        <v>0</v>
      </c>
      <c r="AK267" s="37">
        <v>0</v>
      </c>
      <c r="AL267" s="38">
        <f>AK267+AJ267</f>
        <v>0</v>
      </c>
      <c r="AM267" s="37">
        <v>0</v>
      </c>
      <c r="AN267" s="37">
        <v>0</v>
      </c>
      <c r="AO267" s="38">
        <f>AN267+AM267</f>
        <v>0</v>
      </c>
      <c r="AP267" s="37">
        <v>0</v>
      </c>
      <c r="AQ267" s="37">
        <v>0</v>
      </c>
      <c r="AR267" s="38">
        <f>AQ267+AP267</f>
        <v>0</v>
      </c>
      <c r="AS267" s="37">
        <v>0</v>
      </c>
      <c r="AT267" s="37">
        <v>0</v>
      </c>
      <c r="AU267" s="38">
        <f>AT267+AS267</f>
        <v>0</v>
      </c>
      <c r="AV267" s="37">
        <v>0</v>
      </c>
      <c r="AW267" s="37">
        <v>0</v>
      </c>
      <c r="AX267" s="406">
        <f>AW267+AV267</f>
        <v>0</v>
      </c>
      <c r="AY267" s="37">
        <v>0</v>
      </c>
      <c r="AZ267" s="37">
        <v>0</v>
      </c>
      <c r="BA267" s="38">
        <f>AZ267+AY267</f>
        <v>0</v>
      </c>
      <c r="BB267" s="37">
        <v>0</v>
      </c>
      <c r="BC267" s="37">
        <v>0</v>
      </c>
      <c r="BD267" s="38">
        <f>BC267+BB267</f>
        <v>0</v>
      </c>
      <c r="BE267" s="37">
        <v>0</v>
      </c>
      <c r="BF267" s="37">
        <v>0</v>
      </c>
      <c r="BG267" s="38">
        <f>BF267+BE267</f>
        <v>0</v>
      </c>
      <c r="BH267" s="37">
        <v>0</v>
      </c>
      <c r="BI267" s="37">
        <v>0</v>
      </c>
      <c r="BJ267" s="38">
        <f>BI267+BH267</f>
        <v>0</v>
      </c>
      <c r="BK267" s="37">
        <v>0</v>
      </c>
      <c r="BL267" s="37">
        <v>0</v>
      </c>
      <c r="BM267" s="38">
        <f>BL267+BK267</f>
        <v>0</v>
      </c>
    </row>
    <row r="268" spans="1:65">
      <c r="A268" s="6" t="s">
        <v>2</v>
      </c>
      <c r="B268" s="52" t="s">
        <v>172</v>
      </c>
      <c r="C268" s="25"/>
      <c r="D268" s="25"/>
      <c r="E268" s="38"/>
      <c r="F268" s="25">
        <f t="shared" ref="F268:T268" si="453">F266-F267</f>
        <v>0</v>
      </c>
      <c r="G268" s="25">
        <f t="shared" si="453"/>
        <v>20.916</v>
      </c>
      <c r="H268" s="38">
        <f t="shared" si="453"/>
        <v>20.916</v>
      </c>
      <c r="I268" s="25">
        <f t="shared" si="453"/>
        <v>39.840000000000003</v>
      </c>
      <c r="J268" s="25">
        <f t="shared" si="453"/>
        <v>20.916</v>
      </c>
      <c r="K268" s="38">
        <f t="shared" si="453"/>
        <v>60.756</v>
      </c>
      <c r="L268" s="25">
        <f t="shared" si="453"/>
        <v>39.840000000000003</v>
      </c>
      <c r="M268" s="25">
        <f t="shared" si="453"/>
        <v>20.916</v>
      </c>
      <c r="N268" s="38">
        <f t="shared" si="453"/>
        <v>60.756</v>
      </c>
      <c r="O268" s="25">
        <f t="shared" si="453"/>
        <v>40.835999999999991</v>
      </c>
      <c r="P268" s="25">
        <f t="shared" si="453"/>
        <v>21.912000000000003</v>
      </c>
      <c r="Q268" s="38">
        <f t="shared" si="453"/>
        <v>62.74799999999999</v>
      </c>
      <c r="R268" s="25">
        <f t="shared" si="453"/>
        <v>41.832000000000001</v>
      </c>
      <c r="S268" s="25">
        <f t="shared" si="453"/>
        <v>23.904</v>
      </c>
      <c r="T268" s="38">
        <f t="shared" si="453"/>
        <v>65.736000000000004</v>
      </c>
      <c r="U268" s="25">
        <f t="shared" ref="U268:AF268" si="454">U266-U267</f>
        <v>51.792000000000002</v>
      </c>
      <c r="V268" s="25">
        <f t="shared" si="454"/>
        <v>26.892000000000003</v>
      </c>
      <c r="W268" s="38">
        <f t="shared" si="454"/>
        <v>78.683999999999997</v>
      </c>
      <c r="X268" s="38">
        <f t="shared" si="454"/>
        <v>64.739999999999995</v>
      </c>
      <c r="Y268" s="38">
        <f t="shared" si="454"/>
        <v>28.884</v>
      </c>
      <c r="Z268" s="38">
        <f t="shared" si="454"/>
        <v>93.623999999999995</v>
      </c>
      <c r="AA268" s="38">
        <f t="shared" si="454"/>
        <v>70.715999999999994</v>
      </c>
      <c r="AB268" s="38">
        <f t="shared" si="454"/>
        <v>29.88</v>
      </c>
      <c r="AC268" s="38">
        <f t="shared" si="454"/>
        <v>100.59599999999999</v>
      </c>
      <c r="AD268" s="38">
        <f t="shared" si="454"/>
        <v>70.965000000000003</v>
      </c>
      <c r="AE268" s="38">
        <f t="shared" si="454"/>
        <v>29.88</v>
      </c>
      <c r="AF268" s="38">
        <f t="shared" si="454"/>
        <v>100.845</v>
      </c>
      <c r="AG268" s="38">
        <f t="shared" ref="AG268:AM268" si="455">AG266-AG267</f>
        <v>79.917256837500005</v>
      </c>
      <c r="AH268" s="38">
        <f t="shared" si="455"/>
        <v>33.649371300000006</v>
      </c>
      <c r="AI268" s="38">
        <f t="shared" si="455"/>
        <v>113.5666281375</v>
      </c>
      <c r="AJ268" s="38">
        <f t="shared" si="455"/>
        <v>67.298742600000011</v>
      </c>
      <c r="AK268" s="38">
        <f t="shared" si="455"/>
        <v>38.759050860000002</v>
      </c>
      <c r="AL268" s="38">
        <f t="shared" si="455"/>
        <v>106.05779346000001</v>
      </c>
      <c r="AM268" s="38">
        <f t="shared" si="455"/>
        <v>116.27715258000001</v>
      </c>
      <c r="AN268" s="38">
        <f t="shared" ref="AN268:AP268" si="456">AN266-AN267</f>
        <v>48.448813575000003</v>
      </c>
      <c r="AO268" s="38">
        <f t="shared" si="456"/>
        <v>164.72596615500001</v>
      </c>
      <c r="AP268" s="38">
        <f t="shared" si="456"/>
        <v>138.88659891500001</v>
      </c>
      <c r="AQ268" s="38">
        <f>AQ266-AQ267</f>
        <v>51.678734480000003</v>
      </c>
      <c r="AR268" s="38">
        <f>AR266-AR267</f>
        <v>190.56533339500001</v>
      </c>
      <c r="AS268" s="38">
        <f t="shared" ref="AS268" si="457">AS266-AS267</f>
        <v>161.49604525000001</v>
      </c>
      <c r="AT268" s="38">
        <f>AT266-AT267</f>
        <v>51.657679999999999</v>
      </c>
      <c r="AU268" s="38">
        <f>AU266-AU267</f>
        <v>213.15372525000001</v>
      </c>
      <c r="AV268" s="38">
        <f t="shared" ref="AV268" si="458">AV266-AV267</f>
        <v>166.2731575</v>
      </c>
      <c r="AW268" s="38">
        <f>AW266-AW267</f>
        <v>41.971865000000001</v>
      </c>
      <c r="AX268" s="406">
        <f>AX266-AX267</f>
        <v>208.2450225</v>
      </c>
      <c r="AY268" s="38">
        <f t="shared" ref="AY268:BM268" si="459">AY266-AY267</f>
        <v>76.582510599999992</v>
      </c>
      <c r="AZ268" s="38">
        <f t="shared" si="459"/>
        <v>32.208800000000004</v>
      </c>
      <c r="BA268" s="38">
        <f t="shared" si="459"/>
        <v>108.7913106</v>
      </c>
      <c r="BB268" s="38">
        <f t="shared" si="459"/>
        <v>67.76860717000001</v>
      </c>
      <c r="BC268" s="38">
        <f t="shared" si="459"/>
        <v>36.964694820000005</v>
      </c>
      <c r="BD268" s="38">
        <f t="shared" si="459"/>
        <v>104.73330199000002</v>
      </c>
      <c r="BE268" s="38">
        <f t="shared" si="459"/>
        <v>80.090172109999997</v>
      </c>
      <c r="BF268" s="38">
        <f t="shared" si="459"/>
        <v>49.28625976</v>
      </c>
      <c r="BG268" s="38">
        <f t="shared" si="459"/>
        <v>129.37643187</v>
      </c>
      <c r="BH268" s="38">
        <f t="shared" si="459"/>
        <v>98.57251952</v>
      </c>
      <c r="BI268" s="38">
        <f t="shared" si="459"/>
        <v>49.28625976</v>
      </c>
      <c r="BJ268" s="38">
        <f t="shared" si="459"/>
        <v>147.85877927999999</v>
      </c>
      <c r="BK268" s="38">
        <f t="shared" si="459"/>
        <v>110.89408446000002</v>
      </c>
      <c r="BL268" s="38">
        <f t="shared" si="459"/>
        <v>55.447042230000008</v>
      </c>
      <c r="BM268" s="38">
        <f t="shared" si="459"/>
        <v>166.34112669000001</v>
      </c>
    </row>
    <row r="270" spans="1:65">
      <c r="A270" s="6" t="s">
        <v>244</v>
      </c>
      <c r="B270" s="52" t="s">
        <v>172</v>
      </c>
      <c r="C270" s="25">
        <f t="shared" ref="C270:AH270" si="460">+C77-C271</f>
        <v>82.561999999999998</v>
      </c>
      <c r="D270" s="25">
        <f t="shared" si="460"/>
        <v>81.003</v>
      </c>
      <c r="E270" s="38">
        <f t="shared" si="460"/>
        <v>163.565</v>
      </c>
      <c r="F270" s="25">
        <f t="shared" si="460"/>
        <v>87.150999999999996</v>
      </c>
      <c r="G270" s="25">
        <f t="shared" si="460"/>
        <v>86.409000000000006</v>
      </c>
      <c r="H270" s="38">
        <f t="shared" si="460"/>
        <v>173.56</v>
      </c>
      <c r="I270" s="25">
        <f t="shared" si="460"/>
        <v>83.707999999999998</v>
      </c>
      <c r="J270" s="25">
        <f t="shared" si="460"/>
        <v>79.744</v>
      </c>
      <c r="K270" s="38">
        <f t="shared" si="460"/>
        <v>163.452</v>
      </c>
      <c r="L270" s="25">
        <f t="shared" si="460"/>
        <v>79.534999999999997</v>
      </c>
      <c r="M270" s="25">
        <f t="shared" si="460"/>
        <v>92.338999999999999</v>
      </c>
      <c r="N270" s="38">
        <f t="shared" si="460"/>
        <v>171.874</v>
      </c>
      <c r="O270" s="25">
        <f t="shared" si="460"/>
        <v>86.211000000000013</v>
      </c>
      <c r="P270" s="25">
        <f t="shared" si="460"/>
        <v>96.466999999999985</v>
      </c>
      <c r="Q270" s="38">
        <f t="shared" si="460"/>
        <v>182.678</v>
      </c>
      <c r="R270" s="25">
        <f t="shared" si="460"/>
        <v>120.05500000000001</v>
      </c>
      <c r="S270" s="25">
        <f t="shared" si="460"/>
        <v>127.474</v>
      </c>
      <c r="T270" s="38">
        <f t="shared" si="460"/>
        <v>247.529</v>
      </c>
      <c r="U270" s="25">
        <f t="shared" si="460"/>
        <v>132.92599999999999</v>
      </c>
      <c r="V270" s="25">
        <f t="shared" si="460"/>
        <v>154.75000000000003</v>
      </c>
      <c r="W270" s="38">
        <f t="shared" si="460"/>
        <v>287.67600000000004</v>
      </c>
      <c r="X270" s="38">
        <f t="shared" si="460"/>
        <v>140.589</v>
      </c>
      <c r="Y270" s="38">
        <f t="shared" si="460"/>
        <v>168.35899999999998</v>
      </c>
      <c r="Z270" s="38">
        <f t="shared" si="460"/>
        <v>308.94799999999998</v>
      </c>
      <c r="AA270" s="38">
        <f t="shared" si="460"/>
        <v>153.79</v>
      </c>
      <c r="AB270" s="38">
        <f t="shared" si="460"/>
        <v>170.68600000000001</v>
      </c>
      <c r="AC270" s="38">
        <f t="shared" si="460"/>
        <v>324.476</v>
      </c>
      <c r="AD270" s="38">
        <f t="shared" si="460"/>
        <v>197.89799999999997</v>
      </c>
      <c r="AE270" s="38">
        <f t="shared" si="460"/>
        <v>195.97999999999996</v>
      </c>
      <c r="AF270" s="38">
        <f t="shared" si="460"/>
        <v>393.87799999999993</v>
      </c>
      <c r="AG270" s="38">
        <f t="shared" si="460"/>
        <v>206.00900000000001</v>
      </c>
      <c r="AH270" s="38">
        <f t="shared" si="460"/>
        <v>211.14700000000005</v>
      </c>
      <c r="AI270" s="38">
        <f t="shared" ref="AI270:BM270" si="461">+AI77-AI271</f>
        <v>417.15600000000006</v>
      </c>
      <c r="AJ270" s="38">
        <f t="shared" si="461"/>
        <v>236.53399999999999</v>
      </c>
      <c r="AK270" s="38">
        <f t="shared" si="461"/>
        <v>256.03800000000007</v>
      </c>
      <c r="AL270" s="38">
        <f>+AL77-AL271</f>
        <v>492.57200000000006</v>
      </c>
      <c r="AM270" s="38">
        <f>+AM77-AM271</f>
        <v>268.00299999999999</v>
      </c>
      <c r="AN270" s="38">
        <f t="shared" si="461"/>
        <v>323.80500000000001</v>
      </c>
      <c r="AO270" s="38">
        <f t="shared" si="461"/>
        <v>591.80799999999999</v>
      </c>
      <c r="AP270" s="38">
        <f t="shared" si="461"/>
        <v>323.887</v>
      </c>
      <c r="AQ270" s="38">
        <f>+AQ77-AQ271</f>
        <v>327.51900000000001</v>
      </c>
      <c r="AR270" s="38">
        <f>+AR77-AR271</f>
        <v>651.40599999999995</v>
      </c>
      <c r="AS270" s="38">
        <f t="shared" ref="AS270" si="462">+AS77-AS271</f>
        <v>367.19199999999995</v>
      </c>
      <c r="AT270" s="38">
        <f>+AT77-AT271</f>
        <v>317.46100000000007</v>
      </c>
      <c r="AU270" s="38">
        <f>+AU77-AU271</f>
        <v>684.65300000000002</v>
      </c>
      <c r="AV270" s="38">
        <f t="shared" ref="AV270" si="463">+AV77-AV271</f>
        <v>304.529</v>
      </c>
      <c r="AW270" s="38">
        <f>+AW77-AW271</f>
        <v>220.83500000000004</v>
      </c>
      <c r="AX270" s="406">
        <f>+AX77-AX271</f>
        <v>525.36400000000003</v>
      </c>
      <c r="AY270" s="38">
        <f t="shared" si="461"/>
        <v>256.00114262837565</v>
      </c>
      <c r="AZ270" s="38">
        <f t="shared" si="461"/>
        <v>256.26973112023825</v>
      </c>
      <c r="BA270" s="38">
        <f t="shared" si="461"/>
        <v>512.27087374861389</v>
      </c>
      <c r="BB270" s="38">
        <f t="shared" si="461"/>
        <v>298.32922679025774</v>
      </c>
      <c r="BC270" s="38">
        <f t="shared" si="461"/>
        <v>297.2119014682408</v>
      </c>
      <c r="BD270" s="38">
        <f t="shared" si="461"/>
        <v>595.54112825849847</v>
      </c>
      <c r="BE270" s="38">
        <f t="shared" si="461"/>
        <v>341.95669254383085</v>
      </c>
      <c r="BF270" s="38">
        <f t="shared" si="461"/>
        <v>337.64453253687878</v>
      </c>
      <c r="BG270" s="38">
        <f t="shared" si="461"/>
        <v>679.60122508070958</v>
      </c>
      <c r="BH270" s="38">
        <f t="shared" si="461"/>
        <v>362.07270589644952</v>
      </c>
      <c r="BI270" s="38">
        <f t="shared" si="461"/>
        <v>357.06581744093103</v>
      </c>
      <c r="BJ270" s="38">
        <f t="shared" si="461"/>
        <v>719.13852333738055</v>
      </c>
      <c r="BK270" s="38">
        <f t="shared" si="461"/>
        <v>372.43767108048803</v>
      </c>
      <c r="BL270" s="38">
        <f t="shared" si="461"/>
        <v>369.50235430601901</v>
      </c>
      <c r="BM270" s="38">
        <f t="shared" si="461"/>
        <v>741.94002538650693</v>
      </c>
    </row>
    <row r="271" spans="1:65">
      <c r="A271" s="6" t="s">
        <v>241</v>
      </c>
      <c r="B271" s="52" t="s">
        <v>172</v>
      </c>
      <c r="C271" s="42">
        <f t="shared" ref="C271:AH271" si="464">+C23</f>
        <v>14.013999999999999</v>
      </c>
      <c r="D271" s="42">
        <f t="shared" si="464"/>
        <v>14.124000000000009</v>
      </c>
      <c r="E271" s="109">
        <f t="shared" si="464"/>
        <v>28.138000000000002</v>
      </c>
      <c r="F271" s="42">
        <f t="shared" si="464"/>
        <v>14.598000000000001</v>
      </c>
      <c r="G271" s="42">
        <f t="shared" si="464"/>
        <v>15.021000000000001</v>
      </c>
      <c r="H271" s="109">
        <f t="shared" si="464"/>
        <v>29.619</v>
      </c>
      <c r="I271" s="42">
        <f t="shared" si="464"/>
        <v>15.97</v>
      </c>
      <c r="J271" s="42">
        <f t="shared" si="464"/>
        <v>17.027999999999992</v>
      </c>
      <c r="K271" s="109">
        <f t="shared" si="464"/>
        <v>32.997999999999998</v>
      </c>
      <c r="L271" s="42">
        <f t="shared" si="464"/>
        <v>17.827999999999999</v>
      </c>
      <c r="M271" s="42">
        <f t="shared" si="464"/>
        <v>19.310000000000002</v>
      </c>
      <c r="N271" s="109">
        <f t="shared" si="464"/>
        <v>37.137999999999998</v>
      </c>
      <c r="O271" s="42">
        <f t="shared" si="464"/>
        <v>20.625</v>
      </c>
      <c r="P271" s="42">
        <f t="shared" si="464"/>
        <v>21.381</v>
      </c>
      <c r="Q271" s="109">
        <f t="shared" si="464"/>
        <v>42.006</v>
      </c>
      <c r="R271" s="42">
        <f t="shared" si="464"/>
        <v>21.744</v>
      </c>
      <c r="S271" s="42">
        <f t="shared" si="464"/>
        <v>22.712000000000003</v>
      </c>
      <c r="T271" s="109">
        <f t="shared" si="464"/>
        <v>44.456000000000003</v>
      </c>
      <c r="U271" s="42">
        <f t="shared" si="464"/>
        <v>23.175999999999998</v>
      </c>
      <c r="V271" s="42">
        <f t="shared" si="464"/>
        <v>23.407</v>
      </c>
      <c r="W271" s="109">
        <f t="shared" si="464"/>
        <v>46.582999999999998</v>
      </c>
      <c r="X271" s="109">
        <f t="shared" si="464"/>
        <v>23.670999999999999</v>
      </c>
      <c r="Y271" s="109">
        <f t="shared" si="464"/>
        <v>26.285000000000004</v>
      </c>
      <c r="Z271" s="109">
        <f t="shared" si="464"/>
        <v>49.956000000000003</v>
      </c>
      <c r="AA271" s="109">
        <f t="shared" si="464"/>
        <v>25.169</v>
      </c>
      <c r="AB271" s="109">
        <f t="shared" si="464"/>
        <v>28.678000000000001</v>
      </c>
      <c r="AC271" s="109">
        <f t="shared" si="464"/>
        <v>53.847000000000001</v>
      </c>
      <c r="AD271" s="109">
        <f t="shared" si="464"/>
        <v>62.244999999999997</v>
      </c>
      <c r="AE271" s="109">
        <f t="shared" si="464"/>
        <v>65.827000000000012</v>
      </c>
      <c r="AF271" s="109">
        <f t="shared" si="464"/>
        <v>128.072</v>
      </c>
      <c r="AG271" s="109">
        <f t="shared" si="464"/>
        <v>106.697</v>
      </c>
      <c r="AH271" s="109">
        <f t="shared" si="464"/>
        <v>125.75099999999998</v>
      </c>
      <c r="AI271" s="109">
        <f t="shared" ref="AI271:BM271" si="465">+AI23</f>
        <v>232.44799999999998</v>
      </c>
      <c r="AJ271" s="109">
        <f t="shared" si="465"/>
        <v>112.91800000000001</v>
      </c>
      <c r="AK271" s="109">
        <f t="shared" si="465"/>
        <v>114.62799999999999</v>
      </c>
      <c r="AL271" s="109">
        <f>+AL23</f>
        <v>227.54599999999999</v>
      </c>
      <c r="AM271" s="109">
        <f>+AM23</f>
        <v>122.319</v>
      </c>
      <c r="AN271" s="109">
        <f t="shared" si="465"/>
        <v>135.91199999999998</v>
      </c>
      <c r="AO271" s="109">
        <f t="shared" si="465"/>
        <v>258.23099999999999</v>
      </c>
      <c r="AP271" s="109">
        <f t="shared" si="465"/>
        <v>140.173</v>
      </c>
      <c r="AQ271" s="109">
        <f>+AQ23</f>
        <v>149.73200000000003</v>
      </c>
      <c r="AR271" s="109">
        <f>+AR23</f>
        <v>289.90500000000003</v>
      </c>
      <c r="AS271" s="109">
        <f t="shared" ref="AS271" si="466">+AS23</f>
        <v>158.94</v>
      </c>
      <c r="AT271" s="109">
        <f>+AT23</f>
        <v>166.78199999999998</v>
      </c>
      <c r="AU271" s="109">
        <f>+AU23</f>
        <v>325.72199999999998</v>
      </c>
      <c r="AV271" s="109">
        <f t="shared" ref="AV271" si="467">+AV23</f>
        <v>170.471</v>
      </c>
      <c r="AW271" s="109">
        <f>+AW23</f>
        <v>181.726</v>
      </c>
      <c r="AX271" s="423">
        <f>+AX23</f>
        <v>352.197</v>
      </c>
      <c r="AY271" s="109">
        <f t="shared" si="465"/>
        <v>180.48801999999998</v>
      </c>
      <c r="AZ271" s="109">
        <f t="shared" si="465"/>
        <v>194.32360000000003</v>
      </c>
      <c r="BA271" s="109">
        <f t="shared" si="465"/>
        <v>374.81162</v>
      </c>
      <c r="BB271" s="109">
        <f t="shared" si="465"/>
        <v>186.17169759999999</v>
      </c>
      <c r="BC271" s="109">
        <f t="shared" si="465"/>
        <v>201.23441710000003</v>
      </c>
      <c r="BD271" s="109">
        <f t="shared" si="465"/>
        <v>387.40611469999999</v>
      </c>
      <c r="BE271" s="109">
        <f t="shared" si="465"/>
        <v>192.02945726799999</v>
      </c>
      <c r="BF271" s="109">
        <f t="shared" si="465"/>
        <v>208.41941552500003</v>
      </c>
      <c r="BG271" s="109">
        <f t="shared" si="465"/>
        <v>400.44887279300002</v>
      </c>
      <c r="BH271" s="109">
        <f t="shared" si="465"/>
        <v>198.06850495083998</v>
      </c>
      <c r="BI271" s="109">
        <f t="shared" si="465"/>
        <v>215.89041958249004</v>
      </c>
      <c r="BJ271" s="109">
        <f t="shared" si="465"/>
        <v>413.95892453332999</v>
      </c>
      <c r="BK271" s="109">
        <f t="shared" si="465"/>
        <v>204.29636654596118</v>
      </c>
      <c r="BL271" s="109">
        <f t="shared" si="465"/>
        <v>223.65979337311455</v>
      </c>
      <c r="BM271" s="109">
        <f t="shared" si="465"/>
        <v>427.95615991907579</v>
      </c>
    </row>
    <row r="272" spans="1:65">
      <c r="A272" s="6" t="s">
        <v>234</v>
      </c>
      <c r="C272" s="44" t="s">
        <v>167</v>
      </c>
      <c r="D272" s="44" t="s">
        <v>167</v>
      </c>
      <c r="E272" s="44" t="s">
        <v>167</v>
      </c>
      <c r="F272" s="44" t="s">
        <v>167</v>
      </c>
      <c r="G272" s="44" t="s">
        <v>167</v>
      </c>
      <c r="H272" s="44" t="s">
        <v>167</v>
      </c>
      <c r="I272" s="44" t="s">
        <v>167</v>
      </c>
      <c r="J272" s="44" t="s">
        <v>167</v>
      </c>
      <c r="K272" s="44" t="s">
        <v>167</v>
      </c>
      <c r="L272" s="44" t="s">
        <v>167</v>
      </c>
      <c r="M272" s="44" t="s">
        <v>167</v>
      </c>
      <c r="N272" s="44" t="s">
        <v>167</v>
      </c>
      <c r="O272" s="44" t="s">
        <v>167</v>
      </c>
      <c r="P272" s="44" t="s">
        <v>167</v>
      </c>
      <c r="Q272" s="44" t="s">
        <v>167</v>
      </c>
      <c r="R272" s="44" t="s">
        <v>167</v>
      </c>
      <c r="S272" s="44" t="s">
        <v>167</v>
      </c>
      <c r="T272" s="44" t="s">
        <v>167</v>
      </c>
      <c r="U272" s="44" t="s">
        <v>167</v>
      </c>
      <c r="V272" s="44" t="s">
        <v>167</v>
      </c>
      <c r="W272" s="44" t="s">
        <v>167</v>
      </c>
      <c r="X272" s="44" t="s">
        <v>167</v>
      </c>
      <c r="Y272" s="44" t="s">
        <v>167</v>
      </c>
      <c r="Z272" s="44" t="s">
        <v>167</v>
      </c>
      <c r="AA272" s="44" t="s">
        <v>167</v>
      </c>
      <c r="AB272" s="44" t="s">
        <v>167</v>
      </c>
      <c r="AC272" s="44" t="s">
        <v>167</v>
      </c>
      <c r="AD272" s="44" t="s">
        <v>167</v>
      </c>
      <c r="AE272" s="44" t="s">
        <v>167</v>
      </c>
      <c r="AF272" s="44" t="s">
        <v>167</v>
      </c>
      <c r="AG272" s="44" t="s">
        <v>167</v>
      </c>
      <c r="AH272" s="44" t="s">
        <v>167</v>
      </c>
      <c r="AI272" s="44" t="s">
        <v>167</v>
      </c>
      <c r="AJ272" s="45" t="s">
        <v>167</v>
      </c>
      <c r="AK272" s="44" t="s">
        <v>167</v>
      </c>
      <c r="AL272" s="44" t="s">
        <v>167</v>
      </c>
      <c r="AM272" s="45" t="s">
        <v>167</v>
      </c>
      <c r="AN272" s="44" t="s">
        <v>167</v>
      </c>
      <c r="AO272" s="44" t="s">
        <v>167</v>
      </c>
      <c r="AP272" s="45" t="s">
        <v>167</v>
      </c>
      <c r="AQ272" s="44" t="s">
        <v>167</v>
      </c>
      <c r="AR272" s="44" t="s">
        <v>167</v>
      </c>
      <c r="AS272" s="45" t="s">
        <v>167</v>
      </c>
      <c r="AT272" s="44" t="s">
        <v>167</v>
      </c>
      <c r="AU272" s="44" t="s">
        <v>167</v>
      </c>
      <c r="AV272" s="45" t="s">
        <v>167</v>
      </c>
      <c r="AW272" s="44" t="s">
        <v>167</v>
      </c>
      <c r="AX272" s="469" t="s">
        <v>167</v>
      </c>
      <c r="AY272" s="45" t="s">
        <v>167</v>
      </c>
      <c r="AZ272" s="45" t="s">
        <v>167</v>
      </c>
      <c r="BA272" s="45" t="s">
        <v>167</v>
      </c>
      <c r="BB272" s="45" t="s">
        <v>167</v>
      </c>
      <c r="BC272" s="45" t="s">
        <v>167</v>
      </c>
      <c r="BD272" s="45" t="s">
        <v>167</v>
      </c>
      <c r="BE272" s="45" t="s">
        <v>167</v>
      </c>
      <c r="BF272" s="45" t="s">
        <v>167</v>
      </c>
      <c r="BG272" s="45" t="s">
        <v>167</v>
      </c>
      <c r="BH272" s="45" t="s">
        <v>167</v>
      </c>
      <c r="BI272" s="45" t="s">
        <v>167</v>
      </c>
      <c r="BJ272" s="45" t="s">
        <v>167</v>
      </c>
      <c r="BK272" s="45" t="s">
        <v>167</v>
      </c>
      <c r="BL272" s="45" t="s">
        <v>167</v>
      </c>
      <c r="BM272" s="45" t="s">
        <v>167</v>
      </c>
    </row>
    <row r="274" spans="1:65">
      <c r="A274" s="13" t="s">
        <v>235</v>
      </c>
    </row>
    <row r="275" spans="1:65">
      <c r="A275" s="13" t="s">
        <v>236</v>
      </c>
      <c r="B275" s="52" t="s">
        <v>172</v>
      </c>
      <c r="C275" s="25"/>
      <c r="D275" s="25"/>
      <c r="E275" s="92"/>
      <c r="F275" s="25">
        <f>+E280</f>
        <v>594.87099999999998</v>
      </c>
      <c r="G275" s="25">
        <f>+F280</f>
        <v>616.34300000000019</v>
      </c>
      <c r="H275" s="92">
        <f>+E280</f>
        <v>594.87099999999998</v>
      </c>
      <c r="I275" s="25">
        <f>+H280</f>
        <v>654.31700000000001</v>
      </c>
      <c r="J275" s="25">
        <f>+I280</f>
        <v>672.255</v>
      </c>
      <c r="K275" s="92">
        <f>+H280</f>
        <v>654.31700000000001</v>
      </c>
      <c r="L275" s="25">
        <f>+K280</f>
        <v>706.947</v>
      </c>
      <c r="M275" s="25">
        <f>+L280</f>
        <v>722.12599999999998</v>
      </c>
      <c r="N275" s="92">
        <f>+K280</f>
        <v>706.947</v>
      </c>
      <c r="O275" s="25">
        <f>+N280</f>
        <v>765.83199999999999</v>
      </c>
      <c r="P275" s="25">
        <f>+O280</f>
        <v>785.32400000000007</v>
      </c>
      <c r="Q275" s="92">
        <f>+N280</f>
        <v>765.83199999999999</v>
      </c>
      <c r="R275" s="25">
        <f>+Q280</f>
        <v>826.96799999999996</v>
      </c>
      <c r="S275" s="25">
        <f>+R280</f>
        <v>865.67100000000005</v>
      </c>
      <c r="T275" s="92">
        <f>+Q280</f>
        <v>826.96799999999996</v>
      </c>
      <c r="U275" s="25">
        <f>+T280</f>
        <v>926.21199999999999</v>
      </c>
      <c r="V275" s="25">
        <f>+U280</f>
        <v>965.27</v>
      </c>
      <c r="W275" s="92">
        <f>+T280</f>
        <v>926.21199999999999</v>
      </c>
      <c r="X275" s="92">
        <f>+W280</f>
        <v>1041.0259999999998</v>
      </c>
      <c r="Y275" s="92">
        <f>+X280</f>
        <v>1076.5250000000001</v>
      </c>
      <c r="Z275" s="92">
        <f>+W280</f>
        <v>1041.0259999999998</v>
      </c>
      <c r="AA275" s="92">
        <f>+Z280</f>
        <v>1158.3009999999999</v>
      </c>
      <c r="AB275" s="92">
        <f>+AA280</f>
        <v>1191.1390000000001</v>
      </c>
      <c r="AC275" s="92">
        <f>+Z280</f>
        <v>1158.3009999999999</v>
      </c>
      <c r="AD275" s="92">
        <f>+AC280</f>
        <v>1880.8379999999997</v>
      </c>
      <c r="AE275" s="92">
        <f>+AD280</f>
        <v>1964.1709999999996</v>
      </c>
      <c r="AF275" s="92">
        <f>+AC280</f>
        <v>1880.8379999999997</v>
      </c>
      <c r="AG275" s="92">
        <f>+AF280</f>
        <v>1991.58</v>
      </c>
      <c r="AH275" s="92">
        <f>+AG280</f>
        <v>2020.0889999999999</v>
      </c>
      <c r="AI275" s="92">
        <f>+AF280</f>
        <v>1991.58</v>
      </c>
      <c r="AJ275" s="92">
        <f>+AI280</f>
        <v>2749.886</v>
      </c>
      <c r="AK275" s="92">
        <f>+AJ280</f>
        <v>2701.547</v>
      </c>
      <c r="AL275" s="92">
        <f>+AI280</f>
        <v>2749.886</v>
      </c>
      <c r="AM275" s="92">
        <f>+AL280</f>
        <v>2888.1089999999995</v>
      </c>
      <c r="AN275" s="92">
        <f>+AM280</f>
        <v>3044.3699999999994</v>
      </c>
      <c r="AO275" s="92">
        <f>+AL280</f>
        <v>2888.1089999999995</v>
      </c>
      <c r="AP275" s="92">
        <f>+AO280</f>
        <v>3320.8689999999997</v>
      </c>
      <c r="AQ275" s="92">
        <f>+AP280</f>
        <v>3426.3279999999995</v>
      </c>
      <c r="AR275" s="92">
        <f>+AO280</f>
        <v>3320.8689999999997</v>
      </c>
      <c r="AS275" s="92">
        <f>+AR280</f>
        <v>3625.4239999999995</v>
      </c>
      <c r="AT275" s="92">
        <f>+AS280</f>
        <v>3672.8139999999994</v>
      </c>
      <c r="AU275" s="92">
        <f>+AR280</f>
        <v>3625.4239999999995</v>
      </c>
      <c r="AV275" s="92">
        <f>+AU280</f>
        <v>3884.1429999999991</v>
      </c>
      <c r="AW275" s="92">
        <f>+AV280</f>
        <v>4098.0249999999987</v>
      </c>
      <c r="AX275" s="93">
        <f>+AU280</f>
        <v>3884.1429999999991</v>
      </c>
      <c r="AY275" s="92">
        <f>+AX280</f>
        <v>4045.3169999999986</v>
      </c>
      <c r="AZ275" s="92">
        <f>+AY280</f>
        <v>4108.8039668896399</v>
      </c>
      <c r="BA275" s="92">
        <f>+AX280</f>
        <v>4045.3169999999986</v>
      </c>
      <c r="BB275" s="92">
        <f>+BA280</f>
        <v>4215.8466114262337</v>
      </c>
      <c r="BC275" s="92">
        <f>+BB280</f>
        <v>4319.5158764700291</v>
      </c>
      <c r="BD275" s="92">
        <f>+BA280</f>
        <v>4215.8466114262337</v>
      </c>
      <c r="BE275" s="92">
        <f>+BD280</f>
        <v>4452.7518723305466</v>
      </c>
      <c r="BF275" s="92">
        <f>+BE280</f>
        <v>4574.1724342443013</v>
      </c>
      <c r="BG275" s="92">
        <f>+BD280</f>
        <v>4452.7518723305466</v>
      </c>
      <c r="BH275" s="92">
        <f>+BG280</f>
        <v>4723.6830112233592</v>
      </c>
      <c r="BI275" s="92">
        <f>+BH280</f>
        <v>4847.5710015606601</v>
      </c>
      <c r="BJ275" s="92">
        <f>+BG280</f>
        <v>4723.6830112233592</v>
      </c>
      <c r="BK275" s="92">
        <f>+BJ280</f>
        <v>5023.8475061570407</v>
      </c>
      <c r="BL275" s="92">
        <f>+BK280</f>
        <v>5144.7831353116708</v>
      </c>
      <c r="BM275" s="92">
        <f>+BJ280</f>
        <v>5023.8475061570407</v>
      </c>
    </row>
    <row r="276" spans="1:65">
      <c r="A276" s="6" t="s">
        <v>237</v>
      </c>
      <c r="B276" s="52" t="s">
        <v>172</v>
      </c>
      <c r="C276" s="25"/>
      <c r="D276" s="25"/>
      <c r="E276" s="92"/>
      <c r="F276" s="25">
        <f>+F183-E183</f>
        <v>0</v>
      </c>
      <c r="G276" s="25">
        <f>+G183-F183</f>
        <v>0</v>
      </c>
      <c r="H276" s="92">
        <f>+H183-E183</f>
        <v>0</v>
      </c>
      <c r="I276" s="25">
        <f>+I183-H183</f>
        <v>0</v>
      </c>
      <c r="J276" s="25">
        <f>+J183-I183</f>
        <v>0</v>
      </c>
      <c r="K276" s="92">
        <f>+K183-H183</f>
        <v>0</v>
      </c>
      <c r="L276" s="25">
        <f>+L183-K183</f>
        <v>0</v>
      </c>
      <c r="M276" s="25">
        <f>+M183-L183</f>
        <v>0</v>
      </c>
      <c r="N276" s="92">
        <f>+N183-K183</f>
        <v>0</v>
      </c>
      <c r="O276" s="25">
        <f>+O183-N183</f>
        <v>0</v>
      </c>
      <c r="P276" s="25">
        <f>+P183-O183</f>
        <v>0</v>
      </c>
      <c r="Q276" s="92">
        <f>+Q183-N183</f>
        <v>0</v>
      </c>
      <c r="R276" s="25">
        <f>+R183-Q183</f>
        <v>0</v>
      </c>
      <c r="S276" s="25">
        <f>+S183-R183</f>
        <v>0</v>
      </c>
      <c r="T276" s="92">
        <f>+T183-Q183</f>
        <v>0</v>
      </c>
      <c r="U276" s="25">
        <f>+U183-T183</f>
        <v>0</v>
      </c>
      <c r="V276" s="25">
        <f>+V183-U183</f>
        <v>0</v>
      </c>
      <c r="W276" s="92">
        <f>+W183-T183</f>
        <v>0</v>
      </c>
      <c r="X276" s="92">
        <f>+X183-W183</f>
        <v>0</v>
      </c>
      <c r="Y276" s="92">
        <f>+Y183-X183</f>
        <v>0</v>
      </c>
      <c r="Z276" s="92">
        <f>+Z183-W183</f>
        <v>0</v>
      </c>
      <c r="AA276" s="92">
        <f>+AA183-Z183</f>
        <v>0</v>
      </c>
      <c r="AB276" s="92">
        <f>+AB183-AA183</f>
        <v>594.38900000000001</v>
      </c>
      <c r="AC276" s="92">
        <f>+AC183-Z183</f>
        <v>594.38900000000001</v>
      </c>
      <c r="AD276" s="92">
        <f>+AD183-AC183</f>
        <v>0.5</v>
      </c>
      <c r="AE276" s="92">
        <f>+AE183-AD183</f>
        <v>0</v>
      </c>
      <c r="AF276" s="92">
        <f>+AF183-AC183</f>
        <v>0.5</v>
      </c>
      <c r="AG276" s="92">
        <f>+AG183-AF183</f>
        <v>0</v>
      </c>
      <c r="AH276" s="92">
        <f>+AH183-AG183</f>
        <v>642.06899999999985</v>
      </c>
      <c r="AI276" s="92">
        <f>+AI183-AF183</f>
        <v>642.06899999999985</v>
      </c>
      <c r="AJ276" s="92">
        <f>+AJ183-AI183</f>
        <v>0</v>
      </c>
      <c r="AK276" s="92">
        <f>+AK183-AJ183</f>
        <v>0</v>
      </c>
      <c r="AL276" s="92">
        <f>+AL183-AI183</f>
        <v>0</v>
      </c>
      <c r="AM276" s="92">
        <f>+AM183-AL183</f>
        <v>0</v>
      </c>
      <c r="AN276" s="92">
        <f>+AN183-AM183</f>
        <v>0</v>
      </c>
      <c r="AO276" s="92">
        <f>+AO183-AL183</f>
        <v>0</v>
      </c>
      <c r="AP276" s="92">
        <f>+AP183-AO183</f>
        <v>0</v>
      </c>
      <c r="AQ276" s="92">
        <f>+AQ183-AP183</f>
        <v>0</v>
      </c>
      <c r="AR276" s="92">
        <f>+AR183-AO183</f>
        <v>0</v>
      </c>
      <c r="AS276" s="92">
        <f>+AS183-AR183</f>
        <v>0</v>
      </c>
      <c r="AT276" s="92">
        <f>+AT183-AS183</f>
        <v>0</v>
      </c>
      <c r="AU276" s="92">
        <f>+AU183-AR183</f>
        <v>0</v>
      </c>
      <c r="AV276" s="92">
        <f>+AV183-AU183</f>
        <v>0</v>
      </c>
      <c r="AW276" s="92">
        <f>+AW183-AV183</f>
        <v>0</v>
      </c>
      <c r="AX276" s="93">
        <f>+AX183-AU183</f>
        <v>0</v>
      </c>
      <c r="AY276" s="92">
        <f>+AY183-AX183</f>
        <v>0</v>
      </c>
      <c r="AZ276" s="92">
        <f>+AZ183-AY183</f>
        <v>0</v>
      </c>
      <c r="BA276" s="92">
        <f>+BA183-AX183</f>
        <v>0</v>
      </c>
      <c r="BB276" s="92">
        <f>+BB183-BA183</f>
        <v>0</v>
      </c>
      <c r="BC276" s="92">
        <f>+BC183-BB183</f>
        <v>0</v>
      </c>
      <c r="BD276" s="92">
        <f>+BD183-BA183</f>
        <v>0</v>
      </c>
      <c r="BE276" s="92">
        <f>+BE183-BD183</f>
        <v>0</v>
      </c>
      <c r="BF276" s="92">
        <f>+BF183-BE183</f>
        <v>0</v>
      </c>
      <c r="BG276" s="92">
        <f>+BG183-BD183</f>
        <v>0</v>
      </c>
      <c r="BH276" s="92">
        <f>+BH183-BG183</f>
        <v>0</v>
      </c>
      <c r="BI276" s="92">
        <f>+BI183-BH183</f>
        <v>0</v>
      </c>
      <c r="BJ276" s="92">
        <f>+BJ183-BG183</f>
        <v>0</v>
      </c>
      <c r="BK276" s="92">
        <f>+BK183-BJ183</f>
        <v>0</v>
      </c>
      <c r="BL276" s="92">
        <f>+BL183-BK183</f>
        <v>0</v>
      </c>
      <c r="BM276" s="92">
        <f>+BM183-BJ183</f>
        <v>0</v>
      </c>
    </row>
    <row r="277" spans="1:65">
      <c r="A277" s="6" t="s">
        <v>238</v>
      </c>
      <c r="B277" s="52" t="s">
        <v>172</v>
      </c>
      <c r="C277" s="25"/>
      <c r="D277" s="25"/>
      <c r="E277" s="92"/>
      <c r="F277" s="25">
        <f t="shared" ref="F277:AJ277" si="468">+F49</f>
        <v>59.826000000000001</v>
      </c>
      <c r="G277" s="25">
        <f t="shared" si="468"/>
        <v>58.785000000000004</v>
      </c>
      <c r="H277" s="92">
        <f t="shared" si="468"/>
        <v>118.611</v>
      </c>
      <c r="I277" s="25">
        <f t="shared" si="468"/>
        <v>57.869</v>
      </c>
      <c r="J277" s="25">
        <f t="shared" si="468"/>
        <v>55.411000000000001</v>
      </c>
      <c r="K277" s="92">
        <f t="shared" si="468"/>
        <v>113.28</v>
      </c>
      <c r="L277" s="25">
        <f t="shared" si="468"/>
        <v>54.932000000000002</v>
      </c>
      <c r="M277" s="25">
        <f t="shared" si="468"/>
        <v>64.198999999999998</v>
      </c>
      <c r="N277" s="92">
        <f t="shared" si="468"/>
        <v>119.131</v>
      </c>
      <c r="O277" s="25">
        <f t="shared" si="468"/>
        <v>59.588000000000001</v>
      </c>
      <c r="P277" s="25">
        <f t="shared" si="468"/>
        <v>63.437000000000005</v>
      </c>
      <c r="Q277" s="92">
        <f t="shared" si="468"/>
        <v>123.02500000000001</v>
      </c>
      <c r="R277" s="25">
        <f t="shared" si="468"/>
        <v>80.277000000000001</v>
      </c>
      <c r="S277" s="25">
        <f t="shared" si="468"/>
        <v>85.279000000000011</v>
      </c>
      <c r="T277" s="92">
        <f t="shared" si="468"/>
        <v>165.55600000000001</v>
      </c>
      <c r="U277" s="25">
        <f t="shared" si="468"/>
        <v>89.918000000000006</v>
      </c>
      <c r="V277" s="25">
        <f t="shared" si="468"/>
        <v>102.29999999999998</v>
      </c>
      <c r="W277" s="92">
        <f t="shared" si="468"/>
        <v>192.21799999999999</v>
      </c>
      <c r="X277" s="92">
        <f t="shared" si="468"/>
        <v>96.147000000000006</v>
      </c>
      <c r="Y277" s="92">
        <f t="shared" si="468"/>
        <v>114.712</v>
      </c>
      <c r="Z277" s="92">
        <f t="shared" si="468"/>
        <v>210.85900000000001</v>
      </c>
      <c r="AA277" s="92">
        <f t="shared" si="468"/>
        <v>105.718</v>
      </c>
      <c r="AB277" s="92">
        <f t="shared" si="468"/>
        <v>118.902</v>
      </c>
      <c r="AC277" s="92">
        <f t="shared" si="468"/>
        <v>224.62</v>
      </c>
      <c r="AD277" s="92">
        <f t="shared" si="468"/>
        <v>76.760999999999996</v>
      </c>
      <c r="AE277" s="92">
        <f t="shared" si="468"/>
        <v>125.339</v>
      </c>
      <c r="AF277" s="92">
        <f t="shared" si="468"/>
        <v>202.1</v>
      </c>
      <c r="AG277" s="92">
        <f t="shared" si="468"/>
        <v>104.93</v>
      </c>
      <c r="AH277" s="92">
        <f t="shared" si="468"/>
        <v>124.06899999999999</v>
      </c>
      <c r="AI277" s="92">
        <f t="shared" si="468"/>
        <v>228.999</v>
      </c>
      <c r="AJ277" s="92">
        <f t="shared" si="468"/>
        <v>123.04300000000001</v>
      </c>
      <c r="AK277" s="92">
        <f>+AK49</f>
        <v>162.55200000000002</v>
      </c>
      <c r="AL277" s="92">
        <f>+AL49</f>
        <v>285.59500000000003</v>
      </c>
      <c r="AM277" s="92">
        <f t="shared" ref="AM277:BM277" si="469">+AM49</f>
        <v>157</v>
      </c>
      <c r="AN277" s="92">
        <f t="shared" si="469"/>
        <v>235.02866599999999</v>
      </c>
      <c r="AO277" s="92">
        <f t="shared" si="469"/>
        <v>392.02866599999999</v>
      </c>
      <c r="AP277" s="92">
        <f t="shared" ref="AP277:AU277" si="470">+AP49</f>
        <v>185.92999999999998</v>
      </c>
      <c r="AQ277" s="92">
        <f t="shared" si="470"/>
        <v>201.67699999999999</v>
      </c>
      <c r="AR277" s="92">
        <f t="shared" si="470"/>
        <v>387.60700000000003</v>
      </c>
      <c r="AS277" s="92">
        <f t="shared" si="470"/>
        <v>223.631</v>
      </c>
      <c r="AT277" s="92">
        <f t="shared" si="470"/>
        <v>195.54</v>
      </c>
      <c r="AU277" s="92">
        <f t="shared" si="470"/>
        <v>419.17099999999999</v>
      </c>
      <c r="AV277" s="92">
        <f t="shared" ref="AV277:AX277" si="471">+AV49</f>
        <v>180.875</v>
      </c>
      <c r="AW277" s="92">
        <f t="shared" si="471"/>
        <v>136.06200000000001</v>
      </c>
      <c r="AX277" s="93">
        <f t="shared" si="471"/>
        <v>316.93700000000001</v>
      </c>
      <c r="AY277" s="92">
        <f t="shared" si="469"/>
        <v>140.06947748964163</v>
      </c>
      <c r="AZ277" s="92">
        <f t="shared" si="469"/>
        <v>139.25144453659348</v>
      </c>
      <c r="BA277" s="92">
        <f t="shared" si="469"/>
        <v>279.32092202623511</v>
      </c>
      <c r="BB277" s="92">
        <f t="shared" si="469"/>
        <v>171.437872213795</v>
      </c>
      <c r="BC277" s="92">
        <f t="shared" si="469"/>
        <v>170.20069068051777</v>
      </c>
      <c r="BD277" s="92">
        <f t="shared" si="469"/>
        <v>341.63856289431277</v>
      </c>
      <c r="BE277" s="92">
        <f t="shared" si="469"/>
        <v>201.51073402375471</v>
      </c>
      <c r="BF277" s="92">
        <f t="shared" si="469"/>
        <v>198.79683673905737</v>
      </c>
      <c r="BG277" s="92">
        <f t="shared" si="469"/>
        <v>400.30757076281208</v>
      </c>
      <c r="BH277" s="92">
        <f t="shared" si="469"/>
        <v>222.46050985730108</v>
      </c>
      <c r="BI277" s="92">
        <f t="shared" si="469"/>
        <v>225.56276435638063</v>
      </c>
      <c r="BJ277" s="92">
        <f t="shared" si="469"/>
        <v>448.0232742136817</v>
      </c>
      <c r="BK277" s="92">
        <f t="shared" si="469"/>
        <v>231.82971361463063</v>
      </c>
      <c r="BL277" s="92">
        <f t="shared" si="469"/>
        <v>242.40550127806682</v>
      </c>
      <c r="BM277" s="92">
        <f t="shared" si="469"/>
        <v>474.23521489269746</v>
      </c>
    </row>
    <row r="278" spans="1:65">
      <c r="A278" s="6" t="s">
        <v>177</v>
      </c>
      <c r="B278" s="52" t="s">
        <v>172</v>
      </c>
      <c r="C278" s="25"/>
      <c r="D278" s="25"/>
      <c r="E278" s="92"/>
      <c r="F278" s="25">
        <f t="shared" ref="F278:AJ278" si="472">F92</f>
        <v>-37.847999999999999</v>
      </c>
      <c r="G278" s="25">
        <f t="shared" si="472"/>
        <v>-20.916000000000004</v>
      </c>
      <c r="H278" s="92">
        <f t="shared" si="472"/>
        <v>-58.764000000000003</v>
      </c>
      <c r="I278" s="25">
        <f t="shared" si="472"/>
        <v>-39.840000000000003</v>
      </c>
      <c r="J278" s="25">
        <f t="shared" si="472"/>
        <v>-20.915999999999997</v>
      </c>
      <c r="K278" s="92">
        <f t="shared" si="472"/>
        <v>-60.756</v>
      </c>
      <c r="L278" s="25">
        <f t="shared" si="472"/>
        <v>-39.840000000000003</v>
      </c>
      <c r="M278" s="25">
        <f t="shared" si="472"/>
        <v>-20.915999999999997</v>
      </c>
      <c r="N278" s="92">
        <f t="shared" si="472"/>
        <v>-60.756</v>
      </c>
      <c r="O278" s="25">
        <f t="shared" si="472"/>
        <v>-40.835999999999999</v>
      </c>
      <c r="P278" s="25">
        <f t="shared" si="472"/>
        <v>-21.911999999999999</v>
      </c>
      <c r="Q278" s="92">
        <f t="shared" si="472"/>
        <v>-62.747999999999998</v>
      </c>
      <c r="R278" s="25">
        <f t="shared" si="472"/>
        <v>-41.832000000000001</v>
      </c>
      <c r="S278" s="25">
        <f t="shared" si="472"/>
        <v>-23.904000000000003</v>
      </c>
      <c r="T278" s="92">
        <f t="shared" si="472"/>
        <v>-65.736000000000004</v>
      </c>
      <c r="U278" s="25">
        <f t="shared" si="472"/>
        <v>-51.792000000000002</v>
      </c>
      <c r="V278" s="25">
        <f t="shared" si="472"/>
        <v>-26.891999999999996</v>
      </c>
      <c r="W278" s="92">
        <f t="shared" si="472"/>
        <v>-78.683999999999997</v>
      </c>
      <c r="X278" s="92">
        <f t="shared" si="472"/>
        <v>-64.739999999999995</v>
      </c>
      <c r="Y278" s="92">
        <f t="shared" si="472"/>
        <v>-28.884</v>
      </c>
      <c r="Z278" s="92">
        <f t="shared" si="472"/>
        <v>-93.623999999999995</v>
      </c>
      <c r="AA278" s="92">
        <f t="shared" si="472"/>
        <v>-70.715999999999994</v>
      </c>
      <c r="AB278" s="92">
        <f t="shared" si="472"/>
        <v>-29.88000000000001</v>
      </c>
      <c r="AC278" s="92">
        <f t="shared" si="472"/>
        <v>-100.596</v>
      </c>
      <c r="AD278" s="92">
        <f t="shared" si="472"/>
        <v>-79.917000000000002</v>
      </c>
      <c r="AE278" s="92">
        <f t="shared" si="472"/>
        <v>-33.649000000000001</v>
      </c>
      <c r="AF278" s="92">
        <f t="shared" si="472"/>
        <v>-113.566</v>
      </c>
      <c r="AG278" s="92">
        <f t="shared" si="472"/>
        <v>-79.917000000000002</v>
      </c>
      <c r="AH278" s="92">
        <f t="shared" si="472"/>
        <v>-33.649000000000001</v>
      </c>
      <c r="AI278" s="92">
        <f t="shared" si="472"/>
        <v>-113.566</v>
      </c>
      <c r="AJ278" s="92">
        <f t="shared" si="472"/>
        <v>-38.759</v>
      </c>
      <c r="AK278" s="92">
        <f>AK92</f>
        <v>-38.759</v>
      </c>
      <c r="AL278" s="92">
        <f>AL92</f>
        <v>-77.518000000000001</v>
      </c>
      <c r="AM278" s="92">
        <f t="shared" ref="AM278:BM278" si="473">AM92</f>
        <v>-77.518000000000001</v>
      </c>
      <c r="AN278" s="92">
        <f t="shared" si="473"/>
        <v>-48.448813575000003</v>
      </c>
      <c r="AO278" s="92">
        <f t="shared" si="473"/>
        <v>-125.96599999999999</v>
      </c>
      <c r="AP278" s="92">
        <f t="shared" ref="AP278:AU278" si="474">AP92</f>
        <v>-96.897999999999996</v>
      </c>
      <c r="AQ278" s="92">
        <f t="shared" si="474"/>
        <v>-51.678734480000003</v>
      </c>
      <c r="AR278" s="92">
        <f t="shared" si="474"/>
        <v>-148.577</v>
      </c>
      <c r="AS278" s="92">
        <f t="shared" si="474"/>
        <v>-109.81699999999999</v>
      </c>
      <c r="AT278" s="92">
        <f t="shared" si="474"/>
        <v>-51.657679999999999</v>
      </c>
      <c r="AU278" s="92">
        <f t="shared" si="474"/>
        <v>-161.49600000000001</v>
      </c>
      <c r="AV278" s="92">
        <f t="shared" ref="AV278:AX278" si="475">AV92</f>
        <v>-114.661</v>
      </c>
      <c r="AW278" s="92">
        <f t="shared" si="475"/>
        <v>-41.971865000000001</v>
      </c>
      <c r="AX278" s="93">
        <f t="shared" si="475"/>
        <v>-156.65100000000001</v>
      </c>
      <c r="AY278" s="92">
        <f t="shared" si="473"/>
        <v>-76.582510599999992</v>
      </c>
      <c r="AZ278" s="92">
        <f t="shared" si="473"/>
        <v>-32.208800000000004</v>
      </c>
      <c r="BA278" s="92">
        <f t="shared" si="473"/>
        <v>-108.7913106</v>
      </c>
      <c r="BB278" s="92">
        <f t="shared" si="473"/>
        <v>-67.76860717000001</v>
      </c>
      <c r="BC278" s="92">
        <f t="shared" si="473"/>
        <v>-36.964694820000005</v>
      </c>
      <c r="BD278" s="92">
        <f t="shared" si="473"/>
        <v>-104.73330199000002</v>
      </c>
      <c r="BE278" s="92">
        <f t="shared" si="473"/>
        <v>-80.090172109999997</v>
      </c>
      <c r="BF278" s="92">
        <f t="shared" si="473"/>
        <v>-49.28625976</v>
      </c>
      <c r="BG278" s="92">
        <f t="shared" si="473"/>
        <v>-129.37643187</v>
      </c>
      <c r="BH278" s="92">
        <f t="shared" si="473"/>
        <v>-98.57251952</v>
      </c>
      <c r="BI278" s="92">
        <f t="shared" si="473"/>
        <v>-49.28625976</v>
      </c>
      <c r="BJ278" s="92">
        <f t="shared" si="473"/>
        <v>-147.85877927999999</v>
      </c>
      <c r="BK278" s="92">
        <f t="shared" si="473"/>
        <v>-110.89408446000002</v>
      </c>
      <c r="BL278" s="92">
        <f t="shared" si="473"/>
        <v>-55.447042230000008</v>
      </c>
      <c r="BM278" s="92">
        <f t="shared" si="473"/>
        <v>-166.34112669000001</v>
      </c>
    </row>
    <row r="279" spans="1:65">
      <c r="A279" s="6" t="s">
        <v>239</v>
      </c>
      <c r="B279" s="52" t="s">
        <v>172</v>
      </c>
      <c r="C279" s="25"/>
      <c r="D279" s="25"/>
      <c r="E279" s="92"/>
      <c r="F279" s="25">
        <f>+F184-E184+F185-E185-F277-F278</f>
        <v>-0.50599999999990786</v>
      </c>
      <c r="G279" s="25">
        <f>+G184-F184+G185-F185-G277-G278</f>
        <v>0.10499999999993292</v>
      </c>
      <c r="H279" s="92">
        <f>+H184-E184+H185-E185-H277-H278</f>
        <v>-0.40099999999997493</v>
      </c>
      <c r="I279" s="25">
        <f>+I184-H184+I185-H185-I277-I278</f>
        <v>-9.1000000000008185E-2</v>
      </c>
      <c r="J279" s="25">
        <f>+J184-I184+J185-I185-J277-J278</f>
        <v>0.19700000000000273</v>
      </c>
      <c r="K279" s="92">
        <f>+K184-H184+K185-H185-K277-K278</f>
        <v>0.10599999999999454</v>
      </c>
      <c r="L279" s="25">
        <f>+L184-K184+L185-K185-L277-L278</f>
        <v>8.6999999999974875E-2</v>
      </c>
      <c r="M279" s="25">
        <f>+M184-L184+M185-L185-M277-M278</f>
        <v>0.42300000000001603</v>
      </c>
      <c r="N279" s="92">
        <f>+N184-K184+N185-K185-N277-N278</f>
        <v>0.50999999999999091</v>
      </c>
      <c r="O279" s="25">
        <f>+O184-N184+O185-N185-O277-O278</f>
        <v>0.74000000000007304</v>
      </c>
      <c r="P279" s="25">
        <f>+P184-O184+P185-O185-P277-P278</f>
        <v>0.11899999999999977</v>
      </c>
      <c r="Q279" s="92">
        <f>+Q184-N184+Q185-N185-Q277-Q278</f>
        <v>0.85900000000007282</v>
      </c>
      <c r="R279" s="25">
        <f>+R184-Q184+R185-Q185-R277-R278</f>
        <v>0.25800000000008794</v>
      </c>
      <c r="S279" s="25">
        <f>+S184-R184+S185-R185-S277-S278</f>
        <v>-0.83399999999995345</v>
      </c>
      <c r="T279" s="92">
        <f>+T184-Q184+T185-Q185-T277-T278</f>
        <v>-0.5759999999999792</v>
      </c>
      <c r="U279" s="25">
        <f>+U184-T184+U185-T185-U277-U278</f>
        <v>0.93199999999998795</v>
      </c>
      <c r="V279" s="25">
        <f>+V184-U184+V185-U185-V277-V278</f>
        <v>0.34799999999987108</v>
      </c>
      <c r="W279" s="92">
        <f>+W184-T184+W185-T185-W277-W278</f>
        <v>1.279999999999859</v>
      </c>
      <c r="X279" s="92">
        <f>+X184-W184+X185-W185-X277-X278</f>
        <v>4.0920000000002403</v>
      </c>
      <c r="Y279" s="92">
        <f>+Y184-X184+Y185-X185-Y277-Y278</f>
        <v>-4.0519999999999357</v>
      </c>
      <c r="Z279" s="92">
        <f>+Z184-W184+Z185-W185-Z277-Z278</f>
        <v>4.0000000000077307E-2</v>
      </c>
      <c r="AA279" s="92">
        <f>+AA184-Z184+AA185-Z185-AA277-AA278</f>
        <v>-2.1640000000000441</v>
      </c>
      <c r="AB279" s="92">
        <f>+AB184-AA184+AB185-AA185-AB277-AB278</f>
        <v>6.2879999999999541</v>
      </c>
      <c r="AC279" s="92">
        <f>+AC184-Z184+AC185-Z185-AC277-AC278</f>
        <v>4.12399999999991</v>
      </c>
      <c r="AD279" s="92">
        <f>+AD184-AC184+AD185-AC185-AD277-AD278</f>
        <v>85.988999999999862</v>
      </c>
      <c r="AE279" s="92">
        <f>+AE184-AD184+AE185-AD185-AE277-AE278</f>
        <v>-64.280999999999892</v>
      </c>
      <c r="AF279" s="92">
        <f>+AF184-AC184+AF185-AC185-AF277-AF278</f>
        <v>21.708000000000197</v>
      </c>
      <c r="AG279" s="92">
        <f>+AG184-AF184+AG185-AF185-AG277-AG278</f>
        <v>3.4960000000000093</v>
      </c>
      <c r="AH279" s="92">
        <f>+AH184-AG184+AH185-AG185-AH277-AH278</f>
        <v>-2.691999999999922</v>
      </c>
      <c r="AI279" s="92">
        <f>+AI184-AF184+AI185-AF185-AI277-AI278</f>
        <v>0.80400000000008731</v>
      </c>
      <c r="AJ279" s="92">
        <f>+AJ184-AI184+AJ185-AI185-AJ277-AJ278</f>
        <v>-132.62300000000016</v>
      </c>
      <c r="AK279" s="92">
        <f>+AK184-AJ184+AK185-AJ185-AK277-AK278</f>
        <v>62.769000000000105</v>
      </c>
      <c r="AL279" s="92">
        <f>+AL184-AI184+AL185-AI185-AL277-AL278</f>
        <v>-69.85400000000007</v>
      </c>
      <c r="AM279" s="92">
        <f>+AM184-AL184+AM185-AL185-AM277-AM278</f>
        <v>76.778999999999968</v>
      </c>
      <c r="AN279" s="92">
        <f>+AN184-AM184+AN185-AM185-AN277-AN278</f>
        <v>89.919147575000039</v>
      </c>
      <c r="AO279" s="92">
        <f>+AO184-AL184+AO185-AL185-AO277-AO278</f>
        <v>166.69733399999978</v>
      </c>
      <c r="AP279" s="92">
        <f>+AP184-AO184+AP185-AO185-AP277-AP278</f>
        <v>16.427000000000078</v>
      </c>
      <c r="AQ279" s="92">
        <f>+AQ184-AP184+AQ185-AP185-AQ277-AQ278</f>
        <v>49.097734480000014</v>
      </c>
      <c r="AR279" s="92">
        <f>+AR184-AO184+AR185-AO185-AR277-AR278</f>
        <v>65.525000000000034</v>
      </c>
      <c r="AS279" s="92">
        <f>+AS184-AR184+AS185-AR185-AS277-AS278</f>
        <v>-66.424000000000134</v>
      </c>
      <c r="AT279" s="92">
        <f>+AT184-AS184+AT185-AS185-AT277-AT278</f>
        <v>67.446680000000185</v>
      </c>
      <c r="AU279" s="92">
        <f>+AU184-AR184+AU185-AR185-AU277-AU278</f>
        <v>1.044000000000068</v>
      </c>
      <c r="AV279" s="92">
        <f>+AV184-AU184+AV185-AU185-AV277-AV278</f>
        <v>147.66800000000006</v>
      </c>
      <c r="AW279" s="92">
        <f>+AW184-AV184+AW185-AV185-AW277-AW278</f>
        <v>-146.79813500000009</v>
      </c>
      <c r="AX279" s="93">
        <f>+AX184-AU184+AX185-AU185-AX277-AX278</f>
        <v>0.88799999999952206</v>
      </c>
      <c r="AY279" s="92">
        <f>+AY184-AX184+AY185-AX185-AY277-AY278</f>
        <v>-3.5527136788005009E-13</v>
      </c>
      <c r="AZ279" s="92">
        <f>+AZ184-AY184+AZ185-AY185-AZ277-AZ278</f>
        <v>3.1974423109204508E-13</v>
      </c>
      <c r="BA279" s="92">
        <f>+BA184-AX184+BA185-AX185-BA277-BA278</f>
        <v>0</v>
      </c>
      <c r="BB279" s="92">
        <f>+BB184-BA184+BB185-BA185-BB277-BB278</f>
        <v>0</v>
      </c>
      <c r="BC279" s="92">
        <f>+BC184-BB184+BC185-BB185-BC277-BC278</f>
        <v>-2.5579538487363607E-13</v>
      </c>
      <c r="BD279" s="92">
        <f>+BD184-BA184+BD185-BA185-BD277-BD278</f>
        <v>-3.5527136788005009E-13</v>
      </c>
      <c r="BE279" s="92">
        <f>+BE184-BD184+BE185-BD185-BE277-BE278</f>
        <v>0</v>
      </c>
      <c r="BF279" s="92">
        <f>+BF184-BE184+BF185-BE185-BF277-BF278</f>
        <v>-2.9132252166164108E-13</v>
      </c>
      <c r="BG279" s="92">
        <f>+BG184-BD184+BG185-BD185-BG277-BG278</f>
        <v>0</v>
      </c>
      <c r="BH279" s="92">
        <f>+BH184-BG184+BH185-BG185-BH277-BH278</f>
        <v>2.1316282072803006E-13</v>
      </c>
      <c r="BI279" s="92">
        <f>+BI184-BH184+BI185-BH185-BI277-BI278</f>
        <v>0</v>
      </c>
      <c r="BJ279" s="92">
        <f>+BJ184-BG184+BJ185-BG185-BJ277-BJ278</f>
        <v>0</v>
      </c>
      <c r="BK279" s="92">
        <f>+BK184-BJ184+BK185-BJ185-BK277-BK278</f>
        <v>0</v>
      </c>
      <c r="BL279" s="92">
        <f>+BL184-BK184+BL185-BK185-BL277-BL278</f>
        <v>-7.1054273576010019E-14</v>
      </c>
      <c r="BM279" s="92">
        <f>+BM184-BJ184+BM185-BJ185-BM277-BM278</f>
        <v>0</v>
      </c>
    </row>
    <row r="280" spans="1:65">
      <c r="A280" s="13" t="s">
        <v>240</v>
      </c>
      <c r="B280" s="55" t="s">
        <v>172</v>
      </c>
      <c r="C280" s="23"/>
      <c r="D280" s="23"/>
      <c r="E280" s="94">
        <f>E187</f>
        <v>594.87099999999998</v>
      </c>
      <c r="F280" s="23">
        <f t="shared" ref="F280:T280" si="476">+SUM(F275:F279)</f>
        <v>616.34300000000019</v>
      </c>
      <c r="G280" s="23">
        <f t="shared" si="476"/>
        <v>654.31700000000001</v>
      </c>
      <c r="H280" s="94">
        <f t="shared" si="476"/>
        <v>654.31700000000001</v>
      </c>
      <c r="I280" s="23">
        <f t="shared" si="476"/>
        <v>672.255</v>
      </c>
      <c r="J280" s="23">
        <f t="shared" si="476"/>
        <v>706.947</v>
      </c>
      <c r="K280" s="94">
        <f t="shared" si="476"/>
        <v>706.947</v>
      </c>
      <c r="L280" s="23">
        <f t="shared" si="476"/>
        <v>722.12599999999998</v>
      </c>
      <c r="M280" s="23">
        <f t="shared" si="476"/>
        <v>765.83199999999988</v>
      </c>
      <c r="N280" s="94">
        <f t="shared" si="476"/>
        <v>765.83199999999999</v>
      </c>
      <c r="O280" s="23">
        <f t="shared" si="476"/>
        <v>785.32400000000007</v>
      </c>
      <c r="P280" s="23">
        <f t="shared" si="476"/>
        <v>826.96800000000007</v>
      </c>
      <c r="Q280" s="94">
        <f t="shared" si="476"/>
        <v>826.96799999999996</v>
      </c>
      <c r="R280" s="23">
        <f t="shared" si="476"/>
        <v>865.67100000000005</v>
      </c>
      <c r="S280" s="23">
        <f t="shared" si="476"/>
        <v>926.2120000000001</v>
      </c>
      <c r="T280" s="94">
        <f t="shared" si="476"/>
        <v>926.21199999999999</v>
      </c>
      <c r="U280" s="23">
        <f t="shared" ref="U280:AJ280" si="477">+SUM(U275:U279)</f>
        <v>965.27</v>
      </c>
      <c r="V280" s="23">
        <f t="shared" si="477"/>
        <v>1041.0259999999998</v>
      </c>
      <c r="W280" s="94">
        <f>+SUM(W275:W279)</f>
        <v>1041.0259999999998</v>
      </c>
      <c r="X280" s="94">
        <f t="shared" si="477"/>
        <v>1076.5250000000001</v>
      </c>
      <c r="Y280" s="94">
        <f t="shared" si="477"/>
        <v>1158.3010000000002</v>
      </c>
      <c r="Z280" s="94">
        <f>+SUM(Z275:Z279)</f>
        <v>1158.3009999999999</v>
      </c>
      <c r="AA280" s="94">
        <f t="shared" si="477"/>
        <v>1191.1390000000001</v>
      </c>
      <c r="AB280" s="94">
        <f t="shared" si="477"/>
        <v>1880.8380000000002</v>
      </c>
      <c r="AC280" s="94">
        <f>+SUM(AC275:AC279)</f>
        <v>1880.8379999999997</v>
      </c>
      <c r="AD280" s="94">
        <f>+SUM(AD275:AD279)</f>
        <v>1964.1709999999996</v>
      </c>
      <c r="AE280" s="94">
        <f t="shared" si="477"/>
        <v>1991.58</v>
      </c>
      <c r="AF280" s="94">
        <f>+SUM(AF275:AF279)</f>
        <v>1991.58</v>
      </c>
      <c r="AG280" s="94">
        <f>+SUM(AG275:AG279)</f>
        <v>2020.0889999999999</v>
      </c>
      <c r="AH280" s="94">
        <f>+SUM(AH275:AH279)</f>
        <v>2749.886</v>
      </c>
      <c r="AI280" s="94">
        <f>+SUM(AI275:AI279)</f>
        <v>2749.886</v>
      </c>
      <c r="AJ280" s="94">
        <f t="shared" si="477"/>
        <v>2701.547</v>
      </c>
      <c r="AK280" s="94">
        <f>+SUM(AK275:AK279)</f>
        <v>2888.1090000000004</v>
      </c>
      <c r="AL280" s="94">
        <f>+SUM(AL275:AL279)</f>
        <v>2888.1089999999995</v>
      </c>
      <c r="AM280" s="94">
        <f>+SUM(AM275:AM279)</f>
        <v>3044.3699999999994</v>
      </c>
      <c r="AN280" s="94">
        <f>+SUM(AN275:AN279)</f>
        <v>3320.8689999999997</v>
      </c>
      <c r="AO280" s="94">
        <f t="shared" ref="AO280" si="478">+SUM(AO275:AO279)</f>
        <v>3320.8689999999997</v>
      </c>
      <c r="AP280" s="94">
        <f t="shared" ref="AP280:AU280" si="479">+SUM(AP275:AP279)</f>
        <v>3426.3279999999995</v>
      </c>
      <c r="AQ280" s="94">
        <f t="shared" si="479"/>
        <v>3625.4239999999995</v>
      </c>
      <c r="AR280" s="94">
        <f t="shared" si="479"/>
        <v>3625.4239999999995</v>
      </c>
      <c r="AS280" s="94">
        <f t="shared" si="479"/>
        <v>3672.8139999999994</v>
      </c>
      <c r="AT280" s="94">
        <f t="shared" si="479"/>
        <v>3884.1429999999996</v>
      </c>
      <c r="AU280" s="94">
        <f t="shared" si="479"/>
        <v>3884.1429999999991</v>
      </c>
      <c r="AV280" s="94">
        <f t="shared" ref="AV280:AX280" si="480">+SUM(AV275:AV279)</f>
        <v>4098.0249999999987</v>
      </c>
      <c r="AW280" s="94">
        <f t="shared" si="480"/>
        <v>4045.3169999999982</v>
      </c>
      <c r="AX280" s="95">
        <f t="shared" si="480"/>
        <v>4045.3169999999986</v>
      </c>
      <c r="AY280" s="94">
        <f t="shared" ref="AY280:BM280" si="481">+SUM(AY275:AY279)</f>
        <v>4108.8039668896399</v>
      </c>
      <c r="AZ280" s="94">
        <f t="shared" si="481"/>
        <v>4215.8466114262328</v>
      </c>
      <c r="BA280" s="94">
        <f t="shared" si="481"/>
        <v>4215.8466114262337</v>
      </c>
      <c r="BB280" s="94">
        <f t="shared" si="481"/>
        <v>4319.5158764700291</v>
      </c>
      <c r="BC280" s="94">
        <f t="shared" si="481"/>
        <v>4452.7518723305475</v>
      </c>
      <c r="BD280" s="94">
        <f t="shared" si="481"/>
        <v>4452.7518723305466</v>
      </c>
      <c r="BE280" s="94">
        <f t="shared" si="481"/>
        <v>4574.1724342443013</v>
      </c>
      <c r="BF280" s="94">
        <f t="shared" si="481"/>
        <v>4723.6830112233592</v>
      </c>
      <c r="BG280" s="94">
        <f t="shared" si="481"/>
        <v>4723.6830112233592</v>
      </c>
      <c r="BH280" s="94">
        <f t="shared" si="481"/>
        <v>4847.5710015606601</v>
      </c>
      <c r="BI280" s="94">
        <f t="shared" si="481"/>
        <v>5023.8475061570407</v>
      </c>
      <c r="BJ280" s="94">
        <f t="shared" si="481"/>
        <v>5023.8475061570407</v>
      </c>
      <c r="BK280" s="94">
        <f t="shared" si="481"/>
        <v>5144.7831353116708</v>
      </c>
      <c r="BL280" s="94">
        <f t="shared" si="481"/>
        <v>5331.7415943597371</v>
      </c>
      <c r="BM280" s="94">
        <f t="shared" si="481"/>
        <v>5331.741594359738</v>
      </c>
    </row>
    <row r="282" spans="1:65">
      <c r="A282" s="58" t="s">
        <v>419</v>
      </c>
    </row>
    <row r="283" spans="1:65">
      <c r="A283" s="6" t="s">
        <v>420</v>
      </c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>
        <f>'Market Drivers'!G49</f>
        <v>0.20410633239680132</v>
      </c>
      <c r="S283" s="30">
        <f>'Market Drivers'!H49</f>
        <v>0.16769332366218825</v>
      </c>
      <c r="T283" s="455">
        <f>'Market Drivers'!I49</f>
        <v>0.1859164679224059</v>
      </c>
      <c r="U283" s="455">
        <f>'Market Drivers'!J49</f>
        <v>7.3643967404961153E-2</v>
      </c>
      <c r="V283" s="455">
        <f>'Market Drivers'!K49</f>
        <v>6.4388425844373876E-2</v>
      </c>
      <c r="W283" s="455">
        <f>'Market Drivers'!L49</f>
        <v>6.9091472896497308E-2</v>
      </c>
      <c r="X283" s="455">
        <f>'Market Drivers'!M49</f>
        <v>-2.733336676864484E-3</v>
      </c>
      <c r="Y283" s="455">
        <f>'Market Drivers'!N49</f>
        <v>-0.11078689267111475</v>
      </c>
      <c r="Z283" s="455">
        <f>'Market Drivers'!O49</f>
        <v>-5.5647500426548424E-2</v>
      </c>
      <c r="AA283" s="455">
        <f>'Market Drivers'!P49</f>
        <v>-4.0601138240002665E-2</v>
      </c>
      <c r="AB283" s="455">
        <f>'Market Drivers'!Q49</f>
        <v>0.12454083281906603</v>
      </c>
      <c r="AC283" s="455">
        <f>'Market Drivers'!R49</f>
        <v>3.5547485478377938E-2</v>
      </c>
      <c r="AD283" s="455">
        <f>'Market Drivers'!S49</f>
        <v>-4.6967142220630254E-2</v>
      </c>
      <c r="AE283" s="455">
        <f>'Market Drivers'!T49</f>
        <v>-0.23385684793686468</v>
      </c>
      <c r="AF283" s="455">
        <f>'Market Drivers'!U49</f>
        <v>-0.1405497592295345</v>
      </c>
      <c r="AG283" s="455">
        <f>'Market Drivers'!V49</f>
        <v>-0.19878628984205271</v>
      </c>
      <c r="AH283" s="455">
        <f>'Market Drivers'!W49</f>
        <v>-2.2898333219637523E-2</v>
      </c>
      <c r="AI283" s="455">
        <f>'Market Drivers'!X49</f>
        <v>-0.12027446064524638</v>
      </c>
      <c r="AJ283" s="455">
        <f>'Market Drivers'!Y49</f>
        <v>0.11603853458730917</v>
      </c>
      <c r="AK283" s="455">
        <f>'Market Drivers'!Z49</f>
        <v>0.34785897137537813</v>
      </c>
      <c r="AL283" s="455">
        <f>'Market Drivers'!AA49</f>
        <v>0.23097114375050487</v>
      </c>
      <c r="AM283" s="455">
        <f>'Market Drivers'!AB49</f>
        <v>0.15985606495530225</v>
      </c>
      <c r="AN283" s="455">
        <f>'Market Drivers'!AC49</f>
        <v>-0.19721155091293652</v>
      </c>
      <c r="AO283" s="455">
        <f>'Market Drivers'!AD49</f>
        <v>-3.3981788273447666E-2</v>
      </c>
      <c r="AP283" s="455">
        <f>'Market Drivers'!AE49</f>
        <v>-0.21218522676047624</v>
      </c>
      <c r="AQ283" s="455">
        <f>'Market Drivers'!AF49</f>
        <v>-8.7707412545300123E-2</v>
      </c>
      <c r="AR283" s="455">
        <f>'Market Drivers'!AG49</f>
        <v>-0.15602926337033296</v>
      </c>
      <c r="AS283" s="455">
        <f>'Market Drivers'!AH49</f>
        <v>-0.10484567658839239</v>
      </c>
      <c r="AT283" s="455">
        <f>'Market Drivers'!AI49</f>
        <v>-5.8277833441386262E-2</v>
      </c>
      <c r="AU283" s="455">
        <f>'Market Drivers'!AJ49</f>
        <v>-8.2136739362864031E-2</v>
      </c>
      <c r="AV283" s="455">
        <f>'Market Drivers'!AK49</f>
        <v>4.5776953350211924E-2</v>
      </c>
      <c r="AW283" s="455">
        <f>'Market Drivers'!AL49</f>
        <v>-5.8340739257235485E-3</v>
      </c>
      <c r="AX283" s="456">
        <f>'Market Drivers'!AM49</f>
        <v>1.9954470587498552E-2</v>
      </c>
      <c r="AY283" s="455">
        <f>'Market Drivers'!AN49</f>
        <v>2.2273438739687679E-2</v>
      </c>
      <c r="AZ283" s="455">
        <f>'Market Drivers'!AO49</f>
        <v>7.0494095618112818E-2</v>
      </c>
      <c r="BA283" s="455">
        <f>'Market Drivers'!AP49</f>
        <v>4.5789614810018309E-2</v>
      </c>
      <c r="BB283" s="455">
        <f>'Market Drivers'!AQ49</f>
        <v>7.2380118952900085E-2</v>
      </c>
      <c r="BC283" s="455">
        <f>'Market Drivers'!AR49</f>
        <v>9.9999999999999867E-2</v>
      </c>
      <c r="BD283" s="455">
        <f>'Market Drivers'!AS49</f>
        <v>8.6167930420940841E-2</v>
      </c>
      <c r="BE283" s="455">
        <f>'Market Drivers'!AT49</f>
        <v>3.7122159130444699E-2</v>
      </c>
      <c r="BF283" s="455">
        <f>'Market Drivers'!AU49</f>
        <v>0</v>
      </c>
      <c r="BG283" s="455">
        <f>'Market Drivers'!AV49</f>
        <v>1.8354830028318281E-2</v>
      </c>
      <c r="BH283" s="455">
        <f>'Market Drivers'!AW49</f>
        <v>0</v>
      </c>
      <c r="BI283" s="455">
        <f>'Market Drivers'!AX49</f>
        <v>0</v>
      </c>
      <c r="BJ283" s="455">
        <f>'Market Drivers'!AY49</f>
        <v>0</v>
      </c>
      <c r="BK283" s="455">
        <f>'Market Drivers'!AZ49</f>
        <v>0</v>
      </c>
      <c r="BL283" s="455">
        <f>'Market Drivers'!BA49</f>
        <v>1.0000000000000009E-2</v>
      </c>
      <c r="BM283" s="455">
        <f>'Market Drivers'!BB49</f>
        <v>4.964438261856996E-3</v>
      </c>
    </row>
    <row r="284" spans="1:65">
      <c r="A284" s="6" t="s">
        <v>421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>
        <f>'Market Drivers'!G78</f>
        <v>7.7723577235772279E-2</v>
      </c>
      <c r="S284" s="30">
        <f>'Market Drivers'!H78</f>
        <v>9.1340075853350244E-2</v>
      </c>
      <c r="T284" s="455">
        <f>'Market Drivers'!I78</f>
        <v>8.4628946946626149E-2</v>
      </c>
      <c r="U284" s="455">
        <f>'Market Drivers'!J78</f>
        <v>0.11436330718165366</v>
      </c>
      <c r="V284" s="455">
        <f>'Market Drivers'!K78</f>
        <v>0.12395018824210835</v>
      </c>
      <c r="W284" s="455">
        <f>'Market Drivers'!L78</f>
        <v>0.11925520910299992</v>
      </c>
      <c r="X284" s="455">
        <f>'Market Drivers'!M78</f>
        <v>6.5258597346330882E-2</v>
      </c>
      <c r="Y284" s="455">
        <f>'Market Drivers'!N78</f>
        <v>7.961865498582843E-2</v>
      </c>
      <c r="Z284" s="455">
        <f>'Market Drivers'!O78</f>
        <v>7.2616847108529115E-2</v>
      </c>
      <c r="AA284" s="455">
        <f>'Market Drivers'!P78</f>
        <v>9.2780884595831115E-2</v>
      </c>
      <c r="AB284" s="455">
        <f>'Market Drivers'!Q78</f>
        <v>7.8997613365155095E-2</v>
      </c>
      <c r="AC284" s="455">
        <f>'Market Drivers'!R78</f>
        <v>8.5672082717872966E-2</v>
      </c>
      <c r="AD284" s="455">
        <f>'Market Drivers'!S78</f>
        <v>-1.465457083042554E-2</v>
      </c>
      <c r="AE284" s="455">
        <f>'Market Drivers'!T78</f>
        <v>-4.7334660473346668E-2</v>
      </c>
      <c r="AF284" s="455">
        <f>'Market Drivers'!U78</f>
        <v>-3.1405895691610008E-2</v>
      </c>
      <c r="AG284" s="455">
        <f>'Market Drivers'!V78</f>
        <v>7.8847969782813943E-2</v>
      </c>
      <c r="AH284" s="455">
        <f>'Market Drivers'!W78</f>
        <v>2.5539818899464883E-3</v>
      </c>
      <c r="AI284" s="455">
        <f>'Market Drivers'!X78</f>
        <v>4.038394006789181E-2</v>
      </c>
      <c r="AJ284" s="455">
        <f>'Market Drivers'!Y78</f>
        <v>0.22253829321662999</v>
      </c>
      <c r="AK284" s="455">
        <f>'Market Drivers'!Z78</f>
        <v>0.30754979157017126</v>
      </c>
      <c r="AL284" s="455">
        <f>'Market Drivers'!AA78</f>
        <v>0.2638388838883885</v>
      </c>
      <c r="AM284" s="455">
        <f>'Market Drivers'!AB78</f>
        <v>6.4435296223377403E-3</v>
      </c>
      <c r="AN284" s="455">
        <f>'Market Drivers'!AC78</f>
        <v>9.5642933049948642E-3</v>
      </c>
      <c r="AO284" s="455">
        <f>'Market Drivers'!AD78</f>
        <v>8.0121071841898761E-3</v>
      </c>
      <c r="AP284" s="455">
        <f>'Market Drivers'!AE78</f>
        <v>-0.22621376489418465</v>
      </c>
      <c r="AQ284" s="455">
        <f>'Market Drivers'!AF78</f>
        <v>-0.21157894736842109</v>
      </c>
      <c r="AR284" s="455">
        <f>'Market Drivers'!AG78</f>
        <v>-0.21884659542524076</v>
      </c>
      <c r="AS284" s="455">
        <f>'Market Drivers'!AH78</f>
        <v>0.14502413238336009</v>
      </c>
      <c r="AT284" s="455">
        <f>'Market Drivers'!AI78</f>
        <v>0.16221628838451263</v>
      </c>
      <c r="AU284" s="455">
        <f>'Market Drivers'!AJ78</f>
        <v>0.15375918598078009</v>
      </c>
      <c r="AV284" s="455">
        <f>'Market Drivers'!AK78</f>
        <v>-2.2079486150140659E-2</v>
      </c>
      <c r="AW284" s="455">
        <f>'Market Drivers'!AL78</f>
        <v>1.187440168485554E-2</v>
      </c>
      <c r="AX284" s="456">
        <f>'Market Drivers'!AM78</f>
        <v>-4.7016168544831149E-3</v>
      </c>
      <c r="AY284" s="455">
        <f>'Market Drivers'!AN78</f>
        <v>4.6678981937602559E-2</v>
      </c>
      <c r="AZ284" s="455">
        <f>'Market Drivers'!AO78</f>
        <v>2.0000000000000018E-2</v>
      </c>
      <c r="BA284" s="455">
        <f>'Market Drivers'!AP78</f>
        <v>3.2797060555162849E-2</v>
      </c>
      <c r="BB284" s="455">
        <f>'Market Drivers'!AQ78</f>
        <v>2.0000000000000018E-2</v>
      </c>
      <c r="BC284" s="455">
        <f>'Market Drivers'!AR78</f>
        <v>2.9999999999999805E-2</v>
      </c>
      <c r="BD284" s="455">
        <f>'Market Drivers'!AS78</f>
        <v>2.5138844852829578E-2</v>
      </c>
      <c r="BE284" s="455">
        <f>'Market Drivers'!AT78</f>
        <v>3.0000000000000027E-2</v>
      </c>
      <c r="BF284" s="455">
        <f>'Market Drivers'!AU78</f>
        <v>-4.0000000000000036E-2</v>
      </c>
      <c r="BG284" s="455">
        <f>'Market Drivers'!AV78</f>
        <v>-6.1424909171408082E-3</v>
      </c>
      <c r="BH284" s="455">
        <f>'Market Drivers'!AW78</f>
        <v>-4.0000000000000036E-2</v>
      </c>
      <c r="BI284" s="455">
        <f>'Market Drivers'!AX78</f>
        <v>-4.9999999999999933E-2</v>
      </c>
      <c r="BJ284" s="455">
        <f>'Market Drivers'!AY78</f>
        <v>-4.4987319030482031E-2</v>
      </c>
      <c r="BK284" s="455">
        <f>'Market Drivers'!AZ78</f>
        <v>-4.9999999999999933E-2</v>
      </c>
      <c r="BL284" s="455">
        <f>'Market Drivers'!BA78</f>
        <v>-6.0000000000000164E-2</v>
      </c>
      <c r="BM284" s="455">
        <f>'Market Drivers'!BB78</f>
        <v>-5.4961141535993074E-2</v>
      </c>
    </row>
    <row r="285" spans="1:65">
      <c r="A285" s="6" t="s">
        <v>422</v>
      </c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>
        <f>'Market Drivers'!G86</f>
        <v>0.13805280227940964</v>
      </c>
      <c r="S285" s="30">
        <f>'Market Drivers'!H86</f>
        <v>-3.7413501970002816E-3</v>
      </c>
      <c r="T285" s="30">
        <f>'Market Drivers'!I86</f>
        <v>7.0283571225116415E-2</v>
      </c>
      <c r="U285" s="30">
        <f>'Market Drivers'!J86</f>
        <v>0.11916208333888223</v>
      </c>
      <c r="V285" s="30">
        <f>'Market Drivers'!K86</f>
        <v>0.11900963775340645</v>
      </c>
      <c r="W285" s="30">
        <f>'Market Drivers'!L86</f>
        <v>0.11909426262835354</v>
      </c>
      <c r="X285" s="30">
        <f>'Market Drivers'!M86</f>
        <v>6.5422006449386672E-2</v>
      </c>
      <c r="Y285" s="30">
        <f>'Market Drivers'!N86</f>
        <v>0.23604882539871097</v>
      </c>
      <c r="Z285" s="30">
        <f>'Market Drivers'!O86</f>
        <v>0.14132552962392908</v>
      </c>
      <c r="AA285" s="30">
        <f>'Market Drivers'!P86</f>
        <v>0.20027474675273904</v>
      </c>
      <c r="AB285" s="30">
        <f>'Market Drivers'!Q86</f>
        <v>9.9041303250918977E-2</v>
      </c>
      <c r="AC285" s="30">
        <f>'Market Drivers'!R86</f>
        <v>0.15150340037621191</v>
      </c>
      <c r="AD285" s="30">
        <f>'Market Drivers'!S86</f>
        <v>-1.0458829988182594E-2</v>
      </c>
      <c r="AE285" s="30">
        <f>'Market Drivers'!T86</f>
        <v>-0.19310902691239806</v>
      </c>
      <c r="AF285" s="30">
        <f>'Market Drivers'!U86</f>
        <v>-9.4445365944378246E-2</v>
      </c>
      <c r="AG285" s="30">
        <f>'Market Drivers'!V86</f>
        <v>-3.9983073957402748E-2</v>
      </c>
      <c r="AH285" s="30">
        <f>'Market Drivers'!W86</f>
        <v>0.27243416061558468</v>
      </c>
      <c r="AI285" s="30">
        <f>'Market Drivers'!X86</f>
        <v>8.8021269864177132E-2</v>
      </c>
      <c r="AJ285" s="30">
        <f>'Market Drivers'!Y86</f>
        <v>0.28051874271497557</v>
      </c>
      <c r="AK285" s="30">
        <f>'Market Drivers'!Z86</f>
        <v>0.16676958456657376</v>
      </c>
      <c r="AL285" s="30">
        <f>'Market Drivers'!AA86</f>
        <v>0.22601380478423017</v>
      </c>
      <c r="AM285" s="30">
        <f>'Market Drivers'!AB86</f>
        <v>0.13379279747881156</v>
      </c>
      <c r="AN285" s="30">
        <f>'Market Drivers'!AC86</f>
        <v>0.29602153481157045</v>
      </c>
      <c r="AO285" s="30">
        <f>'Market Drivers'!AD86</f>
        <v>0.20777124025266103</v>
      </c>
      <c r="AP285" s="30">
        <f>'Market Drivers'!AE86</f>
        <v>0.37663520506264203</v>
      </c>
      <c r="AQ285" s="30">
        <f>'Market Drivers'!AF86</f>
        <v>4.475783455724458E-2</v>
      </c>
      <c r="AR285" s="30">
        <f>'Market Drivers'!AG86</f>
        <v>0.21423649631012842</v>
      </c>
      <c r="AS285" s="30">
        <f>'Market Drivers'!AH86</f>
        <v>-7.9363290190101354E-2</v>
      </c>
      <c r="AT285" s="30">
        <f>'Market Drivers'!AI86</f>
        <v>-7.5954120279267845E-2</v>
      </c>
      <c r="AU285" s="30">
        <f>'Market Drivers'!AJ86</f>
        <v>-7.7927913357564549E-2</v>
      </c>
      <c r="AV285" s="30">
        <f>'Market Drivers'!AK86</f>
        <v>-7.999999999999996E-2</v>
      </c>
      <c r="AW285" s="30">
        <f>'Market Drivers'!AL86</f>
        <v>-7.598103580204163E-2</v>
      </c>
      <c r="AX285" s="403">
        <f>'Market Drivers'!AM86</f>
        <v>-7.8304256805625805E-2</v>
      </c>
      <c r="AY285" s="30">
        <f>'Market Drivers'!AN86</f>
        <v>-0.14473194751270935</v>
      </c>
      <c r="AZ285" s="30">
        <f>'Market Drivers'!AO86</f>
        <v>0.18369501941783217</v>
      </c>
      <c r="BA285" s="30">
        <f>'Market Drivers'!AP86</f>
        <v>-5.8076984964529066E-3</v>
      </c>
      <c r="BB285" s="30">
        <f>'Market Drivers'!AQ86</f>
        <v>-0.14284302231959056</v>
      </c>
      <c r="BC285" s="30">
        <f>'Market Drivers'!AR86</f>
        <v>0.15223437715247123</v>
      </c>
      <c r="BD285" s="30">
        <f>'Market Drivers'!AS86</f>
        <v>5.7658093866597149E-3</v>
      </c>
      <c r="BE285" s="30">
        <f>'Market Drivers'!AT86</f>
        <v>0.20736891980618899</v>
      </c>
      <c r="BF285" s="30">
        <f>'Market Drivers'!AU86</f>
        <v>-0.11040501524619617</v>
      </c>
      <c r="BG285" s="30">
        <f>'Market Drivers'!AV86</f>
        <v>2.4023145446190552E-2</v>
      </c>
      <c r="BH285" s="30">
        <f>'Market Drivers'!AW86</f>
        <v>0.17482720807702923</v>
      </c>
      <c r="BI285" s="30">
        <f>'Market Drivers'!AX86</f>
        <v>-0.11723312077134473</v>
      </c>
      <c r="BJ285" s="30">
        <f>'Market Drivers'!AY86</f>
        <v>2.8438440031643308E-2</v>
      </c>
      <c r="BK285" s="30">
        <f>'Market Drivers'!AZ86</f>
        <v>-0.11040501524619606</v>
      </c>
      <c r="BL285" s="30">
        <f>'Market Drivers'!BA86</f>
        <v>0.2192356865004248</v>
      </c>
      <c r="BM285" s="30">
        <f>'Market Drivers'!BB86</f>
        <v>3.1417030449900851E-2</v>
      </c>
    </row>
  </sheetData>
  <mergeCells count="1">
    <mergeCell ref="A1:A2"/>
  </mergeCells>
  <phoneticPr fontId="12" type="noConversion"/>
  <conditionalFormatting sqref="Q189 T189 W189 Z189 AC189 AF189 AI189 AL189 AO189 AR189 AU189 AX189">
    <cfRule type="containsText" dxfId="3" priority="32" stopIfTrue="1" operator="containsText" text="ERROR">
      <formula>NOT(ISERROR(SEARCH("ERROR",Q189)))</formula>
    </cfRule>
  </conditionalFormatting>
  <conditionalFormatting sqref="B2">
    <cfRule type="expression" dxfId="2" priority="115">
      <formula>SUM($O$188:$AX$188)&lt;&gt;0</formula>
    </cfRule>
  </conditionalFormatting>
  <conditionalFormatting sqref="BA189 BD189 BG189 BJ189">
    <cfRule type="containsText" dxfId="1" priority="1" stopIfTrue="1" operator="containsText" text="ERROR">
      <formula>NOT(ISERROR(SEARCH("ERROR",BA189)))</formula>
    </cfRule>
  </conditionalFormatting>
  <conditionalFormatting sqref="B1">
    <cfRule type="expression" dxfId="0" priority="118">
      <formula>ROUND(SUM($O$122:$AX$122,$O$131:$AX$131),2)&lt;&gt;0</formula>
    </cfRule>
  </conditionalFormatting>
  <pageMargins left="0.39370078740157499" right="0.39370078740157499" top="0.39370078740157499" bottom="0.39370078740157499" header="0.39370078740157499" footer="0.39370078740157499"/>
  <pageSetup paperSize="9" scale="50" fitToHeight="0" orientation="portrait" r:id="rId1"/>
  <headerFooter alignWithMargins="0">
    <oddHeader>&amp;A</oddHeader>
    <oddFooter>Page &amp;P of &amp;N</oddFooter>
  </headerFooter>
  <rowBreaks count="2" manualBreakCount="2">
    <brk id="74" min="22" max="43" man="1"/>
    <brk id="148" min="22" max="4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A1:BB96"/>
  <sheetViews>
    <sheetView zoomScaleNormal="100" workbookViewId="0">
      <pane xSplit="1" ySplit="3" topLeftCell="AJ50" activePane="bottomRight" state="frozen"/>
      <selection activeCell="AL67" sqref="AL67"/>
      <selection pane="topRight" activeCell="AL67" sqref="AL67"/>
      <selection pane="bottomLeft" activeCell="AL67" sqref="AL67"/>
      <selection pane="bottomRight" activeCell="AR75" sqref="AR75"/>
    </sheetView>
  </sheetViews>
  <sheetFormatPr defaultColWidth="9.109375" defaultRowHeight="10.199999999999999" outlineLevelCol="1"/>
  <cols>
    <col min="1" max="1" width="34.109375" style="6" customWidth="1"/>
    <col min="2" max="2" width="5.44140625" style="52" customWidth="1"/>
    <col min="3" max="3" width="8.6640625" style="6" hidden="1" customWidth="1"/>
    <col min="4" max="5" width="8.6640625" style="6" customWidth="1" outlineLevel="1"/>
    <col min="6" max="6" width="8.6640625" style="6" hidden="1" customWidth="1"/>
    <col min="7" max="8" width="8.6640625" style="6" customWidth="1" outlineLevel="1"/>
    <col min="9" max="9" width="8.6640625" style="6" hidden="1" customWidth="1"/>
    <col min="10" max="11" width="8.6640625" style="6" customWidth="1" outlineLevel="1"/>
    <col min="12" max="12" width="8.6640625" style="6" hidden="1" customWidth="1"/>
    <col min="13" max="14" width="8.6640625" style="6" customWidth="1" outlineLevel="1"/>
    <col min="15" max="15" width="8.6640625" style="6" hidden="1" customWidth="1"/>
    <col min="16" max="17" width="8.6640625" style="6" customWidth="1" outlineLevel="1"/>
    <col min="18" max="18" width="8.6640625" style="6" hidden="1" customWidth="1"/>
    <col min="19" max="20" width="8.6640625" style="6" customWidth="1" outlineLevel="1"/>
    <col min="21" max="21" width="8.6640625" style="6" hidden="1" customWidth="1"/>
    <col min="22" max="23" width="8.6640625" style="6" hidden="1" customWidth="1" outlineLevel="1"/>
    <col min="24" max="24" width="8.6640625" style="6" customWidth="1" collapsed="1"/>
    <col min="25" max="26" width="8.6640625" style="6" customWidth="1" outlineLevel="1"/>
    <col min="27" max="27" width="8.6640625" style="6" customWidth="1"/>
    <col min="28" max="29" width="8.6640625" style="6" customWidth="1" outlineLevel="1"/>
    <col min="30" max="30" width="8.6640625" style="6" customWidth="1"/>
    <col min="31" max="32" width="8.6640625" style="6" customWidth="1" outlineLevel="1"/>
    <col min="33" max="33" width="8.6640625" style="6" customWidth="1"/>
    <col min="34" max="35" width="8.6640625" style="6" customWidth="1" outlineLevel="1"/>
    <col min="36" max="36" width="8.6640625" style="46" customWidth="1"/>
    <col min="37" max="38" width="8.6640625" style="6" customWidth="1" outlineLevel="1"/>
    <col min="39" max="39" width="8.6640625" style="6" customWidth="1"/>
    <col min="40" max="41" width="8.6640625" style="6" customWidth="1" outlineLevel="1"/>
    <col min="42" max="42" width="8.6640625" style="6" customWidth="1"/>
    <col min="43" max="44" width="8.6640625" style="6" customWidth="1" outlineLevel="1"/>
    <col min="45" max="45" width="8.6640625" style="6" customWidth="1"/>
    <col min="46" max="47" width="8.6640625" style="6" customWidth="1" outlineLevel="1"/>
    <col min="48" max="48" width="8.6640625" style="6" customWidth="1"/>
    <col min="49" max="50" width="8.6640625" style="6" customWidth="1" outlineLevel="1"/>
    <col min="51" max="51" width="8.6640625" style="6" customWidth="1"/>
    <col min="52" max="53" width="8.6640625" style="6" customWidth="1" outlineLevel="1"/>
    <col min="54" max="54" width="8.6640625" style="6" customWidth="1"/>
    <col min="55" max="16384" width="9.109375" style="6"/>
  </cols>
  <sheetData>
    <row r="1" spans="1:54" s="187" customFormat="1">
      <c r="A1" s="6"/>
      <c r="B1" s="52"/>
      <c r="C1" s="6"/>
      <c r="D1" s="187" t="str">
        <f>MID(D3,2,1)&amp;LEFT(D3,1)&amp;RIGHT(D3,2)</f>
        <v>H14A</v>
      </c>
      <c r="E1" s="187" t="str">
        <f>MID(E3,2,1)&amp;LEFT(E3,1)&amp;RIGHT(E3,2)</f>
        <v>H24A</v>
      </c>
      <c r="G1" s="187" t="str">
        <f>MID(G3,2,1)&amp;LEFT(G3,1)&amp;RIGHT(G3,2)</f>
        <v>H15A</v>
      </c>
      <c r="H1" s="187" t="str">
        <f>MID(H3,2,1)&amp;LEFT(H3,1)&amp;RIGHT(H3,2)</f>
        <v>H25A</v>
      </c>
      <c r="J1" s="187" t="str">
        <f>MID(J3,2,1)&amp;LEFT(J3,1)&amp;RIGHT(J3,2)</f>
        <v>H16A</v>
      </c>
      <c r="K1" s="187" t="str">
        <f>MID(K3,2,1)&amp;LEFT(K3,1)&amp;RIGHT(K3,2)</f>
        <v>H26A</v>
      </c>
      <c r="M1" s="187" t="str">
        <f>MID(M3,2,1)&amp;LEFT(M3,1)&amp;RIGHT(M3,2)</f>
        <v>H17A</v>
      </c>
      <c r="N1" s="187" t="str">
        <f>MID(N3,2,1)&amp;LEFT(N3,1)&amp;RIGHT(N3,2)</f>
        <v>H27A</v>
      </c>
      <c r="P1" s="187" t="str">
        <f>MID(P3,2,1)&amp;LEFT(P3,1)&amp;RIGHT(P3,2)</f>
        <v>H18A</v>
      </c>
      <c r="Q1" s="187" t="str">
        <f>MID(Q3,2,1)&amp;LEFT(Q3,1)&amp;RIGHT(Q3,2)</f>
        <v>H28A</v>
      </c>
      <c r="S1" s="187" t="str">
        <f>MID(S3,2,1)&amp;LEFT(S3,1)&amp;RIGHT(S3,2)</f>
        <v>H19A</v>
      </c>
      <c r="T1" s="187" t="str">
        <f>MID(T3,2,1)&amp;LEFT(T3,1)&amp;RIGHT(T3,2)</f>
        <v>H29A</v>
      </c>
      <c r="V1" s="187" t="str">
        <f>MID(V3,2,1)&amp;LEFT(V3,1)&amp;RIGHT(V3,2)</f>
        <v>H10A</v>
      </c>
      <c r="W1" s="187" t="str">
        <f>MID(W3,2,1)&amp;LEFT(W3,1)&amp;RIGHT(W3,2)</f>
        <v>H20A</v>
      </c>
      <c r="Y1" s="187" t="str">
        <f>MID(Y3,2,1)&amp;LEFT(Y3,1)&amp;RIGHT(Y3,2)</f>
        <v>H11A</v>
      </c>
      <c r="Z1" s="187" t="str">
        <f>MID(Z3,2,1)&amp;LEFT(Z3,1)&amp;RIGHT(Z3,2)</f>
        <v>H21A</v>
      </c>
      <c r="AB1" s="187" t="str">
        <f>MID(AB3,2,1)&amp;LEFT(AB3,1)&amp;RIGHT(AB3,2)</f>
        <v>H12A</v>
      </c>
      <c r="AC1" s="187" t="str">
        <f>MID(AC3,2,1)&amp;LEFT(AC3,1)&amp;RIGHT(AC3,2)</f>
        <v>H22A</v>
      </c>
      <c r="AE1" s="187" t="str">
        <f>MID(AE3,2,1)&amp;LEFT(AE3,1)&amp;RIGHT(AE3,2)</f>
        <v>H13A</v>
      </c>
      <c r="AF1" s="187" t="str">
        <f>MID(AF3,2,1)&amp;LEFT(AF3,1)&amp;RIGHT(AF3,2)</f>
        <v>H23A</v>
      </c>
      <c r="AH1" s="187" t="str">
        <f>MID(AH3,2,1)&amp;LEFT(AH3,1)&amp;RIGHT(AH3,2)</f>
        <v>H14A</v>
      </c>
      <c r="AI1" s="187" t="str">
        <f>MID(AI3,2,1)&amp;LEFT(AI3,1)&amp;RIGHT(AI3,2)</f>
        <v>H24A</v>
      </c>
      <c r="AJ1" s="389"/>
      <c r="AK1" s="187" t="str">
        <f>MID(AK3,2,1)&amp;LEFT(AK3,1)&amp;RIGHT(AK3,2)</f>
        <v>H15A</v>
      </c>
      <c r="AL1" s="187" t="str">
        <f>MID(AL3,2,1)&amp;LEFT(AL3,1)&amp;RIGHT(AL3,2)</f>
        <v>H25A</v>
      </c>
      <c r="AN1" s="187" t="str">
        <f>MID(AN3,2,1)&amp;LEFT(AN3,1)&amp;RIGHT(AN3,2)</f>
        <v>H16E</v>
      </c>
      <c r="AO1" s="187" t="str">
        <f>MID(AO3,2,1)&amp;LEFT(AO3,1)&amp;RIGHT(AO3,2)</f>
        <v>H26E</v>
      </c>
      <c r="AQ1" s="187" t="str">
        <f>MID(AQ3,2,1)&amp;LEFT(AQ3,1)&amp;RIGHT(AQ3,2)</f>
        <v>H17E</v>
      </c>
      <c r="AR1" s="187" t="str">
        <f>MID(AR3,2,1)&amp;LEFT(AR3,1)&amp;RIGHT(AR3,2)</f>
        <v>H27E</v>
      </c>
      <c r="AT1" s="187" t="str">
        <f>MID(AT3,2,1)&amp;LEFT(AT3,1)&amp;RIGHT(AT3,2)</f>
        <v>H18E</v>
      </c>
      <c r="AU1" s="187" t="str">
        <f>MID(AU3,2,1)&amp;LEFT(AU3,1)&amp;RIGHT(AU3,2)</f>
        <v>H28E</v>
      </c>
      <c r="AW1" s="187" t="str">
        <f>MID(AW3,2,1)&amp;LEFT(AW3,1)&amp;RIGHT(AW3,2)</f>
        <v>H19E</v>
      </c>
      <c r="AX1" s="187" t="str">
        <f>MID(AX3,2,1)&amp;LEFT(AX3,1)&amp;RIGHT(AX3,2)</f>
        <v>H29E</v>
      </c>
      <c r="AZ1" s="187" t="str">
        <f>MID(AZ3,2,1)&amp;LEFT(AZ3,1)&amp;RIGHT(AZ3,2)</f>
        <v>H10E</v>
      </c>
      <c r="BA1" s="187" t="str">
        <f>MID(BA3,2,1)&amp;LEFT(BA3,1)&amp;RIGHT(BA3,2)</f>
        <v>H20E</v>
      </c>
    </row>
    <row r="2" spans="1:54">
      <c r="D2" s="327" t="str">
        <f t="shared" ref="D2:BB2" si="0">LEFT(D3,4)</f>
        <v>1H14</v>
      </c>
      <c r="E2" s="327" t="str">
        <f t="shared" si="0"/>
        <v>2H14</v>
      </c>
      <c r="F2" s="327" t="str">
        <f t="shared" si="0"/>
        <v>FY14</v>
      </c>
      <c r="G2" s="327" t="str">
        <f t="shared" si="0"/>
        <v>1H15</v>
      </c>
      <c r="H2" s="327" t="str">
        <f t="shared" si="0"/>
        <v>2H15</v>
      </c>
      <c r="I2" s="327" t="str">
        <f t="shared" si="0"/>
        <v>FY15</v>
      </c>
      <c r="J2" s="327" t="str">
        <f t="shared" si="0"/>
        <v>1H16</v>
      </c>
      <c r="K2" s="327" t="str">
        <f t="shared" si="0"/>
        <v>2H16</v>
      </c>
      <c r="L2" s="327" t="str">
        <f t="shared" si="0"/>
        <v>FY16</v>
      </c>
      <c r="M2" s="327" t="str">
        <f t="shared" si="0"/>
        <v>1H17</v>
      </c>
      <c r="N2" s="327" t="str">
        <f t="shared" si="0"/>
        <v>2H17</v>
      </c>
      <c r="O2" s="327" t="str">
        <f t="shared" si="0"/>
        <v>FY17</v>
      </c>
      <c r="P2" s="327" t="str">
        <f t="shared" si="0"/>
        <v>1H18</v>
      </c>
      <c r="Q2" s="327" t="str">
        <f t="shared" si="0"/>
        <v>2H18</v>
      </c>
      <c r="R2" s="327" t="str">
        <f t="shared" si="0"/>
        <v>FY18</v>
      </c>
      <c r="S2" s="327" t="str">
        <f t="shared" si="0"/>
        <v>1H19</v>
      </c>
      <c r="T2" s="327" t="str">
        <f t="shared" si="0"/>
        <v>2H19</v>
      </c>
      <c r="U2" s="327" t="str">
        <f t="shared" si="0"/>
        <v>FY19</v>
      </c>
      <c r="V2" s="327" t="str">
        <f t="shared" si="0"/>
        <v>1H20</v>
      </c>
      <c r="W2" s="327" t="str">
        <f t="shared" si="0"/>
        <v>2H20</v>
      </c>
      <c r="X2" s="327" t="str">
        <f t="shared" si="0"/>
        <v>FY20</v>
      </c>
      <c r="Y2" s="327" t="str">
        <f t="shared" si="0"/>
        <v>1H21</v>
      </c>
      <c r="Z2" s="327" t="str">
        <f t="shared" si="0"/>
        <v>2H21</v>
      </c>
      <c r="AA2" s="327" t="str">
        <f t="shared" si="0"/>
        <v>FY21</v>
      </c>
      <c r="AB2" s="327" t="str">
        <f t="shared" si="0"/>
        <v>1H22</v>
      </c>
      <c r="AC2" s="327" t="str">
        <f t="shared" si="0"/>
        <v>2H22</v>
      </c>
      <c r="AD2" s="327" t="str">
        <f t="shared" si="0"/>
        <v>FY22</v>
      </c>
      <c r="AE2" s="327" t="str">
        <f t="shared" si="0"/>
        <v>1H23</v>
      </c>
      <c r="AF2" s="327" t="str">
        <f t="shared" si="0"/>
        <v>2H23</v>
      </c>
      <c r="AG2" s="327" t="str">
        <f t="shared" si="0"/>
        <v>FY23</v>
      </c>
      <c r="AH2" s="327" t="str">
        <f t="shared" si="0"/>
        <v>1H24</v>
      </c>
      <c r="AI2" s="327" t="str">
        <f t="shared" si="0"/>
        <v>2H24</v>
      </c>
      <c r="AJ2" s="390" t="str">
        <f t="shared" si="0"/>
        <v>FY24</v>
      </c>
      <c r="AK2" s="327" t="str">
        <f t="shared" si="0"/>
        <v>1H25</v>
      </c>
      <c r="AL2" s="327" t="str">
        <f t="shared" si="0"/>
        <v>2H25</v>
      </c>
      <c r="AM2" s="327" t="str">
        <f t="shared" si="0"/>
        <v>FY25</v>
      </c>
      <c r="AN2" s="327" t="str">
        <f t="shared" si="0"/>
        <v>1H26</v>
      </c>
      <c r="AO2" s="327" t="str">
        <f t="shared" si="0"/>
        <v>2H26</v>
      </c>
      <c r="AP2" s="327" t="str">
        <f t="shared" si="0"/>
        <v>FY26</v>
      </c>
      <c r="AQ2" s="327" t="str">
        <f t="shared" si="0"/>
        <v>1H27</v>
      </c>
      <c r="AR2" s="327" t="str">
        <f t="shared" si="0"/>
        <v>2H27</v>
      </c>
      <c r="AS2" s="327" t="str">
        <f t="shared" si="0"/>
        <v>FY27</v>
      </c>
      <c r="AT2" s="327" t="str">
        <f t="shared" si="0"/>
        <v>1H28</v>
      </c>
      <c r="AU2" s="327" t="str">
        <f t="shared" si="0"/>
        <v>2H28</v>
      </c>
      <c r="AV2" s="327" t="str">
        <f t="shared" si="0"/>
        <v>FY28</v>
      </c>
      <c r="AW2" s="327" t="str">
        <f t="shared" si="0"/>
        <v>1H29</v>
      </c>
      <c r="AX2" s="327" t="str">
        <f t="shared" si="0"/>
        <v>2H29</v>
      </c>
      <c r="AY2" s="327" t="str">
        <f t="shared" si="0"/>
        <v>FY29</v>
      </c>
      <c r="AZ2" s="327" t="str">
        <f t="shared" si="0"/>
        <v>1H30</v>
      </c>
      <c r="BA2" s="327" t="str">
        <f t="shared" si="0"/>
        <v>2H30</v>
      </c>
      <c r="BB2" s="327" t="str">
        <f t="shared" si="0"/>
        <v>FY30</v>
      </c>
    </row>
    <row r="3" spans="1:54">
      <c r="A3" s="188" t="s">
        <v>269</v>
      </c>
      <c r="B3" s="189"/>
      <c r="C3" s="188"/>
      <c r="D3" s="388" t="str">
        <f>'BS, CF and P&amp;L'!O6</f>
        <v>1H14A</v>
      </c>
      <c r="E3" s="388" t="str">
        <f>'BS, CF and P&amp;L'!P6</f>
        <v>2H14A</v>
      </c>
      <c r="F3" s="388" t="str">
        <f>'BS, CF and P&amp;L'!Q6</f>
        <v>FY14A</v>
      </c>
      <c r="G3" s="388" t="str">
        <f>'BS, CF and P&amp;L'!R6</f>
        <v>1H15A</v>
      </c>
      <c r="H3" s="388" t="str">
        <f>'BS, CF and P&amp;L'!S6</f>
        <v>2H15A</v>
      </c>
      <c r="I3" s="388" t="str">
        <f>'BS, CF and P&amp;L'!T6</f>
        <v>FY15A</v>
      </c>
      <c r="J3" s="388" t="str">
        <f>'BS, CF and P&amp;L'!U6</f>
        <v>1H16A</v>
      </c>
      <c r="K3" s="388" t="str">
        <f>'BS, CF and P&amp;L'!V6</f>
        <v>2H16A</v>
      </c>
      <c r="L3" s="388" t="str">
        <f>'BS, CF and P&amp;L'!W6</f>
        <v>FY16A</v>
      </c>
      <c r="M3" s="388" t="str">
        <f>'BS, CF and P&amp;L'!X6</f>
        <v>1H17A</v>
      </c>
      <c r="N3" s="388" t="str">
        <f>'BS, CF and P&amp;L'!Y6</f>
        <v>2H17A</v>
      </c>
      <c r="O3" s="388" t="str">
        <f>'BS, CF and P&amp;L'!Z6</f>
        <v>FY17A</v>
      </c>
      <c r="P3" s="388" t="str">
        <f>'BS, CF and P&amp;L'!AA6</f>
        <v>1H18A</v>
      </c>
      <c r="Q3" s="388" t="str">
        <f>'BS, CF and P&amp;L'!AB6</f>
        <v>2H18A</v>
      </c>
      <c r="R3" s="388" t="str">
        <f>'BS, CF and P&amp;L'!AC6</f>
        <v>FY18A</v>
      </c>
      <c r="S3" s="388" t="str">
        <f>'BS, CF and P&amp;L'!AD6</f>
        <v>1H19A</v>
      </c>
      <c r="T3" s="388" t="str">
        <f>'BS, CF and P&amp;L'!AE6</f>
        <v>2H19A</v>
      </c>
      <c r="U3" s="388" t="str">
        <f>'BS, CF and P&amp;L'!AF6</f>
        <v>FY19A</v>
      </c>
      <c r="V3" s="388" t="str">
        <f>'BS, CF and P&amp;L'!AG6</f>
        <v>1H20A</v>
      </c>
      <c r="W3" s="388" t="str">
        <f>'BS, CF and P&amp;L'!AH6</f>
        <v>2H20A</v>
      </c>
      <c r="X3" s="388" t="str">
        <f>'BS, CF and P&amp;L'!AI6</f>
        <v>FY20A</v>
      </c>
      <c r="Y3" s="388" t="str">
        <f>'BS, CF and P&amp;L'!AJ6</f>
        <v>1H21A</v>
      </c>
      <c r="Z3" s="388" t="str">
        <f>'BS, CF and P&amp;L'!AK6</f>
        <v>2H21A</v>
      </c>
      <c r="AA3" s="388" t="str">
        <f>'BS, CF and P&amp;L'!AL6</f>
        <v>FY21A</v>
      </c>
      <c r="AB3" s="388" t="str">
        <f>'BS, CF and P&amp;L'!AM6</f>
        <v>1H22A</v>
      </c>
      <c r="AC3" s="388" t="str">
        <f>'BS, CF and P&amp;L'!AN6</f>
        <v>2H22A</v>
      </c>
      <c r="AD3" s="388" t="str">
        <f>'BS, CF and P&amp;L'!AO6</f>
        <v>FY22A</v>
      </c>
      <c r="AE3" s="388" t="str">
        <f>'BS, CF and P&amp;L'!AP6</f>
        <v>1H23A</v>
      </c>
      <c r="AF3" s="388" t="str">
        <f>'BS, CF and P&amp;L'!AQ6</f>
        <v>2H23A</v>
      </c>
      <c r="AG3" s="388" t="str">
        <f>'BS, CF and P&amp;L'!AR6</f>
        <v>FY23A</v>
      </c>
      <c r="AH3" s="388" t="str">
        <f>'BS, CF and P&amp;L'!AS6</f>
        <v>1H24A</v>
      </c>
      <c r="AI3" s="388" t="str">
        <f>'BS, CF and P&amp;L'!AT6</f>
        <v>2H24A</v>
      </c>
      <c r="AJ3" s="391" t="str">
        <f>'BS, CF and P&amp;L'!AU6</f>
        <v>FY24A</v>
      </c>
      <c r="AK3" s="388" t="str">
        <f>'BS, CF and P&amp;L'!AV6</f>
        <v>1H25A</v>
      </c>
      <c r="AL3" s="388" t="str">
        <f>'BS, CF and P&amp;L'!AW6</f>
        <v>2H25A</v>
      </c>
      <c r="AM3" s="388" t="str">
        <f>'BS, CF and P&amp;L'!AX6</f>
        <v>FY25A</v>
      </c>
      <c r="AN3" s="388" t="str">
        <f>'BS, CF and P&amp;L'!AY6</f>
        <v>1H26E</v>
      </c>
      <c r="AO3" s="388" t="str">
        <f>'BS, CF and P&amp;L'!AZ6</f>
        <v>2H26E</v>
      </c>
      <c r="AP3" s="388" t="str">
        <f>'BS, CF and P&amp;L'!BA6</f>
        <v>FY26E</v>
      </c>
      <c r="AQ3" s="388" t="str">
        <f>'BS, CF and P&amp;L'!BB6</f>
        <v>1H27E</v>
      </c>
      <c r="AR3" s="388" t="str">
        <f>'BS, CF and P&amp;L'!BC6</f>
        <v>2H27E</v>
      </c>
      <c r="AS3" s="388" t="str">
        <f>'BS, CF and P&amp;L'!BD6</f>
        <v>FY27E</v>
      </c>
      <c r="AT3" s="388" t="str">
        <f>'BS, CF and P&amp;L'!BE6</f>
        <v>1H28E</v>
      </c>
      <c r="AU3" s="388" t="str">
        <f>'BS, CF and P&amp;L'!BF6</f>
        <v>2H28E</v>
      </c>
      <c r="AV3" s="388" t="str">
        <f>'BS, CF and P&amp;L'!BG6</f>
        <v>FY28E</v>
      </c>
      <c r="AW3" s="388" t="str">
        <f>'BS, CF and P&amp;L'!BH6</f>
        <v>1H29E</v>
      </c>
      <c r="AX3" s="388" t="str">
        <f>'BS, CF and P&amp;L'!BI6</f>
        <v>2H29E</v>
      </c>
      <c r="AY3" s="388" t="str">
        <f>'BS, CF and P&amp;L'!BJ6</f>
        <v>FY29E</v>
      </c>
      <c r="AZ3" s="388" t="str">
        <f>'BS, CF and P&amp;L'!BK6</f>
        <v>1H30E</v>
      </c>
      <c r="BA3" s="388" t="str">
        <f>'BS, CF and P&amp;L'!BL6</f>
        <v>2H30E</v>
      </c>
      <c r="BB3" s="388" t="str">
        <f>'BS, CF and P&amp;L'!BM6</f>
        <v>FY30E</v>
      </c>
    </row>
    <row r="4" spans="1:54">
      <c r="A4" s="326" t="s">
        <v>270</v>
      </c>
      <c r="B4" s="381"/>
      <c r="C4" s="326"/>
    </row>
    <row r="5" spans="1:54">
      <c r="A5" s="85" t="s">
        <v>0</v>
      </c>
      <c r="B5" s="382"/>
      <c r="C5" s="85"/>
      <c r="D5" s="370" t="str">
        <f>D3</f>
        <v>1H14A</v>
      </c>
      <c r="E5" s="370" t="str">
        <f t="shared" ref="E5:BB5" si="1">E3</f>
        <v>2H14A</v>
      </c>
      <c r="F5" s="370" t="str">
        <f t="shared" si="1"/>
        <v>FY14A</v>
      </c>
      <c r="G5" s="370" t="str">
        <f t="shared" si="1"/>
        <v>1H15A</v>
      </c>
      <c r="H5" s="370" t="str">
        <f t="shared" si="1"/>
        <v>2H15A</v>
      </c>
      <c r="I5" s="370" t="str">
        <f t="shared" si="1"/>
        <v>FY15A</v>
      </c>
      <c r="J5" s="370" t="str">
        <f t="shared" si="1"/>
        <v>1H16A</v>
      </c>
      <c r="K5" s="370" t="str">
        <f t="shared" si="1"/>
        <v>2H16A</v>
      </c>
      <c r="L5" s="370" t="str">
        <f t="shared" si="1"/>
        <v>FY16A</v>
      </c>
      <c r="M5" s="370" t="str">
        <f t="shared" si="1"/>
        <v>1H17A</v>
      </c>
      <c r="N5" s="370" t="str">
        <f t="shared" si="1"/>
        <v>2H17A</v>
      </c>
      <c r="O5" s="370" t="str">
        <f t="shared" si="1"/>
        <v>FY17A</v>
      </c>
      <c r="P5" s="370" t="str">
        <f t="shared" si="1"/>
        <v>1H18A</v>
      </c>
      <c r="Q5" s="370" t="str">
        <f t="shared" si="1"/>
        <v>2H18A</v>
      </c>
      <c r="R5" s="370" t="str">
        <f t="shared" si="1"/>
        <v>FY18A</v>
      </c>
      <c r="S5" s="370" t="str">
        <f t="shared" si="1"/>
        <v>1H19A</v>
      </c>
      <c r="T5" s="370" t="str">
        <f t="shared" si="1"/>
        <v>2H19A</v>
      </c>
      <c r="U5" s="370" t="str">
        <f t="shared" si="1"/>
        <v>FY19A</v>
      </c>
      <c r="V5" s="370" t="str">
        <f t="shared" si="1"/>
        <v>1H20A</v>
      </c>
      <c r="W5" s="370" t="str">
        <f t="shared" si="1"/>
        <v>2H20A</v>
      </c>
      <c r="X5" s="370" t="str">
        <f t="shared" si="1"/>
        <v>FY20A</v>
      </c>
      <c r="Y5" s="370" t="str">
        <f t="shared" si="1"/>
        <v>1H21A</v>
      </c>
      <c r="Z5" s="370" t="str">
        <f t="shared" si="1"/>
        <v>2H21A</v>
      </c>
      <c r="AA5" s="370" t="str">
        <f t="shared" si="1"/>
        <v>FY21A</v>
      </c>
      <c r="AB5" s="370" t="str">
        <f t="shared" si="1"/>
        <v>1H22A</v>
      </c>
      <c r="AC5" s="370" t="str">
        <f t="shared" si="1"/>
        <v>2H22A</v>
      </c>
      <c r="AD5" s="370" t="str">
        <f t="shared" si="1"/>
        <v>FY22A</v>
      </c>
      <c r="AE5" s="370" t="str">
        <f t="shared" si="1"/>
        <v>1H23A</v>
      </c>
      <c r="AF5" s="370" t="str">
        <f t="shared" si="1"/>
        <v>2H23A</v>
      </c>
      <c r="AG5" s="370" t="str">
        <f t="shared" si="1"/>
        <v>FY23A</v>
      </c>
      <c r="AH5" s="370" t="str">
        <f t="shared" si="1"/>
        <v>1H24A</v>
      </c>
      <c r="AI5" s="370" t="str">
        <f t="shared" si="1"/>
        <v>2H24A</v>
      </c>
      <c r="AJ5" s="386" t="str">
        <f t="shared" si="1"/>
        <v>FY24A</v>
      </c>
      <c r="AK5" s="370" t="str">
        <f t="shared" si="1"/>
        <v>1H25A</v>
      </c>
      <c r="AL5" s="370" t="str">
        <f t="shared" si="1"/>
        <v>2H25A</v>
      </c>
      <c r="AM5" s="370" t="str">
        <f t="shared" si="1"/>
        <v>FY25A</v>
      </c>
      <c r="AN5" s="370" t="str">
        <f t="shared" si="1"/>
        <v>1H26E</v>
      </c>
      <c r="AO5" s="370" t="str">
        <f t="shared" si="1"/>
        <v>2H26E</v>
      </c>
      <c r="AP5" s="370" t="str">
        <f t="shared" si="1"/>
        <v>FY26E</v>
      </c>
      <c r="AQ5" s="370" t="str">
        <f t="shared" si="1"/>
        <v>1H27E</v>
      </c>
      <c r="AR5" s="370" t="str">
        <f t="shared" si="1"/>
        <v>2H27E</v>
      </c>
      <c r="AS5" s="370" t="str">
        <f t="shared" si="1"/>
        <v>FY27E</v>
      </c>
      <c r="AT5" s="370" t="str">
        <f t="shared" si="1"/>
        <v>1H28E</v>
      </c>
      <c r="AU5" s="370" t="str">
        <f t="shared" si="1"/>
        <v>2H28E</v>
      </c>
      <c r="AV5" s="370" t="str">
        <f t="shared" si="1"/>
        <v>FY28E</v>
      </c>
      <c r="AW5" s="370" t="str">
        <f t="shared" si="1"/>
        <v>1H29E</v>
      </c>
      <c r="AX5" s="370" t="str">
        <f t="shared" si="1"/>
        <v>2H29E</v>
      </c>
      <c r="AY5" s="370" t="str">
        <f t="shared" si="1"/>
        <v>FY29E</v>
      </c>
      <c r="AZ5" s="370" t="str">
        <f t="shared" si="1"/>
        <v>1H30E</v>
      </c>
      <c r="BA5" s="370" t="str">
        <f t="shared" si="1"/>
        <v>2H30E</v>
      </c>
      <c r="BB5" s="370" t="str">
        <f t="shared" si="1"/>
        <v>FY30E</v>
      </c>
    </row>
    <row r="6" spans="1:54" s="13" customFormat="1">
      <c r="A6" s="13" t="s">
        <v>82</v>
      </c>
      <c r="B6" s="55" t="s">
        <v>512</v>
      </c>
      <c r="D6" s="94">
        <v>92540</v>
      </c>
      <c r="E6" s="94">
        <v>92371</v>
      </c>
      <c r="F6" s="94">
        <f>+E6+D6</f>
        <v>184911</v>
      </c>
      <c r="G6" s="94">
        <v>111428</v>
      </c>
      <c r="H6" s="94">
        <v>107861</v>
      </c>
      <c r="I6" s="94">
        <f>+H6+G6</f>
        <v>219289</v>
      </c>
      <c r="J6" s="94">
        <v>119634</v>
      </c>
      <c r="K6" s="94">
        <v>114806</v>
      </c>
      <c r="L6" s="94">
        <f>+K6+J6</f>
        <v>234440</v>
      </c>
      <c r="M6" s="94">
        <v>119307</v>
      </c>
      <c r="N6" s="94">
        <v>102087</v>
      </c>
      <c r="O6" s="94">
        <f>+N6+M6</f>
        <v>221394</v>
      </c>
      <c r="P6" s="94">
        <v>114463</v>
      </c>
      <c r="Q6" s="94">
        <v>114801</v>
      </c>
      <c r="R6" s="94">
        <f>+Q6+P6</f>
        <v>229264</v>
      </c>
      <c r="S6" s="94">
        <v>109087</v>
      </c>
      <c r="T6" s="94">
        <v>87954</v>
      </c>
      <c r="U6" s="94">
        <f>+T6+S6</f>
        <v>197041</v>
      </c>
      <c r="V6" s="94">
        <v>87402</v>
      </c>
      <c r="W6" s="94">
        <v>85940</v>
      </c>
      <c r="X6" s="94">
        <f>+W6+V6</f>
        <v>173342</v>
      </c>
      <c r="Y6" s="94">
        <v>97544</v>
      </c>
      <c r="Z6" s="94">
        <v>115835</v>
      </c>
      <c r="AA6" s="94">
        <f>+Z6+Y6</f>
        <v>213379</v>
      </c>
      <c r="AB6" s="94">
        <v>113137</v>
      </c>
      <c r="AC6" s="94">
        <v>92991</v>
      </c>
      <c r="AD6" s="94">
        <f>+AC6+AB6</f>
        <v>206128</v>
      </c>
      <c r="AE6" s="94">
        <v>89131</v>
      </c>
      <c r="AF6" s="94">
        <v>84835</v>
      </c>
      <c r="AG6" s="94">
        <f>+AF6+AE6</f>
        <v>173966</v>
      </c>
      <c r="AH6" s="94">
        <v>79786</v>
      </c>
      <c r="AI6" s="94">
        <v>79891</v>
      </c>
      <c r="AJ6" s="95">
        <f>+AI6+AH6</f>
        <v>159677</v>
      </c>
      <c r="AK6" s="94">
        <v>83438.36</v>
      </c>
      <c r="AL6" s="94">
        <v>79424.910000000018</v>
      </c>
      <c r="AM6" s="94">
        <f>+AL6+AK6</f>
        <v>162863.27000000002</v>
      </c>
      <c r="AN6" s="94">
        <v>85296.819200000013</v>
      </c>
      <c r="AO6" s="94">
        <v>85023.897200000021</v>
      </c>
      <c r="AP6" s="94">
        <f>+AO6+AN6</f>
        <v>170320.71640000003</v>
      </c>
      <c r="AQ6" s="94">
        <v>91470.613120000024</v>
      </c>
      <c r="AR6" s="94">
        <v>93526.286920000013</v>
      </c>
      <c r="AS6" s="94">
        <f>+AR6+AQ6</f>
        <v>184996.90004000004</v>
      </c>
      <c r="AT6" s="94">
        <v>94866.199776000009</v>
      </c>
      <c r="AU6" s="94">
        <v>93526.286920000028</v>
      </c>
      <c r="AV6" s="94">
        <f>+AU6+AT6</f>
        <v>188392.48669600004</v>
      </c>
      <c r="AW6" s="94">
        <v>94866.199776000009</v>
      </c>
      <c r="AX6" s="94">
        <v>93526.286920000028</v>
      </c>
      <c r="AY6" s="94">
        <f>+AX6+AW6</f>
        <v>188392.48669600004</v>
      </c>
      <c r="AZ6" s="94">
        <v>94866.199776000009</v>
      </c>
      <c r="BA6" s="94">
        <v>94461.549789200028</v>
      </c>
      <c r="BB6" s="94">
        <f>+BA6+AZ6</f>
        <v>189327.74956520004</v>
      </c>
    </row>
    <row r="7" spans="1:54">
      <c r="A7" s="31" t="s">
        <v>179</v>
      </c>
      <c r="B7" s="101" t="s">
        <v>76</v>
      </c>
      <c r="C7" s="31"/>
      <c r="D7" s="88"/>
      <c r="E7" s="88"/>
      <c r="F7" s="88"/>
      <c r="G7" s="88">
        <f t="shared" ref="G7:X7" si="2">+G6/D6-1</f>
        <v>0.20410633239680132</v>
      </c>
      <c r="H7" s="88">
        <f t="shared" si="2"/>
        <v>0.16769332366218825</v>
      </c>
      <c r="I7" s="88">
        <f t="shared" si="2"/>
        <v>0.1859164679224059</v>
      </c>
      <c r="J7" s="88">
        <f t="shared" si="2"/>
        <v>7.3643967404961153E-2</v>
      </c>
      <c r="K7" s="88">
        <f t="shared" si="2"/>
        <v>6.4388425844373876E-2</v>
      </c>
      <c r="L7" s="88">
        <f t="shared" si="2"/>
        <v>6.9091472896497308E-2</v>
      </c>
      <c r="M7" s="88">
        <f t="shared" si="2"/>
        <v>-2.733336676864484E-3</v>
      </c>
      <c r="N7" s="88">
        <f t="shared" si="2"/>
        <v>-0.11078689267111475</v>
      </c>
      <c r="O7" s="88">
        <f t="shared" si="2"/>
        <v>-5.5647500426548424E-2</v>
      </c>
      <c r="P7" s="88">
        <f t="shared" si="2"/>
        <v>-4.0601138240002665E-2</v>
      </c>
      <c r="Q7" s="88">
        <f t="shared" si="2"/>
        <v>0.12454083281906603</v>
      </c>
      <c r="R7" s="88">
        <f t="shared" si="2"/>
        <v>3.5547485478377938E-2</v>
      </c>
      <c r="S7" s="88">
        <f t="shared" si="2"/>
        <v>-4.6967142220630254E-2</v>
      </c>
      <c r="T7" s="88">
        <f t="shared" si="2"/>
        <v>-0.23385684793686468</v>
      </c>
      <c r="U7" s="88">
        <f t="shared" si="2"/>
        <v>-0.1405497592295345</v>
      </c>
      <c r="V7" s="88">
        <f t="shared" si="2"/>
        <v>-0.19878628984205271</v>
      </c>
      <c r="W7" s="88">
        <f t="shared" si="2"/>
        <v>-2.2898333219637523E-2</v>
      </c>
      <c r="X7" s="88">
        <f t="shared" si="2"/>
        <v>-0.12027446064524638</v>
      </c>
      <c r="Y7" s="88">
        <f>+Y6/V6-1</f>
        <v>0.11603853458730917</v>
      </c>
      <c r="Z7" s="88">
        <f>+Z6/W6-1</f>
        <v>0.34785897137537813</v>
      </c>
      <c r="AA7" s="88">
        <f>+AA6/X6-1</f>
        <v>0.23097114375050487</v>
      </c>
      <c r="AB7" s="88">
        <f>+AB6/Y6-1</f>
        <v>0.15985606495530225</v>
      </c>
      <c r="AC7" s="88">
        <f t="shared" ref="AC7:AI7" si="3">+AC6/Z6-1</f>
        <v>-0.19721155091293652</v>
      </c>
      <c r="AD7" s="88">
        <f t="shared" si="3"/>
        <v>-3.3981788273447666E-2</v>
      </c>
      <c r="AE7" s="88">
        <f t="shared" si="3"/>
        <v>-0.21218522676047624</v>
      </c>
      <c r="AF7" s="88">
        <f t="shared" si="3"/>
        <v>-8.7707412545300123E-2</v>
      </c>
      <c r="AG7" s="88">
        <f t="shared" si="3"/>
        <v>-0.15602926337033296</v>
      </c>
      <c r="AH7" s="88">
        <f t="shared" si="3"/>
        <v>-0.10484567658839239</v>
      </c>
      <c r="AI7" s="88">
        <f t="shared" si="3"/>
        <v>-5.8277833441386262E-2</v>
      </c>
      <c r="AJ7" s="218">
        <f t="shared" ref="AJ7:BB7" si="4">+AJ6/AG6-1</f>
        <v>-8.2136739362864031E-2</v>
      </c>
      <c r="AK7" s="88">
        <f t="shared" si="4"/>
        <v>4.5776953350211924E-2</v>
      </c>
      <c r="AL7" s="88">
        <f t="shared" si="4"/>
        <v>-5.8340739257235485E-3</v>
      </c>
      <c r="AM7" s="88">
        <f t="shared" si="4"/>
        <v>1.9954470587498552E-2</v>
      </c>
      <c r="AN7" s="88">
        <f t="shared" si="4"/>
        <v>2.2273438739687679E-2</v>
      </c>
      <c r="AO7" s="88">
        <f t="shared" si="4"/>
        <v>7.0494095618112818E-2</v>
      </c>
      <c r="AP7" s="88">
        <f t="shared" si="4"/>
        <v>4.5789614810018309E-2</v>
      </c>
      <c r="AQ7" s="88">
        <f t="shared" si="4"/>
        <v>7.2380118952900085E-2</v>
      </c>
      <c r="AR7" s="88">
        <f t="shared" si="4"/>
        <v>9.9999999999999867E-2</v>
      </c>
      <c r="AS7" s="88">
        <f t="shared" si="4"/>
        <v>8.6167930420940841E-2</v>
      </c>
      <c r="AT7" s="88">
        <f t="shared" si="4"/>
        <v>3.7122159130444699E-2</v>
      </c>
      <c r="AU7" s="88">
        <f t="shared" si="4"/>
        <v>0</v>
      </c>
      <c r="AV7" s="88">
        <f t="shared" si="4"/>
        <v>1.8354830028318281E-2</v>
      </c>
      <c r="AW7" s="88">
        <f t="shared" si="4"/>
        <v>0</v>
      </c>
      <c r="AX7" s="88">
        <f t="shared" si="4"/>
        <v>0</v>
      </c>
      <c r="AY7" s="88">
        <f t="shared" si="4"/>
        <v>0</v>
      </c>
      <c r="AZ7" s="88">
        <f t="shared" si="4"/>
        <v>0</v>
      </c>
      <c r="BA7" s="88">
        <f t="shared" si="4"/>
        <v>1.0000000000000009E-2</v>
      </c>
      <c r="BB7" s="88">
        <f t="shared" si="4"/>
        <v>4.964438261856996E-3</v>
      </c>
    </row>
    <row r="8" spans="1:54" s="13" customFormat="1">
      <c r="A8" s="89" t="s">
        <v>510</v>
      </c>
      <c r="B8" s="52" t="s">
        <v>512</v>
      </c>
      <c r="C8" s="6"/>
      <c r="D8" s="92">
        <v>86760</v>
      </c>
      <c r="E8" s="92">
        <v>93235</v>
      </c>
      <c r="F8" s="92">
        <f>+E8+D8</f>
        <v>179995</v>
      </c>
      <c r="G8" s="92">
        <v>104703</v>
      </c>
      <c r="H8" s="92">
        <v>105540</v>
      </c>
      <c r="I8" s="92">
        <f>+H8+G8</f>
        <v>210243</v>
      </c>
      <c r="J8" s="92">
        <v>116804</v>
      </c>
      <c r="K8" s="92">
        <v>117454</v>
      </c>
      <c r="L8" s="92">
        <f>+K8+J8</f>
        <v>234258</v>
      </c>
      <c r="M8" s="92">
        <v>116521</v>
      </c>
      <c r="N8" s="92">
        <v>108001</v>
      </c>
      <c r="O8" s="92">
        <f>+N8+M8</f>
        <v>224522</v>
      </c>
      <c r="P8" s="92">
        <v>112072</v>
      </c>
      <c r="Q8" s="92">
        <v>113856</v>
      </c>
      <c r="R8" s="92">
        <f>+Q8+P8</f>
        <v>225928</v>
      </c>
      <c r="S8" s="92">
        <v>116164</v>
      </c>
      <c r="T8" s="92">
        <v>92094</v>
      </c>
      <c r="U8" s="92">
        <f>+T8+S8</f>
        <v>208258</v>
      </c>
      <c r="V8" s="92">
        <v>89316</v>
      </c>
      <c r="W8" s="92">
        <v>86944</v>
      </c>
      <c r="X8" s="92">
        <f>+W8+V8</f>
        <v>176260</v>
      </c>
      <c r="Y8" s="92">
        <v>87388</v>
      </c>
      <c r="Z8" s="92">
        <v>101911</v>
      </c>
      <c r="AA8" s="92">
        <f>+Z8+Y8</f>
        <v>189299</v>
      </c>
      <c r="AB8" s="92">
        <v>127107</v>
      </c>
      <c r="AC8" s="92">
        <v>97973</v>
      </c>
      <c r="AD8" s="92">
        <f>+AC8+AB8</f>
        <v>225080</v>
      </c>
      <c r="AE8" s="92">
        <v>94764</v>
      </c>
      <c r="AF8" s="92">
        <v>84870</v>
      </c>
      <c r="AG8" s="92">
        <f>+AF8+AE8</f>
        <v>179634</v>
      </c>
      <c r="AH8" s="92">
        <v>81664</v>
      </c>
      <c r="AI8" s="92">
        <v>78434</v>
      </c>
      <c r="AJ8" s="93">
        <f>+AI8+AH8</f>
        <v>160098</v>
      </c>
      <c r="AK8" s="92">
        <v>86693</v>
      </c>
      <c r="AL8" s="92">
        <v>76071.640000000014</v>
      </c>
      <c r="AM8" s="92">
        <f>+AL8+AK8</f>
        <v>162764.64000000001</v>
      </c>
      <c r="AN8" s="92">
        <v>87538.470000000016</v>
      </c>
      <c r="AO8" s="92">
        <v>79448.275999999998</v>
      </c>
      <c r="AP8" s="92">
        <f>+AO8+AN8</f>
        <v>166986.74600000001</v>
      </c>
      <c r="AQ8" s="92">
        <v>94156.024400000024</v>
      </c>
      <c r="AR8" s="92">
        <v>86340.015600000013</v>
      </c>
      <c r="AS8" s="92">
        <f>+AR8+AQ8</f>
        <v>180496.04000000004</v>
      </c>
      <c r="AT8" s="92">
        <v>100462.85564000001</v>
      </c>
      <c r="AU8" s="92">
        <v>87929.631056000027</v>
      </c>
      <c r="AV8" s="92">
        <f>+AU8+AT8</f>
        <v>188392.48669600004</v>
      </c>
      <c r="AW8" s="92">
        <v>100462.85564000001</v>
      </c>
      <c r="AX8" s="92">
        <v>87929.631056000027</v>
      </c>
      <c r="AY8" s="92">
        <f>+AX8+AW8</f>
        <v>188392.48669600004</v>
      </c>
      <c r="AZ8" s="92">
        <v>100462.85564000001</v>
      </c>
      <c r="BA8" s="92">
        <v>88369.799320800012</v>
      </c>
      <c r="BB8" s="92">
        <f>+BA8+AZ8</f>
        <v>188832.65496080002</v>
      </c>
    </row>
    <row r="9" spans="1:54">
      <c r="A9" s="329" t="s">
        <v>179</v>
      </c>
      <c r="B9" s="101" t="s">
        <v>76</v>
      </c>
      <c r="C9" s="31"/>
      <c r="D9" s="88"/>
      <c r="E9" s="88"/>
      <c r="F9" s="88"/>
      <c r="G9" s="88">
        <f t="shared" ref="G9:X9" si="5">G8/D8-1</f>
        <v>0.20681189488243423</v>
      </c>
      <c r="H9" s="88">
        <f t="shared" si="5"/>
        <v>0.13197833431651196</v>
      </c>
      <c r="I9" s="88">
        <f t="shared" si="5"/>
        <v>0.16804911247534648</v>
      </c>
      <c r="J9" s="88">
        <f t="shared" si="5"/>
        <v>0.11557452986065342</v>
      </c>
      <c r="K9" s="88">
        <f t="shared" si="5"/>
        <v>0.11288610953193112</v>
      </c>
      <c r="L9" s="88">
        <f t="shared" si="5"/>
        <v>0.11422496825102391</v>
      </c>
      <c r="M9" s="88">
        <f t="shared" si="5"/>
        <v>-2.4228622307455039E-3</v>
      </c>
      <c r="N9" s="88">
        <f t="shared" si="5"/>
        <v>-8.0482571900488686E-2</v>
      </c>
      <c r="O9" s="88">
        <f t="shared" si="5"/>
        <v>-4.1561013924817924E-2</v>
      </c>
      <c r="P9" s="88">
        <f t="shared" si="5"/>
        <v>-3.8181958616901657E-2</v>
      </c>
      <c r="Q9" s="88">
        <f t="shared" si="5"/>
        <v>5.4212460995731515E-2</v>
      </c>
      <c r="R9" s="88">
        <f t="shared" si="5"/>
        <v>6.2621925691024316E-3</v>
      </c>
      <c r="S9" s="88">
        <f t="shared" si="5"/>
        <v>3.6512242130059214E-2</v>
      </c>
      <c r="T9" s="88">
        <f t="shared" si="5"/>
        <v>-0.19113617200674538</v>
      </c>
      <c r="U9" s="88">
        <f t="shared" si="5"/>
        <v>-7.8210757409440168E-2</v>
      </c>
      <c r="V9" s="88">
        <f t="shared" si="5"/>
        <v>-0.23112151785406843</v>
      </c>
      <c r="W9" s="88">
        <f t="shared" si="5"/>
        <v>-5.5921124068886163E-2</v>
      </c>
      <c r="X9" s="88">
        <f t="shared" si="5"/>
        <v>-0.15364595837854966</v>
      </c>
      <c r="Y9" s="88">
        <f>Y8/V8-1</f>
        <v>-2.1586277934524611E-2</v>
      </c>
      <c r="Z9" s="88">
        <f>Z8/W8-1</f>
        <v>0.17214528892160463</v>
      </c>
      <c r="AA9" s="88">
        <f>AA8/X8-1</f>
        <v>7.3975944627255208E-2</v>
      </c>
      <c r="AB9" s="88">
        <f t="shared" ref="AB9:AM9" si="6">AB8/Y8-1</f>
        <v>0.45451320547443586</v>
      </c>
      <c r="AC9" s="88">
        <f t="shared" si="6"/>
        <v>-3.864155979236783E-2</v>
      </c>
      <c r="AD9" s="88">
        <f t="shared" si="6"/>
        <v>0.18901843115917139</v>
      </c>
      <c r="AE9" s="88">
        <f t="shared" si="6"/>
        <v>-0.25445490806957916</v>
      </c>
      <c r="AF9" s="88">
        <f t="shared" si="6"/>
        <v>-0.13374092862319209</v>
      </c>
      <c r="AG9" s="88">
        <f t="shared" si="6"/>
        <v>-0.20191043184645463</v>
      </c>
      <c r="AH9" s="88">
        <f t="shared" si="6"/>
        <v>-0.13823814950825208</v>
      </c>
      <c r="AI9" s="88">
        <f t="shared" si="6"/>
        <v>-7.5833627901496392E-2</v>
      </c>
      <c r="AJ9" s="218">
        <f t="shared" si="6"/>
        <v>-0.10875446741708139</v>
      </c>
      <c r="AK9" s="88">
        <f t="shared" si="6"/>
        <v>6.1581602664576796E-2</v>
      </c>
      <c r="AL9" s="88">
        <f t="shared" si="6"/>
        <v>-3.0119081010785975E-2</v>
      </c>
      <c r="AM9" s="88">
        <f t="shared" si="6"/>
        <v>1.6656298017464488E-2</v>
      </c>
      <c r="AN9" s="88">
        <f t="shared" ref="AN9:BB9" si="7">AN8/AK8-1</f>
        <v>9.7524598295135601E-3</v>
      </c>
      <c r="AO9" s="88">
        <f t="shared" si="7"/>
        <v>4.4387579918087505E-2</v>
      </c>
      <c r="AP9" s="88">
        <f t="shared" si="7"/>
        <v>2.5939946170126404E-2</v>
      </c>
      <c r="AQ9" s="88">
        <f t="shared" si="7"/>
        <v>7.5595956840461165E-2</v>
      </c>
      <c r="AR9" s="88">
        <f t="shared" si="7"/>
        <v>8.6744986134123403E-2</v>
      </c>
      <c r="AS9" s="88">
        <f t="shared" si="7"/>
        <v>8.0900396729690183E-2</v>
      </c>
      <c r="AT9" s="88">
        <f t="shared" si="7"/>
        <v>6.6982769081316285E-2</v>
      </c>
      <c r="AU9" s="88">
        <f t="shared" si="7"/>
        <v>1.8411109205312748E-2</v>
      </c>
      <c r="AV9" s="88">
        <f t="shared" si="7"/>
        <v>4.3748586927447208E-2</v>
      </c>
      <c r="AW9" s="88">
        <f t="shared" si="7"/>
        <v>0</v>
      </c>
      <c r="AX9" s="88">
        <f t="shared" si="7"/>
        <v>0</v>
      </c>
      <c r="AY9" s="88">
        <f t="shared" si="7"/>
        <v>0</v>
      </c>
      <c r="AZ9" s="88">
        <f t="shared" si="7"/>
        <v>0</v>
      </c>
      <c r="BA9" s="88">
        <f t="shared" si="7"/>
        <v>5.005915065419142E-3</v>
      </c>
      <c r="BB9" s="88">
        <f t="shared" si="7"/>
        <v>2.3364427770957708E-3</v>
      </c>
    </row>
    <row r="11" spans="1:54" s="13" customFormat="1">
      <c r="A11" s="13" t="s">
        <v>505</v>
      </c>
      <c r="B11" s="55" t="s">
        <v>512</v>
      </c>
      <c r="D11" s="94">
        <v>53677</v>
      </c>
      <c r="E11" s="94">
        <v>53941</v>
      </c>
      <c r="F11" s="94">
        <f>+E11+D11</f>
        <v>107618</v>
      </c>
      <c r="G11" s="94">
        <v>62155</v>
      </c>
      <c r="H11" s="94">
        <v>54969</v>
      </c>
      <c r="I11" s="94">
        <f>+H11+G11</f>
        <v>117124</v>
      </c>
      <c r="J11" s="94">
        <v>60795</v>
      </c>
      <c r="K11" s="94">
        <v>55586</v>
      </c>
      <c r="L11" s="94">
        <f>+K11+J11</f>
        <v>116381</v>
      </c>
      <c r="M11" s="94">
        <v>62196</v>
      </c>
      <c r="N11" s="94">
        <v>53361</v>
      </c>
      <c r="O11" s="94">
        <f>+N11+M11</f>
        <v>115557</v>
      </c>
      <c r="P11" s="94">
        <v>62396</v>
      </c>
      <c r="Q11" s="94">
        <v>59225</v>
      </c>
      <c r="R11" s="94">
        <f>+Q11+P11</f>
        <v>121621</v>
      </c>
      <c r="S11" s="94">
        <v>60251</v>
      </c>
      <c r="T11" s="94">
        <v>51932</v>
      </c>
      <c r="U11" s="94">
        <f>+T11+S11</f>
        <v>112183</v>
      </c>
      <c r="V11" s="94">
        <v>52595</v>
      </c>
      <c r="W11" s="94">
        <v>49649</v>
      </c>
      <c r="X11" s="94">
        <f>+W11+V11</f>
        <v>102244</v>
      </c>
      <c r="Y11" s="94">
        <v>64095</v>
      </c>
      <c r="Z11" s="94">
        <v>76411</v>
      </c>
      <c r="AA11" s="94">
        <f>+Z11+Y11</f>
        <v>140506</v>
      </c>
      <c r="AB11" s="94">
        <v>72179</v>
      </c>
      <c r="AC11" s="94">
        <v>59328</v>
      </c>
      <c r="AD11" s="94">
        <f>+AC11+AB11</f>
        <v>131507</v>
      </c>
      <c r="AE11" s="94">
        <v>59604</v>
      </c>
      <c r="AF11" s="94">
        <v>50660</v>
      </c>
      <c r="AG11" s="94">
        <f>+AF11+AE11</f>
        <v>110264</v>
      </c>
      <c r="AH11" s="94">
        <v>49095</v>
      </c>
      <c r="AI11" s="94">
        <v>50561</v>
      </c>
      <c r="AJ11" s="95">
        <f>+AI11+AH11</f>
        <v>99656</v>
      </c>
      <c r="AK11" s="94">
        <v>53200.800000000003</v>
      </c>
      <c r="AL11" s="94">
        <v>50533.630000000005</v>
      </c>
      <c r="AM11" s="94">
        <f>+AL11+AK11</f>
        <v>103734.43000000001</v>
      </c>
      <c r="AN11" s="94">
        <v>54743.492000000006</v>
      </c>
      <c r="AO11" s="94">
        <v>54109.001800000005</v>
      </c>
      <c r="AP11" s="94">
        <f>+AO11+AN11</f>
        <v>108852.49380000001</v>
      </c>
      <c r="AQ11" s="94">
        <v>60217.84120000001</v>
      </c>
      <c r="AR11" s="94">
        <v>59519.90198000001</v>
      </c>
      <c r="AS11" s="94">
        <f>+AR11+AQ11</f>
        <v>119737.74318000002</v>
      </c>
      <c r="AT11" s="94">
        <v>63228.733260000008</v>
      </c>
      <c r="AU11" s="94">
        <v>59519.901980000024</v>
      </c>
      <c r="AV11" s="94">
        <f>+AU11+AT11</f>
        <v>122748.63524000003</v>
      </c>
      <c r="AW11" s="94">
        <v>63228.733260000008</v>
      </c>
      <c r="AX11" s="94">
        <v>59519.901980000024</v>
      </c>
      <c r="AY11" s="94">
        <f>+AX11+AW11</f>
        <v>122748.63524000003</v>
      </c>
      <c r="AZ11" s="94">
        <v>63228.733260000008</v>
      </c>
      <c r="BA11" s="94">
        <v>60115.100999799994</v>
      </c>
      <c r="BB11" s="94">
        <f>+BA11+AZ11</f>
        <v>123343.8342598</v>
      </c>
    </row>
    <row r="12" spans="1:54">
      <c r="A12" s="31" t="s">
        <v>179</v>
      </c>
      <c r="B12" s="101" t="s">
        <v>76</v>
      </c>
      <c r="C12" s="31"/>
      <c r="D12" s="88"/>
      <c r="E12" s="88"/>
      <c r="F12" s="88"/>
      <c r="G12" s="88">
        <f t="shared" ref="G12:AM12" si="8">+G11/D11-1</f>
        <v>0.15794474355869359</v>
      </c>
      <c r="H12" s="88">
        <f t="shared" si="8"/>
        <v>1.9057859513171849E-2</v>
      </c>
      <c r="I12" s="88">
        <f t="shared" si="8"/>
        <v>8.8330948354364613E-2</v>
      </c>
      <c r="J12" s="88">
        <f t="shared" si="8"/>
        <v>-2.1880781916177261E-2</v>
      </c>
      <c r="K12" s="88">
        <f t="shared" si="8"/>
        <v>1.1224508359257035E-2</v>
      </c>
      <c r="L12" s="88">
        <f t="shared" si="8"/>
        <v>-6.343704108466186E-3</v>
      </c>
      <c r="M12" s="88">
        <f t="shared" si="8"/>
        <v>2.3044658277818986E-2</v>
      </c>
      <c r="N12" s="88">
        <f t="shared" si="8"/>
        <v>-4.0028064620587944E-2</v>
      </c>
      <c r="O12" s="88">
        <f t="shared" si="8"/>
        <v>-7.0801935023757645E-3</v>
      </c>
      <c r="P12" s="88">
        <f t="shared" si="8"/>
        <v>3.2156408772268108E-3</v>
      </c>
      <c r="Q12" s="88">
        <f t="shared" si="8"/>
        <v>0.10989299300987621</v>
      </c>
      <c r="R12" s="88">
        <f t="shared" si="8"/>
        <v>5.2476267123584108E-2</v>
      </c>
      <c r="S12" s="88">
        <f t="shared" si="8"/>
        <v>-3.4377203666901779E-2</v>
      </c>
      <c r="T12" s="88">
        <f t="shared" si="8"/>
        <v>-0.12314056563951037</v>
      </c>
      <c r="U12" s="88">
        <f t="shared" si="8"/>
        <v>-7.7601729964397625E-2</v>
      </c>
      <c r="V12" s="88">
        <f t="shared" si="8"/>
        <v>-0.12706843039949545</v>
      </c>
      <c r="W12" s="88">
        <f t="shared" si="8"/>
        <v>-4.3961334052222134E-2</v>
      </c>
      <c r="X12" s="88">
        <f t="shared" si="8"/>
        <v>-8.8596311384077753E-2</v>
      </c>
      <c r="Y12" s="88">
        <f t="shared" si="8"/>
        <v>0.21865196311436441</v>
      </c>
      <c r="Z12" s="88">
        <f t="shared" si="8"/>
        <v>0.53902394811577281</v>
      </c>
      <c r="AA12" s="88">
        <f t="shared" si="8"/>
        <v>0.37422244826102258</v>
      </c>
      <c r="AB12" s="88">
        <f t="shared" si="8"/>
        <v>0.12612528278336854</v>
      </c>
      <c r="AC12" s="88">
        <f t="shared" si="8"/>
        <v>-0.2235672874324377</v>
      </c>
      <c r="AD12" s="88">
        <f t="shared" si="8"/>
        <v>-6.4047086957140675E-2</v>
      </c>
      <c r="AE12" s="88">
        <f t="shared" si="8"/>
        <v>-0.1742196483741808</v>
      </c>
      <c r="AF12" s="88">
        <f t="shared" si="8"/>
        <v>-0.14610302049622437</v>
      </c>
      <c r="AG12" s="88">
        <f t="shared" si="8"/>
        <v>-0.16153512740766651</v>
      </c>
      <c r="AH12" s="88">
        <f t="shared" si="8"/>
        <v>-0.17631367022347488</v>
      </c>
      <c r="AI12" s="88">
        <f t="shared" si="8"/>
        <v>-1.9542045005921382E-3</v>
      </c>
      <c r="AJ12" s="218">
        <f t="shared" si="8"/>
        <v>-9.6205470507146451E-2</v>
      </c>
      <c r="AK12" s="88">
        <f t="shared" si="8"/>
        <v>8.3629697525206215E-2</v>
      </c>
      <c r="AL12" s="88">
        <f t="shared" si="8"/>
        <v>-5.4132631870407177E-4</v>
      </c>
      <c r="AM12" s="88">
        <f t="shared" si="8"/>
        <v>4.0925082283053804E-2</v>
      </c>
      <c r="AN12" s="88">
        <f t="shared" ref="AN12:BB12" si="9">+AN11/AK11-1</f>
        <v>2.8997533871671255E-2</v>
      </c>
      <c r="AO12" s="88">
        <f t="shared" si="9"/>
        <v>7.0752324738990735E-2</v>
      </c>
      <c r="AP12" s="88">
        <f t="shared" si="9"/>
        <v>4.9338139709255602E-2</v>
      </c>
      <c r="AQ12" s="88">
        <f t="shared" si="9"/>
        <v>0.10000000000000009</v>
      </c>
      <c r="AR12" s="88">
        <f t="shared" si="9"/>
        <v>0.10000000000000009</v>
      </c>
      <c r="AS12" s="88">
        <f t="shared" si="9"/>
        <v>0.10000000000000009</v>
      </c>
      <c r="AT12" s="88">
        <f t="shared" si="9"/>
        <v>5.0000000000000044E-2</v>
      </c>
      <c r="AU12" s="88">
        <f t="shared" si="9"/>
        <v>0</v>
      </c>
      <c r="AV12" s="88">
        <f t="shared" si="9"/>
        <v>2.5145722476778154E-2</v>
      </c>
      <c r="AW12" s="88">
        <f t="shared" si="9"/>
        <v>0</v>
      </c>
      <c r="AX12" s="88">
        <f t="shared" si="9"/>
        <v>0</v>
      </c>
      <c r="AY12" s="88">
        <f t="shared" si="9"/>
        <v>0</v>
      </c>
      <c r="AZ12" s="88">
        <f t="shared" si="9"/>
        <v>0</v>
      </c>
      <c r="BA12" s="88">
        <f t="shared" si="9"/>
        <v>9.9999999999995648E-3</v>
      </c>
      <c r="BB12" s="88">
        <f t="shared" si="9"/>
        <v>4.8489257630948135E-3</v>
      </c>
    </row>
    <row r="13" spans="1:54">
      <c r="A13" s="89" t="s">
        <v>508</v>
      </c>
      <c r="B13" s="52" t="s">
        <v>512</v>
      </c>
      <c r="D13" s="92">
        <v>51304</v>
      </c>
      <c r="E13" s="92">
        <v>52167</v>
      </c>
      <c r="F13" s="92">
        <f>+E13+D13</f>
        <v>103471</v>
      </c>
      <c r="G13" s="92">
        <v>59617</v>
      </c>
      <c r="H13" s="92">
        <v>57673</v>
      </c>
      <c r="I13" s="92">
        <f>+H13+G13</f>
        <v>117290</v>
      </c>
      <c r="J13" s="92">
        <v>59862</v>
      </c>
      <c r="K13" s="92">
        <v>54784</v>
      </c>
      <c r="L13" s="92">
        <f>+K13+J13</f>
        <v>114646</v>
      </c>
      <c r="M13" s="92">
        <v>62311</v>
      </c>
      <c r="N13" s="92">
        <v>54087</v>
      </c>
      <c r="O13" s="92">
        <f>+N13+M13</f>
        <v>116398</v>
      </c>
      <c r="P13" s="92">
        <v>60597</v>
      </c>
      <c r="Q13" s="92">
        <v>59287</v>
      </c>
      <c r="R13" s="92">
        <f>+Q13+P13</f>
        <v>119884</v>
      </c>
      <c r="S13" s="92">
        <v>62751</v>
      </c>
      <c r="T13" s="92">
        <v>54232</v>
      </c>
      <c r="U13" s="92">
        <f>+T13+S13</f>
        <v>116983</v>
      </c>
      <c r="V13" s="92">
        <v>53090</v>
      </c>
      <c r="W13" s="92">
        <v>49367</v>
      </c>
      <c r="X13" s="92">
        <f>+W13+V13</f>
        <v>102457</v>
      </c>
      <c r="Y13" s="92">
        <v>54971</v>
      </c>
      <c r="Z13" s="92">
        <v>68539</v>
      </c>
      <c r="AA13" s="92">
        <f>+Z13+Y13</f>
        <v>123510</v>
      </c>
      <c r="AB13" s="92">
        <v>80628</v>
      </c>
      <c r="AC13" s="92">
        <v>62939</v>
      </c>
      <c r="AD13" s="92">
        <f>+AC13+AB13</f>
        <v>143567</v>
      </c>
      <c r="AE13" s="92">
        <v>61664</v>
      </c>
      <c r="AF13" s="92">
        <v>53834</v>
      </c>
      <c r="AG13" s="92">
        <f>+AF13+AE13</f>
        <v>115498</v>
      </c>
      <c r="AH13" s="92">
        <v>49867</v>
      </c>
      <c r="AI13" s="92">
        <v>48453</v>
      </c>
      <c r="AJ13" s="93">
        <f>+AI13+AH13</f>
        <v>98320</v>
      </c>
      <c r="AK13" s="92">
        <v>56187</v>
      </c>
      <c r="AL13" s="92">
        <v>47350.73000000001</v>
      </c>
      <c r="AM13" s="92">
        <f>+AL13+AK13</f>
        <v>103537.73000000001</v>
      </c>
      <c r="AN13" s="92">
        <v>56967.000000000007</v>
      </c>
      <c r="AO13" s="92">
        <v>49712.077800000006</v>
      </c>
      <c r="AP13" s="92">
        <f>+AO13+AN13</f>
        <v>106679.07780000001</v>
      </c>
      <c r="AQ13" s="92">
        <v>62120.346000000005</v>
      </c>
      <c r="AR13" s="92">
        <v>54683.285580000011</v>
      </c>
      <c r="AS13" s="92">
        <f>+AR13+AQ13</f>
        <v>116803.63158000002</v>
      </c>
      <c r="AT13" s="92">
        <v>66693.419099999999</v>
      </c>
      <c r="AU13" s="92">
        <v>56055.216140000004</v>
      </c>
      <c r="AV13" s="92">
        <f>+AU13+AT13</f>
        <v>122748.63524</v>
      </c>
      <c r="AW13" s="92">
        <v>66693.419099999999</v>
      </c>
      <c r="AX13" s="92">
        <v>56055.216140000004</v>
      </c>
      <c r="AY13" s="92">
        <f>+AX13+AW13</f>
        <v>122748.63524</v>
      </c>
      <c r="AZ13" s="92">
        <v>66693.419099999999</v>
      </c>
      <c r="BA13" s="92">
        <v>56327.662883800018</v>
      </c>
      <c r="BB13" s="92">
        <f>+BA13+AZ13</f>
        <v>123021.08198380002</v>
      </c>
    </row>
    <row r="14" spans="1:54">
      <c r="A14" s="329" t="s">
        <v>179</v>
      </c>
      <c r="B14" s="101" t="s">
        <v>76</v>
      </c>
      <c r="C14" s="31"/>
      <c r="D14" s="88"/>
      <c r="E14" s="88"/>
      <c r="F14" s="88"/>
      <c r="G14" s="88">
        <f t="shared" ref="G14:AM14" si="10">G13/D13-1</f>
        <v>0.16203414938406357</v>
      </c>
      <c r="H14" s="88">
        <f t="shared" si="10"/>
        <v>0.10554565146548578</v>
      </c>
      <c r="I14" s="88">
        <f t="shared" si="10"/>
        <v>0.13355432923234534</v>
      </c>
      <c r="J14" s="88">
        <f t="shared" si="10"/>
        <v>4.1095660633712061E-3</v>
      </c>
      <c r="K14" s="88">
        <f t="shared" si="10"/>
        <v>-5.0092764378478649E-2</v>
      </c>
      <c r="L14" s="88">
        <f t="shared" si="10"/>
        <v>-2.2542416233267915E-2</v>
      </c>
      <c r="M14" s="88">
        <f t="shared" si="10"/>
        <v>4.0910761417927821E-2</v>
      </c>
      <c r="N14" s="88">
        <f t="shared" si="10"/>
        <v>-1.2722692757009324E-2</v>
      </c>
      <c r="O14" s="88">
        <f t="shared" si="10"/>
        <v>1.5281824049683479E-2</v>
      </c>
      <c r="P14" s="88">
        <f t="shared" si="10"/>
        <v>-2.7507181717513762E-2</v>
      </c>
      <c r="Q14" s="88">
        <f t="shared" si="10"/>
        <v>9.6141401815593497E-2</v>
      </c>
      <c r="R14" s="88">
        <f t="shared" si="10"/>
        <v>2.9948968195329773E-2</v>
      </c>
      <c r="S14" s="88">
        <f t="shared" si="10"/>
        <v>3.5546314173968918E-2</v>
      </c>
      <c r="T14" s="88">
        <f t="shared" si="10"/>
        <v>-8.5263211159276042E-2</v>
      </c>
      <c r="U14" s="88">
        <f t="shared" si="10"/>
        <v>-2.4198391778719408E-2</v>
      </c>
      <c r="V14" s="88">
        <f t="shared" si="10"/>
        <v>-0.15395770585329316</v>
      </c>
      <c r="W14" s="88">
        <f t="shared" si="10"/>
        <v>-8.9707183950435199E-2</v>
      </c>
      <c r="X14" s="88">
        <f t="shared" si="10"/>
        <v>-0.12417188822307512</v>
      </c>
      <c r="Y14" s="88">
        <f t="shared" si="10"/>
        <v>3.5430401205500006E-2</v>
      </c>
      <c r="Z14" s="88">
        <f t="shared" si="10"/>
        <v>0.38835659448619531</v>
      </c>
      <c r="AA14" s="88">
        <f t="shared" si="10"/>
        <v>0.20548132387245377</v>
      </c>
      <c r="AB14" s="88">
        <f t="shared" si="10"/>
        <v>0.46673700678539598</v>
      </c>
      <c r="AC14" s="88">
        <f t="shared" si="10"/>
        <v>-8.1705306467850458E-2</v>
      </c>
      <c r="AD14" s="88">
        <f t="shared" si="10"/>
        <v>0.16239170917334622</v>
      </c>
      <c r="AE14" s="88">
        <f t="shared" si="10"/>
        <v>-0.23520365133700449</v>
      </c>
      <c r="AF14" s="88">
        <f t="shared" si="10"/>
        <v>-0.14466388090055449</v>
      </c>
      <c r="AG14" s="88">
        <f t="shared" si="10"/>
        <v>-0.19551150333990397</v>
      </c>
      <c r="AH14" s="88">
        <f t="shared" si="10"/>
        <v>-0.19131097560975607</v>
      </c>
      <c r="AI14" s="88">
        <f t="shared" si="10"/>
        <v>-9.9955418508749116E-2</v>
      </c>
      <c r="AJ14" s="218">
        <f t="shared" si="10"/>
        <v>-0.14872984813589851</v>
      </c>
      <c r="AK14" s="88">
        <f t="shared" si="10"/>
        <v>0.1267371207411716</v>
      </c>
      <c r="AL14" s="88">
        <f t="shared" si="10"/>
        <v>-2.2749262171588791E-2</v>
      </c>
      <c r="AM14" s="88">
        <f t="shared" si="10"/>
        <v>5.306885679414175E-2</v>
      </c>
      <c r="AN14" s="88">
        <f t="shared" ref="AN14:BB14" si="11">AN13/AK13-1</f>
        <v>1.3882214747183541E-2</v>
      </c>
      <c r="AO14" s="88">
        <f t="shared" si="11"/>
        <v>4.9869300853439658E-2</v>
      </c>
      <c r="AP14" s="88">
        <f t="shared" si="11"/>
        <v>3.0340126251560795E-2</v>
      </c>
      <c r="AQ14" s="88">
        <f t="shared" si="11"/>
        <v>9.0461951656221951E-2</v>
      </c>
      <c r="AR14" s="88">
        <f t="shared" si="11"/>
        <v>0.10000000000000009</v>
      </c>
      <c r="AS14" s="88">
        <f t="shared" si="11"/>
        <v>9.4906648883685829E-2</v>
      </c>
      <c r="AT14" s="88">
        <f t="shared" si="11"/>
        <v>7.3616349464634245E-2</v>
      </c>
      <c r="AU14" s="88">
        <f t="shared" si="11"/>
        <v>2.5088663664748267E-2</v>
      </c>
      <c r="AV14" s="88">
        <f t="shared" si="11"/>
        <v>5.0897421420738942E-2</v>
      </c>
      <c r="AW14" s="88">
        <f t="shared" si="11"/>
        <v>0</v>
      </c>
      <c r="AX14" s="88">
        <f t="shared" si="11"/>
        <v>0</v>
      </c>
      <c r="AY14" s="88">
        <f t="shared" si="11"/>
        <v>0</v>
      </c>
      <c r="AZ14" s="88">
        <f t="shared" si="11"/>
        <v>0</v>
      </c>
      <c r="BA14" s="88">
        <f t="shared" si="11"/>
        <v>4.8603281293140288E-3</v>
      </c>
      <c r="BB14" s="88">
        <f t="shared" si="11"/>
        <v>2.2195500851582839E-3</v>
      </c>
    </row>
    <row r="16" spans="1:54" s="13" customFormat="1">
      <c r="A16" s="13" t="s">
        <v>517</v>
      </c>
      <c r="B16" s="55" t="s">
        <v>512</v>
      </c>
      <c r="D16" s="94">
        <v>38863</v>
      </c>
      <c r="E16" s="94">
        <v>38430</v>
      </c>
      <c r="F16" s="94">
        <f>+E16+D16</f>
        <v>77293</v>
      </c>
      <c r="G16" s="94">
        <v>49273</v>
      </c>
      <c r="H16" s="94">
        <v>52892</v>
      </c>
      <c r="I16" s="94">
        <f>+H16+G16</f>
        <v>102165</v>
      </c>
      <c r="J16" s="94">
        <v>58839</v>
      </c>
      <c r="K16" s="94">
        <v>59220</v>
      </c>
      <c r="L16" s="94">
        <f>+K16+J16</f>
        <v>118059</v>
      </c>
      <c r="M16" s="94">
        <v>57111</v>
      </c>
      <c r="N16" s="94">
        <v>48726</v>
      </c>
      <c r="O16" s="94">
        <f>+N16+M16</f>
        <v>105837</v>
      </c>
      <c r="P16" s="94">
        <v>52067</v>
      </c>
      <c r="Q16" s="94">
        <v>55576</v>
      </c>
      <c r="R16" s="94">
        <f>+Q16+P16</f>
        <v>107643</v>
      </c>
      <c r="S16" s="94">
        <v>48836</v>
      </c>
      <c r="T16" s="94">
        <v>36022</v>
      </c>
      <c r="U16" s="94">
        <f>+T16+S16</f>
        <v>84858</v>
      </c>
      <c r="V16" s="94">
        <v>34807</v>
      </c>
      <c r="W16" s="94">
        <v>36291</v>
      </c>
      <c r="X16" s="94">
        <f>+W16+V16</f>
        <v>71098</v>
      </c>
      <c r="Y16" s="94">
        <v>33449</v>
      </c>
      <c r="Z16" s="94">
        <v>39424</v>
      </c>
      <c r="AA16" s="94">
        <f>+Z16+Y16</f>
        <v>72873</v>
      </c>
      <c r="AB16" s="94">
        <v>40958</v>
      </c>
      <c r="AC16" s="94">
        <v>33663</v>
      </c>
      <c r="AD16" s="94">
        <f>+AC16+AB16</f>
        <v>74621</v>
      </c>
      <c r="AE16" s="94">
        <v>29527</v>
      </c>
      <c r="AF16" s="94">
        <v>34175</v>
      </c>
      <c r="AG16" s="94">
        <f>+AF16+AE16</f>
        <v>63702</v>
      </c>
      <c r="AH16" s="94">
        <v>30691</v>
      </c>
      <c r="AI16" s="94">
        <v>29330</v>
      </c>
      <c r="AJ16" s="95">
        <f>+AI16+AH16</f>
        <v>60021</v>
      </c>
      <c r="AK16" s="94">
        <v>30237.56</v>
      </c>
      <c r="AL16" s="94">
        <v>28891.280000000002</v>
      </c>
      <c r="AM16" s="94">
        <f>+AL16+AK16</f>
        <v>59128.840000000004</v>
      </c>
      <c r="AN16" s="94">
        <v>30553.327200000003</v>
      </c>
      <c r="AO16" s="94">
        <v>30914.895399999998</v>
      </c>
      <c r="AP16" s="94">
        <f>+AO16+AN16</f>
        <v>61468.222600000001</v>
      </c>
      <c r="AQ16" s="94">
        <v>31252.771920000003</v>
      </c>
      <c r="AR16" s="94">
        <v>34006.384940000004</v>
      </c>
      <c r="AS16" s="94">
        <f>+AR16+AQ16</f>
        <v>65259.156860000003</v>
      </c>
      <c r="AT16" s="94">
        <v>31637.466516000004</v>
      </c>
      <c r="AU16" s="94">
        <v>34006.384940000004</v>
      </c>
      <c r="AV16" s="94">
        <f>+AU16+AT16</f>
        <v>65643.851456000004</v>
      </c>
      <c r="AW16" s="94">
        <v>31637.466516000004</v>
      </c>
      <c r="AX16" s="94">
        <v>34006.384940000004</v>
      </c>
      <c r="AY16" s="94">
        <f>+AX16+AW16</f>
        <v>65643.851456000004</v>
      </c>
      <c r="AZ16" s="94">
        <v>31637.466516000004</v>
      </c>
      <c r="BA16" s="94">
        <v>34346.448789400005</v>
      </c>
      <c r="BB16" s="94">
        <f>+BA16+AZ16</f>
        <v>65983.915305400005</v>
      </c>
    </row>
    <row r="17" spans="1:54">
      <c r="A17" s="31" t="s">
        <v>179</v>
      </c>
      <c r="B17" s="101" t="s">
        <v>76</v>
      </c>
      <c r="C17" s="31"/>
      <c r="D17" s="88"/>
      <c r="E17" s="88"/>
      <c r="F17" s="88"/>
      <c r="G17" s="88">
        <f t="shared" ref="G17:AM17" si="12">+G16/D16-1</f>
        <v>0.26786403520057633</v>
      </c>
      <c r="H17" s="88">
        <f t="shared" si="12"/>
        <v>0.37632058287795989</v>
      </c>
      <c r="I17" s="88">
        <f t="shared" si="12"/>
        <v>0.32178851901207106</v>
      </c>
      <c r="J17" s="88">
        <f t="shared" si="12"/>
        <v>0.19414283684776645</v>
      </c>
      <c r="K17" s="88">
        <f t="shared" si="12"/>
        <v>0.1196400211752251</v>
      </c>
      <c r="L17" s="88">
        <f t="shared" si="12"/>
        <v>0.155571869035384</v>
      </c>
      <c r="M17" s="88">
        <f t="shared" si="12"/>
        <v>-2.9368276143374339E-2</v>
      </c>
      <c r="N17" s="88">
        <f t="shared" si="12"/>
        <v>-0.17720364741641337</v>
      </c>
      <c r="O17" s="88">
        <f t="shared" si="12"/>
        <v>-0.10352450893197473</v>
      </c>
      <c r="P17" s="88">
        <f t="shared" si="12"/>
        <v>-8.8319237975171161E-2</v>
      </c>
      <c r="Q17" s="88">
        <f t="shared" si="12"/>
        <v>0.14058203012765258</v>
      </c>
      <c r="R17" s="88">
        <f t="shared" si="12"/>
        <v>1.7063975736273607E-2</v>
      </c>
      <c r="S17" s="88">
        <f t="shared" si="12"/>
        <v>-6.2054660341483103E-2</v>
      </c>
      <c r="T17" s="88">
        <f t="shared" si="12"/>
        <v>-0.35184252195192167</v>
      </c>
      <c r="U17" s="88">
        <f t="shared" si="12"/>
        <v>-0.21167191549845321</v>
      </c>
      <c r="V17" s="88">
        <f t="shared" si="12"/>
        <v>-0.28726758948316811</v>
      </c>
      <c r="W17" s="88">
        <f t="shared" si="12"/>
        <v>7.4676586530453282E-3</v>
      </c>
      <c r="X17" s="88">
        <f t="shared" si="12"/>
        <v>-0.16215324424332411</v>
      </c>
      <c r="Y17" s="88">
        <f t="shared" si="12"/>
        <v>-3.901514063263134E-2</v>
      </c>
      <c r="Z17" s="88">
        <f t="shared" si="12"/>
        <v>8.6329944063266328E-2</v>
      </c>
      <c r="AA17" s="88">
        <f t="shared" si="12"/>
        <v>2.4965540521533658E-2</v>
      </c>
      <c r="AB17" s="88">
        <f t="shared" si="12"/>
        <v>0.22449101617387668</v>
      </c>
      <c r="AC17" s="88">
        <f t="shared" si="12"/>
        <v>-0.14612926136363635</v>
      </c>
      <c r="AD17" s="88">
        <f t="shared" si="12"/>
        <v>2.3986936176636053E-2</v>
      </c>
      <c r="AE17" s="88">
        <f t="shared" si="12"/>
        <v>-0.27909077591679277</v>
      </c>
      <c r="AF17" s="88">
        <f t="shared" si="12"/>
        <v>1.5209577280693942E-2</v>
      </c>
      <c r="AG17" s="88">
        <f t="shared" si="12"/>
        <v>-0.14632610123155676</v>
      </c>
      <c r="AH17" s="88">
        <f t="shared" si="12"/>
        <v>3.942154638127815E-2</v>
      </c>
      <c r="AI17" s="88">
        <f t="shared" si="12"/>
        <v>-0.14177029992684709</v>
      </c>
      <c r="AJ17" s="218">
        <f t="shared" si="12"/>
        <v>-5.7784684939248376E-2</v>
      </c>
      <c r="AK17" s="88">
        <f t="shared" si="12"/>
        <v>-1.4774363820012293E-2</v>
      </c>
      <c r="AL17" s="88">
        <f t="shared" si="12"/>
        <v>-1.495806341629724E-2</v>
      </c>
      <c r="AM17" s="88">
        <f t="shared" si="12"/>
        <v>-1.4864130887522586E-2</v>
      </c>
      <c r="AN17" s="88">
        <f t="shared" ref="AN17:BB17" si="13">+AN16/AK16-1</f>
        <v>1.0442879650342185E-2</v>
      </c>
      <c r="AO17" s="88">
        <f t="shared" si="13"/>
        <v>7.0042428026726222E-2</v>
      </c>
      <c r="AP17" s="88">
        <f t="shared" si="13"/>
        <v>3.9564155156772918E-2</v>
      </c>
      <c r="AQ17" s="88">
        <f t="shared" si="13"/>
        <v>2.2892587619720794E-2</v>
      </c>
      <c r="AR17" s="88">
        <f t="shared" si="13"/>
        <v>0.10000000000000031</v>
      </c>
      <c r="AS17" s="88">
        <f t="shared" si="13"/>
        <v>6.1673074308154829E-2</v>
      </c>
      <c r="AT17" s="88">
        <f t="shared" si="13"/>
        <v>1.2309135233979696E-2</v>
      </c>
      <c r="AU17" s="88">
        <f t="shared" si="13"/>
        <v>0</v>
      </c>
      <c r="AV17" s="88">
        <f t="shared" si="13"/>
        <v>5.8948753632426243E-3</v>
      </c>
      <c r="AW17" s="88">
        <f t="shared" si="13"/>
        <v>0</v>
      </c>
      <c r="AX17" s="88">
        <f t="shared" si="13"/>
        <v>0</v>
      </c>
      <c r="AY17" s="88">
        <f t="shared" si="13"/>
        <v>0</v>
      </c>
      <c r="AZ17" s="88">
        <f t="shared" si="13"/>
        <v>0</v>
      </c>
      <c r="BA17" s="88">
        <f t="shared" si="13"/>
        <v>1.0000000000000009E-2</v>
      </c>
      <c r="BB17" s="88">
        <f t="shared" si="13"/>
        <v>5.1804371903427793E-3</v>
      </c>
    </row>
    <row r="18" spans="1:54">
      <c r="A18" s="89" t="s">
        <v>509</v>
      </c>
      <c r="B18" s="52" t="s">
        <v>512</v>
      </c>
      <c r="D18" s="92">
        <v>35456</v>
      </c>
      <c r="E18" s="92">
        <v>41068</v>
      </c>
      <c r="F18" s="92">
        <f>+E18+D18</f>
        <v>76524</v>
      </c>
      <c r="G18" s="92">
        <v>45086</v>
      </c>
      <c r="H18" s="92">
        <v>47867</v>
      </c>
      <c r="I18" s="92">
        <f>+H18+G18</f>
        <v>92953</v>
      </c>
      <c r="J18" s="92">
        <v>56942</v>
      </c>
      <c r="K18" s="92">
        <v>62670</v>
      </c>
      <c r="L18" s="92">
        <f>+K18+J18</f>
        <v>119612</v>
      </c>
      <c r="M18" s="92">
        <v>54210</v>
      </c>
      <c r="N18" s="92">
        <v>53914</v>
      </c>
      <c r="O18" s="92">
        <f>+N18+M18</f>
        <v>108124</v>
      </c>
      <c r="P18" s="92">
        <v>51475</v>
      </c>
      <c r="Q18" s="92">
        <v>54569</v>
      </c>
      <c r="R18" s="92">
        <f>+Q18+P18</f>
        <v>106044</v>
      </c>
      <c r="S18" s="92">
        <v>53413</v>
      </c>
      <c r="T18" s="92">
        <v>37862</v>
      </c>
      <c r="U18" s="92">
        <f>+T18+S18</f>
        <v>91275</v>
      </c>
      <c r="V18" s="92">
        <v>36226</v>
      </c>
      <c r="W18" s="92">
        <v>37577</v>
      </c>
      <c r="X18" s="92">
        <f>+W18+V18</f>
        <v>73803</v>
      </c>
      <c r="Y18" s="92">
        <v>32417</v>
      </c>
      <c r="Z18" s="92">
        <v>33372</v>
      </c>
      <c r="AA18" s="92">
        <f>+Z18+Y18</f>
        <v>65789</v>
      </c>
      <c r="AB18" s="92">
        <v>46479</v>
      </c>
      <c r="AC18" s="92">
        <v>35034</v>
      </c>
      <c r="AD18" s="92">
        <f>+AC18+AB18</f>
        <v>81513</v>
      </c>
      <c r="AE18" s="92">
        <v>33100</v>
      </c>
      <c r="AF18" s="92">
        <v>31036</v>
      </c>
      <c r="AG18" s="92">
        <f>+AF18+AE18</f>
        <v>64136</v>
      </c>
      <c r="AH18" s="92">
        <v>31797</v>
      </c>
      <c r="AI18" s="92">
        <v>29981</v>
      </c>
      <c r="AJ18" s="93">
        <f>+AI18+AH18</f>
        <v>61778</v>
      </c>
      <c r="AK18" s="92">
        <v>30506</v>
      </c>
      <c r="AL18" s="92">
        <v>28720.910000000003</v>
      </c>
      <c r="AM18" s="92">
        <f>+AL18+AK18</f>
        <v>59226.91</v>
      </c>
      <c r="AN18" s="92">
        <v>30571.47</v>
      </c>
      <c r="AO18" s="92">
        <v>29736.198200000006</v>
      </c>
      <c r="AP18" s="92">
        <f>+AO18+AN18</f>
        <v>60307.668200000007</v>
      </c>
      <c r="AQ18" s="92">
        <v>32035.678400000004</v>
      </c>
      <c r="AR18" s="92">
        <v>31656.730020000003</v>
      </c>
      <c r="AS18" s="92">
        <f>+AR18+AQ18</f>
        <v>63692.408420000007</v>
      </c>
      <c r="AT18" s="92">
        <v>33769.436540000002</v>
      </c>
      <c r="AU18" s="92">
        <v>31874.414916000002</v>
      </c>
      <c r="AV18" s="92">
        <f>+AU18+AT18</f>
        <v>65643.851456000004</v>
      </c>
      <c r="AW18" s="92">
        <v>33769.436540000002</v>
      </c>
      <c r="AX18" s="92">
        <v>31874.414916000002</v>
      </c>
      <c r="AY18" s="92">
        <f>+AX18+AW18</f>
        <v>65643.851456000004</v>
      </c>
      <c r="AZ18" s="92">
        <v>33769.436540000002</v>
      </c>
      <c r="BA18" s="92">
        <v>32042.136437000001</v>
      </c>
      <c r="BB18" s="92">
        <f>+BA18+AZ18</f>
        <v>65811.572977000003</v>
      </c>
    </row>
    <row r="19" spans="1:54">
      <c r="A19" s="329" t="s">
        <v>179</v>
      </c>
      <c r="B19" s="101" t="s">
        <v>76</v>
      </c>
      <c r="C19" s="31"/>
      <c r="D19" s="88"/>
      <c r="E19" s="88"/>
      <c r="F19" s="88"/>
      <c r="G19" s="88">
        <f t="shared" ref="G19:AM19" si="14">G18/D18-1</f>
        <v>0.2716042418772564</v>
      </c>
      <c r="H19" s="88">
        <f t="shared" si="14"/>
        <v>0.1655546897827993</v>
      </c>
      <c r="I19" s="88">
        <f t="shared" si="14"/>
        <v>0.21469081595316508</v>
      </c>
      <c r="J19" s="88">
        <f t="shared" si="14"/>
        <v>0.26296411302843459</v>
      </c>
      <c r="K19" s="88">
        <f t="shared" si="14"/>
        <v>0.30925272108132962</v>
      </c>
      <c r="L19" s="88">
        <f t="shared" si="14"/>
        <v>0.28680085634675589</v>
      </c>
      <c r="M19" s="88">
        <f t="shared" si="14"/>
        <v>-4.7978644936953363E-2</v>
      </c>
      <c r="N19" s="88">
        <f t="shared" si="14"/>
        <v>-0.1397159725546514</v>
      </c>
      <c r="O19" s="88">
        <f t="shared" si="14"/>
        <v>-9.604387519646862E-2</v>
      </c>
      <c r="P19" s="88">
        <f t="shared" si="14"/>
        <v>-5.0451946135399384E-2</v>
      </c>
      <c r="Q19" s="88">
        <f t="shared" si="14"/>
        <v>1.2148978002003208E-2</v>
      </c>
      <c r="R19" s="88">
        <f t="shared" si="14"/>
        <v>-1.923717213569609E-2</v>
      </c>
      <c r="S19" s="88">
        <f t="shared" si="14"/>
        <v>3.7649344341913471E-2</v>
      </c>
      <c r="T19" s="88">
        <f t="shared" si="14"/>
        <v>-0.30616283970752622</v>
      </c>
      <c r="U19" s="88">
        <f t="shared" si="14"/>
        <v>-0.13927237750367771</v>
      </c>
      <c r="V19" s="88">
        <f t="shared" si="14"/>
        <v>-0.32177559770093422</v>
      </c>
      <c r="W19" s="88">
        <f t="shared" si="14"/>
        <v>-7.5273361153663787E-3</v>
      </c>
      <c r="X19" s="88">
        <f t="shared" si="14"/>
        <v>-0.19142152834839765</v>
      </c>
      <c r="Y19" s="88">
        <f t="shared" si="14"/>
        <v>-0.10514547562524157</v>
      </c>
      <c r="Z19" s="88">
        <f t="shared" si="14"/>
        <v>-0.11190355802751684</v>
      </c>
      <c r="AA19" s="88">
        <f t="shared" si="14"/>
        <v>-0.10858637182770348</v>
      </c>
      <c r="AB19" s="88">
        <f t="shared" si="14"/>
        <v>0.43378474257334121</v>
      </c>
      <c r="AC19" s="88">
        <f t="shared" si="14"/>
        <v>4.9802229413879795E-2</v>
      </c>
      <c r="AD19" s="88">
        <f t="shared" si="14"/>
        <v>0.23900652084695007</v>
      </c>
      <c r="AE19" s="88">
        <f t="shared" si="14"/>
        <v>-0.28785042707459285</v>
      </c>
      <c r="AF19" s="88">
        <f t="shared" si="14"/>
        <v>-0.11411771422047157</v>
      </c>
      <c r="AG19" s="88">
        <f t="shared" si="14"/>
        <v>-0.213180719639812</v>
      </c>
      <c r="AH19" s="88">
        <f t="shared" si="14"/>
        <v>-3.9365558912386689E-2</v>
      </c>
      <c r="AI19" s="88">
        <f t="shared" si="14"/>
        <v>-3.3992782575074099E-2</v>
      </c>
      <c r="AJ19" s="218">
        <f t="shared" si="14"/>
        <v>-3.6765623051016605E-2</v>
      </c>
      <c r="AK19" s="88">
        <f t="shared" si="14"/>
        <v>-4.0601314589426729E-2</v>
      </c>
      <c r="AL19" s="88">
        <f t="shared" si="14"/>
        <v>-4.2029618758546938E-2</v>
      </c>
      <c r="AM19" s="88">
        <f t="shared" si="14"/>
        <v>-4.1294473760885686E-2</v>
      </c>
      <c r="AN19" s="88">
        <f t="shared" ref="AN19:BB19" si="15">AN18/AK18-1</f>
        <v>2.1461351865206257E-3</v>
      </c>
      <c r="AO19" s="88">
        <f t="shared" si="15"/>
        <v>3.5350140368115124E-2</v>
      </c>
      <c r="AP19" s="88">
        <f t="shared" si="15"/>
        <v>1.8247755960930645E-2</v>
      </c>
      <c r="AQ19" s="88">
        <f t="shared" si="15"/>
        <v>4.7894602385819329E-2</v>
      </c>
      <c r="AR19" s="88">
        <f t="shared" si="15"/>
        <v>6.4585654396129177E-2</v>
      </c>
      <c r="AS19" s="88">
        <f t="shared" si="15"/>
        <v>5.6124541389580784E-2</v>
      </c>
      <c r="AT19" s="88">
        <f t="shared" si="15"/>
        <v>5.4119601225613545E-2</v>
      </c>
      <c r="AU19" s="88">
        <f t="shared" si="15"/>
        <v>6.8764176168059077E-3</v>
      </c>
      <c r="AV19" s="88">
        <f t="shared" si="15"/>
        <v>3.063854993725168E-2</v>
      </c>
      <c r="AW19" s="88">
        <f t="shared" si="15"/>
        <v>0</v>
      </c>
      <c r="AX19" s="88">
        <f t="shared" si="15"/>
        <v>0</v>
      </c>
      <c r="AY19" s="88">
        <f t="shared" si="15"/>
        <v>0</v>
      </c>
      <c r="AZ19" s="88">
        <f t="shared" si="15"/>
        <v>0</v>
      </c>
      <c r="BA19" s="88">
        <f t="shared" si="15"/>
        <v>5.2619482253086769E-3</v>
      </c>
      <c r="BB19" s="88">
        <f t="shared" si="15"/>
        <v>2.5550225539769933E-3</v>
      </c>
    </row>
    <row r="20" spans="1:54">
      <c r="A20" s="31"/>
      <c r="B20" s="101"/>
      <c r="C20" s="31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21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</row>
    <row r="21" spans="1:54">
      <c r="A21" s="13" t="s">
        <v>516</v>
      </c>
      <c r="B21" s="55" t="s">
        <v>172</v>
      </c>
      <c r="C21" s="31"/>
      <c r="D21" s="92">
        <v>14112.274000000001</v>
      </c>
      <c r="E21" s="92">
        <v>14158.809000000001</v>
      </c>
      <c r="F21" s="92">
        <f>SUM(D21:E21)</f>
        <v>28271.083000000002</v>
      </c>
      <c r="G21" s="92">
        <v>14737.231</v>
      </c>
      <c r="H21" s="92">
        <v>15494.089</v>
      </c>
      <c r="I21" s="92">
        <f>SUM(G21:H21)</f>
        <v>30231.32</v>
      </c>
      <c r="J21" s="92">
        <v>16484.510999999999</v>
      </c>
      <c r="K21" s="92">
        <v>17053.43</v>
      </c>
      <c r="L21" s="92">
        <f>SUM(J21:K21)</f>
        <v>33537.940999999999</v>
      </c>
      <c r="M21" s="92">
        <v>17094.266</v>
      </c>
      <c r="N21" s="92">
        <v>17234.782999999999</v>
      </c>
      <c r="O21" s="92">
        <f>SUM(M21:N21)</f>
        <v>34329.048999999999</v>
      </c>
      <c r="P21" s="92">
        <v>17297.481</v>
      </c>
      <c r="Q21" s="92">
        <v>17916.099000000002</v>
      </c>
      <c r="R21" s="92">
        <f>SUM(P21:Q21)</f>
        <v>35213.58</v>
      </c>
      <c r="S21" s="92">
        <v>18486.661</v>
      </c>
      <c r="T21" s="92">
        <v>18144.998</v>
      </c>
      <c r="U21" s="92">
        <f>SUM(S21:T21)</f>
        <v>36631.659</v>
      </c>
      <c r="V21" s="92">
        <v>18237.760999999999</v>
      </c>
      <c r="W21" s="92">
        <v>18369.631000000001</v>
      </c>
      <c r="X21" s="92">
        <f>SUM(V21:W21)</f>
        <v>36607.392</v>
      </c>
      <c r="Y21" s="92">
        <v>18755.928</v>
      </c>
      <c r="Z21" s="92">
        <v>19288.112550000002</v>
      </c>
      <c r="AA21" s="92">
        <f>SUM(Y21:Z21)</f>
        <v>38044.040550000005</v>
      </c>
      <c r="AB21" s="92">
        <v>19506.165120000001</v>
      </c>
      <c r="AC21" s="92">
        <v>19866.755926500002</v>
      </c>
      <c r="AD21" s="92">
        <f>SUM(AB21:AC21)</f>
        <v>39372.921046500007</v>
      </c>
      <c r="AE21" s="92">
        <v>19896.288422400001</v>
      </c>
      <c r="AF21" s="92">
        <v>19469.42080797</v>
      </c>
      <c r="AG21" s="92">
        <f>SUM(AE21:AF21)</f>
        <v>39365.709230370005</v>
      </c>
      <c r="AH21" s="92">
        <v>19100.436885504001</v>
      </c>
      <c r="AI21" s="92">
        <v>18885.338183730899</v>
      </c>
      <c r="AJ21" s="93">
        <f>SUM(AH21:AI21)</f>
        <v>37985.7750692349</v>
      </c>
      <c r="AK21" s="92">
        <v>18718.428147793922</v>
      </c>
      <c r="AL21" s="92">
        <v>19263.044947405517</v>
      </c>
      <c r="AM21" s="92">
        <f>SUM(AK21:AL21)</f>
        <v>37981.473095199442</v>
      </c>
      <c r="AN21" s="92">
        <v>19092.796710749801</v>
      </c>
      <c r="AO21" s="92">
        <v>19648.305846353629</v>
      </c>
      <c r="AP21" s="92">
        <f>SUM(AN21:AO21)</f>
        <v>38741.102557103426</v>
      </c>
      <c r="AQ21" s="92">
        <v>19474.652644964797</v>
      </c>
      <c r="AR21" s="92">
        <v>20041.271963280702</v>
      </c>
      <c r="AS21" s="92">
        <f>SUM(AQ21:AR21)</f>
        <v>39515.924608245499</v>
      </c>
      <c r="AT21" s="92">
        <v>19864.145697864093</v>
      </c>
      <c r="AU21" s="92">
        <v>20442.097402546315</v>
      </c>
      <c r="AV21" s="92">
        <f>SUM(AT21:AU21)</f>
        <v>40306.243100410407</v>
      </c>
      <c r="AW21" s="92">
        <v>20261.428611821375</v>
      </c>
      <c r="AX21" s="92">
        <v>20850.93935059724</v>
      </c>
      <c r="AY21" s="92">
        <f>SUM(AW21:AX21)</f>
        <v>41112.367962418619</v>
      </c>
      <c r="AZ21" s="92">
        <v>20666.657184057804</v>
      </c>
      <c r="BA21" s="92">
        <v>21267.958137609185</v>
      </c>
      <c r="BB21" s="92">
        <f>SUM(AZ21:BA21)</f>
        <v>41934.615321666992</v>
      </c>
    </row>
    <row r="22" spans="1:54">
      <c r="A22" s="31" t="s">
        <v>179</v>
      </c>
      <c r="B22" s="101" t="s">
        <v>76</v>
      </c>
      <c r="C22" s="31"/>
      <c r="D22" s="88"/>
      <c r="E22" s="88"/>
      <c r="F22" s="88"/>
      <c r="G22" s="88">
        <f t="shared" ref="G22:BB22" si="16">+G21/D21-1</f>
        <v>4.4284641865655283E-2</v>
      </c>
      <c r="H22" s="88">
        <f t="shared" si="16"/>
        <v>9.4307367236891038E-2</v>
      </c>
      <c r="I22" s="88">
        <f t="shared" si="16"/>
        <v>6.9337173959695741E-2</v>
      </c>
      <c r="J22" s="88">
        <f t="shared" si="16"/>
        <v>0.11856229979702415</v>
      </c>
      <c r="K22" s="88">
        <f t="shared" si="16"/>
        <v>0.10064102510318618</v>
      </c>
      <c r="L22" s="88">
        <f t="shared" si="16"/>
        <v>0.10937732788379728</v>
      </c>
      <c r="M22" s="88">
        <f t="shared" si="16"/>
        <v>3.6989571604520322E-2</v>
      </c>
      <c r="N22" s="88">
        <f t="shared" si="16"/>
        <v>1.0634400235026042E-2</v>
      </c>
      <c r="O22" s="88">
        <f t="shared" si="16"/>
        <v>2.3588448676679308E-2</v>
      </c>
      <c r="P22" s="88">
        <f t="shared" si="16"/>
        <v>1.1887904400224025E-2</v>
      </c>
      <c r="Q22" s="88">
        <f t="shared" si="16"/>
        <v>3.9531452180163962E-2</v>
      </c>
      <c r="R22" s="88">
        <f t="shared" si="16"/>
        <v>2.5766254113243958E-2</v>
      </c>
      <c r="S22" s="88">
        <f t="shared" si="16"/>
        <v>6.8748738616911886E-2</v>
      </c>
      <c r="T22" s="88">
        <f t="shared" si="16"/>
        <v>1.2776162935915769E-2</v>
      </c>
      <c r="U22" s="88">
        <f t="shared" si="16"/>
        <v>4.02707989360922E-2</v>
      </c>
      <c r="V22" s="88">
        <f t="shared" si="16"/>
        <v>-1.3463761790190265E-2</v>
      </c>
      <c r="W22" s="88">
        <f t="shared" si="16"/>
        <v>1.2379885630188658E-2</v>
      </c>
      <c r="X22" s="88">
        <f t="shared" si="16"/>
        <v>-6.6245975919354549E-4</v>
      </c>
      <c r="Y22" s="88">
        <f t="shared" si="16"/>
        <v>2.8411766115369108E-2</v>
      </c>
      <c r="Z22" s="88">
        <f t="shared" si="16"/>
        <v>5.0000000000000044E-2</v>
      </c>
      <c r="AA22" s="88">
        <f t="shared" si="16"/>
        <v>3.9244766466838277E-2</v>
      </c>
      <c r="AB22" s="88">
        <f t="shared" si="16"/>
        <v>4.0000000000000036E-2</v>
      </c>
      <c r="AC22" s="88">
        <f t="shared" si="16"/>
        <v>3.0000000000000027E-2</v>
      </c>
      <c r="AD22" s="88">
        <f t="shared" si="16"/>
        <v>3.4930056778629925E-2</v>
      </c>
      <c r="AE22" s="88">
        <f t="shared" si="16"/>
        <v>2.0000000000000018E-2</v>
      </c>
      <c r="AF22" s="88">
        <f t="shared" si="16"/>
        <v>-2.0000000000000129E-2</v>
      </c>
      <c r="AG22" s="88">
        <f t="shared" si="16"/>
        <v>-1.8316690604402996E-4</v>
      </c>
      <c r="AH22" s="88">
        <f t="shared" si="16"/>
        <v>-4.0000000000000036E-2</v>
      </c>
      <c r="AI22" s="88">
        <f t="shared" si="16"/>
        <v>-3.0000000000000027E-2</v>
      </c>
      <c r="AJ22" s="218">
        <f t="shared" si="16"/>
        <v>-3.5054218204469856E-2</v>
      </c>
      <c r="AK22" s="88">
        <f t="shared" si="16"/>
        <v>-1.9999999999999907E-2</v>
      </c>
      <c r="AL22" s="88">
        <f t="shared" si="16"/>
        <v>2.0000000000000018E-2</v>
      </c>
      <c r="AM22" s="88">
        <f t="shared" si="16"/>
        <v>-1.1325223791314176E-4</v>
      </c>
      <c r="AN22" s="88">
        <f t="shared" si="16"/>
        <v>2.0000000000000018E-2</v>
      </c>
      <c r="AO22" s="88">
        <f t="shared" si="16"/>
        <v>2.0000000000000018E-2</v>
      </c>
      <c r="AP22" s="88">
        <f t="shared" si="16"/>
        <v>1.9999999999999796E-2</v>
      </c>
      <c r="AQ22" s="88">
        <f t="shared" si="16"/>
        <v>2.0000000000000018E-2</v>
      </c>
      <c r="AR22" s="88">
        <f t="shared" si="16"/>
        <v>2.0000000000000018E-2</v>
      </c>
      <c r="AS22" s="88">
        <f t="shared" si="16"/>
        <v>2.0000000000000018E-2</v>
      </c>
      <c r="AT22" s="88">
        <f t="shared" si="16"/>
        <v>2.0000000000000018E-2</v>
      </c>
      <c r="AU22" s="88">
        <f t="shared" si="16"/>
        <v>2.0000000000000018E-2</v>
      </c>
      <c r="AV22" s="88">
        <f t="shared" si="16"/>
        <v>2.0000000000000018E-2</v>
      </c>
      <c r="AW22" s="88">
        <f t="shared" si="16"/>
        <v>2.0000000000000018E-2</v>
      </c>
      <c r="AX22" s="88">
        <f t="shared" si="16"/>
        <v>2.0000000000000018E-2</v>
      </c>
      <c r="AY22" s="88">
        <f t="shared" si="16"/>
        <v>2.0000000000000018E-2</v>
      </c>
      <c r="AZ22" s="88">
        <f t="shared" si="16"/>
        <v>2.0000000000000018E-2</v>
      </c>
      <c r="BA22" s="88">
        <f t="shared" si="16"/>
        <v>2.0000000000000018E-2</v>
      </c>
      <c r="BB22" s="88">
        <f t="shared" si="16"/>
        <v>2.0000000000000018E-2</v>
      </c>
    </row>
    <row r="24" spans="1:54" s="13" customFormat="1">
      <c r="A24" s="13" t="s">
        <v>506</v>
      </c>
      <c r="B24" s="55" t="s">
        <v>172</v>
      </c>
      <c r="D24" s="94">
        <v>18807.834000000003</v>
      </c>
      <c r="E24" s="94">
        <v>17300.101999999999</v>
      </c>
      <c r="F24" s="94">
        <f>+E24+D24</f>
        <v>36107.936000000002</v>
      </c>
      <c r="G24" s="94">
        <v>19162.080999999998</v>
      </c>
      <c r="H24" s="94">
        <v>17704.842000000004</v>
      </c>
      <c r="I24" s="94">
        <f>+H24+G24</f>
        <v>36866.923000000003</v>
      </c>
      <c r="J24" s="94">
        <v>19410.245000000003</v>
      </c>
      <c r="K24" s="94">
        <v>18188.345999999998</v>
      </c>
      <c r="L24" s="94">
        <f>+K24+J24</f>
        <v>37598.591</v>
      </c>
      <c r="M24" s="94">
        <v>18887.057999999997</v>
      </c>
      <c r="N24" s="94">
        <v>19189.853000000003</v>
      </c>
      <c r="O24" s="94">
        <f>+N24+M24</f>
        <v>38076.911</v>
      </c>
      <c r="P24" s="94">
        <v>22304.145</v>
      </c>
      <c r="Q24" s="94">
        <v>21291.567999999999</v>
      </c>
      <c r="R24" s="94">
        <f>+Q24+P24</f>
        <v>43595.713000000003</v>
      </c>
      <c r="S24" s="94">
        <v>23301.662</v>
      </c>
      <c r="T24" s="94">
        <v>22563.241000000002</v>
      </c>
      <c r="U24" s="94">
        <f>+T24+S24</f>
        <v>45864.903000000006</v>
      </c>
      <c r="V24" s="94">
        <v>23953.869680694763</v>
      </c>
      <c r="W24" s="94">
        <v>21483.635073103644</v>
      </c>
      <c r="X24" s="94">
        <f>+W24+V24</f>
        <v>45437.504753798406</v>
      </c>
      <c r="Y24" s="94">
        <v>22878.634293372721</v>
      </c>
      <c r="Z24" s="94">
        <v>21540.047114979498</v>
      </c>
      <c r="AA24" s="94">
        <f>+Z24+Y24</f>
        <v>44418.681408352219</v>
      </c>
      <c r="AB24" s="94">
        <v>22081.048694482</v>
      </c>
      <c r="AC24" s="94">
        <v>22226.844608865831</v>
      </c>
      <c r="AD24" s="94">
        <f>+AC24+AB24</f>
        <v>44307.893303347832</v>
      </c>
      <c r="AE24" s="94">
        <v>22554.066589500377</v>
      </c>
      <c r="AF24" s="94">
        <v>22702.985728576943</v>
      </c>
      <c r="AG24" s="94">
        <f>+AF24+AE24</f>
        <v>45257.052318077316</v>
      </c>
      <c r="AH24" s="94">
        <v>23067.219336217284</v>
      </c>
      <c r="AI24" s="94">
        <v>23219.526700869603</v>
      </c>
      <c r="AJ24" s="95">
        <f>+AI24+AH24</f>
        <v>46286.746037086887</v>
      </c>
      <c r="AK24" s="94">
        <v>23564.891497279044</v>
      </c>
      <c r="AL24" s="94">
        <v>23720.484872880814</v>
      </c>
      <c r="AM24" s="94">
        <f>+AL24+AK24</f>
        <v>47285.376370159858</v>
      </c>
      <c r="AN24" s="94">
        <v>23853.862429508452</v>
      </c>
      <c r="AO24" s="94">
        <v>24011.363811467963</v>
      </c>
      <c r="AP24" s="94">
        <f>+AO24+AN24</f>
        <v>47865.226240976415</v>
      </c>
      <c r="AQ24" s="94">
        <v>24092.401053803536</v>
      </c>
      <c r="AR24" s="94">
        <v>24251.477449582642</v>
      </c>
      <c r="AS24" s="94">
        <f>+AR24+AQ24</f>
        <v>48343.878503386179</v>
      </c>
      <c r="AT24" s="94">
        <v>24333.32506434157</v>
      </c>
      <c r="AU24" s="94">
        <v>24493.992224078473</v>
      </c>
      <c r="AV24" s="94">
        <f>+AU24+AT24</f>
        <v>48827.317288420047</v>
      </c>
      <c r="AW24" s="94">
        <v>24576.658314984987</v>
      </c>
      <c r="AX24" s="94">
        <v>24738.932146319257</v>
      </c>
      <c r="AY24" s="94">
        <f>+AX24+AW24</f>
        <v>49315.590461304244</v>
      </c>
      <c r="AZ24" s="94">
        <v>24822.424898134836</v>
      </c>
      <c r="BA24" s="94">
        <v>24986.321467782451</v>
      </c>
      <c r="BB24" s="94">
        <f>+BA24+AZ24</f>
        <v>49808.746365917286</v>
      </c>
    </row>
    <row r="25" spans="1:54">
      <c r="A25" s="31" t="s">
        <v>179</v>
      </c>
      <c r="B25" s="101" t="s">
        <v>76</v>
      </c>
      <c r="C25" s="31"/>
      <c r="D25" s="88">
        <v>7.428297061968947E-2</v>
      </c>
      <c r="E25" s="88">
        <v>4.1692189480163178E-2</v>
      </c>
      <c r="F25" s="88">
        <v>5.8417305124298879E-2</v>
      </c>
      <c r="G25" s="88">
        <v>1.8835076915289406E-2</v>
      </c>
      <c r="H25" s="88">
        <v>2.3395237785303502E-2</v>
      </c>
      <c r="I25" s="88">
        <v>2.101994974179644E-2</v>
      </c>
      <c r="J25" s="88">
        <v>1.2950785460097203E-2</v>
      </c>
      <c r="K25" s="88">
        <v>2.730913949980418E-2</v>
      </c>
      <c r="L25" s="88">
        <v>1.9846191123680024E-2</v>
      </c>
      <c r="M25" s="88">
        <v>-2.6954167760376291E-2</v>
      </c>
      <c r="N25" s="88">
        <v>5.5063115689574227E-2</v>
      </c>
      <c r="O25" s="88">
        <v>1.2721753323149843E-2</v>
      </c>
      <c r="P25" s="88">
        <v>0.18092214255920669</v>
      </c>
      <c r="Q25" s="88">
        <v>0.10952220426076198</v>
      </c>
      <c r="R25" s="88">
        <v>0.14493828031375777</v>
      </c>
      <c r="S25" s="88">
        <v>4.4723391100622845E-2</v>
      </c>
      <c r="T25" s="88">
        <v>5.972660162934007E-2</v>
      </c>
      <c r="U25" s="88">
        <v>5.2050760128639295E-2</v>
      </c>
      <c r="V25" s="88">
        <v>2.7989749430523903E-2</v>
      </c>
      <c r="W25" s="88">
        <v>-4.7847998738140385E-2</v>
      </c>
      <c r="X25" s="88">
        <v>-9.3186340370456922E-3</v>
      </c>
      <c r="Y25" s="88">
        <v>-4.4887753071004233E-2</v>
      </c>
      <c r="Z25" s="88">
        <v>2.6258145646160802E-3</v>
      </c>
      <c r="AA25" s="88">
        <v>-2.2422519699676458E-2</v>
      </c>
      <c r="AB25" s="88">
        <v>-3.4861591328541719E-2</v>
      </c>
      <c r="AC25" s="88">
        <v>3.188467927763794E-2</v>
      </c>
      <c r="AD25" s="88">
        <v>-2.4941781586419465E-3</v>
      </c>
      <c r="AE25" s="88">
        <v>2.1421894474449532E-2</v>
      </c>
      <c r="AF25" s="88">
        <v>2.1421894474449532E-2</v>
      </c>
      <c r="AG25" s="88">
        <v>2.1421894474449532E-2</v>
      </c>
      <c r="AH25" s="88">
        <v>2.2752116328139005E-2</v>
      </c>
      <c r="AI25" s="88">
        <v>2.2752116328138783E-2</v>
      </c>
      <c r="AJ25" s="218">
        <v>2.2752116328139005E-2</v>
      </c>
      <c r="AK25" s="88">
        <v>2.1574865778484886E-2</v>
      </c>
      <c r="AL25" s="88">
        <v>2.1574865778485108E-2</v>
      </c>
      <c r="AM25" s="88">
        <v>2.1574865778484886E-2</v>
      </c>
      <c r="AN25" s="88">
        <v>1.226277372262774E-2</v>
      </c>
      <c r="AO25" s="88">
        <v>1.226277372262774E-2</v>
      </c>
      <c r="AP25" s="88">
        <v>1.226277372262774E-2</v>
      </c>
      <c r="AQ25" s="88">
        <v>1.0000000000000009E-2</v>
      </c>
      <c r="AR25" s="88">
        <v>1.0000000000000009E-2</v>
      </c>
      <c r="AS25" s="88">
        <v>1.0000000000000009E-2</v>
      </c>
      <c r="AT25" s="88">
        <v>1.0000000000000009E-2</v>
      </c>
      <c r="AU25" s="88">
        <v>1.0000000000000231E-2</v>
      </c>
      <c r="AV25" s="88">
        <v>1.0000000000000231E-2</v>
      </c>
      <c r="AW25" s="88">
        <v>1.0000000000000009E-2</v>
      </c>
      <c r="AX25" s="88">
        <v>1.0000000000000009E-2</v>
      </c>
      <c r="AY25" s="88">
        <v>1.0000000000000009E-2</v>
      </c>
      <c r="AZ25" s="88">
        <v>1.0000000000000009E-2</v>
      </c>
      <c r="BA25" s="88">
        <v>1.0000000000000009E-2</v>
      </c>
      <c r="BB25" s="88">
        <v>1.0000000000000009E-2</v>
      </c>
    </row>
    <row r="26" spans="1:54">
      <c r="A26" s="31"/>
      <c r="B26" s="101"/>
      <c r="C26" s="31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21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</row>
    <row r="27" spans="1:54">
      <c r="A27" s="387" t="s">
        <v>398</v>
      </c>
      <c r="B27" s="52" t="s">
        <v>76</v>
      </c>
      <c r="C27" s="31"/>
      <c r="D27" s="88"/>
      <c r="E27" s="88"/>
      <c r="F27" s="88"/>
      <c r="G27" s="88"/>
      <c r="H27" s="88"/>
      <c r="I27" s="88"/>
      <c r="J27" s="88"/>
      <c r="K27" s="88"/>
      <c r="L27" s="88"/>
      <c r="M27" s="324"/>
      <c r="N27" s="324">
        <v>2.1397735369589128E-2</v>
      </c>
      <c r="O27" s="87">
        <f>AVERAGE(M27:N27)</f>
        <v>2.1397735369589128E-2</v>
      </c>
      <c r="P27" s="324">
        <v>2.704040158438694E-2</v>
      </c>
      <c r="Q27" s="324">
        <v>3.1166417753489953E-2</v>
      </c>
      <c r="R27" s="87">
        <f>AVERAGE(P27:Q27)</f>
        <v>2.9103409668938447E-2</v>
      </c>
      <c r="S27" s="324">
        <v>2.3685322429713124E-2</v>
      </c>
      <c r="T27" s="324">
        <v>1.5533827688199508E-2</v>
      </c>
      <c r="U27" s="87">
        <f>AVERAGE(S27:T27)</f>
        <v>1.9609575058956316E-2</v>
      </c>
      <c r="V27" s="324">
        <v>2.2171041625616398E-2</v>
      </c>
      <c r="W27" s="324">
        <v>2.6983657011068304E-2</v>
      </c>
      <c r="X27" s="87">
        <f>AVERAGE(V27:W27)</f>
        <v>2.4577349318342351E-2</v>
      </c>
      <c r="Y27" s="324">
        <v>2.7381342365156981E-2</v>
      </c>
      <c r="Z27" s="87">
        <f>W27</f>
        <v>2.6983657011068304E-2</v>
      </c>
      <c r="AA27" s="87">
        <f>AVERAGE(Y27:Z27)</f>
        <v>2.7182499688112642E-2</v>
      </c>
      <c r="AB27" s="87">
        <f t="shared" ref="AB27:AC29" si="17">Y27</f>
        <v>2.7381342365156981E-2</v>
      </c>
      <c r="AC27" s="87">
        <f t="shared" si="17"/>
        <v>2.6983657011068304E-2</v>
      </c>
      <c r="AD27" s="87">
        <f>AVERAGE(AB27:AC27)</f>
        <v>2.7182499688112642E-2</v>
      </c>
      <c r="AE27" s="87">
        <f t="shared" ref="AE27:AF29" si="18">AB27</f>
        <v>2.7381342365156981E-2</v>
      </c>
      <c r="AF27" s="87">
        <f t="shared" si="18"/>
        <v>2.6983657011068304E-2</v>
      </c>
      <c r="AG27" s="87">
        <f>AVERAGE(AE27:AF27)</f>
        <v>2.7182499688112642E-2</v>
      </c>
      <c r="AH27" s="87">
        <f t="shared" ref="AH27:AI29" si="19">AE27</f>
        <v>2.7381342365156981E-2</v>
      </c>
      <c r="AI27" s="87">
        <f t="shared" si="19"/>
        <v>2.6983657011068304E-2</v>
      </c>
      <c r="AJ27" s="214">
        <f>AVERAGE(AH27:AI27)</f>
        <v>2.7182499688112642E-2</v>
      </c>
      <c r="AK27" s="87">
        <f t="shared" ref="AK27:AL29" si="20">AH27</f>
        <v>2.7381342365156981E-2</v>
      </c>
      <c r="AL27" s="87">
        <f t="shared" si="20"/>
        <v>2.6983657011068304E-2</v>
      </c>
      <c r="AM27" s="87">
        <f>AVERAGE(AK27:AL27)</f>
        <v>2.7182499688112642E-2</v>
      </c>
      <c r="AN27" s="87">
        <f t="shared" ref="AN27:AO29" si="21">AK27</f>
        <v>2.7381342365156981E-2</v>
      </c>
      <c r="AO27" s="87">
        <f t="shared" si="21"/>
        <v>2.6983657011068304E-2</v>
      </c>
      <c r="AP27" s="87">
        <f>AVERAGE(AN27:AO27)</f>
        <v>2.7182499688112642E-2</v>
      </c>
      <c r="AQ27" s="87">
        <f t="shared" ref="AQ27:AR29" si="22">AN27</f>
        <v>2.7381342365156981E-2</v>
      </c>
      <c r="AR27" s="87">
        <f t="shared" si="22"/>
        <v>2.6983657011068304E-2</v>
      </c>
      <c r="AS27" s="87">
        <f>AVERAGE(AQ27:AR27)</f>
        <v>2.7182499688112642E-2</v>
      </c>
      <c r="AT27" s="87">
        <f t="shared" ref="AT27:AU29" si="23">AQ27</f>
        <v>2.7381342365156981E-2</v>
      </c>
      <c r="AU27" s="87">
        <f t="shared" si="23"/>
        <v>2.6983657011068304E-2</v>
      </c>
      <c r="AV27" s="87">
        <f>AVERAGE(AT27:AU27)</f>
        <v>2.7182499688112642E-2</v>
      </c>
      <c r="AW27" s="87">
        <f t="shared" ref="AW27:AX29" si="24">AT27</f>
        <v>2.7381342365156981E-2</v>
      </c>
      <c r="AX27" s="87">
        <f t="shared" si="24"/>
        <v>2.6983657011068304E-2</v>
      </c>
      <c r="AY27" s="87">
        <f>AVERAGE(AW27:AX27)</f>
        <v>2.7182499688112642E-2</v>
      </c>
      <c r="AZ27" s="87">
        <f t="shared" ref="AZ27:BA29" si="25">AW27</f>
        <v>2.7381342365156981E-2</v>
      </c>
      <c r="BA27" s="87">
        <f t="shared" si="25"/>
        <v>2.6983657011068304E-2</v>
      </c>
      <c r="BB27" s="87">
        <f>AVERAGE(AZ27:BA27)</f>
        <v>2.7182499688112642E-2</v>
      </c>
    </row>
    <row r="28" spans="1:54">
      <c r="A28" s="387" t="s">
        <v>399</v>
      </c>
      <c r="B28" s="52" t="s">
        <v>76</v>
      </c>
      <c r="C28" s="31"/>
      <c r="D28" s="88"/>
      <c r="E28" s="88"/>
      <c r="F28" s="88"/>
      <c r="G28" s="88"/>
      <c r="H28" s="88"/>
      <c r="I28" s="88"/>
      <c r="J28" s="88"/>
      <c r="K28" s="88"/>
      <c r="L28" s="88"/>
      <c r="M28" s="324"/>
      <c r="N28" s="324">
        <v>7.2267675446631902E-2</v>
      </c>
      <c r="O28" s="87">
        <f>AVERAGE(M28:N28)</f>
        <v>7.2267675446631902E-2</v>
      </c>
      <c r="P28" s="324">
        <v>5.0840789629152922E-2</v>
      </c>
      <c r="Q28" s="324">
        <v>4.4801787867893239E-2</v>
      </c>
      <c r="R28" s="87">
        <f>AVERAGE(P28:Q28)</f>
        <v>4.782128874852308E-2</v>
      </c>
      <c r="S28" s="324">
        <v>5.4124223140470919E-2</v>
      </c>
      <c r="T28" s="324">
        <v>5.2187593581711197E-2</v>
      </c>
      <c r="U28" s="87">
        <f>AVERAGE(S28:T28)</f>
        <v>5.3155908361091062E-2</v>
      </c>
      <c r="V28" s="324">
        <v>5.1342393614537872E-2</v>
      </c>
      <c r="W28" s="324">
        <v>4.4321209735603662E-2</v>
      </c>
      <c r="X28" s="87">
        <f>AVERAGE(V28:W28)</f>
        <v>4.783180167507077E-2</v>
      </c>
      <c r="Y28" s="324">
        <v>4.6004839190577157E-2</v>
      </c>
      <c r="Z28" s="87">
        <f>W28</f>
        <v>4.4321209735603662E-2</v>
      </c>
      <c r="AA28" s="87">
        <f>AVERAGE(Y28:Z28)</f>
        <v>4.5163024463090409E-2</v>
      </c>
      <c r="AB28" s="87">
        <f t="shared" si="17"/>
        <v>4.6004839190577157E-2</v>
      </c>
      <c r="AC28" s="87">
        <f t="shared" si="17"/>
        <v>4.4321209735603662E-2</v>
      </c>
      <c r="AD28" s="87">
        <f>AVERAGE(AB28:AC28)</f>
        <v>4.5163024463090409E-2</v>
      </c>
      <c r="AE28" s="87">
        <f t="shared" si="18"/>
        <v>4.6004839190577157E-2</v>
      </c>
      <c r="AF28" s="87">
        <f t="shared" si="18"/>
        <v>4.4321209735603662E-2</v>
      </c>
      <c r="AG28" s="87">
        <f>AVERAGE(AE28:AF28)</f>
        <v>4.5163024463090409E-2</v>
      </c>
      <c r="AH28" s="87">
        <f t="shared" si="19"/>
        <v>4.6004839190577157E-2</v>
      </c>
      <c r="AI28" s="87">
        <f t="shared" si="19"/>
        <v>4.4321209735603662E-2</v>
      </c>
      <c r="AJ28" s="214">
        <f>AVERAGE(AH28:AI28)</f>
        <v>4.5163024463090409E-2</v>
      </c>
      <c r="AK28" s="87">
        <f t="shared" si="20"/>
        <v>4.6004839190577157E-2</v>
      </c>
      <c r="AL28" s="87">
        <f t="shared" si="20"/>
        <v>4.4321209735603662E-2</v>
      </c>
      <c r="AM28" s="87">
        <f>AVERAGE(AK28:AL28)</f>
        <v>4.5163024463090409E-2</v>
      </c>
      <c r="AN28" s="87">
        <f t="shared" si="21"/>
        <v>4.6004839190577157E-2</v>
      </c>
      <c r="AO28" s="87">
        <f t="shared" si="21"/>
        <v>4.4321209735603662E-2</v>
      </c>
      <c r="AP28" s="87">
        <f>AVERAGE(AN28:AO28)</f>
        <v>4.5163024463090409E-2</v>
      </c>
      <c r="AQ28" s="87">
        <f t="shared" si="22"/>
        <v>4.6004839190577157E-2</v>
      </c>
      <c r="AR28" s="87">
        <f t="shared" si="22"/>
        <v>4.4321209735603662E-2</v>
      </c>
      <c r="AS28" s="87">
        <f>AVERAGE(AQ28:AR28)</f>
        <v>4.5163024463090409E-2</v>
      </c>
      <c r="AT28" s="87">
        <f t="shared" si="23"/>
        <v>4.6004839190577157E-2</v>
      </c>
      <c r="AU28" s="87">
        <f t="shared" si="23"/>
        <v>4.4321209735603662E-2</v>
      </c>
      <c r="AV28" s="87">
        <f>AVERAGE(AT28:AU28)</f>
        <v>4.5163024463090409E-2</v>
      </c>
      <c r="AW28" s="87">
        <f t="shared" si="24"/>
        <v>4.6004839190577157E-2</v>
      </c>
      <c r="AX28" s="87">
        <f t="shared" si="24"/>
        <v>4.4321209735603662E-2</v>
      </c>
      <c r="AY28" s="87">
        <f>AVERAGE(AW28:AX28)</f>
        <v>4.5163024463090409E-2</v>
      </c>
      <c r="AZ28" s="87">
        <f t="shared" si="25"/>
        <v>4.6004839190577157E-2</v>
      </c>
      <c r="BA28" s="87">
        <f t="shared" si="25"/>
        <v>4.4321209735603662E-2</v>
      </c>
      <c r="BB28" s="87">
        <f>AVERAGE(AZ28:BA28)</f>
        <v>4.5163024463090409E-2</v>
      </c>
    </row>
    <row r="29" spans="1:54">
      <c r="A29" s="387" t="s">
        <v>400</v>
      </c>
      <c r="B29" s="52" t="s">
        <v>76</v>
      </c>
      <c r="C29" s="31"/>
      <c r="D29" s="88"/>
      <c r="E29" s="88"/>
      <c r="F29" s="88"/>
      <c r="G29" s="88"/>
      <c r="H29" s="88"/>
      <c r="I29" s="88"/>
      <c r="J29" s="88"/>
      <c r="K29" s="88"/>
      <c r="L29" s="88"/>
      <c r="M29" s="324"/>
      <c r="N29" s="324">
        <v>1.7613058070339919E-2</v>
      </c>
      <c r="O29" s="87">
        <f>AVERAGE(M29:N29)</f>
        <v>1.7613058070339919E-2</v>
      </c>
      <c r="P29" s="324">
        <v>1.9199529076508598E-2</v>
      </c>
      <c r="Q29" s="324">
        <v>1.889993764621458E-2</v>
      </c>
      <c r="R29" s="87">
        <f>AVERAGE(P29:Q29)</f>
        <v>1.9049733361361589E-2</v>
      </c>
      <c r="S29" s="324">
        <v>1.8192749108048006E-2</v>
      </c>
      <c r="T29" s="324">
        <v>1.463526126252745E-2</v>
      </c>
      <c r="U29" s="87">
        <f>AVERAGE(S29:T29)</f>
        <v>1.6414005185287728E-2</v>
      </c>
      <c r="V29" s="324">
        <v>1.5886239515149326E-2</v>
      </c>
      <c r="W29" s="324">
        <v>1.9535597304186539E-2</v>
      </c>
      <c r="X29" s="87">
        <f>AVERAGE(V29:W29)</f>
        <v>1.7710918409667931E-2</v>
      </c>
      <c r="Y29" s="324">
        <v>2.0302782539960377E-2</v>
      </c>
      <c r="Z29" s="87">
        <f>W29</f>
        <v>1.9535597304186539E-2</v>
      </c>
      <c r="AA29" s="87">
        <f>AVERAGE(Y29:Z29)</f>
        <v>1.9919189922073456E-2</v>
      </c>
      <c r="AB29" s="87">
        <f t="shared" si="17"/>
        <v>2.0302782539960377E-2</v>
      </c>
      <c r="AC29" s="87">
        <f t="shared" si="17"/>
        <v>1.9535597304186539E-2</v>
      </c>
      <c r="AD29" s="87">
        <f>AVERAGE(AB29:AC29)</f>
        <v>1.9919189922073456E-2</v>
      </c>
      <c r="AE29" s="87">
        <f t="shared" si="18"/>
        <v>2.0302782539960377E-2</v>
      </c>
      <c r="AF29" s="87">
        <f t="shared" si="18"/>
        <v>1.9535597304186539E-2</v>
      </c>
      <c r="AG29" s="87">
        <f>AVERAGE(AE29:AF29)</f>
        <v>1.9919189922073456E-2</v>
      </c>
      <c r="AH29" s="87">
        <f t="shared" si="19"/>
        <v>2.0302782539960377E-2</v>
      </c>
      <c r="AI29" s="87">
        <f t="shared" si="19"/>
        <v>1.9535597304186539E-2</v>
      </c>
      <c r="AJ29" s="214">
        <f>AVERAGE(AH29:AI29)</f>
        <v>1.9919189922073456E-2</v>
      </c>
      <c r="AK29" s="87">
        <f t="shared" si="20"/>
        <v>2.0302782539960377E-2</v>
      </c>
      <c r="AL29" s="87">
        <f t="shared" si="20"/>
        <v>1.9535597304186539E-2</v>
      </c>
      <c r="AM29" s="87">
        <f>AVERAGE(AK29:AL29)</f>
        <v>1.9919189922073456E-2</v>
      </c>
      <c r="AN29" s="87">
        <f t="shared" si="21"/>
        <v>2.0302782539960377E-2</v>
      </c>
      <c r="AO29" s="87">
        <f t="shared" si="21"/>
        <v>1.9535597304186539E-2</v>
      </c>
      <c r="AP29" s="87">
        <f>AVERAGE(AN29:AO29)</f>
        <v>1.9919189922073456E-2</v>
      </c>
      <c r="AQ29" s="87">
        <f t="shared" si="22"/>
        <v>2.0302782539960377E-2</v>
      </c>
      <c r="AR29" s="87">
        <f t="shared" si="22"/>
        <v>1.9535597304186539E-2</v>
      </c>
      <c r="AS29" s="87">
        <f>AVERAGE(AQ29:AR29)</f>
        <v>1.9919189922073456E-2</v>
      </c>
      <c r="AT29" s="87">
        <f t="shared" si="23"/>
        <v>2.0302782539960377E-2</v>
      </c>
      <c r="AU29" s="87">
        <f t="shared" si="23"/>
        <v>1.9535597304186539E-2</v>
      </c>
      <c r="AV29" s="87">
        <f>AVERAGE(AT29:AU29)</f>
        <v>1.9919189922073456E-2</v>
      </c>
      <c r="AW29" s="87">
        <f t="shared" si="24"/>
        <v>2.0302782539960377E-2</v>
      </c>
      <c r="AX29" s="87">
        <f t="shared" si="24"/>
        <v>1.9535597304186539E-2</v>
      </c>
      <c r="AY29" s="87">
        <f>AVERAGE(AW29:AX29)</f>
        <v>1.9919189922073456E-2</v>
      </c>
      <c r="AZ29" s="87">
        <f t="shared" si="25"/>
        <v>2.0302782539960377E-2</v>
      </c>
      <c r="BA29" s="87">
        <f t="shared" si="25"/>
        <v>1.9535597304186539E-2</v>
      </c>
      <c r="BB29" s="87">
        <f>AVERAGE(AZ29:BA29)</f>
        <v>1.9919189922073456E-2</v>
      </c>
    </row>
    <row r="31" spans="1:54">
      <c r="A31" s="85" t="s">
        <v>511</v>
      </c>
      <c r="B31" s="382"/>
      <c r="C31" s="85"/>
      <c r="D31" s="370" t="str">
        <f>D3</f>
        <v>1H14A</v>
      </c>
      <c r="E31" s="370" t="str">
        <f t="shared" ref="E31:BB31" si="26">E3</f>
        <v>2H14A</v>
      </c>
      <c r="F31" s="370" t="str">
        <f t="shared" si="26"/>
        <v>FY14A</v>
      </c>
      <c r="G31" s="370" t="str">
        <f t="shared" si="26"/>
        <v>1H15A</v>
      </c>
      <c r="H31" s="370" t="str">
        <f t="shared" si="26"/>
        <v>2H15A</v>
      </c>
      <c r="I31" s="370" t="str">
        <f t="shared" si="26"/>
        <v>FY15A</v>
      </c>
      <c r="J31" s="370" t="str">
        <f t="shared" si="26"/>
        <v>1H16A</v>
      </c>
      <c r="K31" s="370" t="str">
        <f t="shared" si="26"/>
        <v>2H16A</v>
      </c>
      <c r="L31" s="370" t="str">
        <f t="shared" si="26"/>
        <v>FY16A</v>
      </c>
      <c r="M31" s="370" t="str">
        <f t="shared" si="26"/>
        <v>1H17A</v>
      </c>
      <c r="N31" s="370" t="str">
        <f t="shared" si="26"/>
        <v>2H17A</v>
      </c>
      <c r="O31" s="370" t="str">
        <f t="shared" si="26"/>
        <v>FY17A</v>
      </c>
      <c r="P31" s="370" t="str">
        <f t="shared" si="26"/>
        <v>1H18A</v>
      </c>
      <c r="Q31" s="370" t="str">
        <f t="shared" si="26"/>
        <v>2H18A</v>
      </c>
      <c r="R31" s="370" t="str">
        <f t="shared" si="26"/>
        <v>FY18A</v>
      </c>
      <c r="S31" s="370" t="str">
        <f t="shared" si="26"/>
        <v>1H19A</v>
      </c>
      <c r="T31" s="370" t="str">
        <f t="shared" si="26"/>
        <v>2H19A</v>
      </c>
      <c r="U31" s="370" t="str">
        <f t="shared" si="26"/>
        <v>FY19A</v>
      </c>
      <c r="V31" s="370" t="str">
        <f t="shared" si="26"/>
        <v>1H20A</v>
      </c>
      <c r="W31" s="370" t="str">
        <f t="shared" si="26"/>
        <v>2H20A</v>
      </c>
      <c r="X31" s="370" t="str">
        <f t="shared" si="26"/>
        <v>FY20A</v>
      </c>
      <c r="Y31" s="370" t="str">
        <f t="shared" si="26"/>
        <v>1H21A</v>
      </c>
      <c r="Z31" s="370" t="str">
        <f t="shared" si="26"/>
        <v>2H21A</v>
      </c>
      <c r="AA31" s="370" t="str">
        <f t="shared" si="26"/>
        <v>FY21A</v>
      </c>
      <c r="AB31" s="370" t="str">
        <f t="shared" si="26"/>
        <v>1H22A</v>
      </c>
      <c r="AC31" s="370" t="str">
        <f t="shared" si="26"/>
        <v>2H22A</v>
      </c>
      <c r="AD31" s="370" t="str">
        <f t="shared" si="26"/>
        <v>FY22A</v>
      </c>
      <c r="AE31" s="370" t="str">
        <f t="shared" si="26"/>
        <v>1H23A</v>
      </c>
      <c r="AF31" s="370" t="str">
        <f t="shared" si="26"/>
        <v>2H23A</v>
      </c>
      <c r="AG31" s="370" t="str">
        <f t="shared" si="26"/>
        <v>FY23A</v>
      </c>
      <c r="AH31" s="370" t="str">
        <f t="shared" si="26"/>
        <v>1H24A</v>
      </c>
      <c r="AI31" s="370" t="str">
        <f t="shared" si="26"/>
        <v>2H24A</v>
      </c>
      <c r="AJ31" s="386" t="str">
        <f t="shared" si="26"/>
        <v>FY24A</v>
      </c>
      <c r="AK31" s="370" t="str">
        <f t="shared" si="26"/>
        <v>1H25A</v>
      </c>
      <c r="AL31" s="370" t="str">
        <f t="shared" si="26"/>
        <v>2H25A</v>
      </c>
      <c r="AM31" s="370" t="str">
        <f t="shared" si="26"/>
        <v>FY25A</v>
      </c>
      <c r="AN31" s="370" t="str">
        <f t="shared" si="26"/>
        <v>1H26E</v>
      </c>
      <c r="AO31" s="370" t="str">
        <f t="shared" si="26"/>
        <v>2H26E</v>
      </c>
      <c r="AP31" s="370" t="str">
        <f t="shared" si="26"/>
        <v>FY26E</v>
      </c>
      <c r="AQ31" s="370" t="str">
        <f t="shared" si="26"/>
        <v>1H27E</v>
      </c>
      <c r="AR31" s="370" t="str">
        <f t="shared" si="26"/>
        <v>2H27E</v>
      </c>
      <c r="AS31" s="370" t="str">
        <f t="shared" si="26"/>
        <v>FY27E</v>
      </c>
      <c r="AT31" s="370" t="str">
        <f t="shared" si="26"/>
        <v>1H28E</v>
      </c>
      <c r="AU31" s="370" t="str">
        <f t="shared" si="26"/>
        <v>2H28E</v>
      </c>
      <c r="AV31" s="370" t="str">
        <f t="shared" si="26"/>
        <v>FY28E</v>
      </c>
      <c r="AW31" s="370" t="str">
        <f t="shared" si="26"/>
        <v>1H29E</v>
      </c>
      <c r="AX31" s="370" t="str">
        <f t="shared" si="26"/>
        <v>2H29E</v>
      </c>
      <c r="AY31" s="370" t="str">
        <f t="shared" si="26"/>
        <v>FY29E</v>
      </c>
      <c r="AZ31" s="370" t="str">
        <f t="shared" si="26"/>
        <v>1H30E</v>
      </c>
      <c r="BA31" s="370" t="str">
        <f t="shared" si="26"/>
        <v>2H30E</v>
      </c>
      <c r="BB31" s="370" t="str">
        <f t="shared" si="26"/>
        <v>FY30E</v>
      </c>
    </row>
    <row r="32" spans="1:54">
      <c r="A32" s="387" t="s">
        <v>514</v>
      </c>
      <c r="B32" s="383"/>
      <c r="C32" s="323"/>
      <c r="D32" s="65">
        <v>0.92176136363636352</v>
      </c>
      <c r="E32" s="65">
        <v>0.91492667067307698</v>
      </c>
      <c r="F32" s="65">
        <v>0.91834401715472025</v>
      </c>
      <c r="G32" s="65">
        <v>0.88985075757575749</v>
      </c>
      <c r="H32" s="65">
        <v>0.78227740384615374</v>
      </c>
      <c r="I32" s="65">
        <v>0.83606408071095561</v>
      </c>
      <c r="J32" s="65">
        <v>0.72294393939393942</v>
      </c>
      <c r="K32" s="65">
        <v>0.73435846153846152</v>
      </c>
      <c r="L32" s="65">
        <v>0.72865120046620047</v>
      </c>
      <c r="M32" s="325">
        <v>0.75374449883449857</v>
      </c>
      <c r="N32" s="65">
        <v>0.75447230769230766</v>
      </c>
      <c r="O32" s="65">
        <v>0.75410840326340312</v>
      </c>
      <c r="P32" s="65">
        <v>0.77920846153846168</v>
      </c>
      <c r="Q32" s="65">
        <v>0.76300923076923066</v>
      </c>
      <c r="R32" s="65">
        <v>0.77110884615384623</v>
      </c>
      <c r="S32" s="65">
        <v>0.71</v>
      </c>
      <c r="T32" s="65">
        <v>0.70124453124999997</v>
      </c>
      <c r="U32" s="65">
        <v>0.70562226562499997</v>
      </c>
      <c r="V32" s="65">
        <v>0.67999999999999994</v>
      </c>
      <c r="W32" s="65">
        <v>0.73499999999999999</v>
      </c>
      <c r="X32" s="65">
        <v>0.70750000000000002</v>
      </c>
      <c r="Y32" s="65">
        <v>0.71635833333333343</v>
      </c>
      <c r="Z32" s="65">
        <v>0.77074166666666655</v>
      </c>
      <c r="AA32" s="65">
        <v>0.74354999999999993</v>
      </c>
      <c r="AB32" s="65">
        <v>0.73604999999999998</v>
      </c>
      <c r="AC32" s="65">
        <v>0.72142499999999998</v>
      </c>
      <c r="AD32" s="65">
        <v>0.72873750000000004</v>
      </c>
      <c r="AE32" s="65">
        <v>0.67</v>
      </c>
      <c r="AF32" s="65">
        <v>0.69</v>
      </c>
      <c r="AG32" s="65">
        <v>0.67999999999999994</v>
      </c>
      <c r="AH32" s="451">
        <v>0.65301384615384639</v>
      </c>
      <c r="AI32" s="451">
        <v>0.65839538461538438</v>
      </c>
      <c r="AJ32" s="453">
        <v>0.65570461538461533</v>
      </c>
      <c r="AK32" s="65">
        <v>0.65</v>
      </c>
      <c r="AL32" s="65">
        <v>0.65</v>
      </c>
      <c r="AM32" s="65">
        <v>0.64904651515958089</v>
      </c>
      <c r="AN32" s="65">
        <v>0.66</v>
      </c>
      <c r="AO32" s="65">
        <v>0.66</v>
      </c>
      <c r="AP32" s="65">
        <v>0.66</v>
      </c>
      <c r="AQ32" s="65">
        <v>0.67</v>
      </c>
      <c r="AR32" s="65">
        <v>0.67</v>
      </c>
      <c r="AS32" s="65">
        <v>0.67</v>
      </c>
      <c r="AT32" s="65">
        <v>0.67</v>
      </c>
      <c r="AU32" s="65">
        <v>0.67</v>
      </c>
      <c r="AV32" s="65">
        <v>0.67</v>
      </c>
      <c r="AW32" s="65">
        <v>0.67</v>
      </c>
      <c r="AX32" s="65">
        <v>0.67</v>
      </c>
      <c r="AY32" s="65">
        <v>0.67</v>
      </c>
      <c r="AZ32" s="65">
        <v>0.67</v>
      </c>
      <c r="BA32" s="65">
        <v>0.67</v>
      </c>
      <c r="BB32" s="65">
        <v>0.67</v>
      </c>
    </row>
    <row r="33" spans="1:54">
      <c r="A33" s="387" t="s">
        <v>515</v>
      </c>
      <c r="B33" s="383"/>
      <c r="C33" s="323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>
        <v>0.67999999999999994</v>
      </c>
      <c r="W33" s="65">
        <v>0.73499999999999999</v>
      </c>
      <c r="X33" s="65">
        <v>0.70750000000000002</v>
      </c>
      <c r="Y33" s="65">
        <v>0.71635833333333343</v>
      </c>
      <c r="Z33" s="65">
        <v>0.77074166666666655</v>
      </c>
      <c r="AA33" s="65">
        <v>0.74354999999999993</v>
      </c>
      <c r="AB33" s="65">
        <v>0.73604999999999998</v>
      </c>
      <c r="AC33" s="65">
        <v>0.72142499999999998</v>
      </c>
      <c r="AD33" s="65">
        <v>0.72873750000000004</v>
      </c>
      <c r="AE33" s="65">
        <v>0.67</v>
      </c>
      <c r="AF33" s="65">
        <v>0.69</v>
      </c>
      <c r="AG33" s="65">
        <v>0.67999999999999994</v>
      </c>
      <c r="AH33" s="452">
        <v>0.65304951276923084</v>
      </c>
      <c r="AI33" s="452">
        <v>0.65837541530769228</v>
      </c>
      <c r="AJ33" s="454">
        <f>AVERAGE(AH33,AI33)</f>
        <v>0.65571246403846151</v>
      </c>
      <c r="AK33" s="452">
        <v>0.66166574193206507</v>
      </c>
      <c r="AL33" s="452">
        <v>0.63877328861111105</v>
      </c>
      <c r="AM33" s="452">
        <f>AVERAGE(AK33,AL33)</f>
        <v>0.65021951527158806</v>
      </c>
      <c r="AN33" s="452">
        <v>0.67</v>
      </c>
      <c r="AO33" s="452">
        <v>0.7</v>
      </c>
      <c r="AP33" s="452">
        <f t="shared" ref="AP33:BB33" si="27">AO33</f>
        <v>0.7</v>
      </c>
      <c r="AQ33" s="452">
        <f t="shared" si="27"/>
        <v>0.7</v>
      </c>
      <c r="AR33" s="452">
        <f t="shared" si="27"/>
        <v>0.7</v>
      </c>
      <c r="AS33" s="452">
        <f t="shared" si="27"/>
        <v>0.7</v>
      </c>
      <c r="AT33" s="452">
        <f t="shared" si="27"/>
        <v>0.7</v>
      </c>
      <c r="AU33" s="452">
        <f t="shared" si="27"/>
        <v>0.7</v>
      </c>
      <c r="AV33" s="452">
        <f t="shared" si="27"/>
        <v>0.7</v>
      </c>
      <c r="AW33" s="452">
        <f t="shared" si="27"/>
        <v>0.7</v>
      </c>
      <c r="AX33" s="452">
        <f t="shared" si="27"/>
        <v>0.7</v>
      </c>
      <c r="AY33" s="452">
        <f t="shared" si="27"/>
        <v>0.7</v>
      </c>
      <c r="AZ33" s="452">
        <f t="shared" si="27"/>
        <v>0.7</v>
      </c>
      <c r="BA33" s="452">
        <f t="shared" si="27"/>
        <v>0.7</v>
      </c>
      <c r="BB33" s="452">
        <f t="shared" si="27"/>
        <v>0.7</v>
      </c>
    </row>
    <row r="34" spans="1:54">
      <c r="A34" s="323"/>
      <c r="B34" s="383"/>
      <c r="C34" s="323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368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</row>
    <row r="35" spans="1:54" s="13" customFormat="1">
      <c r="A35" s="13" t="s">
        <v>497</v>
      </c>
      <c r="B35" s="55" t="s">
        <v>512</v>
      </c>
      <c r="C35" s="323"/>
      <c r="D35" s="94">
        <v>307.5</v>
      </c>
      <c r="E35" s="94">
        <v>316.39999999999998</v>
      </c>
      <c r="F35" s="94">
        <f>+E35+D35</f>
        <v>623.9</v>
      </c>
      <c r="G35" s="94">
        <v>331.4</v>
      </c>
      <c r="H35" s="94">
        <v>345.3</v>
      </c>
      <c r="I35" s="94">
        <f>+H35+G35</f>
        <v>676.7</v>
      </c>
      <c r="J35" s="94">
        <v>369.3</v>
      </c>
      <c r="K35" s="94">
        <v>388.1</v>
      </c>
      <c r="L35" s="94">
        <f>+K35+J35</f>
        <v>757.40000000000009</v>
      </c>
      <c r="M35" s="94">
        <v>393.4</v>
      </c>
      <c r="N35" s="94">
        <v>419</v>
      </c>
      <c r="O35" s="94">
        <f>+N35+M35</f>
        <v>812.4</v>
      </c>
      <c r="P35" s="94">
        <v>429.9</v>
      </c>
      <c r="Q35" s="94">
        <v>452.1</v>
      </c>
      <c r="R35" s="94">
        <f>+Q35+P35</f>
        <v>882</v>
      </c>
      <c r="S35" s="94">
        <v>423.6</v>
      </c>
      <c r="T35" s="94">
        <v>430.7</v>
      </c>
      <c r="U35" s="94">
        <f>+T35+S35</f>
        <v>854.3</v>
      </c>
      <c r="V35" s="94">
        <v>457</v>
      </c>
      <c r="W35" s="94">
        <v>431.79999999999995</v>
      </c>
      <c r="X35" s="94">
        <f>+W35+V35</f>
        <v>888.8</v>
      </c>
      <c r="Y35" s="94">
        <v>558.69999999999993</v>
      </c>
      <c r="Z35" s="94">
        <v>564.59999999999991</v>
      </c>
      <c r="AA35" s="94">
        <f>+Z35+Y35</f>
        <v>1123.2999999999997</v>
      </c>
      <c r="AB35" s="94">
        <v>562.30000000000007</v>
      </c>
      <c r="AC35" s="94">
        <v>570</v>
      </c>
      <c r="AD35" s="94">
        <f>+AC35+AB35</f>
        <v>1132.3000000000002</v>
      </c>
      <c r="AE35" s="94">
        <v>435.1</v>
      </c>
      <c r="AF35" s="94">
        <v>449.4</v>
      </c>
      <c r="AG35" s="94">
        <f>+AF35+AE35</f>
        <v>884.5</v>
      </c>
      <c r="AH35" s="94">
        <v>498.20000000000005</v>
      </c>
      <c r="AI35" s="94">
        <v>522.29999999999995</v>
      </c>
      <c r="AJ35" s="95">
        <f>+AI35+AH35</f>
        <v>1020.5</v>
      </c>
      <c r="AK35" s="94">
        <v>487.2</v>
      </c>
      <c r="AL35" s="94">
        <v>528.50199999999995</v>
      </c>
      <c r="AM35" s="94">
        <f>+AL35+AK35</f>
        <v>1015.702</v>
      </c>
      <c r="AN35" s="94">
        <v>509.94200000000001</v>
      </c>
      <c r="AO35" s="94">
        <v>539.07204000000002</v>
      </c>
      <c r="AP35" s="94">
        <f>+AO35+AN35</f>
        <v>1049.01404</v>
      </c>
      <c r="AQ35" s="94">
        <v>520.14084000000003</v>
      </c>
      <c r="AR35" s="94">
        <v>555.24420119999991</v>
      </c>
      <c r="AS35" s="94">
        <f>+AR35+AQ35</f>
        <v>1075.3850411999999</v>
      </c>
      <c r="AT35" s="94">
        <v>535.7450652</v>
      </c>
      <c r="AU35" s="94">
        <v>533.03443315199991</v>
      </c>
      <c r="AV35" s="94">
        <f>+AU35+AT35</f>
        <v>1068.7794983519998</v>
      </c>
      <c r="AW35" s="94">
        <v>514.31526259199995</v>
      </c>
      <c r="AX35" s="94">
        <v>506.38271149439993</v>
      </c>
      <c r="AY35" s="94">
        <f>+AX35+AW35</f>
        <v>1020.6979740863999</v>
      </c>
      <c r="AZ35" s="94">
        <v>488.59949946239999</v>
      </c>
      <c r="BA35" s="94">
        <v>475.99974880473587</v>
      </c>
      <c r="BB35" s="94">
        <f>+BA35+AZ35</f>
        <v>964.59924826713586</v>
      </c>
    </row>
    <row r="36" spans="1:54">
      <c r="A36" s="31" t="s">
        <v>179</v>
      </c>
      <c r="B36" s="101" t="s">
        <v>76</v>
      </c>
      <c r="D36" s="88"/>
      <c r="E36" s="88"/>
      <c r="F36" s="88"/>
      <c r="G36" s="88">
        <f t="shared" ref="G36:X36" si="28">+G35/D35-1</f>
        <v>7.7723577235772279E-2</v>
      </c>
      <c r="H36" s="88">
        <f t="shared" si="28"/>
        <v>9.1340075853350244E-2</v>
      </c>
      <c r="I36" s="88">
        <f t="shared" si="28"/>
        <v>8.4628946946626149E-2</v>
      </c>
      <c r="J36" s="88">
        <f t="shared" si="28"/>
        <v>0.11436330718165366</v>
      </c>
      <c r="K36" s="88">
        <f t="shared" si="28"/>
        <v>0.12395018824210835</v>
      </c>
      <c r="L36" s="88">
        <f t="shared" si="28"/>
        <v>0.11925520910299992</v>
      </c>
      <c r="M36" s="88">
        <f t="shared" si="28"/>
        <v>6.5258597346330882E-2</v>
      </c>
      <c r="N36" s="88">
        <f t="shared" si="28"/>
        <v>7.961865498582843E-2</v>
      </c>
      <c r="O36" s="88">
        <f t="shared" si="28"/>
        <v>7.2616847108529115E-2</v>
      </c>
      <c r="P36" s="88">
        <f t="shared" si="28"/>
        <v>9.2780884595831115E-2</v>
      </c>
      <c r="Q36" s="88">
        <f t="shared" si="28"/>
        <v>7.8997613365155095E-2</v>
      </c>
      <c r="R36" s="88">
        <f t="shared" si="28"/>
        <v>8.5672082717872966E-2</v>
      </c>
      <c r="S36" s="88">
        <f t="shared" si="28"/>
        <v>-1.465457083042554E-2</v>
      </c>
      <c r="T36" s="88">
        <f t="shared" si="28"/>
        <v>-4.7334660473346668E-2</v>
      </c>
      <c r="U36" s="88">
        <f t="shared" si="28"/>
        <v>-3.1405895691610008E-2</v>
      </c>
      <c r="V36" s="88">
        <f t="shared" si="28"/>
        <v>7.8847969782813943E-2</v>
      </c>
      <c r="W36" s="88">
        <f t="shared" si="28"/>
        <v>2.5539818899464883E-3</v>
      </c>
      <c r="X36" s="88">
        <f t="shared" si="28"/>
        <v>4.038394006789181E-2</v>
      </c>
      <c r="Y36" s="88">
        <f>+Y35/V35-1</f>
        <v>0.22253829321662999</v>
      </c>
      <c r="Z36" s="88">
        <f>+Z35/W35-1</f>
        <v>0.30754979157017126</v>
      </c>
      <c r="AA36" s="88">
        <f>+AA35/X35-1</f>
        <v>0.2638388838883885</v>
      </c>
      <c r="AB36" s="88">
        <f t="shared" ref="AB36:AJ36" si="29">+AB35/Y35-1</f>
        <v>6.4435296223377403E-3</v>
      </c>
      <c r="AC36" s="88">
        <f t="shared" si="29"/>
        <v>9.5642933049948642E-3</v>
      </c>
      <c r="AD36" s="88">
        <f t="shared" si="29"/>
        <v>8.0121071841898761E-3</v>
      </c>
      <c r="AE36" s="88">
        <f t="shared" si="29"/>
        <v>-0.22621376489418465</v>
      </c>
      <c r="AF36" s="88">
        <f t="shared" si="29"/>
        <v>-0.21157894736842109</v>
      </c>
      <c r="AG36" s="88">
        <f t="shared" si="29"/>
        <v>-0.21884659542524076</v>
      </c>
      <c r="AH36" s="88">
        <f t="shared" si="29"/>
        <v>0.14502413238336009</v>
      </c>
      <c r="AI36" s="88">
        <f t="shared" si="29"/>
        <v>0.16221628838451263</v>
      </c>
      <c r="AJ36" s="218">
        <f t="shared" si="29"/>
        <v>0.15375918598078009</v>
      </c>
      <c r="AK36" s="88">
        <f t="shared" ref="AK36:BB36" si="30">+AK35/AH35-1</f>
        <v>-2.2079486150140659E-2</v>
      </c>
      <c r="AL36" s="88">
        <f t="shared" si="30"/>
        <v>1.187440168485554E-2</v>
      </c>
      <c r="AM36" s="88">
        <f t="shared" si="30"/>
        <v>-4.7016168544831149E-3</v>
      </c>
      <c r="AN36" s="88">
        <f t="shared" si="30"/>
        <v>4.6678981937602559E-2</v>
      </c>
      <c r="AO36" s="88">
        <f t="shared" si="30"/>
        <v>2.0000000000000018E-2</v>
      </c>
      <c r="AP36" s="88">
        <f t="shared" si="30"/>
        <v>3.2797060555162849E-2</v>
      </c>
      <c r="AQ36" s="88">
        <f t="shared" si="30"/>
        <v>2.0000000000000018E-2</v>
      </c>
      <c r="AR36" s="88">
        <f t="shared" si="30"/>
        <v>2.9999999999999805E-2</v>
      </c>
      <c r="AS36" s="88">
        <f t="shared" si="30"/>
        <v>2.5138844852829578E-2</v>
      </c>
      <c r="AT36" s="88">
        <f t="shared" si="30"/>
        <v>3.0000000000000027E-2</v>
      </c>
      <c r="AU36" s="88">
        <f t="shared" si="30"/>
        <v>-4.0000000000000036E-2</v>
      </c>
      <c r="AV36" s="88">
        <f t="shared" si="30"/>
        <v>-6.1424909171408082E-3</v>
      </c>
      <c r="AW36" s="88">
        <f t="shared" si="30"/>
        <v>-4.0000000000000036E-2</v>
      </c>
      <c r="AX36" s="88">
        <f t="shared" si="30"/>
        <v>-4.9999999999999933E-2</v>
      </c>
      <c r="AY36" s="88">
        <f t="shared" si="30"/>
        <v>-4.4987319030482031E-2</v>
      </c>
      <c r="AZ36" s="88">
        <f t="shared" si="30"/>
        <v>-4.9999999999999933E-2</v>
      </c>
      <c r="BA36" s="88">
        <f t="shared" si="30"/>
        <v>-6.0000000000000164E-2</v>
      </c>
      <c r="BB36" s="88">
        <f t="shared" si="30"/>
        <v>-5.4961141535993074E-2</v>
      </c>
    </row>
    <row r="37" spans="1:54">
      <c r="A37" s="89" t="s">
        <v>507</v>
      </c>
      <c r="B37" s="384" t="s">
        <v>512</v>
      </c>
      <c r="C37" s="323"/>
      <c r="D37" s="92">
        <v>339</v>
      </c>
      <c r="E37" s="92">
        <v>276.39999999999998</v>
      </c>
      <c r="F37" s="92">
        <f>+E37+D37</f>
        <v>615.4</v>
      </c>
      <c r="G37" s="92">
        <v>360.2</v>
      </c>
      <c r="H37" s="92">
        <v>293.7</v>
      </c>
      <c r="I37" s="92">
        <f>+H37+G37</f>
        <v>653.9</v>
      </c>
      <c r="J37" s="92">
        <v>408.6</v>
      </c>
      <c r="K37" s="92">
        <v>336.5</v>
      </c>
      <c r="L37" s="92">
        <f>+K37+J37</f>
        <v>745.1</v>
      </c>
      <c r="M37" s="92">
        <v>424.2</v>
      </c>
      <c r="N37" s="92">
        <v>368.3</v>
      </c>
      <c r="O37" s="92">
        <f>+N37+M37</f>
        <v>792.5</v>
      </c>
      <c r="P37" s="92">
        <v>467.6</v>
      </c>
      <c r="Q37" s="92">
        <v>394.70000000000005</v>
      </c>
      <c r="R37" s="92">
        <f>+Q37+P37</f>
        <v>862.30000000000007</v>
      </c>
      <c r="S37" s="92">
        <v>494.9</v>
      </c>
      <c r="T37" s="92">
        <v>374.6</v>
      </c>
      <c r="U37" s="92">
        <f>+T37+S37</f>
        <v>869.5</v>
      </c>
      <c r="V37" s="92">
        <v>485.4</v>
      </c>
      <c r="W37" s="92">
        <v>428.1</v>
      </c>
      <c r="X37" s="92">
        <f>+W37+V37</f>
        <v>913.5</v>
      </c>
      <c r="Y37" s="92">
        <v>498.69999999999993</v>
      </c>
      <c r="Z37" s="92">
        <v>532.70000000000005</v>
      </c>
      <c r="AA37" s="92">
        <f>+Z37+Y37</f>
        <v>1031.4000000000001</v>
      </c>
      <c r="AB37" s="92">
        <v>605.4</v>
      </c>
      <c r="AC37" s="92">
        <v>532.90000000000009</v>
      </c>
      <c r="AD37" s="92">
        <f>+AC37+AB37</f>
        <v>1138.3000000000002</v>
      </c>
      <c r="AE37" s="92">
        <v>545</v>
      </c>
      <c r="AF37" s="92">
        <v>381.6</v>
      </c>
      <c r="AG37" s="92">
        <f>+AF37+AE37</f>
        <v>926.6</v>
      </c>
      <c r="AH37" s="92">
        <v>520.5</v>
      </c>
      <c r="AI37" s="92">
        <v>480.20000000000005</v>
      </c>
      <c r="AJ37" s="93">
        <f>+AI37+AH37</f>
        <v>1000.7</v>
      </c>
      <c r="AK37" s="92">
        <v>540.79999999999995</v>
      </c>
      <c r="AL37" s="92">
        <v>466.47199999999998</v>
      </c>
      <c r="AM37" s="92">
        <f>+AL37+AK37</f>
        <v>1007.2719999999999</v>
      </c>
      <c r="AN37" s="92">
        <v>560.60200000000009</v>
      </c>
      <c r="AO37" s="92">
        <v>482.62343999999996</v>
      </c>
      <c r="AP37" s="92">
        <f>+AO37+AN37</f>
        <v>1043.2254400000002</v>
      </c>
      <c r="AQ37" s="92">
        <v>571.81403999999998</v>
      </c>
      <c r="AR37" s="92">
        <v>494.71444320000001</v>
      </c>
      <c r="AS37" s="92">
        <f>+AR37+AQ37</f>
        <v>1066.5284832</v>
      </c>
      <c r="AT37" s="92">
        <v>588.96846120000009</v>
      </c>
      <c r="AU37" s="92">
        <v>491.97404347199995</v>
      </c>
      <c r="AV37" s="92">
        <f>+AU37+AT37</f>
        <v>1080.942504672</v>
      </c>
      <c r="AW37" s="92">
        <v>565.40972275199999</v>
      </c>
      <c r="AX37" s="92">
        <v>469.88385891839994</v>
      </c>
      <c r="AY37" s="92">
        <f>+AX37+AW37</f>
        <v>1035.2935816703998</v>
      </c>
      <c r="AZ37" s="92">
        <v>537.13923661440003</v>
      </c>
      <c r="BA37" s="92">
        <v>444.09900429849591</v>
      </c>
      <c r="BB37" s="92">
        <f>+BA37+AZ37</f>
        <v>981.23824091289589</v>
      </c>
    </row>
    <row r="38" spans="1:54">
      <c r="A38" s="329" t="s">
        <v>179</v>
      </c>
      <c r="B38" s="101" t="s">
        <v>76</v>
      </c>
      <c r="C38" s="31"/>
      <c r="D38" s="88"/>
      <c r="E38" s="88"/>
      <c r="F38" s="88"/>
      <c r="G38" s="88">
        <f t="shared" ref="G38:AM38" si="31">+G37/D37-1</f>
        <v>6.2536873156342043E-2</v>
      </c>
      <c r="H38" s="88">
        <f t="shared" si="31"/>
        <v>6.2590448625180928E-2</v>
      </c>
      <c r="I38" s="88">
        <f t="shared" si="31"/>
        <v>6.2560935976600618E-2</v>
      </c>
      <c r="J38" s="88">
        <f t="shared" si="31"/>
        <v>0.13436979455857867</v>
      </c>
      <c r="K38" s="88">
        <f t="shared" si="31"/>
        <v>0.14572693224378619</v>
      </c>
      <c r="L38" s="88">
        <f t="shared" si="31"/>
        <v>0.13947086710506196</v>
      </c>
      <c r="M38" s="88">
        <f t="shared" si="31"/>
        <v>3.8179148311306754E-2</v>
      </c>
      <c r="N38" s="88">
        <f t="shared" si="31"/>
        <v>9.4502228826151669E-2</v>
      </c>
      <c r="O38" s="88">
        <f t="shared" si="31"/>
        <v>6.3615622064152388E-2</v>
      </c>
      <c r="P38" s="88">
        <f t="shared" si="31"/>
        <v>0.10231023102310233</v>
      </c>
      <c r="Q38" s="88">
        <f t="shared" si="31"/>
        <v>7.1680695085528212E-2</v>
      </c>
      <c r="R38" s="88">
        <f t="shared" si="31"/>
        <v>8.807570977918E-2</v>
      </c>
      <c r="S38" s="88">
        <f t="shared" si="31"/>
        <v>5.8383233532933954E-2</v>
      </c>
      <c r="T38" s="88">
        <f t="shared" si="31"/>
        <v>-5.0924752976944543E-2</v>
      </c>
      <c r="U38" s="88">
        <f t="shared" si="31"/>
        <v>8.3497622637132007E-3</v>
      </c>
      <c r="V38" s="88">
        <f t="shared" si="31"/>
        <v>-1.9195797130733494E-2</v>
      </c>
      <c r="W38" s="88">
        <f t="shared" si="31"/>
        <v>0.14281900694073668</v>
      </c>
      <c r="X38" s="88">
        <f t="shared" si="31"/>
        <v>5.0603795284646313E-2</v>
      </c>
      <c r="Y38" s="88">
        <f t="shared" si="31"/>
        <v>2.7400082406262793E-2</v>
      </c>
      <c r="Z38" s="88">
        <f t="shared" si="31"/>
        <v>0.24433543564587712</v>
      </c>
      <c r="AA38" s="88">
        <f t="shared" si="31"/>
        <v>0.12906403940886713</v>
      </c>
      <c r="AB38" s="88">
        <f t="shared" si="31"/>
        <v>0.21395628634449571</v>
      </c>
      <c r="AC38" s="88">
        <f t="shared" si="31"/>
        <v>3.7544584193738295E-4</v>
      </c>
      <c r="AD38" s="88">
        <f t="shared" si="31"/>
        <v>0.10364553034710111</v>
      </c>
      <c r="AE38" s="88">
        <f t="shared" si="31"/>
        <v>-9.9768747935249369E-2</v>
      </c>
      <c r="AF38" s="88">
        <f t="shared" si="31"/>
        <v>-0.28391818352411347</v>
      </c>
      <c r="AG38" s="88">
        <f t="shared" si="31"/>
        <v>-0.18597909162786619</v>
      </c>
      <c r="AH38" s="88">
        <f t="shared" si="31"/>
        <v>-4.4954128440366947E-2</v>
      </c>
      <c r="AI38" s="88">
        <f t="shared" si="31"/>
        <v>0.25838574423480098</v>
      </c>
      <c r="AJ38" s="218">
        <f t="shared" si="31"/>
        <v>7.9969781998704859E-2</v>
      </c>
      <c r="AK38" s="88">
        <f t="shared" si="31"/>
        <v>3.9000960614793412E-2</v>
      </c>
      <c r="AL38" s="88">
        <f t="shared" si="31"/>
        <v>-2.8588088296543246E-2</v>
      </c>
      <c r="AM38" s="88">
        <f t="shared" si="31"/>
        <v>6.567402818027368E-3</v>
      </c>
      <c r="AN38" s="88">
        <f t="shared" ref="AN38:BB38" si="32">+AN37/AK37-1</f>
        <v>3.6616124260355321E-2</v>
      </c>
      <c r="AO38" s="88">
        <f t="shared" si="32"/>
        <v>3.4624672006036805E-2</v>
      </c>
      <c r="AP38" s="88">
        <f t="shared" si="32"/>
        <v>3.569387414720171E-2</v>
      </c>
      <c r="AQ38" s="88">
        <f t="shared" si="32"/>
        <v>1.9999999999999796E-2</v>
      </c>
      <c r="AR38" s="88">
        <f t="shared" si="32"/>
        <v>2.5052664661293855E-2</v>
      </c>
      <c r="AS38" s="88">
        <f t="shared" si="32"/>
        <v>2.2337495143906594E-2</v>
      </c>
      <c r="AT38" s="88">
        <f t="shared" si="32"/>
        <v>3.0000000000000249E-2</v>
      </c>
      <c r="AU38" s="88">
        <f t="shared" si="32"/>
        <v>-5.5393566241448422E-3</v>
      </c>
      <c r="AV38" s="88">
        <f t="shared" si="32"/>
        <v>1.3514895944224836E-2</v>
      </c>
      <c r="AW38" s="88">
        <f t="shared" si="32"/>
        <v>-4.0000000000000147E-2</v>
      </c>
      <c r="AX38" s="88">
        <f t="shared" si="32"/>
        <v>-4.490111794862861E-2</v>
      </c>
      <c r="AY38" s="88">
        <f t="shared" si="32"/>
        <v>-4.2230667037607028E-2</v>
      </c>
      <c r="AZ38" s="88">
        <f t="shared" si="32"/>
        <v>-4.9999999999999933E-2</v>
      </c>
      <c r="BA38" s="88">
        <f t="shared" si="32"/>
        <v>-5.4874952885712647E-2</v>
      </c>
      <c r="BB38" s="88">
        <f t="shared" si="32"/>
        <v>-5.2212572080557185E-2</v>
      </c>
    </row>
    <row r="40" spans="1:54" s="13" customFormat="1">
      <c r="A40" s="13" t="s">
        <v>496</v>
      </c>
      <c r="B40" s="55" t="s">
        <v>499</v>
      </c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5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</row>
    <row r="41" spans="1:54">
      <c r="A41" s="31" t="s">
        <v>179</v>
      </c>
      <c r="B41" s="101" t="s">
        <v>76</v>
      </c>
      <c r="C41" s="31"/>
      <c r="D41" s="88">
        <v>-1.5694118624867914E-2</v>
      </c>
      <c r="E41" s="88">
        <v>2.9651567438581994E-2</v>
      </c>
      <c r="F41" s="88">
        <v>6.8894164323449747E-3</v>
      </c>
      <c r="G41" s="88">
        <v>7.5720261044373904E-2</v>
      </c>
      <c r="H41" s="88">
        <v>7.8699831253154828E-2</v>
      </c>
      <c r="I41" s="88">
        <v>7.7237723935702274E-2</v>
      </c>
      <c r="J41" s="88">
        <v>8.1469668651111826E-2</v>
      </c>
      <c r="K41" s="88">
        <v>5.0552686527237212E-2</v>
      </c>
      <c r="L41" s="88">
        <v>6.570261272237321E-2</v>
      </c>
      <c r="M41" s="88">
        <v>2.1964753809312398E-2</v>
      </c>
      <c r="N41" s="88">
        <v>1.8902968311743429E-2</v>
      </c>
      <c r="O41" s="88">
        <v>2.0425500549087872E-2</v>
      </c>
      <c r="P41" s="88">
        <v>1.5906988767286245E-2</v>
      </c>
      <c r="Q41" s="88">
        <v>1.9276407558133757E-2</v>
      </c>
      <c r="R41" s="88">
        <v>1.7598371288732206E-2</v>
      </c>
      <c r="S41" s="88">
        <v>2.259306826438201E-2</v>
      </c>
      <c r="T41" s="88">
        <v>2.4411094071577821E-2</v>
      </c>
      <c r="U41" s="88">
        <v>2.3507186678340064E-2</v>
      </c>
      <c r="V41" s="88">
        <v>2.6188952599683901E-2</v>
      </c>
      <c r="W41" s="88">
        <v>2.5355108629770307E-2</v>
      </c>
      <c r="X41" s="88">
        <v>2.5769318682865361E-2</v>
      </c>
      <c r="Y41" s="88">
        <v>2.454254485406282E-2</v>
      </c>
      <c r="Z41" s="88">
        <v>2.5777221247615278E-2</v>
      </c>
      <c r="AA41" s="88">
        <v>2.5163647714826487E-2</v>
      </c>
      <c r="AB41" s="88">
        <v>2.454254485406282E-2</v>
      </c>
      <c r="AC41" s="88">
        <v>2.5777221247615278E-2</v>
      </c>
      <c r="AD41" s="88">
        <v>2.5163647714826487E-2</v>
      </c>
      <c r="AE41" s="88">
        <v>2.454254485406282E-2</v>
      </c>
      <c r="AF41" s="88">
        <v>2.5777221247615278E-2</v>
      </c>
      <c r="AG41" s="88">
        <v>2.5163647714826487E-2</v>
      </c>
      <c r="AH41" s="88">
        <v>2.454254485406282E-2</v>
      </c>
      <c r="AI41" s="88">
        <v>2.5777221247615278E-2</v>
      </c>
      <c r="AJ41" s="218">
        <v>2.5163647714826487E-2</v>
      </c>
      <c r="AK41" s="88">
        <v>2.454254485406282E-2</v>
      </c>
      <c r="AL41" s="88">
        <v>2.5777221247615278E-2</v>
      </c>
      <c r="AM41" s="88">
        <v>2.5163647714826487E-2</v>
      </c>
      <c r="AN41" s="88">
        <v>2.454254485406282E-2</v>
      </c>
      <c r="AO41" s="88">
        <v>2.5777221247615278E-2</v>
      </c>
      <c r="AP41" s="88">
        <v>2.5163647714826487E-2</v>
      </c>
      <c r="AQ41" s="88">
        <v>2.454254485406282E-2</v>
      </c>
      <c r="AR41" s="88">
        <v>2.5777221247615278E-2</v>
      </c>
      <c r="AS41" s="88">
        <v>2.5163647714826487E-2</v>
      </c>
      <c r="AT41" s="88">
        <v>2.454254485406282E-2</v>
      </c>
      <c r="AU41" s="88">
        <v>2.5777221247615278E-2</v>
      </c>
      <c r="AV41" s="88">
        <v>2.5163647714826487E-2</v>
      </c>
      <c r="AW41" s="88">
        <v>2.454254485406282E-2</v>
      </c>
      <c r="AX41" s="88">
        <v>2.5777221247615278E-2</v>
      </c>
      <c r="AY41" s="88">
        <v>2.5163647714826487E-2</v>
      </c>
      <c r="AZ41" s="88">
        <v>2.454254485406282E-2</v>
      </c>
      <c r="BA41" s="88">
        <v>2.5777221247615278E-2</v>
      </c>
      <c r="BB41" s="88">
        <v>2.5163647714826487E-2</v>
      </c>
    </row>
    <row r="43" spans="1:54">
      <c r="A43" s="323" t="s">
        <v>513</v>
      </c>
      <c r="B43" s="55" t="s">
        <v>481</v>
      </c>
      <c r="D43" s="94">
        <v>65982</v>
      </c>
      <c r="E43" s="94">
        <v>60406</v>
      </c>
      <c r="F43" s="94">
        <f>SUM(D43:E43)</f>
        <v>126388</v>
      </c>
      <c r="G43" s="94">
        <v>75091</v>
      </c>
      <c r="H43" s="94">
        <v>60180</v>
      </c>
      <c r="I43" s="94">
        <f>SUM(G43:H43)</f>
        <v>135271</v>
      </c>
      <c r="J43" s="94">
        <v>84039</v>
      </c>
      <c r="K43" s="94">
        <v>67342</v>
      </c>
      <c r="L43" s="94">
        <f>SUM(J43:K43)</f>
        <v>151381</v>
      </c>
      <c r="M43" s="94">
        <v>89537</v>
      </c>
      <c r="N43" s="94">
        <v>83238</v>
      </c>
      <c r="O43" s="94">
        <f>SUM(M43:N43)</f>
        <v>172775</v>
      </c>
      <c r="P43" s="94">
        <v>107469</v>
      </c>
      <c r="Q43" s="94">
        <v>91482</v>
      </c>
      <c r="R43" s="94">
        <f>SUM(P43:Q43)</f>
        <v>198951</v>
      </c>
      <c r="S43" s="94">
        <v>106345</v>
      </c>
      <c r="T43" s="94">
        <v>73816</v>
      </c>
      <c r="U43" s="94">
        <f>SUM(S43:T43)</f>
        <v>180161</v>
      </c>
      <c r="V43" s="94">
        <v>102093</v>
      </c>
      <c r="W43" s="94">
        <v>93926</v>
      </c>
      <c r="X43" s="94">
        <f>SUM(V43:W43)</f>
        <v>196019</v>
      </c>
      <c r="Y43" s="94">
        <v>130732</v>
      </c>
      <c r="Z43" s="94">
        <v>109590</v>
      </c>
      <c r="AA43" s="94">
        <f>SUM(Y43:Z43)</f>
        <v>240322</v>
      </c>
      <c r="AB43" s="94">
        <v>148223</v>
      </c>
      <c r="AC43" s="94">
        <v>142031</v>
      </c>
      <c r="AD43" s="94">
        <f>SUM(AB43:AC43)</f>
        <v>290254</v>
      </c>
      <c r="AE43" s="94">
        <v>204049</v>
      </c>
      <c r="AF43" s="94">
        <v>148388</v>
      </c>
      <c r="AG43" s="94">
        <f>SUM(AE43:AF43)</f>
        <v>352437</v>
      </c>
      <c r="AH43" s="94">
        <v>187855</v>
      </c>
      <c r="AI43" s="94">
        <v>137117.32</v>
      </c>
      <c r="AJ43" s="95">
        <f>SUM(AH43:AI43)</f>
        <v>324972.32</v>
      </c>
      <c r="AK43" s="94">
        <v>172826.6</v>
      </c>
      <c r="AL43" s="94">
        <v>126699.004</v>
      </c>
      <c r="AM43" s="94">
        <f>SUM(AK43:AL43)</f>
        <v>299525.60399999999</v>
      </c>
      <c r="AN43" s="94">
        <v>147813.06959999999</v>
      </c>
      <c r="AO43" s="94">
        <v>149972.98000000001</v>
      </c>
      <c r="AP43" s="94">
        <f>SUM(AN43:AO43)</f>
        <v>297786.04960000003</v>
      </c>
      <c r="AQ43" s="94">
        <v>126699.004</v>
      </c>
      <c r="AR43" s="94">
        <v>172804.02320000003</v>
      </c>
      <c r="AS43" s="94">
        <f>SUM(AQ43:AR43)</f>
        <v>299503.02720000001</v>
      </c>
      <c r="AT43" s="94">
        <v>152972.43960000001</v>
      </c>
      <c r="AU43" s="94">
        <v>153725.59238399999</v>
      </c>
      <c r="AV43" s="94">
        <f>SUM(AT43:AU43)</f>
        <v>306698.031984</v>
      </c>
      <c r="AW43" s="94">
        <v>179716.18412799999</v>
      </c>
      <c r="AX43" s="94">
        <v>135703.8614464</v>
      </c>
      <c r="AY43" s="94">
        <f>SUM(AW43:AX43)</f>
        <v>315420.04557439999</v>
      </c>
      <c r="AZ43" s="94">
        <v>159874.61607935998</v>
      </c>
      <c r="BA43" s="94">
        <v>165454.99067136002</v>
      </c>
      <c r="BB43" s="94">
        <f>SUM(AZ43:BA43)</f>
        <v>325329.60675072001</v>
      </c>
    </row>
    <row r="44" spans="1:54">
      <c r="A44" s="31" t="s">
        <v>179</v>
      </c>
      <c r="B44" s="101" t="s">
        <v>76</v>
      </c>
      <c r="D44" s="86"/>
      <c r="E44" s="86"/>
      <c r="F44" s="86"/>
      <c r="G44" s="86">
        <f t="shared" ref="G44:AM44" si="33">G43/D43-1</f>
        <v>0.13805280227940964</v>
      </c>
      <c r="H44" s="86">
        <f t="shared" si="33"/>
        <v>-3.7413501970002816E-3</v>
      </c>
      <c r="I44" s="385">
        <f t="shared" si="33"/>
        <v>7.0283571225116415E-2</v>
      </c>
      <c r="J44" s="385">
        <f t="shared" si="33"/>
        <v>0.11916208333888223</v>
      </c>
      <c r="K44" s="385">
        <f t="shared" si="33"/>
        <v>0.11900963775340645</v>
      </c>
      <c r="L44" s="385">
        <f t="shared" si="33"/>
        <v>0.11909426262835354</v>
      </c>
      <c r="M44" s="385">
        <f t="shared" si="33"/>
        <v>6.5422006449386672E-2</v>
      </c>
      <c r="N44" s="385">
        <f t="shared" si="33"/>
        <v>0.23604882539871097</v>
      </c>
      <c r="O44" s="385">
        <f t="shared" si="33"/>
        <v>0.14132552962392908</v>
      </c>
      <c r="P44" s="385">
        <f t="shared" si="33"/>
        <v>0.20027474675273904</v>
      </c>
      <c r="Q44" s="385">
        <f t="shared" si="33"/>
        <v>9.9041303250918977E-2</v>
      </c>
      <c r="R44" s="385">
        <f t="shared" si="33"/>
        <v>0.15150340037621191</v>
      </c>
      <c r="S44" s="385">
        <f t="shared" si="33"/>
        <v>-1.0458829988182594E-2</v>
      </c>
      <c r="T44" s="385">
        <f t="shared" si="33"/>
        <v>-0.19310902691239806</v>
      </c>
      <c r="U44" s="385">
        <f t="shared" si="33"/>
        <v>-9.4445365944378246E-2</v>
      </c>
      <c r="V44" s="385">
        <f t="shared" si="33"/>
        <v>-3.9983073957402748E-2</v>
      </c>
      <c r="W44" s="385">
        <f t="shared" si="33"/>
        <v>0.27243416061558468</v>
      </c>
      <c r="X44" s="385">
        <f t="shared" si="33"/>
        <v>8.8021269864177132E-2</v>
      </c>
      <c r="Y44" s="385">
        <f t="shared" si="33"/>
        <v>0.28051874271497557</v>
      </c>
      <c r="Z44" s="63">
        <f t="shared" si="33"/>
        <v>0.16676958456657376</v>
      </c>
      <c r="AA44" s="385">
        <f t="shared" si="33"/>
        <v>0.22601380478423017</v>
      </c>
      <c r="AB44" s="385">
        <f t="shared" si="33"/>
        <v>0.13379279747881156</v>
      </c>
      <c r="AC44" s="385">
        <f t="shared" si="33"/>
        <v>0.29602153481157045</v>
      </c>
      <c r="AD44" s="385">
        <f t="shared" si="33"/>
        <v>0.20777124025266103</v>
      </c>
      <c r="AE44" s="385">
        <f t="shared" si="33"/>
        <v>0.37663520506264203</v>
      </c>
      <c r="AF44" s="385">
        <f t="shared" si="33"/>
        <v>4.475783455724458E-2</v>
      </c>
      <c r="AG44" s="63">
        <f t="shared" si="33"/>
        <v>0.21423649631012842</v>
      </c>
      <c r="AH44" s="63">
        <f t="shared" si="33"/>
        <v>-7.9363290190101354E-2</v>
      </c>
      <c r="AI44" s="385">
        <f t="shared" si="33"/>
        <v>-7.5954120279267845E-2</v>
      </c>
      <c r="AJ44" s="215">
        <f t="shared" si="33"/>
        <v>-7.7927913357564549E-2</v>
      </c>
      <c r="AK44" s="385">
        <f t="shared" si="33"/>
        <v>-7.999999999999996E-2</v>
      </c>
      <c r="AL44" s="385">
        <f t="shared" si="33"/>
        <v>-7.598103580204163E-2</v>
      </c>
      <c r="AM44" s="385">
        <f t="shared" si="33"/>
        <v>-7.8304256805625805E-2</v>
      </c>
      <c r="AN44" s="385">
        <f t="shared" ref="AN44:BB44" si="34">AN43/AK43-1</f>
        <v>-0.14473194751270935</v>
      </c>
      <c r="AO44" s="385">
        <f t="shared" si="34"/>
        <v>0.18369501941783217</v>
      </c>
      <c r="AP44" s="385">
        <f t="shared" si="34"/>
        <v>-5.8076984964529066E-3</v>
      </c>
      <c r="AQ44" s="385">
        <f t="shared" si="34"/>
        <v>-0.14284302231959056</v>
      </c>
      <c r="AR44" s="385">
        <f t="shared" si="34"/>
        <v>0.15223437715247123</v>
      </c>
      <c r="AS44" s="385">
        <f t="shared" si="34"/>
        <v>5.7658093866597149E-3</v>
      </c>
      <c r="AT44" s="385">
        <f t="shared" si="34"/>
        <v>0.20736891980618899</v>
      </c>
      <c r="AU44" s="385">
        <f t="shared" si="34"/>
        <v>-0.11040501524619617</v>
      </c>
      <c r="AV44" s="385">
        <f t="shared" si="34"/>
        <v>2.4023145446190552E-2</v>
      </c>
      <c r="AW44" s="385">
        <f t="shared" si="34"/>
        <v>0.17482720807702923</v>
      </c>
      <c r="AX44" s="385">
        <f t="shared" si="34"/>
        <v>-0.11723312077134473</v>
      </c>
      <c r="AY44" s="385">
        <f t="shared" si="34"/>
        <v>2.8438440031643308E-2</v>
      </c>
      <c r="AZ44" s="385">
        <f t="shared" si="34"/>
        <v>-0.11040501524619606</v>
      </c>
      <c r="BA44" s="385">
        <f t="shared" si="34"/>
        <v>0.2192356865004248</v>
      </c>
      <c r="BB44" s="385">
        <f t="shared" si="34"/>
        <v>3.1417030449900851E-2</v>
      </c>
    </row>
    <row r="46" spans="1:54">
      <c r="A46" s="85"/>
      <c r="B46" s="382"/>
      <c r="C46" s="85"/>
      <c r="D46" s="370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0"/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0"/>
      <c r="AH46" s="370"/>
      <c r="AI46" s="370"/>
      <c r="AJ46" s="386"/>
      <c r="AK46" s="370"/>
      <c r="AL46" s="370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0"/>
      <c r="AY46" s="370"/>
      <c r="AZ46" s="370"/>
      <c r="BA46" s="370"/>
      <c r="BB46" s="370"/>
    </row>
    <row r="47" spans="1:54">
      <c r="A47" s="85" t="s">
        <v>0</v>
      </c>
      <c r="B47" s="382"/>
      <c r="C47" s="85"/>
      <c r="D47" s="370" t="s">
        <v>562</v>
      </c>
      <c r="E47" s="370" t="s">
        <v>563</v>
      </c>
      <c r="F47" s="370" t="s">
        <v>491</v>
      </c>
      <c r="G47" s="370" t="s">
        <v>564</v>
      </c>
      <c r="H47" s="370" t="s">
        <v>565</v>
      </c>
      <c r="I47" s="370" t="s">
        <v>492</v>
      </c>
      <c r="J47" s="370" t="s">
        <v>566</v>
      </c>
      <c r="K47" s="370" t="s">
        <v>567</v>
      </c>
      <c r="L47" s="370" t="s">
        <v>493</v>
      </c>
      <c r="M47" s="370" t="s">
        <v>568</v>
      </c>
      <c r="N47" s="370" t="s">
        <v>569</v>
      </c>
      <c r="O47" s="370" t="s">
        <v>418</v>
      </c>
      <c r="P47" s="370" t="s">
        <v>570</v>
      </c>
      <c r="Q47" s="370" t="s">
        <v>571</v>
      </c>
      <c r="R47" s="370" t="s">
        <v>494</v>
      </c>
      <c r="S47" s="370" t="s">
        <v>486</v>
      </c>
      <c r="T47" s="370" t="s">
        <v>487</v>
      </c>
      <c r="U47" s="370" t="s">
        <v>417</v>
      </c>
      <c r="V47" s="370" t="s">
        <v>488</v>
      </c>
      <c r="W47" s="370" t="s">
        <v>489</v>
      </c>
      <c r="X47" s="370" t="s">
        <v>442</v>
      </c>
      <c r="Y47" s="370" t="s">
        <v>490</v>
      </c>
      <c r="Z47" s="370" t="s">
        <v>553</v>
      </c>
      <c r="AA47" s="370" t="s">
        <v>552</v>
      </c>
      <c r="AB47" s="370" t="s">
        <v>558</v>
      </c>
      <c r="AC47" s="370" t="s">
        <v>572</v>
      </c>
      <c r="AD47" s="370" t="s">
        <v>559</v>
      </c>
      <c r="AE47" s="370" t="s">
        <v>573</v>
      </c>
      <c r="AF47" s="370" t="s">
        <v>574</v>
      </c>
      <c r="AG47" s="370" t="s">
        <v>560</v>
      </c>
      <c r="AH47" s="370" t="s">
        <v>575</v>
      </c>
      <c r="AI47" s="370" t="s">
        <v>576</v>
      </c>
      <c r="AJ47" s="386" t="s">
        <v>561</v>
      </c>
      <c r="AK47" s="370" t="s">
        <v>590</v>
      </c>
      <c r="AL47" s="370" t="s">
        <v>592</v>
      </c>
      <c r="AM47" s="370" t="s">
        <v>593</v>
      </c>
      <c r="AN47" s="370" t="s">
        <v>577</v>
      </c>
      <c r="AO47" s="370" t="s">
        <v>578</v>
      </c>
      <c r="AP47" s="370" t="s">
        <v>518</v>
      </c>
      <c r="AQ47" s="370" t="s">
        <v>579</v>
      </c>
      <c r="AR47" s="370" t="s">
        <v>580</v>
      </c>
      <c r="AS47" s="370" t="s">
        <v>519</v>
      </c>
      <c r="AT47" s="370" t="s">
        <v>581</v>
      </c>
      <c r="AU47" s="370" t="s">
        <v>582</v>
      </c>
      <c r="AV47" s="370" t="s">
        <v>583</v>
      </c>
      <c r="AW47" s="370" t="s">
        <v>584</v>
      </c>
      <c r="AX47" s="370" t="s">
        <v>585</v>
      </c>
      <c r="AY47" s="370" t="s">
        <v>586</v>
      </c>
      <c r="AZ47" s="370" t="s">
        <v>587</v>
      </c>
      <c r="BA47" s="370" t="s">
        <v>588</v>
      </c>
      <c r="BB47" s="370" t="s">
        <v>589</v>
      </c>
    </row>
    <row r="48" spans="1:54">
      <c r="A48" s="13" t="s">
        <v>82</v>
      </c>
      <c r="B48" s="55" t="s">
        <v>512</v>
      </c>
      <c r="C48" s="13"/>
      <c r="D48" s="94">
        <v>92540</v>
      </c>
      <c r="E48" s="94">
        <v>92371</v>
      </c>
      <c r="F48" s="94">
        <v>184911</v>
      </c>
      <c r="G48" s="94">
        <v>111428</v>
      </c>
      <c r="H48" s="94">
        <v>107861</v>
      </c>
      <c r="I48" s="94">
        <v>219289</v>
      </c>
      <c r="J48" s="94">
        <v>119634</v>
      </c>
      <c r="K48" s="94">
        <v>114806</v>
      </c>
      <c r="L48" s="94">
        <v>234440</v>
      </c>
      <c r="M48" s="94">
        <v>119307</v>
      </c>
      <c r="N48" s="94">
        <v>102087</v>
      </c>
      <c r="O48" s="94">
        <v>221394</v>
      </c>
      <c r="P48" s="94">
        <v>114463</v>
      </c>
      <c r="Q48" s="94">
        <v>114801</v>
      </c>
      <c r="R48" s="94">
        <v>229264</v>
      </c>
      <c r="S48" s="94">
        <v>109087</v>
      </c>
      <c r="T48" s="94">
        <v>87954</v>
      </c>
      <c r="U48" s="94">
        <v>197041</v>
      </c>
      <c r="V48" s="94">
        <v>87402</v>
      </c>
      <c r="W48" s="94">
        <v>85940</v>
      </c>
      <c r="X48" s="94">
        <v>173342</v>
      </c>
      <c r="Y48" s="94">
        <v>97544</v>
      </c>
      <c r="Z48" s="94">
        <v>115835</v>
      </c>
      <c r="AA48" s="94">
        <v>213379</v>
      </c>
      <c r="AB48" s="94">
        <v>113137</v>
      </c>
      <c r="AC48" s="94">
        <v>92991</v>
      </c>
      <c r="AD48" s="94">
        <v>206128</v>
      </c>
      <c r="AE48" s="94">
        <v>89131</v>
      </c>
      <c r="AF48" s="94">
        <v>84835</v>
      </c>
      <c r="AG48" s="94">
        <v>173966</v>
      </c>
      <c r="AH48" s="94">
        <v>79786</v>
      </c>
      <c r="AI48" s="94">
        <v>79891</v>
      </c>
      <c r="AJ48" s="95">
        <v>159677</v>
      </c>
      <c r="AK48" s="94">
        <v>83438.36</v>
      </c>
      <c r="AL48" s="94">
        <v>79424.910000000018</v>
      </c>
      <c r="AM48" s="94">
        <v>162863.27000000002</v>
      </c>
      <c r="AN48" s="94">
        <v>85296.819200000013</v>
      </c>
      <c r="AO48" s="94">
        <v>85023.897200000021</v>
      </c>
      <c r="AP48" s="94">
        <v>170320.71640000003</v>
      </c>
      <c r="AQ48" s="94">
        <v>91470.613120000024</v>
      </c>
      <c r="AR48" s="94">
        <v>93526.286920000013</v>
      </c>
      <c r="AS48" s="94">
        <v>184996.90004000004</v>
      </c>
      <c r="AT48" s="94">
        <v>94866.199776000009</v>
      </c>
      <c r="AU48" s="94">
        <v>93526.286920000028</v>
      </c>
      <c r="AV48" s="94">
        <v>188392.48669600004</v>
      </c>
      <c r="AW48" s="94">
        <v>94866.199776000009</v>
      </c>
      <c r="AX48" s="94">
        <v>93526.286920000028</v>
      </c>
      <c r="AY48" s="94">
        <v>188392.48669600004</v>
      </c>
      <c r="AZ48" s="94">
        <v>94866.199776000009</v>
      </c>
      <c r="BA48" s="94">
        <v>94461.549789200028</v>
      </c>
      <c r="BB48" s="94">
        <v>189327.74956520004</v>
      </c>
    </row>
    <row r="49" spans="1:54">
      <c r="A49" s="31" t="s">
        <v>179</v>
      </c>
      <c r="B49" s="101" t="s">
        <v>76</v>
      </c>
      <c r="C49" s="31"/>
      <c r="D49" s="88"/>
      <c r="E49" s="88"/>
      <c r="F49" s="88"/>
      <c r="G49" s="88">
        <v>0.20410633239680132</v>
      </c>
      <c r="H49" s="88">
        <v>0.16769332366218825</v>
      </c>
      <c r="I49" s="88">
        <v>0.1859164679224059</v>
      </c>
      <c r="J49" s="88">
        <v>7.3643967404961153E-2</v>
      </c>
      <c r="K49" s="88">
        <v>6.4388425844373876E-2</v>
      </c>
      <c r="L49" s="88">
        <v>6.9091472896497308E-2</v>
      </c>
      <c r="M49" s="88">
        <v>-2.733336676864484E-3</v>
      </c>
      <c r="N49" s="88">
        <v>-0.11078689267111475</v>
      </c>
      <c r="O49" s="88">
        <v>-5.5647500426548424E-2</v>
      </c>
      <c r="P49" s="88">
        <v>-4.0601138240002665E-2</v>
      </c>
      <c r="Q49" s="88">
        <v>0.12454083281906603</v>
      </c>
      <c r="R49" s="88">
        <v>3.5547485478377938E-2</v>
      </c>
      <c r="S49" s="88">
        <v>-4.6967142220630254E-2</v>
      </c>
      <c r="T49" s="88">
        <v>-0.23385684793686468</v>
      </c>
      <c r="U49" s="88">
        <v>-0.1405497592295345</v>
      </c>
      <c r="V49" s="88">
        <v>-0.19878628984205271</v>
      </c>
      <c r="W49" s="88">
        <v>-2.2898333219637523E-2</v>
      </c>
      <c r="X49" s="88">
        <v>-0.12027446064524638</v>
      </c>
      <c r="Y49" s="88">
        <v>0.11603853458730917</v>
      </c>
      <c r="Z49" s="88">
        <v>0.34785897137537813</v>
      </c>
      <c r="AA49" s="88">
        <v>0.23097114375050487</v>
      </c>
      <c r="AB49" s="88">
        <v>0.15985606495530225</v>
      </c>
      <c r="AC49" s="88">
        <v>-0.19721155091293652</v>
      </c>
      <c r="AD49" s="88">
        <v>-3.3981788273447666E-2</v>
      </c>
      <c r="AE49" s="88">
        <v>-0.21218522676047624</v>
      </c>
      <c r="AF49" s="88">
        <v>-8.7707412545300123E-2</v>
      </c>
      <c r="AG49" s="88">
        <v>-0.15602926337033296</v>
      </c>
      <c r="AH49" s="88">
        <v>-0.10484567658839239</v>
      </c>
      <c r="AI49" s="88">
        <v>-5.8277833441386262E-2</v>
      </c>
      <c r="AJ49" s="218">
        <v>-8.2136739362864031E-2</v>
      </c>
      <c r="AK49" s="88">
        <v>4.5776953350211924E-2</v>
      </c>
      <c r="AL49" s="88">
        <v>-5.8340739257235485E-3</v>
      </c>
      <c r="AM49" s="88">
        <v>1.9954470587498552E-2</v>
      </c>
      <c r="AN49" s="88">
        <v>2.2273438739687679E-2</v>
      </c>
      <c r="AO49" s="88">
        <v>7.0494095618112818E-2</v>
      </c>
      <c r="AP49" s="88">
        <v>4.5789614810018309E-2</v>
      </c>
      <c r="AQ49" s="88">
        <v>7.2380118952900085E-2</v>
      </c>
      <c r="AR49" s="88">
        <v>9.9999999999999867E-2</v>
      </c>
      <c r="AS49" s="88">
        <v>8.6167930420940841E-2</v>
      </c>
      <c r="AT49" s="88">
        <v>3.7122159130444699E-2</v>
      </c>
      <c r="AU49" s="88">
        <v>0</v>
      </c>
      <c r="AV49" s="88">
        <v>1.8354830028318281E-2</v>
      </c>
      <c r="AW49" s="88">
        <v>0</v>
      </c>
      <c r="AX49" s="88">
        <v>0</v>
      </c>
      <c r="AY49" s="88">
        <v>0</v>
      </c>
      <c r="AZ49" s="88">
        <v>0</v>
      </c>
      <c r="BA49" s="88">
        <v>1.0000000000000009E-2</v>
      </c>
      <c r="BB49" s="88">
        <v>4.964438261856996E-3</v>
      </c>
    </row>
    <row r="50" spans="1:54">
      <c r="A50" s="89" t="s">
        <v>510</v>
      </c>
      <c r="B50" s="52" t="s">
        <v>512</v>
      </c>
      <c r="D50" s="92">
        <v>86760</v>
      </c>
      <c r="E50" s="92">
        <v>93235</v>
      </c>
      <c r="F50" s="92">
        <v>179995</v>
      </c>
      <c r="G50" s="92">
        <v>104703</v>
      </c>
      <c r="H50" s="92">
        <v>105540</v>
      </c>
      <c r="I50" s="92">
        <v>210243</v>
      </c>
      <c r="J50" s="92">
        <v>116804</v>
      </c>
      <c r="K50" s="92">
        <v>117454</v>
      </c>
      <c r="L50" s="92">
        <v>234258</v>
      </c>
      <c r="M50" s="92">
        <v>116521</v>
      </c>
      <c r="N50" s="92">
        <v>108001</v>
      </c>
      <c r="O50" s="92">
        <v>224522</v>
      </c>
      <c r="P50" s="92">
        <v>112072</v>
      </c>
      <c r="Q50" s="92">
        <v>113856</v>
      </c>
      <c r="R50" s="92">
        <v>225928</v>
      </c>
      <c r="S50" s="92">
        <v>116164</v>
      </c>
      <c r="T50" s="92">
        <v>92094</v>
      </c>
      <c r="U50" s="92">
        <v>208258</v>
      </c>
      <c r="V50" s="92">
        <v>89316</v>
      </c>
      <c r="W50" s="92">
        <v>86944</v>
      </c>
      <c r="X50" s="92">
        <v>176260</v>
      </c>
      <c r="Y50" s="92">
        <v>87388</v>
      </c>
      <c r="Z50" s="92">
        <v>101911</v>
      </c>
      <c r="AA50" s="92">
        <v>189299</v>
      </c>
      <c r="AB50" s="92">
        <v>127107</v>
      </c>
      <c r="AC50" s="92">
        <v>97973</v>
      </c>
      <c r="AD50" s="92">
        <v>225080</v>
      </c>
      <c r="AE50" s="92">
        <v>94764</v>
      </c>
      <c r="AF50" s="92">
        <v>84870</v>
      </c>
      <c r="AG50" s="92">
        <v>179634</v>
      </c>
      <c r="AH50" s="92">
        <v>81664</v>
      </c>
      <c r="AI50" s="92">
        <v>78434</v>
      </c>
      <c r="AJ50" s="93">
        <v>160098</v>
      </c>
      <c r="AK50" s="92">
        <v>86693</v>
      </c>
      <c r="AL50" s="92">
        <v>76071.640000000014</v>
      </c>
      <c r="AM50" s="92">
        <v>162764.64000000001</v>
      </c>
      <c r="AN50" s="92">
        <v>87538.470000000016</v>
      </c>
      <c r="AO50" s="92">
        <v>79448.275999999998</v>
      </c>
      <c r="AP50" s="92">
        <v>166986.74600000001</v>
      </c>
      <c r="AQ50" s="92">
        <v>94156.024400000024</v>
      </c>
      <c r="AR50" s="92">
        <v>86340.015600000013</v>
      </c>
      <c r="AS50" s="92">
        <v>180496.04000000004</v>
      </c>
      <c r="AT50" s="92">
        <v>100462.85564000001</v>
      </c>
      <c r="AU50" s="92">
        <v>87929.631056000027</v>
      </c>
      <c r="AV50" s="92">
        <v>188392.48669600004</v>
      </c>
      <c r="AW50" s="92">
        <v>100462.85564000001</v>
      </c>
      <c r="AX50" s="92">
        <v>87929.631056000027</v>
      </c>
      <c r="AY50" s="92">
        <v>188392.48669600004</v>
      </c>
      <c r="AZ50" s="92">
        <v>100462.85564000001</v>
      </c>
      <c r="BA50" s="92">
        <v>88369.799320800012</v>
      </c>
      <c r="BB50" s="92">
        <v>188832.65496080002</v>
      </c>
    </row>
    <row r="51" spans="1:54" s="13" customFormat="1">
      <c r="A51" s="329" t="s">
        <v>179</v>
      </c>
      <c r="B51" s="101" t="s">
        <v>76</v>
      </c>
      <c r="C51" s="31"/>
      <c r="D51" s="88"/>
      <c r="E51" s="88"/>
      <c r="F51" s="88"/>
      <c r="G51" s="88">
        <v>0.20681189488243423</v>
      </c>
      <c r="H51" s="88">
        <v>0.13197833431651196</v>
      </c>
      <c r="I51" s="88">
        <v>0.16804911247534648</v>
      </c>
      <c r="J51" s="88">
        <v>0.11557452986065342</v>
      </c>
      <c r="K51" s="88">
        <v>0.11288610953193112</v>
      </c>
      <c r="L51" s="88">
        <v>0.11422496825102391</v>
      </c>
      <c r="M51" s="88">
        <v>-2.4228622307455039E-3</v>
      </c>
      <c r="N51" s="88">
        <v>-8.0482571900488686E-2</v>
      </c>
      <c r="O51" s="88">
        <v>-4.1561013924817924E-2</v>
      </c>
      <c r="P51" s="88">
        <v>-3.8181958616901657E-2</v>
      </c>
      <c r="Q51" s="88">
        <v>5.4212460995731515E-2</v>
      </c>
      <c r="R51" s="88">
        <v>6.2621925691024316E-3</v>
      </c>
      <c r="S51" s="88">
        <v>3.6512242130059214E-2</v>
      </c>
      <c r="T51" s="88">
        <v>-0.19113617200674538</v>
      </c>
      <c r="U51" s="88">
        <v>-7.8210757409440168E-2</v>
      </c>
      <c r="V51" s="88">
        <v>-0.23112151785406843</v>
      </c>
      <c r="W51" s="88">
        <v>-5.5921124068886163E-2</v>
      </c>
      <c r="X51" s="88">
        <v>-0.15364595837854966</v>
      </c>
      <c r="Y51" s="88">
        <v>-2.1586277934524611E-2</v>
      </c>
      <c r="Z51" s="88">
        <v>0.17214528892160463</v>
      </c>
      <c r="AA51" s="88">
        <v>7.3975944627255208E-2</v>
      </c>
      <c r="AB51" s="88">
        <v>0.45451320547443586</v>
      </c>
      <c r="AC51" s="88">
        <v>-3.864155979236783E-2</v>
      </c>
      <c r="AD51" s="88">
        <v>0.18901843115917139</v>
      </c>
      <c r="AE51" s="88">
        <v>-0.25445490806957916</v>
      </c>
      <c r="AF51" s="88">
        <v>-0.13374092862319209</v>
      </c>
      <c r="AG51" s="88">
        <v>-0.20191043184645463</v>
      </c>
      <c r="AH51" s="88">
        <v>-0.13823814950825208</v>
      </c>
      <c r="AI51" s="88">
        <v>-7.5833627901496392E-2</v>
      </c>
      <c r="AJ51" s="218">
        <v>-0.10875446741708139</v>
      </c>
      <c r="AK51" s="88">
        <v>6.1581602664576796E-2</v>
      </c>
      <c r="AL51" s="88">
        <v>-3.0119081010785975E-2</v>
      </c>
      <c r="AM51" s="88">
        <v>1.6656298017464488E-2</v>
      </c>
      <c r="AN51" s="88">
        <v>9.7524598295135601E-3</v>
      </c>
      <c r="AO51" s="88">
        <v>4.4387579918087505E-2</v>
      </c>
      <c r="AP51" s="88">
        <v>2.5939946170126404E-2</v>
      </c>
      <c r="AQ51" s="88">
        <v>7.5595956840461165E-2</v>
      </c>
      <c r="AR51" s="88">
        <v>8.6744986134123403E-2</v>
      </c>
      <c r="AS51" s="88">
        <v>8.0900396729690183E-2</v>
      </c>
      <c r="AT51" s="88">
        <v>6.6982769081316285E-2</v>
      </c>
      <c r="AU51" s="88">
        <v>1.8411109205312748E-2</v>
      </c>
      <c r="AV51" s="88">
        <v>4.3748586927447208E-2</v>
      </c>
      <c r="AW51" s="88">
        <v>0</v>
      </c>
      <c r="AX51" s="88">
        <v>0</v>
      </c>
      <c r="AY51" s="88">
        <v>0</v>
      </c>
      <c r="AZ51" s="88">
        <v>0</v>
      </c>
      <c r="BA51" s="88">
        <v>5.005915065419142E-3</v>
      </c>
      <c r="BB51" s="88">
        <v>2.3364427770957708E-3</v>
      </c>
    </row>
    <row r="53" spans="1:54">
      <c r="A53" s="13" t="s">
        <v>505</v>
      </c>
      <c r="B53" s="55" t="s">
        <v>512</v>
      </c>
      <c r="C53" s="13"/>
      <c r="D53" s="94">
        <v>53677</v>
      </c>
      <c r="E53" s="94">
        <v>53941</v>
      </c>
      <c r="F53" s="94">
        <v>107618</v>
      </c>
      <c r="G53" s="94">
        <v>62155</v>
      </c>
      <c r="H53" s="94">
        <v>54969</v>
      </c>
      <c r="I53" s="94">
        <v>117124</v>
      </c>
      <c r="J53" s="94">
        <v>60795</v>
      </c>
      <c r="K53" s="94">
        <v>55586</v>
      </c>
      <c r="L53" s="94">
        <v>116381</v>
      </c>
      <c r="M53" s="94">
        <v>62196</v>
      </c>
      <c r="N53" s="94">
        <v>53361</v>
      </c>
      <c r="O53" s="94">
        <v>115557</v>
      </c>
      <c r="P53" s="94">
        <v>62396</v>
      </c>
      <c r="Q53" s="94">
        <v>59225</v>
      </c>
      <c r="R53" s="94">
        <v>121621</v>
      </c>
      <c r="S53" s="94">
        <v>60251</v>
      </c>
      <c r="T53" s="94">
        <v>51932</v>
      </c>
      <c r="U53" s="94">
        <v>112183</v>
      </c>
      <c r="V53" s="94">
        <v>52595</v>
      </c>
      <c r="W53" s="94">
        <v>49649</v>
      </c>
      <c r="X53" s="94">
        <v>102244</v>
      </c>
      <c r="Y53" s="94">
        <v>64095</v>
      </c>
      <c r="Z53" s="94">
        <v>76411</v>
      </c>
      <c r="AA53" s="94">
        <v>140506</v>
      </c>
      <c r="AB53" s="94">
        <v>72179</v>
      </c>
      <c r="AC53" s="94">
        <v>59328</v>
      </c>
      <c r="AD53" s="94">
        <v>131507</v>
      </c>
      <c r="AE53" s="94">
        <v>59604</v>
      </c>
      <c r="AF53" s="94">
        <v>50660</v>
      </c>
      <c r="AG53" s="94">
        <v>110264</v>
      </c>
      <c r="AH53" s="94">
        <v>49095</v>
      </c>
      <c r="AI53" s="94">
        <v>50561</v>
      </c>
      <c r="AJ53" s="95">
        <v>99656</v>
      </c>
      <c r="AK53" s="94">
        <v>53200.800000000003</v>
      </c>
      <c r="AL53" s="94">
        <v>50533.630000000005</v>
      </c>
      <c r="AM53" s="94">
        <v>103734.43000000001</v>
      </c>
      <c r="AN53" s="94">
        <v>54743.492000000006</v>
      </c>
      <c r="AO53" s="94">
        <v>54109.001800000005</v>
      </c>
      <c r="AP53" s="94">
        <v>108852.49380000001</v>
      </c>
      <c r="AQ53" s="94">
        <v>60217.84120000001</v>
      </c>
      <c r="AR53" s="94">
        <v>59519.90198000001</v>
      </c>
      <c r="AS53" s="94">
        <v>119737.74318000002</v>
      </c>
      <c r="AT53" s="94">
        <v>63228.733260000008</v>
      </c>
      <c r="AU53" s="94">
        <v>59519.901980000024</v>
      </c>
      <c r="AV53" s="94">
        <v>122748.63524000003</v>
      </c>
      <c r="AW53" s="94">
        <v>63228.733260000008</v>
      </c>
      <c r="AX53" s="94">
        <v>59519.901980000024</v>
      </c>
      <c r="AY53" s="94">
        <v>122748.63524000003</v>
      </c>
      <c r="AZ53" s="94">
        <v>63228.733260000008</v>
      </c>
      <c r="BA53" s="94">
        <v>60115.100999799994</v>
      </c>
      <c r="BB53" s="94">
        <v>123343.8342598</v>
      </c>
    </row>
    <row r="54" spans="1:54">
      <c r="A54" s="31" t="s">
        <v>179</v>
      </c>
      <c r="B54" s="101" t="s">
        <v>76</v>
      </c>
      <c r="C54" s="31"/>
      <c r="D54" s="88"/>
      <c r="E54" s="88"/>
      <c r="F54" s="88"/>
      <c r="G54" s="88">
        <v>0.15794474355869359</v>
      </c>
      <c r="H54" s="88">
        <v>1.9057859513171849E-2</v>
      </c>
      <c r="I54" s="88">
        <v>8.8330948354364613E-2</v>
      </c>
      <c r="J54" s="88">
        <v>-2.1880781916177261E-2</v>
      </c>
      <c r="K54" s="88">
        <v>1.1224508359257035E-2</v>
      </c>
      <c r="L54" s="88">
        <v>-6.343704108466186E-3</v>
      </c>
      <c r="M54" s="88">
        <v>2.3044658277818986E-2</v>
      </c>
      <c r="N54" s="88">
        <v>-4.0028064620587944E-2</v>
      </c>
      <c r="O54" s="88">
        <v>-7.0801935023757645E-3</v>
      </c>
      <c r="P54" s="88">
        <v>3.2156408772268108E-3</v>
      </c>
      <c r="Q54" s="88">
        <v>0.10989299300987621</v>
      </c>
      <c r="R54" s="88">
        <v>5.2476267123584108E-2</v>
      </c>
      <c r="S54" s="88">
        <v>-3.4377203666901779E-2</v>
      </c>
      <c r="T54" s="88">
        <v>-0.12314056563951037</v>
      </c>
      <c r="U54" s="88">
        <v>-7.7601729964397625E-2</v>
      </c>
      <c r="V54" s="88">
        <v>-0.12706843039949545</v>
      </c>
      <c r="W54" s="88">
        <v>-4.3961334052222134E-2</v>
      </c>
      <c r="X54" s="88">
        <v>-8.8596311384077753E-2</v>
      </c>
      <c r="Y54" s="88">
        <v>0.21865196311436441</v>
      </c>
      <c r="Z54" s="88">
        <v>0.53902394811577281</v>
      </c>
      <c r="AA54" s="88">
        <v>0.37422244826102258</v>
      </c>
      <c r="AB54" s="88">
        <v>0.12612528278336854</v>
      </c>
      <c r="AC54" s="88">
        <v>-0.2235672874324377</v>
      </c>
      <c r="AD54" s="88">
        <v>-6.4047086957140675E-2</v>
      </c>
      <c r="AE54" s="88">
        <v>-0.1742196483741808</v>
      </c>
      <c r="AF54" s="88">
        <v>-0.14610302049622437</v>
      </c>
      <c r="AG54" s="88">
        <v>-0.16153512740766651</v>
      </c>
      <c r="AH54" s="88">
        <v>-0.17631367022347488</v>
      </c>
      <c r="AI54" s="88">
        <v>-1.9542045005921382E-3</v>
      </c>
      <c r="AJ54" s="218">
        <v>-9.6205470507146451E-2</v>
      </c>
      <c r="AK54" s="88">
        <v>8.3629697525206215E-2</v>
      </c>
      <c r="AL54" s="88">
        <v>-5.4132631870407177E-4</v>
      </c>
      <c r="AM54" s="88">
        <v>4.0925082283053804E-2</v>
      </c>
      <c r="AN54" s="88">
        <v>2.8997533871671255E-2</v>
      </c>
      <c r="AO54" s="88">
        <v>7.0752324738990735E-2</v>
      </c>
      <c r="AP54" s="88">
        <v>4.9338139709255602E-2</v>
      </c>
      <c r="AQ54" s="88">
        <v>0.10000000000000009</v>
      </c>
      <c r="AR54" s="88">
        <v>0.10000000000000009</v>
      </c>
      <c r="AS54" s="88">
        <v>0.10000000000000009</v>
      </c>
      <c r="AT54" s="88">
        <v>5.0000000000000044E-2</v>
      </c>
      <c r="AU54" s="88">
        <v>0</v>
      </c>
      <c r="AV54" s="88">
        <v>2.5145722476778154E-2</v>
      </c>
      <c r="AW54" s="88">
        <v>0</v>
      </c>
      <c r="AX54" s="88">
        <v>0</v>
      </c>
      <c r="AY54" s="88">
        <v>0</v>
      </c>
      <c r="AZ54" s="88">
        <v>0</v>
      </c>
      <c r="BA54" s="88">
        <v>9.9999999999995648E-3</v>
      </c>
      <c r="BB54" s="88">
        <v>4.8489257630948135E-3</v>
      </c>
    </row>
    <row r="55" spans="1:54">
      <c r="A55" s="89" t="s">
        <v>508</v>
      </c>
      <c r="B55" s="52" t="s">
        <v>512</v>
      </c>
      <c r="D55" s="92">
        <v>51304</v>
      </c>
      <c r="E55" s="92">
        <v>52167</v>
      </c>
      <c r="F55" s="92">
        <v>103471</v>
      </c>
      <c r="G55" s="92">
        <v>59617</v>
      </c>
      <c r="H55" s="92">
        <v>57673</v>
      </c>
      <c r="I55" s="92">
        <v>117290</v>
      </c>
      <c r="J55" s="92">
        <v>59862</v>
      </c>
      <c r="K55" s="92">
        <v>54784</v>
      </c>
      <c r="L55" s="92">
        <v>114646</v>
      </c>
      <c r="M55" s="92">
        <v>62311</v>
      </c>
      <c r="N55" s="92">
        <v>54087</v>
      </c>
      <c r="O55" s="92">
        <v>116398</v>
      </c>
      <c r="P55" s="92">
        <v>60597</v>
      </c>
      <c r="Q55" s="92">
        <v>59287</v>
      </c>
      <c r="R55" s="92">
        <v>119884</v>
      </c>
      <c r="S55" s="92">
        <v>62751</v>
      </c>
      <c r="T55" s="92">
        <v>54232</v>
      </c>
      <c r="U55" s="92">
        <v>116983</v>
      </c>
      <c r="V55" s="92">
        <v>53090</v>
      </c>
      <c r="W55" s="92">
        <v>49367</v>
      </c>
      <c r="X55" s="92">
        <v>102457</v>
      </c>
      <c r="Y55" s="92">
        <v>54971</v>
      </c>
      <c r="Z55" s="92">
        <v>68539</v>
      </c>
      <c r="AA55" s="92">
        <v>123510</v>
      </c>
      <c r="AB55" s="92">
        <v>80628</v>
      </c>
      <c r="AC55" s="92">
        <v>62939</v>
      </c>
      <c r="AD55" s="92">
        <v>143567</v>
      </c>
      <c r="AE55" s="92">
        <v>61664</v>
      </c>
      <c r="AF55" s="92">
        <v>53834</v>
      </c>
      <c r="AG55" s="92">
        <v>115498</v>
      </c>
      <c r="AH55" s="92">
        <v>49867</v>
      </c>
      <c r="AI55" s="92">
        <v>48453</v>
      </c>
      <c r="AJ55" s="93">
        <v>98320</v>
      </c>
      <c r="AK55" s="92">
        <v>56187</v>
      </c>
      <c r="AL55" s="92">
        <v>47350.73000000001</v>
      </c>
      <c r="AM55" s="92">
        <v>103537.73000000001</v>
      </c>
      <c r="AN55" s="92">
        <v>56967.000000000007</v>
      </c>
      <c r="AO55" s="92">
        <v>49712.077800000006</v>
      </c>
      <c r="AP55" s="92">
        <v>106679.07780000001</v>
      </c>
      <c r="AQ55" s="92">
        <v>62120.346000000005</v>
      </c>
      <c r="AR55" s="92">
        <v>54683.285580000011</v>
      </c>
      <c r="AS55" s="92">
        <v>116803.63158000002</v>
      </c>
      <c r="AT55" s="92">
        <v>66693.419099999999</v>
      </c>
      <c r="AU55" s="92">
        <v>56055.216140000004</v>
      </c>
      <c r="AV55" s="92">
        <v>122748.63524</v>
      </c>
      <c r="AW55" s="92">
        <v>66693.419099999999</v>
      </c>
      <c r="AX55" s="92">
        <v>56055.216140000004</v>
      </c>
      <c r="AY55" s="92">
        <v>122748.63524</v>
      </c>
      <c r="AZ55" s="92">
        <v>66693.419099999999</v>
      </c>
      <c r="BA55" s="92">
        <v>56327.662883800018</v>
      </c>
      <c r="BB55" s="92">
        <v>123021.08198380002</v>
      </c>
    </row>
    <row r="56" spans="1:54">
      <c r="A56" s="329" t="s">
        <v>179</v>
      </c>
      <c r="B56" s="101" t="s">
        <v>76</v>
      </c>
      <c r="C56" s="31"/>
      <c r="D56" s="88"/>
      <c r="E56" s="88"/>
      <c r="F56" s="88"/>
      <c r="G56" s="88">
        <v>0.16203414938406357</v>
      </c>
      <c r="H56" s="88">
        <v>0.10554565146548578</v>
      </c>
      <c r="I56" s="88">
        <v>0.13355432923234534</v>
      </c>
      <c r="J56" s="88">
        <v>4.1095660633712061E-3</v>
      </c>
      <c r="K56" s="88">
        <v>-5.0092764378478649E-2</v>
      </c>
      <c r="L56" s="88">
        <v>-2.2542416233267915E-2</v>
      </c>
      <c r="M56" s="88">
        <v>4.0910761417927821E-2</v>
      </c>
      <c r="N56" s="88">
        <v>-1.2722692757009324E-2</v>
      </c>
      <c r="O56" s="88">
        <v>1.5281824049683479E-2</v>
      </c>
      <c r="P56" s="88">
        <v>-2.7507181717513762E-2</v>
      </c>
      <c r="Q56" s="88">
        <v>9.6141401815593497E-2</v>
      </c>
      <c r="R56" s="88">
        <v>2.9948968195329773E-2</v>
      </c>
      <c r="S56" s="88">
        <v>3.5546314173968918E-2</v>
      </c>
      <c r="T56" s="88">
        <v>-8.5263211159276042E-2</v>
      </c>
      <c r="U56" s="88">
        <v>-2.4198391778719408E-2</v>
      </c>
      <c r="V56" s="88">
        <v>-0.15395770585329316</v>
      </c>
      <c r="W56" s="88">
        <v>-8.9707183950435199E-2</v>
      </c>
      <c r="X56" s="88">
        <v>-0.12417188822307512</v>
      </c>
      <c r="Y56" s="88">
        <v>3.5430401205500006E-2</v>
      </c>
      <c r="Z56" s="88">
        <v>0.38835659448619531</v>
      </c>
      <c r="AA56" s="88">
        <v>0.20548132387245377</v>
      </c>
      <c r="AB56" s="88">
        <v>0.46673700678539598</v>
      </c>
      <c r="AC56" s="88">
        <v>-8.1705306467850458E-2</v>
      </c>
      <c r="AD56" s="88">
        <v>0.16239170917334622</v>
      </c>
      <c r="AE56" s="88">
        <v>-0.23520365133700449</v>
      </c>
      <c r="AF56" s="88">
        <v>-0.14466388090055449</v>
      </c>
      <c r="AG56" s="88">
        <v>-0.19551150333990397</v>
      </c>
      <c r="AH56" s="88">
        <v>-0.19131097560975607</v>
      </c>
      <c r="AI56" s="88">
        <v>-9.9955418508749116E-2</v>
      </c>
      <c r="AJ56" s="218">
        <v>-0.14872984813589851</v>
      </c>
      <c r="AK56" s="88">
        <v>0.1267371207411716</v>
      </c>
      <c r="AL56" s="88">
        <v>-2.2749262171588791E-2</v>
      </c>
      <c r="AM56" s="88">
        <v>5.306885679414175E-2</v>
      </c>
      <c r="AN56" s="88">
        <v>1.3882214747183541E-2</v>
      </c>
      <c r="AO56" s="88">
        <v>4.9869300853439658E-2</v>
      </c>
      <c r="AP56" s="88">
        <v>3.0340126251560795E-2</v>
      </c>
      <c r="AQ56" s="88">
        <v>9.0461951656221951E-2</v>
      </c>
      <c r="AR56" s="88">
        <v>0.10000000000000009</v>
      </c>
      <c r="AS56" s="88">
        <v>9.4906648883685829E-2</v>
      </c>
      <c r="AT56" s="88">
        <v>7.3616349464634245E-2</v>
      </c>
      <c r="AU56" s="88">
        <v>2.5088663664748267E-2</v>
      </c>
      <c r="AV56" s="88">
        <v>5.0897421420738942E-2</v>
      </c>
      <c r="AW56" s="88">
        <v>0</v>
      </c>
      <c r="AX56" s="88">
        <v>0</v>
      </c>
      <c r="AY56" s="88">
        <v>0</v>
      </c>
      <c r="AZ56" s="88">
        <v>0</v>
      </c>
      <c r="BA56" s="88">
        <v>4.8603281293140288E-3</v>
      </c>
      <c r="BB56" s="88">
        <v>2.2195500851582839E-3</v>
      </c>
    </row>
    <row r="58" spans="1:54" s="13" customFormat="1">
      <c r="A58" s="13" t="s">
        <v>517</v>
      </c>
      <c r="B58" s="55" t="s">
        <v>512</v>
      </c>
      <c r="D58" s="94">
        <v>38863</v>
      </c>
      <c r="E58" s="94">
        <v>38430</v>
      </c>
      <c r="F58" s="94">
        <v>77293</v>
      </c>
      <c r="G58" s="94">
        <v>49273</v>
      </c>
      <c r="H58" s="94">
        <v>52892</v>
      </c>
      <c r="I58" s="94">
        <v>102165</v>
      </c>
      <c r="J58" s="94">
        <v>58839</v>
      </c>
      <c r="K58" s="94">
        <v>59220</v>
      </c>
      <c r="L58" s="94">
        <v>118059</v>
      </c>
      <c r="M58" s="94">
        <v>57111</v>
      </c>
      <c r="N58" s="94">
        <v>48726</v>
      </c>
      <c r="O58" s="94">
        <v>105837</v>
      </c>
      <c r="P58" s="94">
        <v>52067</v>
      </c>
      <c r="Q58" s="94">
        <v>55576</v>
      </c>
      <c r="R58" s="94">
        <v>107643</v>
      </c>
      <c r="S58" s="94">
        <v>48836</v>
      </c>
      <c r="T58" s="94">
        <v>36022</v>
      </c>
      <c r="U58" s="94">
        <v>84858</v>
      </c>
      <c r="V58" s="94">
        <v>34807</v>
      </c>
      <c r="W58" s="94">
        <v>36291</v>
      </c>
      <c r="X58" s="94">
        <v>71098</v>
      </c>
      <c r="Y58" s="94">
        <v>33449</v>
      </c>
      <c r="Z58" s="94">
        <v>39424</v>
      </c>
      <c r="AA58" s="94">
        <v>72873</v>
      </c>
      <c r="AB58" s="94">
        <v>40958</v>
      </c>
      <c r="AC58" s="94">
        <v>33663</v>
      </c>
      <c r="AD58" s="94">
        <v>74621</v>
      </c>
      <c r="AE58" s="94">
        <v>29527</v>
      </c>
      <c r="AF58" s="94">
        <v>34175</v>
      </c>
      <c r="AG58" s="94">
        <v>63702</v>
      </c>
      <c r="AH58" s="94">
        <v>30691</v>
      </c>
      <c r="AI58" s="94">
        <v>29330</v>
      </c>
      <c r="AJ58" s="95">
        <v>60021</v>
      </c>
      <c r="AK58" s="94">
        <v>30237.56</v>
      </c>
      <c r="AL58" s="94">
        <v>28891.280000000002</v>
      </c>
      <c r="AM58" s="94">
        <v>59128.840000000004</v>
      </c>
      <c r="AN58" s="94">
        <v>30553.327200000003</v>
      </c>
      <c r="AO58" s="94">
        <v>30914.895399999998</v>
      </c>
      <c r="AP58" s="94">
        <v>61468.222600000001</v>
      </c>
      <c r="AQ58" s="94">
        <v>31252.771920000003</v>
      </c>
      <c r="AR58" s="94">
        <v>34006.384940000004</v>
      </c>
      <c r="AS58" s="94">
        <v>65259.156860000003</v>
      </c>
      <c r="AT58" s="94">
        <v>31637.466516000004</v>
      </c>
      <c r="AU58" s="94">
        <v>34006.384940000004</v>
      </c>
      <c r="AV58" s="94">
        <v>65643.851456000004</v>
      </c>
      <c r="AW58" s="94">
        <v>31637.466516000004</v>
      </c>
      <c r="AX58" s="94">
        <v>34006.384940000004</v>
      </c>
      <c r="AY58" s="94">
        <v>65643.851456000004</v>
      </c>
      <c r="AZ58" s="94">
        <v>31637.466516000004</v>
      </c>
      <c r="BA58" s="94">
        <v>34346.448789400005</v>
      </c>
      <c r="BB58" s="94">
        <v>65983.915305400005</v>
      </c>
    </row>
    <row r="59" spans="1:54">
      <c r="A59" s="31" t="s">
        <v>179</v>
      </c>
      <c r="B59" s="101" t="s">
        <v>76</v>
      </c>
      <c r="C59" s="31"/>
      <c r="D59" s="88"/>
      <c r="E59" s="88"/>
      <c r="F59" s="88"/>
      <c r="G59" s="88">
        <v>0.26786403520057633</v>
      </c>
      <c r="H59" s="88">
        <v>0.37632058287795989</v>
      </c>
      <c r="I59" s="88">
        <v>0.32178851901207106</v>
      </c>
      <c r="J59" s="88">
        <v>0.19414283684776645</v>
      </c>
      <c r="K59" s="88">
        <v>0.1196400211752251</v>
      </c>
      <c r="L59" s="88">
        <v>0.155571869035384</v>
      </c>
      <c r="M59" s="88">
        <v>-2.9368276143374339E-2</v>
      </c>
      <c r="N59" s="88">
        <v>-0.17720364741641337</v>
      </c>
      <c r="O59" s="88">
        <v>-0.10352450893197473</v>
      </c>
      <c r="P59" s="88">
        <v>-8.8319237975171161E-2</v>
      </c>
      <c r="Q59" s="88">
        <v>0.14058203012765258</v>
      </c>
      <c r="R59" s="88">
        <v>1.7063975736273607E-2</v>
      </c>
      <c r="S59" s="88">
        <v>-6.2054660341483103E-2</v>
      </c>
      <c r="T59" s="88">
        <v>-0.35184252195192167</v>
      </c>
      <c r="U59" s="88">
        <v>-0.21167191549845321</v>
      </c>
      <c r="V59" s="88">
        <v>-0.28726758948316811</v>
      </c>
      <c r="W59" s="88">
        <v>7.4676586530453282E-3</v>
      </c>
      <c r="X59" s="88">
        <v>-0.16215324424332411</v>
      </c>
      <c r="Y59" s="88">
        <v>-3.901514063263134E-2</v>
      </c>
      <c r="Z59" s="88">
        <v>8.6329944063266328E-2</v>
      </c>
      <c r="AA59" s="88">
        <v>2.4965540521533658E-2</v>
      </c>
      <c r="AB59" s="88">
        <v>0.22449101617387668</v>
      </c>
      <c r="AC59" s="88">
        <v>-0.14612926136363635</v>
      </c>
      <c r="AD59" s="88">
        <v>2.3986936176636053E-2</v>
      </c>
      <c r="AE59" s="88">
        <v>-0.27909077591679277</v>
      </c>
      <c r="AF59" s="88">
        <v>1.5209577280693942E-2</v>
      </c>
      <c r="AG59" s="88">
        <v>-0.14632610123155676</v>
      </c>
      <c r="AH59" s="88">
        <v>3.942154638127815E-2</v>
      </c>
      <c r="AI59" s="88">
        <v>-0.14177029992684709</v>
      </c>
      <c r="AJ59" s="218">
        <v>-5.7784684939248376E-2</v>
      </c>
      <c r="AK59" s="88">
        <v>-1.4774363820012293E-2</v>
      </c>
      <c r="AL59" s="88">
        <v>-1.495806341629724E-2</v>
      </c>
      <c r="AM59" s="88">
        <v>-1.4864130887522586E-2</v>
      </c>
      <c r="AN59" s="88">
        <v>1.0442879650342185E-2</v>
      </c>
      <c r="AO59" s="88">
        <v>7.0042428026726222E-2</v>
      </c>
      <c r="AP59" s="88">
        <v>3.9564155156772918E-2</v>
      </c>
      <c r="AQ59" s="88">
        <v>2.2892587619720794E-2</v>
      </c>
      <c r="AR59" s="88">
        <v>0.10000000000000031</v>
      </c>
      <c r="AS59" s="88">
        <v>6.1673074308154829E-2</v>
      </c>
      <c r="AT59" s="88">
        <v>1.2309135233979696E-2</v>
      </c>
      <c r="AU59" s="88">
        <v>0</v>
      </c>
      <c r="AV59" s="88">
        <v>5.8948753632426243E-3</v>
      </c>
      <c r="AW59" s="88">
        <v>0</v>
      </c>
      <c r="AX59" s="88">
        <v>0</v>
      </c>
      <c r="AY59" s="88">
        <v>0</v>
      </c>
      <c r="AZ59" s="88">
        <v>0</v>
      </c>
      <c r="BA59" s="88">
        <v>1.0000000000000009E-2</v>
      </c>
      <c r="BB59" s="88">
        <v>5.1804371903427793E-3</v>
      </c>
    </row>
    <row r="60" spans="1:54">
      <c r="A60" s="89" t="s">
        <v>509</v>
      </c>
      <c r="B60" s="52" t="s">
        <v>512</v>
      </c>
      <c r="D60" s="92">
        <v>35456</v>
      </c>
      <c r="E60" s="92">
        <v>41068</v>
      </c>
      <c r="F60" s="92">
        <v>76524</v>
      </c>
      <c r="G60" s="92">
        <v>45086</v>
      </c>
      <c r="H60" s="92">
        <v>47867</v>
      </c>
      <c r="I60" s="92">
        <v>92953</v>
      </c>
      <c r="J60" s="92">
        <v>56942</v>
      </c>
      <c r="K60" s="92">
        <v>62670</v>
      </c>
      <c r="L60" s="92">
        <v>119612</v>
      </c>
      <c r="M60" s="92">
        <v>54210</v>
      </c>
      <c r="N60" s="92">
        <v>53914</v>
      </c>
      <c r="O60" s="92">
        <v>108124</v>
      </c>
      <c r="P60" s="92">
        <v>51475</v>
      </c>
      <c r="Q60" s="92">
        <v>54569</v>
      </c>
      <c r="R60" s="92">
        <v>106044</v>
      </c>
      <c r="S60" s="92">
        <v>53413</v>
      </c>
      <c r="T60" s="92">
        <v>37862</v>
      </c>
      <c r="U60" s="92">
        <v>91275</v>
      </c>
      <c r="V60" s="92">
        <v>36226</v>
      </c>
      <c r="W60" s="92">
        <v>37577</v>
      </c>
      <c r="X60" s="92">
        <v>73803</v>
      </c>
      <c r="Y60" s="92">
        <v>32417</v>
      </c>
      <c r="Z60" s="92">
        <v>33372</v>
      </c>
      <c r="AA60" s="92">
        <v>65789</v>
      </c>
      <c r="AB60" s="92">
        <v>46479</v>
      </c>
      <c r="AC60" s="92">
        <v>35034</v>
      </c>
      <c r="AD60" s="92">
        <v>81513</v>
      </c>
      <c r="AE60" s="92">
        <v>33100</v>
      </c>
      <c r="AF60" s="92">
        <v>31036</v>
      </c>
      <c r="AG60" s="92">
        <v>64136</v>
      </c>
      <c r="AH60" s="92">
        <v>31797</v>
      </c>
      <c r="AI60" s="92">
        <v>29981</v>
      </c>
      <c r="AJ60" s="93">
        <v>61778</v>
      </c>
      <c r="AK60" s="92">
        <v>30506</v>
      </c>
      <c r="AL60" s="92">
        <v>28720.910000000003</v>
      </c>
      <c r="AM60" s="92">
        <v>59226.91</v>
      </c>
      <c r="AN60" s="92">
        <v>30571.47</v>
      </c>
      <c r="AO60" s="92">
        <v>29736.198200000006</v>
      </c>
      <c r="AP60" s="92">
        <v>60307.668200000007</v>
      </c>
      <c r="AQ60" s="92">
        <v>32035.678400000004</v>
      </c>
      <c r="AR60" s="92">
        <v>31656.730020000003</v>
      </c>
      <c r="AS60" s="92">
        <v>63692.408420000007</v>
      </c>
      <c r="AT60" s="92">
        <v>33769.436540000002</v>
      </c>
      <c r="AU60" s="92">
        <v>31874.414916000002</v>
      </c>
      <c r="AV60" s="92">
        <v>65643.851456000004</v>
      </c>
      <c r="AW60" s="92">
        <v>33769.436540000002</v>
      </c>
      <c r="AX60" s="92">
        <v>31874.414916000002</v>
      </c>
      <c r="AY60" s="92">
        <v>65643.851456000004</v>
      </c>
      <c r="AZ60" s="92">
        <v>33769.436540000002</v>
      </c>
      <c r="BA60" s="92">
        <v>32042.136437000001</v>
      </c>
      <c r="BB60" s="92">
        <v>65811.572977000003</v>
      </c>
    </row>
    <row r="61" spans="1:54">
      <c r="A61" s="329" t="s">
        <v>179</v>
      </c>
      <c r="B61" s="101" t="s">
        <v>76</v>
      </c>
      <c r="C61" s="31"/>
      <c r="D61" s="88"/>
      <c r="E61" s="88"/>
      <c r="F61" s="88"/>
      <c r="G61" s="88">
        <v>0.2716042418772564</v>
      </c>
      <c r="H61" s="88">
        <v>0.1655546897827993</v>
      </c>
      <c r="I61" s="88">
        <v>0.21469081595316508</v>
      </c>
      <c r="J61" s="88">
        <v>0.26296411302843459</v>
      </c>
      <c r="K61" s="88">
        <v>0.30925272108132962</v>
      </c>
      <c r="L61" s="88">
        <v>0.28680085634675589</v>
      </c>
      <c r="M61" s="88">
        <v>-4.7978644936953363E-2</v>
      </c>
      <c r="N61" s="88">
        <v>-0.1397159725546514</v>
      </c>
      <c r="O61" s="88">
        <v>-9.604387519646862E-2</v>
      </c>
      <c r="P61" s="88">
        <v>-5.0451946135399384E-2</v>
      </c>
      <c r="Q61" s="88">
        <v>1.2148978002003208E-2</v>
      </c>
      <c r="R61" s="88">
        <v>-1.923717213569609E-2</v>
      </c>
      <c r="S61" s="88">
        <v>3.7649344341913471E-2</v>
      </c>
      <c r="T61" s="88">
        <v>-0.30616283970752622</v>
      </c>
      <c r="U61" s="88">
        <v>-0.13927237750367771</v>
      </c>
      <c r="V61" s="88">
        <v>-0.32177559770093422</v>
      </c>
      <c r="W61" s="88">
        <v>-7.5273361153663787E-3</v>
      </c>
      <c r="X61" s="88">
        <v>-0.19142152834839765</v>
      </c>
      <c r="Y61" s="88">
        <v>-0.10514547562524157</v>
      </c>
      <c r="Z61" s="88">
        <v>-0.11190355802751684</v>
      </c>
      <c r="AA61" s="88">
        <v>-0.10858637182770348</v>
      </c>
      <c r="AB61" s="88">
        <v>0.43378474257334121</v>
      </c>
      <c r="AC61" s="88">
        <v>4.9802229413879795E-2</v>
      </c>
      <c r="AD61" s="88">
        <v>0.23900652084695007</v>
      </c>
      <c r="AE61" s="88">
        <v>-0.28785042707459285</v>
      </c>
      <c r="AF61" s="88">
        <v>-0.11411771422047157</v>
      </c>
      <c r="AG61" s="88">
        <v>-0.213180719639812</v>
      </c>
      <c r="AH61" s="88">
        <v>-3.9365558912386689E-2</v>
      </c>
      <c r="AI61" s="88">
        <v>-3.3992782575074099E-2</v>
      </c>
      <c r="AJ61" s="218">
        <v>-3.6765623051016605E-2</v>
      </c>
      <c r="AK61" s="88">
        <v>-4.0601314589426729E-2</v>
      </c>
      <c r="AL61" s="88">
        <v>-4.2029618758546938E-2</v>
      </c>
      <c r="AM61" s="88">
        <v>-4.1294473760885686E-2</v>
      </c>
      <c r="AN61" s="88">
        <v>2.1461351865206257E-3</v>
      </c>
      <c r="AO61" s="88">
        <v>3.5350140368115124E-2</v>
      </c>
      <c r="AP61" s="88">
        <v>1.8247755960930645E-2</v>
      </c>
      <c r="AQ61" s="88">
        <v>4.7894602385819329E-2</v>
      </c>
      <c r="AR61" s="88">
        <v>6.4585654396129177E-2</v>
      </c>
      <c r="AS61" s="88">
        <v>5.6124541389580784E-2</v>
      </c>
      <c r="AT61" s="88">
        <v>5.4119601225613545E-2</v>
      </c>
      <c r="AU61" s="88">
        <v>6.8764176168059077E-3</v>
      </c>
      <c r="AV61" s="88">
        <v>3.063854993725168E-2</v>
      </c>
      <c r="AW61" s="88">
        <v>0</v>
      </c>
      <c r="AX61" s="88">
        <v>0</v>
      </c>
      <c r="AY61" s="88">
        <v>0</v>
      </c>
      <c r="AZ61" s="88">
        <v>0</v>
      </c>
      <c r="BA61" s="88">
        <v>5.2619482253086769E-3</v>
      </c>
      <c r="BB61" s="88">
        <v>2.5550225539769933E-3</v>
      </c>
    </row>
    <row r="62" spans="1:54">
      <c r="A62" s="31"/>
      <c r="B62" s="101"/>
      <c r="C62" s="3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218"/>
      <c r="AK62" s="88"/>
      <c r="AL62" s="88"/>
      <c r="AM62" s="88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</row>
    <row r="63" spans="1:54">
      <c r="A63" s="13" t="s">
        <v>516</v>
      </c>
      <c r="B63" s="55" t="s">
        <v>172</v>
      </c>
      <c r="C63" s="31"/>
      <c r="D63" s="92">
        <v>14112.274000000001</v>
      </c>
      <c r="E63" s="92">
        <v>14158.809000000001</v>
      </c>
      <c r="F63" s="92">
        <v>28271.083000000002</v>
      </c>
      <c r="G63" s="92">
        <v>14737.231</v>
      </c>
      <c r="H63" s="92">
        <v>15494.089</v>
      </c>
      <c r="I63" s="92">
        <v>30231.32</v>
      </c>
      <c r="J63" s="92">
        <v>16484.510999999999</v>
      </c>
      <c r="K63" s="92">
        <v>17053.43</v>
      </c>
      <c r="L63" s="92">
        <v>33537.940999999999</v>
      </c>
      <c r="M63" s="92">
        <v>17094.266</v>
      </c>
      <c r="N63" s="92">
        <v>17234.782999999999</v>
      </c>
      <c r="O63" s="92">
        <v>34329.048999999999</v>
      </c>
      <c r="P63" s="92">
        <v>17297.481</v>
      </c>
      <c r="Q63" s="92">
        <v>17916.099000000002</v>
      </c>
      <c r="R63" s="92">
        <v>35213.58</v>
      </c>
      <c r="S63" s="92">
        <v>18486.661</v>
      </c>
      <c r="T63" s="92">
        <v>18144.998</v>
      </c>
      <c r="U63" s="92">
        <v>36631.659</v>
      </c>
      <c r="V63" s="92">
        <v>18237.760999999999</v>
      </c>
      <c r="W63" s="92">
        <v>18369.631000000001</v>
      </c>
      <c r="X63" s="92">
        <v>36607.392</v>
      </c>
      <c r="Y63" s="92">
        <v>18755.928</v>
      </c>
      <c r="Z63" s="92">
        <v>19288.112550000002</v>
      </c>
      <c r="AA63" s="92">
        <v>38044.040550000005</v>
      </c>
      <c r="AB63" s="92">
        <v>19506.165120000001</v>
      </c>
      <c r="AC63" s="92">
        <v>19866.755926500002</v>
      </c>
      <c r="AD63" s="92">
        <v>39372.921046500007</v>
      </c>
      <c r="AE63" s="92">
        <v>19896.288422400001</v>
      </c>
      <c r="AF63" s="92">
        <v>19469.42080797</v>
      </c>
      <c r="AG63" s="92">
        <v>39365.709230370005</v>
      </c>
      <c r="AH63" s="92">
        <v>19100.436885504001</v>
      </c>
      <c r="AI63" s="92">
        <v>18885.338183730899</v>
      </c>
      <c r="AJ63" s="93">
        <v>37985.7750692349</v>
      </c>
      <c r="AK63" s="92">
        <v>18718.428147793922</v>
      </c>
      <c r="AL63" s="92">
        <v>19263.044947405517</v>
      </c>
      <c r="AM63" s="92">
        <v>37981.473095199442</v>
      </c>
      <c r="AN63" s="92">
        <v>19092.796710749801</v>
      </c>
      <c r="AO63" s="92">
        <v>19648.305846353629</v>
      </c>
      <c r="AP63" s="92">
        <v>38741.102557103426</v>
      </c>
      <c r="AQ63" s="92">
        <v>19474.652644964797</v>
      </c>
      <c r="AR63" s="92">
        <v>20041.271963280702</v>
      </c>
      <c r="AS63" s="92">
        <v>39515.924608245499</v>
      </c>
      <c r="AT63" s="92">
        <v>19864.145697864093</v>
      </c>
      <c r="AU63" s="92">
        <v>20442.097402546315</v>
      </c>
      <c r="AV63" s="92">
        <v>40306.243100410407</v>
      </c>
      <c r="AW63" s="92">
        <v>20261.428611821375</v>
      </c>
      <c r="AX63" s="92">
        <v>20850.93935059724</v>
      </c>
      <c r="AY63" s="92">
        <v>41112.367962418619</v>
      </c>
      <c r="AZ63" s="92">
        <v>20666.657184057804</v>
      </c>
      <c r="BA63" s="92">
        <v>21267.958137609185</v>
      </c>
      <c r="BB63" s="92">
        <v>41934.615321666992</v>
      </c>
    </row>
    <row r="64" spans="1:54">
      <c r="A64" s="31" t="s">
        <v>179</v>
      </c>
      <c r="B64" s="101" t="s">
        <v>76</v>
      </c>
      <c r="C64" s="31"/>
      <c r="D64" s="88"/>
      <c r="E64" s="88"/>
      <c r="F64" s="88"/>
      <c r="G64" s="88">
        <v>4.4284641865655283E-2</v>
      </c>
      <c r="H64" s="88">
        <v>9.4307367236891038E-2</v>
      </c>
      <c r="I64" s="88">
        <v>6.9337173959695741E-2</v>
      </c>
      <c r="J64" s="88">
        <v>0.11856229979702415</v>
      </c>
      <c r="K64" s="88">
        <v>0.10064102510318618</v>
      </c>
      <c r="L64" s="88">
        <v>0.10937732788379728</v>
      </c>
      <c r="M64" s="88">
        <v>3.6989571604520322E-2</v>
      </c>
      <c r="N64" s="88">
        <v>1.0634400235026042E-2</v>
      </c>
      <c r="O64" s="88">
        <v>2.3588448676679308E-2</v>
      </c>
      <c r="P64" s="88">
        <v>1.1887904400224025E-2</v>
      </c>
      <c r="Q64" s="88">
        <v>3.9531452180163962E-2</v>
      </c>
      <c r="R64" s="88">
        <v>2.5766254113243958E-2</v>
      </c>
      <c r="S64" s="88">
        <v>6.8748738616911886E-2</v>
      </c>
      <c r="T64" s="88">
        <v>1.2776162935915769E-2</v>
      </c>
      <c r="U64" s="88">
        <v>4.02707989360922E-2</v>
      </c>
      <c r="V64" s="88">
        <v>-1.3463761790190265E-2</v>
      </c>
      <c r="W64" s="88">
        <v>1.2379885630188658E-2</v>
      </c>
      <c r="X64" s="88">
        <v>-6.6245975919354549E-4</v>
      </c>
      <c r="Y64" s="88">
        <v>2.8411766115369108E-2</v>
      </c>
      <c r="Z64" s="88">
        <v>5.0000000000000044E-2</v>
      </c>
      <c r="AA64" s="88">
        <v>3.9244766466838277E-2</v>
      </c>
      <c r="AB64" s="88">
        <v>4.0000000000000036E-2</v>
      </c>
      <c r="AC64" s="88">
        <v>3.0000000000000027E-2</v>
      </c>
      <c r="AD64" s="88">
        <v>3.4930056778629925E-2</v>
      </c>
      <c r="AE64" s="88">
        <v>2.0000000000000018E-2</v>
      </c>
      <c r="AF64" s="88">
        <v>-2.0000000000000129E-2</v>
      </c>
      <c r="AG64" s="88">
        <v>-1.8316690604402996E-4</v>
      </c>
      <c r="AH64" s="88">
        <v>-4.0000000000000036E-2</v>
      </c>
      <c r="AI64" s="88">
        <v>-3.0000000000000027E-2</v>
      </c>
      <c r="AJ64" s="218">
        <v>-3.5054218204469856E-2</v>
      </c>
      <c r="AK64" s="88">
        <v>-1.9999999999999907E-2</v>
      </c>
      <c r="AL64" s="88">
        <v>2.0000000000000018E-2</v>
      </c>
      <c r="AM64" s="88">
        <v>-1.1325223791314176E-4</v>
      </c>
      <c r="AN64" s="88">
        <v>2.0000000000000018E-2</v>
      </c>
      <c r="AO64" s="88">
        <v>2.0000000000000018E-2</v>
      </c>
      <c r="AP64" s="88">
        <v>1.9999999999999796E-2</v>
      </c>
      <c r="AQ64" s="88">
        <v>2.0000000000000018E-2</v>
      </c>
      <c r="AR64" s="88">
        <v>2.0000000000000018E-2</v>
      </c>
      <c r="AS64" s="88">
        <v>2.0000000000000018E-2</v>
      </c>
      <c r="AT64" s="88">
        <v>2.0000000000000018E-2</v>
      </c>
      <c r="AU64" s="88">
        <v>2.0000000000000018E-2</v>
      </c>
      <c r="AV64" s="88">
        <v>2.0000000000000018E-2</v>
      </c>
      <c r="AW64" s="88">
        <v>2.0000000000000018E-2</v>
      </c>
      <c r="AX64" s="88">
        <v>2.0000000000000018E-2</v>
      </c>
      <c r="AY64" s="88">
        <v>2.0000000000000018E-2</v>
      </c>
      <c r="AZ64" s="88">
        <v>2.0000000000000018E-2</v>
      </c>
      <c r="BA64" s="88">
        <v>2.0000000000000018E-2</v>
      </c>
      <c r="BB64" s="88">
        <v>2.0000000000000018E-2</v>
      </c>
    </row>
    <row r="65" spans="1:54" s="13" customFormat="1">
      <c r="A65" s="6"/>
      <c r="B65" s="52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4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13" t="s">
        <v>506</v>
      </c>
      <c r="B66" s="55" t="s">
        <v>172</v>
      </c>
      <c r="C66" s="13"/>
      <c r="D66" s="94">
        <v>18807.834000000003</v>
      </c>
      <c r="E66" s="94">
        <v>17300.101999999999</v>
      </c>
      <c r="F66" s="94">
        <v>36107.936000000002</v>
      </c>
      <c r="G66" s="94">
        <v>19162.080999999998</v>
      </c>
      <c r="H66" s="94">
        <v>17704.842000000004</v>
      </c>
      <c r="I66" s="94">
        <v>36866.923000000003</v>
      </c>
      <c r="J66" s="94">
        <v>19410.245000000003</v>
      </c>
      <c r="K66" s="94">
        <v>18188.345999999998</v>
      </c>
      <c r="L66" s="94">
        <v>37598.591</v>
      </c>
      <c r="M66" s="94">
        <v>18887.057999999997</v>
      </c>
      <c r="N66" s="94">
        <v>19189.853000000003</v>
      </c>
      <c r="O66" s="94">
        <v>38076.911</v>
      </c>
      <c r="P66" s="94">
        <v>22304.145</v>
      </c>
      <c r="Q66" s="94">
        <v>21291.567999999999</v>
      </c>
      <c r="R66" s="94">
        <v>43595.713000000003</v>
      </c>
      <c r="S66" s="94">
        <v>23301.662</v>
      </c>
      <c r="T66" s="94">
        <v>22563.241000000002</v>
      </c>
      <c r="U66" s="94">
        <v>45864.903000000006</v>
      </c>
      <c r="V66" s="94">
        <v>23953.869680694763</v>
      </c>
      <c r="W66" s="94">
        <v>21483.635073103644</v>
      </c>
      <c r="X66" s="94">
        <v>45437.504753798406</v>
      </c>
      <c r="Y66" s="94">
        <v>22878.634293372721</v>
      </c>
      <c r="Z66" s="94">
        <v>21540.047114979498</v>
      </c>
      <c r="AA66" s="94">
        <v>44418.681408352219</v>
      </c>
      <c r="AB66" s="94">
        <v>22081.048694482</v>
      </c>
      <c r="AC66" s="94">
        <v>22226.844608865831</v>
      </c>
      <c r="AD66" s="94">
        <v>44307.893303347832</v>
      </c>
      <c r="AE66" s="94">
        <v>22554.066589500377</v>
      </c>
      <c r="AF66" s="94">
        <v>22702.985728576943</v>
      </c>
      <c r="AG66" s="94">
        <v>45257.052318077316</v>
      </c>
      <c r="AH66" s="94">
        <v>23067.219336217284</v>
      </c>
      <c r="AI66" s="94">
        <v>23219.526700869603</v>
      </c>
      <c r="AJ66" s="95">
        <v>46286.746037086887</v>
      </c>
      <c r="AK66" s="94">
        <v>23564.891497279044</v>
      </c>
      <c r="AL66" s="94">
        <v>23720.484872880814</v>
      </c>
      <c r="AM66" s="94">
        <v>47285.376370159858</v>
      </c>
      <c r="AN66" s="94">
        <v>23853.862429508452</v>
      </c>
      <c r="AO66" s="94">
        <v>24011.363811467963</v>
      </c>
      <c r="AP66" s="94">
        <v>47865.226240976415</v>
      </c>
      <c r="AQ66" s="94">
        <v>24092.401053803536</v>
      </c>
      <c r="AR66" s="94">
        <v>24251.477449582642</v>
      </c>
      <c r="AS66" s="94">
        <v>48343.878503386179</v>
      </c>
      <c r="AT66" s="94">
        <v>24333.32506434157</v>
      </c>
      <c r="AU66" s="94">
        <v>24493.992224078473</v>
      </c>
      <c r="AV66" s="94">
        <v>48827.317288420047</v>
      </c>
      <c r="AW66" s="94">
        <v>24576.658314984987</v>
      </c>
      <c r="AX66" s="94">
        <v>24738.932146319257</v>
      </c>
      <c r="AY66" s="94">
        <v>49315.590461304244</v>
      </c>
      <c r="AZ66" s="94">
        <v>24822.424898134836</v>
      </c>
      <c r="BA66" s="94">
        <v>24986.321467782451</v>
      </c>
      <c r="BB66" s="94">
        <v>49808.746365917286</v>
      </c>
    </row>
    <row r="67" spans="1:54">
      <c r="A67" s="31" t="s">
        <v>179</v>
      </c>
      <c r="B67" s="101" t="s">
        <v>76</v>
      </c>
      <c r="C67" s="31"/>
      <c r="D67" s="88">
        <v>7.428297061968947E-2</v>
      </c>
      <c r="E67" s="88">
        <v>4.1692189480163178E-2</v>
      </c>
      <c r="F67" s="88">
        <v>5.8417305124298879E-2</v>
      </c>
      <c r="G67" s="88">
        <v>1.8835076915289406E-2</v>
      </c>
      <c r="H67" s="88">
        <v>2.3395237785303502E-2</v>
      </c>
      <c r="I67" s="88">
        <v>2.101994974179644E-2</v>
      </c>
      <c r="J67" s="88">
        <v>1.2950785460097203E-2</v>
      </c>
      <c r="K67" s="88">
        <v>2.730913949980418E-2</v>
      </c>
      <c r="L67" s="88">
        <v>1.9846191123680024E-2</v>
      </c>
      <c r="M67" s="88">
        <v>-2.6954167760376291E-2</v>
      </c>
      <c r="N67" s="88">
        <v>5.5063115689574227E-2</v>
      </c>
      <c r="O67" s="88">
        <v>1.2721753323149843E-2</v>
      </c>
      <c r="P67" s="88">
        <v>0.18092214255920669</v>
      </c>
      <c r="Q67" s="88">
        <v>0.10952220426076198</v>
      </c>
      <c r="R67" s="88">
        <v>0.14493828031375777</v>
      </c>
      <c r="S67" s="88">
        <v>4.4723391100622845E-2</v>
      </c>
      <c r="T67" s="88">
        <v>5.972660162934007E-2</v>
      </c>
      <c r="U67" s="88">
        <v>5.2050760128639295E-2</v>
      </c>
      <c r="V67" s="88">
        <v>2.7989749430523903E-2</v>
      </c>
      <c r="W67" s="88">
        <v>-4.7847998738140385E-2</v>
      </c>
      <c r="X67" s="88">
        <v>-9.3186340370456922E-3</v>
      </c>
      <c r="Y67" s="88">
        <v>-4.4887753071004233E-2</v>
      </c>
      <c r="Z67" s="88">
        <v>2.6258145646160802E-3</v>
      </c>
      <c r="AA67" s="88">
        <v>-2.2422519699676458E-2</v>
      </c>
      <c r="AB67" s="88">
        <v>-3.4861591328541719E-2</v>
      </c>
      <c r="AC67" s="88">
        <v>3.188467927763794E-2</v>
      </c>
      <c r="AD67" s="88">
        <v>-2.4941781586419465E-3</v>
      </c>
      <c r="AE67" s="88">
        <v>2.1421894474449532E-2</v>
      </c>
      <c r="AF67" s="88">
        <v>2.1421894474449532E-2</v>
      </c>
      <c r="AG67" s="88">
        <v>2.1421894474449532E-2</v>
      </c>
      <c r="AH67" s="88">
        <v>2.2752116328139005E-2</v>
      </c>
      <c r="AI67" s="88">
        <v>2.2752116328138783E-2</v>
      </c>
      <c r="AJ67" s="218">
        <v>2.2752116328139005E-2</v>
      </c>
      <c r="AK67" s="88">
        <v>2.1574865778484886E-2</v>
      </c>
      <c r="AL67" s="88">
        <v>2.1574865778485108E-2</v>
      </c>
      <c r="AM67" s="88">
        <v>2.1574865778484886E-2</v>
      </c>
      <c r="AN67" s="88">
        <v>1.226277372262774E-2</v>
      </c>
      <c r="AO67" s="88">
        <v>1.226277372262774E-2</v>
      </c>
      <c r="AP67" s="88">
        <v>1.226277372262774E-2</v>
      </c>
      <c r="AQ67" s="88">
        <v>1.0000000000000009E-2</v>
      </c>
      <c r="AR67" s="88">
        <v>1.0000000000000009E-2</v>
      </c>
      <c r="AS67" s="88">
        <v>1.0000000000000009E-2</v>
      </c>
      <c r="AT67" s="88">
        <v>1.0000000000000009E-2</v>
      </c>
      <c r="AU67" s="88">
        <v>1.0000000000000231E-2</v>
      </c>
      <c r="AV67" s="88">
        <v>1.0000000000000231E-2</v>
      </c>
      <c r="AW67" s="88">
        <v>1.0000000000000009E-2</v>
      </c>
      <c r="AX67" s="88">
        <v>1.0000000000000009E-2</v>
      </c>
      <c r="AY67" s="88">
        <v>1.0000000000000009E-2</v>
      </c>
      <c r="AZ67" s="88">
        <v>1.0000000000000009E-2</v>
      </c>
      <c r="BA67" s="88">
        <v>1.0000000000000009E-2</v>
      </c>
      <c r="BB67" s="88">
        <v>1.0000000000000009E-2</v>
      </c>
    </row>
    <row r="68" spans="1:54">
      <c r="A68" s="31"/>
      <c r="B68" s="101"/>
      <c r="C68" s="3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21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</row>
    <row r="69" spans="1:54">
      <c r="A69" s="387" t="s">
        <v>398</v>
      </c>
      <c r="B69" s="52" t="s">
        <v>76</v>
      </c>
      <c r="C69" s="31"/>
      <c r="D69" s="88"/>
      <c r="E69" s="88"/>
      <c r="F69" s="88"/>
      <c r="G69" s="88"/>
      <c r="H69" s="88"/>
      <c r="I69" s="88"/>
      <c r="J69" s="88"/>
      <c r="K69" s="88"/>
      <c r="L69" s="88"/>
      <c r="M69" s="324"/>
      <c r="N69" s="324">
        <v>2.1397735369589128E-2</v>
      </c>
      <c r="O69" s="87">
        <v>2.1397735369589128E-2</v>
      </c>
      <c r="P69" s="324">
        <v>2.704040158438694E-2</v>
      </c>
      <c r="Q69" s="324">
        <v>3.1166417753489953E-2</v>
      </c>
      <c r="R69" s="87">
        <v>2.9103409668938447E-2</v>
      </c>
      <c r="S69" s="324">
        <v>2.3685322429713124E-2</v>
      </c>
      <c r="T69" s="324">
        <v>1.5533827688199508E-2</v>
      </c>
      <c r="U69" s="87">
        <v>1.9609575058956316E-2</v>
      </c>
      <c r="V69" s="324">
        <v>2.2171041625616398E-2</v>
      </c>
      <c r="W69" s="324">
        <v>2.6983657011068304E-2</v>
      </c>
      <c r="X69" s="87">
        <v>2.4577349318342351E-2</v>
      </c>
      <c r="Y69" s="324">
        <v>2.7381342365156981E-2</v>
      </c>
      <c r="Z69" s="87">
        <v>2.6983657011068304E-2</v>
      </c>
      <c r="AA69" s="87">
        <v>2.7182499688112642E-2</v>
      </c>
      <c r="AB69" s="87">
        <v>2.7381342365156981E-2</v>
      </c>
      <c r="AC69" s="87">
        <v>2.6983657011068304E-2</v>
      </c>
      <c r="AD69" s="87">
        <v>2.7182499688112642E-2</v>
      </c>
      <c r="AE69" s="87">
        <v>2.7381342365156981E-2</v>
      </c>
      <c r="AF69" s="87">
        <v>2.6983657011068304E-2</v>
      </c>
      <c r="AG69" s="87">
        <v>2.7182499688112642E-2</v>
      </c>
      <c r="AH69" s="87">
        <v>2.7381342365156981E-2</v>
      </c>
      <c r="AI69" s="87">
        <v>2.6983657011068304E-2</v>
      </c>
      <c r="AJ69" s="214">
        <v>2.7182499688112642E-2</v>
      </c>
      <c r="AK69" s="87">
        <v>2.7381342365156981E-2</v>
      </c>
      <c r="AL69" s="87">
        <v>2.6983657011068304E-2</v>
      </c>
      <c r="AM69" s="87">
        <v>2.7182499688112642E-2</v>
      </c>
      <c r="AN69" s="87">
        <v>2.7381342365156981E-2</v>
      </c>
      <c r="AO69" s="87">
        <v>2.6983657011068304E-2</v>
      </c>
      <c r="AP69" s="87">
        <v>2.7182499688112642E-2</v>
      </c>
      <c r="AQ69" s="87">
        <v>2.7381342365156981E-2</v>
      </c>
      <c r="AR69" s="87">
        <v>2.6983657011068304E-2</v>
      </c>
      <c r="AS69" s="87">
        <v>2.7182499688112642E-2</v>
      </c>
      <c r="AT69" s="87">
        <v>2.7381342365156981E-2</v>
      </c>
      <c r="AU69" s="87">
        <v>2.6983657011068304E-2</v>
      </c>
      <c r="AV69" s="87">
        <v>2.7182499688112642E-2</v>
      </c>
      <c r="AW69" s="87">
        <v>2.7381342365156981E-2</v>
      </c>
      <c r="AX69" s="87">
        <v>2.6983657011068304E-2</v>
      </c>
      <c r="AY69" s="87">
        <v>2.7182499688112642E-2</v>
      </c>
      <c r="AZ69" s="87">
        <v>2.7381342365156981E-2</v>
      </c>
      <c r="BA69" s="87">
        <v>2.6983657011068304E-2</v>
      </c>
      <c r="BB69" s="87">
        <v>2.7182499688112642E-2</v>
      </c>
    </row>
    <row r="70" spans="1:54">
      <c r="A70" s="387" t="s">
        <v>399</v>
      </c>
      <c r="B70" s="52" t="s">
        <v>76</v>
      </c>
      <c r="C70" s="31"/>
      <c r="D70" s="88"/>
      <c r="E70" s="88"/>
      <c r="F70" s="88"/>
      <c r="G70" s="88"/>
      <c r="H70" s="88"/>
      <c r="I70" s="88"/>
      <c r="J70" s="88"/>
      <c r="K70" s="88"/>
      <c r="L70" s="88"/>
      <c r="M70" s="324"/>
      <c r="N70" s="324">
        <v>7.2267675446631902E-2</v>
      </c>
      <c r="O70" s="87">
        <v>7.2267675446631902E-2</v>
      </c>
      <c r="P70" s="324">
        <v>5.0840789629152922E-2</v>
      </c>
      <c r="Q70" s="324">
        <v>4.4801787867893239E-2</v>
      </c>
      <c r="R70" s="87">
        <v>4.782128874852308E-2</v>
      </c>
      <c r="S70" s="324">
        <v>5.4124223140470919E-2</v>
      </c>
      <c r="T70" s="324">
        <v>5.2187593581711197E-2</v>
      </c>
      <c r="U70" s="87">
        <v>5.3155908361091062E-2</v>
      </c>
      <c r="V70" s="324">
        <v>5.1342393614537872E-2</v>
      </c>
      <c r="W70" s="324">
        <v>4.4321209735603662E-2</v>
      </c>
      <c r="X70" s="87">
        <v>4.783180167507077E-2</v>
      </c>
      <c r="Y70" s="324">
        <v>4.6004839190577157E-2</v>
      </c>
      <c r="Z70" s="87">
        <v>4.4321209735603662E-2</v>
      </c>
      <c r="AA70" s="87">
        <v>4.5163024463090409E-2</v>
      </c>
      <c r="AB70" s="87">
        <v>4.6004839190577157E-2</v>
      </c>
      <c r="AC70" s="87">
        <v>4.4321209735603662E-2</v>
      </c>
      <c r="AD70" s="87">
        <v>4.5163024463090409E-2</v>
      </c>
      <c r="AE70" s="87">
        <v>4.6004839190577157E-2</v>
      </c>
      <c r="AF70" s="87">
        <v>4.4321209735603662E-2</v>
      </c>
      <c r="AG70" s="87">
        <v>4.5163024463090409E-2</v>
      </c>
      <c r="AH70" s="87">
        <v>4.6004839190577157E-2</v>
      </c>
      <c r="AI70" s="87">
        <v>4.4321209735603662E-2</v>
      </c>
      <c r="AJ70" s="214">
        <v>4.5163024463090409E-2</v>
      </c>
      <c r="AK70" s="87">
        <v>4.6004839190577157E-2</v>
      </c>
      <c r="AL70" s="87">
        <v>4.4321209735603662E-2</v>
      </c>
      <c r="AM70" s="87">
        <v>4.5163024463090409E-2</v>
      </c>
      <c r="AN70" s="87">
        <v>4.6004839190577157E-2</v>
      </c>
      <c r="AO70" s="87">
        <v>4.4321209735603662E-2</v>
      </c>
      <c r="AP70" s="87">
        <v>4.5163024463090409E-2</v>
      </c>
      <c r="AQ70" s="87">
        <v>4.6004839190577157E-2</v>
      </c>
      <c r="AR70" s="87">
        <v>4.4321209735603662E-2</v>
      </c>
      <c r="AS70" s="87">
        <v>4.5163024463090409E-2</v>
      </c>
      <c r="AT70" s="87">
        <v>4.6004839190577157E-2</v>
      </c>
      <c r="AU70" s="87">
        <v>4.4321209735603662E-2</v>
      </c>
      <c r="AV70" s="87">
        <v>4.5163024463090409E-2</v>
      </c>
      <c r="AW70" s="87">
        <v>4.6004839190577157E-2</v>
      </c>
      <c r="AX70" s="87">
        <v>4.4321209735603662E-2</v>
      </c>
      <c r="AY70" s="87">
        <v>4.5163024463090409E-2</v>
      </c>
      <c r="AZ70" s="87">
        <v>4.6004839190577157E-2</v>
      </c>
      <c r="BA70" s="87">
        <v>4.4321209735603662E-2</v>
      </c>
      <c r="BB70" s="87">
        <v>4.5163024463090409E-2</v>
      </c>
    </row>
    <row r="71" spans="1:54">
      <c r="A71" s="387" t="s">
        <v>400</v>
      </c>
      <c r="B71" s="52" t="s">
        <v>76</v>
      </c>
      <c r="C71" s="31"/>
      <c r="D71" s="88"/>
      <c r="E71" s="88"/>
      <c r="F71" s="88"/>
      <c r="G71" s="88"/>
      <c r="H71" s="88"/>
      <c r="I71" s="88"/>
      <c r="J71" s="88"/>
      <c r="K71" s="88"/>
      <c r="L71" s="88"/>
      <c r="M71" s="324"/>
      <c r="N71" s="324">
        <v>1.7613058070339919E-2</v>
      </c>
      <c r="O71" s="87">
        <v>1.7613058070339919E-2</v>
      </c>
      <c r="P71" s="324">
        <v>1.9199529076508598E-2</v>
      </c>
      <c r="Q71" s="324">
        <v>1.889993764621458E-2</v>
      </c>
      <c r="R71" s="87">
        <v>1.9049733361361589E-2</v>
      </c>
      <c r="S71" s="324">
        <v>1.8192749108048006E-2</v>
      </c>
      <c r="T71" s="324">
        <v>1.463526126252745E-2</v>
      </c>
      <c r="U71" s="87">
        <v>1.6414005185287728E-2</v>
      </c>
      <c r="V71" s="324">
        <v>1.5886239515149326E-2</v>
      </c>
      <c r="W71" s="324">
        <v>1.9535597304186539E-2</v>
      </c>
      <c r="X71" s="87">
        <v>1.7710918409667931E-2</v>
      </c>
      <c r="Y71" s="324">
        <v>2.0302782539960377E-2</v>
      </c>
      <c r="Z71" s="87">
        <v>1.9535597304186539E-2</v>
      </c>
      <c r="AA71" s="87">
        <v>1.9919189922073456E-2</v>
      </c>
      <c r="AB71" s="87">
        <v>2.0302782539960377E-2</v>
      </c>
      <c r="AC71" s="87">
        <v>1.9535597304186539E-2</v>
      </c>
      <c r="AD71" s="87">
        <v>1.9919189922073456E-2</v>
      </c>
      <c r="AE71" s="87">
        <v>2.0302782539960377E-2</v>
      </c>
      <c r="AF71" s="87">
        <v>1.9535597304186539E-2</v>
      </c>
      <c r="AG71" s="87">
        <v>1.9919189922073456E-2</v>
      </c>
      <c r="AH71" s="87">
        <v>2.0302782539960377E-2</v>
      </c>
      <c r="AI71" s="87">
        <v>1.9535597304186539E-2</v>
      </c>
      <c r="AJ71" s="214">
        <v>1.9919189922073456E-2</v>
      </c>
      <c r="AK71" s="87">
        <v>2.0302782539960377E-2</v>
      </c>
      <c r="AL71" s="87">
        <v>1.9535597304186539E-2</v>
      </c>
      <c r="AM71" s="87">
        <v>1.9919189922073456E-2</v>
      </c>
      <c r="AN71" s="87">
        <v>2.0302782539960377E-2</v>
      </c>
      <c r="AO71" s="87">
        <v>1.9535597304186539E-2</v>
      </c>
      <c r="AP71" s="87">
        <v>1.9919189922073456E-2</v>
      </c>
      <c r="AQ71" s="87">
        <v>2.0302782539960377E-2</v>
      </c>
      <c r="AR71" s="87">
        <v>1.9535597304186539E-2</v>
      </c>
      <c r="AS71" s="87">
        <v>1.9919189922073456E-2</v>
      </c>
      <c r="AT71" s="87">
        <v>2.0302782539960377E-2</v>
      </c>
      <c r="AU71" s="87">
        <v>1.9535597304186539E-2</v>
      </c>
      <c r="AV71" s="87">
        <v>1.9919189922073456E-2</v>
      </c>
      <c r="AW71" s="87">
        <v>2.0302782539960377E-2</v>
      </c>
      <c r="AX71" s="87">
        <v>1.9535597304186539E-2</v>
      </c>
      <c r="AY71" s="87">
        <v>1.9919189922073456E-2</v>
      </c>
      <c r="AZ71" s="87">
        <v>2.0302782539960377E-2</v>
      </c>
      <c r="BA71" s="87">
        <v>1.9535597304186539E-2</v>
      </c>
      <c r="BB71" s="87">
        <v>1.9919189922073456E-2</v>
      </c>
    </row>
    <row r="73" spans="1:54">
      <c r="A73" s="85" t="s">
        <v>511</v>
      </c>
      <c r="B73" s="382"/>
      <c r="C73" s="85"/>
      <c r="D73" s="370" t="s">
        <v>562</v>
      </c>
      <c r="E73" s="370" t="s">
        <v>563</v>
      </c>
      <c r="F73" s="370" t="s">
        <v>491</v>
      </c>
      <c r="G73" s="370" t="s">
        <v>564</v>
      </c>
      <c r="H73" s="370" t="s">
        <v>565</v>
      </c>
      <c r="I73" s="370" t="s">
        <v>492</v>
      </c>
      <c r="J73" s="370" t="s">
        <v>566</v>
      </c>
      <c r="K73" s="370" t="s">
        <v>567</v>
      </c>
      <c r="L73" s="370" t="s">
        <v>493</v>
      </c>
      <c r="M73" s="370" t="s">
        <v>568</v>
      </c>
      <c r="N73" s="370" t="s">
        <v>569</v>
      </c>
      <c r="O73" s="370" t="s">
        <v>418</v>
      </c>
      <c r="P73" s="370" t="s">
        <v>570</v>
      </c>
      <c r="Q73" s="370" t="s">
        <v>571</v>
      </c>
      <c r="R73" s="370" t="s">
        <v>494</v>
      </c>
      <c r="S73" s="370" t="s">
        <v>486</v>
      </c>
      <c r="T73" s="370" t="s">
        <v>487</v>
      </c>
      <c r="U73" s="370" t="s">
        <v>417</v>
      </c>
      <c r="V73" s="370" t="s">
        <v>488</v>
      </c>
      <c r="W73" s="370" t="s">
        <v>489</v>
      </c>
      <c r="X73" s="370" t="s">
        <v>442</v>
      </c>
      <c r="Y73" s="370" t="s">
        <v>490</v>
      </c>
      <c r="Z73" s="370" t="s">
        <v>553</v>
      </c>
      <c r="AA73" s="370" t="s">
        <v>552</v>
      </c>
      <c r="AB73" s="370" t="s">
        <v>558</v>
      </c>
      <c r="AC73" s="370" t="s">
        <v>572</v>
      </c>
      <c r="AD73" s="370" t="s">
        <v>559</v>
      </c>
      <c r="AE73" s="370" t="s">
        <v>573</v>
      </c>
      <c r="AF73" s="370" t="s">
        <v>574</v>
      </c>
      <c r="AG73" s="370" t="s">
        <v>560</v>
      </c>
      <c r="AH73" s="370" t="s">
        <v>575</v>
      </c>
      <c r="AI73" s="370" t="s">
        <v>576</v>
      </c>
      <c r="AJ73" s="386" t="s">
        <v>561</v>
      </c>
      <c r="AK73" s="370" t="s">
        <v>590</v>
      </c>
      <c r="AL73" s="370" t="s">
        <v>592</v>
      </c>
      <c r="AM73" s="370" t="s">
        <v>593</v>
      </c>
      <c r="AN73" s="370" t="s">
        <v>577</v>
      </c>
      <c r="AO73" s="370" t="s">
        <v>578</v>
      </c>
      <c r="AP73" s="370" t="s">
        <v>518</v>
      </c>
      <c r="AQ73" s="370" t="s">
        <v>579</v>
      </c>
      <c r="AR73" s="370" t="s">
        <v>580</v>
      </c>
      <c r="AS73" s="370" t="s">
        <v>519</v>
      </c>
      <c r="AT73" s="370" t="s">
        <v>581</v>
      </c>
      <c r="AU73" s="370" t="s">
        <v>582</v>
      </c>
      <c r="AV73" s="370" t="s">
        <v>583</v>
      </c>
      <c r="AW73" s="370" t="s">
        <v>584</v>
      </c>
      <c r="AX73" s="370" t="s">
        <v>585</v>
      </c>
      <c r="AY73" s="370" t="s">
        <v>586</v>
      </c>
      <c r="AZ73" s="370" t="s">
        <v>587</v>
      </c>
      <c r="BA73" s="370" t="s">
        <v>588</v>
      </c>
      <c r="BB73" s="370" t="s">
        <v>589</v>
      </c>
    </row>
    <row r="74" spans="1:54">
      <c r="A74" s="387" t="s">
        <v>514</v>
      </c>
      <c r="B74" s="383"/>
      <c r="C74" s="323"/>
      <c r="D74" s="65">
        <v>0.92176136363636352</v>
      </c>
      <c r="E74" s="65">
        <v>0.91492667067307698</v>
      </c>
      <c r="F74" s="65">
        <v>0.91834401715472025</v>
      </c>
      <c r="G74" s="65">
        <v>0.88985075757575749</v>
      </c>
      <c r="H74" s="65">
        <v>0.78227740384615374</v>
      </c>
      <c r="I74" s="65">
        <v>0.83606408071095561</v>
      </c>
      <c r="J74" s="65">
        <v>0.72294393939393942</v>
      </c>
      <c r="K74" s="65">
        <v>0.73435846153846152</v>
      </c>
      <c r="L74" s="65">
        <v>0.72865120046620047</v>
      </c>
      <c r="M74" s="325">
        <v>0.75374449883449857</v>
      </c>
      <c r="N74" s="65">
        <v>0.75447230769230766</v>
      </c>
      <c r="O74" s="65">
        <v>0.75410840326340312</v>
      </c>
      <c r="P74" s="65">
        <v>0.77920846153846168</v>
      </c>
      <c r="Q74" s="65">
        <v>0.76300923076923066</v>
      </c>
      <c r="R74" s="65">
        <v>0.77110884615384623</v>
      </c>
      <c r="S74" s="65">
        <v>0.71</v>
      </c>
      <c r="T74" s="65">
        <v>0.70124453124999997</v>
      </c>
      <c r="U74" s="65">
        <v>0.70562226562499997</v>
      </c>
      <c r="V74" s="65">
        <v>0.67999999999999994</v>
      </c>
      <c r="W74" s="65">
        <v>0.73499999999999999</v>
      </c>
      <c r="X74" s="65">
        <v>0.70750000000000002</v>
      </c>
      <c r="Y74" s="65">
        <v>0.71635833333333343</v>
      </c>
      <c r="Z74" s="65">
        <v>0.77074166666666655</v>
      </c>
      <c r="AA74" s="65">
        <v>0.74354999999999993</v>
      </c>
      <c r="AB74" s="65">
        <v>0.73604999999999998</v>
      </c>
      <c r="AC74" s="65">
        <v>0.72142499999999998</v>
      </c>
      <c r="AD74" s="65">
        <v>0.72873750000000004</v>
      </c>
      <c r="AE74" s="65">
        <v>0.67</v>
      </c>
      <c r="AF74" s="65">
        <v>0.69</v>
      </c>
      <c r="AG74" s="65">
        <v>0.67999999999999994</v>
      </c>
      <c r="AH74" s="451">
        <v>0.65301384615384639</v>
      </c>
      <c r="AI74" s="451">
        <v>0.65839538461538438</v>
      </c>
      <c r="AJ74" s="453">
        <v>0.65570461538461533</v>
      </c>
      <c r="AK74" s="65">
        <v>0.65</v>
      </c>
      <c r="AL74" s="65">
        <v>0.65</v>
      </c>
      <c r="AM74" s="65">
        <v>0.64904651515958089</v>
      </c>
      <c r="AN74" s="65">
        <v>0.66</v>
      </c>
      <c r="AO74" s="65">
        <v>0.66</v>
      </c>
      <c r="AP74" s="65">
        <v>0.66</v>
      </c>
      <c r="AQ74" s="65">
        <v>0.67</v>
      </c>
      <c r="AR74" s="65">
        <v>0.67</v>
      </c>
      <c r="AS74" s="65">
        <v>0.67</v>
      </c>
      <c r="AT74" s="65">
        <v>0.67</v>
      </c>
      <c r="AU74" s="65">
        <v>0.67</v>
      </c>
      <c r="AV74" s="65">
        <v>0.67</v>
      </c>
      <c r="AW74" s="65">
        <v>0.67</v>
      </c>
      <c r="AX74" s="65">
        <v>0.67</v>
      </c>
      <c r="AY74" s="65">
        <v>0.67</v>
      </c>
      <c r="AZ74" s="65">
        <v>0.67</v>
      </c>
      <c r="BA74" s="65">
        <v>0.67</v>
      </c>
      <c r="BB74" s="65">
        <v>0.67</v>
      </c>
    </row>
    <row r="75" spans="1:54" ht="11.4" customHeight="1">
      <c r="A75" s="387" t="s">
        <v>515</v>
      </c>
      <c r="B75" s="383"/>
      <c r="C75" s="323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>
        <v>0.67999999999999994</v>
      </c>
      <c r="W75" s="65">
        <v>0.73499999999999999</v>
      </c>
      <c r="X75" s="65">
        <v>0.70750000000000002</v>
      </c>
      <c r="Y75" s="65">
        <v>0.71635833333333343</v>
      </c>
      <c r="Z75" s="65">
        <v>0.77074166666666655</v>
      </c>
      <c r="AA75" s="65">
        <v>0.74354999999999993</v>
      </c>
      <c r="AB75" s="65">
        <v>0.73604999999999998</v>
      </c>
      <c r="AC75" s="65">
        <v>0.72142499999999998</v>
      </c>
      <c r="AD75" s="65">
        <v>0.72873750000000004</v>
      </c>
      <c r="AE75" s="65">
        <v>0.67</v>
      </c>
      <c r="AF75" s="65">
        <v>0.69</v>
      </c>
      <c r="AG75" s="65">
        <v>0.67999999999999994</v>
      </c>
      <c r="AH75" s="452">
        <v>0.65304951276923084</v>
      </c>
      <c r="AI75" s="452">
        <v>0.65837541530769228</v>
      </c>
      <c r="AJ75" s="454">
        <v>0.65571246403846151</v>
      </c>
      <c r="AK75" s="452">
        <v>0.66166574193206507</v>
      </c>
      <c r="AL75" s="452">
        <v>0.63642728838709672</v>
      </c>
      <c r="AM75" s="452">
        <v>0.64904651515958089</v>
      </c>
      <c r="AN75" s="452">
        <v>0.67</v>
      </c>
      <c r="AO75" s="452">
        <v>0.7</v>
      </c>
      <c r="AP75" s="452">
        <v>0.7</v>
      </c>
      <c r="AQ75" s="452">
        <v>0.7</v>
      </c>
      <c r="AR75" s="452">
        <v>0.7</v>
      </c>
      <c r="AS75" s="452">
        <v>0.7</v>
      </c>
      <c r="AT75" s="452">
        <v>0.7</v>
      </c>
      <c r="AU75" s="452">
        <v>0.7</v>
      </c>
      <c r="AV75" s="452">
        <v>0.7</v>
      </c>
      <c r="AW75" s="452">
        <v>0.7</v>
      </c>
      <c r="AX75" s="452">
        <v>0.7</v>
      </c>
      <c r="AY75" s="452">
        <v>0.7</v>
      </c>
      <c r="AZ75" s="452">
        <v>0.7</v>
      </c>
      <c r="BA75" s="452">
        <v>0.7</v>
      </c>
      <c r="BB75" s="452">
        <v>0.7</v>
      </c>
    </row>
    <row r="76" spans="1:54">
      <c r="A76" s="323"/>
      <c r="B76" s="383"/>
      <c r="C76" s="323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368"/>
      <c r="AK76" s="65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  <c r="AW76" s="65"/>
      <c r="AX76" s="65"/>
      <c r="AY76" s="65"/>
      <c r="AZ76" s="65"/>
      <c r="BA76" s="65"/>
      <c r="BB76" s="65"/>
    </row>
    <row r="77" spans="1:54">
      <c r="A77" s="13" t="s">
        <v>497</v>
      </c>
      <c r="B77" s="55" t="s">
        <v>512</v>
      </c>
      <c r="C77" s="323"/>
      <c r="D77" s="94">
        <v>307.5</v>
      </c>
      <c r="E77" s="94">
        <v>316.39999999999998</v>
      </c>
      <c r="F77" s="94">
        <v>623.9</v>
      </c>
      <c r="G77" s="94">
        <v>331.4</v>
      </c>
      <c r="H77" s="94">
        <v>345.3</v>
      </c>
      <c r="I77" s="94">
        <v>676.7</v>
      </c>
      <c r="J77" s="94">
        <v>369.3</v>
      </c>
      <c r="K77" s="94">
        <v>388.1</v>
      </c>
      <c r="L77" s="94">
        <v>757.40000000000009</v>
      </c>
      <c r="M77" s="94">
        <v>393.4</v>
      </c>
      <c r="N77" s="94">
        <v>419</v>
      </c>
      <c r="O77" s="94">
        <v>812.4</v>
      </c>
      <c r="P77" s="94">
        <v>429.9</v>
      </c>
      <c r="Q77" s="94">
        <v>452.1</v>
      </c>
      <c r="R77" s="94">
        <v>882</v>
      </c>
      <c r="S77" s="94">
        <v>423.6</v>
      </c>
      <c r="T77" s="94">
        <v>430.7</v>
      </c>
      <c r="U77" s="94">
        <v>854.3</v>
      </c>
      <c r="V77" s="94">
        <v>457</v>
      </c>
      <c r="W77" s="94">
        <v>431.79999999999995</v>
      </c>
      <c r="X77" s="94">
        <v>888.8</v>
      </c>
      <c r="Y77" s="94">
        <v>558.69999999999993</v>
      </c>
      <c r="Z77" s="94">
        <v>564.59999999999991</v>
      </c>
      <c r="AA77" s="94">
        <v>1123.2999999999997</v>
      </c>
      <c r="AB77" s="94">
        <v>562.30000000000007</v>
      </c>
      <c r="AC77" s="94">
        <v>570</v>
      </c>
      <c r="AD77" s="94">
        <v>1132.3000000000002</v>
      </c>
      <c r="AE77" s="94">
        <v>435.1</v>
      </c>
      <c r="AF77" s="94">
        <v>449.4</v>
      </c>
      <c r="AG77" s="94">
        <v>884.5</v>
      </c>
      <c r="AH77" s="94">
        <v>498.20000000000005</v>
      </c>
      <c r="AI77" s="94">
        <v>522.29999999999995</v>
      </c>
      <c r="AJ77" s="95">
        <v>1020.5</v>
      </c>
      <c r="AK77" s="94">
        <v>487.2</v>
      </c>
      <c r="AL77" s="94">
        <v>528.50199999999995</v>
      </c>
      <c r="AM77" s="94">
        <v>1015.702</v>
      </c>
      <c r="AN77" s="94">
        <v>509.94200000000001</v>
      </c>
      <c r="AO77" s="94">
        <v>539.07204000000002</v>
      </c>
      <c r="AP77" s="94">
        <v>1049.01404</v>
      </c>
      <c r="AQ77" s="94">
        <v>520.14084000000003</v>
      </c>
      <c r="AR77" s="94">
        <v>555.24420119999991</v>
      </c>
      <c r="AS77" s="94">
        <v>1075.3850411999999</v>
      </c>
      <c r="AT77" s="94">
        <v>535.7450652</v>
      </c>
      <c r="AU77" s="94">
        <v>533.03443315199991</v>
      </c>
      <c r="AV77" s="94">
        <v>1068.7794983519998</v>
      </c>
      <c r="AW77" s="94">
        <v>514.31526259199995</v>
      </c>
      <c r="AX77" s="94">
        <v>506.38271149439993</v>
      </c>
      <c r="AY77" s="94">
        <v>1020.6979740863999</v>
      </c>
      <c r="AZ77" s="94">
        <v>488.59949946239999</v>
      </c>
      <c r="BA77" s="94">
        <v>475.99974880473587</v>
      </c>
      <c r="BB77" s="94">
        <v>964.59924826713586</v>
      </c>
    </row>
    <row r="78" spans="1:54">
      <c r="A78" s="31" t="s">
        <v>179</v>
      </c>
      <c r="B78" s="101" t="s">
        <v>76</v>
      </c>
      <c r="D78" s="88"/>
      <c r="E78" s="88"/>
      <c r="F78" s="88"/>
      <c r="G78" s="88">
        <v>7.7723577235772279E-2</v>
      </c>
      <c r="H78" s="88">
        <v>9.1340075853350244E-2</v>
      </c>
      <c r="I78" s="88">
        <v>8.4628946946626149E-2</v>
      </c>
      <c r="J78" s="88">
        <v>0.11436330718165366</v>
      </c>
      <c r="K78" s="88">
        <v>0.12395018824210835</v>
      </c>
      <c r="L78" s="88">
        <v>0.11925520910299992</v>
      </c>
      <c r="M78" s="88">
        <v>6.5258597346330882E-2</v>
      </c>
      <c r="N78" s="88">
        <v>7.961865498582843E-2</v>
      </c>
      <c r="O78" s="88">
        <v>7.2616847108529115E-2</v>
      </c>
      <c r="P78" s="88">
        <v>9.2780884595831115E-2</v>
      </c>
      <c r="Q78" s="88">
        <v>7.8997613365155095E-2</v>
      </c>
      <c r="R78" s="88">
        <v>8.5672082717872966E-2</v>
      </c>
      <c r="S78" s="88">
        <v>-1.465457083042554E-2</v>
      </c>
      <c r="T78" s="88">
        <v>-4.7334660473346668E-2</v>
      </c>
      <c r="U78" s="88">
        <v>-3.1405895691610008E-2</v>
      </c>
      <c r="V78" s="88">
        <v>7.8847969782813943E-2</v>
      </c>
      <c r="W78" s="88">
        <v>2.5539818899464883E-3</v>
      </c>
      <c r="X78" s="88">
        <v>4.038394006789181E-2</v>
      </c>
      <c r="Y78" s="88">
        <v>0.22253829321662999</v>
      </c>
      <c r="Z78" s="88">
        <v>0.30754979157017126</v>
      </c>
      <c r="AA78" s="88">
        <v>0.2638388838883885</v>
      </c>
      <c r="AB78" s="88">
        <v>6.4435296223377403E-3</v>
      </c>
      <c r="AC78" s="88">
        <v>9.5642933049948642E-3</v>
      </c>
      <c r="AD78" s="88">
        <v>8.0121071841898761E-3</v>
      </c>
      <c r="AE78" s="88">
        <v>-0.22621376489418465</v>
      </c>
      <c r="AF78" s="88">
        <v>-0.21157894736842109</v>
      </c>
      <c r="AG78" s="88">
        <v>-0.21884659542524076</v>
      </c>
      <c r="AH78" s="88">
        <v>0.14502413238336009</v>
      </c>
      <c r="AI78" s="88">
        <v>0.16221628838451263</v>
      </c>
      <c r="AJ78" s="218">
        <v>0.15375918598078009</v>
      </c>
      <c r="AK78" s="88">
        <v>-2.2079486150140659E-2</v>
      </c>
      <c r="AL78" s="88">
        <v>1.187440168485554E-2</v>
      </c>
      <c r="AM78" s="88">
        <v>-4.7016168544831149E-3</v>
      </c>
      <c r="AN78" s="88">
        <v>4.6678981937602559E-2</v>
      </c>
      <c r="AO78" s="88">
        <v>2.0000000000000018E-2</v>
      </c>
      <c r="AP78" s="88">
        <v>3.2797060555162849E-2</v>
      </c>
      <c r="AQ78" s="88">
        <v>2.0000000000000018E-2</v>
      </c>
      <c r="AR78" s="88">
        <v>2.9999999999999805E-2</v>
      </c>
      <c r="AS78" s="88">
        <v>2.5138844852829578E-2</v>
      </c>
      <c r="AT78" s="88">
        <v>3.0000000000000027E-2</v>
      </c>
      <c r="AU78" s="88">
        <v>-4.0000000000000036E-2</v>
      </c>
      <c r="AV78" s="88">
        <v>-6.1424909171408082E-3</v>
      </c>
      <c r="AW78" s="88">
        <v>-4.0000000000000036E-2</v>
      </c>
      <c r="AX78" s="88">
        <v>-4.9999999999999933E-2</v>
      </c>
      <c r="AY78" s="88">
        <v>-4.4987319030482031E-2</v>
      </c>
      <c r="AZ78" s="88">
        <v>-4.9999999999999933E-2</v>
      </c>
      <c r="BA78" s="88">
        <v>-6.0000000000000164E-2</v>
      </c>
      <c r="BB78" s="88">
        <v>-5.4961141535993074E-2</v>
      </c>
    </row>
    <row r="79" spans="1:54">
      <c r="A79" s="89" t="s">
        <v>507</v>
      </c>
      <c r="B79" s="384" t="s">
        <v>512</v>
      </c>
      <c r="C79" s="323"/>
      <c r="D79" s="92">
        <v>339</v>
      </c>
      <c r="E79" s="92">
        <v>276.39999999999998</v>
      </c>
      <c r="F79" s="92">
        <v>615.4</v>
      </c>
      <c r="G79" s="92">
        <v>360.2</v>
      </c>
      <c r="H79" s="92">
        <v>293.7</v>
      </c>
      <c r="I79" s="92">
        <v>653.9</v>
      </c>
      <c r="J79" s="92">
        <v>408.6</v>
      </c>
      <c r="K79" s="92">
        <v>336.5</v>
      </c>
      <c r="L79" s="92">
        <v>745.1</v>
      </c>
      <c r="M79" s="92">
        <v>424.2</v>
      </c>
      <c r="N79" s="92">
        <v>368.3</v>
      </c>
      <c r="O79" s="92">
        <v>792.5</v>
      </c>
      <c r="P79" s="92">
        <v>467.6</v>
      </c>
      <c r="Q79" s="92">
        <v>394.70000000000005</v>
      </c>
      <c r="R79" s="92">
        <v>862.30000000000007</v>
      </c>
      <c r="S79" s="92">
        <v>494.9</v>
      </c>
      <c r="T79" s="92">
        <v>374.6</v>
      </c>
      <c r="U79" s="92">
        <v>869.5</v>
      </c>
      <c r="V79" s="92">
        <v>485.4</v>
      </c>
      <c r="W79" s="92">
        <v>428.1</v>
      </c>
      <c r="X79" s="92">
        <v>913.5</v>
      </c>
      <c r="Y79" s="92">
        <v>498.69999999999993</v>
      </c>
      <c r="Z79" s="92">
        <v>532.70000000000005</v>
      </c>
      <c r="AA79" s="92">
        <v>1031.4000000000001</v>
      </c>
      <c r="AB79" s="92">
        <v>605.4</v>
      </c>
      <c r="AC79" s="92">
        <v>532.90000000000009</v>
      </c>
      <c r="AD79" s="92">
        <v>1138.3000000000002</v>
      </c>
      <c r="AE79" s="92">
        <v>545</v>
      </c>
      <c r="AF79" s="92">
        <v>381.6</v>
      </c>
      <c r="AG79" s="92">
        <v>926.6</v>
      </c>
      <c r="AH79" s="92">
        <v>520.5</v>
      </c>
      <c r="AI79" s="92">
        <v>480.20000000000005</v>
      </c>
      <c r="AJ79" s="93">
        <v>1000.7</v>
      </c>
      <c r="AK79" s="92">
        <v>540.79999999999995</v>
      </c>
      <c r="AL79" s="92">
        <v>466.47199999999998</v>
      </c>
      <c r="AM79" s="92">
        <v>1007.2719999999999</v>
      </c>
      <c r="AN79" s="92">
        <v>560.60200000000009</v>
      </c>
      <c r="AO79" s="92">
        <v>482.62343999999996</v>
      </c>
      <c r="AP79" s="92">
        <v>1043.2254400000002</v>
      </c>
      <c r="AQ79" s="92">
        <v>571.81403999999998</v>
      </c>
      <c r="AR79" s="92">
        <v>494.71444320000001</v>
      </c>
      <c r="AS79" s="92">
        <v>1066.5284832</v>
      </c>
      <c r="AT79" s="92">
        <v>588.96846120000009</v>
      </c>
      <c r="AU79" s="92">
        <v>491.97404347199995</v>
      </c>
      <c r="AV79" s="92">
        <v>1080.942504672</v>
      </c>
      <c r="AW79" s="92">
        <v>565.40972275199999</v>
      </c>
      <c r="AX79" s="92">
        <v>469.88385891839994</v>
      </c>
      <c r="AY79" s="92">
        <v>1035.2935816703998</v>
      </c>
      <c r="AZ79" s="92">
        <v>537.13923661440003</v>
      </c>
      <c r="BA79" s="92">
        <v>444.09900429849591</v>
      </c>
      <c r="BB79" s="92">
        <v>981.23824091289589</v>
      </c>
    </row>
    <row r="80" spans="1:54">
      <c r="A80" s="329" t="s">
        <v>179</v>
      </c>
      <c r="B80" s="101" t="s">
        <v>76</v>
      </c>
      <c r="C80" s="31"/>
      <c r="D80" s="88"/>
      <c r="E80" s="88"/>
      <c r="F80" s="88"/>
      <c r="G80" s="88">
        <v>6.2536873156342043E-2</v>
      </c>
      <c r="H80" s="88">
        <v>6.2590448625180928E-2</v>
      </c>
      <c r="I80" s="88">
        <v>6.2560935976600618E-2</v>
      </c>
      <c r="J80" s="88">
        <v>0.13436979455857867</v>
      </c>
      <c r="K80" s="88">
        <v>0.14572693224378619</v>
      </c>
      <c r="L80" s="88">
        <v>0.13947086710506196</v>
      </c>
      <c r="M80" s="88">
        <v>3.8179148311306754E-2</v>
      </c>
      <c r="N80" s="88">
        <v>9.4502228826151669E-2</v>
      </c>
      <c r="O80" s="88">
        <v>6.3615622064152388E-2</v>
      </c>
      <c r="P80" s="88">
        <v>0.10231023102310233</v>
      </c>
      <c r="Q80" s="88">
        <v>7.1680695085528212E-2</v>
      </c>
      <c r="R80" s="88">
        <v>8.807570977918E-2</v>
      </c>
      <c r="S80" s="88">
        <v>5.8383233532933954E-2</v>
      </c>
      <c r="T80" s="88">
        <v>-5.0924752976944543E-2</v>
      </c>
      <c r="U80" s="88">
        <v>8.3497622637132007E-3</v>
      </c>
      <c r="V80" s="88">
        <v>-1.9195797130733494E-2</v>
      </c>
      <c r="W80" s="88">
        <v>0.14281900694073668</v>
      </c>
      <c r="X80" s="88">
        <v>5.0603795284646313E-2</v>
      </c>
      <c r="Y80" s="88">
        <v>2.7400082406262793E-2</v>
      </c>
      <c r="Z80" s="88">
        <v>0.24433543564587712</v>
      </c>
      <c r="AA80" s="88">
        <v>0.12906403940886713</v>
      </c>
      <c r="AB80" s="88">
        <v>0.21395628634449571</v>
      </c>
      <c r="AC80" s="88">
        <v>3.7544584193738295E-4</v>
      </c>
      <c r="AD80" s="88">
        <v>0.10364553034710111</v>
      </c>
      <c r="AE80" s="88">
        <v>-9.9768747935249369E-2</v>
      </c>
      <c r="AF80" s="88">
        <v>-0.28391818352411347</v>
      </c>
      <c r="AG80" s="88">
        <v>-0.18597909162786619</v>
      </c>
      <c r="AH80" s="88">
        <v>-4.4954128440366947E-2</v>
      </c>
      <c r="AI80" s="88">
        <v>0.25838574423480098</v>
      </c>
      <c r="AJ80" s="218">
        <v>7.9969781998704859E-2</v>
      </c>
      <c r="AK80" s="88">
        <v>3.9000960614793412E-2</v>
      </c>
      <c r="AL80" s="88">
        <v>-2.8588088296543246E-2</v>
      </c>
      <c r="AM80" s="88">
        <v>6.567402818027368E-3</v>
      </c>
      <c r="AN80" s="88">
        <v>3.6616124260355321E-2</v>
      </c>
      <c r="AO80" s="88">
        <v>3.4624672006036805E-2</v>
      </c>
      <c r="AP80" s="88">
        <v>3.569387414720171E-2</v>
      </c>
      <c r="AQ80" s="88">
        <v>1.9999999999999796E-2</v>
      </c>
      <c r="AR80" s="88">
        <v>2.5052664661293855E-2</v>
      </c>
      <c r="AS80" s="88">
        <v>2.2337495143906594E-2</v>
      </c>
      <c r="AT80" s="88">
        <v>3.0000000000000249E-2</v>
      </c>
      <c r="AU80" s="88">
        <v>-5.5393566241448422E-3</v>
      </c>
      <c r="AV80" s="88">
        <v>1.3514895944224836E-2</v>
      </c>
      <c r="AW80" s="88">
        <v>-4.0000000000000147E-2</v>
      </c>
      <c r="AX80" s="88">
        <v>-4.490111794862861E-2</v>
      </c>
      <c r="AY80" s="88">
        <v>-4.2230667037607028E-2</v>
      </c>
      <c r="AZ80" s="88">
        <v>-4.9999999999999933E-2</v>
      </c>
      <c r="BA80" s="88">
        <v>-5.4874952885712647E-2</v>
      </c>
      <c r="BB80" s="88">
        <v>-5.2212572080557185E-2</v>
      </c>
    </row>
    <row r="82" spans="1:54">
      <c r="A82" s="13" t="s">
        <v>496</v>
      </c>
      <c r="B82" s="55" t="s">
        <v>499</v>
      </c>
      <c r="C82" s="13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5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</row>
    <row r="83" spans="1:54">
      <c r="A83" s="31" t="s">
        <v>179</v>
      </c>
      <c r="B83" s="101" t="s">
        <v>76</v>
      </c>
      <c r="C83" s="31"/>
      <c r="D83" s="88">
        <v>-1.5694118624867914E-2</v>
      </c>
      <c r="E83" s="88">
        <v>2.9651567438581994E-2</v>
      </c>
      <c r="F83" s="88">
        <v>6.8894164323449747E-3</v>
      </c>
      <c r="G83" s="88">
        <v>7.5720261044373904E-2</v>
      </c>
      <c r="H83" s="88">
        <v>7.8699831253154828E-2</v>
      </c>
      <c r="I83" s="88">
        <v>7.7237723935702274E-2</v>
      </c>
      <c r="J83" s="88">
        <v>8.1469668651111826E-2</v>
      </c>
      <c r="K83" s="88">
        <v>5.0552686527237212E-2</v>
      </c>
      <c r="L83" s="88">
        <v>6.570261272237321E-2</v>
      </c>
      <c r="M83" s="88">
        <v>2.1964753809312398E-2</v>
      </c>
      <c r="N83" s="88">
        <v>1.8902968311743429E-2</v>
      </c>
      <c r="O83" s="88">
        <v>2.0425500549087872E-2</v>
      </c>
      <c r="P83" s="88">
        <v>1.5906988767286245E-2</v>
      </c>
      <c r="Q83" s="88">
        <v>1.9276407558133757E-2</v>
      </c>
      <c r="R83" s="88">
        <v>1.7598371288732206E-2</v>
      </c>
      <c r="S83" s="88">
        <v>2.259306826438201E-2</v>
      </c>
      <c r="T83" s="88">
        <v>2.4411094071577821E-2</v>
      </c>
      <c r="U83" s="88">
        <v>2.3507186678340064E-2</v>
      </c>
      <c r="V83" s="88">
        <v>2.6188952599683901E-2</v>
      </c>
      <c r="W83" s="88">
        <v>2.5355108629770307E-2</v>
      </c>
      <c r="X83" s="88">
        <v>2.5769318682865361E-2</v>
      </c>
      <c r="Y83" s="88">
        <v>2.454254485406282E-2</v>
      </c>
      <c r="Z83" s="88">
        <v>2.5777221247615278E-2</v>
      </c>
      <c r="AA83" s="88">
        <v>2.5163647714826487E-2</v>
      </c>
      <c r="AB83" s="88">
        <v>2.454254485406282E-2</v>
      </c>
      <c r="AC83" s="88">
        <v>2.5777221247615278E-2</v>
      </c>
      <c r="AD83" s="88">
        <v>2.5163647714826487E-2</v>
      </c>
      <c r="AE83" s="88">
        <v>2.454254485406282E-2</v>
      </c>
      <c r="AF83" s="88">
        <v>2.5777221247615278E-2</v>
      </c>
      <c r="AG83" s="88">
        <v>2.5163647714826487E-2</v>
      </c>
      <c r="AH83" s="88">
        <v>2.454254485406282E-2</v>
      </c>
      <c r="AI83" s="88">
        <v>2.5777221247615278E-2</v>
      </c>
      <c r="AJ83" s="218">
        <v>2.5163647714826487E-2</v>
      </c>
      <c r="AK83" s="88">
        <v>2.454254485406282E-2</v>
      </c>
      <c r="AL83" s="88">
        <v>2.5777221247615278E-2</v>
      </c>
      <c r="AM83" s="88">
        <v>2.5163647714826487E-2</v>
      </c>
      <c r="AN83" s="88">
        <v>2.454254485406282E-2</v>
      </c>
      <c r="AO83" s="88">
        <v>2.5777221247615278E-2</v>
      </c>
      <c r="AP83" s="88">
        <v>2.5163647714826487E-2</v>
      </c>
      <c r="AQ83" s="88">
        <v>2.454254485406282E-2</v>
      </c>
      <c r="AR83" s="88">
        <v>2.5777221247615278E-2</v>
      </c>
      <c r="AS83" s="88">
        <v>2.5163647714826487E-2</v>
      </c>
      <c r="AT83" s="88">
        <v>2.454254485406282E-2</v>
      </c>
      <c r="AU83" s="88">
        <v>2.5777221247615278E-2</v>
      </c>
      <c r="AV83" s="88">
        <v>2.5163647714826487E-2</v>
      </c>
      <c r="AW83" s="88">
        <v>2.454254485406282E-2</v>
      </c>
      <c r="AX83" s="88">
        <v>2.5777221247615278E-2</v>
      </c>
      <c r="AY83" s="88">
        <v>2.5163647714826487E-2</v>
      </c>
      <c r="AZ83" s="88">
        <v>2.454254485406282E-2</v>
      </c>
      <c r="BA83" s="88">
        <v>2.5777221247615278E-2</v>
      </c>
      <c r="BB83" s="88">
        <v>2.5163647714826487E-2</v>
      </c>
    </row>
    <row r="85" spans="1:54">
      <c r="A85" s="323" t="s">
        <v>513</v>
      </c>
      <c r="B85" s="55" t="s">
        <v>481</v>
      </c>
      <c r="D85" s="94">
        <v>65982</v>
      </c>
      <c r="E85" s="94">
        <v>60406</v>
      </c>
      <c r="F85" s="94">
        <v>126388</v>
      </c>
      <c r="G85" s="94">
        <v>75091</v>
      </c>
      <c r="H85" s="94">
        <v>60180</v>
      </c>
      <c r="I85" s="94">
        <v>135271</v>
      </c>
      <c r="J85" s="94">
        <v>84039</v>
      </c>
      <c r="K85" s="94">
        <v>67342</v>
      </c>
      <c r="L85" s="94">
        <v>151381</v>
      </c>
      <c r="M85" s="94">
        <v>89537</v>
      </c>
      <c r="N85" s="94">
        <v>83238</v>
      </c>
      <c r="O85" s="94">
        <v>172775</v>
      </c>
      <c r="P85" s="94">
        <v>107469</v>
      </c>
      <c r="Q85" s="94">
        <v>91482</v>
      </c>
      <c r="R85" s="94">
        <v>198951</v>
      </c>
      <c r="S85" s="94">
        <v>106345</v>
      </c>
      <c r="T85" s="94">
        <v>73816</v>
      </c>
      <c r="U85" s="94">
        <v>180161</v>
      </c>
      <c r="V85" s="94">
        <v>102093</v>
      </c>
      <c r="W85" s="94">
        <v>93926</v>
      </c>
      <c r="X85" s="94">
        <v>196019</v>
      </c>
      <c r="Y85" s="94">
        <v>130732</v>
      </c>
      <c r="Z85" s="94">
        <v>109590</v>
      </c>
      <c r="AA85" s="94">
        <v>240322</v>
      </c>
      <c r="AB85" s="94">
        <v>148223</v>
      </c>
      <c r="AC85" s="94">
        <v>142031</v>
      </c>
      <c r="AD85" s="94">
        <v>290254</v>
      </c>
      <c r="AE85" s="94">
        <v>204049</v>
      </c>
      <c r="AF85" s="94">
        <v>148388</v>
      </c>
      <c r="AG85" s="94">
        <v>352437</v>
      </c>
      <c r="AH85" s="94">
        <v>187855</v>
      </c>
      <c r="AI85" s="94">
        <v>137117.32</v>
      </c>
      <c r="AJ85" s="95">
        <v>324972.32</v>
      </c>
      <c r="AK85" s="94">
        <v>172826.6</v>
      </c>
      <c r="AL85" s="94">
        <v>126699.004</v>
      </c>
      <c r="AM85" s="94">
        <v>299525.60399999999</v>
      </c>
      <c r="AN85" s="94">
        <v>147813.06959999999</v>
      </c>
      <c r="AO85" s="94">
        <v>149972.98000000001</v>
      </c>
      <c r="AP85" s="94">
        <v>297786.04960000003</v>
      </c>
      <c r="AQ85" s="94">
        <v>126699.004</v>
      </c>
      <c r="AR85" s="94">
        <v>172804.02320000003</v>
      </c>
      <c r="AS85" s="94">
        <v>299503.02720000001</v>
      </c>
      <c r="AT85" s="94">
        <v>152972.43960000001</v>
      </c>
      <c r="AU85" s="94">
        <v>153725.59238399999</v>
      </c>
      <c r="AV85" s="94">
        <v>306698.031984</v>
      </c>
      <c r="AW85" s="94">
        <v>179716.18412799999</v>
      </c>
      <c r="AX85" s="94">
        <v>135703.8614464</v>
      </c>
      <c r="AY85" s="94">
        <v>315420.04557439999</v>
      </c>
      <c r="AZ85" s="94">
        <v>159874.61607935998</v>
      </c>
      <c r="BA85" s="94">
        <v>165454.99067136002</v>
      </c>
      <c r="BB85" s="94">
        <v>325329.60675072001</v>
      </c>
    </row>
    <row r="86" spans="1:54">
      <c r="A86" s="31" t="s">
        <v>179</v>
      </c>
      <c r="B86" s="101" t="s">
        <v>76</v>
      </c>
      <c r="D86" s="86"/>
      <c r="E86" s="86"/>
      <c r="F86" s="86"/>
      <c r="G86" s="86">
        <v>0.13805280227940964</v>
      </c>
      <c r="H86" s="86">
        <v>-3.7413501970002816E-3</v>
      </c>
      <c r="I86" s="385">
        <v>7.0283571225116415E-2</v>
      </c>
      <c r="J86" s="385">
        <v>0.11916208333888223</v>
      </c>
      <c r="K86" s="385">
        <v>0.11900963775340645</v>
      </c>
      <c r="L86" s="385">
        <v>0.11909426262835354</v>
      </c>
      <c r="M86" s="385">
        <v>6.5422006449386672E-2</v>
      </c>
      <c r="N86" s="385">
        <v>0.23604882539871097</v>
      </c>
      <c r="O86" s="385">
        <v>0.14132552962392908</v>
      </c>
      <c r="P86" s="385">
        <v>0.20027474675273904</v>
      </c>
      <c r="Q86" s="385">
        <v>9.9041303250918977E-2</v>
      </c>
      <c r="R86" s="385">
        <v>0.15150340037621191</v>
      </c>
      <c r="S86" s="385">
        <v>-1.0458829988182594E-2</v>
      </c>
      <c r="T86" s="385">
        <v>-0.19310902691239806</v>
      </c>
      <c r="U86" s="385">
        <v>-9.4445365944378246E-2</v>
      </c>
      <c r="V86" s="385">
        <v>-3.9983073957402748E-2</v>
      </c>
      <c r="W86" s="385">
        <v>0.27243416061558468</v>
      </c>
      <c r="X86" s="385">
        <v>8.8021269864177132E-2</v>
      </c>
      <c r="Y86" s="385">
        <v>0.28051874271497557</v>
      </c>
      <c r="Z86" s="63">
        <v>0.16676958456657376</v>
      </c>
      <c r="AA86" s="385">
        <v>0.22601380478423017</v>
      </c>
      <c r="AB86" s="385">
        <v>0.13379279747881156</v>
      </c>
      <c r="AC86" s="385">
        <v>0.29602153481157045</v>
      </c>
      <c r="AD86" s="385">
        <v>0.20777124025266103</v>
      </c>
      <c r="AE86" s="385">
        <v>0.37663520506264203</v>
      </c>
      <c r="AF86" s="385">
        <v>4.475783455724458E-2</v>
      </c>
      <c r="AG86" s="63">
        <v>0.21423649631012842</v>
      </c>
      <c r="AH86" s="63">
        <v>-7.9363290190101354E-2</v>
      </c>
      <c r="AI86" s="385">
        <v>-7.5954120279267845E-2</v>
      </c>
      <c r="AJ86" s="215">
        <v>-7.7927913357564549E-2</v>
      </c>
      <c r="AK86" s="385">
        <v>-7.999999999999996E-2</v>
      </c>
      <c r="AL86" s="385">
        <v>-7.598103580204163E-2</v>
      </c>
      <c r="AM86" s="385">
        <v>-7.8304256805625805E-2</v>
      </c>
      <c r="AN86" s="385">
        <v>-0.14473194751270935</v>
      </c>
      <c r="AO86" s="385">
        <v>0.18369501941783217</v>
      </c>
      <c r="AP86" s="385">
        <v>-5.8076984964529066E-3</v>
      </c>
      <c r="AQ86" s="385">
        <v>-0.14284302231959056</v>
      </c>
      <c r="AR86" s="385">
        <v>0.15223437715247123</v>
      </c>
      <c r="AS86" s="385">
        <v>5.7658093866597149E-3</v>
      </c>
      <c r="AT86" s="385">
        <v>0.20736891980618899</v>
      </c>
      <c r="AU86" s="385">
        <v>-0.11040501524619617</v>
      </c>
      <c r="AV86" s="385">
        <v>2.4023145446190552E-2</v>
      </c>
      <c r="AW86" s="385">
        <v>0.17482720807702923</v>
      </c>
      <c r="AX86" s="385">
        <v>-0.11723312077134473</v>
      </c>
      <c r="AY86" s="385">
        <v>2.8438440031643308E-2</v>
      </c>
      <c r="AZ86" s="385">
        <v>-0.11040501524619606</v>
      </c>
      <c r="BA86" s="385">
        <v>0.2192356865004248</v>
      </c>
      <c r="BB86" s="385">
        <v>3.1417030449900851E-2</v>
      </c>
    </row>
    <row r="87" spans="1:54">
      <c r="A87" s="387"/>
      <c r="B87" s="6"/>
    </row>
    <row r="88" spans="1:54">
      <c r="B88" s="6"/>
    </row>
    <row r="90" spans="1:54">
      <c r="B90" s="6"/>
    </row>
    <row r="91" spans="1:54">
      <c r="B91" s="6"/>
    </row>
    <row r="94" spans="1:54">
      <c r="B94" s="6"/>
    </row>
    <row r="96" spans="1:54">
      <c r="B96" s="6"/>
    </row>
  </sheetData>
  <pageMargins left="0.7" right="0.7" top="0.75" bottom="0.75" header="0.3" footer="0.3"/>
  <pageSetup paperSize="8" scale="70" fitToHeight="0" orientation="landscape" horizontalDpi="90" verticalDpi="9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BM61"/>
  <sheetViews>
    <sheetView zoomScaleNormal="100" workbookViewId="0">
      <pane xSplit="1" ySplit="1" topLeftCell="AL2" activePane="bottomRight" state="frozen"/>
      <selection activeCell="AL67" sqref="AL67"/>
      <selection pane="topRight" activeCell="AL67" sqref="AL67"/>
      <selection pane="bottomLeft" activeCell="AL67" sqref="AL67"/>
      <selection pane="bottomRight" activeCell="BC22" sqref="BC22"/>
    </sheetView>
  </sheetViews>
  <sheetFormatPr defaultColWidth="9.109375" defaultRowHeight="10.199999999999999" outlineLevelCol="1"/>
  <cols>
    <col min="1" max="1" width="24.88671875" style="6" customWidth="1"/>
    <col min="2" max="2" width="6" style="52" customWidth="1"/>
    <col min="3" max="4" width="9.109375" style="6" hidden="1" customWidth="1" outlineLevel="1"/>
    <col min="5" max="5" width="9.109375" style="6" customWidth="1" collapsed="1"/>
    <col min="6" max="7" width="9.109375" style="6" hidden="1" customWidth="1" outlineLevel="1"/>
    <col min="8" max="8" width="9.109375" style="6" customWidth="1" collapsed="1"/>
    <col min="9" max="10" width="9.109375" style="6" hidden="1" customWidth="1" outlineLevel="1"/>
    <col min="11" max="11" width="9.109375" style="6" customWidth="1" collapsed="1"/>
    <col min="12" max="13" width="9.109375" style="6" hidden="1" customWidth="1" outlineLevel="1"/>
    <col min="14" max="14" width="9.109375" style="12" customWidth="1" collapsed="1"/>
    <col min="15" max="16" width="9.109375" style="6" hidden="1" customWidth="1" outlineLevel="1"/>
    <col min="17" max="17" width="8.6640625" style="12" customWidth="1" collapsed="1"/>
    <col min="18" max="19" width="8.6640625" style="6" hidden="1" customWidth="1" outlineLevel="1"/>
    <col min="20" max="20" width="8.6640625" style="12" customWidth="1" collapsed="1"/>
    <col min="21" max="22" width="8.6640625" style="6" hidden="1" customWidth="1" outlineLevel="1"/>
    <col min="23" max="23" width="8.6640625" style="12" customWidth="1" collapsed="1"/>
    <col min="24" max="25" width="8.6640625" style="6" hidden="1" customWidth="1" outlineLevel="1"/>
    <col min="26" max="26" width="8.6640625" style="12" customWidth="1" collapsed="1"/>
    <col min="27" max="28" width="8.6640625" style="6" hidden="1" customWidth="1" outlineLevel="1"/>
    <col min="29" max="29" width="8.6640625" style="12" customWidth="1" collapsed="1"/>
    <col min="30" max="31" width="8.6640625" style="6" hidden="1" customWidth="1" outlineLevel="1"/>
    <col min="32" max="32" width="8.6640625" style="12" customWidth="1" collapsed="1"/>
    <col min="33" max="34" width="8.6640625" style="6" hidden="1" customWidth="1" outlineLevel="1"/>
    <col min="35" max="35" width="8.6640625" style="12" customWidth="1" collapsed="1"/>
    <col min="36" max="37" width="8.6640625" style="6" hidden="1" customWidth="1" outlineLevel="1"/>
    <col min="38" max="38" width="8.6640625" style="12" customWidth="1" collapsed="1"/>
    <col min="39" max="40" width="8.6640625" style="6" hidden="1" customWidth="1" outlineLevel="1"/>
    <col min="41" max="41" width="8.6640625" style="12" customWidth="1" collapsed="1"/>
    <col min="42" max="43" width="8.6640625" style="6" hidden="1" customWidth="1" outlineLevel="1"/>
    <col min="44" max="44" width="8.6640625" style="12" customWidth="1" collapsed="1"/>
    <col min="45" max="46" width="8.6640625" style="6" hidden="1" customWidth="1" outlineLevel="1"/>
    <col min="47" max="47" width="8.6640625" style="12" customWidth="1" collapsed="1"/>
    <col min="48" max="49" width="8.6640625" style="6" customWidth="1" outlineLevel="1"/>
    <col min="50" max="50" width="8.6640625" style="504" customWidth="1"/>
    <col min="51" max="52" width="9.109375" style="6" customWidth="1" outlineLevel="1"/>
    <col min="53" max="53" width="9.109375" style="12"/>
    <col min="54" max="55" width="9.109375" style="6" customWidth="1" outlineLevel="1"/>
    <col min="56" max="56" width="9.109375" style="12"/>
    <col min="57" max="58" width="9.109375" style="6" customWidth="1" outlineLevel="1"/>
    <col min="59" max="59" width="9.109375" style="12"/>
    <col min="60" max="61" width="9.109375" style="6" customWidth="1" outlineLevel="1"/>
    <col min="62" max="62" width="9.109375" style="12"/>
    <col min="63" max="64" width="9.109375" style="6" hidden="1" customWidth="1" outlineLevel="1"/>
    <col min="65" max="65" width="9.109375" style="12" collapsed="1"/>
    <col min="66" max="16384" width="9.109375" style="6"/>
  </cols>
  <sheetData>
    <row r="1" spans="1:65" s="84" customFormat="1">
      <c r="A1" s="14" t="str">
        <f>'BS, CF and P&amp;L'!A6</f>
        <v>Year Ending June 30</v>
      </c>
      <c r="B1" s="14"/>
      <c r="C1" s="14" t="str">
        <f>'BS, CF and P&amp;L'!C6</f>
        <v>1H10A</v>
      </c>
      <c r="D1" s="14" t="str">
        <f>'BS, CF and P&amp;L'!D6</f>
        <v>2H10A</v>
      </c>
      <c r="E1" s="14" t="str">
        <f>'BS, CF and P&amp;L'!E6</f>
        <v>FY10A</v>
      </c>
      <c r="F1" s="14" t="str">
        <f>'BS, CF and P&amp;L'!F6</f>
        <v>1H11A</v>
      </c>
      <c r="G1" s="14" t="str">
        <f>'BS, CF and P&amp;L'!G6</f>
        <v>2H11A</v>
      </c>
      <c r="H1" s="14" t="str">
        <f>'BS, CF and P&amp;L'!H6</f>
        <v>FY11A</v>
      </c>
      <c r="I1" s="14" t="str">
        <f>'BS, CF and P&amp;L'!I6</f>
        <v>1H12A</v>
      </c>
      <c r="J1" s="14" t="str">
        <f>'BS, CF and P&amp;L'!J6</f>
        <v>2H12A</v>
      </c>
      <c r="K1" s="14" t="str">
        <f>'BS, CF and P&amp;L'!K6</f>
        <v>FY12A</v>
      </c>
      <c r="L1" s="14" t="str">
        <f>'BS, CF and P&amp;L'!L6</f>
        <v>1H13A</v>
      </c>
      <c r="M1" s="14" t="str">
        <f>'BS, CF and P&amp;L'!M6</f>
        <v>2H13A</v>
      </c>
      <c r="N1" s="14" t="str">
        <f>'BS, CF and P&amp;L'!N6</f>
        <v>FY13A</v>
      </c>
      <c r="O1" s="14" t="str">
        <f>'BS, CF and P&amp;L'!O6</f>
        <v>1H14A</v>
      </c>
      <c r="P1" s="14" t="str">
        <f>'BS, CF and P&amp;L'!P6</f>
        <v>2H14A</v>
      </c>
      <c r="Q1" s="14" t="str">
        <f>'BS, CF and P&amp;L'!Q6</f>
        <v>FY14A</v>
      </c>
      <c r="R1" s="14" t="str">
        <f>'BS, CF and P&amp;L'!R6</f>
        <v>1H15A</v>
      </c>
      <c r="S1" s="14" t="str">
        <f>'BS, CF and P&amp;L'!S6</f>
        <v>2H15A</v>
      </c>
      <c r="T1" s="14" t="str">
        <f>'BS, CF and P&amp;L'!T6</f>
        <v>FY15A</v>
      </c>
      <c r="U1" s="14" t="str">
        <f>'BS, CF and P&amp;L'!U6</f>
        <v>1H16A</v>
      </c>
      <c r="V1" s="14" t="str">
        <f>'BS, CF and P&amp;L'!V6</f>
        <v>2H16A</v>
      </c>
      <c r="W1" s="14" t="str">
        <f>'BS, CF and P&amp;L'!W6</f>
        <v>FY16A</v>
      </c>
      <c r="X1" s="14" t="str">
        <f>'BS, CF and P&amp;L'!X6</f>
        <v>1H17A</v>
      </c>
      <c r="Y1" s="14" t="str">
        <f>'BS, CF and P&amp;L'!Y6</f>
        <v>2H17A</v>
      </c>
      <c r="Z1" s="14" t="str">
        <f>'BS, CF and P&amp;L'!Z6</f>
        <v>FY17A</v>
      </c>
      <c r="AA1" s="14" t="str">
        <f>'BS, CF and P&amp;L'!AA6</f>
        <v>1H18A</v>
      </c>
      <c r="AB1" s="14" t="str">
        <f>'BS, CF and P&amp;L'!AB6</f>
        <v>2H18A</v>
      </c>
      <c r="AC1" s="14" t="str">
        <f>'BS, CF and P&amp;L'!AC6</f>
        <v>FY18A</v>
      </c>
      <c r="AD1" s="14" t="str">
        <f>'BS, CF and P&amp;L'!AD6</f>
        <v>1H19A</v>
      </c>
      <c r="AE1" s="14" t="str">
        <f>'BS, CF and P&amp;L'!AE6</f>
        <v>2H19A</v>
      </c>
      <c r="AF1" s="14" t="str">
        <f>'BS, CF and P&amp;L'!AF6</f>
        <v>FY19A</v>
      </c>
      <c r="AG1" s="14" t="str">
        <f>'BS, CF and P&amp;L'!AG6</f>
        <v>1H20A</v>
      </c>
      <c r="AH1" s="14" t="str">
        <f>'BS, CF and P&amp;L'!AH6</f>
        <v>2H20A</v>
      </c>
      <c r="AI1" s="14" t="str">
        <f>'BS, CF and P&amp;L'!AI6</f>
        <v>FY20A</v>
      </c>
      <c r="AJ1" s="14" t="str">
        <f>'BS, CF and P&amp;L'!AJ6</f>
        <v>1H21A</v>
      </c>
      <c r="AK1" s="14" t="str">
        <f>'BS, CF and P&amp;L'!AK6</f>
        <v>2H21A</v>
      </c>
      <c r="AL1" s="14" t="str">
        <f>'BS, CF and P&amp;L'!AL6</f>
        <v>FY21A</v>
      </c>
      <c r="AM1" s="14" t="str">
        <f>'BS, CF and P&amp;L'!AM6</f>
        <v>1H22A</v>
      </c>
      <c r="AN1" s="14" t="str">
        <f>'BS, CF and P&amp;L'!AN6</f>
        <v>2H22A</v>
      </c>
      <c r="AO1" s="14" t="str">
        <f>'BS, CF and P&amp;L'!AO6</f>
        <v>FY22A</v>
      </c>
      <c r="AP1" s="14" t="str">
        <f>'BS, CF and P&amp;L'!AP6</f>
        <v>1H23A</v>
      </c>
      <c r="AQ1" s="14" t="str">
        <f>'BS, CF and P&amp;L'!AQ6</f>
        <v>2H23A</v>
      </c>
      <c r="AR1" s="14" t="str">
        <f>'BS, CF and P&amp;L'!AR6</f>
        <v>FY23A</v>
      </c>
      <c r="AS1" s="14" t="str">
        <f>'BS, CF and P&amp;L'!AS6</f>
        <v>1H24A</v>
      </c>
      <c r="AT1" s="14" t="str">
        <f>'BS, CF and P&amp;L'!AT6</f>
        <v>2H24A</v>
      </c>
      <c r="AU1" s="14" t="str">
        <f>'BS, CF and P&amp;L'!AU6</f>
        <v>FY24A</v>
      </c>
      <c r="AV1" s="14" t="str">
        <f>'BS, CF and P&amp;L'!AV6</f>
        <v>1H25A</v>
      </c>
      <c r="AW1" s="14" t="str">
        <f>'BS, CF and P&amp;L'!AW6</f>
        <v>2H25A</v>
      </c>
      <c r="AX1" s="14" t="str">
        <f>'BS, CF and P&amp;L'!AX6</f>
        <v>FY25A</v>
      </c>
      <c r="AY1" s="14" t="str">
        <f>'BS, CF and P&amp;L'!AY6</f>
        <v>1H26E</v>
      </c>
      <c r="AZ1" s="14" t="str">
        <f>'BS, CF and P&amp;L'!AZ6</f>
        <v>2H26E</v>
      </c>
      <c r="BA1" s="14" t="str">
        <f>'BS, CF and P&amp;L'!BA6</f>
        <v>FY26E</v>
      </c>
      <c r="BB1" s="14" t="str">
        <f>'BS, CF and P&amp;L'!BB6</f>
        <v>1H27E</v>
      </c>
      <c r="BC1" s="14" t="str">
        <f>'BS, CF and P&amp;L'!BC6</f>
        <v>2H27E</v>
      </c>
      <c r="BD1" s="14" t="str">
        <f>'BS, CF and P&amp;L'!BD6</f>
        <v>FY27E</v>
      </c>
      <c r="BE1" s="14" t="str">
        <f>'BS, CF and P&amp;L'!BE6</f>
        <v>1H28E</v>
      </c>
      <c r="BF1" s="14" t="str">
        <f>'BS, CF and P&amp;L'!BF6</f>
        <v>2H28E</v>
      </c>
      <c r="BG1" s="14" t="str">
        <f>'BS, CF and P&amp;L'!BG6</f>
        <v>FY28E</v>
      </c>
      <c r="BH1" s="14" t="str">
        <f>'BS, CF and P&amp;L'!BH6</f>
        <v>1H29E</v>
      </c>
      <c r="BI1" s="14" t="str">
        <f>'BS, CF and P&amp;L'!BI6</f>
        <v>2H29E</v>
      </c>
      <c r="BJ1" s="14" t="str">
        <f>'BS, CF and P&amp;L'!BJ6</f>
        <v>FY29E</v>
      </c>
      <c r="BK1" s="14" t="str">
        <f>'BS, CF and P&amp;L'!BK6</f>
        <v>1H30E</v>
      </c>
      <c r="BL1" s="14" t="str">
        <f>'BS, CF and P&amp;L'!BL6</f>
        <v>2H30E</v>
      </c>
      <c r="BM1" s="14" t="str">
        <f>'BS, CF and P&amp;L'!BM6</f>
        <v>FY30E</v>
      </c>
    </row>
    <row r="2" spans="1:65" s="380" customFormat="1">
      <c r="A2" s="377"/>
      <c r="B2" s="378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472"/>
      <c r="O2" s="379"/>
      <c r="P2" s="379"/>
      <c r="Q2" s="472"/>
      <c r="R2" s="379"/>
      <c r="S2" s="379"/>
      <c r="T2" s="472"/>
      <c r="U2" s="379"/>
      <c r="V2" s="379"/>
      <c r="W2" s="472"/>
      <c r="X2" s="379"/>
      <c r="Y2" s="379"/>
      <c r="Z2" s="472"/>
      <c r="AA2" s="379"/>
      <c r="AB2" s="379"/>
      <c r="AC2" s="472"/>
      <c r="AD2" s="379"/>
      <c r="AE2" s="379"/>
      <c r="AF2" s="472"/>
      <c r="AG2" s="379"/>
      <c r="AH2" s="379"/>
      <c r="AI2" s="472"/>
      <c r="AJ2" s="379"/>
      <c r="AK2" s="379"/>
      <c r="AL2" s="472"/>
      <c r="AM2" s="379"/>
      <c r="AN2" s="379"/>
      <c r="AO2" s="472"/>
      <c r="AP2" s="379"/>
      <c r="AQ2" s="379"/>
      <c r="AR2" s="472"/>
      <c r="AS2" s="379"/>
      <c r="AT2" s="379"/>
      <c r="AU2" s="472"/>
      <c r="AV2" s="379"/>
      <c r="AW2" s="379"/>
      <c r="AX2" s="494"/>
      <c r="AY2" s="379"/>
      <c r="AZ2" s="379"/>
      <c r="BA2" s="472"/>
      <c r="BB2" s="379"/>
      <c r="BC2" s="379"/>
      <c r="BD2" s="472"/>
      <c r="BE2" s="379"/>
      <c r="BF2" s="379"/>
      <c r="BG2" s="472"/>
      <c r="BH2" s="379"/>
      <c r="BI2" s="379"/>
      <c r="BJ2" s="472"/>
      <c r="BK2" s="379"/>
      <c r="BL2" s="379"/>
      <c r="BM2" s="472"/>
    </row>
    <row r="3" spans="1:65">
      <c r="A3" s="13" t="s">
        <v>265</v>
      </c>
      <c r="B3" s="55" t="s">
        <v>394</v>
      </c>
      <c r="C3" s="24">
        <v>769.29</v>
      </c>
      <c r="D3" s="23">
        <f>E3-C3</f>
        <v>734.19700000000012</v>
      </c>
      <c r="E3" s="96">
        <v>1503.4870000000001</v>
      </c>
      <c r="F3" s="96">
        <v>796.39700000000005</v>
      </c>
      <c r="G3" s="94">
        <f>H3-F3</f>
        <v>767.23699999999997</v>
      </c>
      <c r="H3" s="96">
        <v>1563.634</v>
      </c>
      <c r="I3" s="96">
        <v>784.745</v>
      </c>
      <c r="J3" s="94">
        <f>K3-I3</f>
        <v>733.76200000000006</v>
      </c>
      <c r="K3" s="96">
        <v>1518.5070000000001</v>
      </c>
      <c r="L3" s="96">
        <v>780.81200000000001</v>
      </c>
      <c r="M3" s="94">
        <f>N3-L3</f>
        <v>754.06599999999992</v>
      </c>
      <c r="N3" s="473">
        <v>1534.8779999999999</v>
      </c>
      <c r="O3" s="96">
        <v>840.84400000000005</v>
      </c>
      <c r="P3" s="94">
        <f>Q3-O3</f>
        <v>935.03199999999993</v>
      </c>
      <c r="Q3" s="473">
        <v>1775.876</v>
      </c>
      <c r="R3" s="96">
        <v>1049.9960000000001</v>
      </c>
      <c r="S3" s="94">
        <f>T3-R3</f>
        <v>1035.1320000000001</v>
      </c>
      <c r="T3" s="473">
        <v>2085.1280000000002</v>
      </c>
      <c r="U3" s="96">
        <v>1141.1300000000001</v>
      </c>
      <c r="V3" s="94">
        <f>W3-U3</f>
        <v>1135.223</v>
      </c>
      <c r="W3" s="473">
        <v>2276.3530000000001</v>
      </c>
      <c r="X3" s="96">
        <v>1210.681</v>
      </c>
      <c r="Y3" s="94">
        <f>Z3-X3</f>
        <v>1218.6259999999997</v>
      </c>
      <c r="Z3" s="473">
        <v>2429.3069999999998</v>
      </c>
      <c r="AA3" s="96">
        <v>1332.306</v>
      </c>
      <c r="AB3" s="94">
        <f>AC3-AA3</f>
        <v>1356.27</v>
      </c>
      <c r="AC3" s="473">
        <v>2688.576</v>
      </c>
      <c r="AD3" s="96">
        <v>1465.116</v>
      </c>
      <c r="AE3" s="94">
        <f>AF3-AD3</f>
        <v>1400.924</v>
      </c>
      <c r="AF3" s="473">
        <v>2866.04</v>
      </c>
      <c r="AG3" s="96">
        <v>1465.482</v>
      </c>
      <c r="AH3" s="94">
        <f>AI3-AG3</f>
        <v>1422.3650000000002</v>
      </c>
      <c r="AI3" s="473">
        <v>2887.8470000000002</v>
      </c>
      <c r="AJ3" s="96">
        <v>1564.0340000000001</v>
      </c>
      <c r="AK3" s="94">
        <f>AL3-AJ3</f>
        <v>1589.7649999999999</v>
      </c>
      <c r="AL3" s="473">
        <v>3153.799</v>
      </c>
      <c r="AM3" s="96">
        <v>1733.3430000000001</v>
      </c>
      <c r="AN3" s="94">
        <f>AO3-AM3</f>
        <v>1784.6569999999999</v>
      </c>
      <c r="AO3" s="473">
        <v>3518</v>
      </c>
      <c r="AP3" s="96">
        <v>1927.7360000000001</v>
      </c>
      <c r="AQ3" s="94">
        <f>AR3-AP3</f>
        <v>1925.2639999999999</v>
      </c>
      <c r="AR3" s="473">
        <v>3853</v>
      </c>
      <c r="AS3" s="96">
        <v>1971.597</v>
      </c>
      <c r="AT3" s="94">
        <f>AU3-AS3</f>
        <v>1874.403</v>
      </c>
      <c r="AU3" s="473">
        <v>3846</v>
      </c>
      <c r="AV3" s="96">
        <v>1980.3510000000001</v>
      </c>
      <c r="AW3" s="94">
        <f>AX3-AV3</f>
        <v>1901.6489999999999</v>
      </c>
      <c r="AX3" s="495">
        <v>3882</v>
      </c>
      <c r="AY3" s="94">
        <f>+AV3*(1+AY7)</f>
        <v>2059.6747311228319</v>
      </c>
      <c r="AZ3" s="94">
        <f>+AW3*(1+AZ7)</f>
        <v>2002.3879027953249</v>
      </c>
      <c r="BA3" s="475">
        <f>SUM(AY3:AZ3)</f>
        <v>4062.0626339181567</v>
      </c>
      <c r="BB3" s="94">
        <f>+AY3*(1+BB7)</f>
        <v>2178.7973691167986</v>
      </c>
      <c r="BC3" s="94">
        <f>+AZ3*(1+BC7)</f>
        <v>2103.4255238240121</v>
      </c>
      <c r="BD3" s="475">
        <f>SUM(BB3:BC3)</f>
        <v>4282.2228929408102</v>
      </c>
      <c r="BE3" s="94">
        <f>+BB3*(1+BE7)</f>
        <v>2302.495528688492</v>
      </c>
      <c r="BF3" s="94">
        <f>+BC3*(1+BF7)</f>
        <v>2202.699863656142</v>
      </c>
      <c r="BG3" s="475">
        <f>SUM(BE3:BF3)</f>
        <v>4505.1953923446345</v>
      </c>
      <c r="BH3" s="94">
        <f>+BE3*(1+BH7)</f>
        <v>2357.7554213770159</v>
      </c>
      <c r="BI3" s="94">
        <f>+BF3*(1+BI7)</f>
        <v>2255.5646603838895</v>
      </c>
      <c r="BJ3" s="475">
        <f>SUM(BH3:BI3)</f>
        <v>4613.3200817609049</v>
      </c>
      <c r="BK3" s="94">
        <f>+BH3*(1+BK7)</f>
        <v>2390.763997276294</v>
      </c>
      <c r="BL3" s="94">
        <f>+BI3*(1+BL7)</f>
        <v>2289.4257105120769</v>
      </c>
      <c r="BM3" s="475">
        <f>SUM(BK3:BL3)</f>
        <v>4680.1897077883714</v>
      </c>
    </row>
    <row r="4" spans="1:65">
      <c r="A4" s="329" t="s">
        <v>439</v>
      </c>
      <c r="B4" s="52" t="s">
        <v>76</v>
      </c>
      <c r="Q4" s="484"/>
      <c r="R4" s="26"/>
      <c r="S4" s="25"/>
      <c r="T4" s="484"/>
      <c r="U4" s="26"/>
      <c r="V4" s="25"/>
      <c r="W4" s="485"/>
      <c r="X4" s="26"/>
      <c r="Y4" s="25"/>
      <c r="Z4" s="484"/>
      <c r="AA4" s="26"/>
      <c r="AB4" s="25"/>
      <c r="AC4" s="484"/>
      <c r="AD4" s="26"/>
      <c r="AE4" s="25"/>
      <c r="AF4" s="484"/>
      <c r="AG4" s="26"/>
      <c r="AH4" s="25"/>
      <c r="AI4" s="484"/>
      <c r="AJ4" s="26"/>
      <c r="AK4" s="25"/>
      <c r="AL4" s="484"/>
      <c r="AM4" s="26"/>
      <c r="AN4" s="25"/>
      <c r="AO4" s="484"/>
      <c r="AP4" s="26"/>
      <c r="AQ4" s="25"/>
      <c r="AR4" s="484"/>
      <c r="AS4" s="26"/>
      <c r="AT4" s="25"/>
      <c r="AU4" s="484"/>
      <c r="AV4" s="26"/>
      <c r="AW4" s="25"/>
      <c r="AX4" s="496"/>
      <c r="AY4" s="88">
        <f>AY53</f>
        <v>1.0055389737895977E-2</v>
      </c>
      <c r="AZ4" s="88">
        <f>AZ53</f>
        <v>2.2974498866681035E-2</v>
      </c>
      <c r="BA4" s="512">
        <f>+AVERAGE(AY4:AZ4)</f>
        <v>1.6514944302288507E-2</v>
      </c>
      <c r="BB4" s="88">
        <f>BB53</f>
        <v>2.783565540420414E-2</v>
      </c>
      <c r="BC4" s="88">
        <f>BC53</f>
        <v>3.045856543961294E-2</v>
      </c>
      <c r="BD4" s="512">
        <f>+AVERAGE(BB4:BC4)</f>
        <v>2.914711042190854E-2</v>
      </c>
      <c r="BE4" s="88">
        <f>BE53</f>
        <v>2.677359506902479E-2</v>
      </c>
      <c r="BF4" s="88">
        <f>BF53</f>
        <v>1.7196508128155475E-2</v>
      </c>
      <c r="BG4" s="512">
        <f>+AVERAGE(BE4:BF4)</f>
        <v>2.1985051598590134E-2</v>
      </c>
      <c r="BH4" s="88">
        <f>BH53</f>
        <v>1.4000000000000012E-2</v>
      </c>
      <c r="BI4" s="88">
        <f>BI53</f>
        <v>1.4000000000000012E-2</v>
      </c>
      <c r="BJ4" s="512">
        <f>+AVERAGE(BH4:BI4)</f>
        <v>1.4000000000000012E-2</v>
      </c>
      <c r="BK4" s="88">
        <f>BK53</f>
        <v>1.4000000000000012E-2</v>
      </c>
      <c r="BL4" s="88">
        <f>BL53</f>
        <v>1.5012227635462283E-2</v>
      </c>
      <c r="BM4" s="512">
        <f>+AVERAGE(BK4:BL4)</f>
        <v>1.4506113817731148E-2</v>
      </c>
    </row>
    <row r="5" spans="1:65">
      <c r="A5" s="329" t="s">
        <v>438</v>
      </c>
      <c r="B5" s="52" t="s">
        <v>76</v>
      </c>
      <c r="Q5" s="484"/>
      <c r="R5" s="26"/>
      <c r="S5" s="25"/>
      <c r="T5" s="484"/>
      <c r="U5" s="26"/>
      <c r="V5" s="25"/>
      <c r="W5" s="485"/>
      <c r="X5" s="26"/>
      <c r="Y5" s="25"/>
      <c r="Z5" s="484"/>
      <c r="AA5" s="26"/>
      <c r="AB5" s="25"/>
      <c r="AC5" s="484"/>
      <c r="AD5" s="26"/>
      <c r="AE5" s="25"/>
      <c r="AF5" s="484"/>
      <c r="AG5" s="26"/>
      <c r="AH5" s="25"/>
      <c r="AI5" s="484"/>
      <c r="AJ5" s="26"/>
      <c r="AK5" s="25"/>
      <c r="AL5" s="484"/>
      <c r="AM5" s="26"/>
      <c r="AN5" s="25"/>
      <c r="AO5" s="484"/>
      <c r="AP5" s="26"/>
      <c r="AQ5" s="25"/>
      <c r="AR5" s="484"/>
      <c r="AS5" s="26"/>
      <c r="AT5" s="25"/>
      <c r="AU5" s="484"/>
      <c r="AV5" s="26"/>
      <c r="AW5" s="25"/>
      <c r="AX5" s="496"/>
      <c r="AY5" s="328">
        <v>0.02</v>
      </c>
      <c r="AZ5" s="328">
        <v>0.02</v>
      </c>
      <c r="BA5" s="512">
        <f>+AVERAGE(AY5:AZ5)</f>
        <v>0.02</v>
      </c>
      <c r="BB5" s="328">
        <v>0.02</v>
      </c>
      <c r="BC5" s="328">
        <v>0.02</v>
      </c>
      <c r="BD5" s="512">
        <f>+AVERAGE(BB5:BC5)</f>
        <v>0.02</v>
      </c>
      <c r="BE5" s="328">
        <v>0.02</v>
      </c>
      <c r="BF5" s="328">
        <v>0.02</v>
      </c>
      <c r="BG5" s="512">
        <f>+AVERAGE(BE5:BF5)</f>
        <v>0.02</v>
      </c>
      <c r="BH5" s="328">
        <v>0.01</v>
      </c>
      <c r="BI5" s="328">
        <v>0.01</v>
      </c>
      <c r="BJ5" s="512">
        <f>+AVERAGE(BH5:BI5)</f>
        <v>0.01</v>
      </c>
      <c r="BK5" s="328">
        <v>0</v>
      </c>
      <c r="BL5" s="328">
        <v>0</v>
      </c>
      <c r="BM5" s="512">
        <f>+AVERAGE(BK5:BL5)</f>
        <v>0</v>
      </c>
    </row>
    <row r="6" spans="1:65">
      <c r="A6" s="329" t="s">
        <v>217</v>
      </c>
      <c r="B6" s="52" t="s">
        <v>76</v>
      </c>
      <c r="Q6" s="484"/>
      <c r="R6" s="26"/>
      <c r="S6" s="25"/>
      <c r="T6" s="484"/>
      <c r="U6" s="26"/>
      <c r="V6" s="25"/>
      <c r="W6" s="485"/>
      <c r="X6" s="26"/>
      <c r="Y6" s="25"/>
      <c r="Z6" s="484"/>
      <c r="AA6" s="26"/>
      <c r="AB6" s="25"/>
      <c r="AC6" s="484"/>
      <c r="AD6" s="26"/>
      <c r="AE6" s="25"/>
      <c r="AF6" s="484"/>
      <c r="AG6" s="26"/>
      <c r="AH6" s="25"/>
      <c r="AI6" s="484"/>
      <c r="AJ6" s="26"/>
      <c r="AK6" s="25"/>
      <c r="AL6" s="484"/>
      <c r="AM6" s="26"/>
      <c r="AN6" s="25"/>
      <c r="AO6" s="484"/>
      <c r="AP6" s="26"/>
      <c r="AQ6" s="25"/>
      <c r="AR6" s="484"/>
      <c r="AS6" s="26"/>
      <c r="AT6" s="25"/>
      <c r="AU6" s="484"/>
      <c r="AV6" s="26"/>
      <c r="AW6" s="25"/>
      <c r="AX6" s="496"/>
      <c r="AY6" s="328">
        <v>0.01</v>
      </c>
      <c r="AZ6" s="328">
        <v>0.01</v>
      </c>
      <c r="BA6" s="512">
        <f>+AZ6+AY6</f>
        <v>0.02</v>
      </c>
      <c r="BB6" s="328">
        <v>0.01</v>
      </c>
      <c r="BC6" s="328">
        <v>0</v>
      </c>
      <c r="BD6" s="512">
        <f>+BC6+BB6</f>
        <v>0.01</v>
      </c>
      <c r="BE6" s="328">
        <v>0.01</v>
      </c>
      <c r="BF6" s="328">
        <v>0.01</v>
      </c>
      <c r="BG6" s="512">
        <f>+BF6+BE6</f>
        <v>0.02</v>
      </c>
      <c r="BH6" s="328">
        <v>0</v>
      </c>
      <c r="BI6" s="328">
        <v>0</v>
      </c>
      <c r="BJ6" s="512">
        <f>+BI6+BH6</f>
        <v>0</v>
      </c>
      <c r="BK6" s="328">
        <v>0</v>
      </c>
      <c r="BL6" s="328">
        <v>0</v>
      </c>
      <c r="BM6" s="512">
        <f>+BL6+BK6</f>
        <v>0</v>
      </c>
    </row>
    <row r="7" spans="1:65">
      <c r="A7" s="57" t="s">
        <v>225</v>
      </c>
      <c r="B7" s="101" t="s">
        <v>76</v>
      </c>
      <c r="C7" s="63"/>
      <c r="D7" s="63"/>
      <c r="E7" s="63"/>
      <c r="F7" s="63">
        <f t="shared" ref="F7:T7" si="0">F3/C3-1</f>
        <v>3.5236386798216612E-2</v>
      </c>
      <c r="G7" s="63">
        <f t="shared" si="0"/>
        <v>4.5001545906616203E-2</v>
      </c>
      <c r="H7" s="63">
        <f t="shared" si="0"/>
        <v>4.0005001706034049E-2</v>
      </c>
      <c r="I7" s="63">
        <f t="shared" si="0"/>
        <v>-1.4630893888349705E-2</v>
      </c>
      <c r="J7" s="63">
        <f t="shared" si="0"/>
        <v>-4.3630586116154335E-2</v>
      </c>
      <c r="K7" s="63">
        <f t="shared" si="0"/>
        <v>-2.8860334323761117E-2</v>
      </c>
      <c r="L7" s="63">
        <f t="shared" si="0"/>
        <v>-5.0118191259580502E-3</v>
      </c>
      <c r="M7" s="63">
        <f t="shared" si="0"/>
        <v>2.7671097712882231E-2</v>
      </c>
      <c r="N7" s="474">
        <f t="shared" si="0"/>
        <v>1.0780984216733902E-2</v>
      </c>
      <c r="O7" s="63">
        <f t="shared" si="0"/>
        <v>7.6884064281798947E-2</v>
      </c>
      <c r="P7" s="63">
        <f t="shared" si="0"/>
        <v>0.2399869507443646</v>
      </c>
      <c r="Q7" s="474">
        <f t="shared" si="0"/>
        <v>0.15701443372046509</v>
      </c>
      <c r="R7" s="63">
        <f t="shared" si="0"/>
        <v>0.24874055116050076</v>
      </c>
      <c r="S7" s="63">
        <f t="shared" si="0"/>
        <v>0.10705515960951084</v>
      </c>
      <c r="T7" s="474">
        <f t="shared" si="0"/>
        <v>0.17414053683928388</v>
      </c>
      <c r="U7" s="63">
        <f t="shared" ref="U7:AM7" si="1">U3/R3-1</f>
        <v>8.6794616360443388E-2</v>
      </c>
      <c r="V7" s="63">
        <f t="shared" si="1"/>
        <v>9.6693948211435732E-2</v>
      </c>
      <c r="W7" s="474">
        <f t="shared" si="1"/>
        <v>9.1708998200590086E-2</v>
      </c>
      <c r="X7" s="63">
        <f t="shared" si="1"/>
        <v>6.0949234530684349E-2</v>
      </c>
      <c r="Y7" s="63">
        <f t="shared" si="1"/>
        <v>7.3468384625751781E-2</v>
      </c>
      <c r="Z7" s="474">
        <f t="shared" si="1"/>
        <v>6.7192566355042338E-2</v>
      </c>
      <c r="AA7" s="63">
        <f t="shared" si="1"/>
        <v>0.10045998904748643</v>
      </c>
      <c r="AB7" s="63">
        <f t="shared" si="1"/>
        <v>0.11295015862126712</v>
      </c>
      <c r="AC7" s="474">
        <f>AC3/Z3-1</f>
        <v>0.10672549825938016</v>
      </c>
      <c r="AD7" s="63">
        <f t="shared" si="1"/>
        <v>9.9684306758357266E-2</v>
      </c>
      <c r="AE7" s="63">
        <f t="shared" si="1"/>
        <v>3.2924122777912901E-2</v>
      </c>
      <c r="AF7" s="474">
        <f>AF3/AC3-1</f>
        <v>6.600668904282414E-2</v>
      </c>
      <c r="AG7" s="63">
        <f t="shared" si="1"/>
        <v>2.4980957139231208E-4</v>
      </c>
      <c r="AH7" s="63">
        <f t="shared" si="1"/>
        <v>1.5304898766814068E-2</v>
      </c>
      <c r="AI7" s="474">
        <f>AI3/AF3-1</f>
        <v>7.608756332779798E-3</v>
      </c>
      <c r="AJ7" s="63">
        <f t="shared" si="1"/>
        <v>6.7248864196216784E-2</v>
      </c>
      <c r="AK7" s="63">
        <f t="shared" si="1"/>
        <v>0.11769130989584231</v>
      </c>
      <c r="AL7" s="474">
        <f>AL3/AI3-1</f>
        <v>9.2093521575069559E-2</v>
      </c>
      <c r="AM7" s="63">
        <f t="shared" si="1"/>
        <v>0.10825148302402621</v>
      </c>
      <c r="AN7" s="63">
        <f t="shared" ref="AN7:AS7" si="2">AN3/AK3-1</f>
        <v>0.12259170380527951</v>
      </c>
      <c r="AO7" s="474">
        <f t="shared" si="2"/>
        <v>0.11548009242186974</v>
      </c>
      <c r="AP7" s="63">
        <f t="shared" si="2"/>
        <v>0.11214918224494519</v>
      </c>
      <c r="AQ7" s="63">
        <f t="shared" si="2"/>
        <v>7.8786567951152575E-2</v>
      </c>
      <c r="AR7" s="474">
        <f t="shared" si="2"/>
        <v>9.5224559408755072E-2</v>
      </c>
      <c r="AS7" s="63">
        <f t="shared" si="2"/>
        <v>2.2752596828611305E-2</v>
      </c>
      <c r="AT7" s="63">
        <f t="shared" ref="AT7" si="3">AT3/AQ3-1</f>
        <v>-2.6417675705773247E-2</v>
      </c>
      <c r="AU7" s="474">
        <f t="shared" ref="AU7" si="4">AU3/AR3-1</f>
        <v>-1.8167661562419335E-3</v>
      </c>
      <c r="AV7" s="63">
        <f>AV3/AS3-1</f>
        <v>4.4400554474368636E-3</v>
      </c>
      <c r="AW7" s="63">
        <f t="shared" ref="AW7" si="5">AW3/AT3-1</f>
        <v>1.4535828207701273E-2</v>
      </c>
      <c r="AX7" s="497">
        <f t="shared" ref="AX7" si="6">AX3/AU3-1</f>
        <v>9.3603744149766133E-3</v>
      </c>
      <c r="AY7" s="88">
        <f>SUM(AY4:AY6)</f>
        <v>4.0055389737895977E-2</v>
      </c>
      <c r="AZ7" s="88">
        <f>SUM(AZ4:AZ6)</f>
        <v>5.2974498866681034E-2</v>
      </c>
      <c r="BA7" s="512">
        <f>BA3/AX3-1</f>
        <v>4.6383986068561756E-2</v>
      </c>
      <c r="BB7" s="88">
        <f>SUM(BB4:BB6)</f>
        <v>5.7835655404204142E-2</v>
      </c>
      <c r="BC7" s="88">
        <f>SUM(BC4:BC6)</f>
        <v>5.045856543961294E-2</v>
      </c>
      <c r="BD7" s="512">
        <f>BD3/BA3-1</f>
        <v>5.4199129571345983E-2</v>
      </c>
      <c r="BE7" s="88">
        <f>SUM(BE4:BE6)</f>
        <v>5.6773595069024789E-2</v>
      </c>
      <c r="BF7" s="88">
        <f>SUM(BF4:BF6)</f>
        <v>4.7196508128155477E-2</v>
      </c>
      <c r="BG7" s="512">
        <f>BG3/BD3-1</f>
        <v>5.2069335244410375E-2</v>
      </c>
      <c r="BH7" s="88">
        <f>SUM(BH4:BH6)</f>
        <v>2.4000000000000014E-2</v>
      </c>
      <c r="BI7" s="88">
        <f>SUM(BI4:BI6)</f>
        <v>2.4000000000000014E-2</v>
      </c>
      <c r="BJ7" s="512">
        <f>BJ3/BG3-1</f>
        <v>2.3999999999999799E-2</v>
      </c>
      <c r="BK7" s="88">
        <f>SUM(BK4:BK6)</f>
        <v>1.4000000000000012E-2</v>
      </c>
      <c r="BL7" s="88">
        <f>SUM(BL4:BL6)</f>
        <v>1.5012227635462283E-2</v>
      </c>
      <c r="BM7" s="512">
        <f>BM3/BJ3-1</f>
        <v>1.4494902769014439E-2</v>
      </c>
    </row>
    <row r="8" spans="1:65">
      <c r="A8" s="57"/>
      <c r="B8" s="101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474"/>
      <c r="O8" s="63"/>
      <c r="P8" s="63"/>
      <c r="Q8" s="474"/>
      <c r="R8" s="63"/>
      <c r="S8" s="63"/>
      <c r="T8" s="474"/>
      <c r="U8" s="63"/>
      <c r="V8" s="63"/>
      <c r="W8" s="474"/>
      <c r="X8" s="63"/>
      <c r="Y8" s="63"/>
      <c r="Z8" s="474"/>
      <c r="AA8" s="63"/>
      <c r="AB8" s="63"/>
      <c r="AC8" s="474"/>
      <c r="AD8" s="63"/>
      <c r="AE8" s="63"/>
      <c r="AF8" s="474"/>
      <c r="AG8" s="63"/>
      <c r="AH8" s="63"/>
      <c r="AI8" s="474"/>
      <c r="AJ8" s="63"/>
      <c r="AK8" s="63"/>
      <c r="AL8" s="474"/>
      <c r="AM8" s="63"/>
      <c r="AN8" s="63"/>
      <c r="AO8" s="474"/>
      <c r="AP8" s="63"/>
      <c r="AQ8" s="63"/>
      <c r="AR8" s="474"/>
      <c r="AS8" s="63"/>
      <c r="AT8" s="63"/>
      <c r="AU8" s="474"/>
      <c r="AV8" s="63"/>
      <c r="AW8" s="63"/>
      <c r="AX8" s="497"/>
      <c r="AY8" s="333"/>
      <c r="AZ8" s="333"/>
      <c r="BA8" s="513"/>
      <c r="BB8" s="333"/>
      <c r="BC8" s="333"/>
      <c r="BD8" s="513"/>
      <c r="BE8" s="333"/>
      <c r="BF8" s="333"/>
      <c r="BG8" s="513"/>
      <c r="BH8" s="333"/>
      <c r="BI8" s="333"/>
      <c r="BJ8" s="513"/>
      <c r="BK8" s="333"/>
      <c r="BL8" s="333"/>
      <c r="BM8" s="513"/>
    </row>
    <row r="9" spans="1:65">
      <c r="A9" s="6" t="s">
        <v>266</v>
      </c>
      <c r="B9" s="52" t="s">
        <v>394</v>
      </c>
      <c r="Q9" s="484"/>
      <c r="R9" s="26"/>
      <c r="S9" s="25">
        <f>T9-R9</f>
        <v>0</v>
      </c>
      <c r="T9" s="484"/>
      <c r="U9" s="26"/>
      <c r="V9" s="25"/>
      <c r="W9" s="485"/>
      <c r="X9" s="26"/>
      <c r="Y9" s="25"/>
      <c r="Z9" s="484"/>
      <c r="AA9" s="26"/>
      <c r="AB9" s="25"/>
      <c r="AC9" s="484"/>
      <c r="AD9" s="91">
        <v>0</v>
      </c>
      <c r="AE9" s="38">
        <f>+AF9-AD9</f>
        <v>6.6590000000001055</v>
      </c>
      <c r="AF9" s="493">
        <f>+AF11-AF3</f>
        <v>6.6590000000001055</v>
      </c>
      <c r="AG9" s="91">
        <v>0</v>
      </c>
      <c r="AH9" s="38">
        <f>+AI9-AG9</f>
        <v>2.0109999999999673</v>
      </c>
      <c r="AI9" s="493">
        <f>+AI11-AI3</f>
        <v>2.0109999999999673</v>
      </c>
      <c r="AJ9" s="91">
        <v>0</v>
      </c>
      <c r="AK9" s="38">
        <f>+AL9-AJ9</f>
        <v>0</v>
      </c>
      <c r="AL9" s="493">
        <v>0</v>
      </c>
      <c r="AM9" s="91">
        <v>0</v>
      </c>
      <c r="AN9" s="38">
        <f>+AK9*(1+AN7)</f>
        <v>0</v>
      </c>
      <c r="AO9" s="493">
        <f>SUM(AM9:AN9)</f>
        <v>0</v>
      </c>
      <c r="AP9" s="91">
        <v>0</v>
      </c>
      <c r="AQ9" s="38">
        <f>+AN9*(1+AQ7)</f>
        <v>0</v>
      </c>
      <c r="AR9" s="493">
        <f>SUM(AP9:AQ9)</f>
        <v>0</v>
      </c>
      <c r="AS9" s="91">
        <v>0</v>
      </c>
      <c r="AT9" s="38">
        <f>+AQ9*(1+AT7)</f>
        <v>0</v>
      </c>
      <c r="AU9" s="493">
        <f>SUM(AS9:AT9)</f>
        <v>0</v>
      </c>
      <c r="AV9" s="91">
        <v>0</v>
      </c>
      <c r="AW9" s="38">
        <f>+AT9*(1+AW7)</f>
        <v>0</v>
      </c>
      <c r="AX9" s="498">
        <f>SUM(AV9:AW9)</f>
        <v>0</v>
      </c>
      <c r="AY9" s="38">
        <f>+AV9*(1+AY7)</f>
        <v>0</v>
      </c>
      <c r="AZ9" s="38">
        <f>+AW9*(1+AZ7)</f>
        <v>0</v>
      </c>
      <c r="BA9" s="493">
        <f>SUM(AY9:AZ9)</f>
        <v>0</v>
      </c>
      <c r="BB9" s="38">
        <f>+AY9*(1+BB7)</f>
        <v>0</v>
      </c>
      <c r="BC9" s="38">
        <f>+AZ9*(1+BC7)</f>
        <v>0</v>
      </c>
      <c r="BD9" s="493">
        <f>SUM(BB9:BC9)</f>
        <v>0</v>
      </c>
      <c r="BE9" s="38">
        <f>+BB9*(1+BE7)</f>
        <v>0</v>
      </c>
      <c r="BF9" s="38">
        <f>+BC9*(1+BF7)</f>
        <v>0</v>
      </c>
      <c r="BG9" s="493">
        <f>SUM(BE9:BF9)</f>
        <v>0</v>
      </c>
      <c r="BH9" s="38">
        <f>+BE9*(1+BH7)</f>
        <v>0</v>
      </c>
      <c r="BI9" s="38">
        <f>+BF9*(1+BI7)</f>
        <v>0</v>
      </c>
      <c r="BJ9" s="493">
        <f>SUM(BH9:BI9)</f>
        <v>0</v>
      </c>
      <c r="BK9" s="38">
        <f>+BH9*(1+BK7)</f>
        <v>0</v>
      </c>
      <c r="BL9" s="38">
        <f>+BI9*(1+BL7)</f>
        <v>0</v>
      </c>
      <c r="BM9" s="493">
        <f>SUM(BK9:BL9)</f>
        <v>0</v>
      </c>
    </row>
    <row r="10" spans="1:65">
      <c r="Q10" s="484"/>
      <c r="R10" s="26"/>
      <c r="S10" s="25"/>
      <c r="T10" s="484"/>
      <c r="U10" s="26"/>
      <c r="V10" s="25"/>
      <c r="W10" s="485"/>
      <c r="X10" s="26"/>
      <c r="Y10" s="25"/>
      <c r="Z10" s="484"/>
      <c r="AA10" s="26"/>
      <c r="AB10" s="25"/>
      <c r="AC10" s="484"/>
      <c r="AD10" s="91"/>
      <c r="AE10" s="38"/>
      <c r="AF10" s="493"/>
      <c r="AG10" s="91"/>
      <c r="AH10" s="38"/>
      <c r="AI10" s="493"/>
      <c r="AJ10" s="91"/>
      <c r="AK10" s="38"/>
      <c r="AL10" s="493"/>
      <c r="AM10" s="91"/>
      <c r="AN10" s="38"/>
      <c r="AO10" s="493"/>
      <c r="AP10" s="91"/>
      <c r="AQ10" s="38"/>
      <c r="AR10" s="493"/>
      <c r="AS10" s="91"/>
      <c r="AT10" s="38"/>
      <c r="AU10" s="493"/>
      <c r="AV10" s="91"/>
      <c r="AW10" s="38"/>
      <c r="AX10" s="498"/>
      <c r="AY10" s="38"/>
      <c r="AZ10" s="38"/>
      <c r="BA10" s="493"/>
      <c r="BB10" s="38"/>
      <c r="BC10" s="38"/>
      <c r="BD10" s="493"/>
      <c r="BE10" s="38"/>
      <c r="BF10" s="38"/>
      <c r="BG10" s="493"/>
      <c r="BH10" s="38"/>
      <c r="BI10" s="38"/>
      <c r="BJ10" s="493"/>
      <c r="BK10" s="38"/>
      <c r="BL10" s="38"/>
      <c r="BM10" s="493"/>
    </row>
    <row r="11" spans="1:65" s="13" customFormat="1">
      <c r="A11" s="13" t="s">
        <v>161</v>
      </c>
      <c r="B11" s="55" t="s">
        <v>394</v>
      </c>
      <c r="C11" s="23">
        <f t="shared" ref="C11:U11" si="7">C3+C9</f>
        <v>769.29</v>
      </c>
      <c r="D11" s="23">
        <f t="shared" si="7"/>
        <v>734.19700000000012</v>
      </c>
      <c r="E11" s="94">
        <f t="shared" si="7"/>
        <v>1503.4870000000001</v>
      </c>
      <c r="F11" s="94">
        <f t="shared" si="7"/>
        <v>796.39700000000005</v>
      </c>
      <c r="G11" s="94">
        <f t="shared" si="7"/>
        <v>767.23699999999997</v>
      </c>
      <c r="H11" s="94">
        <f t="shared" si="7"/>
        <v>1563.634</v>
      </c>
      <c r="I11" s="94">
        <f t="shared" si="7"/>
        <v>784.745</v>
      </c>
      <c r="J11" s="94">
        <f t="shared" si="7"/>
        <v>733.76200000000006</v>
      </c>
      <c r="K11" s="94">
        <f t="shared" si="7"/>
        <v>1518.5070000000001</v>
      </c>
      <c r="L11" s="94">
        <f t="shared" si="7"/>
        <v>780.81200000000001</v>
      </c>
      <c r="M11" s="94">
        <f t="shared" si="7"/>
        <v>754.06599999999992</v>
      </c>
      <c r="N11" s="475">
        <f t="shared" si="7"/>
        <v>1534.8779999999999</v>
      </c>
      <c r="O11" s="94">
        <f t="shared" si="7"/>
        <v>840.84400000000005</v>
      </c>
      <c r="P11" s="94">
        <f t="shared" si="7"/>
        <v>935.03199999999993</v>
      </c>
      <c r="Q11" s="475">
        <f t="shared" si="7"/>
        <v>1775.876</v>
      </c>
      <c r="R11" s="94">
        <f t="shared" si="7"/>
        <v>1049.9960000000001</v>
      </c>
      <c r="S11" s="94">
        <f t="shared" si="7"/>
        <v>1035.1320000000001</v>
      </c>
      <c r="T11" s="475">
        <f t="shared" si="7"/>
        <v>2085.1280000000002</v>
      </c>
      <c r="U11" s="94">
        <f t="shared" si="7"/>
        <v>1141.1300000000001</v>
      </c>
      <c r="V11" s="94">
        <f>W11-U11</f>
        <v>1135.223</v>
      </c>
      <c r="W11" s="475">
        <f>W3+W9</f>
        <v>2276.3530000000001</v>
      </c>
      <c r="X11" s="94">
        <f>X3+X9</f>
        <v>1210.681</v>
      </c>
      <c r="Y11" s="94">
        <f>Y3+Y9</f>
        <v>1218.6259999999997</v>
      </c>
      <c r="Z11" s="475">
        <f>Z3+Z9</f>
        <v>2429.3069999999998</v>
      </c>
      <c r="AA11" s="94">
        <f>SUM(AA3,AA9)</f>
        <v>1332.306</v>
      </c>
      <c r="AB11" s="94">
        <f>SUM(AB3,AB9)</f>
        <v>1356.27</v>
      </c>
      <c r="AC11" s="475">
        <f>SUM(AC3,AC9)</f>
        <v>2688.576</v>
      </c>
      <c r="AD11" s="94">
        <f>SUM(AD3,AD9)</f>
        <v>1465.116</v>
      </c>
      <c r="AE11" s="94">
        <f>SUM(AE3,AE9)</f>
        <v>1407.5830000000001</v>
      </c>
      <c r="AF11" s="473">
        <v>2872.6990000000001</v>
      </c>
      <c r="AG11" s="94">
        <f>SUM(AG3,AG9)</f>
        <v>1465.482</v>
      </c>
      <c r="AH11" s="94">
        <f>SUM(AH3,AH9)</f>
        <v>1424.3760000000002</v>
      </c>
      <c r="AI11" s="473">
        <v>2889.8580000000002</v>
      </c>
      <c r="AJ11" s="94">
        <f>SUM(AJ3,AJ9)</f>
        <v>1564.0340000000001</v>
      </c>
      <c r="AK11" s="94">
        <f>+AL11-AJ11</f>
        <v>1589.7649999999999</v>
      </c>
      <c r="AL11" s="473">
        <f>+AL9+AL3</f>
        <v>3153.799</v>
      </c>
      <c r="AM11" s="94">
        <f>SUM(AM3,AM9)</f>
        <v>1733.3430000000001</v>
      </c>
      <c r="AN11" s="94">
        <f t="shared" ref="AN11:AO11" si="8">+AN9+AN3</f>
        <v>1784.6569999999999</v>
      </c>
      <c r="AO11" s="473">
        <f t="shared" si="8"/>
        <v>3518</v>
      </c>
      <c r="AP11" s="94">
        <f>SUM(AP3,AP9)</f>
        <v>1927.7360000000001</v>
      </c>
      <c r="AQ11" s="94">
        <f>+AQ9+AQ3</f>
        <v>1925.2639999999999</v>
      </c>
      <c r="AR11" s="473">
        <f>+AR9+AR3</f>
        <v>3853</v>
      </c>
      <c r="AS11" s="94">
        <f>SUM(AS3,AS9)</f>
        <v>1971.597</v>
      </c>
      <c r="AT11" s="94">
        <f>+AT9+AT3</f>
        <v>1874.403</v>
      </c>
      <c r="AU11" s="473">
        <f>+AU9+AU3</f>
        <v>3846</v>
      </c>
      <c r="AV11" s="94">
        <f>SUM(AV3,AV9)</f>
        <v>1980.3510000000001</v>
      </c>
      <c r="AW11" s="94">
        <f>+AW9+AW3</f>
        <v>1901.6489999999999</v>
      </c>
      <c r="AX11" s="495">
        <f>+AX9+AX3</f>
        <v>3882</v>
      </c>
      <c r="AY11" s="94">
        <f t="shared" ref="AY11:BM11" si="9">+AY9+AY3</f>
        <v>2059.6747311228319</v>
      </c>
      <c r="AZ11" s="94">
        <f t="shared" si="9"/>
        <v>2002.3879027953249</v>
      </c>
      <c r="BA11" s="475">
        <f t="shared" si="9"/>
        <v>4062.0626339181567</v>
      </c>
      <c r="BB11" s="94">
        <f t="shared" si="9"/>
        <v>2178.7973691167986</v>
      </c>
      <c r="BC11" s="94">
        <f t="shared" si="9"/>
        <v>2103.4255238240121</v>
      </c>
      <c r="BD11" s="475">
        <f t="shared" si="9"/>
        <v>4282.2228929408102</v>
      </c>
      <c r="BE11" s="94">
        <f t="shared" si="9"/>
        <v>2302.495528688492</v>
      </c>
      <c r="BF11" s="94">
        <f t="shared" si="9"/>
        <v>2202.699863656142</v>
      </c>
      <c r="BG11" s="475">
        <f t="shared" si="9"/>
        <v>4505.1953923446345</v>
      </c>
      <c r="BH11" s="94">
        <f t="shared" si="9"/>
        <v>2357.7554213770159</v>
      </c>
      <c r="BI11" s="94">
        <f t="shared" si="9"/>
        <v>2255.5646603838895</v>
      </c>
      <c r="BJ11" s="475">
        <f t="shared" si="9"/>
        <v>4613.3200817609049</v>
      </c>
      <c r="BK11" s="94">
        <f t="shared" si="9"/>
        <v>2390.763997276294</v>
      </c>
      <c r="BL11" s="94">
        <f t="shared" si="9"/>
        <v>2289.4257105120769</v>
      </c>
      <c r="BM11" s="475">
        <f t="shared" si="9"/>
        <v>4680.1897077883714</v>
      </c>
    </row>
    <row r="12" spans="1:65">
      <c r="A12" s="329" t="s">
        <v>424</v>
      </c>
      <c r="B12" s="52" t="s">
        <v>76</v>
      </c>
      <c r="Q12" s="483"/>
      <c r="R12" s="31"/>
      <c r="S12" s="31"/>
      <c r="T12" s="474">
        <f t="shared" ref="T12:AE12" si="10">T11/Q11-1</f>
        <v>0.17414053683928388</v>
      </c>
      <c r="U12" s="63">
        <f t="shared" si="10"/>
        <v>8.6794616360443388E-2</v>
      </c>
      <c r="V12" s="63">
        <f t="shared" si="10"/>
        <v>9.6693948211435732E-2</v>
      </c>
      <c r="W12" s="474">
        <f t="shared" si="10"/>
        <v>9.1708998200590086E-2</v>
      </c>
      <c r="X12" s="63">
        <f t="shared" si="10"/>
        <v>6.0949234530684349E-2</v>
      </c>
      <c r="Y12" s="63">
        <f t="shared" si="10"/>
        <v>7.3468384625751781E-2</v>
      </c>
      <c r="Z12" s="474">
        <f t="shared" si="10"/>
        <v>6.7192566355042338E-2</v>
      </c>
      <c r="AA12" s="63">
        <f t="shared" si="10"/>
        <v>0.10045998904748643</v>
      </c>
      <c r="AB12" s="63">
        <f t="shared" si="10"/>
        <v>0.11295015862126712</v>
      </c>
      <c r="AC12" s="474">
        <f t="shared" si="10"/>
        <v>0.10672549825938016</v>
      </c>
      <c r="AD12" s="63">
        <f>AD11/AA11-1</f>
        <v>9.9684306758357266E-2</v>
      </c>
      <c r="AE12" s="63">
        <f t="shared" si="10"/>
        <v>3.7833912126641556E-2</v>
      </c>
      <c r="AF12" s="474">
        <f t="shared" ref="AF12:AO12" si="11">AF11/AC11-1</f>
        <v>6.8483464852769682E-2</v>
      </c>
      <c r="AG12" s="63">
        <f>AG11/AD11-1</f>
        <v>2.4980957139231208E-4</v>
      </c>
      <c r="AH12" s="63">
        <f>AH11/AE11-1</f>
        <v>1.1930379949175451E-2</v>
      </c>
      <c r="AI12" s="474">
        <f t="shared" si="11"/>
        <v>5.9731284064219459E-3</v>
      </c>
      <c r="AJ12" s="63">
        <f>AJ11/AG11-1</f>
        <v>6.7248864196216784E-2</v>
      </c>
      <c r="AK12" s="63">
        <f>AK11/AH11-1</f>
        <v>0.11611330154397415</v>
      </c>
      <c r="AL12" s="474">
        <f t="shared" si="11"/>
        <v>9.1333553413351032E-2</v>
      </c>
      <c r="AM12" s="63">
        <f>AM11/AJ11-1</f>
        <v>0.10825148302402621</v>
      </c>
      <c r="AN12" s="63">
        <f t="shared" si="11"/>
        <v>0.12259170380527951</v>
      </c>
      <c r="AO12" s="474">
        <f t="shared" si="11"/>
        <v>0.11548009242186974</v>
      </c>
      <c r="AP12" s="63">
        <f t="shared" ref="AP12:AV12" si="12">AP11/AM11-1</f>
        <v>0.11214918224494519</v>
      </c>
      <c r="AQ12" s="63">
        <f t="shared" si="12"/>
        <v>7.8786567951152575E-2</v>
      </c>
      <c r="AR12" s="474">
        <f t="shared" si="12"/>
        <v>9.5224559408755072E-2</v>
      </c>
      <c r="AS12" s="63">
        <f t="shared" si="12"/>
        <v>2.2752596828611305E-2</v>
      </c>
      <c r="AT12" s="63">
        <f t="shared" si="12"/>
        <v>-2.6417675705773247E-2</v>
      </c>
      <c r="AU12" s="474">
        <f t="shared" si="12"/>
        <v>-1.8167661562419335E-3</v>
      </c>
      <c r="AV12" s="63">
        <f t="shared" si="12"/>
        <v>4.4400554474368636E-3</v>
      </c>
      <c r="AW12" s="63">
        <f t="shared" ref="AW12" si="13">AW11/AT11-1</f>
        <v>1.4535828207701273E-2</v>
      </c>
      <c r="AX12" s="497">
        <f t="shared" ref="AX12" si="14">AX11/AU11-1</f>
        <v>9.3603744149766133E-3</v>
      </c>
      <c r="AY12" s="63">
        <f t="shared" ref="AY12:BM12" si="15">AY11/AV11-1</f>
        <v>4.0055389737895908E-2</v>
      </c>
      <c r="AZ12" s="63">
        <f t="shared" si="15"/>
        <v>5.297449886668093E-2</v>
      </c>
      <c r="BA12" s="474">
        <f t="shared" si="15"/>
        <v>4.6383986068561756E-2</v>
      </c>
      <c r="BB12" s="63">
        <f t="shared" si="15"/>
        <v>5.78356554042041E-2</v>
      </c>
      <c r="BC12" s="63">
        <f t="shared" si="15"/>
        <v>5.0458565439613023E-2</v>
      </c>
      <c r="BD12" s="474">
        <f t="shared" si="15"/>
        <v>5.4199129571345983E-2</v>
      </c>
      <c r="BE12" s="63">
        <f t="shared" si="15"/>
        <v>5.6773595069024685E-2</v>
      </c>
      <c r="BF12" s="63">
        <f t="shared" si="15"/>
        <v>4.7196508128155568E-2</v>
      </c>
      <c r="BG12" s="474">
        <f t="shared" si="15"/>
        <v>5.2069335244410375E-2</v>
      </c>
      <c r="BH12" s="63">
        <f t="shared" si="15"/>
        <v>2.4000000000000021E-2</v>
      </c>
      <c r="BI12" s="63">
        <f t="shared" si="15"/>
        <v>2.4000000000000021E-2</v>
      </c>
      <c r="BJ12" s="474">
        <f t="shared" si="15"/>
        <v>2.3999999999999799E-2</v>
      </c>
      <c r="BK12" s="63">
        <f t="shared" si="15"/>
        <v>1.4000000000000012E-2</v>
      </c>
      <c r="BL12" s="63">
        <f t="shared" si="15"/>
        <v>1.5012227635462283E-2</v>
      </c>
      <c r="BM12" s="474">
        <f t="shared" si="15"/>
        <v>1.4494902769014439E-2</v>
      </c>
    </row>
    <row r="14" spans="1:65">
      <c r="A14" s="6" t="s">
        <v>56</v>
      </c>
      <c r="B14" s="52" t="s">
        <v>394</v>
      </c>
      <c r="C14" s="26">
        <v>14.013999999999999</v>
      </c>
      <c r="D14" s="25">
        <f>D18-D24</f>
        <v>14.124000000000009</v>
      </c>
      <c r="E14" s="91">
        <v>28.138000000000002</v>
      </c>
      <c r="F14" s="91">
        <v>14.598000000000001</v>
      </c>
      <c r="G14" s="38">
        <f>G18-G24</f>
        <v>15.021000000000001</v>
      </c>
      <c r="H14" s="91">
        <v>29.619</v>
      </c>
      <c r="I14" s="91">
        <v>15.97</v>
      </c>
      <c r="J14" s="38">
        <f>J18-J24</f>
        <v>17.027999999999992</v>
      </c>
      <c r="K14" s="91">
        <v>32.997999999999998</v>
      </c>
      <c r="L14" s="91">
        <v>17.827999999999999</v>
      </c>
      <c r="M14" s="38">
        <f>M18-M24</f>
        <v>19.310000000000002</v>
      </c>
      <c r="N14" s="476">
        <v>37.137999999999998</v>
      </c>
      <c r="O14" s="91">
        <v>20.625</v>
      </c>
      <c r="P14" s="38">
        <f>P18-P24</f>
        <v>21.381</v>
      </c>
      <c r="Q14" s="476">
        <v>42.006</v>
      </c>
      <c r="R14" s="91">
        <v>21.744</v>
      </c>
      <c r="S14" s="38">
        <f>S18-S24</f>
        <v>22.711999999999989</v>
      </c>
      <c r="T14" s="476">
        <v>44.456000000000003</v>
      </c>
      <c r="U14" s="91">
        <v>23.175999999999998</v>
      </c>
      <c r="V14" s="38">
        <f>W14-U14</f>
        <v>23.407</v>
      </c>
      <c r="W14" s="476">
        <v>46.582999999999998</v>
      </c>
      <c r="X14" s="91">
        <v>23.670999999999999</v>
      </c>
      <c r="Y14" s="38">
        <f>Z14-X14</f>
        <v>26.285000000000004</v>
      </c>
      <c r="Z14" s="476">
        <v>49.956000000000003</v>
      </c>
      <c r="AA14" s="91">
        <v>25.169</v>
      </c>
      <c r="AB14" s="38">
        <f>AC14-AA14</f>
        <v>28.678000000000001</v>
      </c>
      <c r="AC14" s="476">
        <v>53.847000000000001</v>
      </c>
      <c r="AD14" s="91">
        <v>27.957999999999998</v>
      </c>
      <c r="AE14" s="38">
        <f>AF14-AD14</f>
        <v>30.868000000000002</v>
      </c>
      <c r="AF14" s="476">
        <f>57.963+0.863</f>
        <v>58.826000000000001</v>
      </c>
      <c r="AG14" s="91">
        <f>56.05+0.432</f>
        <v>56.481999999999999</v>
      </c>
      <c r="AH14" s="38">
        <f>AI14-AG14</f>
        <v>59.706999999999994</v>
      </c>
      <c r="AI14" s="476">
        <f>113.96+2.229</f>
        <v>116.18899999999999</v>
      </c>
      <c r="AJ14" s="91">
        <f>58.32+1.797</f>
        <v>60.116999999999997</v>
      </c>
      <c r="AK14" s="38">
        <f>AL14-AJ14</f>
        <v>60.256999999999998</v>
      </c>
      <c r="AL14" s="476">
        <f>116.78+3.594</f>
        <v>120.374</v>
      </c>
      <c r="AM14" s="91">
        <f>61.092+2.613</f>
        <v>63.704999999999998</v>
      </c>
      <c r="AN14" s="38">
        <f>AO14-AM14</f>
        <v>64.972999999999999</v>
      </c>
      <c r="AO14" s="476">
        <f>123.16+5.518</f>
        <v>128.678</v>
      </c>
      <c r="AP14" s="91">
        <f>61.27+4.404</f>
        <v>65.674000000000007</v>
      </c>
      <c r="AQ14" s="38">
        <f>AR14-AP14</f>
        <v>69.893000000000001</v>
      </c>
      <c r="AR14" s="476">
        <f>122.627+12.94</f>
        <v>135.56700000000001</v>
      </c>
      <c r="AS14" s="91">
        <f>64.264+9.721</f>
        <v>73.984999999999999</v>
      </c>
      <c r="AT14" s="38">
        <f>AU14-AS14</f>
        <v>76.015000000000001</v>
      </c>
      <c r="AU14" s="493">
        <f>AU18-AU24</f>
        <v>150</v>
      </c>
      <c r="AV14" s="91">
        <f>67.129+11.136</f>
        <v>78.265000000000001</v>
      </c>
      <c r="AW14" s="38">
        <f>AX14-AV14</f>
        <v>77.734999999999999</v>
      </c>
      <c r="AX14" s="498">
        <f>AX18-AX24</f>
        <v>156</v>
      </c>
      <c r="AY14" s="38">
        <f>SUM(AY15:AY16)</f>
        <v>81.051299999999998</v>
      </c>
      <c r="AZ14" s="38">
        <f>SUM(AZ15:AZ16)</f>
        <v>80.366714999999999</v>
      </c>
      <c r="BA14" s="493">
        <f>SUM(AY14:AZ14)</f>
        <v>161.418015</v>
      </c>
      <c r="BB14" s="38">
        <f>SUM(BB15:BB16)</f>
        <v>83.954375999999996</v>
      </c>
      <c r="BC14" s="38">
        <f>SUM(BC15:BC16)</f>
        <v>83.104915050000017</v>
      </c>
      <c r="BD14" s="493">
        <f>SUM(BB14:BC14)</f>
        <v>167.05929105000001</v>
      </c>
      <c r="BE14" s="38">
        <f>SUM(BE15:BE16)</f>
        <v>86.979616020000009</v>
      </c>
      <c r="BF14" s="38">
        <f>SUM(BF15:BF16)</f>
        <v>85.954422388500006</v>
      </c>
      <c r="BG14" s="493">
        <f>SUM(BE14:BF14)</f>
        <v>172.93403840850002</v>
      </c>
      <c r="BH14" s="38">
        <f>SUM(BH15:BH16)</f>
        <v>90.132668465400002</v>
      </c>
      <c r="BI14" s="38">
        <f>SUM(BI15:BI16)</f>
        <v>88.920290325645013</v>
      </c>
      <c r="BJ14" s="493">
        <f>SUM(BH14:BI14)</f>
        <v>179.052958791045</v>
      </c>
      <c r="BK14" s="38">
        <f>SUM(BK15:BK16)</f>
        <v>93.41945496595801</v>
      </c>
      <c r="BL14" s="38">
        <f>SUM(BL15:BL16)</f>
        <v>92.007814596001666</v>
      </c>
      <c r="BM14" s="493">
        <f>SUM(BK14:BL14)</f>
        <v>185.42726956195969</v>
      </c>
    </row>
    <row r="15" spans="1:65">
      <c r="A15" s="6" t="s">
        <v>549</v>
      </c>
      <c r="C15" s="26"/>
      <c r="D15" s="25"/>
      <c r="E15" s="91"/>
      <c r="F15" s="91"/>
      <c r="G15" s="38"/>
      <c r="H15" s="91"/>
      <c r="I15" s="91"/>
      <c r="J15" s="38"/>
      <c r="K15" s="91"/>
      <c r="L15" s="91"/>
      <c r="M15" s="38"/>
      <c r="N15" s="476"/>
      <c r="O15" s="91"/>
      <c r="P15" s="38"/>
      <c r="Q15" s="476"/>
      <c r="R15" s="91"/>
      <c r="S15" s="38"/>
      <c r="T15" s="476"/>
      <c r="U15" s="91"/>
      <c r="V15" s="38"/>
      <c r="W15" s="476"/>
      <c r="X15" s="91"/>
      <c r="Y15" s="38"/>
      <c r="Z15" s="476"/>
      <c r="AA15" s="91"/>
      <c r="AB15" s="38"/>
      <c r="AC15" s="476"/>
      <c r="AD15" s="91"/>
      <c r="AE15" s="38"/>
      <c r="AF15" s="476"/>
      <c r="AG15" s="91">
        <f>AI15/2</f>
        <v>25.483750000000001</v>
      </c>
      <c r="AH15" s="38">
        <f>AI15-AG15</f>
        <v>25.483750000000001</v>
      </c>
      <c r="AI15" s="476">
        <f>101.935/2</f>
        <v>50.967500000000001</v>
      </c>
      <c r="AJ15" s="91">
        <f>47.938*1/2</f>
        <v>23.969000000000001</v>
      </c>
      <c r="AK15" s="38">
        <f>AL15-AJ15</f>
        <v>26.045000000000002</v>
      </c>
      <c r="AL15" s="476">
        <f>100.028/2</f>
        <v>50.014000000000003</v>
      </c>
      <c r="AM15" s="91">
        <f>58.595/2</f>
        <v>29.297499999999999</v>
      </c>
      <c r="AN15" s="38">
        <f>AO15-AM15</f>
        <v>31.200499999999998</v>
      </c>
      <c r="AO15" s="476">
        <f>120.996/2</f>
        <v>60.497999999999998</v>
      </c>
      <c r="AP15" s="91">
        <f>66.626/2</f>
        <v>33.313000000000002</v>
      </c>
      <c r="AQ15" s="38">
        <f>AR15-AP15</f>
        <v>33.832999999999998</v>
      </c>
      <c r="AR15" s="476">
        <f>134.292/2</f>
        <v>67.146000000000001</v>
      </c>
      <c r="AS15" s="91">
        <f>75.707/2</f>
        <v>37.853499999999997</v>
      </c>
      <c r="AT15" s="38">
        <f>AU15-AS15</f>
        <v>31.775000000000006</v>
      </c>
      <c r="AU15" s="476">
        <f>139.257/2</f>
        <v>69.628500000000003</v>
      </c>
      <c r="AV15" s="91">
        <f>81.4/2</f>
        <v>40.700000000000003</v>
      </c>
      <c r="AW15" s="38">
        <f>AX15-AV15</f>
        <v>35.900499999999994</v>
      </c>
      <c r="AX15" s="499">
        <f>153.201/2</f>
        <v>76.600499999999997</v>
      </c>
      <c r="AY15" s="37">
        <f>AV15*1.05</f>
        <v>42.735000000000007</v>
      </c>
      <c r="AZ15" s="37">
        <f>AW15*1.05</f>
        <v>37.695524999999996</v>
      </c>
      <c r="BA15" s="493">
        <f>SUM(AY15:AZ15)</f>
        <v>80.430525000000003</v>
      </c>
      <c r="BB15" s="37">
        <f t="shared" ref="BB15:BC15" si="16">AY15*1.05</f>
        <v>44.871750000000006</v>
      </c>
      <c r="BC15" s="37">
        <f t="shared" si="16"/>
        <v>39.580301249999998</v>
      </c>
      <c r="BD15" s="493">
        <f t="shared" ref="BD15" si="17">SUM(BB15:BC15)</f>
        <v>84.452051250000011</v>
      </c>
      <c r="BE15" s="37">
        <f t="shared" ref="BE15:BF15" si="18">BB15*1.05</f>
        <v>47.11533750000001</v>
      </c>
      <c r="BF15" s="37">
        <f t="shared" si="18"/>
        <v>41.559316312500002</v>
      </c>
      <c r="BG15" s="493">
        <f t="shared" ref="BG15" si="19">SUM(BE15:BF15)</f>
        <v>88.674653812500011</v>
      </c>
      <c r="BH15" s="37">
        <f t="shared" ref="BH15:BI15" si="20">BE15*1.05</f>
        <v>49.47110437500001</v>
      </c>
      <c r="BI15" s="37">
        <f t="shared" si="20"/>
        <v>43.637282128125001</v>
      </c>
      <c r="BJ15" s="493">
        <f t="shared" ref="BJ15" si="21">SUM(BH15:BI15)</f>
        <v>93.108386503125018</v>
      </c>
      <c r="BK15" s="37">
        <f t="shared" ref="BK15:BL15" si="22">BH15*1.05</f>
        <v>51.944659593750011</v>
      </c>
      <c r="BL15" s="37">
        <f t="shared" si="22"/>
        <v>45.819146234531253</v>
      </c>
      <c r="BM15" s="493">
        <f t="shared" ref="BM15" si="23">SUM(BK15:BL15)</f>
        <v>97.763805828281264</v>
      </c>
    </row>
    <row r="16" spans="1:65">
      <c r="A16" s="6" t="s">
        <v>555</v>
      </c>
      <c r="C16" s="26"/>
      <c r="D16" s="25"/>
      <c r="E16" s="91"/>
      <c r="F16" s="91"/>
      <c r="G16" s="38"/>
      <c r="H16" s="91"/>
      <c r="I16" s="91"/>
      <c r="J16" s="38"/>
      <c r="K16" s="91"/>
      <c r="L16" s="91"/>
      <c r="M16" s="38"/>
      <c r="N16" s="476"/>
      <c r="O16" s="91"/>
      <c r="P16" s="38"/>
      <c r="Q16" s="476"/>
      <c r="R16" s="91"/>
      <c r="S16" s="38"/>
      <c r="T16" s="476"/>
      <c r="U16" s="91"/>
      <c r="V16" s="38"/>
      <c r="W16" s="476"/>
      <c r="X16" s="91"/>
      <c r="Y16" s="38"/>
      <c r="Z16" s="476"/>
      <c r="AA16" s="91"/>
      <c r="AB16" s="38"/>
      <c r="AC16" s="476"/>
      <c r="AD16" s="38">
        <f>AD14</f>
        <v>27.957999999999998</v>
      </c>
      <c r="AE16" s="38">
        <f>AE14</f>
        <v>30.868000000000002</v>
      </c>
      <c r="AF16" s="493">
        <f>AF14</f>
        <v>58.826000000000001</v>
      </c>
      <c r="AG16" s="38">
        <f>AG14-AG15</f>
        <v>30.998249999999999</v>
      </c>
      <c r="AH16" s="38">
        <f>AH14</f>
        <v>59.706999999999994</v>
      </c>
      <c r="AI16" s="493">
        <f>AI14-AI15</f>
        <v>65.221499999999992</v>
      </c>
      <c r="AJ16" s="38">
        <f>AJ14-AJ15</f>
        <v>36.147999999999996</v>
      </c>
      <c r="AK16" s="38">
        <f>AL16-AJ16</f>
        <v>34.211999999999989</v>
      </c>
      <c r="AL16" s="493">
        <f t="shared" ref="AL16:AR16" si="24">AL14-AL15</f>
        <v>70.359999999999985</v>
      </c>
      <c r="AM16" s="38">
        <f t="shared" si="24"/>
        <v>34.407499999999999</v>
      </c>
      <c r="AN16" s="38">
        <f t="shared" si="24"/>
        <v>33.772500000000001</v>
      </c>
      <c r="AO16" s="493">
        <f t="shared" si="24"/>
        <v>68.180000000000007</v>
      </c>
      <c r="AP16" s="38">
        <f t="shared" si="24"/>
        <v>32.361000000000004</v>
      </c>
      <c r="AQ16" s="38">
        <f t="shared" si="24"/>
        <v>36.06</v>
      </c>
      <c r="AR16" s="493">
        <f t="shared" si="24"/>
        <v>68.421000000000006</v>
      </c>
      <c r="AS16" s="38">
        <f t="shared" ref="AS16:AU16" si="25">AS14-AS15</f>
        <v>36.131500000000003</v>
      </c>
      <c r="AT16" s="38">
        <f t="shared" si="25"/>
        <v>44.239999999999995</v>
      </c>
      <c r="AU16" s="493">
        <f t="shared" si="25"/>
        <v>80.371499999999997</v>
      </c>
      <c r="AV16" s="38">
        <f t="shared" ref="AV16:AX16" si="26">AV14-AV15</f>
        <v>37.564999999999998</v>
      </c>
      <c r="AW16" s="38">
        <f t="shared" si="26"/>
        <v>41.834500000000006</v>
      </c>
      <c r="AX16" s="498">
        <f t="shared" si="26"/>
        <v>79.399500000000003</v>
      </c>
      <c r="AY16" s="38">
        <f>AV16*(1+2%)</f>
        <v>38.316299999999998</v>
      </c>
      <c r="AZ16" s="38">
        <f>AW16*(1+2%)</f>
        <v>42.67119000000001</v>
      </c>
      <c r="BA16" s="493">
        <f>SUM(AY16:AZ16)</f>
        <v>80.987490000000008</v>
      </c>
      <c r="BB16" s="38">
        <f t="shared" ref="BB16:BC16" si="27">AY16*(1+2%)</f>
        <v>39.082625999999998</v>
      </c>
      <c r="BC16" s="38">
        <f t="shared" si="27"/>
        <v>43.524613800000012</v>
      </c>
      <c r="BD16" s="493">
        <f t="shared" ref="BD16" si="28">SUM(BB16:BC16)</f>
        <v>82.607239800000002</v>
      </c>
      <c r="BE16" s="38">
        <f t="shared" ref="BE16:BF16" si="29">BB16*(1+2%)</f>
        <v>39.864278519999999</v>
      </c>
      <c r="BF16" s="38">
        <f t="shared" si="29"/>
        <v>44.395106076000012</v>
      </c>
      <c r="BG16" s="493">
        <f t="shared" ref="BG16" si="30">SUM(BE16:BF16)</f>
        <v>84.259384596000018</v>
      </c>
      <c r="BH16" s="38">
        <f t="shared" ref="BH16:BI16" si="31">BE16*(1+2%)</f>
        <v>40.661564090399999</v>
      </c>
      <c r="BI16" s="38">
        <f t="shared" si="31"/>
        <v>45.283008197520012</v>
      </c>
      <c r="BJ16" s="493">
        <f t="shared" ref="BJ16" si="32">SUM(BH16:BI16)</f>
        <v>85.94457228792001</v>
      </c>
      <c r="BK16" s="38">
        <f t="shared" ref="BK16:BL16" si="33">BH16*(1+2%)</f>
        <v>41.474795372208</v>
      </c>
      <c r="BL16" s="38">
        <f t="shared" si="33"/>
        <v>46.188668361470413</v>
      </c>
      <c r="BM16" s="493">
        <f t="shared" ref="BM16" si="34">SUM(BK16:BL16)</f>
        <v>87.663463733678412</v>
      </c>
    </row>
    <row r="17" spans="1:65">
      <c r="C17" s="26"/>
      <c r="D17" s="25"/>
      <c r="E17" s="91"/>
      <c r="F17" s="91"/>
      <c r="G17" s="38"/>
      <c r="H17" s="91"/>
      <c r="I17" s="91"/>
      <c r="J17" s="38"/>
      <c r="K17" s="91"/>
      <c r="L17" s="91"/>
      <c r="M17" s="38"/>
      <c r="N17" s="476"/>
      <c r="O17" s="91"/>
      <c r="P17" s="38"/>
      <c r="Q17" s="476"/>
      <c r="R17" s="91"/>
      <c r="S17" s="38"/>
      <c r="T17" s="476"/>
      <c r="U17" s="91"/>
      <c r="V17" s="38"/>
      <c r="W17" s="476"/>
      <c r="X17" s="91"/>
      <c r="Y17" s="38"/>
      <c r="Z17" s="476"/>
      <c r="AA17" s="91"/>
      <c r="AB17" s="38"/>
      <c r="AC17" s="476"/>
      <c r="AD17" s="91"/>
      <c r="AE17" s="38"/>
      <c r="AF17" s="476"/>
      <c r="AG17" s="91"/>
      <c r="AH17" s="38"/>
      <c r="AI17" s="476"/>
      <c r="AJ17" s="91"/>
      <c r="AK17" s="38"/>
      <c r="AL17" s="476"/>
      <c r="AM17" s="91"/>
      <c r="AN17" s="38"/>
      <c r="AO17" s="476"/>
      <c r="AP17" s="91"/>
      <c r="AQ17" s="38"/>
      <c r="AR17" s="476"/>
      <c r="AS17" s="91"/>
      <c r="AT17" s="38"/>
      <c r="AU17" s="476"/>
      <c r="AV17" s="91"/>
      <c r="AW17" s="38"/>
      <c r="AX17" s="499"/>
      <c r="AY17" s="37"/>
      <c r="AZ17" s="37"/>
      <c r="BA17" s="493"/>
      <c r="BB17" s="37"/>
      <c r="BC17" s="37"/>
      <c r="BD17" s="493"/>
      <c r="BE17" s="37"/>
      <c r="BF17" s="37"/>
      <c r="BG17" s="493"/>
      <c r="BH17" s="37"/>
      <c r="BI17" s="37"/>
      <c r="BJ17" s="493"/>
      <c r="BK17" s="37"/>
      <c r="BL17" s="37"/>
      <c r="BM17" s="493"/>
    </row>
    <row r="18" spans="1:65">
      <c r="A18" s="13" t="s">
        <v>392</v>
      </c>
      <c r="B18" s="55" t="s">
        <v>394</v>
      </c>
      <c r="C18" s="25">
        <f>C24+C14</f>
        <v>96.575999999999993</v>
      </c>
      <c r="D18" s="25">
        <f>E18-C18</f>
        <v>95.12700000000001</v>
      </c>
      <c r="E18" s="90">
        <f>E24+E14</f>
        <v>191.703</v>
      </c>
      <c r="F18" s="90">
        <f>F24+F14</f>
        <v>101.749</v>
      </c>
      <c r="G18" s="90">
        <f>H18-F18</f>
        <v>101.43</v>
      </c>
      <c r="H18" s="90">
        <f>H24+H14</f>
        <v>203.179</v>
      </c>
      <c r="I18" s="90">
        <f>I24+I14</f>
        <v>99.677999999999997</v>
      </c>
      <c r="J18" s="90">
        <f>K18-I18</f>
        <v>96.771999999999991</v>
      </c>
      <c r="K18" s="90">
        <f>K24+K14</f>
        <v>196.45</v>
      </c>
      <c r="L18" s="90">
        <f>L24+L14</f>
        <v>97.363</v>
      </c>
      <c r="M18" s="90">
        <f>N18-L18</f>
        <v>111.649</v>
      </c>
      <c r="N18" s="477">
        <f>N24+N14</f>
        <v>209.012</v>
      </c>
      <c r="O18" s="90">
        <f>O24+O14</f>
        <v>106.83600000000001</v>
      </c>
      <c r="P18" s="90">
        <f>Q18-O18</f>
        <v>117.84799999999998</v>
      </c>
      <c r="Q18" s="477">
        <f>Q24+Q14</f>
        <v>224.684</v>
      </c>
      <c r="R18" s="90">
        <f>R24+R14</f>
        <v>141.79900000000001</v>
      </c>
      <c r="S18" s="90">
        <f>T18-R18</f>
        <v>150.18600000000001</v>
      </c>
      <c r="T18" s="477">
        <f>T24+T14</f>
        <v>291.98500000000001</v>
      </c>
      <c r="U18" s="90">
        <f>U24+U14</f>
        <v>156.10199999999998</v>
      </c>
      <c r="V18" s="90">
        <f>W18-U18</f>
        <v>178.15700000000004</v>
      </c>
      <c r="W18" s="477">
        <f>W24+W14</f>
        <v>334.25900000000001</v>
      </c>
      <c r="X18" s="90">
        <f>X24+X14</f>
        <v>164.26</v>
      </c>
      <c r="Y18" s="90">
        <f>Y24+Y14</f>
        <v>194.64399999999998</v>
      </c>
      <c r="Z18" s="481">
        <v>358.904</v>
      </c>
      <c r="AA18" s="334">
        <v>178.959</v>
      </c>
      <c r="AB18" s="90">
        <f>AB24+AB14</f>
        <v>199.364</v>
      </c>
      <c r="AC18" s="481">
        <v>378.32299999999998</v>
      </c>
      <c r="AD18" s="334">
        <v>185.96199999999999</v>
      </c>
      <c r="AE18" s="90">
        <f>AF18-AD18</f>
        <v>186.59199999999998</v>
      </c>
      <c r="AF18" s="481">
        <v>372.55399999999997</v>
      </c>
      <c r="AG18" s="334">
        <v>208.41399999999999</v>
      </c>
      <c r="AH18" s="90">
        <f>AI18-AG18</f>
        <v>215.32300000000004</v>
      </c>
      <c r="AI18" s="481">
        <v>423.73700000000002</v>
      </c>
      <c r="AJ18" s="334">
        <v>235.05099999999999</v>
      </c>
      <c r="AK18" s="90">
        <f>AL18-AJ18</f>
        <v>266.64100000000002</v>
      </c>
      <c r="AL18" s="481">
        <v>501.69200000000001</v>
      </c>
      <c r="AM18" s="334">
        <v>249.346</v>
      </c>
      <c r="AN18" s="90">
        <f>AO18-AM18</f>
        <v>258.654</v>
      </c>
      <c r="AO18" s="481">
        <v>508</v>
      </c>
      <c r="AP18" s="334">
        <f>293.183-6.6</f>
        <v>286.58299999999997</v>
      </c>
      <c r="AQ18" s="90">
        <f>AR18-AP18</f>
        <v>270.23400000000004</v>
      </c>
      <c r="AR18" s="481">
        <f>573.133-16.316</f>
        <v>556.81700000000001</v>
      </c>
      <c r="AS18" s="334">
        <v>307.29399999999998</v>
      </c>
      <c r="AT18" s="90">
        <f>AU18-AS18</f>
        <v>252.70600000000002</v>
      </c>
      <c r="AU18" s="481">
        <v>560</v>
      </c>
      <c r="AV18" s="334">
        <v>270.779</v>
      </c>
      <c r="AW18" s="90">
        <f>AX18-AV18</f>
        <v>224.221</v>
      </c>
      <c r="AX18" s="500">
        <v>495</v>
      </c>
      <c r="AY18" s="90">
        <f>+AY19*AY11</f>
        <v>251.85809795887732</v>
      </c>
      <c r="AZ18" s="90">
        <f>+AZ19*AZ11</f>
        <v>243.35688141366199</v>
      </c>
      <c r="BA18" s="477">
        <f>SUM(AY18:AZ18)</f>
        <v>495.21497937253935</v>
      </c>
      <c r="BB18" s="90">
        <f>+BB19*BB11</f>
        <v>278.85934638799984</v>
      </c>
      <c r="BC18" s="90">
        <f>+BC19*BC11</f>
        <v>267.44335235964269</v>
      </c>
      <c r="BD18" s="477">
        <f>SUM(BB18:BC18)</f>
        <v>546.30269874764258</v>
      </c>
      <c r="BE18" s="90">
        <f>+BE19*BE11</f>
        <v>307.87673949634973</v>
      </c>
      <c r="BF18" s="90">
        <f>+BF19*BF11</f>
        <v>292.40105655106345</v>
      </c>
      <c r="BG18" s="477">
        <f>SUM(BE18:BF18)</f>
        <v>600.27779604741318</v>
      </c>
      <c r="BH18" s="90">
        <f>+BH19*BH11</f>
        <v>316.0224191192483</v>
      </c>
      <c r="BI18" s="90">
        <f>+BI19*BI11</f>
        <v>300.1372867448689</v>
      </c>
      <c r="BJ18" s="477">
        <f>SUM(BH18:BI18)</f>
        <v>616.1597058641172</v>
      </c>
      <c r="BK18" s="90">
        <f>+BK19*BK11</f>
        <v>320.89535841309947</v>
      </c>
      <c r="BL18" s="90">
        <f>+BL19*BL11</f>
        <v>305.10035304577059</v>
      </c>
      <c r="BM18" s="477">
        <f>SUM(BK18:BL18)</f>
        <v>625.99571145887012</v>
      </c>
    </row>
    <row r="19" spans="1:65">
      <c r="A19" s="89" t="s">
        <v>408</v>
      </c>
      <c r="B19" s="52" t="s">
        <v>76</v>
      </c>
      <c r="C19" s="30">
        <f t="shared" ref="C19:P19" si="35">C18/C11</f>
        <v>0.12553913348672152</v>
      </c>
      <c r="D19" s="30">
        <f t="shared" si="35"/>
        <v>0.12956604290129214</v>
      </c>
      <c r="E19" s="30">
        <f t="shared" si="35"/>
        <v>0.12750559200046291</v>
      </c>
      <c r="F19" s="30">
        <f t="shared" si="35"/>
        <v>0.1277616565607354</v>
      </c>
      <c r="G19" s="30">
        <f t="shared" si="35"/>
        <v>0.13220165346561755</v>
      </c>
      <c r="H19" s="30">
        <f t="shared" si="35"/>
        <v>0.12994025456084993</v>
      </c>
      <c r="I19" s="30">
        <f t="shared" si="35"/>
        <v>0.12701960509464857</v>
      </c>
      <c r="J19" s="30">
        <f t="shared" si="35"/>
        <v>0.13188472556496519</v>
      </c>
      <c r="K19" s="30">
        <f t="shared" si="35"/>
        <v>0.12937049351764593</v>
      </c>
      <c r="L19" s="30">
        <f t="shared" si="35"/>
        <v>0.12469454875181221</v>
      </c>
      <c r="M19" s="30">
        <f t="shared" si="35"/>
        <v>0.14806263642705017</v>
      </c>
      <c r="N19" s="478">
        <f t="shared" si="35"/>
        <v>0.1361749924098202</v>
      </c>
      <c r="O19" s="30">
        <f t="shared" si="35"/>
        <v>0.12705805119617908</v>
      </c>
      <c r="P19" s="30">
        <f t="shared" si="35"/>
        <v>0.1260363281684477</v>
      </c>
      <c r="Q19" s="478">
        <f t="shared" ref="Q19:AD19" si="36">Q18/Q11</f>
        <v>0.12652009487148877</v>
      </c>
      <c r="R19" s="30">
        <f t="shared" si="36"/>
        <v>0.13504718113211858</v>
      </c>
      <c r="S19" s="30">
        <f t="shared" si="36"/>
        <v>0.14508874230532917</v>
      </c>
      <c r="T19" s="478">
        <f t="shared" si="36"/>
        <v>0.14003217068688348</v>
      </c>
      <c r="U19" s="30">
        <f t="shared" si="36"/>
        <v>0.13679598292920173</v>
      </c>
      <c r="V19" s="30">
        <f t="shared" si="36"/>
        <v>0.15693568576394246</v>
      </c>
      <c r="W19" s="478">
        <f t="shared" si="36"/>
        <v>0.14683970368391897</v>
      </c>
      <c r="X19" s="30">
        <f t="shared" si="36"/>
        <v>0.1356757064825499</v>
      </c>
      <c r="Y19" s="30">
        <f t="shared" si="36"/>
        <v>0.15972414834411872</v>
      </c>
      <c r="Z19" s="478">
        <f t="shared" si="36"/>
        <v>0.14773925238761507</v>
      </c>
      <c r="AA19" s="30">
        <f t="shared" si="36"/>
        <v>0.134322745675543</v>
      </c>
      <c r="AB19" s="30">
        <f t="shared" si="36"/>
        <v>0.1469943300375294</v>
      </c>
      <c r="AC19" s="478">
        <f t="shared" si="36"/>
        <v>0.14071501047394605</v>
      </c>
      <c r="AD19" s="30">
        <f t="shared" si="36"/>
        <v>0.12692646862091464</v>
      </c>
      <c r="AE19" s="30">
        <f t="shared" ref="AE19:AJ19" si="37">AE18/AE11</f>
        <v>0.13256198746361669</v>
      </c>
      <c r="AF19" s="478">
        <f t="shared" si="37"/>
        <v>0.12968779534507444</v>
      </c>
      <c r="AG19" s="30">
        <f t="shared" si="37"/>
        <v>0.14221532574265669</v>
      </c>
      <c r="AH19" s="30">
        <f t="shared" si="37"/>
        <v>0.15117005622111016</v>
      </c>
      <c r="AI19" s="478">
        <f t="shared" si="37"/>
        <v>0.14662900391645542</v>
      </c>
      <c r="AJ19" s="30">
        <f t="shared" si="37"/>
        <v>0.15028509610404886</v>
      </c>
      <c r="AK19" s="30">
        <f t="shared" ref="AK19:AR19" si="38">AK18/AK11</f>
        <v>0.16772353146534238</v>
      </c>
      <c r="AL19" s="478">
        <f t="shared" si="38"/>
        <v>0.15907545154272673</v>
      </c>
      <c r="AM19" s="30">
        <f t="shared" si="38"/>
        <v>0.14385265928324631</v>
      </c>
      <c r="AN19" s="30">
        <f t="shared" si="38"/>
        <v>0.14493205136897455</v>
      </c>
      <c r="AO19" s="478">
        <f t="shared" si="38"/>
        <v>0.14440022740193292</v>
      </c>
      <c r="AP19" s="30">
        <f t="shared" si="38"/>
        <v>0.14866299119796483</v>
      </c>
      <c r="AQ19" s="30">
        <f t="shared" si="38"/>
        <v>0.14036204904885774</v>
      </c>
      <c r="AR19" s="478">
        <f t="shared" si="38"/>
        <v>0.14451518297430574</v>
      </c>
      <c r="AS19" s="30">
        <f t="shared" ref="AS19:AU19" si="39">AS18/AS11</f>
        <v>0.15586045221208999</v>
      </c>
      <c r="AT19" s="30">
        <f t="shared" si="39"/>
        <v>0.13481945984934937</v>
      </c>
      <c r="AU19" s="478">
        <f t="shared" si="39"/>
        <v>0.14560582423296931</v>
      </c>
      <c r="AV19" s="30">
        <f t="shared" ref="AV19:AX19" si="40">AV18/AV11</f>
        <v>0.13673283170508663</v>
      </c>
      <c r="AW19" s="30">
        <f t="shared" si="40"/>
        <v>0.11790872027382551</v>
      </c>
      <c r="AX19" s="501">
        <f t="shared" si="40"/>
        <v>0.12751159196290571</v>
      </c>
      <c r="AY19" s="30">
        <f>+AV19+AY20</f>
        <v>0.12228052039147796</v>
      </c>
      <c r="AZ19" s="30">
        <f>+AW19+AZ20</f>
        <v>0.12153333581067727</v>
      </c>
      <c r="BA19" s="478">
        <f>BA18/BA11</f>
        <v>0.12191219683259001</v>
      </c>
      <c r="BB19" s="30">
        <f>+AY19+BB20</f>
        <v>0.12798773779547878</v>
      </c>
      <c r="BC19" s="30">
        <f>+AZ19+BC20</f>
        <v>0.12714657558848702</v>
      </c>
      <c r="BD19" s="478">
        <f>BD18/BD11</f>
        <v>0.12757455938321557</v>
      </c>
      <c r="BE19" s="30">
        <f>+BB19+BE20</f>
        <v>0.13371437019541887</v>
      </c>
      <c r="BF19" s="30">
        <f>+BC19+BF20</f>
        <v>0.13274666302730995</v>
      </c>
      <c r="BG19" s="478">
        <f>BG18/BG11</f>
        <v>0.13324123456829942</v>
      </c>
      <c r="BH19" s="30">
        <f>+BE19+BH20</f>
        <v>0.13403528468388787</v>
      </c>
      <c r="BI19" s="30">
        <f>+BF19+BI20</f>
        <v>0.1330652550185755</v>
      </c>
      <c r="BJ19" s="478">
        <f>BJ18/BJ11</f>
        <v>0.13356101353126335</v>
      </c>
      <c r="BK19" s="30">
        <f>+BH19+BK20</f>
        <v>0.13422293408244532</v>
      </c>
      <c r="BL19" s="30">
        <f>+BI19+BL20</f>
        <v>0.13326501560844647</v>
      </c>
      <c r="BM19" s="478">
        <f>BM18/BM11</f>
        <v>0.13375434555935661</v>
      </c>
    </row>
    <row r="20" spans="1:65" s="31" customFormat="1">
      <c r="A20" s="329" t="s">
        <v>500</v>
      </c>
      <c r="B20" s="101" t="s">
        <v>76</v>
      </c>
      <c r="C20" s="32"/>
      <c r="D20" s="32"/>
      <c r="E20" s="32"/>
      <c r="F20" s="32"/>
      <c r="G20" s="32"/>
      <c r="H20" s="376">
        <f t="shared" ref="H20:AI20" si="41">+H19-E19</f>
        <v>2.4346625603870187E-3</v>
      </c>
      <c r="I20" s="376">
        <f t="shared" si="41"/>
        <v>-7.4205146608682937E-4</v>
      </c>
      <c r="J20" s="376">
        <f t="shared" si="41"/>
        <v>-3.1692790065235288E-4</v>
      </c>
      <c r="K20" s="376">
        <f t="shared" si="41"/>
        <v>-5.697610432039979E-4</v>
      </c>
      <c r="L20" s="376">
        <f t="shared" si="41"/>
        <v>-2.3250563428363624E-3</v>
      </c>
      <c r="M20" s="376">
        <f t="shared" si="41"/>
        <v>1.6177910862084977E-2</v>
      </c>
      <c r="N20" s="479">
        <f t="shared" si="41"/>
        <v>6.8044988921742711E-3</v>
      </c>
      <c r="O20" s="376">
        <f t="shared" si="41"/>
        <v>2.3635024443668662E-3</v>
      </c>
      <c r="P20" s="376">
        <f t="shared" si="41"/>
        <v>-2.2026308258602467E-2</v>
      </c>
      <c r="Q20" s="479">
        <f t="shared" si="41"/>
        <v>-9.6548975383314306E-3</v>
      </c>
      <c r="R20" s="376">
        <f t="shared" si="41"/>
        <v>7.989129935939504E-3</v>
      </c>
      <c r="S20" s="376">
        <f t="shared" si="41"/>
        <v>1.9052414136881468E-2</v>
      </c>
      <c r="T20" s="479">
        <f t="shared" si="41"/>
        <v>1.3512075815394708E-2</v>
      </c>
      <c r="U20" s="376">
        <f t="shared" si="41"/>
        <v>1.7488017970831438E-3</v>
      </c>
      <c r="V20" s="376">
        <f t="shared" si="41"/>
        <v>1.1846943458613285E-2</v>
      </c>
      <c r="W20" s="479">
        <f t="shared" si="41"/>
        <v>6.807532997035487E-3</v>
      </c>
      <c r="X20" s="376">
        <f t="shared" si="41"/>
        <v>-1.12027644665183E-3</v>
      </c>
      <c r="Y20" s="376">
        <f t="shared" si="41"/>
        <v>2.7884625801762597E-3</v>
      </c>
      <c r="Z20" s="479">
        <f t="shared" si="41"/>
        <v>8.995487036961014E-4</v>
      </c>
      <c r="AA20" s="376">
        <f t="shared" si="41"/>
        <v>-1.3529608070068921E-3</v>
      </c>
      <c r="AB20" s="376">
        <f t="shared" si="41"/>
        <v>-1.2729818306589313E-2</v>
      </c>
      <c r="AC20" s="479">
        <f t="shared" si="41"/>
        <v>-7.024241913669016E-3</v>
      </c>
      <c r="AD20" s="376">
        <f t="shared" si="41"/>
        <v>-7.396277054628364E-3</v>
      </c>
      <c r="AE20" s="376">
        <f t="shared" si="41"/>
        <v>-1.443234257391271E-2</v>
      </c>
      <c r="AF20" s="479">
        <f t="shared" si="41"/>
        <v>-1.1027215128871615E-2</v>
      </c>
      <c r="AG20" s="376">
        <f t="shared" si="41"/>
        <v>1.528885712174205E-2</v>
      </c>
      <c r="AH20" s="376">
        <f t="shared" si="41"/>
        <v>1.8608068757493462E-2</v>
      </c>
      <c r="AI20" s="479">
        <f t="shared" si="41"/>
        <v>1.6941208571380983E-2</v>
      </c>
      <c r="AJ20" s="376">
        <f t="shared" ref="AJ20:AS20" si="42">+AJ19-AG19</f>
        <v>8.0697703613921701E-3</v>
      </c>
      <c r="AK20" s="376">
        <f t="shared" si="42"/>
        <v>1.655347524423223E-2</v>
      </c>
      <c r="AL20" s="479">
        <f t="shared" si="42"/>
        <v>1.2446447626271312E-2</v>
      </c>
      <c r="AM20" s="376">
        <f t="shared" si="42"/>
        <v>-6.4324368208025506E-3</v>
      </c>
      <c r="AN20" s="376">
        <f t="shared" si="42"/>
        <v>-2.2791480096367833E-2</v>
      </c>
      <c r="AO20" s="479">
        <f t="shared" si="42"/>
        <v>-1.4675224140793808E-2</v>
      </c>
      <c r="AP20" s="376">
        <f t="shared" si="42"/>
        <v>4.8103319147185242E-3</v>
      </c>
      <c r="AQ20" s="376">
        <f t="shared" si="42"/>
        <v>-4.5700023201168116E-3</v>
      </c>
      <c r="AR20" s="479">
        <f t="shared" si="42"/>
        <v>1.1495557237281573E-4</v>
      </c>
      <c r="AS20" s="376">
        <f t="shared" si="42"/>
        <v>7.1974610141251616E-3</v>
      </c>
      <c r="AT20" s="376">
        <f t="shared" ref="AT20" si="43">+AT19-AQ19</f>
        <v>-5.5425891995083687E-3</v>
      </c>
      <c r="AU20" s="479">
        <f t="shared" ref="AU20:AV20" si="44">+AU19-AR19</f>
        <v>1.0906412586635661E-3</v>
      </c>
      <c r="AV20" s="376">
        <f t="shared" si="44"/>
        <v>-1.9127620507003368E-2</v>
      </c>
      <c r="AW20" s="376">
        <f t="shared" ref="AW20" si="45">+AW19-AT19</f>
        <v>-1.6910739575523859E-2</v>
      </c>
      <c r="AX20" s="502">
        <f t="shared" ref="AX20" si="46">+AX19-AU19</f>
        <v>-1.8094232270063598E-2</v>
      </c>
      <c r="AY20" s="376">
        <f>+AY21+AY22</f>
        <v>-1.4452311313608662E-2</v>
      </c>
      <c r="AZ20" s="376">
        <f>+AZ21+AZ22</f>
        <v>3.6246155368517569E-3</v>
      </c>
      <c r="BA20" s="479">
        <f>+BA19-AX19</f>
        <v>-5.5993951303156958E-3</v>
      </c>
      <c r="BB20" s="376">
        <f>+BB21+BB22</f>
        <v>5.7072174040008273E-3</v>
      </c>
      <c r="BC20" s="376">
        <f>+BC21+BC22</f>
        <v>5.6132397778097523E-3</v>
      </c>
      <c r="BD20" s="479">
        <f>+BD19-BA19</f>
        <v>5.6623625506255632E-3</v>
      </c>
      <c r="BE20" s="376">
        <f>+BE21+BE22</f>
        <v>5.7266323999401025E-3</v>
      </c>
      <c r="BF20" s="376">
        <f>+BF21+BF22</f>
        <v>5.6000874388229174E-3</v>
      </c>
      <c r="BG20" s="479">
        <f>+BG19-BD19</f>
        <v>5.666675185083847E-3</v>
      </c>
      <c r="BH20" s="376">
        <f>+BH21+BH22</f>
        <v>3.2091448846900558E-4</v>
      </c>
      <c r="BI20" s="376">
        <f>+BI21+BI22</f>
        <v>3.1859199126554416E-4</v>
      </c>
      <c r="BJ20" s="479">
        <f>+BJ19-BG19</f>
        <v>3.1977896296392361E-4</v>
      </c>
      <c r="BK20" s="376">
        <f>+BK21+BK22</f>
        <v>1.876493985574432E-4</v>
      </c>
      <c r="BL20" s="376">
        <f>+BL21+BL22</f>
        <v>1.9976058987096953E-4</v>
      </c>
      <c r="BM20" s="479">
        <f>+BM19-BJ19</f>
        <v>1.9333202809326822E-4</v>
      </c>
    </row>
    <row r="21" spans="1:65" s="31" customFormat="1">
      <c r="A21" s="374" t="s">
        <v>502</v>
      </c>
      <c r="B21" s="101" t="s">
        <v>76</v>
      </c>
      <c r="C21" s="32"/>
      <c r="D21" s="32"/>
      <c r="E21" s="375">
        <v>0.1</v>
      </c>
      <c r="F21" s="32"/>
      <c r="G21" s="32"/>
      <c r="H21" s="372">
        <f t="shared" ref="H21:AI21" si="47">+(H12*E19*$E$21)</f>
        <v>0</v>
      </c>
      <c r="I21" s="372">
        <f t="shared" si="47"/>
        <v>0</v>
      </c>
      <c r="J21" s="372">
        <f t="shared" si="47"/>
        <v>0</v>
      </c>
      <c r="K21" s="372">
        <f t="shared" si="47"/>
        <v>0</v>
      </c>
      <c r="L21" s="372">
        <f t="shared" si="47"/>
        <v>0</v>
      </c>
      <c r="M21" s="372">
        <f t="shared" si="47"/>
        <v>0</v>
      </c>
      <c r="N21" s="480">
        <f t="shared" si="47"/>
        <v>0</v>
      </c>
      <c r="O21" s="372">
        <f t="shared" si="47"/>
        <v>0</v>
      </c>
      <c r="P21" s="372">
        <f t="shared" si="47"/>
        <v>0</v>
      </c>
      <c r="Q21" s="480">
        <f t="shared" si="47"/>
        <v>0</v>
      </c>
      <c r="R21" s="372">
        <f t="shared" si="47"/>
        <v>0</v>
      </c>
      <c r="S21" s="372">
        <f t="shared" si="47"/>
        <v>0</v>
      </c>
      <c r="T21" s="480">
        <f t="shared" si="47"/>
        <v>2.2032277241878181E-3</v>
      </c>
      <c r="U21" s="372">
        <f t="shared" si="47"/>
        <v>1.1721368276921542E-3</v>
      </c>
      <c r="V21" s="372">
        <f t="shared" si="47"/>
        <v>1.4029203334533845E-3</v>
      </c>
      <c r="W21" s="480">
        <f t="shared" si="47"/>
        <v>1.284221008954812E-3</v>
      </c>
      <c r="X21" s="372">
        <f t="shared" si="47"/>
        <v>8.3376104464074089E-4</v>
      </c>
      <c r="Y21" s="372">
        <f t="shared" si="47"/>
        <v>1.1529811323211442E-3</v>
      </c>
      <c r="Z21" s="480">
        <f t="shared" si="47"/>
        <v>9.8665365333364791E-4</v>
      </c>
      <c r="AA21" s="372">
        <f t="shared" si="47"/>
        <v>1.3629979987246946E-3</v>
      </c>
      <c r="AB21" s="372">
        <f t="shared" si="47"/>
        <v>1.8040867891115009E-3</v>
      </c>
      <c r="AC21" s="480">
        <f t="shared" si="47"/>
        <v>1.5767545323536539E-3</v>
      </c>
      <c r="AD21" s="372">
        <f t="shared" si="47"/>
        <v>1.3389869784545636E-3</v>
      </c>
      <c r="AE21" s="372">
        <f t="shared" si="47"/>
        <v>5.561370565754435E-4</v>
      </c>
      <c r="AF21" s="480">
        <f t="shared" si="47"/>
        <v>9.6366514740496014E-4</v>
      </c>
      <c r="AG21" s="372">
        <f t="shared" si="47"/>
        <v>3.1707446724530434E-6</v>
      </c>
      <c r="AH21" s="372">
        <f t="shared" si="47"/>
        <v>1.5815148772587803E-4</v>
      </c>
      <c r="AI21" s="480">
        <f t="shared" si="47"/>
        <v>7.7464185434189992E-5</v>
      </c>
      <c r="AJ21" s="372">
        <f>+(AJ12*AG19*$E$21)</f>
        <v>9.5638191274886528E-4</v>
      </c>
      <c r="AK21" s="372">
        <f>+(AK12*AH19*$E$21)</f>
        <v>1.7552854322421289E-3</v>
      </c>
      <c r="AL21" s="480">
        <f>+(AL12*AI19*$E$21)</f>
        <v>1.3392147961150038E-3</v>
      </c>
      <c r="AM21" s="372">
        <f>+(AM12*AJ19*$E$21)</f>
        <v>1.6268584529671596E-3</v>
      </c>
      <c r="AN21" s="372">
        <f>+(AN12*AK19*$E$21)</f>
        <v>2.056151349057473E-3</v>
      </c>
      <c r="AO21" s="480">
        <f>+AVERAGE(AM21:AN21)</f>
        <v>1.8415049010123163E-3</v>
      </c>
      <c r="AP21" s="372">
        <f>+(AP12*AM19*$E$21)</f>
        <v>1.6132958102376797E-3</v>
      </c>
      <c r="AQ21" s="372">
        <f>+(AQ12*AN19*$E$21)</f>
        <v>1.141869891348165E-3</v>
      </c>
      <c r="AR21" s="480">
        <f>+AVERAGE(AP21:AQ21)</f>
        <v>1.3775828507929222E-3</v>
      </c>
      <c r="AS21" s="372">
        <f>+(AS12*AP19*$E$21)</f>
        <v>3.3824691020626854E-4</v>
      </c>
      <c r="AT21" s="372">
        <f>+(AT12*AQ19*$E$21)</f>
        <v>-3.7080390931705623E-4</v>
      </c>
      <c r="AU21" s="480">
        <f>+AVERAGE(AS21:AT21)</f>
        <v>-1.6278499555393846E-5</v>
      </c>
      <c r="AV21" s="372">
        <f>+(AV12*AS19*$E$21)</f>
        <v>6.9202904988426313E-5</v>
      </c>
      <c r="AW21" s="372">
        <f>+(AW12*AT19*$E$21)</f>
        <v>1.959712507425222E-4</v>
      </c>
      <c r="AX21" s="503">
        <f>+AVERAGE(AV21:AW21)</f>
        <v>1.3258707786547425E-4</v>
      </c>
      <c r="AY21" s="32">
        <f>+(AY12*AV19*$E$21)</f>
        <v>5.4768868639133749E-4</v>
      </c>
      <c r="AZ21" s="32">
        <f>+(AZ12*AW19*$E$21)</f>
        <v>6.2461553685175687E-4</v>
      </c>
      <c r="BA21" s="487">
        <f>+AVERAGE(AY21:AZ21)</f>
        <v>5.8615211162154723E-4</v>
      </c>
      <c r="BB21" s="32">
        <f>+(BB12*AY19*$E$21)</f>
        <v>7.0721740400082726E-4</v>
      </c>
      <c r="BC21" s="32">
        <f>+(BC12*AZ19*$E$21)</f>
        <v>6.1323977780975238E-4</v>
      </c>
      <c r="BD21" s="487">
        <f>+AVERAGE(BB21:BC21)</f>
        <v>6.6022859090528988E-4</v>
      </c>
      <c r="BE21" s="32">
        <f>+(BE12*BB19*$E$21)</f>
        <v>7.2663239994010193E-4</v>
      </c>
      <c r="BF21" s="32">
        <f>+(BF12*BC19*$E$21)</f>
        <v>6.0008743882291747E-4</v>
      </c>
      <c r="BG21" s="487">
        <f>+AVERAGE(BE21:BF21)</f>
        <v>6.633599193815097E-4</v>
      </c>
      <c r="BH21" s="32">
        <f>+(BH12*BE19*$E$21)</f>
        <v>3.2091448846900558E-4</v>
      </c>
      <c r="BI21" s="32">
        <f>+(BI12*BF19*$E$21)</f>
        <v>3.1859199126554416E-4</v>
      </c>
      <c r="BJ21" s="487">
        <f>+AVERAGE(BH21:BI21)</f>
        <v>3.197532398672749E-4</v>
      </c>
      <c r="BK21" s="32">
        <f>+(BK12*BH19*$E$21)</f>
        <v>1.876493985574432E-4</v>
      </c>
      <c r="BL21" s="32">
        <f>+(BL12*BI19*$E$21)</f>
        <v>1.9976058987096953E-4</v>
      </c>
      <c r="BM21" s="487">
        <f>+AVERAGE(BK21:BL21)</f>
        <v>1.9370499421420635E-4</v>
      </c>
    </row>
    <row r="22" spans="1:65" s="31" customFormat="1">
      <c r="A22" s="374" t="s">
        <v>503</v>
      </c>
      <c r="B22" s="101" t="s">
        <v>76</v>
      </c>
      <c r="C22" s="32"/>
      <c r="D22" s="32"/>
      <c r="E22" s="32"/>
      <c r="F22" s="32"/>
      <c r="G22" s="32"/>
      <c r="H22" s="372">
        <f t="shared" ref="H22:AI22" si="48">+H20-H21</f>
        <v>2.4346625603870187E-3</v>
      </c>
      <c r="I22" s="372">
        <f t="shared" si="48"/>
        <v>-7.4205146608682937E-4</v>
      </c>
      <c r="J22" s="372">
        <f t="shared" si="48"/>
        <v>-3.1692790065235288E-4</v>
      </c>
      <c r="K22" s="372">
        <f t="shared" si="48"/>
        <v>-5.697610432039979E-4</v>
      </c>
      <c r="L22" s="372">
        <f t="shared" si="48"/>
        <v>-2.3250563428363624E-3</v>
      </c>
      <c r="M22" s="372">
        <f t="shared" si="48"/>
        <v>1.6177910862084977E-2</v>
      </c>
      <c r="N22" s="480">
        <f t="shared" si="48"/>
        <v>6.8044988921742711E-3</v>
      </c>
      <c r="O22" s="372">
        <f t="shared" si="48"/>
        <v>2.3635024443668662E-3</v>
      </c>
      <c r="P22" s="372">
        <f t="shared" si="48"/>
        <v>-2.2026308258602467E-2</v>
      </c>
      <c r="Q22" s="480">
        <f t="shared" si="48"/>
        <v>-9.6548975383314306E-3</v>
      </c>
      <c r="R22" s="372">
        <f t="shared" si="48"/>
        <v>7.989129935939504E-3</v>
      </c>
      <c r="S22" s="372">
        <f t="shared" si="48"/>
        <v>1.9052414136881468E-2</v>
      </c>
      <c r="T22" s="480">
        <f t="shared" si="48"/>
        <v>1.1308848091206891E-2</v>
      </c>
      <c r="U22" s="372">
        <f t="shared" si="48"/>
        <v>5.7666496939098952E-4</v>
      </c>
      <c r="V22" s="372">
        <f t="shared" si="48"/>
        <v>1.04440231251599E-2</v>
      </c>
      <c r="W22" s="480">
        <f t="shared" si="48"/>
        <v>5.5233119880806749E-3</v>
      </c>
      <c r="X22" s="372">
        <f t="shared" si="48"/>
        <v>-1.9540374912925709E-3</v>
      </c>
      <c r="Y22" s="372">
        <f t="shared" si="48"/>
        <v>1.6354814478551155E-3</v>
      </c>
      <c r="Z22" s="480">
        <f t="shared" si="48"/>
        <v>-8.7104949637546508E-5</v>
      </c>
      <c r="AA22" s="372">
        <f t="shared" si="48"/>
        <v>-2.7159588057315866E-3</v>
      </c>
      <c r="AB22" s="372">
        <f t="shared" si="48"/>
        <v>-1.4533905095700815E-2</v>
      </c>
      <c r="AC22" s="480">
        <f t="shared" si="48"/>
        <v>-8.6009964460226698E-3</v>
      </c>
      <c r="AD22" s="372">
        <f t="shared" si="48"/>
        <v>-8.7352640330829283E-3</v>
      </c>
      <c r="AE22" s="372">
        <f t="shared" si="48"/>
        <v>-1.4988479630488154E-2</v>
      </c>
      <c r="AF22" s="480">
        <f t="shared" si="48"/>
        <v>-1.1990880276276575E-2</v>
      </c>
      <c r="AG22" s="372">
        <f t="shared" si="48"/>
        <v>1.5285686377069597E-2</v>
      </c>
      <c r="AH22" s="372">
        <f t="shared" si="48"/>
        <v>1.8449917269767583E-2</v>
      </c>
      <c r="AI22" s="480">
        <f t="shared" si="48"/>
        <v>1.6863744385946792E-2</v>
      </c>
      <c r="AJ22" s="372">
        <f t="shared" ref="AJ22:AR22" si="49">+AJ20-AJ21</f>
        <v>7.1133884486433048E-3</v>
      </c>
      <c r="AK22" s="372">
        <f t="shared" si="49"/>
        <v>1.47981898119901E-2</v>
      </c>
      <c r="AL22" s="480">
        <f t="shared" si="49"/>
        <v>1.1107232830156308E-2</v>
      </c>
      <c r="AM22" s="372">
        <f t="shared" si="49"/>
        <v>-8.0592952737697093E-3</v>
      </c>
      <c r="AN22" s="372">
        <f t="shared" si="49"/>
        <v>-2.4847631445425306E-2</v>
      </c>
      <c r="AO22" s="480">
        <f t="shared" si="49"/>
        <v>-1.6516729041806125E-2</v>
      </c>
      <c r="AP22" s="372">
        <f t="shared" si="49"/>
        <v>3.1970361044808444E-3</v>
      </c>
      <c r="AQ22" s="372">
        <f t="shared" si="49"/>
        <v>-5.7118722114649764E-3</v>
      </c>
      <c r="AR22" s="480">
        <f t="shared" si="49"/>
        <v>-1.2626272784201065E-3</v>
      </c>
      <c r="AS22" s="372">
        <f t="shared" ref="AS22:AU22" si="50">+AS20-AS21</f>
        <v>6.8592141039188932E-3</v>
      </c>
      <c r="AT22" s="372">
        <f t="shared" si="50"/>
        <v>-5.1717852901913127E-3</v>
      </c>
      <c r="AU22" s="480">
        <f t="shared" si="50"/>
        <v>1.1069197582189599E-3</v>
      </c>
      <c r="AV22" s="372">
        <f t="shared" ref="AV22:AX22" si="51">+AV20-AV21</f>
        <v>-1.9196823411991793E-2</v>
      </c>
      <c r="AW22" s="372">
        <f t="shared" si="51"/>
        <v>-1.7106710826266382E-2</v>
      </c>
      <c r="AX22" s="503">
        <f t="shared" si="51"/>
        <v>-1.8226819347929073E-2</v>
      </c>
      <c r="AY22" s="371">
        <v>-1.4999999999999999E-2</v>
      </c>
      <c r="AZ22" s="371">
        <v>3.0000000000000001E-3</v>
      </c>
      <c r="BA22" s="487">
        <f>+BA20-BA21</f>
        <v>-6.1855472419372432E-3</v>
      </c>
      <c r="BB22" s="371">
        <v>5.0000000000000001E-3</v>
      </c>
      <c r="BC22" s="371">
        <v>5.0000000000000001E-3</v>
      </c>
      <c r="BD22" s="487">
        <f>+BD20-BD21</f>
        <v>5.0021339597202735E-3</v>
      </c>
      <c r="BE22" s="371">
        <v>5.0000000000000001E-3</v>
      </c>
      <c r="BF22" s="371">
        <v>5.0000000000000001E-3</v>
      </c>
      <c r="BG22" s="487">
        <f>+BG20-BG21</f>
        <v>5.0033152657023372E-3</v>
      </c>
      <c r="BH22" s="371">
        <v>0</v>
      </c>
      <c r="BI22" s="371">
        <v>0</v>
      </c>
      <c r="BJ22" s="487">
        <f>+BJ20-BJ21</f>
        <v>2.5723096648707332E-8</v>
      </c>
      <c r="BK22" s="371">
        <v>0</v>
      </c>
      <c r="BL22" s="371">
        <v>0</v>
      </c>
      <c r="BM22" s="487">
        <f>+BM20-BM21</f>
        <v>-3.7296612093813599E-7</v>
      </c>
    </row>
    <row r="23" spans="1:65">
      <c r="X23" s="30"/>
      <c r="Z23" s="478"/>
    </row>
    <row r="24" spans="1:65">
      <c r="A24" s="13" t="s">
        <v>393</v>
      </c>
      <c r="B24" s="55" t="s">
        <v>394</v>
      </c>
      <c r="C24" s="26">
        <v>82.561999999999998</v>
      </c>
      <c r="D24" s="25">
        <f>E24-C24</f>
        <v>81.003</v>
      </c>
      <c r="E24" s="334">
        <f>161.805+1.76</f>
        <v>163.565</v>
      </c>
      <c r="F24" s="334">
        <f>85.857+1.294</f>
        <v>87.150999999999996</v>
      </c>
      <c r="G24" s="90">
        <f>H24-F24</f>
        <v>86.409000000000006</v>
      </c>
      <c r="H24" s="334">
        <f>171.04+2.52</f>
        <v>173.56</v>
      </c>
      <c r="I24" s="334">
        <f>83.42+0.288</f>
        <v>83.707999999999998</v>
      </c>
      <c r="J24" s="90">
        <f>K24-I24</f>
        <v>79.744</v>
      </c>
      <c r="K24" s="334">
        <f>163.007+0.445</f>
        <v>163.452</v>
      </c>
      <c r="L24" s="334">
        <f>79.401+0.134</f>
        <v>79.534999999999997</v>
      </c>
      <c r="M24" s="90">
        <f>N24-L24</f>
        <v>92.338999999999999</v>
      </c>
      <c r="N24" s="481">
        <f>171.605+0.269</f>
        <v>171.874</v>
      </c>
      <c r="O24" s="334">
        <f>86.058+0.153</f>
        <v>86.211000000000013</v>
      </c>
      <c r="P24" s="90">
        <f>Q24-O24</f>
        <v>96.466999999999985</v>
      </c>
      <c r="Q24" s="481">
        <f>178.493+4.185</f>
        <v>182.678</v>
      </c>
      <c r="R24" s="334">
        <f>115.308+4.747</f>
        <v>120.05500000000001</v>
      </c>
      <c r="S24" s="90">
        <f>T24-R24</f>
        <v>127.47400000000002</v>
      </c>
      <c r="T24" s="481">
        <f>238.306+9.223</f>
        <v>247.52900000000002</v>
      </c>
      <c r="U24" s="334">
        <f>128.837+4.089</f>
        <v>132.92599999999999</v>
      </c>
      <c r="V24" s="90">
        <f>W24-U24</f>
        <v>154.75</v>
      </c>
      <c r="W24" s="481">
        <f>279.929+7.747</f>
        <v>287.67599999999999</v>
      </c>
      <c r="X24" s="334">
        <f>137.376+3.213</f>
        <v>140.589</v>
      </c>
      <c r="Y24" s="90">
        <f>Z24-X24</f>
        <v>168.35899999999998</v>
      </c>
      <c r="Z24" s="477">
        <f>Z18-Z14</f>
        <v>308.94799999999998</v>
      </c>
      <c r="AA24" s="90">
        <f>AA18-AA14</f>
        <v>153.79</v>
      </c>
      <c r="AB24" s="90">
        <f>AC24-AA24</f>
        <v>170.68600000000001</v>
      </c>
      <c r="AC24" s="477">
        <f>AC18-AC14</f>
        <v>324.476</v>
      </c>
      <c r="AD24" s="90">
        <f>AD18-AD14</f>
        <v>158.00399999999999</v>
      </c>
      <c r="AE24" s="90">
        <f>AF24-AD24</f>
        <v>155.72399999999996</v>
      </c>
      <c r="AF24" s="477">
        <f>AF18-AF14</f>
        <v>313.72799999999995</v>
      </c>
      <c r="AG24" s="90">
        <f>AG18-AG14</f>
        <v>151.93199999999999</v>
      </c>
      <c r="AH24" s="90">
        <f>AI24-AG24</f>
        <v>155.61600000000001</v>
      </c>
      <c r="AI24" s="477">
        <f t="shared" ref="AI24:AN24" si="52">AI18-AI14</f>
        <v>307.548</v>
      </c>
      <c r="AJ24" s="90">
        <f t="shared" si="52"/>
        <v>174.934</v>
      </c>
      <c r="AK24" s="90">
        <f t="shared" si="52"/>
        <v>206.38400000000001</v>
      </c>
      <c r="AL24" s="477">
        <f t="shared" si="52"/>
        <v>381.31799999999998</v>
      </c>
      <c r="AM24" s="90">
        <f t="shared" si="52"/>
        <v>185.64100000000002</v>
      </c>
      <c r="AN24" s="90">
        <f t="shared" si="52"/>
        <v>193.68099999999998</v>
      </c>
      <c r="AO24" s="477">
        <f>SUM(AM24:AN24)</f>
        <v>379.322</v>
      </c>
      <c r="AP24" s="90">
        <f>AP18-AP14</f>
        <v>220.90899999999996</v>
      </c>
      <c r="AQ24" s="90">
        <f>AR24-AP24</f>
        <v>200.34100000000004</v>
      </c>
      <c r="AR24" s="477">
        <f>AR18-AR14</f>
        <v>421.25</v>
      </c>
      <c r="AS24" s="90">
        <f>AS18-AS14</f>
        <v>233.30899999999997</v>
      </c>
      <c r="AT24" s="90">
        <f>AU24-AS24</f>
        <v>176.69100000000003</v>
      </c>
      <c r="AU24" s="481">
        <v>410</v>
      </c>
      <c r="AV24" s="90">
        <f>AV18-AV14</f>
        <v>192.51400000000001</v>
      </c>
      <c r="AW24" s="90">
        <f>AX24-AV24</f>
        <v>146.48599999999999</v>
      </c>
      <c r="AX24" s="500">
        <v>339</v>
      </c>
      <c r="AY24" s="471">
        <f>AY18-AY14</f>
        <v>170.80679795887733</v>
      </c>
      <c r="AZ24" s="471">
        <f>AZ18-AZ14</f>
        <v>162.990166413662</v>
      </c>
      <c r="BA24" s="477">
        <f>SUM(AY24:AZ24)</f>
        <v>333.79696437253932</v>
      </c>
      <c r="BB24" s="90">
        <f>BB18-BB14</f>
        <v>194.90497038799984</v>
      </c>
      <c r="BC24" s="90">
        <f>BC18-BC14</f>
        <v>184.33843730964267</v>
      </c>
      <c r="BD24" s="477">
        <f>SUM(BB24:BC24)</f>
        <v>379.24340769764251</v>
      </c>
      <c r="BE24" s="90">
        <f>BE18-BE14</f>
        <v>220.89712347634972</v>
      </c>
      <c r="BF24" s="90">
        <f>BF18-BF14</f>
        <v>206.44663416256344</v>
      </c>
      <c r="BG24" s="477">
        <f>SUM(BE24:BF24)</f>
        <v>427.34375763891319</v>
      </c>
      <c r="BH24" s="90">
        <f>BH18-BH14</f>
        <v>225.8897506538483</v>
      </c>
      <c r="BI24" s="90">
        <f>BI18-BI14</f>
        <v>211.2169964192239</v>
      </c>
      <c r="BJ24" s="477">
        <f>SUM(BH24:BI24)</f>
        <v>437.1067470730722</v>
      </c>
      <c r="BK24" s="90">
        <f>BK18-BK14</f>
        <v>227.47590344714146</v>
      </c>
      <c r="BL24" s="90">
        <f>BL18-BL14</f>
        <v>213.09253844976894</v>
      </c>
      <c r="BM24" s="477">
        <f>SUM(BK24:BL24)</f>
        <v>440.56844189691037</v>
      </c>
    </row>
    <row r="25" spans="1:65">
      <c r="A25" s="89" t="s">
        <v>408</v>
      </c>
      <c r="B25" s="52" t="s">
        <v>76</v>
      </c>
      <c r="C25" s="30">
        <f>C24/C11</f>
        <v>0.10732233618011414</v>
      </c>
      <c r="D25" s="30">
        <f>D24/D11</f>
        <v>0.11032869924557032</v>
      </c>
      <c r="E25" s="30">
        <f>E24/E11</f>
        <v>0.10879043184277615</v>
      </c>
      <c r="F25" s="30">
        <f>F24/F11</f>
        <v>0.1094316025801202</v>
      </c>
      <c r="G25" s="30">
        <f>G24/G11</f>
        <v>0.11262360913251057</v>
      </c>
      <c r="H25" s="30">
        <f t="shared" ref="H25:O25" si="53">H24/H11</f>
        <v>0.11099784220604055</v>
      </c>
      <c r="I25" s="30">
        <f t="shared" si="53"/>
        <v>0.10666904535868339</v>
      </c>
      <c r="J25" s="30">
        <f>J24/J11</f>
        <v>0.10867829078093441</v>
      </c>
      <c r="K25" s="30">
        <f t="shared" si="53"/>
        <v>0.10763993843953304</v>
      </c>
      <c r="L25" s="30">
        <f t="shared" si="53"/>
        <v>0.10186190786002264</v>
      </c>
      <c r="M25" s="30">
        <f t="shared" si="53"/>
        <v>0.12245479838634815</v>
      </c>
      <c r="N25" s="478">
        <f t="shared" si="53"/>
        <v>0.11197893252753639</v>
      </c>
      <c r="O25" s="30">
        <f t="shared" si="53"/>
        <v>0.10252912549771422</v>
      </c>
      <c r="P25" s="30">
        <f>P24/P11</f>
        <v>0.10316973108941725</v>
      </c>
      <c r="Q25" s="478">
        <f t="shared" ref="Q25:W25" si="54">Q24/Q11</f>
        <v>0.10286641634888923</v>
      </c>
      <c r="R25" s="30">
        <f t="shared" si="54"/>
        <v>0.11433853081345072</v>
      </c>
      <c r="S25" s="30">
        <f t="shared" si="54"/>
        <v>0.12314757924593193</v>
      </c>
      <c r="T25" s="478">
        <f t="shared" si="54"/>
        <v>0.11871165703016794</v>
      </c>
      <c r="U25" s="30">
        <f t="shared" si="54"/>
        <v>0.11648628990561985</v>
      </c>
      <c r="V25" s="30">
        <f t="shared" si="54"/>
        <v>0.13631682938065914</v>
      </c>
      <c r="W25" s="478">
        <f t="shared" si="54"/>
        <v>0.12637583011070777</v>
      </c>
      <c r="X25" s="30">
        <f t="shared" ref="X25:AD25" si="55">X24/X11</f>
        <v>0.116123900515495</v>
      </c>
      <c r="Y25" s="30">
        <f t="shared" si="55"/>
        <v>0.13815477431139661</v>
      </c>
      <c r="Z25" s="478">
        <f t="shared" si="55"/>
        <v>0.12717536317970515</v>
      </c>
      <c r="AA25" s="30">
        <f t="shared" si="55"/>
        <v>0.11543143992446178</v>
      </c>
      <c r="AB25" s="87">
        <f t="shared" si="55"/>
        <v>0.12584957272519484</v>
      </c>
      <c r="AC25" s="478">
        <f t="shared" si="55"/>
        <v>0.12068693613273346</v>
      </c>
      <c r="AD25" s="30">
        <f t="shared" si="55"/>
        <v>0.1078440205417182</v>
      </c>
      <c r="AE25" s="87">
        <f>AE24/AE11</f>
        <v>0.11063219717771525</v>
      </c>
      <c r="AF25" s="478">
        <f t="shared" ref="AF25:AO25" si="56">AF24/AF11</f>
        <v>0.10921018874584491</v>
      </c>
      <c r="AG25" s="30">
        <f t="shared" si="56"/>
        <v>0.10367374010735034</v>
      </c>
      <c r="AH25" s="87">
        <f t="shared" si="56"/>
        <v>0.10925205142462383</v>
      </c>
      <c r="AI25" s="478">
        <f>AI24/AI11</f>
        <v>0.10642322217908284</v>
      </c>
      <c r="AJ25" s="30">
        <f>AJ24/AJ11</f>
        <v>0.11184795215449279</v>
      </c>
      <c r="AK25" s="87">
        <f>AK24/AK11</f>
        <v>0.12982044516013375</v>
      </c>
      <c r="AL25" s="478">
        <f>AL24/AL11</f>
        <v>0.12090751503187108</v>
      </c>
      <c r="AM25" s="30">
        <f>AM24/AM11</f>
        <v>0.10709997963472896</v>
      </c>
      <c r="AN25" s="87">
        <f t="shared" si="56"/>
        <v>0.10852561584663047</v>
      </c>
      <c r="AO25" s="478">
        <f t="shared" si="56"/>
        <v>0.10782319499715748</v>
      </c>
      <c r="AP25" s="30">
        <f t="shared" ref="AP25:AU25" si="57">AP24/AP11</f>
        <v>0.11459504828461986</v>
      </c>
      <c r="AQ25" s="87">
        <f t="shared" si="57"/>
        <v>0.10405897580799311</v>
      </c>
      <c r="AR25" s="478">
        <f t="shared" si="57"/>
        <v>0.1093303919024137</v>
      </c>
      <c r="AS25" s="30">
        <f t="shared" si="57"/>
        <v>0.11833503499954603</v>
      </c>
      <c r="AT25" s="87">
        <f t="shared" si="57"/>
        <v>9.4265214044151668E-2</v>
      </c>
      <c r="AU25" s="478">
        <f t="shared" si="57"/>
        <v>0.10660426417056683</v>
      </c>
      <c r="AV25" s="30">
        <f t="shared" ref="AV25:AX25" si="58">AV24/AV11</f>
        <v>9.7212059882313795E-2</v>
      </c>
      <c r="AW25" s="87">
        <f t="shared" si="58"/>
        <v>7.7031039902737047E-2</v>
      </c>
      <c r="AX25" s="501">
        <f t="shared" si="58"/>
        <v>8.7326120556414213E-2</v>
      </c>
      <c r="AY25" s="87">
        <f t="shared" ref="AY25:BM25" si="59">AY24/AY11</f>
        <v>8.2929015624599131E-2</v>
      </c>
      <c r="AZ25" s="87">
        <f t="shared" si="59"/>
        <v>8.139789807266036E-2</v>
      </c>
      <c r="BA25" s="478">
        <f t="shared" si="59"/>
        <v>8.2174253440934195E-2</v>
      </c>
      <c r="BB25" s="87">
        <f t="shared" si="59"/>
        <v>8.9455299125410129E-2</v>
      </c>
      <c r="BC25" s="87">
        <f t="shared" si="59"/>
        <v>8.7637254194061862E-2</v>
      </c>
      <c r="BD25" s="478">
        <f t="shared" si="59"/>
        <v>8.8562276457589448E-2</v>
      </c>
      <c r="BE25" s="87">
        <f t="shared" si="59"/>
        <v>9.5938133526875233E-2</v>
      </c>
      <c r="BF25" s="87">
        <f t="shared" si="59"/>
        <v>9.3724359622873843E-2</v>
      </c>
      <c r="BG25" s="478">
        <f t="shared" si="59"/>
        <v>9.4855765493560784E-2</v>
      </c>
      <c r="BH25" s="87">
        <f t="shared" si="59"/>
        <v>9.5807117483763596E-2</v>
      </c>
      <c r="BI25" s="87">
        <f t="shared" si="59"/>
        <v>9.3642625338559562E-2</v>
      </c>
      <c r="BJ25" s="478">
        <f t="shared" si="59"/>
        <v>9.4748844503810908E-2</v>
      </c>
      <c r="BK25" s="87">
        <f t="shared" si="59"/>
        <v>9.5147786944380988E-2</v>
      </c>
      <c r="BL25" s="87">
        <f t="shared" si="59"/>
        <v>9.3076852186702502E-2</v>
      </c>
      <c r="BM25" s="478">
        <f t="shared" si="59"/>
        <v>9.4134740128964015E-2</v>
      </c>
    </row>
    <row r="26" spans="1:65">
      <c r="AR26" s="478">
        <f>AR24/AO24-1</f>
        <v>0.11053405813530448</v>
      </c>
      <c r="AS26" s="30">
        <f t="shared" ref="AS26:BM26" si="60">AS24/AP24-1</f>
        <v>5.6131710342267604E-2</v>
      </c>
      <c r="AT26" s="30">
        <f t="shared" si="60"/>
        <v>-0.11804872692060042</v>
      </c>
      <c r="AU26" s="478">
        <f t="shared" si="60"/>
        <v>-2.6706231454005969E-2</v>
      </c>
      <c r="AV26" s="30">
        <f t="shared" si="60"/>
        <v>-0.17485394905468699</v>
      </c>
      <c r="AW26" s="30">
        <f t="shared" ref="AW26" si="61">AW24/AT24-1</f>
        <v>-0.17094815242428896</v>
      </c>
      <c r="AX26" s="501">
        <f t="shared" ref="AX26" si="62">AX24/AU24-1</f>
        <v>-0.17317073170731712</v>
      </c>
      <c r="AY26" s="30">
        <f t="shared" si="60"/>
        <v>-0.11275648545624051</v>
      </c>
      <c r="AZ26" s="30">
        <f t="shared" si="60"/>
        <v>0.11266719286253979</v>
      </c>
      <c r="BA26" s="478">
        <f t="shared" si="60"/>
        <v>-1.5348187691624382E-2</v>
      </c>
      <c r="BB26" s="30">
        <f t="shared" si="60"/>
        <v>0.14108438725561889</v>
      </c>
      <c r="BC26" s="30">
        <f t="shared" si="60"/>
        <v>0.1309788888846195</v>
      </c>
      <c r="BD26" s="478">
        <f t="shared" si="60"/>
        <v>0.13614995993307466</v>
      </c>
      <c r="BE26" s="30">
        <f t="shared" si="60"/>
        <v>0.13335808233421131</v>
      </c>
      <c r="BF26" s="30">
        <f t="shared" si="60"/>
        <v>0.1199326476647109</v>
      </c>
      <c r="BG26" s="478">
        <f t="shared" si="60"/>
        <v>0.12683239567243687</v>
      </c>
      <c r="BH26" s="30">
        <f t="shared" si="60"/>
        <v>2.260159434820852E-2</v>
      </c>
      <c r="BI26" s="30">
        <f t="shared" si="60"/>
        <v>2.3106999423900154E-2</v>
      </c>
      <c r="BJ26" s="478">
        <f t="shared" si="60"/>
        <v>2.2845751832435424E-2</v>
      </c>
      <c r="BK26" s="30">
        <f t="shared" si="60"/>
        <v>7.0218006292981361E-3</v>
      </c>
      <c r="BL26" s="30">
        <f t="shared" si="60"/>
        <v>8.879692744150347E-3</v>
      </c>
      <c r="BM26" s="478">
        <f t="shared" si="60"/>
        <v>7.9195639212117364E-3</v>
      </c>
    </row>
    <row r="27" spans="1:65">
      <c r="A27" s="6" t="s">
        <v>157</v>
      </c>
      <c r="B27" s="52" t="s">
        <v>394</v>
      </c>
      <c r="Q27" s="484"/>
      <c r="R27" s="26"/>
      <c r="S27" s="25"/>
      <c r="T27" s="484"/>
      <c r="U27" s="26"/>
      <c r="V27" s="25"/>
      <c r="W27" s="484"/>
      <c r="X27" s="26"/>
      <c r="Y27" s="25"/>
      <c r="Z27" s="484"/>
      <c r="AA27" s="26"/>
      <c r="AB27" s="25"/>
      <c r="AC27" s="492">
        <v>2324.2469999999998</v>
      </c>
      <c r="AD27" s="98">
        <v>1932.577</v>
      </c>
      <c r="AE27" s="92">
        <f>AF27</f>
        <v>1932.577</v>
      </c>
      <c r="AF27" s="492">
        <v>1932.577</v>
      </c>
      <c r="AG27" s="98">
        <v>2341.1480000000001</v>
      </c>
      <c r="AH27" s="92">
        <f>AI27</f>
        <v>3078.498</v>
      </c>
      <c r="AI27" s="492">
        <v>3078.498</v>
      </c>
      <c r="AJ27" s="98">
        <v>3050.6819999999998</v>
      </c>
      <c r="AK27" s="92">
        <f>AL27</f>
        <v>2940.788</v>
      </c>
      <c r="AL27" s="492">
        <v>2940.788</v>
      </c>
      <c r="AM27" s="98">
        <v>2550.087</v>
      </c>
      <c r="AN27" s="92">
        <f>AO27</f>
        <v>2702.7890000000002</v>
      </c>
      <c r="AO27" s="492">
        <v>2702.7890000000002</v>
      </c>
      <c r="AP27" s="98">
        <v>2641.422</v>
      </c>
      <c r="AQ27" s="92">
        <f>AR27</f>
        <v>2757.6750000000002</v>
      </c>
      <c r="AR27" s="492">
        <v>2757.6750000000002</v>
      </c>
      <c r="AS27" s="98">
        <v>2673.5259999999998</v>
      </c>
      <c r="AT27" s="92">
        <f>AU27</f>
        <v>2776.9639999999999</v>
      </c>
      <c r="AU27" s="492">
        <v>2776.9639999999999</v>
      </c>
      <c r="AV27" s="98">
        <v>2767.9140000000002</v>
      </c>
      <c r="AW27" s="92">
        <f>AX27</f>
        <v>2832.3470000000002</v>
      </c>
      <c r="AX27" s="505">
        <v>2832.3470000000002</v>
      </c>
    </row>
    <row r="28" spans="1:65">
      <c r="A28" s="364" t="s">
        <v>40</v>
      </c>
      <c r="B28" s="52" t="s">
        <v>76</v>
      </c>
      <c r="Q28" s="478"/>
      <c r="R28" s="30"/>
      <c r="S28" s="30"/>
      <c r="T28" s="478"/>
      <c r="U28" s="30"/>
      <c r="V28" s="30"/>
      <c r="W28" s="478"/>
      <c r="X28" s="30"/>
      <c r="Y28" s="30"/>
      <c r="Z28" s="478"/>
      <c r="AA28" s="30"/>
      <c r="AB28" s="30"/>
      <c r="AC28" s="478">
        <f>(AC24*2)/AC27</f>
        <v>0.2792095676578264</v>
      </c>
      <c r="AD28" s="30">
        <f>(AD24*2)/AD27</f>
        <v>0.16351638252964823</v>
      </c>
      <c r="AE28" s="30">
        <f>(AE24*2)/AE27</f>
        <v>0.16115683877020162</v>
      </c>
      <c r="AF28" s="489">
        <f>AF24/AF27</f>
        <v>0.16233661064992491</v>
      </c>
      <c r="AG28" s="30">
        <f>(AG24*2)/AG27</f>
        <v>0.12979273416289785</v>
      </c>
      <c r="AH28" s="30">
        <f>(AH24*2)/AH27</f>
        <v>0.10109865265463873</v>
      </c>
      <c r="AI28" s="489">
        <f>AI24/AI27</f>
        <v>9.9901965179123059E-2</v>
      </c>
      <c r="AJ28" s="30">
        <f>(AJ24*2)/AJ27</f>
        <v>0.1146851753148968</v>
      </c>
      <c r="AK28" s="30">
        <f>(AK24*2)/AK27</f>
        <v>0.14035965870372161</v>
      </c>
      <c r="AL28" s="489">
        <f>AL24/AL27</f>
        <v>0.1296652461857162</v>
      </c>
      <c r="AM28" s="30">
        <f>(AM24*2)/AM27</f>
        <v>0.14559581692703036</v>
      </c>
      <c r="AN28" s="30">
        <f>(AN24*2)/AN27</f>
        <v>0.14331936381271343</v>
      </c>
      <c r="AO28" s="489">
        <f>AO24/AO27</f>
        <v>0.14034465879504465</v>
      </c>
      <c r="AP28" s="30">
        <f>(AP24*2)/AP27</f>
        <v>0.16726520790695312</v>
      </c>
      <c r="AQ28" s="30">
        <f>(AQ24*2)/AQ27</f>
        <v>0.14529703463968743</v>
      </c>
      <c r="AR28" s="489">
        <f>AR24/AR27</f>
        <v>0.15275549149192708</v>
      </c>
      <c r="AS28" s="30">
        <f>(AS24*2)/AS27</f>
        <v>0.17453280798466145</v>
      </c>
      <c r="AT28" s="30">
        <f>(AT24*2)/AT27</f>
        <v>0.12725480056637395</v>
      </c>
      <c r="AU28" s="489">
        <f>AU24/AU27</f>
        <v>0.14764325356756516</v>
      </c>
      <c r="AV28" s="30">
        <f>(AV24*2)/AV27</f>
        <v>0.13910403285651216</v>
      </c>
      <c r="AW28" s="30">
        <f>(AW24*2)/AW27</f>
        <v>0.10343789090814083</v>
      </c>
      <c r="AX28" s="506">
        <f>AX24/AX27</f>
        <v>0.11968872458070991</v>
      </c>
    </row>
    <row r="29" spans="1:65">
      <c r="A29" s="53" t="s">
        <v>267</v>
      </c>
      <c r="B29" s="52" t="s">
        <v>394</v>
      </c>
      <c r="Q29" s="484"/>
      <c r="R29" s="26"/>
      <c r="S29" s="25"/>
      <c r="T29" s="484"/>
      <c r="U29" s="26"/>
      <c r="V29" s="25"/>
      <c r="W29" s="484"/>
      <c r="X29" s="26"/>
      <c r="Y29" s="25"/>
      <c r="Z29" s="484"/>
      <c r="AA29" s="26"/>
      <c r="AB29" s="25"/>
      <c r="AC29" s="492">
        <v>443.40899999999999</v>
      </c>
      <c r="AD29" s="98">
        <v>1410.5830000000001</v>
      </c>
      <c r="AE29" s="92">
        <f>AF29</f>
        <v>1410.5830000000001</v>
      </c>
      <c r="AF29" s="492">
        <v>1410.5830000000001</v>
      </c>
      <c r="AG29" s="98">
        <v>1805.79</v>
      </c>
      <c r="AH29" s="92">
        <f>AI29</f>
        <v>1855.43</v>
      </c>
      <c r="AI29" s="492">
        <v>1855.43</v>
      </c>
      <c r="AJ29" s="98">
        <v>1745.327</v>
      </c>
      <c r="AK29" s="92">
        <f>AL29</f>
        <v>1529.14</v>
      </c>
      <c r="AL29" s="492">
        <v>1529.14</v>
      </c>
      <c r="AM29" s="98">
        <v>1095.0999999999999</v>
      </c>
      <c r="AN29" s="92">
        <f>AO29</f>
        <v>1195.1030000000001</v>
      </c>
      <c r="AO29" s="492">
        <v>1195.1030000000001</v>
      </c>
      <c r="AP29" s="98">
        <v>1142.0239999999999</v>
      </c>
      <c r="AQ29" s="92">
        <f>AR29</f>
        <v>1102.816</v>
      </c>
      <c r="AR29" s="492">
        <v>1102.816</v>
      </c>
      <c r="AS29" s="98">
        <v>975.18899999999996</v>
      </c>
      <c r="AT29" s="92">
        <f>AU29</f>
        <v>1003.704</v>
      </c>
      <c r="AU29" s="492">
        <v>1003.704</v>
      </c>
      <c r="AV29" s="98">
        <v>972.71900000000005</v>
      </c>
      <c r="AW29" s="92">
        <f>AX29</f>
        <v>1011.826</v>
      </c>
      <c r="AX29" s="505">
        <v>1011.826</v>
      </c>
    </row>
    <row r="30" spans="1:65">
      <c r="A30" s="53" t="s">
        <v>228</v>
      </c>
      <c r="B30" s="52" t="s">
        <v>394</v>
      </c>
      <c r="Q30" s="485"/>
      <c r="R30" s="25"/>
      <c r="S30" s="25"/>
      <c r="T30" s="485"/>
      <c r="U30" s="25"/>
      <c r="V30" s="25"/>
      <c r="W30" s="485"/>
      <c r="X30" s="25"/>
      <c r="Y30" s="25"/>
      <c r="Z30" s="485"/>
      <c r="AA30" s="25"/>
      <c r="AB30" s="25"/>
      <c r="AC30" s="486">
        <f t="shared" ref="AC30:AJ30" si="63">AC27-AC29</f>
        <v>1880.8379999999997</v>
      </c>
      <c r="AD30" s="92">
        <f t="shared" si="63"/>
        <v>521.99399999999991</v>
      </c>
      <c r="AE30" s="92">
        <f t="shared" si="63"/>
        <v>521.99399999999991</v>
      </c>
      <c r="AF30" s="486">
        <f t="shared" si="63"/>
        <v>521.99399999999991</v>
      </c>
      <c r="AG30" s="92">
        <f t="shared" si="63"/>
        <v>535.35800000000017</v>
      </c>
      <c r="AH30" s="92">
        <f t="shared" si="63"/>
        <v>1223.068</v>
      </c>
      <c r="AI30" s="486">
        <f t="shared" si="63"/>
        <v>1223.068</v>
      </c>
      <c r="AJ30" s="92">
        <f t="shared" si="63"/>
        <v>1305.3549999999998</v>
      </c>
      <c r="AK30" s="92">
        <f t="shared" ref="AK30:AR30" si="64">AK27-AK29</f>
        <v>1411.6479999999999</v>
      </c>
      <c r="AL30" s="486">
        <f t="shared" si="64"/>
        <v>1411.6479999999999</v>
      </c>
      <c r="AM30" s="92">
        <f t="shared" si="64"/>
        <v>1454.9870000000001</v>
      </c>
      <c r="AN30" s="92">
        <f t="shared" si="64"/>
        <v>1507.6860000000001</v>
      </c>
      <c r="AO30" s="486">
        <f t="shared" si="64"/>
        <v>1507.6860000000001</v>
      </c>
      <c r="AP30" s="92">
        <f t="shared" si="64"/>
        <v>1499.3980000000001</v>
      </c>
      <c r="AQ30" s="92">
        <f t="shared" si="64"/>
        <v>1654.8590000000002</v>
      </c>
      <c r="AR30" s="486">
        <f t="shared" si="64"/>
        <v>1654.8590000000002</v>
      </c>
      <c r="AS30" s="92">
        <f t="shared" ref="AS30:AU30" si="65">AS27-AS29</f>
        <v>1698.337</v>
      </c>
      <c r="AT30" s="92">
        <f t="shared" si="65"/>
        <v>1773.26</v>
      </c>
      <c r="AU30" s="486">
        <f t="shared" si="65"/>
        <v>1773.26</v>
      </c>
      <c r="AV30" s="92">
        <f t="shared" ref="AV30:AX30" si="66">AV27-AV29</f>
        <v>1795.1950000000002</v>
      </c>
      <c r="AW30" s="92">
        <f t="shared" si="66"/>
        <v>1820.5210000000002</v>
      </c>
      <c r="AX30" s="507">
        <f t="shared" si="66"/>
        <v>1820.5210000000002</v>
      </c>
    </row>
    <row r="31" spans="1:65">
      <c r="A31" s="364" t="s">
        <v>268</v>
      </c>
      <c r="B31" s="52" t="s">
        <v>76</v>
      </c>
      <c r="Q31" s="478"/>
      <c r="R31" s="30"/>
      <c r="S31" s="30"/>
      <c r="T31" s="478"/>
      <c r="U31" s="30"/>
      <c r="V31" s="30"/>
      <c r="W31" s="478"/>
      <c r="X31" s="30"/>
      <c r="Y31" s="30"/>
      <c r="Z31" s="478"/>
      <c r="AA31" s="30"/>
      <c r="AB31" s="30"/>
      <c r="AC31" s="489">
        <f>AC24/AC30</f>
        <v>0.17251671861159762</v>
      </c>
      <c r="AD31" s="30">
        <f>(AD24*2)/AD30</f>
        <v>0.60538626880768753</v>
      </c>
      <c r="AE31" s="30">
        <f>(AE24*2)/AE30</f>
        <v>0.59665053621305986</v>
      </c>
      <c r="AF31" s="489">
        <f>AF24/AF30</f>
        <v>0.60101840251037364</v>
      </c>
      <c r="AG31" s="30">
        <f>(AG24*2)/AG30</f>
        <v>0.56759028537912926</v>
      </c>
      <c r="AH31" s="30">
        <f>(AH24*2)/AH30</f>
        <v>0.25446827159242169</v>
      </c>
      <c r="AI31" s="489">
        <f>AI24/AI30</f>
        <v>0.25145617414567301</v>
      </c>
      <c r="AJ31" s="30">
        <f>(AJ24*2)/AJ30</f>
        <v>0.26802517322873859</v>
      </c>
      <c r="AK31" s="30">
        <f>(AK24*2)/AK30</f>
        <v>0.29240150519109581</v>
      </c>
      <c r="AL31" s="489">
        <f>AL24/AL30</f>
        <v>0.27012258013329105</v>
      </c>
      <c r="AM31" s="30">
        <f>(AM24*2)/AM30</f>
        <v>0.25517891225144967</v>
      </c>
      <c r="AN31" s="30">
        <f>(AN24*2)/AN30</f>
        <v>0.25692485039988427</v>
      </c>
      <c r="AO31" s="489">
        <f>AO24/AO30</f>
        <v>0.25159217502848735</v>
      </c>
      <c r="AP31" s="30">
        <f>(AP24*2)/AP30</f>
        <v>0.29466359165478406</v>
      </c>
      <c r="AQ31" s="30">
        <f>(AQ24*2)/AQ30</f>
        <v>0.24212455562679361</v>
      </c>
      <c r="AR31" s="489">
        <f>AR24/AR30</f>
        <v>0.25455340908198221</v>
      </c>
      <c r="AS31" s="30">
        <f>(AS24*2)/AS30</f>
        <v>0.27474994656537538</v>
      </c>
      <c r="AT31" s="30">
        <f>(AT24*2)/AT30</f>
        <v>0.19928380496937848</v>
      </c>
      <c r="AU31" s="489">
        <f>AU24/AU30</f>
        <v>0.23121256894082087</v>
      </c>
      <c r="AV31" s="30">
        <f>(AV24*2)/AV30</f>
        <v>0.21447697882402747</v>
      </c>
      <c r="AW31" s="30">
        <f>(AW24*2)/AW30</f>
        <v>0.16092755864941957</v>
      </c>
      <c r="AX31" s="506">
        <f>AX24/AX30</f>
        <v>0.18621043097003548</v>
      </c>
    </row>
    <row r="33" spans="1:65">
      <c r="A33" s="13" t="s">
        <v>403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482"/>
      <c r="O33" s="3"/>
      <c r="P33" s="3"/>
      <c r="Q33" s="482"/>
      <c r="R33" s="3"/>
      <c r="S33" s="3"/>
      <c r="T33" s="482"/>
      <c r="U33" s="3"/>
      <c r="V33" s="3"/>
      <c r="W33" s="482"/>
      <c r="X33" s="3"/>
      <c r="Y33" s="3"/>
      <c r="Z33" s="482"/>
      <c r="AA33" s="3"/>
      <c r="AB33" s="3"/>
      <c r="AC33" s="482"/>
      <c r="AD33" s="3"/>
      <c r="AE33" s="3"/>
      <c r="AF33" s="482"/>
      <c r="AG33" s="3"/>
      <c r="AH33" s="3"/>
      <c r="AI33" s="482"/>
      <c r="AJ33" s="3"/>
      <c r="AK33" s="3"/>
      <c r="AL33" s="482"/>
      <c r="AM33" s="3"/>
      <c r="AN33" s="3"/>
      <c r="AO33" s="482"/>
      <c r="AP33" s="3"/>
      <c r="AQ33" s="3"/>
      <c r="AR33" s="482"/>
      <c r="AS33" s="3"/>
      <c r="AT33" s="3"/>
      <c r="AU33" s="482"/>
      <c r="AV33" s="3"/>
      <c r="AW33" s="3"/>
      <c r="AX33" s="508"/>
      <c r="AY33" s="3"/>
      <c r="AZ33" s="3"/>
      <c r="BA33" s="482"/>
      <c r="BB33" s="3"/>
      <c r="BC33" s="3"/>
      <c r="BD33" s="482"/>
      <c r="BE33" s="3"/>
      <c r="BF33" s="3"/>
      <c r="BG33" s="482"/>
      <c r="BH33" s="3"/>
      <c r="BI33" s="3"/>
      <c r="BJ33" s="482"/>
      <c r="BK33" s="3"/>
      <c r="BL33" s="3"/>
      <c r="BM33" s="482"/>
    </row>
    <row r="34" spans="1:65">
      <c r="A34" s="6" t="str">
        <f>'Market Drivers'!A55</f>
        <v>Detached starts - 1Qtr lag</v>
      </c>
      <c r="B34" s="52" t="s">
        <v>405</v>
      </c>
      <c r="O34" s="92">
        <f>'Market Drivers'!D55</f>
        <v>51304</v>
      </c>
      <c r="P34" s="92">
        <f>'Market Drivers'!E55</f>
        <v>52167</v>
      </c>
      <c r="Q34" s="486">
        <f>'Market Drivers'!F55</f>
        <v>103471</v>
      </c>
      <c r="R34" s="92">
        <f>'Market Drivers'!G55</f>
        <v>59617</v>
      </c>
      <c r="S34" s="92">
        <f>'Market Drivers'!H55</f>
        <v>57673</v>
      </c>
      <c r="T34" s="486">
        <f>'Market Drivers'!I55</f>
        <v>117290</v>
      </c>
      <c r="U34" s="92">
        <f>'Market Drivers'!J55</f>
        <v>59862</v>
      </c>
      <c r="V34" s="92">
        <f>'Market Drivers'!K55</f>
        <v>54784</v>
      </c>
      <c r="W34" s="486">
        <f>'Market Drivers'!L55</f>
        <v>114646</v>
      </c>
      <c r="X34" s="92">
        <f>'Market Drivers'!M55</f>
        <v>62311</v>
      </c>
      <c r="Y34" s="92">
        <f>'Market Drivers'!N55</f>
        <v>54087</v>
      </c>
      <c r="Z34" s="486">
        <f>'Market Drivers'!O55</f>
        <v>116398</v>
      </c>
      <c r="AA34" s="92">
        <f>'Market Drivers'!P55</f>
        <v>60597</v>
      </c>
      <c r="AB34" s="92">
        <f>'Market Drivers'!Q55</f>
        <v>59287</v>
      </c>
      <c r="AC34" s="486">
        <f>'Market Drivers'!R55</f>
        <v>119884</v>
      </c>
      <c r="AD34" s="92">
        <f>'Market Drivers'!S55</f>
        <v>62751</v>
      </c>
      <c r="AE34" s="92">
        <f>'Market Drivers'!T55</f>
        <v>54232</v>
      </c>
      <c r="AF34" s="486">
        <f>'Market Drivers'!U55</f>
        <v>116983</v>
      </c>
      <c r="AG34" s="92">
        <f>'Market Drivers'!V55</f>
        <v>53090</v>
      </c>
      <c r="AH34" s="92">
        <f>'Market Drivers'!W55</f>
        <v>49367</v>
      </c>
      <c r="AI34" s="486">
        <f>'Market Drivers'!X55</f>
        <v>102457</v>
      </c>
      <c r="AJ34" s="92">
        <f>'Market Drivers'!Y55</f>
        <v>54971</v>
      </c>
      <c r="AK34" s="92">
        <f>'Market Drivers'!Z55</f>
        <v>68539</v>
      </c>
      <c r="AL34" s="486">
        <f>'Market Drivers'!AA55</f>
        <v>123510</v>
      </c>
      <c r="AM34" s="92">
        <f>'Market Drivers'!AB55</f>
        <v>80628</v>
      </c>
      <c r="AN34" s="92">
        <f>'Market Drivers'!AC55</f>
        <v>62939</v>
      </c>
      <c r="AO34" s="486">
        <f>'Market Drivers'!AD55</f>
        <v>143567</v>
      </c>
      <c r="AP34" s="92">
        <f>'Market Drivers'!AE55</f>
        <v>61664</v>
      </c>
      <c r="AQ34" s="92">
        <f>'Market Drivers'!AF55</f>
        <v>53834</v>
      </c>
      <c r="AR34" s="486">
        <f>'Market Drivers'!AG55</f>
        <v>115498</v>
      </c>
      <c r="AS34" s="92">
        <f>'Market Drivers'!AH55</f>
        <v>49867</v>
      </c>
      <c r="AT34" s="92">
        <f>'Market Drivers'!AI55</f>
        <v>48453</v>
      </c>
      <c r="AU34" s="486">
        <f>'Market Drivers'!AJ55</f>
        <v>98320</v>
      </c>
      <c r="AV34" s="92">
        <f>'Market Drivers'!AK55</f>
        <v>56187</v>
      </c>
      <c r="AW34" s="92">
        <f>'Market Drivers'!AL55</f>
        <v>47350.73000000001</v>
      </c>
      <c r="AX34" s="507">
        <f>'Market Drivers'!AM55</f>
        <v>103537.73000000001</v>
      </c>
      <c r="AY34" s="92">
        <f>'Market Drivers'!AN55</f>
        <v>56967.000000000007</v>
      </c>
      <c r="AZ34" s="92">
        <f>'Market Drivers'!AO55</f>
        <v>49712.077800000006</v>
      </c>
      <c r="BA34" s="486">
        <f>'Market Drivers'!AP55</f>
        <v>106679.07780000001</v>
      </c>
      <c r="BB34" s="92">
        <f>'Market Drivers'!AQ55</f>
        <v>62120.346000000005</v>
      </c>
      <c r="BC34" s="92">
        <f>'Market Drivers'!AR55</f>
        <v>54683.285580000011</v>
      </c>
      <c r="BD34" s="486">
        <f>'Market Drivers'!AS55</f>
        <v>116803.63158000002</v>
      </c>
      <c r="BE34" s="92">
        <f>'Market Drivers'!AT55</f>
        <v>66693.419099999999</v>
      </c>
      <c r="BF34" s="92">
        <f>'Market Drivers'!AU55</f>
        <v>56055.216140000004</v>
      </c>
      <c r="BG34" s="486">
        <f>'Market Drivers'!AV55</f>
        <v>122748.63524</v>
      </c>
      <c r="BH34" s="92">
        <f>'Market Drivers'!AW55</f>
        <v>66693.419099999999</v>
      </c>
      <c r="BI34" s="92">
        <f>'Market Drivers'!AX55</f>
        <v>56055.216140000004</v>
      </c>
      <c r="BJ34" s="486">
        <f>'Market Drivers'!AY55</f>
        <v>122748.63524</v>
      </c>
      <c r="BK34" s="92">
        <f>'Market Drivers'!AZ55</f>
        <v>66693.419099999999</v>
      </c>
      <c r="BL34" s="92">
        <f>'Market Drivers'!BA55</f>
        <v>56327.662883800018</v>
      </c>
      <c r="BM34" s="486">
        <f>'Market Drivers'!BB55</f>
        <v>123021.08198380002</v>
      </c>
    </row>
    <row r="35" spans="1:65" s="31" customFormat="1">
      <c r="A35" s="329" t="str">
        <f>'Market Drivers'!A56</f>
        <v>% chg</v>
      </c>
      <c r="B35" s="101" t="s">
        <v>76</v>
      </c>
      <c r="N35" s="483"/>
      <c r="Q35" s="487"/>
      <c r="R35" s="32">
        <f>'Market Drivers'!G56</f>
        <v>0.16203414938406357</v>
      </c>
      <c r="S35" s="32">
        <f>'Market Drivers'!H56</f>
        <v>0.10554565146548578</v>
      </c>
      <c r="T35" s="487">
        <f>'Market Drivers'!I56</f>
        <v>0.13355432923234534</v>
      </c>
      <c r="U35" s="32">
        <f>'Market Drivers'!J56</f>
        <v>4.1095660633712061E-3</v>
      </c>
      <c r="V35" s="32">
        <f>'Market Drivers'!K56</f>
        <v>-5.0092764378478649E-2</v>
      </c>
      <c r="W35" s="487">
        <f>'Market Drivers'!L56</f>
        <v>-2.2542416233267915E-2</v>
      </c>
      <c r="X35" s="32">
        <f>'Market Drivers'!M56</f>
        <v>4.0910761417927821E-2</v>
      </c>
      <c r="Y35" s="32">
        <f>'Market Drivers'!N56</f>
        <v>-1.2722692757009324E-2</v>
      </c>
      <c r="Z35" s="487">
        <f>'Market Drivers'!O56</f>
        <v>1.5281824049683479E-2</v>
      </c>
      <c r="AA35" s="32">
        <f>'Market Drivers'!P56</f>
        <v>-2.7507181717513762E-2</v>
      </c>
      <c r="AB35" s="32">
        <f>'Market Drivers'!Q56</f>
        <v>9.6141401815593497E-2</v>
      </c>
      <c r="AC35" s="487">
        <f>'Market Drivers'!R56</f>
        <v>2.9948968195329773E-2</v>
      </c>
      <c r="AD35" s="32">
        <f>'Market Drivers'!S56</f>
        <v>3.5546314173968918E-2</v>
      </c>
      <c r="AE35" s="32">
        <f>'Market Drivers'!T56</f>
        <v>-8.5263211159276042E-2</v>
      </c>
      <c r="AF35" s="487">
        <f>'Market Drivers'!U56</f>
        <v>-2.4198391778719408E-2</v>
      </c>
      <c r="AG35" s="32">
        <f>'Market Drivers'!V56</f>
        <v>-0.15395770585329316</v>
      </c>
      <c r="AH35" s="32">
        <f>'Market Drivers'!W56</f>
        <v>-8.9707183950435199E-2</v>
      </c>
      <c r="AI35" s="487">
        <f>'Market Drivers'!X56</f>
        <v>-0.12417188822307512</v>
      </c>
      <c r="AJ35" s="32">
        <f>'Market Drivers'!Y56</f>
        <v>3.5430401205500006E-2</v>
      </c>
      <c r="AK35" s="32">
        <f>'Market Drivers'!Z56</f>
        <v>0.38835659448619531</v>
      </c>
      <c r="AL35" s="487">
        <f>'Market Drivers'!AA56</f>
        <v>0.20548132387245377</v>
      </c>
      <c r="AM35" s="32">
        <f>'Market Drivers'!AB56</f>
        <v>0.46673700678539598</v>
      </c>
      <c r="AN35" s="32">
        <f>'Market Drivers'!AC56</f>
        <v>-8.1705306467850458E-2</v>
      </c>
      <c r="AO35" s="487">
        <f>'Market Drivers'!AD56</f>
        <v>0.16239170917334622</v>
      </c>
      <c r="AP35" s="32">
        <f>'Market Drivers'!AE56</f>
        <v>-0.23520365133700449</v>
      </c>
      <c r="AQ35" s="32">
        <f>'Market Drivers'!AF56</f>
        <v>-0.14466388090055449</v>
      </c>
      <c r="AR35" s="487">
        <f>'Market Drivers'!AG56</f>
        <v>-0.19551150333990397</v>
      </c>
      <c r="AS35" s="32">
        <f>'Market Drivers'!AH56</f>
        <v>-0.19131097560975607</v>
      </c>
      <c r="AT35" s="32">
        <f>'Market Drivers'!AI56</f>
        <v>-9.9955418508749116E-2</v>
      </c>
      <c r="AU35" s="487">
        <f>'Market Drivers'!AJ56</f>
        <v>-0.14872984813589851</v>
      </c>
      <c r="AV35" s="32">
        <f>'Market Drivers'!AK56</f>
        <v>0.1267371207411716</v>
      </c>
      <c r="AW35" s="32">
        <f>'Market Drivers'!AL56</f>
        <v>-2.2749262171588791E-2</v>
      </c>
      <c r="AX35" s="509">
        <f>'Market Drivers'!AM56</f>
        <v>5.306885679414175E-2</v>
      </c>
      <c r="AY35" s="32">
        <f>'Market Drivers'!AN56</f>
        <v>1.3882214747183541E-2</v>
      </c>
      <c r="AZ35" s="32">
        <f>'Market Drivers'!AO56</f>
        <v>4.9869300853439658E-2</v>
      </c>
      <c r="BA35" s="487">
        <f>'Market Drivers'!AP56</f>
        <v>3.0340126251560795E-2</v>
      </c>
      <c r="BB35" s="32">
        <f>'Market Drivers'!AQ56</f>
        <v>9.0461951656221951E-2</v>
      </c>
      <c r="BC35" s="32">
        <f>'Market Drivers'!AR56</f>
        <v>0.10000000000000009</v>
      </c>
      <c r="BD35" s="487">
        <f>'Market Drivers'!AS56</f>
        <v>9.4906648883685829E-2</v>
      </c>
      <c r="BE35" s="32">
        <f>'Market Drivers'!AT56</f>
        <v>7.3616349464634245E-2</v>
      </c>
      <c r="BF35" s="32">
        <f>'Market Drivers'!AU56</f>
        <v>2.5088663664748267E-2</v>
      </c>
      <c r="BG35" s="487">
        <f>'Market Drivers'!AV56</f>
        <v>5.0897421420738942E-2</v>
      </c>
      <c r="BH35" s="32">
        <f>'Market Drivers'!AW56</f>
        <v>0</v>
      </c>
      <c r="BI35" s="32">
        <f>'Market Drivers'!AX56</f>
        <v>0</v>
      </c>
      <c r="BJ35" s="487">
        <f>'Market Drivers'!AY56</f>
        <v>0</v>
      </c>
      <c r="BK35" s="32">
        <f>'Market Drivers'!AZ56</f>
        <v>0</v>
      </c>
      <c r="BL35" s="32">
        <f>'Market Drivers'!BA56</f>
        <v>4.8603281293140288E-3</v>
      </c>
      <c r="BM35" s="487">
        <f>'Market Drivers'!BB56</f>
        <v>2.2195500851582839E-3</v>
      </c>
    </row>
    <row r="37" spans="1:65">
      <c r="A37" s="6" t="str">
        <f>'Market Drivers'!A60</f>
        <v>Apartment starts - 1Qtr lag</v>
      </c>
      <c r="B37" s="52" t="s">
        <v>405</v>
      </c>
      <c r="O37" s="92">
        <f>'Market Drivers'!D60</f>
        <v>35456</v>
      </c>
      <c r="P37" s="92">
        <f>'Market Drivers'!E60</f>
        <v>41068</v>
      </c>
      <c r="Q37" s="486">
        <f>'Market Drivers'!F60</f>
        <v>76524</v>
      </c>
      <c r="R37" s="92">
        <f>'Market Drivers'!G60</f>
        <v>45086</v>
      </c>
      <c r="S37" s="92">
        <f>'Market Drivers'!H60</f>
        <v>47867</v>
      </c>
      <c r="T37" s="486">
        <f>'Market Drivers'!I60</f>
        <v>92953</v>
      </c>
      <c r="U37" s="92">
        <f>'Market Drivers'!J60</f>
        <v>56942</v>
      </c>
      <c r="V37" s="92">
        <f>'Market Drivers'!K60</f>
        <v>62670</v>
      </c>
      <c r="W37" s="486">
        <f>'Market Drivers'!L60</f>
        <v>119612</v>
      </c>
      <c r="X37" s="92">
        <f>'Market Drivers'!M60</f>
        <v>54210</v>
      </c>
      <c r="Y37" s="92">
        <f>'Market Drivers'!N60</f>
        <v>53914</v>
      </c>
      <c r="Z37" s="486">
        <f>'Market Drivers'!O60</f>
        <v>108124</v>
      </c>
      <c r="AA37" s="92">
        <f>'Market Drivers'!P60</f>
        <v>51475</v>
      </c>
      <c r="AB37" s="92">
        <f>'Market Drivers'!Q60</f>
        <v>54569</v>
      </c>
      <c r="AC37" s="486">
        <f>'Market Drivers'!R60</f>
        <v>106044</v>
      </c>
      <c r="AD37" s="92">
        <f>'Market Drivers'!S60</f>
        <v>53413</v>
      </c>
      <c r="AE37" s="92">
        <f>'Market Drivers'!T60</f>
        <v>37862</v>
      </c>
      <c r="AF37" s="486">
        <f>'Market Drivers'!U60</f>
        <v>91275</v>
      </c>
      <c r="AG37" s="92">
        <f>'Market Drivers'!V60</f>
        <v>36226</v>
      </c>
      <c r="AH37" s="92">
        <f>'Market Drivers'!W60</f>
        <v>37577</v>
      </c>
      <c r="AI37" s="486">
        <f>'Market Drivers'!X60</f>
        <v>73803</v>
      </c>
      <c r="AJ37" s="92">
        <f>'Market Drivers'!Y60</f>
        <v>32417</v>
      </c>
      <c r="AK37" s="92">
        <f>'Market Drivers'!Z60</f>
        <v>33372</v>
      </c>
      <c r="AL37" s="486">
        <f>'Market Drivers'!AA60</f>
        <v>65789</v>
      </c>
      <c r="AM37" s="92">
        <f>'Market Drivers'!AB60</f>
        <v>46479</v>
      </c>
      <c r="AN37" s="92">
        <f>'Market Drivers'!AC60</f>
        <v>35034</v>
      </c>
      <c r="AO37" s="486">
        <f>'Market Drivers'!AD60</f>
        <v>81513</v>
      </c>
      <c r="AP37" s="92">
        <f>'Market Drivers'!AE60</f>
        <v>33100</v>
      </c>
      <c r="AQ37" s="92">
        <f>'Market Drivers'!AF60</f>
        <v>31036</v>
      </c>
      <c r="AR37" s="486">
        <f>'Market Drivers'!AG60</f>
        <v>64136</v>
      </c>
      <c r="AS37" s="92">
        <f>'Market Drivers'!AH60</f>
        <v>31797</v>
      </c>
      <c r="AT37" s="92">
        <f>'Market Drivers'!AI60</f>
        <v>29981</v>
      </c>
      <c r="AU37" s="486">
        <f>'Market Drivers'!AJ60</f>
        <v>61778</v>
      </c>
      <c r="AV37" s="92">
        <f>'Market Drivers'!AK60</f>
        <v>30506</v>
      </c>
      <c r="AW37" s="92">
        <f>'Market Drivers'!AL60</f>
        <v>28720.910000000003</v>
      </c>
      <c r="AX37" s="507">
        <f>'Market Drivers'!AM60</f>
        <v>59226.91</v>
      </c>
      <c r="AY37" s="92">
        <f>'Market Drivers'!AN60</f>
        <v>30571.47</v>
      </c>
      <c r="AZ37" s="92">
        <f>'Market Drivers'!AO60</f>
        <v>29736.198200000006</v>
      </c>
      <c r="BA37" s="486">
        <f>'Market Drivers'!AP60</f>
        <v>60307.668200000007</v>
      </c>
      <c r="BB37" s="92">
        <f>'Market Drivers'!AQ60</f>
        <v>32035.678400000004</v>
      </c>
      <c r="BC37" s="92">
        <f>'Market Drivers'!AR60</f>
        <v>31656.730020000003</v>
      </c>
      <c r="BD37" s="486">
        <f>'Market Drivers'!AS60</f>
        <v>63692.408420000007</v>
      </c>
      <c r="BE37" s="92">
        <f>'Market Drivers'!AT60</f>
        <v>33769.436540000002</v>
      </c>
      <c r="BF37" s="92">
        <f>'Market Drivers'!AU60</f>
        <v>31874.414916000002</v>
      </c>
      <c r="BG37" s="486">
        <f>'Market Drivers'!AV60</f>
        <v>65643.851456000004</v>
      </c>
      <c r="BH37" s="92">
        <f>'Market Drivers'!AW60</f>
        <v>33769.436540000002</v>
      </c>
      <c r="BI37" s="92">
        <f>'Market Drivers'!AX60</f>
        <v>31874.414916000002</v>
      </c>
      <c r="BJ37" s="486">
        <f>'Market Drivers'!AY60</f>
        <v>65643.851456000004</v>
      </c>
      <c r="BK37" s="92">
        <f>'Market Drivers'!AZ60</f>
        <v>33769.436540000002</v>
      </c>
      <c r="BL37" s="92">
        <f>'Market Drivers'!BA60</f>
        <v>32042.136437000001</v>
      </c>
      <c r="BM37" s="486">
        <f>'Market Drivers'!BB60</f>
        <v>65811.572977000003</v>
      </c>
    </row>
    <row r="38" spans="1:65" s="31" customFormat="1">
      <c r="A38" s="329" t="str">
        <f>'Market Drivers'!A61</f>
        <v>% chg</v>
      </c>
      <c r="B38" s="101" t="s">
        <v>76</v>
      </c>
      <c r="N38" s="483"/>
      <c r="Q38" s="487"/>
      <c r="R38" s="32">
        <f>'Market Drivers'!G61</f>
        <v>0.2716042418772564</v>
      </c>
      <c r="S38" s="32">
        <f>'Market Drivers'!H61</f>
        <v>0.1655546897827993</v>
      </c>
      <c r="T38" s="487">
        <f>'Market Drivers'!I61</f>
        <v>0.21469081595316508</v>
      </c>
      <c r="U38" s="32">
        <f>'Market Drivers'!J61</f>
        <v>0.26296411302843459</v>
      </c>
      <c r="V38" s="32">
        <f>'Market Drivers'!K61</f>
        <v>0.30925272108132962</v>
      </c>
      <c r="W38" s="487">
        <f>'Market Drivers'!L61</f>
        <v>0.28680085634675589</v>
      </c>
      <c r="X38" s="32">
        <f>'Market Drivers'!M61</f>
        <v>-4.7978644936953363E-2</v>
      </c>
      <c r="Y38" s="32">
        <f>'Market Drivers'!N61</f>
        <v>-0.1397159725546514</v>
      </c>
      <c r="Z38" s="487">
        <f>'Market Drivers'!O61</f>
        <v>-9.604387519646862E-2</v>
      </c>
      <c r="AA38" s="32">
        <f>'Market Drivers'!P61</f>
        <v>-5.0451946135399384E-2</v>
      </c>
      <c r="AB38" s="32">
        <f>'Market Drivers'!Q61</f>
        <v>1.2148978002003208E-2</v>
      </c>
      <c r="AC38" s="487">
        <f>'Market Drivers'!R61</f>
        <v>-1.923717213569609E-2</v>
      </c>
      <c r="AD38" s="32">
        <f>'Market Drivers'!S61</f>
        <v>3.7649344341913471E-2</v>
      </c>
      <c r="AE38" s="32">
        <f>'Market Drivers'!T61</f>
        <v>-0.30616283970752622</v>
      </c>
      <c r="AF38" s="487">
        <f>'Market Drivers'!U61</f>
        <v>-0.13927237750367771</v>
      </c>
      <c r="AG38" s="32">
        <f>'Market Drivers'!V61</f>
        <v>-0.32177559770093422</v>
      </c>
      <c r="AH38" s="32">
        <f>'Market Drivers'!W61</f>
        <v>-7.5273361153663787E-3</v>
      </c>
      <c r="AI38" s="487">
        <f>'Market Drivers'!X61</f>
        <v>-0.19142152834839765</v>
      </c>
      <c r="AJ38" s="32">
        <f>'Market Drivers'!Y61</f>
        <v>-0.10514547562524157</v>
      </c>
      <c r="AK38" s="32">
        <f>'Market Drivers'!Z61</f>
        <v>-0.11190355802751684</v>
      </c>
      <c r="AL38" s="487">
        <f>'Market Drivers'!AA61</f>
        <v>-0.10858637182770348</v>
      </c>
      <c r="AM38" s="32">
        <f>'Market Drivers'!AB61</f>
        <v>0.43378474257334121</v>
      </c>
      <c r="AN38" s="32">
        <f>'Market Drivers'!AC61</f>
        <v>4.9802229413879795E-2</v>
      </c>
      <c r="AO38" s="487">
        <f>'Market Drivers'!AD61</f>
        <v>0.23900652084695007</v>
      </c>
      <c r="AP38" s="32">
        <f>'Market Drivers'!AE61</f>
        <v>-0.28785042707459285</v>
      </c>
      <c r="AQ38" s="32">
        <f>'Market Drivers'!AF61</f>
        <v>-0.11411771422047157</v>
      </c>
      <c r="AR38" s="487">
        <f>'Market Drivers'!AG61</f>
        <v>-0.213180719639812</v>
      </c>
      <c r="AS38" s="32">
        <f>'Market Drivers'!AH61</f>
        <v>-3.9365558912386689E-2</v>
      </c>
      <c r="AT38" s="32">
        <f>'Market Drivers'!AI61</f>
        <v>-3.3992782575074099E-2</v>
      </c>
      <c r="AU38" s="487">
        <f>'Market Drivers'!AJ61</f>
        <v>-3.6765623051016605E-2</v>
      </c>
      <c r="AV38" s="32">
        <f>'Market Drivers'!AK61</f>
        <v>-4.0601314589426729E-2</v>
      </c>
      <c r="AW38" s="32">
        <f>'Market Drivers'!AL61</f>
        <v>-4.2029618758546938E-2</v>
      </c>
      <c r="AX38" s="509">
        <f>'Market Drivers'!AM61</f>
        <v>-4.1294473760885686E-2</v>
      </c>
      <c r="AY38" s="32">
        <f>'Market Drivers'!AN61</f>
        <v>2.1461351865206257E-3</v>
      </c>
      <c r="AZ38" s="32">
        <f>'Market Drivers'!AO61</f>
        <v>3.5350140368115124E-2</v>
      </c>
      <c r="BA38" s="487">
        <f>'Market Drivers'!AP61</f>
        <v>1.8247755960930645E-2</v>
      </c>
      <c r="BB38" s="32">
        <f>'Market Drivers'!AQ61</f>
        <v>4.7894602385819329E-2</v>
      </c>
      <c r="BC38" s="32">
        <f>'Market Drivers'!AR61</f>
        <v>6.4585654396129177E-2</v>
      </c>
      <c r="BD38" s="487">
        <f>'Market Drivers'!AS61</f>
        <v>5.6124541389580784E-2</v>
      </c>
      <c r="BE38" s="32">
        <f>'Market Drivers'!AT61</f>
        <v>5.4119601225613545E-2</v>
      </c>
      <c r="BF38" s="32">
        <f>'Market Drivers'!AU61</f>
        <v>6.8764176168059077E-3</v>
      </c>
      <c r="BG38" s="487">
        <f>'Market Drivers'!AV61</f>
        <v>3.063854993725168E-2</v>
      </c>
      <c r="BH38" s="32">
        <f>'Market Drivers'!AW61</f>
        <v>0</v>
      </c>
      <c r="BI38" s="32">
        <f>'Market Drivers'!AX61</f>
        <v>0</v>
      </c>
      <c r="BJ38" s="487">
        <f>'Market Drivers'!AY61</f>
        <v>0</v>
      </c>
      <c r="BK38" s="32">
        <f>'Market Drivers'!AZ61</f>
        <v>0</v>
      </c>
      <c r="BL38" s="32">
        <f>'Market Drivers'!BA61</f>
        <v>5.2619482253086769E-3</v>
      </c>
      <c r="BM38" s="487">
        <f>'Market Drivers'!BB61</f>
        <v>2.5550225539769933E-3</v>
      </c>
    </row>
    <row r="40" spans="1:65">
      <c r="A40" s="6" t="s">
        <v>498</v>
      </c>
      <c r="B40" s="52" t="s">
        <v>172</v>
      </c>
      <c r="O40" s="105">
        <f>'Market Drivers'!D66</f>
        <v>18807.834000000003</v>
      </c>
      <c r="P40" s="105">
        <f>'Market Drivers'!E66</f>
        <v>17300.101999999999</v>
      </c>
      <c r="Q40" s="488">
        <f>'Market Drivers'!F66</f>
        <v>36107.936000000002</v>
      </c>
      <c r="R40" s="105">
        <f>'Market Drivers'!G66</f>
        <v>19162.080999999998</v>
      </c>
      <c r="S40" s="105">
        <f>'Market Drivers'!H66</f>
        <v>17704.842000000004</v>
      </c>
      <c r="T40" s="488">
        <f>'Market Drivers'!I66</f>
        <v>36866.923000000003</v>
      </c>
      <c r="U40" s="105">
        <f>'Market Drivers'!J66</f>
        <v>19410.245000000003</v>
      </c>
      <c r="V40" s="105">
        <f>'Market Drivers'!K66</f>
        <v>18188.345999999998</v>
      </c>
      <c r="W40" s="488">
        <f>'Market Drivers'!L66</f>
        <v>37598.591</v>
      </c>
      <c r="X40" s="105">
        <f>'Market Drivers'!M66</f>
        <v>18887.057999999997</v>
      </c>
      <c r="Y40" s="105">
        <f>'Market Drivers'!N66</f>
        <v>19189.853000000003</v>
      </c>
      <c r="Z40" s="488">
        <f>'Market Drivers'!O66</f>
        <v>38076.911</v>
      </c>
      <c r="AA40" s="105">
        <f>'Market Drivers'!P66</f>
        <v>22304.145</v>
      </c>
      <c r="AB40" s="105">
        <f>'Market Drivers'!Q66</f>
        <v>21291.567999999999</v>
      </c>
      <c r="AC40" s="488">
        <f>'Market Drivers'!R66</f>
        <v>43595.713000000003</v>
      </c>
      <c r="AD40" s="105">
        <f>'Market Drivers'!S66</f>
        <v>23301.662</v>
      </c>
      <c r="AE40" s="105">
        <f>'Market Drivers'!T66</f>
        <v>22563.241000000002</v>
      </c>
      <c r="AF40" s="488">
        <f>'Market Drivers'!U66</f>
        <v>45864.903000000006</v>
      </c>
      <c r="AG40" s="105">
        <f>'Market Drivers'!V66</f>
        <v>23953.869680694763</v>
      </c>
      <c r="AH40" s="105">
        <f>'Market Drivers'!W66</f>
        <v>21483.635073103644</v>
      </c>
      <c r="AI40" s="488">
        <f>'Market Drivers'!X66</f>
        <v>45437.504753798406</v>
      </c>
      <c r="AJ40" s="105">
        <f>'Market Drivers'!Y66</f>
        <v>22878.634293372721</v>
      </c>
      <c r="AK40" s="105">
        <f>'Market Drivers'!Z66</f>
        <v>21540.047114979498</v>
      </c>
      <c r="AL40" s="488">
        <f>'Market Drivers'!AA66</f>
        <v>44418.681408352219</v>
      </c>
      <c r="AM40" s="105">
        <f>'Market Drivers'!AB66</f>
        <v>22081.048694482</v>
      </c>
      <c r="AN40" s="105">
        <f>'Market Drivers'!AC66</f>
        <v>22226.844608865831</v>
      </c>
      <c r="AO40" s="488">
        <f>'Market Drivers'!AD66</f>
        <v>44307.893303347832</v>
      </c>
      <c r="AP40" s="105">
        <f>'Market Drivers'!AE66</f>
        <v>22554.066589500377</v>
      </c>
      <c r="AQ40" s="105">
        <f>'Market Drivers'!AF66</f>
        <v>22702.985728576943</v>
      </c>
      <c r="AR40" s="488">
        <f>'Market Drivers'!AG66</f>
        <v>45257.052318077316</v>
      </c>
      <c r="AS40" s="105">
        <f>'Market Drivers'!AH66</f>
        <v>23067.219336217284</v>
      </c>
      <c r="AT40" s="105">
        <f>'Market Drivers'!AI66</f>
        <v>23219.526700869603</v>
      </c>
      <c r="AU40" s="488">
        <f>'Market Drivers'!AJ66</f>
        <v>46286.746037086887</v>
      </c>
      <c r="AV40" s="105">
        <f>'Market Drivers'!AK66</f>
        <v>23564.891497279044</v>
      </c>
      <c r="AW40" s="105">
        <f>'Market Drivers'!AL66</f>
        <v>23720.484872880814</v>
      </c>
      <c r="AX40" s="510">
        <f>'Market Drivers'!AM66</f>
        <v>47285.376370159858</v>
      </c>
      <c r="AY40" s="105">
        <f>'Market Drivers'!AN66</f>
        <v>23853.862429508452</v>
      </c>
      <c r="AZ40" s="105">
        <f>'Market Drivers'!AO66</f>
        <v>24011.363811467963</v>
      </c>
      <c r="BA40" s="488">
        <f>'Market Drivers'!AP66</f>
        <v>47865.226240976415</v>
      </c>
      <c r="BB40" s="105">
        <f>'Market Drivers'!AQ66</f>
        <v>24092.401053803536</v>
      </c>
      <c r="BC40" s="105">
        <f>'Market Drivers'!AR66</f>
        <v>24251.477449582642</v>
      </c>
      <c r="BD40" s="488">
        <f>'Market Drivers'!AS66</f>
        <v>48343.878503386179</v>
      </c>
      <c r="BE40" s="105">
        <f>'Market Drivers'!AT66</f>
        <v>24333.32506434157</v>
      </c>
      <c r="BF40" s="105">
        <f>'Market Drivers'!AU66</f>
        <v>24493.992224078473</v>
      </c>
      <c r="BG40" s="488">
        <f>'Market Drivers'!AV66</f>
        <v>48827.317288420047</v>
      </c>
      <c r="BH40" s="105">
        <f>'Market Drivers'!AW66</f>
        <v>24576.658314984987</v>
      </c>
      <c r="BI40" s="105">
        <f>'Market Drivers'!AX66</f>
        <v>24738.932146319257</v>
      </c>
      <c r="BJ40" s="488">
        <f>'Market Drivers'!AY66</f>
        <v>49315.590461304244</v>
      </c>
      <c r="BK40" s="105">
        <f>'Market Drivers'!AZ66</f>
        <v>24822.424898134836</v>
      </c>
      <c r="BL40" s="105">
        <f>'Market Drivers'!BA66</f>
        <v>24986.321467782451</v>
      </c>
      <c r="BM40" s="488">
        <f>'Market Drivers'!BB66</f>
        <v>49808.746365917286</v>
      </c>
    </row>
    <row r="41" spans="1:65" s="31" customFormat="1">
      <c r="A41" s="329" t="str">
        <f>'Market Drivers'!A67</f>
        <v>% chg</v>
      </c>
      <c r="B41" s="101" t="s">
        <v>76</v>
      </c>
      <c r="N41" s="483"/>
      <c r="P41" s="63"/>
      <c r="Q41" s="487"/>
      <c r="R41" s="32">
        <f>'Market Drivers'!G67</f>
        <v>1.8835076915289406E-2</v>
      </c>
      <c r="S41" s="32">
        <f>'Market Drivers'!H67</f>
        <v>2.3395237785303502E-2</v>
      </c>
      <c r="T41" s="487">
        <f>'Market Drivers'!I67</f>
        <v>2.101994974179644E-2</v>
      </c>
      <c r="U41" s="32">
        <f>'Market Drivers'!J67</f>
        <v>1.2950785460097203E-2</v>
      </c>
      <c r="V41" s="32">
        <f>'Market Drivers'!K67</f>
        <v>2.730913949980418E-2</v>
      </c>
      <c r="W41" s="487">
        <f>'Market Drivers'!L67</f>
        <v>1.9846191123680024E-2</v>
      </c>
      <c r="X41" s="32">
        <f>'Market Drivers'!M67</f>
        <v>-2.6954167760376291E-2</v>
      </c>
      <c r="Y41" s="32">
        <f>'Market Drivers'!N67</f>
        <v>5.5063115689574227E-2</v>
      </c>
      <c r="Z41" s="487">
        <f>'Market Drivers'!O67</f>
        <v>1.2721753323149843E-2</v>
      </c>
      <c r="AA41" s="32">
        <f>'Market Drivers'!P67</f>
        <v>0.18092214255920669</v>
      </c>
      <c r="AB41" s="32">
        <f>'Market Drivers'!Q67</f>
        <v>0.10952220426076198</v>
      </c>
      <c r="AC41" s="487">
        <f>'Market Drivers'!R67</f>
        <v>0.14493828031375777</v>
      </c>
      <c r="AD41" s="32">
        <f>'Market Drivers'!S67</f>
        <v>4.4723391100622845E-2</v>
      </c>
      <c r="AE41" s="32">
        <f>'Market Drivers'!T67</f>
        <v>5.972660162934007E-2</v>
      </c>
      <c r="AF41" s="487">
        <f>'Market Drivers'!U67</f>
        <v>5.2050760128639295E-2</v>
      </c>
      <c r="AG41" s="32">
        <f>'Market Drivers'!V67</f>
        <v>2.7989749430523903E-2</v>
      </c>
      <c r="AH41" s="32">
        <f>'Market Drivers'!W67</f>
        <v>-4.7847998738140385E-2</v>
      </c>
      <c r="AI41" s="487">
        <f>'Market Drivers'!X67</f>
        <v>-9.3186340370456922E-3</v>
      </c>
      <c r="AJ41" s="32">
        <f>'Market Drivers'!Y67</f>
        <v>-4.4887753071004233E-2</v>
      </c>
      <c r="AK41" s="32">
        <f>'Market Drivers'!Z67</f>
        <v>2.6258145646160802E-3</v>
      </c>
      <c r="AL41" s="487">
        <f>'Market Drivers'!AA67</f>
        <v>-2.2422519699676458E-2</v>
      </c>
      <c r="AM41" s="32">
        <f>'Market Drivers'!AB67</f>
        <v>-3.4861591328541719E-2</v>
      </c>
      <c r="AN41" s="32">
        <f>'Market Drivers'!AC67</f>
        <v>3.188467927763794E-2</v>
      </c>
      <c r="AO41" s="487">
        <f>'Market Drivers'!AD67</f>
        <v>-2.4941781586419465E-3</v>
      </c>
      <c r="AP41" s="32">
        <f>'Market Drivers'!AE67</f>
        <v>2.1421894474449532E-2</v>
      </c>
      <c r="AQ41" s="32">
        <f>'Market Drivers'!AF67</f>
        <v>2.1421894474449532E-2</v>
      </c>
      <c r="AR41" s="487">
        <f>'Market Drivers'!AG67</f>
        <v>2.1421894474449532E-2</v>
      </c>
      <c r="AS41" s="32">
        <f>'Market Drivers'!AH67</f>
        <v>2.2752116328139005E-2</v>
      </c>
      <c r="AT41" s="32">
        <f>'Market Drivers'!AI67</f>
        <v>2.2752116328138783E-2</v>
      </c>
      <c r="AU41" s="487">
        <f>'Market Drivers'!AJ67</f>
        <v>2.2752116328139005E-2</v>
      </c>
      <c r="AV41" s="32">
        <f>'Market Drivers'!AK67</f>
        <v>2.1574865778484886E-2</v>
      </c>
      <c r="AW41" s="32">
        <f>'Market Drivers'!AL67</f>
        <v>2.1574865778485108E-2</v>
      </c>
      <c r="AX41" s="509">
        <f>'Market Drivers'!AM67</f>
        <v>2.1574865778484886E-2</v>
      </c>
      <c r="AY41" s="32">
        <f>'Market Drivers'!AN67</f>
        <v>1.226277372262774E-2</v>
      </c>
      <c r="AZ41" s="32">
        <f>'Market Drivers'!AO67</f>
        <v>1.226277372262774E-2</v>
      </c>
      <c r="BA41" s="487">
        <f>'Market Drivers'!AP67</f>
        <v>1.226277372262774E-2</v>
      </c>
      <c r="BB41" s="32">
        <f>'Market Drivers'!AQ67</f>
        <v>1.0000000000000009E-2</v>
      </c>
      <c r="BC41" s="32">
        <f>'Market Drivers'!AR67</f>
        <v>1.0000000000000009E-2</v>
      </c>
      <c r="BD41" s="487">
        <f>'Market Drivers'!AS67</f>
        <v>1.0000000000000009E-2</v>
      </c>
      <c r="BE41" s="32">
        <f>'Market Drivers'!AT67</f>
        <v>1.0000000000000009E-2</v>
      </c>
      <c r="BF41" s="32">
        <f>'Market Drivers'!AU67</f>
        <v>1.0000000000000231E-2</v>
      </c>
      <c r="BG41" s="487">
        <f>'Market Drivers'!AV67</f>
        <v>1.0000000000000231E-2</v>
      </c>
      <c r="BH41" s="32">
        <f>'Market Drivers'!AW67</f>
        <v>1.0000000000000009E-2</v>
      </c>
      <c r="BI41" s="32">
        <f>'Market Drivers'!AX67</f>
        <v>1.0000000000000009E-2</v>
      </c>
      <c r="BJ41" s="487">
        <f>'Market Drivers'!AY67</f>
        <v>1.0000000000000009E-2</v>
      </c>
      <c r="BK41" s="32">
        <f>'Market Drivers'!AZ67</f>
        <v>1.0000000000000009E-2</v>
      </c>
      <c r="BL41" s="32">
        <f>'Market Drivers'!BA67</f>
        <v>1.0000000000000009E-2</v>
      </c>
      <c r="BM41" s="487">
        <f>'Market Drivers'!BB67</f>
        <v>1.0000000000000009E-2</v>
      </c>
    </row>
    <row r="42" spans="1:65">
      <c r="Q42" s="489"/>
      <c r="R42" s="87"/>
      <c r="S42" s="87"/>
      <c r="T42" s="489"/>
      <c r="U42" s="87"/>
      <c r="V42" s="87"/>
      <c r="W42" s="489"/>
      <c r="X42" s="87"/>
      <c r="Y42" s="87"/>
      <c r="Z42" s="489"/>
      <c r="AA42" s="87"/>
      <c r="AB42" s="87"/>
      <c r="AC42" s="489"/>
      <c r="AD42" s="87"/>
      <c r="AE42" s="87"/>
      <c r="AF42" s="489"/>
      <c r="AG42" s="87"/>
      <c r="AH42" s="87"/>
      <c r="AI42" s="489"/>
      <c r="AJ42" s="87"/>
      <c r="AK42" s="87"/>
      <c r="AL42" s="489"/>
      <c r="AM42" s="87"/>
      <c r="AN42" s="87"/>
      <c r="AO42" s="489"/>
      <c r="AP42" s="87"/>
      <c r="AQ42" s="87"/>
      <c r="AR42" s="489"/>
      <c r="AS42" s="87"/>
      <c r="AT42" s="87"/>
      <c r="AU42" s="489"/>
      <c r="AV42" s="87"/>
      <c r="AW42" s="87"/>
      <c r="AX42" s="506"/>
      <c r="AY42" s="87"/>
      <c r="AZ42" s="87"/>
      <c r="BA42" s="489"/>
      <c r="BB42" s="87"/>
      <c r="BC42" s="87"/>
      <c r="BD42" s="489"/>
      <c r="BE42" s="87"/>
      <c r="BF42" s="87"/>
      <c r="BG42" s="489"/>
      <c r="BH42" s="87"/>
      <c r="BI42" s="87"/>
      <c r="BJ42" s="489"/>
      <c r="BK42" s="87"/>
      <c r="BL42" s="87"/>
      <c r="BM42" s="489"/>
    </row>
    <row r="43" spans="1:65">
      <c r="A43" s="6" t="s">
        <v>504</v>
      </c>
      <c r="B43" s="52" t="s">
        <v>172</v>
      </c>
      <c r="P43" s="105">
        <f>+'Market Drivers'!E63</f>
        <v>14158.809000000001</v>
      </c>
      <c r="Q43" s="488">
        <f>+'Market Drivers'!F63</f>
        <v>28271.083000000002</v>
      </c>
      <c r="R43" s="105">
        <f>+'Market Drivers'!G63</f>
        <v>14737.231</v>
      </c>
      <c r="S43" s="105">
        <f>+'Market Drivers'!H63</f>
        <v>15494.089</v>
      </c>
      <c r="T43" s="488">
        <f>+'Market Drivers'!I63</f>
        <v>30231.32</v>
      </c>
      <c r="U43" s="105">
        <f>+'Market Drivers'!J63</f>
        <v>16484.510999999999</v>
      </c>
      <c r="V43" s="105">
        <f>+'Market Drivers'!K63</f>
        <v>17053.43</v>
      </c>
      <c r="W43" s="488">
        <f>+'Market Drivers'!L63</f>
        <v>33537.940999999999</v>
      </c>
      <c r="X43" s="105">
        <f>+'Market Drivers'!M63</f>
        <v>17094.266</v>
      </c>
      <c r="Y43" s="105">
        <f>+'Market Drivers'!N63</f>
        <v>17234.782999999999</v>
      </c>
      <c r="Z43" s="488">
        <f>+'Market Drivers'!O63</f>
        <v>34329.048999999999</v>
      </c>
      <c r="AA43" s="105">
        <f>+'Market Drivers'!P63</f>
        <v>17297.481</v>
      </c>
      <c r="AB43" s="105">
        <f>+'Market Drivers'!Q63</f>
        <v>17916.099000000002</v>
      </c>
      <c r="AC43" s="488">
        <f>+'Market Drivers'!R63</f>
        <v>35213.58</v>
      </c>
      <c r="AD43" s="105">
        <f>+'Market Drivers'!S63</f>
        <v>18486.661</v>
      </c>
      <c r="AE43" s="105">
        <f>+'Market Drivers'!T63</f>
        <v>18144.998</v>
      </c>
      <c r="AF43" s="488">
        <f>+'Market Drivers'!U63</f>
        <v>36631.659</v>
      </c>
      <c r="AG43" s="105">
        <f>+'Market Drivers'!V63</f>
        <v>18237.760999999999</v>
      </c>
      <c r="AH43" s="105">
        <f>+'Market Drivers'!W63</f>
        <v>18369.631000000001</v>
      </c>
      <c r="AI43" s="488">
        <f>+'Market Drivers'!X63</f>
        <v>36607.392</v>
      </c>
      <c r="AJ43" s="105">
        <f>+'Market Drivers'!Y63</f>
        <v>18755.928</v>
      </c>
      <c r="AK43" s="105">
        <f>+'Market Drivers'!Z63</f>
        <v>19288.112550000002</v>
      </c>
      <c r="AL43" s="488">
        <f>+'Market Drivers'!AA63</f>
        <v>38044.040550000005</v>
      </c>
      <c r="AM43" s="105">
        <f>+'Market Drivers'!AB63</f>
        <v>19506.165120000001</v>
      </c>
      <c r="AN43" s="105">
        <f>+'Market Drivers'!AC63</f>
        <v>19866.755926500002</v>
      </c>
      <c r="AO43" s="488">
        <f>+'Market Drivers'!AD63</f>
        <v>39372.921046500007</v>
      </c>
      <c r="AP43" s="105">
        <f>+'Market Drivers'!AE63</f>
        <v>19896.288422400001</v>
      </c>
      <c r="AQ43" s="105">
        <f>+'Market Drivers'!AF63</f>
        <v>19469.42080797</v>
      </c>
      <c r="AR43" s="488">
        <f>+'Market Drivers'!AG63</f>
        <v>39365.709230370005</v>
      </c>
      <c r="AS43" s="105">
        <f>+'Market Drivers'!AH63</f>
        <v>19100.436885504001</v>
      </c>
      <c r="AT43" s="105">
        <f>+'Market Drivers'!AI63</f>
        <v>18885.338183730899</v>
      </c>
      <c r="AU43" s="488">
        <f>+'Market Drivers'!AJ63</f>
        <v>37985.7750692349</v>
      </c>
      <c r="AV43" s="105">
        <f>+'Market Drivers'!AK63</f>
        <v>18718.428147793922</v>
      </c>
      <c r="AW43" s="105">
        <f>+'Market Drivers'!AL63</f>
        <v>19263.044947405517</v>
      </c>
      <c r="AX43" s="510">
        <f>+'Market Drivers'!AM63</f>
        <v>37981.473095199442</v>
      </c>
      <c r="AY43" s="105">
        <f>+'Market Drivers'!AN63</f>
        <v>19092.796710749801</v>
      </c>
      <c r="AZ43" s="105">
        <f>+'Market Drivers'!AO63</f>
        <v>19648.305846353629</v>
      </c>
      <c r="BA43" s="488">
        <f>+'Market Drivers'!AP63</f>
        <v>38741.102557103426</v>
      </c>
      <c r="BB43" s="105">
        <f>+'Market Drivers'!AQ63</f>
        <v>19474.652644964797</v>
      </c>
      <c r="BC43" s="105">
        <f>+'Market Drivers'!AR63</f>
        <v>20041.271963280702</v>
      </c>
      <c r="BD43" s="488">
        <f>+'Market Drivers'!AS63</f>
        <v>39515.924608245499</v>
      </c>
      <c r="BE43" s="105">
        <f>+'Market Drivers'!AT63</f>
        <v>19864.145697864093</v>
      </c>
      <c r="BF43" s="105">
        <f>+'Market Drivers'!AU63</f>
        <v>20442.097402546315</v>
      </c>
      <c r="BG43" s="488">
        <f>+'Market Drivers'!AV63</f>
        <v>40306.243100410407</v>
      </c>
      <c r="BH43" s="105">
        <f>+'Market Drivers'!AW63</f>
        <v>20261.428611821375</v>
      </c>
      <c r="BI43" s="105">
        <f>+'Market Drivers'!AX63</f>
        <v>20850.93935059724</v>
      </c>
      <c r="BJ43" s="488">
        <f>+'Market Drivers'!AY63</f>
        <v>41112.367962418619</v>
      </c>
      <c r="BK43" s="105">
        <f>+'Market Drivers'!AZ63</f>
        <v>20666.657184057804</v>
      </c>
      <c r="BL43" s="105">
        <f>+'Market Drivers'!BA63</f>
        <v>21267.958137609185</v>
      </c>
      <c r="BM43" s="488">
        <f>+'Market Drivers'!BB63</f>
        <v>41934.615321666992</v>
      </c>
    </row>
    <row r="44" spans="1:65">
      <c r="A44" s="329" t="s">
        <v>179</v>
      </c>
      <c r="B44" s="52" t="s">
        <v>76</v>
      </c>
      <c r="Q44" s="487">
        <f>+'Market Drivers'!F64</f>
        <v>0</v>
      </c>
      <c r="R44" s="32">
        <f>+'Market Drivers'!G64</f>
        <v>4.4284641865655283E-2</v>
      </c>
      <c r="S44" s="32">
        <f>+'Market Drivers'!H64</f>
        <v>9.4307367236891038E-2</v>
      </c>
      <c r="T44" s="487">
        <f>+'Market Drivers'!I64</f>
        <v>6.9337173959695741E-2</v>
      </c>
      <c r="U44" s="32">
        <f>+'Market Drivers'!J64</f>
        <v>0.11856229979702415</v>
      </c>
      <c r="V44" s="32">
        <f>+'Market Drivers'!K64</f>
        <v>0.10064102510318618</v>
      </c>
      <c r="W44" s="487">
        <f>+'Market Drivers'!L64</f>
        <v>0.10937732788379728</v>
      </c>
      <c r="X44" s="32">
        <f>+'Market Drivers'!M64</f>
        <v>3.6989571604520322E-2</v>
      </c>
      <c r="Y44" s="32">
        <f>+'Market Drivers'!N64</f>
        <v>1.0634400235026042E-2</v>
      </c>
      <c r="Z44" s="487">
        <f>+'Market Drivers'!O64</f>
        <v>2.3588448676679308E-2</v>
      </c>
      <c r="AA44" s="32">
        <f>+'Market Drivers'!P64</f>
        <v>1.1887904400224025E-2</v>
      </c>
      <c r="AB44" s="32">
        <f>+'Market Drivers'!Q64</f>
        <v>3.9531452180163962E-2</v>
      </c>
      <c r="AC44" s="487">
        <f>+'Market Drivers'!R64</f>
        <v>2.5766254113243958E-2</v>
      </c>
      <c r="AD44" s="32">
        <f>+'Market Drivers'!S64</f>
        <v>6.8748738616911886E-2</v>
      </c>
      <c r="AE44" s="32">
        <f>+'Market Drivers'!T64</f>
        <v>1.2776162935915769E-2</v>
      </c>
      <c r="AF44" s="487">
        <f>+'Market Drivers'!U64</f>
        <v>4.02707989360922E-2</v>
      </c>
      <c r="AG44" s="32">
        <f>+'Market Drivers'!V64</f>
        <v>-1.3463761790190265E-2</v>
      </c>
      <c r="AH44" s="32">
        <f>+'Market Drivers'!W64</f>
        <v>1.2379885630188658E-2</v>
      </c>
      <c r="AI44" s="487">
        <f>+'Market Drivers'!X64</f>
        <v>-6.6245975919354549E-4</v>
      </c>
      <c r="AJ44" s="32">
        <f>+'Market Drivers'!Y64</f>
        <v>2.8411766115369108E-2</v>
      </c>
      <c r="AK44" s="32">
        <f>+'Market Drivers'!Z64</f>
        <v>5.0000000000000044E-2</v>
      </c>
      <c r="AL44" s="487">
        <f>+'Market Drivers'!AA64</f>
        <v>3.9244766466838277E-2</v>
      </c>
      <c r="AM44" s="32">
        <f>+'Market Drivers'!AB64</f>
        <v>4.0000000000000036E-2</v>
      </c>
      <c r="AN44" s="32">
        <f>+'Market Drivers'!AC64</f>
        <v>3.0000000000000027E-2</v>
      </c>
      <c r="AO44" s="487">
        <f>+'Market Drivers'!AD64</f>
        <v>3.4930056778629925E-2</v>
      </c>
      <c r="AP44" s="32">
        <f>+'Market Drivers'!AE64</f>
        <v>2.0000000000000018E-2</v>
      </c>
      <c r="AQ44" s="32">
        <f>+'Market Drivers'!AF64</f>
        <v>-2.0000000000000129E-2</v>
      </c>
      <c r="AR44" s="487">
        <f>+'Market Drivers'!AG64</f>
        <v>-1.8316690604402996E-4</v>
      </c>
      <c r="AS44" s="32">
        <f>+'Market Drivers'!AH64</f>
        <v>-4.0000000000000036E-2</v>
      </c>
      <c r="AT44" s="32">
        <f>+'Market Drivers'!AI64</f>
        <v>-3.0000000000000027E-2</v>
      </c>
      <c r="AU44" s="487">
        <f>+'Market Drivers'!AJ64</f>
        <v>-3.5054218204469856E-2</v>
      </c>
      <c r="AV44" s="32">
        <f>+'Market Drivers'!AK64</f>
        <v>-1.9999999999999907E-2</v>
      </c>
      <c r="AW44" s="32">
        <f>+'Market Drivers'!AL64</f>
        <v>2.0000000000000018E-2</v>
      </c>
      <c r="AX44" s="509">
        <f>+'Market Drivers'!AM64</f>
        <v>-1.1325223791314176E-4</v>
      </c>
      <c r="AY44" s="32">
        <f>+'Market Drivers'!AN64</f>
        <v>2.0000000000000018E-2</v>
      </c>
      <c r="AZ44" s="32">
        <f>+'Market Drivers'!AO64</f>
        <v>2.0000000000000018E-2</v>
      </c>
      <c r="BA44" s="487">
        <f>+'Market Drivers'!AP64</f>
        <v>1.9999999999999796E-2</v>
      </c>
      <c r="BB44" s="32">
        <f>+'Market Drivers'!AQ64</f>
        <v>2.0000000000000018E-2</v>
      </c>
      <c r="BC44" s="32">
        <f>+'Market Drivers'!AR64</f>
        <v>2.0000000000000018E-2</v>
      </c>
      <c r="BD44" s="487">
        <f>+'Market Drivers'!AS64</f>
        <v>2.0000000000000018E-2</v>
      </c>
      <c r="BE44" s="32">
        <f>+'Market Drivers'!AT64</f>
        <v>2.0000000000000018E-2</v>
      </c>
      <c r="BF44" s="32">
        <f>+'Market Drivers'!AU64</f>
        <v>2.0000000000000018E-2</v>
      </c>
      <c r="BG44" s="487">
        <f>+'Market Drivers'!AV64</f>
        <v>2.0000000000000018E-2</v>
      </c>
      <c r="BH44" s="32">
        <f>+'Market Drivers'!AW64</f>
        <v>2.0000000000000018E-2</v>
      </c>
      <c r="BI44" s="32">
        <f>+'Market Drivers'!AX64</f>
        <v>2.0000000000000018E-2</v>
      </c>
      <c r="BJ44" s="487">
        <f>+'Market Drivers'!AY64</f>
        <v>2.0000000000000018E-2</v>
      </c>
      <c r="BK44" s="32">
        <f>+'Market Drivers'!AZ64</f>
        <v>2.0000000000000018E-2</v>
      </c>
      <c r="BL44" s="32">
        <f>+'Market Drivers'!BA64</f>
        <v>2.0000000000000018E-2</v>
      </c>
      <c r="BM44" s="487">
        <f>+'Market Drivers'!BB64</f>
        <v>2.0000000000000018E-2</v>
      </c>
    </row>
    <row r="45" spans="1:65">
      <c r="A45" s="329"/>
      <c r="Q45" s="478"/>
      <c r="R45" s="30"/>
      <c r="S45" s="30"/>
      <c r="T45" s="478"/>
      <c r="U45" s="30"/>
      <c r="V45" s="30"/>
      <c r="W45" s="478"/>
      <c r="X45" s="30"/>
      <c r="Y45" s="30"/>
      <c r="Z45" s="478"/>
      <c r="AA45" s="30"/>
      <c r="AB45" s="30"/>
      <c r="AC45" s="478"/>
      <c r="AD45" s="30"/>
      <c r="AE45" s="30"/>
      <c r="AF45" s="478"/>
      <c r="AG45" s="30"/>
      <c r="AH45" s="30"/>
      <c r="AI45" s="478"/>
      <c r="AJ45" s="30"/>
      <c r="AK45" s="30"/>
      <c r="AL45" s="478"/>
      <c r="AM45" s="30"/>
      <c r="AN45" s="30"/>
      <c r="AO45" s="478"/>
      <c r="AP45" s="30"/>
      <c r="AQ45" s="30"/>
      <c r="AR45" s="478"/>
      <c r="AS45" s="30"/>
      <c r="AT45" s="30"/>
      <c r="AU45" s="478"/>
      <c r="AV45" s="30"/>
      <c r="AW45" s="30"/>
      <c r="AX45" s="501"/>
      <c r="AY45" s="30"/>
      <c r="AZ45" s="30"/>
      <c r="BA45" s="478"/>
      <c r="BB45" s="30"/>
      <c r="BC45" s="30"/>
      <c r="BD45" s="478"/>
      <c r="BE45" s="30"/>
      <c r="BF45" s="30"/>
      <c r="BG45" s="478"/>
      <c r="BH45" s="30"/>
      <c r="BI45" s="30"/>
      <c r="BJ45" s="478"/>
      <c r="BK45" s="30"/>
      <c r="BL45" s="30"/>
      <c r="BM45" s="478"/>
    </row>
    <row r="46" spans="1:65">
      <c r="A46" s="13" t="s">
        <v>402</v>
      </c>
    </row>
    <row r="47" spans="1:65">
      <c r="A47" s="89" t="s">
        <v>409</v>
      </c>
      <c r="B47" s="52" t="s">
        <v>76</v>
      </c>
      <c r="Q47" s="490">
        <v>0.1</v>
      </c>
      <c r="R47" s="81">
        <v>0.1</v>
      </c>
      <c r="S47" s="81">
        <v>0.1</v>
      </c>
      <c r="T47" s="490">
        <v>0.1</v>
      </c>
      <c r="U47" s="81">
        <v>0.1</v>
      </c>
      <c r="V47" s="81">
        <v>0.1</v>
      </c>
      <c r="W47" s="490">
        <v>0.1</v>
      </c>
      <c r="X47" s="81">
        <v>0.1</v>
      </c>
      <c r="Y47" s="81">
        <v>0.1</v>
      </c>
      <c r="Z47" s="490">
        <v>0.1</v>
      </c>
      <c r="AA47" s="81">
        <v>0.1</v>
      </c>
      <c r="AB47" s="81">
        <v>0.1</v>
      </c>
      <c r="AC47" s="490">
        <v>0.1</v>
      </c>
      <c r="AD47" s="81">
        <v>0.1</v>
      </c>
      <c r="AE47" s="81">
        <v>0.1</v>
      </c>
      <c r="AF47" s="490">
        <v>0.1</v>
      </c>
      <c r="AG47" s="81">
        <v>0.1</v>
      </c>
      <c r="AH47" s="81">
        <v>0.1</v>
      </c>
      <c r="AI47" s="490">
        <v>0.1</v>
      </c>
      <c r="AJ47" s="81">
        <v>0.1</v>
      </c>
      <c r="AK47" s="81">
        <v>0.1</v>
      </c>
      <c r="AL47" s="490">
        <v>0.1</v>
      </c>
      <c r="AM47" s="81">
        <v>0.1</v>
      </c>
      <c r="AN47" s="81">
        <v>0.1</v>
      </c>
      <c r="AO47" s="490">
        <v>0.1</v>
      </c>
      <c r="AP47" s="81">
        <v>0.1</v>
      </c>
      <c r="AQ47" s="81">
        <v>0.1</v>
      </c>
      <c r="AR47" s="490">
        <v>0.1</v>
      </c>
      <c r="AS47" s="81">
        <v>0.1</v>
      </c>
      <c r="AT47" s="81">
        <v>0.1</v>
      </c>
      <c r="AU47" s="490">
        <v>0.1</v>
      </c>
      <c r="AV47" s="81">
        <v>0.1</v>
      </c>
      <c r="AW47" s="81">
        <v>0.1</v>
      </c>
      <c r="AX47" s="511">
        <v>0.1</v>
      </c>
      <c r="AY47" s="81">
        <v>0.1</v>
      </c>
      <c r="AZ47" s="81">
        <v>0.1</v>
      </c>
      <c r="BA47" s="490">
        <v>0.1</v>
      </c>
      <c r="BB47" s="81">
        <v>0.1</v>
      </c>
      <c r="BC47" s="81">
        <v>0.1</v>
      </c>
      <c r="BD47" s="490">
        <v>0.1</v>
      </c>
      <c r="BE47" s="81">
        <v>0.1</v>
      </c>
      <c r="BF47" s="81">
        <v>0.1</v>
      </c>
      <c r="BG47" s="490">
        <v>0.1</v>
      </c>
      <c r="BH47" s="81">
        <v>0.1</v>
      </c>
      <c r="BI47" s="81">
        <v>0.1</v>
      </c>
      <c r="BJ47" s="490">
        <v>0.1</v>
      </c>
      <c r="BK47" s="81">
        <v>0.1</v>
      </c>
      <c r="BL47" s="81">
        <v>0.1</v>
      </c>
      <c r="BM47" s="490">
        <v>0.1</v>
      </c>
    </row>
    <row r="48" spans="1:65">
      <c r="A48" s="89" t="s">
        <v>410</v>
      </c>
      <c r="B48" s="52" t="s">
        <v>76</v>
      </c>
      <c r="Q48" s="490">
        <v>0.1</v>
      </c>
      <c r="R48" s="81">
        <v>0.1</v>
      </c>
      <c r="S48" s="81">
        <v>0.1</v>
      </c>
      <c r="T48" s="490">
        <v>0.1</v>
      </c>
      <c r="U48" s="81">
        <v>0.1</v>
      </c>
      <c r="V48" s="81">
        <v>0.1</v>
      </c>
      <c r="W48" s="490">
        <v>0.1</v>
      </c>
      <c r="X48" s="81">
        <v>0.1</v>
      </c>
      <c r="Y48" s="81">
        <v>0.1</v>
      </c>
      <c r="Z48" s="490">
        <v>0.1</v>
      </c>
      <c r="AA48" s="81">
        <v>0.1</v>
      </c>
      <c r="AB48" s="81">
        <v>0.1</v>
      </c>
      <c r="AC48" s="490">
        <v>0.1</v>
      </c>
      <c r="AD48" s="81">
        <v>0.1</v>
      </c>
      <c r="AE48" s="81">
        <v>0.1</v>
      </c>
      <c r="AF48" s="490">
        <v>0.1</v>
      </c>
      <c r="AG48" s="81">
        <v>0.1</v>
      </c>
      <c r="AH48" s="81">
        <v>0.1</v>
      </c>
      <c r="AI48" s="490">
        <v>0.1</v>
      </c>
      <c r="AJ48" s="81">
        <v>0.1</v>
      </c>
      <c r="AK48" s="81">
        <v>0.1</v>
      </c>
      <c r="AL48" s="490">
        <v>0.1</v>
      </c>
      <c r="AM48" s="81">
        <v>0.1</v>
      </c>
      <c r="AN48" s="81">
        <v>0.1</v>
      </c>
      <c r="AO48" s="490">
        <v>0.1</v>
      </c>
      <c r="AP48" s="81">
        <v>0.1</v>
      </c>
      <c r="AQ48" s="81">
        <v>0.1</v>
      </c>
      <c r="AR48" s="490">
        <v>0.1</v>
      </c>
      <c r="AS48" s="81">
        <v>0.1</v>
      </c>
      <c r="AT48" s="81">
        <v>0.1</v>
      </c>
      <c r="AU48" s="490">
        <v>0.1</v>
      </c>
      <c r="AV48" s="81">
        <v>0.1</v>
      </c>
      <c r="AW48" s="81">
        <v>0.1</v>
      </c>
      <c r="AX48" s="511">
        <v>0.1</v>
      </c>
      <c r="AY48" s="81">
        <v>0.1</v>
      </c>
      <c r="AZ48" s="81">
        <v>0.1</v>
      </c>
      <c r="BA48" s="490">
        <v>0.1</v>
      </c>
      <c r="BB48" s="81">
        <v>0.1</v>
      </c>
      <c r="BC48" s="81">
        <v>0.1</v>
      </c>
      <c r="BD48" s="490">
        <v>0.1</v>
      </c>
      <c r="BE48" s="81">
        <v>0.1</v>
      </c>
      <c r="BF48" s="81">
        <v>0.1</v>
      </c>
      <c r="BG48" s="490">
        <v>0.1</v>
      </c>
      <c r="BH48" s="81">
        <v>0.1</v>
      </c>
      <c r="BI48" s="81">
        <v>0.1</v>
      </c>
      <c r="BJ48" s="490">
        <v>0.1</v>
      </c>
      <c r="BK48" s="81">
        <v>0.1</v>
      </c>
      <c r="BL48" s="81">
        <v>0.1</v>
      </c>
      <c r="BM48" s="490">
        <v>0.1</v>
      </c>
    </row>
    <row r="49" spans="1:65">
      <c r="A49" s="89" t="s">
        <v>397</v>
      </c>
      <c r="B49" s="52" t="s">
        <v>76</v>
      </c>
      <c r="Q49" s="490">
        <v>0.2</v>
      </c>
      <c r="R49" s="81">
        <v>0.2</v>
      </c>
      <c r="S49" s="81">
        <v>0.2</v>
      </c>
      <c r="T49" s="490">
        <v>0.2</v>
      </c>
      <c r="U49" s="81">
        <v>0.2</v>
      </c>
      <c r="V49" s="81">
        <v>0.2</v>
      </c>
      <c r="W49" s="490">
        <v>0.2</v>
      </c>
      <c r="X49" s="81">
        <v>0.2</v>
      </c>
      <c r="Y49" s="81">
        <v>0.2</v>
      </c>
      <c r="Z49" s="490">
        <v>0.2</v>
      </c>
      <c r="AA49" s="81">
        <v>0.2</v>
      </c>
      <c r="AB49" s="81">
        <v>0.2</v>
      </c>
      <c r="AC49" s="490">
        <v>0.2</v>
      </c>
      <c r="AD49" s="81">
        <v>0.2</v>
      </c>
      <c r="AE49" s="81">
        <v>0.2</v>
      </c>
      <c r="AF49" s="490">
        <v>0.2</v>
      </c>
      <c r="AG49" s="81">
        <v>0.2</v>
      </c>
      <c r="AH49" s="81">
        <v>0.2</v>
      </c>
      <c r="AI49" s="490">
        <v>0.2</v>
      </c>
      <c r="AJ49" s="81">
        <v>0.2</v>
      </c>
      <c r="AK49" s="81">
        <v>0.2</v>
      </c>
      <c r="AL49" s="490">
        <v>0.2</v>
      </c>
      <c r="AM49" s="81">
        <v>0.2</v>
      </c>
      <c r="AN49" s="81">
        <v>0.2</v>
      </c>
      <c r="AO49" s="490">
        <v>0.2</v>
      </c>
      <c r="AP49" s="81">
        <v>0.2</v>
      </c>
      <c r="AQ49" s="81">
        <v>0.2</v>
      </c>
      <c r="AR49" s="490">
        <v>0.2</v>
      </c>
      <c r="AS49" s="81">
        <v>0.2</v>
      </c>
      <c r="AT49" s="81">
        <v>0.2</v>
      </c>
      <c r="AU49" s="490">
        <v>0.2</v>
      </c>
      <c r="AV49" s="81">
        <v>0.2</v>
      </c>
      <c r="AW49" s="81">
        <v>0.2</v>
      </c>
      <c r="AX49" s="511">
        <v>0.2</v>
      </c>
      <c r="AY49" s="81">
        <v>0.2</v>
      </c>
      <c r="AZ49" s="81">
        <v>0.2</v>
      </c>
      <c r="BA49" s="490">
        <v>0.2</v>
      </c>
      <c r="BB49" s="81">
        <v>0.2</v>
      </c>
      <c r="BC49" s="81">
        <v>0.2</v>
      </c>
      <c r="BD49" s="490">
        <v>0.2</v>
      </c>
      <c r="BE49" s="81">
        <v>0.2</v>
      </c>
      <c r="BF49" s="81">
        <v>0.2</v>
      </c>
      <c r="BG49" s="490">
        <v>0.2</v>
      </c>
      <c r="BH49" s="81">
        <v>0.2</v>
      </c>
      <c r="BI49" s="81">
        <v>0.2</v>
      </c>
      <c r="BJ49" s="490">
        <v>0.2</v>
      </c>
      <c r="BK49" s="81">
        <v>0.2</v>
      </c>
      <c r="BL49" s="81">
        <v>0.2</v>
      </c>
      <c r="BM49" s="490">
        <v>0.2</v>
      </c>
    </row>
    <row r="50" spans="1:65">
      <c r="A50" s="89" t="s">
        <v>401</v>
      </c>
      <c r="B50" s="52" t="s">
        <v>76</v>
      </c>
      <c r="Q50" s="490">
        <v>0.6</v>
      </c>
      <c r="R50" s="81">
        <v>0.6</v>
      </c>
      <c r="S50" s="81">
        <v>0.6</v>
      </c>
      <c r="T50" s="490">
        <v>0.6</v>
      </c>
      <c r="U50" s="81">
        <v>0.6</v>
      </c>
      <c r="V50" s="81">
        <v>0.6</v>
      </c>
      <c r="W50" s="490">
        <v>0.6</v>
      </c>
      <c r="X50" s="81">
        <v>0.6</v>
      </c>
      <c r="Y50" s="81">
        <v>0.6</v>
      </c>
      <c r="Z50" s="490">
        <v>0.6</v>
      </c>
      <c r="AA50" s="81">
        <v>0.6</v>
      </c>
      <c r="AB50" s="81">
        <v>0.6</v>
      </c>
      <c r="AC50" s="490">
        <v>0.6</v>
      </c>
      <c r="AD50" s="81">
        <v>0.6</v>
      </c>
      <c r="AE50" s="81">
        <v>0.6</v>
      </c>
      <c r="AF50" s="490">
        <v>0.6</v>
      </c>
      <c r="AG50" s="81">
        <v>0.6</v>
      </c>
      <c r="AH50" s="81">
        <v>0.6</v>
      </c>
      <c r="AI50" s="490">
        <v>0.6</v>
      </c>
      <c r="AJ50" s="81">
        <v>0.6</v>
      </c>
      <c r="AK50" s="81">
        <v>0.6</v>
      </c>
      <c r="AL50" s="490">
        <v>0.6</v>
      </c>
      <c r="AM50" s="81">
        <v>0.6</v>
      </c>
      <c r="AN50" s="81">
        <v>0.6</v>
      </c>
      <c r="AO50" s="490">
        <v>0.6</v>
      </c>
      <c r="AP50" s="81">
        <v>0.6</v>
      </c>
      <c r="AQ50" s="81">
        <v>0.6</v>
      </c>
      <c r="AR50" s="490">
        <v>0.6</v>
      </c>
      <c r="AS50" s="81">
        <v>0.6</v>
      </c>
      <c r="AT50" s="81">
        <v>0.6</v>
      </c>
      <c r="AU50" s="490">
        <v>0.6</v>
      </c>
      <c r="AV50" s="81">
        <v>0.6</v>
      </c>
      <c r="AW50" s="81">
        <v>0.6</v>
      </c>
      <c r="AX50" s="511">
        <v>0.6</v>
      </c>
      <c r="AY50" s="81">
        <v>0.6</v>
      </c>
      <c r="AZ50" s="81">
        <v>0.6</v>
      </c>
      <c r="BA50" s="490">
        <v>0.6</v>
      </c>
      <c r="BB50" s="81">
        <v>0.6</v>
      </c>
      <c r="BC50" s="81">
        <v>0.6</v>
      </c>
      <c r="BD50" s="490">
        <v>0.6</v>
      </c>
      <c r="BE50" s="81">
        <v>0.6</v>
      </c>
      <c r="BF50" s="81">
        <v>0.6</v>
      </c>
      <c r="BG50" s="490">
        <v>0.6</v>
      </c>
      <c r="BH50" s="81">
        <v>0.6</v>
      </c>
      <c r="BI50" s="81">
        <v>0.6</v>
      </c>
      <c r="BJ50" s="490">
        <v>0.6</v>
      </c>
      <c r="BK50" s="81">
        <v>0.6</v>
      </c>
      <c r="BL50" s="81">
        <v>0.6</v>
      </c>
      <c r="BM50" s="490">
        <v>0.6</v>
      </c>
    </row>
    <row r="51" spans="1:65">
      <c r="A51" s="89"/>
      <c r="Q51" s="491"/>
      <c r="R51" s="365"/>
      <c r="S51" s="365"/>
      <c r="T51" s="491"/>
      <c r="U51" s="365"/>
      <c r="V51" s="365"/>
      <c r="W51" s="491"/>
      <c r="X51" s="365"/>
      <c r="Y51" s="365"/>
      <c r="Z51" s="491"/>
      <c r="AA51" s="81"/>
      <c r="AB51" s="81"/>
      <c r="AC51" s="490"/>
      <c r="AD51" s="81"/>
      <c r="AE51" s="81"/>
      <c r="AF51" s="490"/>
      <c r="AG51" s="81"/>
      <c r="AH51" s="81"/>
      <c r="AI51" s="490"/>
      <c r="AJ51" s="81"/>
      <c r="AK51" s="81"/>
      <c r="AL51" s="490"/>
      <c r="AM51" s="81"/>
      <c r="AN51" s="81"/>
      <c r="AO51" s="490"/>
      <c r="AP51" s="81"/>
      <c r="AQ51" s="81"/>
      <c r="AR51" s="490"/>
      <c r="AS51" s="81"/>
      <c r="AT51" s="81"/>
      <c r="AU51" s="490"/>
      <c r="AV51" s="81"/>
      <c r="AW51" s="81"/>
      <c r="AX51" s="511"/>
      <c r="AY51" s="81"/>
      <c r="AZ51" s="81"/>
      <c r="BA51" s="490"/>
      <c r="BB51" s="81"/>
      <c r="BC51" s="81"/>
      <c r="BD51" s="490"/>
      <c r="BE51" s="81"/>
      <c r="BF51" s="81"/>
      <c r="BG51" s="490"/>
      <c r="BH51" s="81"/>
      <c r="BI51" s="81"/>
      <c r="BJ51" s="490"/>
      <c r="BK51" s="81"/>
      <c r="BL51" s="81"/>
      <c r="BM51" s="490"/>
    </row>
    <row r="52" spans="1:65">
      <c r="A52" s="13" t="s">
        <v>404</v>
      </c>
      <c r="AI52" s="490"/>
    </row>
    <row r="53" spans="1:65">
      <c r="A53" s="329" t="s">
        <v>482</v>
      </c>
      <c r="B53" s="52" t="s">
        <v>76</v>
      </c>
      <c r="R53" s="32">
        <f>+R35*R47+R38*R48+R41*R49+R44*R50</f>
        <v>7.370163962858306E-2</v>
      </c>
      <c r="S53" s="32">
        <f t="shared" ref="S53:AO53" si="67">+S35*S47+S38*S48+S41*S49+S44*S50</f>
        <v>8.8373502024023831E-2</v>
      </c>
      <c r="T53" s="487">
        <f t="shared" si="67"/>
        <v>8.0630808842727775E-2</v>
      </c>
      <c r="U53" s="32">
        <f t="shared" si="67"/>
        <v>0.1004349048794145</v>
      </c>
      <c r="V53" s="32">
        <f t="shared" si="67"/>
        <v>9.1762438632157634E-2</v>
      </c>
      <c r="W53" s="487">
        <f>+W35*W47+W38*W48+W41*W49+W44*W50</f>
        <v>9.6021478966363177E-2</v>
      </c>
      <c r="X53" s="32">
        <f t="shared" si="67"/>
        <v>1.609612105873438E-2</v>
      </c>
      <c r="Y53" s="32">
        <f t="shared" si="67"/>
        <v>2.1493967477643977E-3</v>
      </c>
      <c r="Z53" s="487">
        <f t="shared" si="67"/>
        <v>8.621214755959037E-3</v>
      </c>
      <c r="AA53" s="32">
        <f t="shared" si="67"/>
        <v>3.552125836668444E-2</v>
      </c>
      <c r="AB53" s="32">
        <f t="shared" si="67"/>
        <v>5.6452350142010443E-2</v>
      </c>
      <c r="AC53" s="487">
        <f t="shared" si="67"/>
        <v>4.5518588136661299E-2</v>
      </c>
      <c r="AD53" s="32">
        <f t="shared" si="67"/>
        <v>5.7513487241859937E-2</v>
      </c>
      <c r="AE53" s="32">
        <f t="shared" si="67"/>
        <v>-1.9531586999262752E-2</v>
      </c>
      <c r="AF53" s="487">
        <f t="shared" si="67"/>
        <v>1.8225554459143468E-2</v>
      </c>
      <c r="AG53" s="32">
        <f t="shared" si="67"/>
        <v>-5.005363754343211E-2</v>
      </c>
      <c r="AH53" s="32">
        <f t="shared" si="67"/>
        <v>-1.186512037609504E-2</v>
      </c>
      <c r="AI53" s="487">
        <f t="shared" si="67"/>
        <v>-3.3820544320072539E-2</v>
      </c>
      <c r="AJ53" s="32">
        <f t="shared" si="67"/>
        <v>1.0980016130464586E-3</v>
      </c>
      <c r="AK53" s="32">
        <f t="shared" si="67"/>
        <v>5.8170466558791087E-2</v>
      </c>
      <c r="AL53" s="487">
        <f t="shared" si="67"/>
        <v>2.8751851144642702E-2</v>
      </c>
      <c r="AM53" s="32">
        <f t="shared" si="67"/>
        <v>0.1070798566701654</v>
      </c>
      <c r="AN53" s="32">
        <f t="shared" si="67"/>
        <v>2.1186628150130539E-2</v>
      </c>
      <c r="AO53" s="487">
        <f t="shared" si="67"/>
        <v>6.0599021437479195E-2</v>
      </c>
      <c r="AP53" s="32">
        <f t="shared" ref="AP53:AU53" si="68">+AP35*AP47+AP38*AP48+AP41*AP49+AP44*AP50</f>
        <v>-3.6021028946269823E-2</v>
      </c>
      <c r="AQ53" s="32">
        <f t="shared" si="68"/>
        <v>-3.3593780617212778E-2</v>
      </c>
      <c r="AR53" s="487">
        <f t="shared" si="68"/>
        <v>-3.6694743546708118E-2</v>
      </c>
      <c r="AS53" s="32">
        <f t="shared" si="68"/>
        <v>-4.2517230186586499E-2</v>
      </c>
      <c r="AT53" s="32">
        <f t="shared" si="68"/>
        <v>-2.6844396842754581E-2</v>
      </c>
      <c r="AU53" s="487">
        <f t="shared" si="68"/>
        <v>-3.503165477574563E-2</v>
      </c>
      <c r="AV53" s="32">
        <f t="shared" ref="AV53:AX53" si="69">+AV35*AV47+AV38*AV48+AV41*AV49+AV44*AV50</f>
        <v>9.2855377087152149E-4</v>
      </c>
      <c r="AW53" s="32">
        <f t="shared" si="69"/>
        <v>9.837085062683458E-3</v>
      </c>
      <c r="AX53" s="509">
        <f t="shared" si="69"/>
        <v>5.4244601162746989E-3</v>
      </c>
      <c r="AY53" s="32">
        <f>(+AY35*AY47+AY38*AY48+AY41*AY49+AY44*AY50)-0.6%</f>
        <v>1.0055389737895977E-2</v>
      </c>
      <c r="AZ53" s="32">
        <f t="shared" ref="AZ53:BM53" si="70">+AZ35*AZ47+AZ38*AZ48+AZ41*AZ49+AZ44*AZ50</f>
        <v>2.2974498866681035E-2</v>
      </c>
      <c r="BA53" s="487">
        <f t="shared" si="70"/>
        <v>1.931134296577457E-2</v>
      </c>
      <c r="BB53" s="32">
        <f t="shared" si="70"/>
        <v>2.783565540420414E-2</v>
      </c>
      <c r="BC53" s="32">
        <f t="shared" si="70"/>
        <v>3.045856543961294E-2</v>
      </c>
      <c r="BD53" s="487">
        <f t="shared" si="70"/>
        <v>2.9103119027326672E-2</v>
      </c>
      <c r="BE53" s="32">
        <f t="shared" si="70"/>
        <v>2.677359506902479E-2</v>
      </c>
      <c r="BF53" s="32">
        <f t="shared" si="70"/>
        <v>1.7196508128155475E-2</v>
      </c>
      <c r="BG53" s="487">
        <f t="shared" si="70"/>
        <v>2.2153597135799119E-2</v>
      </c>
      <c r="BH53" s="32">
        <f t="shared" si="70"/>
        <v>1.4000000000000012E-2</v>
      </c>
      <c r="BI53" s="32">
        <f t="shared" si="70"/>
        <v>1.4000000000000012E-2</v>
      </c>
      <c r="BJ53" s="487">
        <f t="shared" si="70"/>
        <v>1.4000000000000012E-2</v>
      </c>
      <c r="BK53" s="32">
        <f t="shared" si="70"/>
        <v>1.4000000000000012E-2</v>
      </c>
      <c r="BL53" s="32">
        <f t="shared" si="70"/>
        <v>1.5012227635462283E-2</v>
      </c>
      <c r="BM53" s="487">
        <f t="shared" si="70"/>
        <v>1.4477457263913539E-2</v>
      </c>
    </row>
    <row r="54" spans="1:65">
      <c r="AI54" s="489"/>
    </row>
    <row r="55" spans="1:65">
      <c r="AI55" s="486"/>
    </row>
    <row r="61" spans="1:65">
      <c r="AD61" s="330"/>
      <c r="AG61" s="330"/>
      <c r="AJ61" s="330"/>
      <c r="AM61" s="330"/>
      <c r="AP61" s="330"/>
      <c r="AS61" s="330"/>
      <c r="AV61" s="330"/>
    </row>
  </sheetData>
  <pageMargins left="0.7" right="0.7" top="0.75" bottom="0.75" header="0.3" footer="0.3"/>
  <pageSetup paperSize="8" fitToHeight="0" orientation="landscape" horizontalDpi="90" verticalDpi="9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BX58"/>
  <sheetViews>
    <sheetView zoomScaleNormal="100" workbookViewId="0">
      <pane xSplit="2" ySplit="1" topLeftCell="AL2" activePane="bottomRight" state="frozen"/>
      <selection activeCell="AJ81" sqref="AJ81"/>
      <selection pane="topRight" activeCell="AJ81" sqref="AJ81"/>
      <selection pane="bottomLeft" activeCell="AJ81" sqref="AJ81"/>
      <selection pane="bottomRight" activeCell="BF39" sqref="BF39"/>
    </sheetView>
  </sheetViews>
  <sheetFormatPr defaultColWidth="9.109375" defaultRowHeight="10.199999999999999" outlineLevelCol="1"/>
  <cols>
    <col min="1" max="1" width="19.44140625" style="6" customWidth="1"/>
    <col min="2" max="2" width="5.88671875" style="52" customWidth="1"/>
    <col min="3" max="15" width="9.5546875" style="6" hidden="1" customWidth="1" outlineLevel="1"/>
    <col min="16" max="16" width="8.88671875" style="6" hidden="1" customWidth="1" outlineLevel="1"/>
    <col min="17" max="28" width="8.6640625" style="6" hidden="1" customWidth="1" outlineLevel="1"/>
    <col min="29" max="29" width="8.6640625" style="12" customWidth="1" collapsed="1"/>
    <col min="30" max="31" width="8.6640625" style="6" hidden="1" customWidth="1" outlineLevel="1"/>
    <col min="32" max="32" width="8.6640625" style="12" customWidth="1" collapsed="1"/>
    <col min="33" max="34" width="8.6640625" style="6" hidden="1" customWidth="1" outlineLevel="1"/>
    <col min="35" max="35" width="8.6640625" style="12" customWidth="1" collapsed="1"/>
    <col min="36" max="37" width="8.6640625" style="6" hidden="1" customWidth="1" outlineLevel="1"/>
    <col min="38" max="38" width="8.6640625" style="12" customWidth="1" collapsed="1"/>
    <col min="39" max="40" width="8.6640625" style="6" hidden="1" customWidth="1" outlineLevel="1"/>
    <col min="41" max="41" width="8.6640625" style="12" customWidth="1" collapsed="1"/>
    <col min="42" max="43" width="8.6640625" style="6" hidden="1" customWidth="1" outlineLevel="1"/>
    <col min="44" max="44" width="8.6640625" style="12" customWidth="1" collapsed="1"/>
    <col min="45" max="46" width="8.6640625" style="6" hidden="1" customWidth="1" outlineLevel="1"/>
    <col min="47" max="47" width="8.6640625" style="12" customWidth="1" collapsed="1"/>
    <col min="48" max="49" width="8.6640625" style="6" customWidth="1" outlineLevel="1"/>
    <col min="50" max="50" width="8.6640625" style="504" customWidth="1"/>
    <col min="51" max="52" width="9.109375" style="6" customWidth="1" outlineLevel="1"/>
    <col min="53" max="53" width="9.109375" style="12"/>
    <col min="54" max="55" width="9.109375" style="6" customWidth="1" outlineLevel="1"/>
    <col min="56" max="56" width="9.109375" style="12"/>
    <col min="57" max="58" width="9.109375" style="6" customWidth="1" outlineLevel="1"/>
    <col min="59" max="59" width="9.109375" style="12"/>
    <col min="60" max="61" width="9.109375" style="6" customWidth="1" outlineLevel="1"/>
    <col min="62" max="62" width="9.109375" style="12"/>
    <col min="63" max="64" width="9.109375" style="6" customWidth="1" outlineLevel="1"/>
    <col min="65" max="65" width="9.109375" style="12"/>
    <col min="66" max="16384" width="9.109375" style="6"/>
  </cols>
  <sheetData>
    <row r="1" spans="1:65" s="84" customFormat="1">
      <c r="A1" s="15" t="str">
        <f>'BS, CF and P&amp;L'!A6</f>
        <v>Year Ending June 30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 t="str">
        <f>'BS, CF and P&amp;L'!O6</f>
        <v>1H14A</v>
      </c>
      <c r="P1" s="14" t="str">
        <f>'BS, CF and P&amp;L'!P6</f>
        <v>2H14A</v>
      </c>
      <c r="Q1" s="14" t="str">
        <f>'BS, CF and P&amp;L'!Q6</f>
        <v>FY14A</v>
      </c>
      <c r="R1" s="14" t="str">
        <f>'BS, CF and P&amp;L'!R6</f>
        <v>1H15A</v>
      </c>
      <c r="S1" s="14" t="str">
        <f>'BS, CF and P&amp;L'!S6</f>
        <v>2H15A</v>
      </c>
      <c r="T1" s="14" t="str">
        <f>'BS, CF and P&amp;L'!T6</f>
        <v>FY15A</v>
      </c>
      <c r="U1" s="14" t="str">
        <f>'BS, CF and P&amp;L'!U6</f>
        <v>1H16A</v>
      </c>
      <c r="V1" s="14" t="str">
        <f>'BS, CF and P&amp;L'!V6</f>
        <v>2H16A</v>
      </c>
      <c r="W1" s="14" t="str">
        <f>'BS, CF and P&amp;L'!W6</f>
        <v>FY16A</v>
      </c>
      <c r="X1" s="14" t="str">
        <f>'BS, CF and P&amp;L'!X6</f>
        <v>1H17A</v>
      </c>
      <c r="Y1" s="14" t="str">
        <f>'BS, CF and P&amp;L'!Y6</f>
        <v>2H17A</v>
      </c>
      <c r="Z1" s="14" t="str">
        <f>'BS, CF and P&amp;L'!Z6</f>
        <v>FY17A</v>
      </c>
      <c r="AA1" s="14" t="str">
        <f>'BS, CF and P&amp;L'!AA6</f>
        <v>1H18A</v>
      </c>
      <c r="AB1" s="14" t="str">
        <f>'BS, CF and P&amp;L'!AB6</f>
        <v>2H18A</v>
      </c>
      <c r="AC1" s="14" t="str">
        <f>'BS, CF and P&amp;L'!AC6</f>
        <v>FY18A</v>
      </c>
      <c r="AD1" s="14" t="str">
        <f>'BS, CF and P&amp;L'!AD6</f>
        <v>1H19A</v>
      </c>
      <c r="AE1" s="14" t="str">
        <f>'BS, CF and P&amp;L'!AE6</f>
        <v>2H19A</v>
      </c>
      <c r="AF1" s="14" t="str">
        <f>'BS, CF and P&amp;L'!AF6</f>
        <v>FY19A</v>
      </c>
      <c r="AG1" s="14" t="str">
        <f>'BS, CF and P&amp;L'!AG6</f>
        <v>1H20A</v>
      </c>
      <c r="AH1" s="14" t="str">
        <f>'BS, CF and P&amp;L'!AH6</f>
        <v>2H20A</v>
      </c>
      <c r="AI1" s="14" t="str">
        <f>'BS, CF and P&amp;L'!AI6</f>
        <v>FY20A</v>
      </c>
      <c r="AJ1" s="14" t="str">
        <f>'BS, CF and P&amp;L'!AJ6</f>
        <v>1H21A</v>
      </c>
      <c r="AK1" s="14" t="str">
        <f>'BS, CF and P&amp;L'!AK6</f>
        <v>2H21A</v>
      </c>
      <c r="AL1" s="14" t="str">
        <f>'BS, CF and P&amp;L'!AL6</f>
        <v>FY21A</v>
      </c>
      <c r="AM1" s="14" t="str">
        <f>'BS, CF and P&amp;L'!AM6</f>
        <v>1H22A</v>
      </c>
      <c r="AN1" s="14" t="str">
        <f>'BS, CF and P&amp;L'!AN6</f>
        <v>2H22A</v>
      </c>
      <c r="AO1" s="14" t="str">
        <f>'BS, CF and P&amp;L'!AO6</f>
        <v>FY22A</v>
      </c>
      <c r="AP1" s="14" t="str">
        <f>'BS, CF and P&amp;L'!AP6</f>
        <v>1H23A</v>
      </c>
      <c r="AQ1" s="14" t="str">
        <f>'BS, CF and P&amp;L'!AQ6</f>
        <v>2H23A</v>
      </c>
      <c r="AR1" s="14" t="str">
        <f>'BS, CF and P&amp;L'!AR6</f>
        <v>FY23A</v>
      </c>
      <c r="AS1" s="14" t="str">
        <f>'BS, CF and P&amp;L'!AS6</f>
        <v>1H24A</v>
      </c>
      <c r="AT1" s="14" t="str">
        <f>'BS, CF and P&amp;L'!AT6</f>
        <v>2H24A</v>
      </c>
      <c r="AU1" s="14" t="str">
        <f>'BS, CF and P&amp;L'!AU6</f>
        <v>FY24A</v>
      </c>
      <c r="AV1" s="14" t="str">
        <f>'BS, CF and P&amp;L'!AV6</f>
        <v>1H25A</v>
      </c>
      <c r="AW1" s="14" t="str">
        <f>'BS, CF and P&amp;L'!AW6</f>
        <v>2H25A</v>
      </c>
      <c r="AX1" s="14" t="str">
        <f>'BS, CF and P&amp;L'!AX6</f>
        <v>FY25A</v>
      </c>
      <c r="AY1" s="14" t="str">
        <f>'BS, CF and P&amp;L'!AY6</f>
        <v>1H26E</v>
      </c>
      <c r="AZ1" s="14" t="str">
        <f>'BS, CF and P&amp;L'!AZ6</f>
        <v>2H26E</v>
      </c>
      <c r="BA1" s="14" t="str">
        <f>'BS, CF and P&amp;L'!BA6</f>
        <v>FY26E</v>
      </c>
      <c r="BB1" s="14" t="str">
        <f>'BS, CF and P&amp;L'!BB6</f>
        <v>1H27E</v>
      </c>
      <c r="BC1" s="14" t="str">
        <f>'BS, CF and P&amp;L'!BC6</f>
        <v>2H27E</v>
      </c>
      <c r="BD1" s="14" t="str">
        <f>'BS, CF and P&amp;L'!BD6</f>
        <v>FY27E</v>
      </c>
      <c r="BE1" s="14" t="str">
        <f>'BS, CF and P&amp;L'!BE6</f>
        <v>1H28E</v>
      </c>
      <c r="BF1" s="14" t="str">
        <f>'BS, CF and P&amp;L'!BF6</f>
        <v>2H28E</v>
      </c>
      <c r="BG1" s="14" t="str">
        <f>'BS, CF and P&amp;L'!BG6</f>
        <v>FY28E</v>
      </c>
      <c r="BH1" s="14" t="str">
        <f>'BS, CF and P&amp;L'!BH6</f>
        <v>1H29E</v>
      </c>
      <c r="BI1" s="14" t="str">
        <f>'BS, CF and P&amp;L'!BI6</f>
        <v>2H29E</v>
      </c>
      <c r="BJ1" s="14" t="str">
        <f>'BS, CF and P&amp;L'!BJ6</f>
        <v>FY29E</v>
      </c>
      <c r="BK1" s="14" t="str">
        <f>'BS, CF and P&amp;L'!BK6</f>
        <v>1H30E</v>
      </c>
      <c r="BL1" s="14" t="str">
        <f>'BS, CF and P&amp;L'!BL6</f>
        <v>2H30E</v>
      </c>
      <c r="BM1" s="14" t="str">
        <f>'BS, CF and P&amp;L'!BM6</f>
        <v>FY30E</v>
      </c>
    </row>
    <row r="3" spans="1:65">
      <c r="A3" s="13" t="s">
        <v>265</v>
      </c>
      <c r="B3" s="55" t="s">
        <v>394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5"/>
      <c r="Q3" s="26"/>
      <c r="R3" s="26"/>
      <c r="S3" s="25"/>
      <c r="T3" s="26"/>
      <c r="U3" s="26"/>
      <c r="V3" s="25"/>
      <c r="W3" s="26"/>
      <c r="X3" s="26"/>
      <c r="Y3" s="25"/>
      <c r="Z3" s="26"/>
      <c r="AA3" s="26"/>
      <c r="AB3" s="25"/>
      <c r="AC3" s="484"/>
      <c r="AD3" s="96">
        <v>1253.0940000000001</v>
      </c>
      <c r="AE3" s="94">
        <f>AF3-AD3</f>
        <v>1344.6529999999998</v>
      </c>
      <c r="AF3" s="473">
        <v>2597.7469999999998</v>
      </c>
      <c r="AG3" s="96">
        <v>1496.1859999999999</v>
      </c>
      <c r="AH3" s="94">
        <f>AI3-AG3</f>
        <v>1625.845</v>
      </c>
      <c r="AI3" s="473">
        <v>3122.0309999999999</v>
      </c>
      <c r="AJ3" s="96">
        <v>1509.498</v>
      </c>
      <c r="AK3" s="94">
        <f>AL3-AJ3</f>
        <v>1607.4090000000001</v>
      </c>
      <c r="AL3" s="473">
        <v>3116.9070000000002</v>
      </c>
      <c r="AM3" s="96">
        <v>1866.8579999999999</v>
      </c>
      <c r="AN3" s="94">
        <f>AO3-AM3</f>
        <v>2269.1419999999998</v>
      </c>
      <c r="AO3" s="473">
        <v>4136</v>
      </c>
      <c r="AP3" s="96">
        <v>2499.5540000000001</v>
      </c>
      <c r="AQ3" s="94">
        <f>AR3-AP3</f>
        <v>2487.1269999999995</v>
      </c>
      <c r="AR3" s="473">
        <v>4986.6809999999996</v>
      </c>
      <c r="AS3" s="96">
        <v>2565.6759999999999</v>
      </c>
      <c r="AT3" s="94">
        <f>AU3-AS3</f>
        <v>2693.3240000000001</v>
      </c>
      <c r="AU3" s="473">
        <v>5259</v>
      </c>
      <c r="AV3" s="96">
        <v>2422.1190000000001</v>
      </c>
      <c r="AW3" s="94">
        <f>AX3-AV3</f>
        <v>2673.9259999999999</v>
      </c>
      <c r="AX3" s="495">
        <v>5096.0450000000001</v>
      </c>
      <c r="AY3" s="94">
        <f>AY6-AY5</f>
        <v>2538.9302708973255</v>
      </c>
      <c r="AZ3" s="94">
        <f>AZ6-AZ5</f>
        <v>2728.1481241961064</v>
      </c>
      <c r="BA3" s="475">
        <f>SUM(AY3:AZ3)</f>
        <v>5267.0783950934319</v>
      </c>
      <c r="BB3" s="94">
        <f>BB6-BB5</f>
        <v>2627.310499275201</v>
      </c>
      <c r="BC3" s="94">
        <f>BC6-BC5</f>
        <v>2831.8053576623465</v>
      </c>
      <c r="BD3" s="475">
        <f>SUM(BB3:BC3)</f>
        <v>5459.1158569375475</v>
      </c>
      <c r="BE3" s="94">
        <f>BE6-BE5</f>
        <v>2761.7577691861093</v>
      </c>
      <c r="BF3" s="94">
        <f>BF6-BF5</f>
        <v>2977.173694296052</v>
      </c>
      <c r="BG3" s="475">
        <f>SUM(BE3:BF3)</f>
        <v>5738.9314634821612</v>
      </c>
      <c r="BH3" s="94">
        <f>BH6-BH5</f>
        <v>2876.0530195760662</v>
      </c>
      <c r="BI3" s="94">
        <f>BI6-BI5</f>
        <v>3093.1671513392585</v>
      </c>
      <c r="BJ3" s="475">
        <f>SUM(BH3:BI3)</f>
        <v>5969.2201709153251</v>
      </c>
      <c r="BK3" s="94">
        <f>BK6-BK5</f>
        <v>2921.209829221692</v>
      </c>
      <c r="BL3" s="94">
        <f>BL6-BL5</f>
        <v>3165.2125900534884</v>
      </c>
      <c r="BM3" s="475">
        <f>SUM(BK3:BL3)</f>
        <v>6086.4224192751808</v>
      </c>
    </row>
    <row r="4" spans="1:65">
      <c r="A4" s="329" t="s">
        <v>480</v>
      </c>
      <c r="B4" s="101" t="s">
        <v>76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474"/>
      <c r="AD4" s="63"/>
      <c r="AE4" s="63"/>
      <c r="AF4" s="474"/>
      <c r="AG4" s="63">
        <f t="shared" ref="AG4:AV4" si="0">AG3/AD3-1</f>
        <v>0.19399342746833037</v>
      </c>
      <c r="AH4" s="63">
        <f t="shared" si="0"/>
        <v>0.20911863506793216</v>
      </c>
      <c r="AI4" s="474">
        <f t="shared" si="0"/>
        <v>0.20182257933509318</v>
      </c>
      <c r="AJ4" s="63">
        <f t="shared" si="0"/>
        <v>8.897289508122741E-3</v>
      </c>
      <c r="AK4" s="63">
        <f t="shared" si="0"/>
        <v>-1.1339334315386695E-2</v>
      </c>
      <c r="AL4" s="474">
        <f t="shared" si="0"/>
        <v>-1.6412393086422394E-3</v>
      </c>
      <c r="AM4" s="63">
        <f t="shared" si="0"/>
        <v>0.2367409562649303</v>
      </c>
      <c r="AN4" s="63">
        <f>AN3/AK3-1</f>
        <v>0.41167680409901886</v>
      </c>
      <c r="AO4" s="474">
        <f t="shared" si="0"/>
        <v>0.326956498862494</v>
      </c>
      <c r="AP4" s="63">
        <f t="shared" si="0"/>
        <v>0.33890954748566848</v>
      </c>
      <c r="AQ4" s="63">
        <f>AQ3/AN3-1</f>
        <v>9.6064944371044181E-2</v>
      </c>
      <c r="AR4" s="474">
        <f>AR3/AO3-1</f>
        <v>0.20567722437137315</v>
      </c>
      <c r="AS4" s="63">
        <f t="shared" si="0"/>
        <v>2.6453519307844564E-2</v>
      </c>
      <c r="AT4" s="63">
        <f>AT3/AQ3-1</f>
        <v>8.2905698020246055E-2</v>
      </c>
      <c r="AU4" s="474">
        <f>AU3/AR3-1</f>
        <v>5.4609268168547498E-2</v>
      </c>
      <c r="AV4" s="63">
        <f t="shared" si="0"/>
        <v>-5.5952895065471964E-2</v>
      </c>
      <c r="AW4" s="63">
        <f>AW3/AT3-1</f>
        <v>-7.202252681073662E-3</v>
      </c>
      <c r="AX4" s="497">
        <f>AX3/AU3-1</f>
        <v>-3.0985928883818237E-2</v>
      </c>
      <c r="AY4" s="63">
        <f t="shared" ref="AY4:BM4" si="1">AY3/AV3-1</f>
        <v>4.8226891782495063E-2</v>
      </c>
      <c r="AZ4" s="63">
        <f t="shared" si="1"/>
        <v>2.0278094530703727E-2</v>
      </c>
      <c r="BA4" s="474">
        <f t="shared" si="1"/>
        <v>3.3561986813976707E-2</v>
      </c>
      <c r="BB4" s="63">
        <f t="shared" si="1"/>
        <v>3.4810025856535143E-2</v>
      </c>
      <c r="BC4" s="63">
        <f t="shared" si="1"/>
        <v>3.7995456532179395E-2</v>
      </c>
      <c r="BD4" s="474">
        <f t="shared" si="1"/>
        <v>3.6459958906821743E-2</v>
      </c>
      <c r="BE4" s="63">
        <f t="shared" si="1"/>
        <v>5.1172965642240831E-2</v>
      </c>
      <c r="BF4" s="63">
        <f t="shared" si="1"/>
        <v>5.1334155520387448E-2</v>
      </c>
      <c r="BG4" s="474">
        <f t="shared" si="1"/>
        <v>5.1256579614264552E-2</v>
      </c>
      <c r="BH4" s="63">
        <f t="shared" si="1"/>
        <v>4.1384965642240035E-2</v>
      </c>
      <c r="BI4" s="63">
        <f t="shared" si="1"/>
        <v>3.8960930383550529E-2</v>
      </c>
      <c r="BJ4" s="474">
        <f t="shared" si="1"/>
        <v>4.0127453847206951E-2</v>
      </c>
      <c r="BK4" s="63">
        <f t="shared" si="1"/>
        <v>1.5700965642240439E-2</v>
      </c>
      <c r="BL4" s="63">
        <f t="shared" si="1"/>
        <v>2.3291802605312162E-2</v>
      </c>
      <c r="BM4" s="474">
        <f t="shared" si="1"/>
        <v>1.9634432137537239E-2</v>
      </c>
    </row>
    <row r="5" spans="1:65">
      <c r="A5" s="89" t="s">
        <v>266</v>
      </c>
      <c r="B5" s="52" t="s">
        <v>394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5"/>
      <c r="Q5" s="26"/>
      <c r="R5" s="26"/>
      <c r="S5" s="25"/>
      <c r="T5" s="26"/>
      <c r="U5" s="26"/>
      <c r="V5" s="25"/>
      <c r="W5" s="26"/>
      <c r="X5" s="26"/>
      <c r="Y5" s="25"/>
      <c r="Z5" s="26"/>
      <c r="AA5" s="26"/>
      <c r="AB5" s="25"/>
      <c r="AC5" s="484"/>
      <c r="AD5" s="26"/>
      <c r="AE5" s="25"/>
      <c r="AF5" s="485">
        <f>+AF6-AF3</f>
        <v>1.3670000000001892</v>
      </c>
      <c r="AG5" s="26">
        <v>0</v>
      </c>
      <c r="AH5" s="25">
        <f>AI5-AG5</f>
        <v>1.8519999999998618</v>
      </c>
      <c r="AI5" s="485">
        <f>+AI6-AI3</f>
        <v>1.8519999999998618</v>
      </c>
      <c r="AJ5" s="26">
        <v>0</v>
      </c>
      <c r="AK5" s="25">
        <f>AL5-AJ5</f>
        <v>0</v>
      </c>
      <c r="AL5" s="484">
        <v>0</v>
      </c>
      <c r="AM5" s="26">
        <v>0</v>
      </c>
      <c r="AN5" s="25">
        <f>AVERAGE(AJ5,AK5,AM5)/AVERAGE(AJ6,AK6,AM6)*AN6</f>
        <v>0</v>
      </c>
      <c r="AO5" s="484">
        <f>SUM(AM5:AN5)</f>
        <v>0</v>
      </c>
      <c r="AP5" s="26"/>
      <c r="AQ5" s="25">
        <f>AVERAGE(AM5,AN5,AP5)/AVERAGE(AM6,AN6,AP6)*AQ6</f>
        <v>0</v>
      </c>
      <c r="AR5" s="484">
        <f>SUM(AP5:AQ5)</f>
        <v>0</v>
      </c>
      <c r="AS5" s="26">
        <v>0</v>
      </c>
      <c r="AT5" s="25">
        <f>AVERAGE(AP5,AQ5,AS5)/AVERAGE(AP6,AQ6,AS6)*AT6</f>
        <v>0</v>
      </c>
      <c r="AU5" s="484">
        <f>SUM(AS5:AT5)</f>
        <v>0</v>
      </c>
      <c r="AV5" s="26">
        <v>0</v>
      </c>
      <c r="AW5" s="25">
        <f>AVERAGE(AS5,AT5,AV5)/AVERAGE(AS6,AT6,AV6)*AW6</f>
        <v>0</v>
      </c>
      <c r="AX5" s="496">
        <f>SUM(AV5:AW5)</f>
        <v>0</v>
      </c>
      <c r="AY5" s="25">
        <f>AVERAGE(AT5,AV5,AW5)/AVERAGE(AT6,AV6,AW6)*AY6</f>
        <v>0</v>
      </c>
      <c r="AZ5" s="25">
        <f>AVERAGE(AV5,AW5,AY5)/AVERAGE(AV6,AW6,AY6)*AZ6</f>
        <v>0</v>
      </c>
      <c r="BA5" s="485">
        <f>SUM(AY5:AZ5)</f>
        <v>0</v>
      </c>
      <c r="BB5" s="25">
        <f>AVERAGE(AW5,AY5,AZ5)/AVERAGE(AW6,AY6,AZ6)*BB6</f>
        <v>0</v>
      </c>
      <c r="BC5" s="25">
        <f>AVERAGE(AY5,AZ5,BB5)/AVERAGE(AY6,AZ6,BB6)*BC6</f>
        <v>0</v>
      </c>
      <c r="BD5" s="485">
        <f>SUM(BB5:BC5)</f>
        <v>0</v>
      </c>
      <c r="BE5" s="25">
        <f>AVERAGE(AZ5,BB5,BC5)/AVERAGE(AZ6,BB6,BC6)*BE6</f>
        <v>0</v>
      </c>
      <c r="BF5" s="25">
        <f>AVERAGE(BB5,BC5,BE5)/AVERAGE(BB6,BC6,BE6)*BF6</f>
        <v>0</v>
      </c>
      <c r="BG5" s="485">
        <f>SUM(BE5:BF5)</f>
        <v>0</v>
      </c>
      <c r="BH5" s="25">
        <f>AVERAGE(BC5,BE5,BF5)/AVERAGE(BC6,BE6,BF6)*BH6</f>
        <v>0</v>
      </c>
      <c r="BI5" s="25">
        <f>AVERAGE(BE5,BF5,BH5)/AVERAGE(BE6,BF6,BH6)*BI6</f>
        <v>0</v>
      </c>
      <c r="BJ5" s="485">
        <f>SUM(BH5:BI5)</f>
        <v>0</v>
      </c>
      <c r="BK5" s="25">
        <f>AVERAGE(BF5,BH5,BI5)/AVERAGE(BF6,BH6,BI6)*BK6</f>
        <v>0</v>
      </c>
      <c r="BL5" s="25">
        <f>AVERAGE(BH5,BI5,BK5)/AVERAGE(BH6,BI6,BK6)*BL6</f>
        <v>0</v>
      </c>
      <c r="BM5" s="485">
        <f>SUM(BK5:BL5)</f>
        <v>0</v>
      </c>
    </row>
    <row r="6" spans="1:65">
      <c r="A6" s="13" t="s">
        <v>161</v>
      </c>
      <c r="B6" s="55" t="s">
        <v>394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514"/>
      <c r="AD6" s="94">
        <f>SUM(AD3,AD5)</f>
        <v>1253.0940000000001</v>
      </c>
      <c r="AE6" s="94">
        <f>SUM(AE3,AE5)</f>
        <v>1344.6529999999998</v>
      </c>
      <c r="AF6" s="473">
        <v>2599.114</v>
      </c>
      <c r="AG6" s="94">
        <f>SUM(AG3,AG5)</f>
        <v>1496.1859999999999</v>
      </c>
      <c r="AH6" s="94">
        <f>SUM(AH3,AH5)</f>
        <v>1627.6969999999999</v>
      </c>
      <c r="AI6" s="473">
        <v>3123.8829999999998</v>
      </c>
      <c r="AJ6" s="94">
        <f>SUM(AJ3,AJ5)</f>
        <v>1509.498</v>
      </c>
      <c r="AK6" s="94">
        <f>SUM(AK3,AK5)</f>
        <v>1607.4090000000001</v>
      </c>
      <c r="AL6" s="475">
        <f>+AL5+AL3</f>
        <v>3116.9070000000002</v>
      </c>
      <c r="AM6" s="94">
        <f>SUM(AM3,AM5)</f>
        <v>1866.8579999999999</v>
      </c>
      <c r="AN6" s="94">
        <f>AN3</f>
        <v>2269.1419999999998</v>
      </c>
      <c r="AO6" s="475">
        <f>AO3</f>
        <v>4136</v>
      </c>
      <c r="AP6" s="94">
        <f>SUM(AP3,AP5)</f>
        <v>2499.5540000000001</v>
      </c>
      <c r="AQ6" s="94">
        <f>AQ3</f>
        <v>2487.1269999999995</v>
      </c>
      <c r="AR6" s="475">
        <f>AR3</f>
        <v>4986.6809999999996</v>
      </c>
      <c r="AS6" s="94">
        <f>SUM(AS3,AS5)</f>
        <v>2565.6759999999999</v>
      </c>
      <c r="AT6" s="94">
        <f>AT3</f>
        <v>2693.3240000000001</v>
      </c>
      <c r="AU6" s="475">
        <f>AU3</f>
        <v>5259</v>
      </c>
      <c r="AV6" s="94">
        <f>SUM(AV3,AV5)</f>
        <v>2422.1190000000001</v>
      </c>
      <c r="AW6" s="94">
        <f>AW3</f>
        <v>2673.9259999999999</v>
      </c>
      <c r="AX6" s="522">
        <f>AX3</f>
        <v>5096.0450000000001</v>
      </c>
      <c r="AY6" s="94">
        <f t="shared" ref="AY6:BM6" si="2">+AY28/AY25</f>
        <v>2538.9302708973255</v>
      </c>
      <c r="AZ6" s="94">
        <f t="shared" si="2"/>
        <v>2728.1481241961064</v>
      </c>
      <c r="BA6" s="475">
        <f>AY6+AZ6</f>
        <v>5267.0783950934319</v>
      </c>
      <c r="BB6" s="94">
        <f t="shared" si="2"/>
        <v>2627.310499275201</v>
      </c>
      <c r="BC6" s="94">
        <f>+BC28/BC25</f>
        <v>2831.8053576623465</v>
      </c>
      <c r="BD6" s="475">
        <f t="shared" si="2"/>
        <v>5459.1158569375475</v>
      </c>
      <c r="BE6" s="94">
        <f t="shared" si="2"/>
        <v>2761.7577691861093</v>
      </c>
      <c r="BF6" s="94">
        <f t="shared" si="2"/>
        <v>2977.173694296052</v>
      </c>
      <c r="BG6" s="475">
        <f t="shared" si="2"/>
        <v>5738.9314634821612</v>
      </c>
      <c r="BH6" s="94">
        <f>+BH28/BH25</f>
        <v>2876.0530195760662</v>
      </c>
      <c r="BI6" s="94">
        <f t="shared" si="2"/>
        <v>3093.1671513392585</v>
      </c>
      <c r="BJ6" s="475">
        <f t="shared" si="2"/>
        <v>5969.2201709153242</v>
      </c>
      <c r="BK6" s="94">
        <f t="shared" si="2"/>
        <v>2921.209829221692</v>
      </c>
      <c r="BL6" s="94">
        <f t="shared" si="2"/>
        <v>3165.2125900534884</v>
      </c>
      <c r="BM6" s="475">
        <f t="shared" si="2"/>
        <v>6086.4224192751808</v>
      </c>
    </row>
    <row r="7" spans="1:65" s="31" customFormat="1">
      <c r="A7" s="329" t="s">
        <v>479</v>
      </c>
      <c r="B7" s="101" t="s">
        <v>76</v>
      </c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474"/>
      <c r="AD7" s="63"/>
      <c r="AE7" s="63"/>
      <c r="AF7" s="474"/>
      <c r="AG7" s="63">
        <f t="shared" ref="AG7:AV7" si="3">AG6/AD6-1</f>
        <v>0.19399342746833037</v>
      </c>
      <c r="AH7" s="63">
        <f t="shared" si="3"/>
        <v>0.21049594207576239</v>
      </c>
      <c r="AI7" s="474">
        <f t="shared" si="3"/>
        <v>0.20190303311051383</v>
      </c>
      <c r="AJ7" s="63">
        <f t="shared" si="3"/>
        <v>8.897289508122741E-3</v>
      </c>
      <c r="AK7" s="63">
        <f t="shared" si="3"/>
        <v>-1.2464236279848051E-2</v>
      </c>
      <c r="AL7" s="474">
        <f t="shared" si="3"/>
        <v>-2.2331182057713228E-3</v>
      </c>
      <c r="AM7" s="63">
        <f t="shared" si="3"/>
        <v>0.2367409562649303</v>
      </c>
      <c r="AN7" s="63">
        <f t="shared" si="3"/>
        <v>0.41167680409901886</v>
      </c>
      <c r="AO7" s="474">
        <f t="shared" si="3"/>
        <v>0.326956498862494</v>
      </c>
      <c r="AP7" s="63">
        <f t="shared" si="3"/>
        <v>0.33890954748566848</v>
      </c>
      <c r="AQ7" s="63">
        <f>AQ6/AN6-1</f>
        <v>9.6064944371044181E-2</v>
      </c>
      <c r="AR7" s="474">
        <f>AR6/AO6-1</f>
        <v>0.20567722437137315</v>
      </c>
      <c r="AS7" s="63">
        <f t="shared" si="3"/>
        <v>2.6453519307844564E-2</v>
      </c>
      <c r="AT7" s="63">
        <f>AT6/AQ6-1</f>
        <v>8.2905698020246055E-2</v>
      </c>
      <c r="AU7" s="474">
        <f>AU6/AR6-1</f>
        <v>5.4609268168547498E-2</v>
      </c>
      <c r="AV7" s="63">
        <f t="shared" si="3"/>
        <v>-5.5952895065471964E-2</v>
      </c>
      <c r="AW7" s="63">
        <f>AW6/AT6-1</f>
        <v>-7.202252681073662E-3</v>
      </c>
      <c r="AX7" s="497">
        <f>AX6/AU6-1</f>
        <v>-3.0985928883818237E-2</v>
      </c>
      <c r="AY7" s="63">
        <f t="shared" ref="AY7:BM7" si="4">AY6/AV6-1</f>
        <v>4.8226891782495063E-2</v>
      </c>
      <c r="AZ7" s="63">
        <f t="shared" si="4"/>
        <v>2.0278094530703727E-2</v>
      </c>
      <c r="BA7" s="474">
        <f t="shared" si="4"/>
        <v>3.3561986813976707E-2</v>
      </c>
      <c r="BB7" s="63">
        <f t="shared" si="4"/>
        <v>3.4810025856535143E-2</v>
      </c>
      <c r="BC7" s="63">
        <f t="shared" si="4"/>
        <v>3.7995456532179395E-2</v>
      </c>
      <c r="BD7" s="474">
        <f t="shared" si="4"/>
        <v>3.6459958906821743E-2</v>
      </c>
      <c r="BE7" s="63">
        <f t="shared" si="4"/>
        <v>5.1172965642240831E-2</v>
      </c>
      <c r="BF7" s="63">
        <f t="shared" si="4"/>
        <v>5.1334155520387448E-2</v>
      </c>
      <c r="BG7" s="474">
        <f t="shared" si="4"/>
        <v>5.1256579614264552E-2</v>
      </c>
      <c r="BH7" s="63">
        <f t="shared" si="4"/>
        <v>4.1384965642240035E-2</v>
      </c>
      <c r="BI7" s="63">
        <f t="shared" si="4"/>
        <v>3.8960930383550529E-2</v>
      </c>
      <c r="BJ7" s="474">
        <f t="shared" si="4"/>
        <v>4.0127453847206729E-2</v>
      </c>
      <c r="BK7" s="63">
        <f t="shared" si="4"/>
        <v>1.5700965642240439E-2</v>
      </c>
      <c r="BL7" s="63">
        <f t="shared" si="4"/>
        <v>2.3291802605312162E-2</v>
      </c>
      <c r="BM7" s="474">
        <f t="shared" si="4"/>
        <v>1.9634432137537461E-2</v>
      </c>
    </row>
    <row r="9" spans="1:65">
      <c r="A9" s="6" t="s">
        <v>56</v>
      </c>
      <c r="B9" s="52" t="s">
        <v>394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5"/>
      <c r="Q9" s="26"/>
      <c r="R9" s="26"/>
      <c r="S9" s="25"/>
      <c r="T9" s="26"/>
      <c r="U9" s="26"/>
      <c r="V9" s="25"/>
      <c r="W9" s="26"/>
      <c r="X9" s="26"/>
      <c r="Y9" s="25"/>
      <c r="Z9" s="26"/>
      <c r="AA9" s="26"/>
      <c r="AB9" s="25"/>
      <c r="AC9" s="484"/>
      <c r="AD9" s="91">
        <f>13.312+20.975</f>
        <v>34.286999999999999</v>
      </c>
      <c r="AE9" s="38">
        <f>AF9-AD9</f>
        <v>34.95900000000001</v>
      </c>
      <c r="AF9" s="492">
        <f>26.899+42.347</f>
        <v>69.246000000000009</v>
      </c>
      <c r="AG9" s="98">
        <f>33.237+16.978</f>
        <v>50.215000000000003</v>
      </c>
      <c r="AH9" s="92">
        <f>AI9-AG9</f>
        <v>66.043999999999983</v>
      </c>
      <c r="AI9" s="492">
        <f>74.71+41.549</f>
        <v>116.25899999999999</v>
      </c>
      <c r="AJ9" s="91">
        <f>32.544+20.257</f>
        <v>52.801000000000002</v>
      </c>
      <c r="AK9" s="92">
        <f>AL9-AJ9</f>
        <v>54.370999999999995</v>
      </c>
      <c r="AL9" s="476">
        <f>67.53+39.642</f>
        <v>107.172</v>
      </c>
      <c r="AM9" s="91">
        <f>38.295+20.319</f>
        <v>58.614000000000004</v>
      </c>
      <c r="AN9" s="92">
        <f>AO9-AM9</f>
        <v>70.938999999999993</v>
      </c>
      <c r="AO9" s="476">
        <f>81.553+48</f>
        <v>129.553</v>
      </c>
      <c r="AP9" s="91">
        <f>50.12+24.379</f>
        <v>74.498999999999995</v>
      </c>
      <c r="AQ9" s="92">
        <f>AR9-AP9</f>
        <v>79.839000000000027</v>
      </c>
      <c r="AR9" s="476">
        <f>104.778+49.56</f>
        <v>154.33800000000002</v>
      </c>
      <c r="AS9" s="91">
        <f>61.661+23.294</f>
        <v>84.954999999999998</v>
      </c>
      <c r="AT9" s="92">
        <f>AU9-AS9</f>
        <v>90.766999999999982</v>
      </c>
      <c r="AU9" s="476">
        <f>AU13-AU16</f>
        <v>175.72199999999998</v>
      </c>
      <c r="AV9" s="91">
        <f>68.942+23.264</f>
        <v>92.205999999999989</v>
      </c>
      <c r="AW9" s="92">
        <f>AX9-AV9</f>
        <v>103.99100000000001</v>
      </c>
      <c r="AX9" s="498">
        <f>AX13-AX16</f>
        <v>196.197</v>
      </c>
      <c r="AY9" s="38">
        <f>SUM(AY10:AY11)</f>
        <v>99.43671999999998</v>
      </c>
      <c r="AZ9" s="38">
        <f>SUM(AZ10:AZ11)</f>
        <v>113.95688500000003</v>
      </c>
      <c r="BA9" s="493">
        <f>SUM(AY9:AZ9)</f>
        <v>213.39360500000001</v>
      </c>
      <c r="BB9" s="38">
        <f>SUM(BB10:BB11)</f>
        <v>102.21732159999999</v>
      </c>
      <c r="BC9" s="38">
        <f>SUM(BC10:BC11)</f>
        <v>118.12950205000001</v>
      </c>
      <c r="BD9" s="493">
        <f>SUM(BB9:BC9)</f>
        <v>220.34682365</v>
      </c>
      <c r="BE9" s="38">
        <f>SUM(BE10:BE11)</f>
        <v>105.04984124799998</v>
      </c>
      <c r="BF9" s="38">
        <f>SUM(BF10:BF11)</f>
        <v>122.46499313650003</v>
      </c>
      <c r="BG9" s="493">
        <f>SUM(BE9:BF9)</f>
        <v>227.51483438450001</v>
      </c>
      <c r="BH9" s="38">
        <f>SUM(BH10:BH11)</f>
        <v>107.93583648543998</v>
      </c>
      <c r="BI9" s="38">
        <f>SUM(BI10:BI11)</f>
        <v>126.97012925684504</v>
      </c>
      <c r="BJ9" s="493">
        <f>SUM(BH9:BI9)</f>
        <v>234.90596574228502</v>
      </c>
      <c r="BK9" s="38">
        <f>SUM(BK10:BK11)</f>
        <v>110.87691158000318</v>
      </c>
      <c r="BL9" s="38">
        <f>SUM(BL10:BL11)</f>
        <v>131.6519787771129</v>
      </c>
      <c r="BM9" s="493">
        <f>SUM(BK9:BL9)</f>
        <v>242.5288903571161</v>
      </c>
    </row>
    <row r="10" spans="1:65">
      <c r="A10" s="6" t="s">
        <v>549</v>
      </c>
      <c r="C10" s="26"/>
      <c r="D10" s="25"/>
      <c r="E10" s="91"/>
      <c r="F10" s="91"/>
      <c r="G10" s="38"/>
      <c r="H10" s="91"/>
      <c r="I10" s="91"/>
      <c r="J10" s="38"/>
      <c r="K10" s="91"/>
      <c r="L10" s="91"/>
      <c r="M10" s="38"/>
      <c r="N10" s="91"/>
      <c r="O10" s="91"/>
      <c r="P10" s="38"/>
      <c r="Q10" s="91"/>
      <c r="R10" s="91"/>
      <c r="S10" s="38"/>
      <c r="T10" s="91"/>
      <c r="U10" s="91"/>
      <c r="V10" s="38"/>
      <c r="W10" s="91"/>
      <c r="X10" s="91"/>
      <c r="Y10" s="38"/>
      <c r="Z10" s="91"/>
      <c r="AA10" s="91"/>
      <c r="AB10" s="38"/>
      <c r="AC10" s="476"/>
      <c r="AD10" s="91"/>
      <c r="AE10" s="38"/>
      <c r="AF10" s="476"/>
      <c r="AG10" s="91">
        <f>AI10/2</f>
        <v>25.483750000000001</v>
      </c>
      <c r="AH10" s="38">
        <f>AI10-AG10</f>
        <v>25.483750000000001</v>
      </c>
      <c r="AI10" s="476">
        <f>101.935/2</f>
        <v>50.967500000000001</v>
      </c>
      <c r="AJ10" s="91">
        <f>47.938*1/2</f>
        <v>23.969000000000001</v>
      </c>
      <c r="AK10" s="38">
        <f>AL10-AJ10</f>
        <v>26.045000000000002</v>
      </c>
      <c r="AL10" s="476">
        <f>100.028/2</f>
        <v>50.014000000000003</v>
      </c>
      <c r="AM10" s="91">
        <f>58.595/2</f>
        <v>29.297499999999999</v>
      </c>
      <c r="AN10" s="38">
        <f>AO10-AM10</f>
        <v>31.200499999999998</v>
      </c>
      <c r="AO10" s="476">
        <f>120.996/2</f>
        <v>60.497999999999998</v>
      </c>
      <c r="AP10" s="91">
        <f>66.626/2</f>
        <v>33.313000000000002</v>
      </c>
      <c r="AQ10" s="38">
        <f>AR10-AP10</f>
        <v>33.832999999999998</v>
      </c>
      <c r="AR10" s="476">
        <f>134.292/2</f>
        <v>67.146000000000001</v>
      </c>
      <c r="AS10" s="91">
        <f>75.707/2</f>
        <v>37.853499999999997</v>
      </c>
      <c r="AT10" s="38">
        <f>AU10-AS10</f>
        <v>31.775000000000006</v>
      </c>
      <c r="AU10" s="476">
        <f>139.257/2</f>
        <v>69.628500000000003</v>
      </c>
      <c r="AV10" s="91">
        <f>81.4/2</f>
        <v>40.700000000000003</v>
      </c>
      <c r="AW10" s="38">
        <f>AX10-AV10</f>
        <v>35.900499999999994</v>
      </c>
      <c r="AX10" s="499">
        <f>153.201/2</f>
        <v>76.600499999999997</v>
      </c>
      <c r="AY10" s="37">
        <f>AV10+1.05</f>
        <v>41.75</v>
      </c>
      <c r="AZ10" s="37">
        <f>AW10*1.05</f>
        <v>37.695524999999996</v>
      </c>
      <c r="BA10" s="493">
        <f>SUM(AY10:AZ10)</f>
        <v>79.445525000000004</v>
      </c>
      <c r="BB10" s="37">
        <f t="shared" ref="BB10" si="5">AY10+1.05</f>
        <v>42.8</v>
      </c>
      <c r="BC10" s="37">
        <f t="shared" ref="BC10" si="6">AZ10*1.05</f>
        <v>39.580301249999998</v>
      </c>
      <c r="BD10" s="493">
        <f t="shared" ref="BD10" si="7">SUM(BB10:BC10)</f>
        <v>82.380301250000002</v>
      </c>
      <c r="BE10" s="37">
        <f t="shared" ref="BE10" si="8">BB10+1.05</f>
        <v>43.849999999999994</v>
      </c>
      <c r="BF10" s="37">
        <f t="shared" ref="BF10" si="9">BC10*1.05</f>
        <v>41.559316312500002</v>
      </c>
      <c r="BG10" s="493">
        <f t="shared" ref="BG10" si="10">SUM(BE10:BF10)</f>
        <v>85.409316312499996</v>
      </c>
      <c r="BH10" s="37">
        <f t="shared" ref="BH10" si="11">BE10+1.05</f>
        <v>44.899999999999991</v>
      </c>
      <c r="BI10" s="37">
        <f t="shared" ref="BI10" si="12">BF10*1.05</f>
        <v>43.637282128125001</v>
      </c>
      <c r="BJ10" s="493">
        <f t="shared" ref="BJ10:BJ11" si="13">SUM(BH10:BI10)</f>
        <v>88.537282128124986</v>
      </c>
      <c r="BK10" s="37">
        <f t="shared" ref="BK10" si="14">BH10+1.05</f>
        <v>45.949999999999989</v>
      </c>
      <c r="BL10" s="37">
        <f t="shared" ref="BL10" si="15">BI10*1.05</f>
        <v>45.819146234531253</v>
      </c>
      <c r="BM10" s="493">
        <f t="shared" ref="BM10:BM11" si="16">SUM(BK10:BL10)</f>
        <v>91.769146234531235</v>
      </c>
    </row>
    <row r="11" spans="1:65">
      <c r="A11" s="6" t="s">
        <v>550</v>
      </c>
      <c r="C11" s="26"/>
      <c r="D11" s="25"/>
      <c r="E11" s="91"/>
      <c r="F11" s="91"/>
      <c r="G11" s="38"/>
      <c r="H11" s="91"/>
      <c r="I11" s="91"/>
      <c r="J11" s="38"/>
      <c r="K11" s="91"/>
      <c r="L11" s="91"/>
      <c r="M11" s="38"/>
      <c r="N11" s="91"/>
      <c r="O11" s="91"/>
      <c r="P11" s="38"/>
      <c r="Q11" s="91"/>
      <c r="R11" s="91"/>
      <c r="S11" s="38"/>
      <c r="T11" s="91"/>
      <c r="U11" s="91"/>
      <c r="V11" s="38"/>
      <c r="W11" s="91"/>
      <c r="X11" s="91"/>
      <c r="Y11" s="38"/>
      <c r="Z11" s="91"/>
      <c r="AA11" s="91"/>
      <c r="AB11" s="38"/>
      <c r="AC11" s="476"/>
      <c r="AD11" s="38">
        <f>AD9</f>
        <v>34.286999999999999</v>
      </c>
      <c r="AE11" s="38">
        <f>AE9</f>
        <v>34.95900000000001</v>
      </c>
      <c r="AF11" s="493">
        <f>AF9</f>
        <v>69.246000000000009</v>
      </c>
      <c r="AG11" s="38">
        <f t="shared" ref="AG11:AL11" si="17">AG9-AG10</f>
        <v>24.731250000000003</v>
      </c>
      <c r="AH11" s="38">
        <f t="shared" si="17"/>
        <v>40.560249999999982</v>
      </c>
      <c r="AI11" s="493">
        <f t="shared" si="17"/>
        <v>65.291499999999985</v>
      </c>
      <c r="AJ11" s="38">
        <f>AJ9-AJ10</f>
        <v>28.832000000000001</v>
      </c>
      <c r="AK11" s="38">
        <f>AK9-AK10</f>
        <v>28.325999999999993</v>
      </c>
      <c r="AL11" s="493">
        <f t="shared" si="17"/>
        <v>57.157999999999994</v>
      </c>
      <c r="AM11" s="38">
        <f t="shared" ref="AM11:AR11" si="18">AM9-AM10</f>
        <v>29.316500000000005</v>
      </c>
      <c r="AN11" s="38">
        <f t="shared" si="18"/>
        <v>39.738499999999995</v>
      </c>
      <c r="AO11" s="493">
        <f t="shared" si="18"/>
        <v>69.055000000000007</v>
      </c>
      <c r="AP11" s="38">
        <f t="shared" si="18"/>
        <v>41.185999999999993</v>
      </c>
      <c r="AQ11" s="38">
        <f t="shared" si="18"/>
        <v>46.006000000000029</v>
      </c>
      <c r="AR11" s="493">
        <f t="shared" si="18"/>
        <v>87.192000000000021</v>
      </c>
      <c r="AS11" s="38">
        <f t="shared" ref="AS11:AU11" si="19">AS9-AS10</f>
        <v>47.101500000000001</v>
      </c>
      <c r="AT11" s="38">
        <f t="shared" si="19"/>
        <v>58.991999999999976</v>
      </c>
      <c r="AU11" s="493">
        <f t="shared" si="19"/>
        <v>106.09349999999998</v>
      </c>
      <c r="AV11" s="38">
        <f t="shared" ref="AV11:AX11" si="20">AV9-AV10</f>
        <v>51.505999999999986</v>
      </c>
      <c r="AW11" s="38">
        <f t="shared" si="20"/>
        <v>68.09050000000002</v>
      </c>
      <c r="AX11" s="498">
        <f t="shared" si="20"/>
        <v>119.59650000000001</v>
      </c>
      <c r="AY11" s="38">
        <f>AV11*(1+12%)</f>
        <v>57.686719999999987</v>
      </c>
      <c r="AZ11" s="38">
        <f>AW11*(1+12%)</f>
        <v>76.261360000000025</v>
      </c>
      <c r="BA11" s="493">
        <f>SUM(AY11:AZ11)</f>
        <v>133.94808</v>
      </c>
      <c r="BB11" s="38">
        <f>AY11*(1+3%)</f>
        <v>59.417321599999987</v>
      </c>
      <c r="BC11" s="38">
        <f>AZ11*(1+3%)</f>
        <v>78.549200800000023</v>
      </c>
      <c r="BD11" s="493">
        <f t="shared" ref="BD11" si="21">SUM(BB11:BC11)</f>
        <v>137.9665224</v>
      </c>
      <c r="BE11" s="38">
        <f>BB11*(1+3%)</f>
        <v>61.199841247999991</v>
      </c>
      <c r="BF11" s="38">
        <f>BC11*(1+3%)</f>
        <v>80.905676824000025</v>
      </c>
      <c r="BG11" s="493">
        <f t="shared" ref="BG11" si="22">SUM(BE11:BF11)</f>
        <v>142.10551807200002</v>
      </c>
      <c r="BH11" s="38">
        <f t="shared" ref="BH11:BI11" si="23">BE11*(1+3%)</f>
        <v>63.035836485439994</v>
      </c>
      <c r="BI11" s="38">
        <f t="shared" si="23"/>
        <v>83.332847128720033</v>
      </c>
      <c r="BJ11" s="493">
        <f t="shared" si="13"/>
        <v>146.36868361416003</v>
      </c>
      <c r="BK11" s="38">
        <f t="shared" ref="BK11:BL11" si="24">BH11*(1+3%)</f>
        <v>64.926911580003193</v>
      </c>
      <c r="BL11" s="38">
        <f t="shared" si="24"/>
        <v>85.832832542581642</v>
      </c>
      <c r="BM11" s="493">
        <f t="shared" si="16"/>
        <v>150.75974412258483</v>
      </c>
    </row>
    <row r="12" spans="1:65"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5"/>
      <c r="Q12" s="26"/>
      <c r="R12" s="26"/>
      <c r="S12" s="25"/>
      <c r="T12" s="26"/>
      <c r="U12" s="26"/>
      <c r="V12" s="25"/>
      <c r="W12" s="26"/>
      <c r="X12" s="26"/>
      <c r="Y12" s="25"/>
      <c r="Z12" s="26"/>
      <c r="AA12" s="26"/>
      <c r="AB12" s="25"/>
      <c r="AC12" s="484"/>
      <c r="AD12" s="91"/>
      <c r="AE12" s="38"/>
      <c r="AF12" s="492"/>
      <c r="AG12" s="98"/>
      <c r="AH12" s="92"/>
      <c r="AI12" s="492"/>
      <c r="AJ12" s="98"/>
      <c r="AK12" s="92"/>
      <c r="AL12" s="486"/>
      <c r="AM12" s="98"/>
      <c r="AN12" s="92"/>
      <c r="AO12" s="486"/>
      <c r="AP12" s="98"/>
      <c r="AQ12" s="92"/>
      <c r="AR12" s="486"/>
      <c r="AS12" s="98"/>
      <c r="AT12" s="92"/>
      <c r="AU12" s="486"/>
      <c r="AV12" s="98"/>
      <c r="AW12" s="92"/>
      <c r="AX12" s="507"/>
      <c r="AY12" s="37"/>
      <c r="AZ12" s="37"/>
      <c r="BA12" s="493"/>
      <c r="BB12" s="37"/>
      <c r="BC12" s="37"/>
      <c r="BD12" s="493"/>
      <c r="BE12" s="37"/>
      <c r="BF12" s="37"/>
      <c r="BG12" s="493"/>
      <c r="BH12" s="37"/>
      <c r="BI12" s="37"/>
      <c r="BJ12" s="493"/>
      <c r="BK12" s="37"/>
      <c r="BL12" s="37"/>
      <c r="BM12" s="493"/>
    </row>
    <row r="13" spans="1:65">
      <c r="A13" s="13" t="s">
        <v>392</v>
      </c>
      <c r="B13" s="55" t="s">
        <v>394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6"/>
      <c r="R13" s="25"/>
      <c r="S13" s="25"/>
      <c r="T13" s="26"/>
      <c r="U13" s="25"/>
      <c r="V13" s="25"/>
      <c r="W13" s="26"/>
      <c r="X13" s="25"/>
      <c r="Y13" s="25"/>
      <c r="Z13" s="26"/>
      <c r="AA13" s="25"/>
      <c r="AB13" s="25"/>
      <c r="AC13" s="515"/>
      <c r="AD13" s="334">
        <v>74.180999999999997</v>
      </c>
      <c r="AE13" s="90">
        <f>AF13-AD13</f>
        <v>75.214999999999989</v>
      </c>
      <c r="AF13" s="473">
        <v>149.39599999999999</v>
      </c>
      <c r="AG13" s="96">
        <v>104.292</v>
      </c>
      <c r="AH13" s="94">
        <f>AI13-AG13</f>
        <v>121.57499999999999</v>
      </c>
      <c r="AI13" s="473">
        <v>225.86699999999999</v>
      </c>
      <c r="AJ13" s="96">
        <v>114.401</v>
      </c>
      <c r="AK13" s="94">
        <f>AL13-AJ13</f>
        <v>104.02500000000002</v>
      </c>
      <c r="AL13" s="473">
        <f>218.598-0.172</f>
        <v>218.42600000000002</v>
      </c>
      <c r="AM13" s="96">
        <v>147.976</v>
      </c>
      <c r="AN13" s="94">
        <f>AO13-AM13</f>
        <v>164.06299999999999</v>
      </c>
      <c r="AO13" s="473">
        <v>312.03899999999999</v>
      </c>
      <c r="AP13" s="96">
        <v>201.80600000000001</v>
      </c>
      <c r="AQ13" s="94">
        <f>AR13-AP13</f>
        <v>199.63699999999997</v>
      </c>
      <c r="AR13" s="473">
        <v>401.44299999999998</v>
      </c>
      <c r="AS13" s="96">
        <v>218.83799999999999</v>
      </c>
      <c r="AT13" s="94">
        <f>AU13-AS13</f>
        <v>227.88399999999999</v>
      </c>
      <c r="AU13" s="473">
        <v>446.72199999999998</v>
      </c>
      <c r="AV13" s="96">
        <v>204.221</v>
      </c>
      <c r="AW13" s="94">
        <f>AX13-AV13</f>
        <v>200.976</v>
      </c>
      <c r="AX13" s="495">
        <v>405.197</v>
      </c>
      <c r="AY13" s="94">
        <f>+AY34/AY25</f>
        <v>184.6310646694983</v>
      </c>
      <c r="AZ13" s="94">
        <f>+AZ34/AZ25</f>
        <v>207.23644970657625</v>
      </c>
      <c r="BA13" s="475">
        <f>SUM(AY13:AZ13)</f>
        <v>391.86751437607455</v>
      </c>
      <c r="BB13" s="94">
        <f>+BB34/BB25</f>
        <v>205.64157800225786</v>
      </c>
      <c r="BC13" s="94">
        <f>+BC34/BC25</f>
        <v>231.00296620859811</v>
      </c>
      <c r="BD13" s="475">
        <f>SUM(BB13:BC13)</f>
        <v>436.644544210856</v>
      </c>
      <c r="BE13" s="94">
        <f>+BE34/BE25</f>
        <v>226.10941031548111</v>
      </c>
      <c r="BF13" s="94">
        <f>+BF34/BF25</f>
        <v>253.66289151081531</v>
      </c>
      <c r="BG13" s="475">
        <f>SUM(BE13:BF13)</f>
        <v>479.77230182629643</v>
      </c>
      <c r="BH13" s="94">
        <f>+BH34/BH25</f>
        <v>244.1187917280412</v>
      </c>
      <c r="BI13" s="94">
        <f>+BI34/BI25</f>
        <v>272.81895027855217</v>
      </c>
      <c r="BJ13" s="475">
        <f>SUM(BH13:BI13)</f>
        <v>516.93774200659334</v>
      </c>
      <c r="BK13" s="94">
        <f>+BK34/BK25</f>
        <v>255.83867921334979</v>
      </c>
      <c r="BL13" s="94">
        <f>+BL34/BL25</f>
        <v>288.06179463336304</v>
      </c>
      <c r="BM13" s="475">
        <f>SUM(BK13:BL13)</f>
        <v>543.90047384671288</v>
      </c>
    </row>
    <row r="14" spans="1:65">
      <c r="A14" s="89" t="s">
        <v>408</v>
      </c>
      <c r="B14" s="52" t="s">
        <v>76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478"/>
      <c r="AD14" s="30">
        <f>AD13/AD6</f>
        <v>5.9198272436066242E-2</v>
      </c>
      <c r="AE14" s="30">
        <f t="shared" ref="AE14:AO14" si="25">AE13/AE6</f>
        <v>5.5936364251595025E-2</v>
      </c>
      <c r="AF14" s="478">
        <f t="shared" si="25"/>
        <v>5.7479587274740541E-2</v>
      </c>
      <c r="AG14" s="30">
        <f t="shared" si="25"/>
        <v>6.9705237183077515E-2</v>
      </c>
      <c r="AH14" s="30">
        <f t="shared" si="25"/>
        <v>7.469141984042485E-2</v>
      </c>
      <c r="AI14" s="478">
        <f t="shared" si="25"/>
        <v>7.2303284085863659E-2</v>
      </c>
      <c r="AJ14" s="87">
        <f t="shared" si="25"/>
        <v>7.578744721755179E-2</v>
      </c>
      <c r="AK14" s="30">
        <f>AK13/AK6</f>
        <v>6.4715949705395459E-2</v>
      </c>
      <c r="AL14" s="478">
        <f>AL13/AL6</f>
        <v>7.0077804695488188E-2</v>
      </c>
      <c r="AM14" s="87">
        <f t="shared" si="25"/>
        <v>7.9264732507775104E-2</v>
      </c>
      <c r="AN14" s="30">
        <f t="shared" si="25"/>
        <v>7.2301777500041867E-2</v>
      </c>
      <c r="AO14" s="478">
        <f t="shared" si="25"/>
        <v>7.5444632495164407E-2</v>
      </c>
      <c r="AP14" s="87">
        <f t="shared" ref="AP14:AR14" si="26">AP13/AP6</f>
        <v>8.0736803445734723E-2</v>
      </c>
      <c r="AQ14" s="30">
        <f t="shared" si="26"/>
        <v>8.026811658592424E-2</v>
      </c>
      <c r="AR14" s="478">
        <f t="shared" si="26"/>
        <v>8.050304400863019E-2</v>
      </c>
      <c r="AS14" s="87">
        <f t="shared" ref="AS14:AU14" si="27">AS13/AS6</f>
        <v>8.5294479895357017E-2</v>
      </c>
      <c r="AT14" s="30">
        <f t="shared" si="27"/>
        <v>8.461068924496272E-2</v>
      </c>
      <c r="AU14" s="478">
        <f t="shared" si="27"/>
        <v>8.4944285985928875E-2</v>
      </c>
      <c r="AV14" s="87">
        <f t="shared" ref="AV14:AX14" si="28">AV13/AV6</f>
        <v>8.4315015075642444E-2</v>
      </c>
      <c r="AW14" s="30">
        <f t="shared" si="28"/>
        <v>7.5161391900897781E-2</v>
      </c>
      <c r="AX14" s="501">
        <f t="shared" si="28"/>
        <v>7.9512052974414466E-2</v>
      </c>
      <c r="AY14" s="87">
        <f t="shared" ref="AY14:BM14" si="29">AY13/AY6</f>
        <v>7.2720021808336144E-2</v>
      </c>
      <c r="AZ14" s="87">
        <f t="shared" si="29"/>
        <v>7.5962315927270943E-2</v>
      </c>
      <c r="BA14" s="478">
        <f t="shared" si="29"/>
        <v>7.4399407979406626E-2</v>
      </c>
      <c r="BB14" s="87">
        <f t="shared" si="29"/>
        <v>7.8270755610723747E-2</v>
      </c>
      <c r="BC14" s="87">
        <f t="shared" si="29"/>
        <v>8.1574450582751534E-2</v>
      </c>
      <c r="BD14" s="478">
        <f t="shared" si="29"/>
        <v>7.9984480207717132E-2</v>
      </c>
      <c r="BE14" s="87">
        <f t="shared" si="29"/>
        <v>8.1871557613872714E-2</v>
      </c>
      <c r="BF14" s="87">
        <f t="shared" si="29"/>
        <v>8.5202583912657309E-2</v>
      </c>
      <c r="BG14" s="478">
        <f t="shared" si="29"/>
        <v>8.359958728888342E-2</v>
      </c>
      <c r="BH14" s="87">
        <f t="shared" si="29"/>
        <v>8.4879795353711734E-2</v>
      </c>
      <c r="BI14" s="87">
        <f t="shared" si="29"/>
        <v>8.8200519703705266E-2</v>
      </c>
      <c r="BJ14" s="478">
        <f t="shared" si="29"/>
        <v>8.6600548682278844E-2</v>
      </c>
      <c r="BK14" s="87">
        <f t="shared" si="29"/>
        <v>8.757969956629709E-2</v>
      </c>
      <c r="BL14" s="87">
        <f t="shared" si="29"/>
        <v>9.1008672067898963E-2</v>
      </c>
      <c r="BM14" s="478">
        <f t="shared" si="29"/>
        <v>8.9362919031749505E-2</v>
      </c>
    </row>
    <row r="16" spans="1:65">
      <c r="A16" s="13" t="s">
        <v>393</v>
      </c>
      <c r="B16" s="55" t="s">
        <v>394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5"/>
      <c r="Q16" s="25"/>
      <c r="R16" s="26"/>
      <c r="S16" s="25"/>
      <c r="T16" s="25"/>
      <c r="U16" s="26"/>
      <c r="V16" s="25"/>
      <c r="W16" s="25"/>
      <c r="X16" s="26"/>
      <c r="Y16" s="25"/>
      <c r="Z16" s="25"/>
      <c r="AA16" s="26"/>
      <c r="AB16" s="25"/>
      <c r="AC16" s="485"/>
      <c r="AD16" s="90">
        <f t="shared" ref="AD16:AL16" si="30">AD13-AD9</f>
        <v>39.893999999999998</v>
      </c>
      <c r="AE16" s="90">
        <f t="shared" si="30"/>
        <v>40.255999999999979</v>
      </c>
      <c r="AF16" s="477">
        <f t="shared" si="30"/>
        <v>80.149999999999977</v>
      </c>
      <c r="AG16" s="90">
        <f t="shared" si="30"/>
        <v>54.076999999999998</v>
      </c>
      <c r="AH16" s="90">
        <f t="shared" si="30"/>
        <v>55.531000000000006</v>
      </c>
      <c r="AI16" s="477">
        <f t="shared" si="30"/>
        <v>109.608</v>
      </c>
      <c r="AJ16" s="90">
        <f t="shared" si="30"/>
        <v>61.599999999999994</v>
      </c>
      <c r="AK16" s="90">
        <f t="shared" si="30"/>
        <v>49.654000000000025</v>
      </c>
      <c r="AL16" s="477">
        <f t="shared" si="30"/>
        <v>111.25400000000002</v>
      </c>
      <c r="AM16" s="90">
        <f>AM13-AM9</f>
        <v>89.361999999999995</v>
      </c>
      <c r="AN16" s="90">
        <f>AN13-AN9</f>
        <v>93.123999999999995</v>
      </c>
      <c r="AO16" s="477">
        <f>SUM(AM16:AN16)-1.851</f>
        <v>180.63499999999999</v>
      </c>
      <c r="AP16" s="90">
        <f>AP13-AP9</f>
        <v>127.30700000000002</v>
      </c>
      <c r="AQ16" s="90">
        <f>AR16-AP16</f>
        <v>119.79799999999994</v>
      </c>
      <c r="AR16" s="477">
        <f>AR13-AR9</f>
        <v>247.10499999999996</v>
      </c>
      <c r="AS16" s="90">
        <f>AS13-AS9</f>
        <v>133.88299999999998</v>
      </c>
      <c r="AT16" s="90">
        <f>AU16-AS16</f>
        <v>137.11700000000002</v>
      </c>
      <c r="AU16" s="481">
        <v>271</v>
      </c>
      <c r="AV16" s="90">
        <f>AV13-AV9</f>
        <v>112.01500000000001</v>
      </c>
      <c r="AW16" s="90">
        <f>AX16-AV16</f>
        <v>96.984999999999985</v>
      </c>
      <c r="AX16" s="500">
        <v>209</v>
      </c>
      <c r="AY16" s="90">
        <f>AY13-AY9</f>
        <v>85.194344669498321</v>
      </c>
      <c r="AZ16" s="90">
        <f>AZ13-AZ9</f>
        <v>93.279564706576224</v>
      </c>
      <c r="BA16" s="477">
        <f>SUM(AY16:AZ16)</f>
        <v>178.47390937607454</v>
      </c>
      <c r="BB16" s="90">
        <f>BB13-BB9</f>
        <v>103.42425640225787</v>
      </c>
      <c r="BC16" s="90">
        <f>BC13-BC9</f>
        <v>112.8734641585981</v>
      </c>
      <c r="BD16" s="477">
        <f>SUM(BB16:BC16)</f>
        <v>216.29772056085596</v>
      </c>
      <c r="BE16" s="90">
        <f>BE13-BE9</f>
        <v>121.05956906748114</v>
      </c>
      <c r="BF16" s="90">
        <f>BF13-BF9</f>
        <v>131.19789837431529</v>
      </c>
      <c r="BG16" s="477">
        <f>SUM(BE16:BF16)</f>
        <v>252.25746744179642</v>
      </c>
      <c r="BH16" s="90">
        <f>BH13-BH9</f>
        <v>136.18295524260122</v>
      </c>
      <c r="BI16" s="90">
        <f>BI13-BI9</f>
        <v>145.84882102170712</v>
      </c>
      <c r="BJ16" s="477">
        <f>SUM(BH16:BI16)</f>
        <v>282.03177626430835</v>
      </c>
      <c r="BK16" s="90">
        <f>BK13-BK9</f>
        <v>144.9617676333466</v>
      </c>
      <c r="BL16" s="90">
        <f>BL13-BL9</f>
        <v>156.40981585625013</v>
      </c>
      <c r="BM16" s="477">
        <f>SUM(BK16:BL16)</f>
        <v>301.37158348959673</v>
      </c>
    </row>
    <row r="17" spans="1:65">
      <c r="A17" s="89" t="s">
        <v>408</v>
      </c>
      <c r="B17" s="52" t="s">
        <v>76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87"/>
      <c r="Q17" s="30"/>
      <c r="R17" s="30"/>
      <c r="S17" s="87"/>
      <c r="T17" s="30"/>
      <c r="U17" s="30"/>
      <c r="V17" s="87"/>
      <c r="W17" s="30"/>
      <c r="X17" s="30"/>
      <c r="Y17" s="87"/>
      <c r="Z17" s="30"/>
      <c r="AA17" s="30"/>
      <c r="AB17" s="87"/>
      <c r="AC17" s="478"/>
      <c r="AD17" s="30">
        <f t="shared" ref="AD17:AI17" si="31">AD16/AD6</f>
        <v>3.1836398546318152E-2</v>
      </c>
      <c r="AE17" s="87">
        <f t="shared" si="31"/>
        <v>2.9937835263075294E-2</v>
      </c>
      <c r="AF17" s="478">
        <f t="shared" si="31"/>
        <v>3.0837431524742654E-2</v>
      </c>
      <c r="AG17" s="30">
        <f t="shared" si="31"/>
        <v>3.6143233528451675E-2</v>
      </c>
      <c r="AH17" s="87">
        <f t="shared" si="31"/>
        <v>3.4116300515390767E-2</v>
      </c>
      <c r="AI17" s="478">
        <f t="shared" si="31"/>
        <v>3.5087101533572161E-2</v>
      </c>
      <c r="AJ17" s="87">
        <f>AJ16/AJ6</f>
        <v>4.0808268709200006E-2</v>
      </c>
      <c r="AK17" s="87">
        <f>AK16/AK6</f>
        <v>3.0890706721189206E-2</v>
      </c>
      <c r="AL17" s="478">
        <f>AL16/AL6</f>
        <v>3.5693718163551241E-2</v>
      </c>
      <c r="AM17" s="87">
        <f t="shared" ref="AM17:AO17" si="32">AM16/AM6</f>
        <v>4.7867593571658901E-2</v>
      </c>
      <c r="AN17" s="87">
        <f t="shared" si="32"/>
        <v>4.1039300317036134E-2</v>
      </c>
      <c r="AO17" s="478">
        <f t="shared" si="32"/>
        <v>4.3673839458413924E-2</v>
      </c>
      <c r="AP17" s="87">
        <f t="shared" ref="AP17:AU17" si="33">AP16/AP6</f>
        <v>5.0931886248506739E-2</v>
      </c>
      <c r="AQ17" s="87">
        <f t="shared" si="33"/>
        <v>4.816722266293598E-2</v>
      </c>
      <c r="AR17" s="478">
        <f t="shared" si="33"/>
        <v>4.9552999279480675E-2</v>
      </c>
      <c r="AS17" s="87">
        <f t="shared" si="33"/>
        <v>5.2182348823467964E-2</v>
      </c>
      <c r="AT17" s="87">
        <f t="shared" si="33"/>
        <v>5.0909953648354232E-2</v>
      </c>
      <c r="AU17" s="478">
        <f t="shared" si="33"/>
        <v>5.1530709260315652E-2</v>
      </c>
      <c r="AV17" s="87">
        <f t="shared" ref="AV17:AX17" si="34">AV16/AV6</f>
        <v>4.6246695558723586E-2</v>
      </c>
      <c r="AW17" s="87">
        <f t="shared" si="34"/>
        <v>3.6270637257725155E-2</v>
      </c>
      <c r="AX17" s="501">
        <f t="shared" si="34"/>
        <v>4.1012196713333574E-2</v>
      </c>
      <c r="AY17" s="87">
        <f t="shared" ref="AY17:BM17" si="35">AY16/AY6</f>
        <v>3.355521246331368E-2</v>
      </c>
      <c r="AZ17" s="87">
        <f t="shared" si="35"/>
        <v>3.4191532299611693E-2</v>
      </c>
      <c r="BA17" s="478">
        <f t="shared" si="35"/>
        <v>3.3884802159453831E-2</v>
      </c>
      <c r="BB17" s="87">
        <f t="shared" si="35"/>
        <v>3.9365067977610427E-2</v>
      </c>
      <c r="BC17" s="87">
        <f t="shared" si="35"/>
        <v>3.9859188716195898E-2</v>
      </c>
      <c r="BD17" s="478">
        <f t="shared" si="35"/>
        <v>3.9621383064435377E-2</v>
      </c>
      <c r="BE17" s="87">
        <f t="shared" si="35"/>
        <v>4.3834245862611414E-2</v>
      </c>
      <c r="BF17" s="87">
        <f t="shared" si="35"/>
        <v>4.4067935514033492E-2</v>
      </c>
      <c r="BG17" s="478">
        <f t="shared" si="35"/>
        <v>4.3955476563355987E-2</v>
      </c>
      <c r="BH17" s="87">
        <f t="shared" si="35"/>
        <v>4.7350641422693511E-2</v>
      </c>
      <c r="BI17" s="87">
        <f t="shared" si="35"/>
        <v>4.7151936473448744E-2</v>
      </c>
      <c r="BJ17" s="478">
        <f t="shared" si="35"/>
        <v>4.7247675272306368E-2</v>
      </c>
      <c r="BK17" s="87">
        <f t="shared" si="35"/>
        <v>4.9623880552246827E-2</v>
      </c>
      <c r="BL17" s="87">
        <f t="shared" si="35"/>
        <v>4.9415264032425382E-2</v>
      </c>
      <c r="BM17" s="478">
        <f t="shared" si="35"/>
        <v>4.951539060699741E-2</v>
      </c>
    </row>
    <row r="19" spans="1:65">
      <c r="A19" s="6" t="s">
        <v>157</v>
      </c>
      <c r="B19" s="52" t="s">
        <v>394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5"/>
      <c r="Q19" s="26"/>
      <c r="R19" s="26"/>
      <c r="S19" s="25"/>
      <c r="T19" s="26"/>
      <c r="U19" s="26"/>
      <c r="V19" s="25"/>
      <c r="W19" s="26"/>
      <c r="X19" s="26"/>
      <c r="Y19" s="25"/>
      <c r="Z19" s="26"/>
      <c r="AA19" s="26"/>
      <c r="AB19" s="25"/>
      <c r="AC19" s="484"/>
      <c r="AD19" s="26"/>
      <c r="AE19" s="92">
        <f>AF19</f>
        <v>2541.5329999999999</v>
      </c>
      <c r="AF19" s="492">
        <v>2541.5329999999999</v>
      </c>
      <c r="AG19" s="98">
        <v>2992.8</v>
      </c>
      <c r="AH19" s="92">
        <f>AI19</f>
        <v>3264.355</v>
      </c>
      <c r="AI19" s="492">
        <v>3264.355</v>
      </c>
      <c r="AJ19" s="98">
        <v>2851.0839999999998</v>
      </c>
      <c r="AK19" s="92">
        <f>AL19</f>
        <v>3177.2809999999999</v>
      </c>
      <c r="AL19" s="492">
        <v>3177.2809999999999</v>
      </c>
      <c r="AM19" s="98">
        <v>3426.9780000000001</v>
      </c>
      <c r="AN19" s="92">
        <f>AO19</f>
        <v>3904.7849999999999</v>
      </c>
      <c r="AO19" s="492">
        <v>3904.7849999999999</v>
      </c>
      <c r="AP19" s="98">
        <v>3860.8020000000001</v>
      </c>
      <c r="AQ19" s="92">
        <f>AR19</f>
        <v>4166.6109999999999</v>
      </c>
      <c r="AR19" s="492">
        <v>4166.6109999999999</v>
      </c>
      <c r="AS19" s="98">
        <v>4029.8829999999998</v>
      </c>
      <c r="AT19" s="92">
        <f>AU19</f>
        <v>4317.9049999999997</v>
      </c>
      <c r="AU19" s="492">
        <v>4317.9049999999997</v>
      </c>
      <c r="AV19" s="98">
        <v>4514.2969999999996</v>
      </c>
      <c r="AW19" s="92">
        <f>AX19</f>
        <v>4585.1059999999998</v>
      </c>
      <c r="AX19" s="505">
        <v>4585.1059999999998</v>
      </c>
    </row>
    <row r="20" spans="1:65">
      <c r="A20" s="364" t="s">
        <v>40</v>
      </c>
      <c r="B20" s="52" t="s">
        <v>76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478"/>
      <c r="AD20" s="30"/>
      <c r="AE20" s="30">
        <f>(AE16*2)/AE19</f>
        <v>3.1678518437494203E-2</v>
      </c>
      <c r="AF20" s="478">
        <f>AF16/AF19</f>
        <v>3.1536084717373326E-2</v>
      </c>
      <c r="AG20" s="30">
        <f>(AG16*2)/AG19</f>
        <v>3.6138064688585936E-2</v>
      </c>
      <c r="AH20" s="30">
        <f>(AH16*2)/AH19</f>
        <v>3.4022647659338524E-2</v>
      </c>
      <c r="AI20" s="478">
        <f>AI16/AI19</f>
        <v>3.357723041764759E-2</v>
      </c>
      <c r="AJ20" s="30">
        <f>(AJ16*2)/AJ19</f>
        <v>4.3211634592316465E-2</v>
      </c>
      <c r="AK20" s="30">
        <f>(AK16*2)/AK19</f>
        <v>3.1255655385847222E-2</v>
      </c>
      <c r="AL20" s="478">
        <f>AL16/AL19</f>
        <v>3.5015473922514258E-2</v>
      </c>
      <c r="AM20" s="30">
        <f>(AM16*2)/AM19</f>
        <v>5.2152071008334452E-2</v>
      </c>
      <c r="AN20" s="30">
        <f>(AN16*2)/AN19</f>
        <v>4.7697376424054076E-2</v>
      </c>
      <c r="AO20" s="478">
        <f>AO16/AO19</f>
        <v>4.625990931639002E-2</v>
      </c>
      <c r="AP20" s="30">
        <f>(AP16*2)/AP19</f>
        <v>6.5948473918113398E-2</v>
      </c>
      <c r="AQ20" s="30">
        <f>(AQ16*2)/AQ19</f>
        <v>5.7503808250878204E-2</v>
      </c>
      <c r="AR20" s="478">
        <f>AR16/AR19</f>
        <v>5.9305992328057493E-2</v>
      </c>
      <c r="AS20" s="30">
        <f>(AS16*2)/AS19</f>
        <v>6.6445105230102205E-2</v>
      </c>
      <c r="AT20" s="30">
        <f>(AT16*2)/AT19</f>
        <v>6.3510892435104535E-2</v>
      </c>
      <c r="AU20" s="478">
        <f>AU16/AU19</f>
        <v>6.27619181061186E-2</v>
      </c>
      <c r="AV20" s="30">
        <f>(AV16*2)/AV19</f>
        <v>4.962677466724056E-2</v>
      </c>
      <c r="AW20" s="30">
        <f>(AW16*2)/AW19</f>
        <v>4.2304365482499204E-2</v>
      </c>
      <c r="AX20" s="501">
        <f>AX16/AX19</f>
        <v>4.5582370396671311E-2</v>
      </c>
    </row>
    <row r="21" spans="1:65">
      <c r="A21" s="6" t="s">
        <v>267</v>
      </c>
      <c r="B21" s="52" t="s">
        <v>394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5"/>
      <c r="Q21" s="26"/>
      <c r="R21" s="26"/>
      <c r="S21" s="25"/>
      <c r="T21" s="26"/>
      <c r="U21" s="26"/>
      <c r="V21" s="25"/>
      <c r="W21" s="26"/>
      <c r="X21" s="26"/>
      <c r="Y21" s="25"/>
      <c r="Z21" s="26"/>
      <c r="AA21" s="26"/>
      <c r="AB21" s="25"/>
      <c r="AC21" s="484"/>
      <c r="AD21" s="26"/>
      <c r="AE21" s="92">
        <f>AF21</f>
        <v>1071.9469999999999</v>
      </c>
      <c r="AF21" s="492">
        <v>1071.9469999999999</v>
      </c>
      <c r="AG21" s="98">
        <v>1508.075</v>
      </c>
      <c r="AH21" s="92">
        <f>AI21</f>
        <v>1737.537</v>
      </c>
      <c r="AI21" s="492">
        <v>1737.537</v>
      </c>
      <c r="AJ21" s="98">
        <v>1454.8920000000001</v>
      </c>
      <c r="AK21" s="92">
        <f>AL21</f>
        <v>1700.82</v>
      </c>
      <c r="AL21" s="492">
        <v>1700.82</v>
      </c>
      <c r="AM21" s="98">
        <v>1837.595</v>
      </c>
      <c r="AN21" s="92">
        <f>AO21</f>
        <v>2091.6019999999999</v>
      </c>
      <c r="AO21" s="492">
        <v>2091.6019999999999</v>
      </c>
      <c r="AP21" s="98">
        <v>1933.8720000000001</v>
      </c>
      <c r="AQ21" s="92">
        <f>AR21</f>
        <v>2196.0459999999998</v>
      </c>
      <c r="AR21" s="492">
        <v>2196.0459999999998</v>
      </c>
      <c r="AS21" s="98">
        <v>2055.4059999999999</v>
      </c>
      <c r="AT21" s="92">
        <f>AU21</f>
        <v>2207.0219999999999</v>
      </c>
      <c r="AU21" s="492">
        <v>2207.0219999999999</v>
      </c>
      <c r="AV21" s="98">
        <v>2211.4670000000001</v>
      </c>
      <c r="AW21" s="92">
        <f>AX21</f>
        <v>2360.31</v>
      </c>
      <c r="AX21" s="505">
        <v>2360.31</v>
      </c>
    </row>
    <row r="22" spans="1:65">
      <c r="A22" s="6" t="s">
        <v>228</v>
      </c>
      <c r="B22" s="52" t="s">
        <v>394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485"/>
      <c r="AD22" s="25"/>
      <c r="AE22" s="92">
        <f t="shared" ref="AE22:AJ22" si="36">AE19-AE21</f>
        <v>1469.586</v>
      </c>
      <c r="AF22" s="486">
        <f t="shared" si="36"/>
        <v>1469.586</v>
      </c>
      <c r="AG22" s="92">
        <f t="shared" si="36"/>
        <v>1484.7250000000001</v>
      </c>
      <c r="AH22" s="92">
        <f t="shared" si="36"/>
        <v>1526.818</v>
      </c>
      <c r="AI22" s="486">
        <f t="shared" si="36"/>
        <v>1526.818</v>
      </c>
      <c r="AJ22" s="92">
        <f t="shared" si="36"/>
        <v>1396.1919999999998</v>
      </c>
      <c r="AK22" s="92">
        <f t="shared" ref="AK22:AR22" si="37">AK19-AK21</f>
        <v>1476.461</v>
      </c>
      <c r="AL22" s="486">
        <f t="shared" si="37"/>
        <v>1476.461</v>
      </c>
      <c r="AM22" s="92">
        <f t="shared" si="37"/>
        <v>1589.383</v>
      </c>
      <c r="AN22" s="92">
        <f t="shared" si="37"/>
        <v>1813.183</v>
      </c>
      <c r="AO22" s="486">
        <f t="shared" si="37"/>
        <v>1813.183</v>
      </c>
      <c r="AP22" s="92">
        <f t="shared" si="37"/>
        <v>1926.93</v>
      </c>
      <c r="AQ22" s="92">
        <f t="shared" si="37"/>
        <v>1970.5650000000001</v>
      </c>
      <c r="AR22" s="486">
        <f t="shared" si="37"/>
        <v>1970.5650000000001</v>
      </c>
      <c r="AS22" s="92">
        <f t="shared" ref="AS22:AU22" si="38">AS19-AS21</f>
        <v>1974.4769999999999</v>
      </c>
      <c r="AT22" s="92">
        <f t="shared" si="38"/>
        <v>2110.8829999999998</v>
      </c>
      <c r="AU22" s="486">
        <f t="shared" si="38"/>
        <v>2110.8829999999998</v>
      </c>
      <c r="AV22" s="92">
        <f t="shared" ref="AV22:AX22" si="39">AV19-AV21</f>
        <v>2302.8299999999995</v>
      </c>
      <c r="AW22" s="92">
        <f t="shared" si="39"/>
        <v>2224.7959999999998</v>
      </c>
      <c r="AX22" s="507">
        <f t="shared" si="39"/>
        <v>2224.7959999999998</v>
      </c>
    </row>
    <row r="23" spans="1:65">
      <c r="A23" s="364" t="s">
        <v>268</v>
      </c>
      <c r="B23" s="52" t="s">
        <v>76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478"/>
      <c r="AD23" s="30"/>
      <c r="AE23" s="30">
        <f>(AE16*2)/AE22</f>
        <v>5.4785497412196328E-2</v>
      </c>
      <c r="AF23" s="478">
        <f>AF16/AF22</f>
        <v>5.4539169534821352E-2</v>
      </c>
      <c r="AG23" s="30">
        <f>(AG16*2)/AG22</f>
        <v>7.2844466146929562E-2</v>
      </c>
      <c r="AH23" s="30">
        <f>(AH16*2)/AH22</f>
        <v>7.2740824381163971E-2</v>
      </c>
      <c r="AI23" s="478">
        <f>AI16/AI22</f>
        <v>7.1788517033464366E-2</v>
      </c>
      <c r="AJ23" s="30">
        <f>(AJ16*2)/AJ22</f>
        <v>8.8240012834910966E-2</v>
      </c>
      <c r="AK23" s="30">
        <f>(AK16*2)/AK22</f>
        <v>6.7260835199846158E-2</v>
      </c>
      <c r="AL23" s="478">
        <f>AL16/AL22</f>
        <v>7.5351804077452789E-2</v>
      </c>
      <c r="AM23" s="30">
        <f>(AM16*2)/AM22</f>
        <v>0.11244866718720409</v>
      </c>
      <c r="AN23" s="30">
        <f>(AN16*2)/AN22</f>
        <v>0.10271880996016397</v>
      </c>
      <c r="AO23" s="478">
        <f>AO16/AO22</f>
        <v>9.962314890444042E-2</v>
      </c>
      <c r="AP23" s="30">
        <f>(AP16*2)/AP22</f>
        <v>0.13213453524518276</v>
      </c>
      <c r="AQ23" s="30">
        <f>(AQ16*2)/AQ22</f>
        <v>0.12158746349397248</v>
      </c>
      <c r="AR23" s="478">
        <f>AR16/AR22</f>
        <v>0.12539804573815122</v>
      </c>
      <c r="AS23" s="30">
        <f>(AS16*2)/AS22</f>
        <v>0.13561363338240962</v>
      </c>
      <c r="AT23" s="30">
        <f>(AT16*2)/AT22</f>
        <v>0.129914353377236</v>
      </c>
      <c r="AU23" s="478">
        <f>AU16/AU22</f>
        <v>0.12838229309724888</v>
      </c>
      <c r="AV23" s="30">
        <f>(AV16*2)/AV22</f>
        <v>9.7284645414555171E-2</v>
      </c>
      <c r="AW23" s="30">
        <f>(AW16*2)/AW22</f>
        <v>8.718552172873377E-2</v>
      </c>
      <c r="AX23" s="501">
        <f>AX16/AX22</f>
        <v>9.3941197305281027E-2</v>
      </c>
    </row>
    <row r="25" spans="1:65">
      <c r="A25" s="373" t="s">
        <v>327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516"/>
      <c r="AD25" s="65">
        <f>'Market Drivers'!S75</f>
        <v>0</v>
      </c>
      <c r="AE25" s="65">
        <f>'Market Drivers'!T75</f>
        <v>0</v>
      </c>
      <c r="AF25" s="516">
        <f>'Market Drivers'!U75</f>
        <v>0</v>
      </c>
      <c r="AG25" s="65">
        <f>'Market Drivers'!V75</f>
        <v>0.67999999999999994</v>
      </c>
      <c r="AH25" s="65">
        <f>'Market Drivers'!W75</f>
        <v>0.73499999999999999</v>
      </c>
      <c r="AI25" s="516">
        <f>'Market Drivers'!X75</f>
        <v>0.70750000000000002</v>
      </c>
      <c r="AJ25" s="65">
        <f>'Market Drivers'!Y75</f>
        <v>0.71635833333333343</v>
      </c>
      <c r="AK25" s="65">
        <f>+'Market Drivers'!Z74</f>
        <v>0.77074166666666655</v>
      </c>
      <c r="AL25" s="516">
        <f>+'Market Drivers'!AA74</f>
        <v>0.74354999999999993</v>
      </c>
      <c r="AM25" s="65">
        <f>'Market Drivers'!AB75</f>
        <v>0.73604999999999998</v>
      </c>
      <c r="AN25" s="65">
        <f>AN28/AN3</f>
        <v>0.71480762332194292</v>
      </c>
      <c r="AO25" s="516">
        <f>+AVERAGE(AM25:AN25)</f>
        <v>0.72542881166097151</v>
      </c>
      <c r="AP25" s="65">
        <f>'Market Drivers'!AE75</f>
        <v>0.67</v>
      </c>
      <c r="AQ25" s="65">
        <f>AQ28/AQ3</f>
        <v>0.66904504675474974</v>
      </c>
      <c r="AR25" s="516">
        <f>+AVERAGE(AP25:AQ25)</f>
        <v>0.66952252337737495</v>
      </c>
      <c r="AS25" s="65">
        <f>'Market Drivers'!AH75</f>
        <v>0.65304951276923084</v>
      </c>
      <c r="AT25" s="65">
        <f>AT28/AT3</f>
        <v>0.65680920676457788</v>
      </c>
      <c r="AU25" s="516">
        <f>+AVERAGE(AS25:AT25)</f>
        <v>0.65492935976690436</v>
      </c>
      <c r="AV25" s="65">
        <f>'Market Drivers'!AK75</f>
        <v>0.66166574193206507</v>
      </c>
      <c r="AW25" s="65">
        <f>AW28/AW3</f>
        <v>0.63576927708545417</v>
      </c>
      <c r="AX25" s="523">
        <f>+AVERAGE(AV25:AW25)</f>
        <v>0.64871750950875962</v>
      </c>
      <c r="AY25" s="65">
        <f>+'Market Drivers'!AN74</f>
        <v>0.66</v>
      </c>
      <c r="AZ25" s="65">
        <f>+'Market Drivers'!AO74</f>
        <v>0.66</v>
      </c>
      <c r="BA25" s="516">
        <f>+'Market Drivers'!AP74</f>
        <v>0.66</v>
      </c>
      <c r="BB25" s="65">
        <f>+'Market Drivers'!AQ74</f>
        <v>0.67</v>
      </c>
      <c r="BC25" s="65">
        <f>+'Market Drivers'!AR74</f>
        <v>0.67</v>
      </c>
      <c r="BD25" s="516">
        <f>+'Market Drivers'!AS74</f>
        <v>0.67</v>
      </c>
      <c r="BE25" s="65">
        <f>+'Market Drivers'!AT74</f>
        <v>0.67</v>
      </c>
      <c r="BF25" s="65">
        <f>+'Market Drivers'!AU74</f>
        <v>0.67</v>
      </c>
      <c r="BG25" s="516">
        <f>+'Market Drivers'!AV74</f>
        <v>0.67</v>
      </c>
      <c r="BH25" s="65">
        <f>+'Market Drivers'!AW74</f>
        <v>0.67</v>
      </c>
      <c r="BI25" s="65">
        <f>+'Market Drivers'!AX74</f>
        <v>0.67</v>
      </c>
      <c r="BJ25" s="516">
        <f>+'Market Drivers'!AY74</f>
        <v>0.67</v>
      </c>
      <c r="BK25" s="65">
        <f>+'Market Drivers'!AZ74</f>
        <v>0.67</v>
      </c>
      <c r="BL25" s="65">
        <f>+'Market Drivers'!BA74</f>
        <v>0.67</v>
      </c>
      <c r="BM25" s="516">
        <f>+'Market Drivers'!BB74</f>
        <v>0.67</v>
      </c>
    </row>
    <row r="26" spans="1:65">
      <c r="A26" s="6" t="s">
        <v>554</v>
      </c>
      <c r="AI26" s="516">
        <f>+AI28/AI3</f>
        <v>0.67071723503065794</v>
      </c>
      <c r="AL26" s="516">
        <f>+AL28/AL3</f>
        <v>0.74849843129743676</v>
      </c>
      <c r="AO26" s="516"/>
      <c r="AR26" s="516"/>
      <c r="AU26" s="516"/>
      <c r="AX26" s="523"/>
    </row>
    <row r="27" spans="1:65">
      <c r="A27" s="331" t="s">
        <v>471</v>
      </c>
    </row>
    <row r="28" spans="1:65" s="13" customFormat="1">
      <c r="A28" s="13" t="s">
        <v>223</v>
      </c>
      <c r="B28" s="55" t="s">
        <v>396</v>
      </c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477"/>
      <c r="AD28" s="94">
        <f>AD6*AD25</f>
        <v>0</v>
      </c>
      <c r="AE28" s="94">
        <f>+AF28-AD28</f>
        <v>0</v>
      </c>
      <c r="AF28" s="475">
        <f>AF6*AF25</f>
        <v>0</v>
      </c>
      <c r="AG28" s="94">
        <f>AG6*AG25</f>
        <v>1017.4064799999999</v>
      </c>
      <c r="AH28" s="94">
        <f>+AI28-AG28</f>
        <v>1076.5935200000001</v>
      </c>
      <c r="AI28" s="473">
        <v>2094</v>
      </c>
      <c r="AJ28" s="96">
        <v>1100</v>
      </c>
      <c r="AK28" s="94">
        <f>+AL28-AJ28</f>
        <v>1233</v>
      </c>
      <c r="AL28" s="473">
        <v>2333</v>
      </c>
      <c r="AM28" s="96">
        <v>1364</v>
      </c>
      <c r="AN28" s="94">
        <f>AO28-AM28</f>
        <v>1622</v>
      </c>
      <c r="AO28" s="473">
        <v>2986</v>
      </c>
      <c r="AP28" s="96">
        <v>1678</v>
      </c>
      <c r="AQ28" s="94">
        <f>AR28-AP28</f>
        <v>1664</v>
      </c>
      <c r="AR28" s="473">
        <v>3342</v>
      </c>
      <c r="AS28" s="96">
        <v>1683</v>
      </c>
      <c r="AT28" s="94">
        <f>AU28-AS28</f>
        <v>1769</v>
      </c>
      <c r="AU28" s="473">
        <v>3452</v>
      </c>
      <c r="AV28" s="96">
        <v>1596</v>
      </c>
      <c r="AW28" s="94">
        <f>AX28-AV28</f>
        <v>1700</v>
      </c>
      <c r="AX28" s="495">
        <v>3296</v>
      </c>
      <c r="AY28" s="94">
        <f>AV28*(1+AY32)</f>
        <v>1675.6939787922349</v>
      </c>
      <c r="AZ28" s="94">
        <f>AW28*(1+AZ32)</f>
        <v>1800.5777619694304</v>
      </c>
      <c r="BA28" s="475">
        <f>SUM(AY28:AZ28)</f>
        <v>3476.2717407616656</v>
      </c>
      <c r="BB28" s="94">
        <f>AY28*(1+BB32)</f>
        <v>1760.2980345143849</v>
      </c>
      <c r="BC28" s="94">
        <f>AZ28*(1+BC32)</f>
        <v>1897.3095896337722</v>
      </c>
      <c r="BD28" s="475">
        <f>SUM(BB28:BC28)</f>
        <v>3657.6076241481569</v>
      </c>
      <c r="BE28" s="94">
        <f>BB28*(1+BE32)</f>
        <v>1850.3777053546933</v>
      </c>
      <c r="BF28" s="94">
        <f>BC28*(1+BF32)</f>
        <v>1994.7063751783548</v>
      </c>
      <c r="BG28" s="475">
        <f>SUM(BE28:BF28)</f>
        <v>3845.0840805330481</v>
      </c>
      <c r="BH28" s="94">
        <f>BE28*(1+BH32)</f>
        <v>1926.9555231159645</v>
      </c>
      <c r="BI28" s="94">
        <f>BF28*(1+BI32)</f>
        <v>2072.4219913973034</v>
      </c>
      <c r="BJ28" s="475">
        <f>SUM(BH28:BI28)</f>
        <v>3999.3775145132677</v>
      </c>
      <c r="BK28" s="94">
        <f>BH28*(1+BK32)</f>
        <v>1957.2105855785337</v>
      </c>
      <c r="BL28" s="94">
        <f>BI28*(1+BL32)</f>
        <v>2120.6924353358372</v>
      </c>
      <c r="BM28" s="475">
        <f>SUM(BK28:BL28)</f>
        <v>4077.9030209143712</v>
      </c>
    </row>
    <row r="29" spans="1:65">
      <c r="A29" s="329" t="s">
        <v>411</v>
      </c>
      <c r="B29" s="101" t="s">
        <v>76</v>
      </c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474"/>
      <c r="AD29" s="63"/>
      <c r="AE29" s="332"/>
      <c r="AF29" s="520"/>
      <c r="AG29" s="63"/>
      <c r="AH29" s="332"/>
      <c r="AI29" s="520"/>
      <c r="AJ29" s="63"/>
      <c r="AK29" s="333"/>
      <c r="AL29" s="513"/>
      <c r="AM29" s="63"/>
      <c r="AN29" s="333"/>
      <c r="AO29" s="513"/>
      <c r="AP29" s="63"/>
      <c r="AQ29" s="333"/>
      <c r="AR29" s="513"/>
      <c r="AS29" s="63"/>
      <c r="AT29" s="333"/>
      <c r="AU29" s="513"/>
      <c r="AV29" s="63"/>
      <c r="AW29" s="333"/>
      <c r="AX29" s="524"/>
      <c r="AY29" s="333">
        <f t="shared" ref="AY29:BL29" si="40">AY48</f>
        <v>3.4933570671826369E-2</v>
      </c>
      <c r="AZ29" s="333">
        <f t="shared" si="40"/>
        <v>3.4163389393782599E-2</v>
      </c>
      <c r="BA29" s="513">
        <f>+AVERAGE(AY29:AZ29)</f>
        <v>3.4548480032804488E-2</v>
      </c>
      <c r="BB29" s="333">
        <f t="shared" si="40"/>
        <v>2.5488965642240291E-2</v>
      </c>
      <c r="BC29" s="333">
        <f t="shared" si="40"/>
        <v>2.8722660419030703E-2</v>
      </c>
      <c r="BD29" s="513">
        <f>+AVERAGE(BB29:BC29)</f>
        <v>2.7105813030635497E-2</v>
      </c>
      <c r="BE29" s="333">
        <f t="shared" si="40"/>
        <v>3.1172965642240549E-2</v>
      </c>
      <c r="BF29" s="333">
        <f>BF48</f>
        <v>3.1334155520387347E-2</v>
      </c>
      <c r="BG29" s="513">
        <f>+AVERAGE(BE29:BF29)</f>
        <v>3.1253560581313948E-2</v>
      </c>
      <c r="BH29" s="333">
        <f>BH48</f>
        <v>2.1384965642240322E-2</v>
      </c>
      <c r="BI29" s="333">
        <f t="shared" si="40"/>
        <v>1.8960930383550775E-2</v>
      </c>
      <c r="BJ29" s="513">
        <f>+AVERAGE(BH29:BI29)</f>
        <v>2.0172948012895549E-2</v>
      </c>
      <c r="BK29" s="333">
        <f t="shared" si="40"/>
        <v>5.7009656422404454E-3</v>
      </c>
      <c r="BL29" s="333">
        <f t="shared" si="40"/>
        <v>1.3291802605312208E-2</v>
      </c>
      <c r="BM29" s="513">
        <f>+AVERAGE(BK29:BL29)</f>
        <v>9.4963841237763261E-3</v>
      </c>
    </row>
    <row r="30" spans="1:65">
      <c r="A30" s="329" t="s">
        <v>412</v>
      </c>
      <c r="B30" s="101" t="s">
        <v>76</v>
      </c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474"/>
      <c r="AD30" s="63"/>
      <c r="AE30" s="332"/>
      <c r="AF30" s="521"/>
      <c r="AG30" s="63"/>
      <c r="AH30" s="332"/>
      <c r="AI30" s="521"/>
      <c r="AJ30" s="63"/>
      <c r="AK30" s="328"/>
      <c r="AL30" s="512"/>
      <c r="AM30" s="63"/>
      <c r="AN30" s="328"/>
      <c r="AO30" s="512"/>
      <c r="AP30" s="63"/>
      <c r="AQ30" s="328"/>
      <c r="AR30" s="512"/>
      <c r="AS30" s="63"/>
      <c r="AT30" s="328"/>
      <c r="AU30" s="512"/>
      <c r="AV30" s="63"/>
      <c r="AW30" s="328"/>
      <c r="AX30" s="525"/>
      <c r="AY30" s="328">
        <v>0</v>
      </c>
      <c r="AZ30" s="328">
        <v>0</v>
      </c>
      <c r="BA30" s="512">
        <f>+AVERAGE(AY30:AZ30)</f>
        <v>0</v>
      </c>
      <c r="BB30" s="328">
        <v>0.01</v>
      </c>
      <c r="BC30" s="328">
        <v>0.01</v>
      </c>
      <c r="BD30" s="512">
        <f>+AVERAGE(BB30:BC30)</f>
        <v>0.01</v>
      </c>
      <c r="BE30" s="328">
        <v>0.01</v>
      </c>
      <c r="BF30" s="328">
        <v>0.01</v>
      </c>
      <c r="BG30" s="512">
        <f>+AVERAGE(BE30:BF30)</f>
        <v>0.01</v>
      </c>
      <c r="BH30" s="328">
        <v>0.01</v>
      </c>
      <c r="BI30" s="328">
        <v>0.01</v>
      </c>
      <c r="BJ30" s="512">
        <f>+AVERAGE(BH30:BI30)</f>
        <v>0.01</v>
      </c>
      <c r="BK30" s="328">
        <f>BH30</f>
        <v>0.01</v>
      </c>
      <c r="BL30" s="328">
        <f>BI30</f>
        <v>0.01</v>
      </c>
      <c r="BM30" s="512">
        <f>+AVERAGE(BK30:BL30)</f>
        <v>0.01</v>
      </c>
    </row>
    <row r="31" spans="1:65">
      <c r="A31" s="329" t="s">
        <v>413</v>
      </c>
      <c r="B31" s="101" t="s">
        <v>76</v>
      </c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474"/>
      <c r="AD31" s="63"/>
      <c r="AE31" s="333"/>
      <c r="AF31" s="513"/>
      <c r="AG31" s="63"/>
      <c r="AH31" s="333"/>
      <c r="AI31" s="513"/>
      <c r="AJ31" s="63"/>
      <c r="AK31" s="328"/>
      <c r="AL31" s="512"/>
      <c r="AM31" s="63"/>
      <c r="AN31" s="328"/>
      <c r="AO31" s="512"/>
      <c r="AP31" s="63"/>
      <c r="AQ31" s="328"/>
      <c r="AR31" s="512"/>
      <c r="AS31" s="63"/>
      <c r="AT31" s="328"/>
      <c r="AU31" s="512"/>
      <c r="AV31" s="63"/>
      <c r="AW31" s="328"/>
      <c r="AX31" s="525"/>
      <c r="AY31" s="328">
        <v>1.4999999999999999E-2</v>
      </c>
      <c r="AZ31" s="328">
        <v>2.5000000000000001E-2</v>
      </c>
      <c r="BA31" s="512">
        <f>+AZ31+AY31</f>
        <v>0.04</v>
      </c>
      <c r="BB31" s="328">
        <v>1.4999999999999999E-2</v>
      </c>
      <c r="BC31" s="328">
        <v>1.4999999999999999E-2</v>
      </c>
      <c r="BD31" s="512">
        <f>+BC31+BB31</f>
        <v>0.03</v>
      </c>
      <c r="BE31" s="328">
        <v>0.01</v>
      </c>
      <c r="BF31" s="328">
        <v>0.01</v>
      </c>
      <c r="BG31" s="512">
        <f>+BF31+BE31</f>
        <v>0.02</v>
      </c>
      <c r="BH31" s="328">
        <v>0.01</v>
      </c>
      <c r="BI31" s="328">
        <v>0.01</v>
      </c>
      <c r="BJ31" s="512">
        <f>+BI31+BH31</f>
        <v>0.02</v>
      </c>
      <c r="BK31" s="328">
        <v>0</v>
      </c>
      <c r="BL31" s="328">
        <v>0</v>
      </c>
      <c r="BM31" s="512">
        <f>+BL31+BK31</f>
        <v>0</v>
      </c>
    </row>
    <row r="32" spans="1:65">
      <c r="A32" s="31" t="s">
        <v>472</v>
      </c>
      <c r="B32" s="52" t="s">
        <v>76</v>
      </c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517"/>
      <c r="AD32" s="88"/>
      <c r="AE32" s="88"/>
      <c r="AF32" s="512"/>
      <c r="AG32" s="88"/>
      <c r="AH32" s="88"/>
      <c r="AI32" s="512"/>
      <c r="AJ32" s="88"/>
      <c r="AK32" s="88">
        <f>AK28/AH28-1</f>
        <v>0.14527904645014011</v>
      </c>
      <c r="AL32" s="512">
        <f>AL28/AI28-1</f>
        <v>0.11413562559694368</v>
      </c>
      <c r="AM32" s="88">
        <f>AM28/AJ28-1</f>
        <v>0.24</v>
      </c>
      <c r="AN32" s="88">
        <f>SUM(AN29:AN31)</f>
        <v>0</v>
      </c>
      <c r="AO32" s="512">
        <f>AO28/AL28-1</f>
        <v>0.27989712816116596</v>
      </c>
      <c r="AP32" s="88">
        <f>AP28/AM28-1</f>
        <v>0.23020527859237538</v>
      </c>
      <c r="AQ32" s="88">
        <f>SUM(AQ29:AQ31)</f>
        <v>0</v>
      </c>
      <c r="AR32" s="512">
        <f>AR28/AO28-1</f>
        <v>0.11922304085733426</v>
      </c>
      <c r="AS32" s="88">
        <f>AS28/AP28-1</f>
        <v>2.9797377830751426E-3</v>
      </c>
      <c r="AT32" s="88">
        <f>SUM(AT29:AT31)</f>
        <v>0</v>
      </c>
      <c r="AU32" s="512">
        <f>AU28/AR28-1</f>
        <v>3.2914422501496121E-2</v>
      </c>
      <c r="AV32" s="88">
        <f>AV28/AS28-1</f>
        <v>-5.1693404634581053E-2</v>
      </c>
      <c r="AW32" s="88">
        <f>SUM(AW29:AW31)</f>
        <v>0</v>
      </c>
      <c r="AX32" s="525">
        <f>AX28/AU28-1</f>
        <v>-4.5191193511008088E-2</v>
      </c>
      <c r="AY32" s="88">
        <f>SUM(AY29:AY31)</f>
        <v>4.9933570671826369E-2</v>
      </c>
      <c r="AZ32" s="88">
        <f>SUM(AZ29:AZ31)</f>
        <v>5.9163389393782601E-2</v>
      </c>
      <c r="BA32" s="512">
        <f>BA28/AX28-1</f>
        <v>5.4694096104874301E-2</v>
      </c>
      <c r="BB32" s="88">
        <f>SUM(BB29:BB31)</f>
        <v>5.0488965642240292E-2</v>
      </c>
      <c r="BC32" s="88">
        <f>SUM(BC29:BC31)</f>
        <v>5.3722660419030704E-2</v>
      </c>
      <c r="BD32" s="512">
        <f>BD28/BA28-1</f>
        <v>5.2163897678137117E-2</v>
      </c>
      <c r="BE32" s="88">
        <f>SUM(BE29:BE31)</f>
        <v>5.1172965642240553E-2</v>
      </c>
      <c r="BF32" s="88">
        <f>SUM(BF29:BF31)</f>
        <v>5.1334155520387351E-2</v>
      </c>
      <c r="BG32" s="512">
        <f>BG28/BD28-1</f>
        <v>5.1256579614264552E-2</v>
      </c>
      <c r="BH32" s="88">
        <f>SUM(BH29:BH31)</f>
        <v>4.1384965642240326E-2</v>
      </c>
      <c r="BI32" s="88">
        <f>SUM(BI29:BI31)</f>
        <v>3.8960930383550779E-2</v>
      </c>
      <c r="BJ32" s="512">
        <f>BJ28/BG28-1</f>
        <v>4.0127453847206729E-2</v>
      </c>
      <c r="BK32" s="88">
        <f>SUM(BK29:BK31)</f>
        <v>1.5700965642240446E-2</v>
      </c>
      <c r="BL32" s="88">
        <f>SUM(BL29:BL31)</f>
        <v>2.329180260531221E-2</v>
      </c>
      <c r="BM32" s="512">
        <f>BM28/BJ28-1</f>
        <v>1.9634432137537239E-2</v>
      </c>
    </row>
    <row r="33" spans="1:76">
      <c r="A33" s="31"/>
    </row>
    <row r="34" spans="1:76" s="13" customFormat="1">
      <c r="A34" s="13" t="s">
        <v>443</v>
      </c>
      <c r="B34" s="55" t="s">
        <v>396</v>
      </c>
      <c r="Q34" s="23"/>
      <c r="R34" s="23"/>
      <c r="S34" s="23"/>
      <c r="T34" s="23"/>
      <c r="U34" s="23"/>
      <c r="V34" s="23"/>
      <c r="W34" s="23"/>
      <c r="Z34" s="23"/>
      <c r="AA34" s="23"/>
      <c r="AB34" s="23"/>
      <c r="AC34" s="514"/>
      <c r="AD34" s="90">
        <f>AD13*AD25</f>
        <v>0</v>
      </c>
      <c r="AE34" s="90">
        <f>+AF34-AD34</f>
        <v>0</v>
      </c>
      <c r="AF34" s="477">
        <f>AF13*AF25</f>
        <v>0</v>
      </c>
      <c r="AG34" s="90">
        <f>AG13*AG25</f>
        <v>70.918559999999999</v>
      </c>
      <c r="AH34" s="90">
        <f>+AI34-AG34</f>
        <v>81.081440000000001</v>
      </c>
      <c r="AI34" s="481">
        <v>152</v>
      </c>
      <c r="AJ34" s="334">
        <v>83</v>
      </c>
      <c r="AK34" s="94">
        <f>+AL34-AJ34</f>
        <v>84</v>
      </c>
      <c r="AL34" s="481">
        <v>167</v>
      </c>
      <c r="AM34" s="334">
        <v>108</v>
      </c>
      <c r="AN34" s="94">
        <f>AO34-AM34</f>
        <v>118</v>
      </c>
      <c r="AO34" s="481">
        <v>226</v>
      </c>
      <c r="AP34" s="334">
        <v>136</v>
      </c>
      <c r="AQ34" s="94">
        <f>AR34-AP34</f>
        <v>133</v>
      </c>
      <c r="AR34" s="481">
        <v>269</v>
      </c>
      <c r="AS34" s="334">
        <v>143</v>
      </c>
      <c r="AT34" s="94">
        <f>AU34-AS34</f>
        <v>150</v>
      </c>
      <c r="AU34" s="481">
        <v>293</v>
      </c>
      <c r="AV34" s="334">
        <v>135</v>
      </c>
      <c r="AW34" s="94">
        <f>AX34-AV34</f>
        <v>128</v>
      </c>
      <c r="AX34" s="500">
        <v>263</v>
      </c>
      <c r="AY34" s="90">
        <f>AY28*AY35</f>
        <v>121.85650268186889</v>
      </c>
      <c r="AZ34" s="90">
        <f>AZ28*AZ35</f>
        <v>136.77605680634034</v>
      </c>
      <c r="BA34" s="477">
        <f>SUM(AY34:AZ34)</f>
        <v>258.63255948820921</v>
      </c>
      <c r="BB34" s="90">
        <f>BB28*BB35</f>
        <v>137.77985726151277</v>
      </c>
      <c r="BC34" s="90">
        <f>BC28*BC35</f>
        <v>154.77198735976074</v>
      </c>
      <c r="BD34" s="477">
        <f>SUM(BB34:BC34)</f>
        <v>292.55184462127352</v>
      </c>
      <c r="BE34" s="90">
        <f>BE28*BE35</f>
        <v>151.49330491137235</v>
      </c>
      <c r="BF34" s="90">
        <f>BF28*BF35</f>
        <v>169.95413731224627</v>
      </c>
      <c r="BG34" s="477">
        <f>SUM(BE34:BF34)</f>
        <v>321.44744222361862</v>
      </c>
      <c r="BH34" s="90">
        <f>BH28*BH35</f>
        <v>163.55959045778761</v>
      </c>
      <c r="BI34" s="90">
        <f>BI28*BI35</f>
        <v>182.78869668662995</v>
      </c>
      <c r="BJ34" s="477">
        <f>SUM(BH34:BI34)</f>
        <v>346.34828714441755</v>
      </c>
      <c r="BK34" s="90">
        <f>BK28*BK35</f>
        <v>171.41191507294437</v>
      </c>
      <c r="BL34" s="90">
        <f>BL28*BL35</f>
        <v>193.00140240435323</v>
      </c>
      <c r="BM34" s="477">
        <f>SUM(BK34:BL34)</f>
        <v>364.4133174772976</v>
      </c>
    </row>
    <row r="35" spans="1:76">
      <c r="A35" s="53" t="s">
        <v>408</v>
      </c>
      <c r="B35" s="52" t="s">
        <v>76</v>
      </c>
      <c r="Q35" s="87"/>
      <c r="R35" s="87"/>
      <c r="S35" s="87"/>
      <c r="T35" s="87"/>
      <c r="U35" s="87"/>
      <c r="V35" s="87"/>
      <c r="W35" s="87"/>
      <c r="Z35" s="87"/>
      <c r="AA35" s="87"/>
      <c r="AB35" s="87"/>
      <c r="AC35" s="489"/>
      <c r="AD35" s="87"/>
      <c r="AE35" s="87"/>
      <c r="AF35" s="489"/>
      <c r="AG35" s="87"/>
      <c r="AH35" s="87">
        <f t="shared" ref="AH35:AN35" si="41">+AH34/AH28</f>
        <v>7.5312955626929648E-2</v>
      </c>
      <c r="AI35" s="489">
        <f t="shared" si="41"/>
        <v>7.2588347659980901E-2</v>
      </c>
      <c r="AJ35" s="87">
        <f t="shared" si="41"/>
        <v>7.5454545454545455E-2</v>
      </c>
      <c r="AK35" s="87">
        <f t="shared" si="41"/>
        <v>6.8126520681265207E-2</v>
      </c>
      <c r="AL35" s="489">
        <f t="shared" si="41"/>
        <v>7.1581654522074586E-2</v>
      </c>
      <c r="AM35" s="87">
        <f t="shared" si="41"/>
        <v>7.9178885630498533E-2</v>
      </c>
      <c r="AN35" s="87">
        <f t="shared" si="41"/>
        <v>7.274969173859433E-2</v>
      </c>
      <c r="AO35" s="489">
        <f>AO34/AO28</f>
        <v>7.5686537173476218E-2</v>
      </c>
      <c r="AP35" s="87">
        <f>+AP34/AP28</f>
        <v>8.1048867699642438E-2</v>
      </c>
      <c r="AQ35" s="87">
        <f>+AQ34/AQ28</f>
        <v>7.9927884615384609E-2</v>
      </c>
      <c r="AR35" s="489">
        <f>AR34/AR28</f>
        <v>8.0490724117295034E-2</v>
      </c>
      <c r="AS35" s="87">
        <f>+AS34/AS28</f>
        <v>8.4967320261437912E-2</v>
      </c>
      <c r="AT35" s="87">
        <f>+AT34/AT28</f>
        <v>8.4793668739400793E-2</v>
      </c>
      <c r="AU35" s="489">
        <f>AU34/AU28</f>
        <v>8.4878331402085741E-2</v>
      </c>
      <c r="AV35" s="87">
        <f>+AV34/AV28</f>
        <v>8.4586466165413529E-2</v>
      </c>
      <c r="AW35" s="87">
        <f>+AW34/AW28</f>
        <v>7.5294117647058817E-2</v>
      </c>
      <c r="AX35" s="506">
        <f>AX34/AX28</f>
        <v>7.9793689320388356E-2</v>
      </c>
      <c r="AY35" s="87">
        <f>+AV35+AY36</f>
        <v>7.2720021808336144E-2</v>
      </c>
      <c r="AZ35" s="87">
        <f>+AW35+AZ36</f>
        <v>7.5962315927270943E-2</v>
      </c>
      <c r="BA35" s="478">
        <f>BA34/BA28</f>
        <v>7.4399407979406626E-2</v>
      </c>
      <c r="BB35" s="87">
        <f>+AY35+BB36</f>
        <v>7.8270755610723747E-2</v>
      </c>
      <c r="BC35" s="87">
        <f>+AZ35+BC36</f>
        <v>8.1574450582751534E-2</v>
      </c>
      <c r="BD35" s="478">
        <f>BD34/BD28</f>
        <v>7.9984480207717132E-2</v>
      </c>
      <c r="BE35" s="87">
        <f>+BB35+BE36</f>
        <v>8.1871557613872714E-2</v>
      </c>
      <c r="BF35" s="87">
        <f>+BC35+BF36</f>
        <v>8.5202583912657309E-2</v>
      </c>
      <c r="BG35" s="478">
        <f>BG34/BG28</f>
        <v>8.359958728888342E-2</v>
      </c>
      <c r="BH35" s="87">
        <f>+BE35+BH36</f>
        <v>8.4879795353711734E-2</v>
      </c>
      <c r="BI35" s="87">
        <f>+BF35+BI36</f>
        <v>8.8200519703705266E-2</v>
      </c>
      <c r="BJ35" s="478">
        <f>BJ34/BJ28</f>
        <v>8.660054868227883E-2</v>
      </c>
      <c r="BK35" s="87">
        <f>+BH35+BK36</f>
        <v>8.757969956629709E-2</v>
      </c>
      <c r="BL35" s="87">
        <f>+BI35+BL36</f>
        <v>9.1008672067898963E-2</v>
      </c>
      <c r="BM35" s="478">
        <f>BM34/BM28</f>
        <v>8.9362919031749491E-2</v>
      </c>
    </row>
    <row r="36" spans="1:76" s="31" customFormat="1">
      <c r="A36" s="57" t="s">
        <v>501</v>
      </c>
      <c r="B36" s="101" t="s">
        <v>76</v>
      </c>
      <c r="Q36" s="88"/>
      <c r="R36" s="88"/>
      <c r="S36" s="88"/>
      <c r="T36" s="88"/>
      <c r="U36" s="88"/>
      <c r="V36" s="88"/>
      <c r="W36" s="88"/>
      <c r="Z36" s="88"/>
      <c r="AA36" s="88"/>
      <c r="AB36" s="88"/>
      <c r="AC36" s="512"/>
      <c r="AD36" s="88"/>
      <c r="AE36" s="88"/>
      <c r="AF36" s="512"/>
      <c r="AG36" s="32">
        <f>+(AG35-AD35)</f>
        <v>0</v>
      </c>
      <c r="AH36" s="32">
        <f t="shared" ref="AH36:AM36" si="42">+(AH35-AE35)</f>
        <v>7.5312955626929648E-2</v>
      </c>
      <c r="AI36" s="487">
        <f t="shared" si="42"/>
        <v>7.2588347659980901E-2</v>
      </c>
      <c r="AJ36" s="32">
        <f t="shared" si="42"/>
        <v>7.5454545454545455E-2</v>
      </c>
      <c r="AK36" s="32">
        <f t="shared" si="42"/>
        <v>-7.1864349456644411E-3</v>
      </c>
      <c r="AL36" s="487">
        <f t="shared" si="42"/>
        <v>-1.0066931379063143E-3</v>
      </c>
      <c r="AM36" s="32">
        <f t="shared" si="42"/>
        <v>3.7243401759530781E-3</v>
      </c>
      <c r="AN36" s="32">
        <f>+AN37+AN38</f>
        <v>2E-3</v>
      </c>
      <c r="AO36" s="487">
        <f>+(AO35-AL35)</f>
        <v>4.1048826514016312E-3</v>
      </c>
      <c r="AP36" s="32">
        <f>+(AP35-AM35)</f>
        <v>1.8699820691439051E-3</v>
      </c>
      <c r="AQ36" s="32">
        <f>+AQ37+AQ38</f>
        <v>2E-3</v>
      </c>
      <c r="AR36" s="487">
        <f>+(AR35-AO35)</f>
        <v>4.8041869438188167E-3</v>
      </c>
      <c r="AS36" s="32">
        <f>+(AS35-AP35)</f>
        <v>3.9184525617954741E-3</v>
      </c>
      <c r="AT36" s="32">
        <f>+AT37+AT38</f>
        <v>2E-3</v>
      </c>
      <c r="AU36" s="487">
        <f>+(AU35-AR35)</f>
        <v>4.3876072847907066E-3</v>
      </c>
      <c r="AV36" s="32">
        <f>+(AV35-AS35)</f>
        <v>-3.808540960243828E-4</v>
      </c>
      <c r="AW36" s="32">
        <f>+AW37+AW38</f>
        <v>1.002</v>
      </c>
      <c r="AX36" s="509">
        <f>+(AX35-AU35)</f>
        <v>-5.0846420816973853E-3</v>
      </c>
      <c r="AY36" s="32">
        <f>+AY37+AY38</f>
        <v>-1.1866444357077392E-2</v>
      </c>
      <c r="AZ36" s="32">
        <f>+AZ37+AZ38</f>
        <v>6.6819828021213274E-4</v>
      </c>
      <c r="BA36" s="487">
        <f>+(BA35-AX35)</f>
        <v>-5.3942813409817297E-3</v>
      </c>
      <c r="BB36" s="32">
        <f>+BB37+BB38</f>
        <v>5.5507338023876073E-3</v>
      </c>
      <c r="BC36" s="32">
        <f>+BC37+BC38</f>
        <v>5.612134655480586E-3</v>
      </c>
      <c r="BD36" s="487">
        <f>+(BD35-BA35)</f>
        <v>5.5850722283105059E-3</v>
      </c>
      <c r="BE36" s="32">
        <f>+BE37+BE38</f>
        <v>3.6008020031489661E-3</v>
      </c>
      <c r="BF36" s="32">
        <f>+BF37+BF38</f>
        <v>3.628133329905768E-3</v>
      </c>
      <c r="BG36" s="487">
        <f>+(BG35-BD35)</f>
        <v>3.6151070811662883E-3</v>
      </c>
      <c r="BH36" s="32">
        <f>+BH37+BH38</f>
        <v>3.0082377398390234E-3</v>
      </c>
      <c r="BI36" s="32">
        <f>+BI37+BI38</f>
        <v>2.997935791047953E-3</v>
      </c>
      <c r="BJ36" s="487">
        <f>+(BJ35-BG35)</f>
        <v>3.0009613933954099E-3</v>
      </c>
      <c r="BK36" s="32">
        <f>+BK37+BK38</f>
        <v>2.6999042125853542E-3</v>
      </c>
      <c r="BL36" s="32">
        <f>+BL37+BL38</f>
        <v>2.8081523641936982E-3</v>
      </c>
      <c r="BM36" s="487">
        <f>+(BM35-BJ35)</f>
        <v>2.7623703494706608E-3</v>
      </c>
    </row>
    <row r="37" spans="1:76">
      <c r="A37" s="374" t="s">
        <v>502</v>
      </c>
      <c r="B37" s="101" t="s">
        <v>76</v>
      </c>
      <c r="Q37" s="87"/>
      <c r="R37" s="87"/>
      <c r="S37" s="87"/>
      <c r="T37" s="87"/>
      <c r="U37" s="87"/>
      <c r="V37" s="87"/>
      <c r="W37" s="87"/>
      <c r="Z37" s="87"/>
      <c r="AA37" s="87"/>
      <c r="AB37" s="87"/>
      <c r="AC37" s="518">
        <v>0.15</v>
      </c>
      <c r="AD37" s="87"/>
      <c r="AE37" s="87"/>
      <c r="AF37" s="489"/>
      <c r="AG37" s="372">
        <f t="shared" ref="AG37:BM37" si="43">+(AG32*AD35*$AC$37)</f>
        <v>0</v>
      </c>
      <c r="AH37" s="372">
        <f t="shared" si="43"/>
        <v>0</v>
      </c>
      <c r="AI37" s="480">
        <f t="shared" si="43"/>
        <v>0</v>
      </c>
      <c r="AJ37" s="372">
        <f t="shared" si="43"/>
        <v>0</v>
      </c>
      <c r="AK37" s="372">
        <f t="shared" si="43"/>
        <v>1.6412091568233081E-3</v>
      </c>
      <c r="AL37" s="480">
        <f t="shared" si="43"/>
        <v>1.2427374706830544E-3</v>
      </c>
      <c r="AM37" s="372">
        <f t="shared" si="43"/>
        <v>2.7163636363636361E-3</v>
      </c>
      <c r="AN37" s="372">
        <f t="shared" si="43"/>
        <v>0</v>
      </c>
      <c r="AO37" s="480">
        <f t="shared" si="43"/>
        <v>3.0053249294630124E-3</v>
      </c>
      <c r="AP37" s="372">
        <f t="shared" si="43"/>
        <v>2.7341096137804117E-3</v>
      </c>
      <c r="AQ37" s="372">
        <f>+(AQ32*AN35*$AC$37)</f>
        <v>0</v>
      </c>
      <c r="AR37" s="480">
        <f>+(AR32*AO35*$AC$37)</f>
        <v>1.3535368670675254E-3</v>
      </c>
      <c r="AS37" s="372">
        <f t="shared" si="43"/>
        <v>3.6225656004012464E-5</v>
      </c>
      <c r="AT37" s="372">
        <f>+(AT32*AQ35*$AC$37)</f>
        <v>0</v>
      </c>
      <c r="AU37" s="480">
        <f>+(AU32*AR35*$AC$37)</f>
        <v>3.9739585515720176E-4</v>
      </c>
      <c r="AV37" s="372">
        <f>+(AV32*AS35*$AC$37)</f>
        <v>-6.5883751004858204E-4</v>
      </c>
      <c r="AW37" s="372">
        <f>+(AW32*AT35*$AC$37)</f>
        <v>0</v>
      </c>
      <c r="AX37" s="503">
        <f>+(AX32*AU35*$AC$37)</f>
        <v>-5.7536296489246969E-4</v>
      </c>
      <c r="AY37" s="32">
        <f t="shared" si="43"/>
        <v>6.3355564292260898E-4</v>
      </c>
      <c r="AZ37" s="32">
        <f t="shared" si="43"/>
        <v>6.6819828021213274E-4</v>
      </c>
      <c r="BA37" s="487">
        <f t="shared" si="43"/>
        <v>6.5463655683777044E-4</v>
      </c>
      <c r="BB37" s="32">
        <f t="shared" si="43"/>
        <v>5.5073380238760729E-4</v>
      </c>
      <c r="BC37" s="32">
        <f t="shared" si="43"/>
        <v>6.1213465548058557E-4</v>
      </c>
      <c r="BD37" s="487">
        <f t="shared" si="43"/>
        <v>5.8214446577276177E-4</v>
      </c>
      <c r="BE37" s="32">
        <f t="shared" si="43"/>
        <v>6.00802003148966E-4</v>
      </c>
      <c r="BF37" s="32">
        <f t="shared" si="43"/>
        <v>6.2813332990576786E-4</v>
      </c>
      <c r="BG37" s="487">
        <f t="shared" si="43"/>
        <v>6.1495963165086301E-4</v>
      </c>
      <c r="BH37" s="32">
        <f t="shared" si="43"/>
        <v>5.0823773983902319E-4</v>
      </c>
      <c r="BI37" s="32">
        <f t="shared" si="43"/>
        <v>4.9793579104795275E-4</v>
      </c>
      <c r="BJ37" s="487">
        <f t="shared" si="43"/>
        <v>5.0319578708703E-4</v>
      </c>
      <c r="BK37" s="32">
        <f t="shared" si="43"/>
        <v>1.999042125853542E-4</v>
      </c>
      <c r="BL37" s="32">
        <f t="shared" si="43"/>
        <v>3.0815236419369795E-4</v>
      </c>
      <c r="BM37" s="487">
        <f t="shared" si="43"/>
        <v>2.5505288942635404E-4</v>
      </c>
    </row>
    <row r="38" spans="1:76">
      <c r="A38" s="374" t="s">
        <v>503</v>
      </c>
      <c r="B38" s="101" t="s">
        <v>76</v>
      </c>
      <c r="Q38" s="87"/>
      <c r="R38" s="87"/>
      <c r="S38" s="87"/>
      <c r="T38" s="87"/>
      <c r="U38" s="87"/>
      <c r="V38" s="87"/>
      <c r="W38" s="87"/>
      <c r="Z38" s="87"/>
      <c r="AA38" s="87"/>
      <c r="AB38" s="87"/>
      <c r="AC38" s="489"/>
      <c r="AD38" s="87"/>
      <c r="AE38" s="87"/>
      <c r="AF38" s="489"/>
      <c r="AG38" s="372">
        <f t="shared" ref="AG38:AL38" si="44">+AG36-AG37</f>
        <v>0</v>
      </c>
      <c r="AH38" s="372">
        <f t="shared" si="44"/>
        <v>7.5312955626929648E-2</v>
      </c>
      <c r="AI38" s="480">
        <f t="shared" si="44"/>
        <v>7.2588347659980901E-2</v>
      </c>
      <c r="AJ38" s="372">
        <f t="shared" si="44"/>
        <v>7.5454545454545455E-2</v>
      </c>
      <c r="AK38" s="372">
        <f t="shared" si="44"/>
        <v>-8.82764410248775E-3</v>
      </c>
      <c r="AL38" s="480">
        <f t="shared" si="44"/>
        <v>-2.2494306085893687E-3</v>
      </c>
      <c r="AM38" s="372">
        <f>+AM36-AM37</f>
        <v>1.007976539589442E-3</v>
      </c>
      <c r="AN38" s="372">
        <v>2E-3</v>
      </c>
      <c r="AO38" s="480">
        <f>+AO36-AO37</f>
        <v>1.0995577219386188E-3</v>
      </c>
      <c r="AP38" s="372">
        <f>+AP36-AP37</f>
        <v>-8.6412754463650659E-4</v>
      </c>
      <c r="AQ38" s="372">
        <v>2E-3</v>
      </c>
      <c r="AR38" s="480">
        <f>+AR36-AR37</f>
        <v>3.4506500767512915E-3</v>
      </c>
      <c r="AS38" s="372">
        <f>+AS36-AS37</f>
        <v>3.8822269057914617E-3</v>
      </c>
      <c r="AT38" s="372">
        <v>2E-3</v>
      </c>
      <c r="AU38" s="480">
        <f>+AU36-AU37</f>
        <v>3.9902114296335046E-3</v>
      </c>
      <c r="AV38" s="372">
        <f>+AV36-AV37</f>
        <v>2.7798341402419924E-4</v>
      </c>
      <c r="AW38" s="372">
        <v>1.002</v>
      </c>
      <c r="AX38" s="503">
        <f>+AX36-AX37</f>
        <v>-4.5092791168049153E-3</v>
      </c>
      <c r="AY38" s="328">
        <v>-1.2500000000000001E-2</v>
      </c>
      <c r="AZ38" s="328">
        <v>0</v>
      </c>
      <c r="BA38" s="487">
        <f>+BA36-BA37</f>
        <v>-6.0489178978195002E-3</v>
      </c>
      <c r="BB38" s="328">
        <v>5.0000000000000001E-3</v>
      </c>
      <c r="BC38" s="328">
        <v>5.0000000000000001E-3</v>
      </c>
      <c r="BD38" s="487">
        <f>+BD36-BD37</f>
        <v>5.0029277625377438E-3</v>
      </c>
      <c r="BE38" s="328">
        <v>3.0000000000000001E-3</v>
      </c>
      <c r="BF38" s="328">
        <v>3.0000000000000001E-3</v>
      </c>
      <c r="BG38" s="487">
        <f>+BG36-BG37</f>
        <v>3.0001474495154252E-3</v>
      </c>
      <c r="BH38" s="328">
        <v>2.5000000000000001E-3</v>
      </c>
      <c r="BI38" s="328">
        <v>2.5000000000000001E-3</v>
      </c>
      <c r="BJ38" s="487">
        <f t="shared" ref="BJ38" si="45">+BJ36-BJ37</f>
        <v>2.4977656063083801E-3</v>
      </c>
      <c r="BK38" s="328">
        <v>2.5000000000000001E-3</v>
      </c>
      <c r="BL38" s="328">
        <v>2.5000000000000001E-3</v>
      </c>
      <c r="BM38" s="487">
        <f t="shared" ref="BM38" si="46">+BM36-BM37</f>
        <v>2.5073174600443067E-3</v>
      </c>
    </row>
    <row r="40" spans="1:76">
      <c r="A40" s="13" t="s">
        <v>406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482"/>
      <c r="AD40" s="3"/>
      <c r="AE40" s="3"/>
      <c r="AF40" s="482"/>
      <c r="AG40" s="3"/>
      <c r="AH40" s="3"/>
      <c r="AI40" s="482"/>
      <c r="AJ40" s="3"/>
      <c r="AK40" s="3"/>
      <c r="AL40" s="482"/>
      <c r="AM40" s="3"/>
      <c r="AN40" s="3"/>
      <c r="AO40" s="482"/>
      <c r="AP40" s="3"/>
      <c r="AQ40" s="3"/>
      <c r="AR40" s="482"/>
      <c r="AS40" s="3"/>
      <c r="AT40" s="3"/>
      <c r="AU40" s="482"/>
      <c r="AV40" s="3"/>
      <c r="AW40" s="3"/>
      <c r="AX40" s="508"/>
      <c r="AY40" s="3"/>
      <c r="AZ40" s="3"/>
      <c r="BA40" s="482"/>
      <c r="BB40" s="3"/>
      <c r="BC40" s="3"/>
      <c r="BD40" s="482"/>
      <c r="BE40" s="3"/>
      <c r="BF40" s="3"/>
      <c r="BG40" s="482"/>
      <c r="BH40" s="3"/>
      <c r="BI40" s="3"/>
      <c r="BJ40" s="482"/>
      <c r="BK40" s="3"/>
      <c r="BL40" s="3"/>
      <c r="BM40" s="482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</row>
    <row r="41" spans="1:76">
      <c r="A41" s="6" t="s">
        <v>83</v>
      </c>
      <c r="B41" s="52" t="s">
        <v>405</v>
      </c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92">
        <f>'Market Drivers'!I79</f>
        <v>653.9</v>
      </c>
      <c r="U41" s="92">
        <f>'Market Drivers'!J79</f>
        <v>408.6</v>
      </c>
      <c r="V41" s="92">
        <f>'Market Drivers'!K79</f>
        <v>336.5</v>
      </c>
      <c r="W41" s="92">
        <f>'Market Drivers'!L79</f>
        <v>745.1</v>
      </c>
      <c r="X41" s="92">
        <f>'Market Drivers'!M79</f>
        <v>424.2</v>
      </c>
      <c r="Y41" s="92">
        <f>'Market Drivers'!N79</f>
        <v>368.3</v>
      </c>
      <c r="Z41" s="92">
        <f>'Market Drivers'!O79</f>
        <v>792.5</v>
      </c>
      <c r="AA41" s="92">
        <f>'Market Drivers'!P79</f>
        <v>467.6</v>
      </c>
      <c r="AB41" s="92">
        <f>'Market Drivers'!Q79</f>
        <v>394.70000000000005</v>
      </c>
      <c r="AC41" s="486">
        <f>'Market Drivers'!R79</f>
        <v>862.30000000000007</v>
      </c>
      <c r="AD41" s="92">
        <f>'Market Drivers'!S79</f>
        <v>494.9</v>
      </c>
      <c r="AE41" s="92">
        <f>'Market Drivers'!T79</f>
        <v>374.6</v>
      </c>
      <c r="AF41" s="486">
        <f>'Market Drivers'!U79</f>
        <v>869.5</v>
      </c>
      <c r="AG41" s="92">
        <f>'Market Drivers'!V79</f>
        <v>485.4</v>
      </c>
      <c r="AH41" s="92">
        <f>'Market Drivers'!W79</f>
        <v>428.1</v>
      </c>
      <c r="AI41" s="486">
        <f>'Market Drivers'!X79</f>
        <v>913.5</v>
      </c>
      <c r="AJ41" s="92">
        <f>'Market Drivers'!Y79</f>
        <v>498.69999999999993</v>
      </c>
      <c r="AK41" s="92">
        <f>'Market Drivers'!Z79</f>
        <v>532.70000000000005</v>
      </c>
      <c r="AL41" s="486">
        <f>'Market Drivers'!AA79</f>
        <v>1031.4000000000001</v>
      </c>
      <c r="AM41" s="92">
        <f>'Market Drivers'!AB79</f>
        <v>605.4</v>
      </c>
      <c r="AN41" s="92">
        <f>'Market Drivers'!AC79</f>
        <v>532.90000000000009</v>
      </c>
      <c r="AO41" s="486">
        <f>'Market Drivers'!AD79</f>
        <v>1138.3000000000002</v>
      </c>
      <c r="AP41" s="92">
        <f>'Market Drivers'!AE79</f>
        <v>545</v>
      </c>
      <c r="AQ41" s="92">
        <f>'Market Drivers'!AF79</f>
        <v>381.6</v>
      </c>
      <c r="AR41" s="486">
        <f>'Market Drivers'!AG79</f>
        <v>926.6</v>
      </c>
      <c r="AS41" s="92">
        <f>'Market Drivers'!AH79</f>
        <v>520.5</v>
      </c>
      <c r="AT41" s="92">
        <f>'Market Drivers'!AI79</f>
        <v>480.20000000000005</v>
      </c>
      <c r="AU41" s="486">
        <f>'Market Drivers'!AJ79</f>
        <v>1000.7</v>
      </c>
      <c r="AV41" s="92">
        <f>'Market Drivers'!AK79</f>
        <v>540.79999999999995</v>
      </c>
      <c r="AW41" s="92">
        <f>'Market Drivers'!AL79</f>
        <v>466.47199999999998</v>
      </c>
      <c r="AX41" s="507">
        <f>'Market Drivers'!AM79</f>
        <v>1007.2719999999999</v>
      </c>
      <c r="AY41" s="92">
        <f>'Market Drivers'!AN79</f>
        <v>560.60200000000009</v>
      </c>
      <c r="AZ41" s="92">
        <f>'Market Drivers'!AO79</f>
        <v>482.62343999999996</v>
      </c>
      <c r="BA41" s="486">
        <f>'Market Drivers'!AP79</f>
        <v>1043.2254400000002</v>
      </c>
      <c r="BB41" s="92">
        <f>'Market Drivers'!AQ79</f>
        <v>571.81403999999998</v>
      </c>
      <c r="BC41" s="92">
        <f>'Market Drivers'!AR79</f>
        <v>494.71444320000001</v>
      </c>
      <c r="BD41" s="486">
        <f>'Market Drivers'!AS79</f>
        <v>1066.5284832</v>
      </c>
      <c r="BE41" s="92">
        <f>'Market Drivers'!AT79</f>
        <v>588.96846120000009</v>
      </c>
      <c r="BF41" s="92">
        <f>'Market Drivers'!AU79</f>
        <v>491.97404347199995</v>
      </c>
      <c r="BG41" s="486">
        <f>'Market Drivers'!AV79</f>
        <v>1080.942504672</v>
      </c>
      <c r="BH41" s="92">
        <f>'Market Drivers'!AW79</f>
        <v>565.40972275199999</v>
      </c>
      <c r="BI41" s="92">
        <f>'Market Drivers'!AX79</f>
        <v>469.88385891839994</v>
      </c>
      <c r="BJ41" s="486">
        <f>'Market Drivers'!AY79</f>
        <v>1035.2935816703998</v>
      </c>
      <c r="BK41" s="92">
        <f>'Market Drivers'!AZ79</f>
        <v>537.13923661440003</v>
      </c>
      <c r="BL41" s="92">
        <f>'Market Drivers'!BA79</f>
        <v>444.09900429849591</v>
      </c>
      <c r="BM41" s="486">
        <f>'Market Drivers'!BB79</f>
        <v>981.23824091289589</v>
      </c>
    </row>
    <row r="42" spans="1:76" s="31" customFormat="1">
      <c r="A42" s="329" t="s">
        <v>225</v>
      </c>
      <c r="B42" s="101" t="s">
        <v>76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>
        <f>+'Market Drivers'!I80</f>
        <v>6.2560935976600618E-2</v>
      </c>
      <c r="U42" s="63">
        <f>+'Market Drivers'!J80</f>
        <v>0.13436979455857867</v>
      </c>
      <c r="V42" s="63">
        <f>+'Market Drivers'!K80</f>
        <v>0.14572693224378619</v>
      </c>
      <c r="W42" s="63">
        <f>+'Market Drivers'!L80</f>
        <v>0.13947086710506196</v>
      </c>
      <c r="X42" s="63">
        <f>+'Market Drivers'!M80</f>
        <v>3.8179148311306754E-2</v>
      </c>
      <c r="Y42" s="63">
        <f>+'Market Drivers'!N80</f>
        <v>9.4502228826151669E-2</v>
      </c>
      <c r="Z42" s="63">
        <f>+'Market Drivers'!O80</f>
        <v>6.3615622064152388E-2</v>
      </c>
      <c r="AA42" s="63">
        <f>+'Market Drivers'!P80</f>
        <v>0.10231023102310233</v>
      </c>
      <c r="AB42" s="63">
        <f>+'Market Drivers'!Q80</f>
        <v>7.1680695085528212E-2</v>
      </c>
      <c r="AC42" s="474">
        <f>+'Market Drivers'!R80</f>
        <v>8.807570977918E-2</v>
      </c>
      <c r="AD42" s="63">
        <f>+'Market Drivers'!S80</f>
        <v>5.8383233532933954E-2</v>
      </c>
      <c r="AE42" s="63">
        <f>+'Market Drivers'!T80</f>
        <v>-5.0924752976944543E-2</v>
      </c>
      <c r="AF42" s="474">
        <f>+'Market Drivers'!U80</f>
        <v>8.3497622637132007E-3</v>
      </c>
      <c r="AG42" s="63">
        <f>+'Market Drivers'!V80</f>
        <v>-1.9195797130733494E-2</v>
      </c>
      <c r="AH42" s="63">
        <f>+'Market Drivers'!W80</f>
        <v>0.14281900694073668</v>
      </c>
      <c r="AI42" s="474">
        <f>+'Market Drivers'!X80</f>
        <v>5.0603795284646313E-2</v>
      </c>
      <c r="AJ42" s="63">
        <f>+'Market Drivers'!Y80</f>
        <v>2.7400082406262793E-2</v>
      </c>
      <c r="AK42" s="63">
        <f>+'Market Drivers'!Z80</f>
        <v>0.24433543564587712</v>
      </c>
      <c r="AL42" s="474">
        <f>+'Market Drivers'!AA80</f>
        <v>0.12906403940886713</v>
      </c>
      <c r="AM42" s="63">
        <f>+'Market Drivers'!AB80</f>
        <v>0.21395628634449571</v>
      </c>
      <c r="AN42" s="63">
        <f>+'Market Drivers'!AC80</f>
        <v>3.7544584193738295E-4</v>
      </c>
      <c r="AO42" s="474">
        <f>+'Market Drivers'!AD80</f>
        <v>0.10364553034710111</v>
      </c>
      <c r="AP42" s="63">
        <f>+'Market Drivers'!AE80</f>
        <v>-9.9768747935249369E-2</v>
      </c>
      <c r="AQ42" s="63">
        <f>+'Market Drivers'!AF80</f>
        <v>-0.28391818352411347</v>
      </c>
      <c r="AR42" s="474">
        <f>+'Market Drivers'!AG80</f>
        <v>-0.18597909162786619</v>
      </c>
      <c r="AS42" s="63">
        <f>+'Market Drivers'!AH80</f>
        <v>-4.4954128440366947E-2</v>
      </c>
      <c r="AT42" s="63">
        <f>+'Market Drivers'!AI80</f>
        <v>0.25838574423480098</v>
      </c>
      <c r="AU42" s="474">
        <f>+'Market Drivers'!AJ80</f>
        <v>7.9969781998704859E-2</v>
      </c>
      <c r="AV42" s="63">
        <f>+'Market Drivers'!AK80</f>
        <v>3.9000960614793412E-2</v>
      </c>
      <c r="AW42" s="63">
        <f>+'Market Drivers'!AL80</f>
        <v>-2.8588088296543246E-2</v>
      </c>
      <c r="AX42" s="497">
        <f>+'Market Drivers'!AM80</f>
        <v>6.567402818027368E-3</v>
      </c>
      <c r="AY42" s="63">
        <f>+'Market Drivers'!AN80</f>
        <v>3.6616124260355321E-2</v>
      </c>
      <c r="AZ42" s="63">
        <f>+'Market Drivers'!AO80</f>
        <v>3.4624672006036805E-2</v>
      </c>
      <c r="BA42" s="474">
        <f>+'Market Drivers'!AP80</f>
        <v>3.569387414720171E-2</v>
      </c>
      <c r="BB42" s="63">
        <f>+'Market Drivers'!AQ80</f>
        <v>1.9999999999999796E-2</v>
      </c>
      <c r="BC42" s="63">
        <f>+'Market Drivers'!AR80</f>
        <v>2.5052664661293855E-2</v>
      </c>
      <c r="BD42" s="474">
        <f>+'Market Drivers'!AS80</f>
        <v>2.2337495143906594E-2</v>
      </c>
      <c r="BE42" s="63">
        <f>+'Market Drivers'!AT80</f>
        <v>3.0000000000000249E-2</v>
      </c>
      <c r="BF42" s="63">
        <f>+'Market Drivers'!AU80</f>
        <v>-5.5393566241448422E-3</v>
      </c>
      <c r="BG42" s="474">
        <f>+'Market Drivers'!AV80</f>
        <v>1.3514895944224836E-2</v>
      </c>
      <c r="BH42" s="63">
        <f>+'Market Drivers'!AW80</f>
        <v>-4.0000000000000147E-2</v>
      </c>
      <c r="BI42" s="63">
        <f>+'Market Drivers'!AX80</f>
        <v>-4.490111794862861E-2</v>
      </c>
      <c r="BJ42" s="474">
        <f>+'Market Drivers'!AY80</f>
        <v>-4.2230667037607028E-2</v>
      </c>
      <c r="BK42" s="63">
        <f>+'Market Drivers'!AZ80</f>
        <v>-4.9999999999999933E-2</v>
      </c>
      <c r="BL42" s="63">
        <f>+'Market Drivers'!BA80</f>
        <v>-5.4874952885712647E-2</v>
      </c>
      <c r="BM42" s="474">
        <f>+'Market Drivers'!BB80</f>
        <v>-5.2212572080557185E-2</v>
      </c>
    </row>
    <row r="43" spans="1:76" s="31" customFormat="1">
      <c r="A43" s="329"/>
      <c r="B43" s="101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474"/>
      <c r="AD43" s="63"/>
      <c r="AE43" s="63"/>
      <c r="AF43" s="474"/>
      <c r="AG43" s="63"/>
      <c r="AH43" s="63"/>
      <c r="AI43" s="474"/>
      <c r="AJ43" s="63"/>
      <c r="AK43" s="63"/>
      <c r="AL43" s="474"/>
      <c r="AM43" s="63"/>
      <c r="AN43" s="63"/>
      <c r="AO43" s="474"/>
      <c r="AP43" s="63"/>
      <c r="AQ43" s="63"/>
      <c r="AR43" s="474"/>
      <c r="AS43" s="63"/>
      <c r="AT43" s="63"/>
      <c r="AU43" s="474"/>
      <c r="AV43" s="63"/>
      <c r="AW43" s="63"/>
      <c r="AX43" s="497"/>
      <c r="AY43" s="63"/>
      <c r="AZ43" s="63"/>
      <c r="BA43" s="474"/>
      <c r="BB43" s="63"/>
      <c r="BC43" s="63"/>
      <c r="BD43" s="474"/>
      <c r="BE43" s="63"/>
      <c r="BF43" s="63"/>
      <c r="BG43" s="474"/>
      <c r="BH43" s="63"/>
      <c r="BI43" s="63"/>
      <c r="BJ43" s="474"/>
      <c r="BK43" s="63"/>
      <c r="BL43" s="63"/>
      <c r="BM43" s="474"/>
    </row>
    <row r="44" spans="1:76" s="31" customFormat="1">
      <c r="A44" s="6" t="s">
        <v>498</v>
      </c>
      <c r="B44" s="52" t="s">
        <v>499</v>
      </c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99">
        <f>+'Market Drivers'!I82</f>
        <v>0</v>
      </c>
      <c r="U44" s="99">
        <f>+'Market Drivers'!J82</f>
        <v>0</v>
      </c>
      <c r="V44" s="99">
        <f>+'Market Drivers'!K82</f>
        <v>0</v>
      </c>
      <c r="W44" s="99">
        <f>+'Market Drivers'!L82</f>
        <v>0</v>
      </c>
      <c r="X44" s="99">
        <f>+'Market Drivers'!M82</f>
        <v>0</v>
      </c>
      <c r="Y44" s="99">
        <f>+'Market Drivers'!N82</f>
        <v>0</v>
      </c>
      <c r="Z44" s="99">
        <f>+'Market Drivers'!O82</f>
        <v>0</v>
      </c>
      <c r="AA44" s="99">
        <f>+'Market Drivers'!P82</f>
        <v>0</v>
      </c>
      <c r="AB44" s="99">
        <f>+'Market Drivers'!Q82</f>
        <v>0</v>
      </c>
      <c r="AC44" s="519">
        <f>+'Market Drivers'!R82</f>
        <v>0</v>
      </c>
      <c r="AD44" s="99">
        <f>+'Market Drivers'!S82</f>
        <v>0</v>
      </c>
      <c r="AE44" s="99">
        <f>+'Market Drivers'!T82</f>
        <v>0</v>
      </c>
      <c r="AF44" s="519">
        <f>+'Market Drivers'!U82</f>
        <v>0</v>
      </c>
      <c r="AG44" s="99">
        <f>+'Market Drivers'!V82</f>
        <v>0</v>
      </c>
      <c r="AH44" s="99">
        <f>+'Market Drivers'!W82</f>
        <v>0</v>
      </c>
      <c r="AI44" s="519">
        <f>+'Market Drivers'!X82</f>
        <v>0</v>
      </c>
      <c r="AJ44" s="99">
        <f>+'Market Drivers'!Y82</f>
        <v>0</v>
      </c>
      <c r="AK44" s="99">
        <f>+'Market Drivers'!Z82</f>
        <v>0</v>
      </c>
      <c r="AL44" s="519">
        <f>+'Market Drivers'!AA82</f>
        <v>0</v>
      </c>
      <c r="AM44" s="99">
        <f>+'Market Drivers'!AB82</f>
        <v>0</v>
      </c>
      <c r="AN44" s="99">
        <f>+'Market Drivers'!AC82</f>
        <v>0</v>
      </c>
      <c r="AO44" s="519">
        <f>+'Market Drivers'!AD82</f>
        <v>0</v>
      </c>
      <c r="AP44" s="99">
        <f>+'Market Drivers'!AE82</f>
        <v>0</v>
      </c>
      <c r="AQ44" s="99">
        <f>+'Market Drivers'!AF82</f>
        <v>0</v>
      </c>
      <c r="AR44" s="519">
        <f>+'Market Drivers'!AG82</f>
        <v>0</v>
      </c>
      <c r="AS44" s="99">
        <f>+'Market Drivers'!AH82</f>
        <v>0</v>
      </c>
      <c r="AT44" s="99">
        <f>+'Market Drivers'!AI82</f>
        <v>0</v>
      </c>
      <c r="AU44" s="519">
        <f>+'Market Drivers'!AJ82</f>
        <v>0</v>
      </c>
      <c r="AV44" s="99">
        <f>+'Market Drivers'!AK82</f>
        <v>0</v>
      </c>
      <c r="AW44" s="99">
        <f>+'Market Drivers'!AL82</f>
        <v>0</v>
      </c>
      <c r="AX44" s="526">
        <f>+'Market Drivers'!AM82</f>
        <v>0</v>
      </c>
      <c r="AY44" s="99">
        <f>+'Market Drivers'!AN82</f>
        <v>0</v>
      </c>
      <c r="AZ44" s="99">
        <f>+'Market Drivers'!AO82</f>
        <v>0</v>
      </c>
      <c r="BA44" s="519">
        <f>+'Market Drivers'!AP82</f>
        <v>0</v>
      </c>
      <c r="BB44" s="99">
        <f>+'Market Drivers'!AQ82</f>
        <v>0</v>
      </c>
      <c r="BC44" s="99">
        <f>+'Market Drivers'!AR82</f>
        <v>0</v>
      </c>
      <c r="BD44" s="519">
        <f>+'Market Drivers'!AS82</f>
        <v>0</v>
      </c>
      <c r="BE44" s="99">
        <f>+'Market Drivers'!AT82</f>
        <v>0</v>
      </c>
      <c r="BF44" s="99">
        <f>+'Market Drivers'!AU82</f>
        <v>0</v>
      </c>
      <c r="BG44" s="519">
        <f>+'Market Drivers'!AV82</f>
        <v>0</v>
      </c>
      <c r="BH44" s="99">
        <f>+'Market Drivers'!AW82</f>
        <v>0</v>
      </c>
      <c r="BI44" s="99">
        <f>+'Market Drivers'!AX82</f>
        <v>0</v>
      </c>
      <c r="BJ44" s="519">
        <f>+'Market Drivers'!AY82</f>
        <v>0</v>
      </c>
      <c r="BK44" s="99">
        <f>+'Market Drivers'!AZ82</f>
        <v>0</v>
      </c>
      <c r="BL44" s="99">
        <f>+'Market Drivers'!BA82</f>
        <v>0</v>
      </c>
      <c r="BM44" s="519">
        <f>+'Market Drivers'!BB82</f>
        <v>0</v>
      </c>
    </row>
    <row r="45" spans="1:76">
      <c r="A45" s="329" t="s">
        <v>225</v>
      </c>
      <c r="B45" s="101" t="s">
        <v>76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63">
        <f>+'Market Drivers'!I83</f>
        <v>7.7237723935702274E-2</v>
      </c>
      <c r="U45" s="63">
        <f>+'Market Drivers'!J83</f>
        <v>8.1469668651111826E-2</v>
      </c>
      <c r="V45" s="63">
        <f>+'Market Drivers'!K83</f>
        <v>5.0552686527237212E-2</v>
      </c>
      <c r="W45" s="63">
        <f>+'Market Drivers'!L83</f>
        <v>6.570261272237321E-2</v>
      </c>
      <c r="X45" s="63">
        <f>+'Market Drivers'!M83</f>
        <v>2.1964753809312398E-2</v>
      </c>
      <c r="Y45" s="63">
        <f>+'Market Drivers'!N83</f>
        <v>1.8902968311743429E-2</v>
      </c>
      <c r="Z45" s="63">
        <f>+'Market Drivers'!O83</f>
        <v>2.0425500549087872E-2</v>
      </c>
      <c r="AA45" s="63">
        <f>+'Market Drivers'!P83</f>
        <v>1.5906988767286245E-2</v>
      </c>
      <c r="AB45" s="63">
        <f>+'Market Drivers'!Q83</f>
        <v>1.9276407558133757E-2</v>
      </c>
      <c r="AC45" s="474">
        <f>+'Market Drivers'!R83</f>
        <v>1.7598371288732206E-2</v>
      </c>
      <c r="AD45" s="63">
        <f>+'Market Drivers'!S83</f>
        <v>2.259306826438201E-2</v>
      </c>
      <c r="AE45" s="63">
        <f>+'Market Drivers'!T83</f>
        <v>2.4411094071577821E-2</v>
      </c>
      <c r="AF45" s="474">
        <f>+'Market Drivers'!U83</f>
        <v>2.3507186678340064E-2</v>
      </c>
      <c r="AG45" s="63">
        <f>+'Market Drivers'!V83</f>
        <v>2.6188952599683901E-2</v>
      </c>
      <c r="AH45" s="63">
        <f>+'Market Drivers'!W83</f>
        <v>2.5355108629770307E-2</v>
      </c>
      <c r="AI45" s="474">
        <f>+'Market Drivers'!X83</f>
        <v>2.5769318682865361E-2</v>
      </c>
      <c r="AJ45" s="63">
        <f>+'Market Drivers'!Y83</f>
        <v>2.454254485406282E-2</v>
      </c>
      <c r="AK45" s="63">
        <f>+'Market Drivers'!Z83</f>
        <v>2.5777221247615278E-2</v>
      </c>
      <c r="AL45" s="474">
        <f>+'Market Drivers'!AA83</f>
        <v>2.5163647714826487E-2</v>
      </c>
      <c r="AM45" s="63">
        <f>+'Market Drivers'!AB83</f>
        <v>2.454254485406282E-2</v>
      </c>
      <c r="AN45" s="63">
        <f>+'Market Drivers'!AC83</f>
        <v>2.5777221247615278E-2</v>
      </c>
      <c r="AO45" s="474">
        <f>+'Market Drivers'!AD83</f>
        <v>2.5163647714826487E-2</v>
      </c>
      <c r="AP45" s="63">
        <f>+'Market Drivers'!AE83</f>
        <v>2.454254485406282E-2</v>
      </c>
      <c r="AQ45" s="63">
        <f>+'Market Drivers'!AF83</f>
        <v>2.5777221247615278E-2</v>
      </c>
      <c r="AR45" s="474">
        <f>+'Market Drivers'!AG83</f>
        <v>2.5163647714826487E-2</v>
      </c>
      <c r="AS45" s="63">
        <f>+'Market Drivers'!AH83</f>
        <v>2.454254485406282E-2</v>
      </c>
      <c r="AT45" s="63">
        <f>+'Market Drivers'!AI83</f>
        <v>2.5777221247615278E-2</v>
      </c>
      <c r="AU45" s="474">
        <f>+'Market Drivers'!AJ83</f>
        <v>2.5163647714826487E-2</v>
      </c>
      <c r="AV45" s="63">
        <f>+'Market Drivers'!AK83</f>
        <v>2.454254485406282E-2</v>
      </c>
      <c r="AW45" s="63">
        <f>+'Market Drivers'!AL83</f>
        <v>2.5777221247615278E-2</v>
      </c>
      <c r="AX45" s="497">
        <f>+'Market Drivers'!AM83</f>
        <v>2.5163647714826487E-2</v>
      </c>
      <c r="AY45" s="63">
        <f>+'Market Drivers'!AN83</f>
        <v>2.454254485406282E-2</v>
      </c>
      <c r="AZ45" s="63">
        <f>+'Market Drivers'!AO83</f>
        <v>2.5777221247615278E-2</v>
      </c>
      <c r="BA45" s="474">
        <f>+'Market Drivers'!AP83</f>
        <v>2.5163647714826487E-2</v>
      </c>
      <c r="BB45" s="63">
        <f>+'Market Drivers'!AQ83</f>
        <v>2.454254485406282E-2</v>
      </c>
      <c r="BC45" s="63">
        <f>+'Market Drivers'!AR83</f>
        <v>2.5777221247615278E-2</v>
      </c>
      <c r="BD45" s="474">
        <f>+'Market Drivers'!AS83</f>
        <v>2.5163647714826487E-2</v>
      </c>
      <c r="BE45" s="63">
        <f>+'Market Drivers'!AT83</f>
        <v>2.454254485406282E-2</v>
      </c>
      <c r="BF45" s="63">
        <f>+'Market Drivers'!AU83</f>
        <v>2.5777221247615278E-2</v>
      </c>
      <c r="BG45" s="474">
        <f>+'Market Drivers'!AV83</f>
        <v>2.5163647714826487E-2</v>
      </c>
      <c r="BH45" s="63">
        <f>+'Market Drivers'!AW83</f>
        <v>2.454254485406282E-2</v>
      </c>
      <c r="BI45" s="63">
        <f>+'Market Drivers'!AX83</f>
        <v>2.5777221247615278E-2</v>
      </c>
      <c r="BJ45" s="474">
        <f>+'Market Drivers'!AY83</f>
        <v>2.5163647714826487E-2</v>
      </c>
      <c r="BK45" s="63">
        <f>+'Market Drivers'!AZ83</f>
        <v>2.454254485406282E-2</v>
      </c>
      <c r="BL45" s="63">
        <f>+'Market Drivers'!BA83</f>
        <v>2.5777221247615278E-2</v>
      </c>
      <c r="BM45" s="474">
        <f>+'Market Drivers'!BB83</f>
        <v>2.5163647714826487E-2</v>
      </c>
    </row>
    <row r="46" spans="1:76"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490"/>
      <c r="AD46" s="81"/>
      <c r="AE46" s="81"/>
      <c r="AF46" s="490"/>
      <c r="AG46" s="81"/>
      <c r="AH46" s="81"/>
      <c r="AI46" s="490"/>
      <c r="AJ46" s="81"/>
      <c r="AK46" s="81"/>
      <c r="AL46" s="490"/>
      <c r="AM46" s="81"/>
      <c r="AN46" s="81"/>
      <c r="AO46" s="490"/>
      <c r="AP46" s="81"/>
      <c r="AQ46" s="81"/>
      <c r="AR46" s="490"/>
      <c r="AS46" s="81"/>
      <c r="AT46" s="81"/>
      <c r="AU46" s="490"/>
      <c r="AV46" s="81"/>
      <c r="AW46" s="81"/>
      <c r="AX46" s="511"/>
      <c r="AY46" s="81"/>
      <c r="AZ46" s="81"/>
      <c r="BA46" s="490"/>
      <c r="BB46" s="81"/>
      <c r="BC46" s="81"/>
      <c r="BD46" s="490"/>
      <c r="BE46" s="81"/>
      <c r="BF46" s="81"/>
      <c r="BG46" s="490"/>
      <c r="BH46" s="81"/>
      <c r="BI46" s="81"/>
      <c r="BJ46" s="490"/>
      <c r="BK46" s="81"/>
      <c r="BL46" s="81"/>
      <c r="BM46" s="490"/>
    </row>
    <row r="47" spans="1:76">
      <c r="A47" s="13" t="s">
        <v>407</v>
      </c>
      <c r="BQ47" s="81"/>
      <c r="BR47" s="81"/>
      <c r="BS47" s="81"/>
    </row>
    <row r="48" spans="1:76">
      <c r="A48" s="6" t="s">
        <v>547</v>
      </c>
      <c r="T48" s="27">
        <f t="shared" ref="T48:BM48" si="47">(T42*T56)+(T45*T57)+(5%*T58)</f>
        <v>6.5120289122260561E-2</v>
      </c>
      <c r="U48" s="27">
        <f t="shared" si="47"/>
        <v>0.10717640414187189</v>
      </c>
      <c r="V48" s="27">
        <f t="shared" si="47"/>
        <v>0.10457312543984858</v>
      </c>
      <c r="W48" s="27">
        <f t="shared" si="47"/>
        <v>0.10545610639017258</v>
      </c>
      <c r="X48" s="27">
        <f t="shared" si="47"/>
        <v>3.5066700766275292E-2</v>
      </c>
      <c r="Y48" s="27">
        <f t="shared" si="47"/>
        <v>6.6183636580125438E-2</v>
      </c>
      <c r="Z48" s="27">
        <f t="shared" si="47"/>
        <v>4.9073791242146968E-2</v>
      </c>
      <c r="AA48" s="27">
        <f t="shared" si="47"/>
        <v>6.9743883022346242E-2</v>
      </c>
      <c r="AB48" s="27">
        <f t="shared" si="47"/>
        <v>5.3321294501147427E-2</v>
      </c>
      <c r="AC48" s="517">
        <f t="shared" si="47"/>
        <v>6.214855622608445E-2</v>
      </c>
      <c r="AD48" s="27">
        <f t="shared" si="47"/>
        <v>4.673479894158359E-2</v>
      </c>
      <c r="AE48" s="27">
        <f t="shared" si="47"/>
        <v>-1.4863179029122977E-2</v>
      </c>
      <c r="AF48" s="517">
        <f t="shared" si="47"/>
        <v>1.8563610567448222E-2</v>
      </c>
      <c r="AG48" s="27">
        <f t="shared" si="47"/>
        <v>3.6924720225984652E-3</v>
      </c>
      <c r="AH48" s="27">
        <f t="shared" si="47"/>
        <v>9.5537370373637437E-2</v>
      </c>
      <c r="AI48" s="517">
        <f t="shared" si="47"/>
        <v>4.3243607613872512E-2</v>
      </c>
      <c r="AJ48" s="27">
        <f t="shared" si="47"/>
        <v>2.9695172481960179E-2</v>
      </c>
      <c r="AK48" s="27">
        <f t="shared" si="47"/>
        <v>0.15336298744666782</v>
      </c>
      <c r="AL48" s="517">
        <f t="shared" si="47"/>
        <v>8.7662948780444241E-2</v>
      </c>
      <c r="AM48" s="27">
        <f t="shared" si="47"/>
        <v>0.13573371880045176</v>
      </c>
      <c r="AN48" s="27">
        <f t="shared" si="47"/>
        <v>1.4696129242108487E-2</v>
      </c>
      <c r="AO48" s="517">
        <f t="shared" ref="AO48:AU48" si="48">(AO42*AO56)+(AO45*AO57)+(5%*AO58)</f>
        <v>7.3215068229736446E-2</v>
      </c>
      <c r="AP48" s="27">
        <f t="shared" si="48"/>
        <v>-4.2587590684155338E-2</v>
      </c>
      <c r="AQ48" s="27">
        <f t="shared" si="48"/>
        <v>-0.14689636968955483</v>
      </c>
      <c r="AR48" s="517">
        <f t="shared" si="48"/>
        <v>-9.1407566900834986E-2</v>
      </c>
      <c r="AS48" s="27">
        <f t="shared" si="48"/>
        <v>-1.1430960963264165E-2</v>
      </c>
      <c r="AT48" s="27">
        <f t="shared" si="48"/>
        <v>0.16134918284861216</v>
      </c>
      <c r="AU48" s="517">
        <f t="shared" si="48"/>
        <v>5.9757772868508009E-2</v>
      </c>
      <c r="AV48" s="27">
        <f t="shared" ref="AV48:AX48" si="49">(AV42*AV56)+(AV45*AV57)+(5%*AV58)</f>
        <v>3.6289111655688981E-2</v>
      </c>
      <c r="AW48" s="27">
        <f t="shared" si="49"/>
        <v>-1.7667435622039044E-3</v>
      </c>
      <c r="AX48" s="527">
        <f t="shared" si="49"/>
        <v>1.8035860542210916E-2</v>
      </c>
      <c r="AY48" s="27">
        <f t="shared" si="47"/>
        <v>3.4933570671826369E-2</v>
      </c>
      <c r="AZ48" s="27">
        <f t="shared" si="47"/>
        <v>3.4163389393782599E-2</v>
      </c>
      <c r="BA48" s="517">
        <f t="shared" si="47"/>
        <v>3.4591346845713612E-2</v>
      </c>
      <c r="BB48" s="27">
        <f t="shared" si="47"/>
        <v>2.5488965642240291E-2</v>
      </c>
      <c r="BC48" s="27">
        <f t="shared" si="47"/>
        <v>2.8722660419030703E-2</v>
      </c>
      <c r="BD48" s="517">
        <f t="shared" si="47"/>
        <v>2.6999581020240672E-2</v>
      </c>
      <c r="BE48" s="27">
        <f t="shared" si="47"/>
        <v>3.1172965642240549E-2</v>
      </c>
      <c r="BF48" s="27">
        <f>(BF42*BF56)+(BF45*BF57)+(5%*BF58)+2%</f>
        <v>3.1334155520387347E-2</v>
      </c>
      <c r="BG48" s="517">
        <f t="shared" si="47"/>
        <v>2.1984815635141559E-2</v>
      </c>
      <c r="BH48" s="27">
        <f>(BH42*BH56)+(BH45*BH57)+(5%*BH58)+3%</f>
        <v>2.1384965642240322E-2</v>
      </c>
      <c r="BI48" s="27">
        <f>(BI42*BI56)+(BI45*BI57)+(5%*BI58)+3%</f>
        <v>1.8960930383550775E-2</v>
      </c>
      <c r="BJ48" s="517">
        <f t="shared" si="47"/>
        <v>-9.700962363731672E-3</v>
      </c>
      <c r="BK48" s="27">
        <f>(BK42*BK56)+(BK45*BK57)+(5%*BK58)+2%</f>
        <v>5.7009656422404454E-3</v>
      </c>
      <c r="BL48" s="27">
        <f>(BL42*BL56)+(BL45*BL57)+(5%*BL58)+3%</f>
        <v>1.3291802605312208E-2</v>
      </c>
      <c r="BM48" s="517">
        <f t="shared" si="47"/>
        <v>-1.5374677190144544E-2</v>
      </c>
      <c r="BP48" s="329"/>
      <c r="BQ48" s="81"/>
      <c r="BR48" s="81"/>
      <c r="BS48" s="81"/>
    </row>
    <row r="49" spans="1:72">
      <c r="AI49" s="489"/>
      <c r="BQ49" s="81"/>
      <c r="BR49" s="81"/>
      <c r="BS49" s="81"/>
    </row>
    <row r="50" spans="1:72">
      <c r="A50" s="58" t="s">
        <v>540</v>
      </c>
      <c r="BQ50" s="81"/>
      <c r="BR50" s="81"/>
      <c r="BS50" s="81"/>
    </row>
    <row r="51" spans="1:72">
      <c r="A51" s="6" t="s">
        <v>541</v>
      </c>
      <c r="B51" s="52" t="s">
        <v>76</v>
      </c>
      <c r="T51" s="81">
        <v>0.6</v>
      </c>
      <c r="U51" s="81">
        <v>0.6</v>
      </c>
      <c r="V51" s="81">
        <v>0.6</v>
      </c>
      <c r="W51" s="81">
        <v>0.6</v>
      </c>
      <c r="X51" s="81">
        <v>0.6</v>
      </c>
      <c r="Y51" s="81">
        <v>0.6</v>
      </c>
      <c r="Z51" s="81">
        <v>0.6</v>
      </c>
      <c r="AA51" s="81">
        <v>0.6</v>
      </c>
      <c r="AB51" s="81">
        <v>0.6</v>
      </c>
      <c r="AC51" s="490">
        <v>0.6</v>
      </c>
      <c r="AD51" s="81">
        <v>0.6</v>
      </c>
      <c r="AE51" s="81">
        <v>0.6</v>
      </c>
      <c r="AF51" s="490">
        <v>0.6</v>
      </c>
      <c r="AG51" s="81">
        <v>0.6</v>
      </c>
      <c r="AH51" s="81">
        <v>0.6</v>
      </c>
      <c r="AI51" s="490">
        <v>0.6</v>
      </c>
      <c r="AJ51" s="81">
        <v>0.6</v>
      </c>
      <c r="AK51" s="81">
        <v>0.6</v>
      </c>
      <c r="AL51" s="490">
        <v>0.6</v>
      </c>
      <c r="AM51" s="81">
        <v>0.6</v>
      </c>
      <c r="AN51" s="81">
        <v>0.6</v>
      </c>
      <c r="AO51" s="490">
        <v>0.6</v>
      </c>
      <c r="AP51" s="81">
        <v>0.6</v>
      </c>
      <c r="AQ51" s="81">
        <v>0.6</v>
      </c>
      <c r="AR51" s="490">
        <v>0.6</v>
      </c>
      <c r="AS51" s="81">
        <v>0.6</v>
      </c>
      <c r="AT51" s="81">
        <v>0.6</v>
      </c>
      <c r="AU51" s="490">
        <v>0.6</v>
      </c>
      <c r="AV51" s="81">
        <v>0.6</v>
      </c>
      <c r="AW51" s="81">
        <v>0.6</v>
      </c>
      <c r="AX51" s="511">
        <v>0.6</v>
      </c>
      <c r="AY51" s="81">
        <v>0.6</v>
      </c>
      <c r="AZ51" s="81">
        <v>0.6</v>
      </c>
      <c r="BA51" s="490">
        <v>0.6</v>
      </c>
      <c r="BB51" s="81">
        <v>0.6</v>
      </c>
      <c r="BC51" s="81">
        <v>0.6</v>
      </c>
      <c r="BD51" s="490">
        <v>0.6</v>
      </c>
      <c r="BE51" s="81">
        <v>0.6</v>
      </c>
      <c r="BF51" s="81">
        <v>0.6</v>
      </c>
      <c r="BG51" s="490">
        <v>0.6</v>
      </c>
      <c r="BH51" s="81">
        <v>0.6</v>
      </c>
      <c r="BI51" s="81">
        <v>0.6</v>
      </c>
      <c r="BJ51" s="490">
        <v>0.6</v>
      </c>
      <c r="BK51" s="81">
        <v>0.6</v>
      </c>
      <c r="BL51" s="81">
        <v>0.6</v>
      </c>
      <c r="BM51" s="490">
        <v>0.6</v>
      </c>
      <c r="BQ51" s="81"/>
      <c r="BR51" s="81"/>
      <c r="BS51" s="81"/>
    </row>
    <row r="52" spans="1:72">
      <c r="A52" s="6" t="s">
        <v>542</v>
      </c>
      <c r="B52" s="52" t="s">
        <v>76</v>
      </c>
      <c r="T52" s="81">
        <v>0.33</v>
      </c>
      <c r="U52" s="81">
        <v>0.33</v>
      </c>
      <c r="V52" s="81">
        <v>0.33</v>
      </c>
      <c r="W52" s="81">
        <v>0.33</v>
      </c>
      <c r="X52" s="81">
        <v>0.33</v>
      </c>
      <c r="Y52" s="81">
        <v>0.33</v>
      </c>
      <c r="Z52" s="81">
        <v>0.33</v>
      </c>
      <c r="AA52" s="81">
        <v>0.33</v>
      </c>
      <c r="AB52" s="81">
        <v>0.33</v>
      </c>
      <c r="AC52" s="490">
        <v>0.33</v>
      </c>
      <c r="AD52" s="81">
        <v>0.33</v>
      </c>
      <c r="AE52" s="81">
        <v>0.33</v>
      </c>
      <c r="AF52" s="490">
        <v>0.33</v>
      </c>
      <c r="AG52" s="81">
        <v>0.33</v>
      </c>
      <c r="AH52" s="81">
        <v>0.33</v>
      </c>
      <c r="AI52" s="490">
        <v>0.33</v>
      </c>
      <c r="AJ52" s="81">
        <v>0.33</v>
      </c>
      <c r="AK52" s="81">
        <v>0.33</v>
      </c>
      <c r="AL52" s="490">
        <v>0.33</v>
      </c>
      <c r="AM52" s="81">
        <v>0.33</v>
      </c>
      <c r="AN52" s="81">
        <v>0.33</v>
      </c>
      <c r="AO52" s="490">
        <v>0.33</v>
      </c>
      <c r="AP52" s="81">
        <v>0.33</v>
      </c>
      <c r="AQ52" s="81">
        <v>0.33</v>
      </c>
      <c r="AR52" s="490">
        <v>0.33</v>
      </c>
      <c r="AS52" s="81">
        <v>0.33</v>
      </c>
      <c r="AT52" s="81">
        <v>0.33</v>
      </c>
      <c r="AU52" s="490">
        <v>0.33</v>
      </c>
      <c r="AV52" s="81">
        <v>0.33</v>
      </c>
      <c r="AW52" s="81">
        <v>0.33</v>
      </c>
      <c r="AX52" s="511">
        <v>0.33</v>
      </c>
      <c r="AY52" s="81">
        <v>0.33</v>
      </c>
      <c r="AZ52" s="81">
        <v>0.33</v>
      </c>
      <c r="BA52" s="490">
        <v>0.33</v>
      </c>
      <c r="BB52" s="81">
        <v>0.33</v>
      </c>
      <c r="BC52" s="81">
        <v>0.33</v>
      </c>
      <c r="BD52" s="490">
        <v>0.33</v>
      </c>
      <c r="BE52" s="81">
        <v>0.33</v>
      </c>
      <c r="BF52" s="81">
        <v>0.33</v>
      </c>
      <c r="BG52" s="490">
        <v>0.33</v>
      </c>
      <c r="BH52" s="81">
        <v>0.33</v>
      </c>
      <c r="BI52" s="81">
        <v>0.33</v>
      </c>
      <c r="BJ52" s="490">
        <v>0.33</v>
      </c>
      <c r="BK52" s="81">
        <v>0.33</v>
      </c>
      <c r="BL52" s="81">
        <v>0.33</v>
      </c>
      <c r="BM52" s="490">
        <v>0.33</v>
      </c>
    </row>
    <row r="53" spans="1:72">
      <c r="A53" s="6" t="s">
        <v>543</v>
      </c>
      <c r="B53" s="52" t="s">
        <v>76</v>
      </c>
      <c r="T53" s="81">
        <v>7.0000000000000007E-2</v>
      </c>
      <c r="U53" s="81">
        <v>7.0000000000000007E-2</v>
      </c>
      <c r="V53" s="81">
        <v>7.0000000000000007E-2</v>
      </c>
      <c r="W53" s="81">
        <v>7.0000000000000007E-2</v>
      </c>
      <c r="X53" s="81">
        <v>7.0000000000000007E-2</v>
      </c>
      <c r="Y53" s="81">
        <v>7.0000000000000007E-2</v>
      </c>
      <c r="Z53" s="81">
        <v>7.0000000000000007E-2</v>
      </c>
      <c r="AA53" s="81">
        <v>7.0000000000000007E-2</v>
      </c>
      <c r="AB53" s="81">
        <v>7.0000000000000007E-2</v>
      </c>
      <c r="AC53" s="490">
        <v>7.0000000000000007E-2</v>
      </c>
      <c r="AD53" s="81">
        <v>7.0000000000000007E-2</v>
      </c>
      <c r="AE53" s="81">
        <v>7.0000000000000007E-2</v>
      </c>
      <c r="AF53" s="490">
        <v>7.0000000000000007E-2</v>
      </c>
      <c r="AG53" s="81">
        <v>7.0000000000000007E-2</v>
      </c>
      <c r="AH53" s="81">
        <v>7.0000000000000007E-2</v>
      </c>
      <c r="AI53" s="490">
        <v>7.0000000000000007E-2</v>
      </c>
      <c r="AJ53" s="81">
        <v>7.0000000000000007E-2</v>
      </c>
      <c r="AK53" s="81">
        <v>7.0000000000000007E-2</v>
      </c>
      <c r="AL53" s="490">
        <v>7.0000000000000007E-2</v>
      </c>
      <c r="AM53" s="81">
        <v>7.0000000000000007E-2</v>
      </c>
      <c r="AN53" s="81">
        <v>7.0000000000000007E-2</v>
      </c>
      <c r="AO53" s="490">
        <v>7.0000000000000007E-2</v>
      </c>
      <c r="AP53" s="81">
        <v>7.0000000000000007E-2</v>
      </c>
      <c r="AQ53" s="81">
        <v>7.0000000000000007E-2</v>
      </c>
      <c r="AR53" s="490">
        <v>7.0000000000000007E-2</v>
      </c>
      <c r="AS53" s="81">
        <v>7.0000000000000007E-2</v>
      </c>
      <c r="AT53" s="81">
        <v>7.0000000000000007E-2</v>
      </c>
      <c r="AU53" s="490">
        <v>7.0000000000000007E-2</v>
      </c>
      <c r="AV53" s="81">
        <v>7.0000000000000007E-2</v>
      </c>
      <c r="AW53" s="81">
        <v>7.0000000000000007E-2</v>
      </c>
      <c r="AX53" s="511">
        <v>7.0000000000000007E-2</v>
      </c>
      <c r="AY53" s="81">
        <v>7.0000000000000007E-2</v>
      </c>
      <c r="AZ53" s="81">
        <v>7.0000000000000007E-2</v>
      </c>
      <c r="BA53" s="490">
        <v>7.0000000000000007E-2</v>
      </c>
      <c r="BB53" s="81">
        <v>7.0000000000000007E-2</v>
      </c>
      <c r="BC53" s="81">
        <v>7.0000000000000007E-2</v>
      </c>
      <c r="BD53" s="490">
        <v>7.0000000000000007E-2</v>
      </c>
      <c r="BE53" s="81">
        <v>7.0000000000000007E-2</v>
      </c>
      <c r="BF53" s="81">
        <v>7.0000000000000007E-2</v>
      </c>
      <c r="BG53" s="490">
        <v>7.0000000000000007E-2</v>
      </c>
      <c r="BH53" s="81">
        <v>7.0000000000000007E-2</v>
      </c>
      <c r="BI53" s="81">
        <v>7.0000000000000007E-2</v>
      </c>
      <c r="BJ53" s="490">
        <v>7.0000000000000007E-2</v>
      </c>
      <c r="BK53" s="81">
        <v>7.0000000000000007E-2</v>
      </c>
      <c r="BL53" s="81">
        <v>7.0000000000000007E-2</v>
      </c>
      <c r="BM53" s="490">
        <v>7.0000000000000007E-2</v>
      </c>
      <c r="BQ53" s="81"/>
      <c r="BR53" s="81"/>
      <c r="BS53" s="81"/>
      <c r="BT53" s="81"/>
    </row>
    <row r="54" spans="1:72">
      <c r="BQ54" s="81"/>
      <c r="BR54" s="81"/>
      <c r="BS54" s="81"/>
      <c r="BT54" s="81"/>
    </row>
    <row r="55" spans="1:72">
      <c r="BQ55" s="81"/>
      <c r="BR55" s="81"/>
      <c r="BS55" s="81"/>
      <c r="BT55" s="81"/>
    </row>
    <row r="56" spans="1:72">
      <c r="A56" s="6" t="s">
        <v>544</v>
      </c>
      <c r="T56" s="81">
        <f t="shared" ref="T56:AC56" si="50">(68%*T51)+(31%*T52)+(83%*T53)</f>
        <v>0.56840000000000002</v>
      </c>
      <c r="U56" s="81">
        <f t="shared" si="50"/>
        <v>0.56840000000000002</v>
      </c>
      <c r="V56" s="81">
        <f t="shared" si="50"/>
        <v>0.56840000000000002</v>
      </c>
      <c r="W56" s="81">
        <f t="shared" si="50"/>
        <v>0.56840000000000002</v>
      </c>
      <c r="X56" s="81">
        <f t="shared" si="50"/>
        <v>0.56840000000000002</v>
      </c>
      <c r="Y56" s="81">
        <f t="shared" si="50"/>
        <v>0.56840000000000002</v>
      </c>
      <c r="Z56" s="81">
        <f t="shared" si="50"/>
        <v>0.56840000000000002</v>
      </c>
      <c r="AA56" s="81">
        <f t="shared" si="50"/>
        <v>0.56840000000000002</v>
      </c>
      <c r="AB56" s="81">
        <f t="shared" si="50"/>
        <v>0.56840000000000002</v>
      </c>
      <c r="AC56" s="490">
        <f t="shared" si="50"/>
        <v>0.56840000000000002</v>
      </c>
      <c r="AD56" s="81">
        <f>(68%*AD51)+(31%*AD52)+(83%*AD53)</f>
        <v>0.56840000000000002</v>
      </c>
      <c r="AE56" s="81">
        <f t="shared" ref="AE56:BM56" si="51">(68%*AE51)+(31%*AE52)+(83%*AE53)</f>
        <v>0.56840000000000002</v>
      </c>
      <c r="AF56" s="490">
        <f t="shared" si="51"/>
        <v>0.56840000000000002</v>
      </c>
      <c r="AG56" s="81">
        <f t="shared" si="51"/>
        <v>0.56840000000000002</v>
      </c>
      <c r="AH56" s="81">
        <f t="shared" si="51"/>
        <v>0.56840000000000002</v>
      </c>
      <c r="AI56" s="490">
        <f t="shared" si="51"/>
        <v>0.56840000000000002</v>
      </c>
      <c r="AJ56" s="81">
        <f t="shared" si="51"/>
        <v>0.56840000000000002</v>
      </c>
      <c r="AK56" s="81">
        <f>(68%*AK51)+(31%*AK52)+(83%*AK53)</f>
        <v>0.56840000000000002</v>
      </c>
      <c r="AL56" s="490">
        <f t="shared" si="51"/>
        <v>0.56840000000000002</v>
      </c>
      <c r="AM56" s="81">
        <f t="shared" si="51"/>
        <v>0.56840000000000002</v>
      </c>
      <c r="AN56" s="81">
        <f t="shared" si="51"/>
        <v>0.56840000000000002</v>
      </c>
      <c r="AO56" s="490">
        <f t="shared" si="51"/>
        <v>0.56840000000000002</v>
      </c>
      <c r="AP56" s="81">
        <f t="shared" ref="AP56:AU56" si="52">(68%*AP51)+(31%*AP52)+(83%*AP53)</f>
        <v>0.56840000000000002</v>
      </c>
      <c r="AQ56" s="81">
        <f t="shared" si="52"/>
        <v>0.56840000000000002</v>
      </c>
      <c r="AR56" s="490">
        <f t="shared" si="52"/>
        <v>0.56840000000000002</v>
      </c>
      <c r="AS56" s="81">
        <f t="shared" si="52"/>
        <v>0.56840000000000002</v>
      </c>
      <c r="AT56" s="81">
        <f t="shared" si="52"/>
        <v>0.56840000000000002</v>
      </c>
      <c r="AU56" s="490">
        <f t="shared" si="52"/>
        <v>0.56840000000000002</v>
      </c>
      <c r="AV56" s="81">
        <f t="shared" ref="AV56:AX56" si="53">(68%*AV51)+(31%*AV52)+(83%*AV53)</f>
        <v>0.56840000000000002</v>
      </c>
      <c r="AW56" s="81">
        <f t="shared" si="53"/>
        <v>0.56840000000000002</v>
      </c>
      <c r="AX56" s="511">
        <f t="shared" si="53"/>
        <v>0.56840000000000002</v>
      </c>
      <c r="AY56" s="81">
        <f t="shared" si="51"/>
        <v>0.56840000000000002</v>
      </c>
      <c r="AZ56" s="81">
        <f t="shared" si="51"/>
        <v>0.56840000000000002</v>
      </c>
      <c r="BA56" s="490">
        <f t="shared" si="51"/>
        <v>0.56840000000000002</v>
      </c>
      <c r="BB56" s="81">
        <f t="shared" si="51"/>
        <v>0.56840000000000002</v>
      </c>
      <c r="BC56" s="81">
        <f t="shared" si="51"/>
        <v>0.56840000000000002</v>
      </c>
      <c r="BD56" s="490">
        <f t="shared" si="51"/>
        <v>0.56840000000000002</v>
      </c>
      <c r="BE56" s="81">
        <f t="shared" si="51"/>
        <v>0.56840000000000002</v>
      </c>
      <c r="BF56" s="81">
        <f t="shared" si="51"/>
        <v>0.56840000000000002</v>
      </c>
      <c r="BG56" s="490">
        <f t="shared" si="51"/>
        <v>0.56840000000000002</v>
      </c>
      <c r="BH56" s="81">
        <f t="shared" si="51"/>
        <v>0.56840000000000002</v>
      </c>
      <c r="BI56" s="81">
        <f t="shared" si="51"/>
        <v>0.56840000000000002</v>
      </c>
      <c r="BJ56" s="490">
        <f t="shared" si="51"/>
        <v>0.56840000000000002</v>
      </c>
      <c r="BK56" s="81">
        <f t="shared" si="51"/>
        <v>0.56840000000000002</v>
      </c>
      <c r="BL56" s="81">
        <f t="shared" si="51"/>
        <v>0.56840000000000002</v>
      </c>
      <c r="BM56" s="490">
        <f t="shared" si="51"/>
        <v>0.56840000000000002</v>
      </c>
      <c r="BQ56" s="81"/>
      <c r="BR56" s="81"/>
      <c r="BS56" s="81"/>
      <c r="BT56" s="81"/>
    </row>
    <row r="57" spans="1:72">
      <c r="A57" s="6" t="s">
        <v>545</v>
      </c>
      <c r="T57" s="81">
        <f t="shared" ref="T57:AC57" si="54">(32%*T51)+(27%*T52)+(17%*T53)</f>
        <v>0.29300000000000004</v>
      </c>
      <c r="U57" s="81">
        <f t="shared" si="54"/>
        <v>0.29300000000000004</v>
      </c>
      <c r="V57" s="81">
        <f t="shared" si="54"/>
        <v>0.29300000000000004</v>
      </c>
      <c r="W57" s="81">
        <f t="shared" si="54"/>
        <v>0.29300000000000004</v>
      </c>
      <c r="X57" s="81">
        <f t="shared" si="54"/>
        <v>0.29300000000000004</v>
      </c>
      <c r="Y57" s="81">
        <f t="shared" si="54"/>
        <v>0.29300000000000004</v>
      </c>
      <c r="Z57" s="81">
        <f t="shared" si="54"/>
        <v>0.29300000000000004</v>
      </c>
      <c r="AA57" s="81">
        <f t="shared" si="54"/>
        <v>0.29300000000000004</v>
      </c>
      <c r="AB57" s="81">
        <f t="shared" si="54"/>
        <v>0.29300000000000004</v>
      </c>
      <c r="AC57" s="490">
        <f t="shared" si="54"/>
        <v>0.29300000000000004</v>
      </c>
      <c r="AD57" s="81">
        <f>(32%*AD51)+(27%*AD52)+(17%*AD53)</f>
        <v>0.29300000000000004</v>
      </c>
      <c r="AE57" s="81">
        <f t="shared" ref="AE57:BM57" si="55">(32%*AE51)+(27%*AE52)+(17%*AE53)</f>
        <v>0.29300000000000004</v>
      </c>
      <c r="AF57" s="490">
        <f t="shared" si="55"/>
        <v>0.29300000000000004</v>
      </c>
      <c r="AG57" s="81">
        <f t="shared" si="55"/>
        <v>0.29300000000000004</v>
      </c>
      <c r="AH57" s="81">
        <f t="shared" si="55"/>
        <v>0.29300000000000004</v>
      </c>
      <c r="AI57" s="490">
        <f t="shared" si="55"/>
        <v>0.29300000000000004</v>
      </c>
      <c r="AJ57" s="81">
        <f t="shared" si="55"/>
        <v>0.29300000000000004</v>
      </c>
      <c r="AK57" s="81">
        <f t="shared" si="55"/>
        <v>0.29300000000000004</v>
      </c>
      <c r="AL57" s="490">
        <f t="shared" si="55"/>
        <v>0.29300000000000004</v>
      </c>
      <c r="AM57" s="81">
        <f t="shared" si="55"/>
        <v>0.29300000000000004</v>
      </c>
      <c r="AN57" s="81">
        <f t="shared" si="55"/>
        <v>0.29300000000000004</v>
      </c>
      <c r="AO57" s="490">
        <f t="shared" si="55"/>
        <v>0.29300000000000004</v>
      </c>
      <c r="AP57" s="81">
        <f t="shared" ref="AP57:AU57" si="56">(32%*AP51)+(27%*AP52)+(17%*AP53)</f>
        <v>0.29300000000000004</v>
      </c>
      <c r="AQ57" s="81">
        <f t="shared" si="56"/>
        <v>0.29300000000000004</v>
      </c>
      <c r="AR57" s="490">
        <f t="shared" si="56"/>
        <v>0.29300000000000004</v>
      </c>
      <c r="AS57" s="81">
        <f t="shared" si="56"/>
        <v>0.29300000000000004</v>
      </c>
      <c r="AT57" s="81">
        <f t="shared" si="56"/>
        <v>0.29300000000000004</v>
      </c>
      <c r="AU57" s="490">
        <f t="shared" si="56"/>
        <v>0.29300000000000004</v>
      </c>
      <c r="AV57" s="81">
        <f t="shared" ref="AV57:AX57" si="57">(32%*AV51)+(27%*AV52)+(17%*AV53)</f>
        <v>0.29300000000000004</v>
      </c>
      <c r="AW57" s="81">
        <f t="shared" si="57"/>
        <v>0.29300000000000004</v>
      </c>
      <c r="AX57" s="511">
        <f t="shared" si="57"/>
        <v>0.29300000000000004</v>
      </c>
      <c r="AY57" s="81">
        <f t="shared" si="55"/>
        <v>0.29300000000000004</v>
      </c>
      <c r="AZ57" s="81">
        <f t="shared" si="55"/>
        <v>0.29300000000000004</v>
      </c>
      <c r="BA57" s="490">
        <f t="shared" si="55"/>
        <v>0.29300000000000004</v>
      </c>
      <c r="BB57" s="81">
        <f t="shared" si="55"/>
        <v>0.29300000000000004</v>
      </c>
      <c r="BC57" s="81">
        <f t="shared" si="55"/>
        <v>0.29300000000000004</v>
      </c>
      <c r="BD57" s="490">
        <f t="shared" si="55"/>
        <v>0.29300000000000004</v>
      </c>
      <c r="BE57" s="81">
        <f t="shared" si="55"/>
        <v>0.29300000000000004</v>
      </c>
      <c r="BF57" s="81">
        <f t="shared" si="55"/>
        <v>0.29300000000000004</v>
      </c>
      <c r="BG57" s="490">
        <f t="shared" si="55"/>
        <v>0.29300000000000004</v>
      </c>
      <c r="BH57" s="81">
        <f t="shared" si="55"/>
        <v>0.29300000000000004</v>
      </c>
      <c r="BI57" s="81">
        <f t="shared" si="55"/>
        <v>0.29300000000000004</v>
      </c>
      <c r="BJ57" s="490">
        <f t="shared" si="55"/>
        <v>0.29300000000000004</v>
      </c>
      <c r="BK57" s="81">
        <f t="shared" si="55"/>
        <v>0.29300000000000004</v>
      </c>
      <c r="BL57" s="81">
        <f t="shared" si="55"/>
        <v>0.29300000000000004</v>
      </c>
      <c r="BM57" s="490">
        <f t="shared" si="55"/>
        <v>0.29300000000000004</v>
      </c>
    </row>
    <row r="58" spans="1:72">
      <c r="A58" s="6" t="s">
        <v>546</v>
      </c>
      <c r="T58" s="81">
        <f t="shared" ref="T58:AC58" si="58">42%*T52</f>
        <v>0.1386</v>
      </c>
      <c r="U58" s="81">
        <f t="shared" si="58"/>
        <v>0.1386</v>
      </c>
      <c r="V58" s="81">
        <f t="shared" si="58"/>
        <v>0.1386</v>
      </c>
      <c r="W58" s="81">
        <f t="shared" si="58"/>
        <v>0.1386</v>
      </c>
      <c r="X58" s="81">
        <f t="shared" si="58"/>
        <v>0.1386</v>
      </c>
      <c r="Y58" s="81">
        <f t="shared" si="58"/>
        <v>0.1386</v>
      </c>
      <c r="Z58" s="81">
        <f t="shared" si="58"/>
        <v>0.1386</v>
      </c>
      <c r="AA58" s="81">
        <f t="shared" si="58"/>
        <v>0.1386</v>
      </c>
      <c r="AB58" s="81">
        <f t="shared" si="58"/>
        <v>0.1386</v>
      </c>
      <c r="AC58" s="490">
        <f t="shared" si="58"/>
        <v>0.1386</v>
      </c>
      <c r="AD58" s="81">
        <f>42%*AD52</f>
        <v>0.1386</v>
      </c>
      <c r="AE58" s="81">
        <f t="shared" ref="AE58:BM58" si="59">42%*AE52</f>
        <v>0.1386</v>
      </c>
      <c r="AF58" s="490">
        <f t="shared" si="59"/>
        <v>0.1386</v>
      </c>
      <c r="AG58" s="81">
        <f t="shared" si="59"/>
        <v>0.1386</v>
      </c>
      <c r="AH58" s="81">
        <f t="shared" si="59"/>
        <v>0.1386</v>
      </c>
      <c r="AI58" s="490">
        <f t="shared" si="59"/>
        <v>0.1386</v>
      </c>
      <c r="AJ58" s="81">
        <f t="shared" si="59"/>
        <v>0.1386</v>
      </c>
      <c r="AK58" s="81">
        <f t="shared" si="59"/>
        <v>0.1386</v>
      </c>
      <c r="AL58" s="490">
        <f t="shared" si="59"/>
        <v>0.1386</v>
      </c>
      <c r="AM58" s="81">
        <f t="shared" si="59"/>
        <v>0.1386</v>
      </c>
      <c r="AN58" s="81">
        <f t="shared" si="59"/>
        <v>0.1386</v>
      </c>
      <c r="AO58" s="490">
        <f t="shared" si="59"/>
        <v>0.1386</v>
      </c>
      <c r="AP58" s="81">
        <f t="shared" ref="AP58:AU58" si="60">42%*AP52</f>
        <v>0.1386</v>
      </c>
      <c r="AQ58" s="81">
        <f t="shared" si="60"/>
        <v>0.1386</v>
      </c>
      <c r="AR58" s="490">
        <f t="shared" si="60"/>
        <v>0.1386</v>
      </c>
      <c r="AS58" s="81">
        <f t="shared" si="60"/>
        <v>0.1386</v>
      </c>
      <c r="AT58" s="81">
        <f t="shared" si="60"/>
        <v>0.1386</v>
      </c>
      <c r="AU58" s="490">
        <f t="shared" si="60"/>
        <v>0.1386</v>
      </c>
      <c r="AV58" s="81">
        <f t="shared" ref="AV58:AX58" si="61">42%*AV52</f>
        <v>0.1386</v>
      </c>
      <c r="AW58" s="81">
        <f t="shared" si="61"/>
        <v>0.1386</v>
      </c>
      <c r="AX58" s="511">
        <f t="shared" si="61"/>
        <v>0.1386</v>
      </c>
      <c r="AY58" s="81">
        <f t="shared" si="59"/>
        <v>0.1386</v>
      </c>
      <c r="AZ58" s="81">
        <f t="shared" si="59"/>
        <v>0.1386</v>
      </c>
      <c r="BA58" s="490">
        <f t="shared" si="59"/>
        <v>0.1386</v>
      </c>
      <c r="BB58" s="81">
        <f t="shared" si="59"/>
        <v>0.1386</v>
      </c>
      <c r="BC58" s="81">
        <f t="shared" si="59"/>
        <v>0.1386</v>
      </c>
      <c r="BD58" s="490">
        <f t="shared" si="59"/>
        <v>0.1386</v>
      </c>
      <c r="BE58" s="81">
        <f t="shared" si="59"/>
        <v>0.1386</v>
      </c>
      <c r="BF58" s="81">
        <f t="shared" si="59"/>
        <v>0.1386</v>
      </c>
      <c r="BG58" s="490">
        <f t="shared" si="59"/>
        <v>0.1386</v>
      </c>
      <c r="BH58" s="81">
        <f t="shared" si="59"/>
        <v>0.1386</v>
      </c>
      <c r="BI58" s="81">
        <f t="shared" si="59"/>
        <v>0.1386</v>
      </c>
      <c r="BJ58" s="490">
        <f t="shared" si="59"/>
        <v>0.1386</v>
      </c>
      <c r="BK58" s="81">
        <f t="shared" si="59"/>
        <v>0.1386</v>
      </c>
      <c r="BL58" s="81">
        <f t="shared" si="59"/>
        <v>0.1386</v>
      </c>
      <c r="BM58" s="490">
        <f t="shared" si="59"/>
        <v>0.1386</v>
      </c>
    </row>
  </sheetData>
  <pageMargins left="0.7" right="0.7" top="0.75" bottom="0.75" header="0.3" footer="0.3"/>
  <pageSetup paperSize="8" fitToHeight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DB5D-F290-42D4-BAE4-78C7A8ACCB84}">
  <dimension ref="A1:B44"/>
  <sheetViews>
    <sheetView workbookViewId="0"/>
  </sheetViews>
  <sheetFormatPr defaultRowHeight="13.2"/>
  <cols>
    <col min="1" max="1" width="29.109375" customWidth="1"/>
  </cols>
  <sheetData>
    <row r="1" spans="1:2">
      <c r="A1" s="538" t="s">
        <v>932</v>
      </c>
      <c r="B1" s="546" t="s">
        <v>933</v>
      </c>
    </row>
    <row r="2" spans="1:2">
      <c r="A2" s="538" t="s">
        <v>934</v>
      </c>
      <c r="B2" s="538" t="s">
        <v>935</v>
      </c>
    </row>
    <row r="3" spans="1:2">
      <c r="A3" s="538" t="s">
        <v>936</v>
      </c>
      <c r="B3" s="538" t="s">
        <v>937</v>
      </c>
    </row>
    <row r="4" spans="1:2">
      <c r="A4" s="538" t="s">
        <v>938</v>
      </c>
      <c r="B4" s="538" t="s">
        <v>939</v>
      </c>
    </row>
    <row r="5" spans="1:2">
      <c r="A5" s="538" t="s">
        <v>940</v>
      </c>
      <c r="B5" s="538" t="s">
        <v>941</v>
      </c>
    </row>
    <row r="6" spans="1:2">
      <c r="A6" s="538" t="s">
        <v>942</v>
      </c>
      <c r="B6" s="538"/>
    </row>
    <row r="7" spans="1:2">
      <c r="A7" s="538" t="s">
        <v>943</v>
      </c>
      <c r="B7" s="538" t="s">
        <v>448</v>
      </c>
    </row>
    <row r="8" spans="1:2">
      <c r="A8" s="538" t="s">
        <v>944</v>
      </c>
      <c r="B8" s="538" t="s">
        <v>945</v>
      </c>
    </row>
    <row r="9" spans="1:2">
      <c r="A9" s="538" t="s">
        <v>946</v>
      </c>
      <c r="B9" s="538" t="s">
        <v>947</v>
      </c>
    </row>
    <row r="10" spans="1:2">
      <c r="A10" s="538" t="s">
        <v>948</v>
      </c>
      <c r="B10" s="538"/>
    </row>
    <row r="11" spans="1:2">
      <c r="A11" s="538" t="s">
        <v>949</v>
      </c>
      <c r="B11" s="538"/>
    </row>
    <row r="12" spans="1:2">
      <c r="A12" s="538" t="s">
        <v>950</v>
      </c>
      <c r="B12" s="538"/>
    </row>
    <row r="13" spans="1:2">
      <c r="A13" s="538" t="s">
        <v>951</v>
      </c>
      <c r="B13" s="538"/>
    </row>
    <row r="14" spans="1:2">
      <c r="A14" s="538" t="s">
        <v>952</v>
      </c>
      <c r="B14" s="538"/>
    </row>
    <row r="15" spans="1:2">
      <c r="A15" s="538" t="s">
        <v>953</v>
      </c>
      <c r="B15" s="538"/>
    </row>
    <row r="16" spans="1:2">
      <c r="A16" s="538" t="s">
        <v>954</v>
      </c>
      <c r="B16" s="538"/>
    </row>
    <row r="17" spans="1:2">
      <c r="A17" s="538" t="s">
        <v>955</v>
      </c>
      <c r="B17" s="538" t="s">
        <v>956</v>
      </c>
    </row>
    <row r="18" spans="1:2">
      <c r="A18" s="538" t="s">
        <v>957</v>
      </c>
      <c r="B18" s="538" t="s">
        <v>958</v>
      </c>
    </row>
    <row r="19" spans="1:2">
      <c r="A19" s="538" t="s">
        <v>959</v>
      </c>
      <c r="B19" s="538" t="s">
        <v>447</v>
      </c>
    </row>
    <row r="20" spans="1:2">
      <c r="A20" s="538" t="s">
        <v>960</v>
      </c>
      <c r="B20" s="538"/>
    </row>
    <row r="21" spans="1:2">
      <c r="A21" s="538" t="s">
        <v>961</v>
      </c>
      <c r="B21" s="538" t="s">
        <v>447</v>
      </c>
    </row>
    <row r="22" spans="1:2">
      <c r="A22" s="538" t="s">
        <v>962</v>
      </c>
      <c r="B22" s="538" t="s">
        <v>963</v>
      </c>
    </row>
    <row r="23" spans="1:2">
      <c r="A23" s="538" t="s">
        <v>964</v>
      </c>
      <c r="B23" s="546" t="s">
        <v>965</v>
      </c>
    </row>
    <row r="24" spans="1:2">
      <c r="A24" s="538" t="s">
        <v>966</v>
      </c>
      <c r="B24" s="538" t="s">
        <v>79</v>
      </c>
    </row>
    <row r="25" spans="1:2">
      <c r="A25" s="538" t="s">
        <v>967</v>
      </c>
      <c r="B25" s="538" t="s">
        <v>968</v>
      </c>
    </row>
    <row r="26" spans="1:2">
      <c r="A26" s="538" t="s">
        <v>969</v>
      </c>
      <c r="B26" s="538" t="s">
        <v>970</v>
      </c>
    </row>
    <row r="27" spans="1:2">
      <c r="A27" s="538" t="s">
        <v>971</v>
      </c>
      <c r="B27" s="538" t="s">
        <v>972</v>
      </c>
    </row>
    <row r="28" spans="1:2">
      <c r="A28" s="538" t="s">
        <v>973</v>
      </c>
      <c r="B28" s="538" t="s">
        <v>974</v>
      </c>
    </row>
    <row r="29" spans="1:2">
      <c r="A29" s="538" t="s">
        <v>975</v>
      </c>
      <c r="B29" s="538"/>
    </row>
    <row r="30" spans="1:2">
      <c r="A30" s="538" t="s">
        <v>976</v>
      </c>
      <c r="B30" s="538"/>
    </row>
    <row r="31" spans="1:2">
      <c r="A31" s="538" t="s">
        <v>977</v>
      </c>
      <c r="B31" s="538"/>
    </row>
    <row r="32" spans="1:2">
      <c r="A32" s="538" t="s">
        <v>978</v>
      </c>
      <c r="B32" s="538"/>
    </row>
    <row r="33" spans="1:2">
      <c r="A33" s="538" t="s">
        <v>979</v>
      </c>
      <c r="B33" s="538"/>
    </row>
    <row r="34" spans="1:2">
      <c r="A34" s="538" t="s">
        <v>980</v>
      </c>
      <c r="B34" s="538"/>
    </row>
    <row r="35" spans="1:2">
      <c r="A35" s="538" t="s">
        <v>981</v>
      </c>
      <c r="B35" s="538" t="s">
        <v>982</v>
      </c>
    </row>
    <row r="36" spans="1:2">
      <c r="A36" s="538" t="s">
        <v>983</v>
      </c>
      <c r="B36" s="538" t="s">
        <v>984</v>
      </c>
    </row>
    <row r="37" spans="1:2">
      <c r="A37" s="538" t="s">
        <v>985</v>
      </c>
      <c r="B37" s="538" t="s">
        <v>986</v>
      </c>
    </row>
    <row r="38" spans="1:2">
      <c r="A38" s="538" t="s">
        <v>987</v>
      </c>
      <c r="B38" s="538" t="s">
        <v>988</v>
      </c>
    </row>
    <row r="39" spans="1:2">
      <c r="A39" s="538" t="s">
        <v>989</v>
      </c>
      <c r="B39" s="538" t="s">
        <v>990</v>
      </c>
    </row>
    <row r="40" spans="1:2">
      <c r="A40" s="538" t="s">
        <v>991</v>
      </c>
      <c r="B40" s="538" t="s">
        <v>992</v>
      </c>
    </row>
    <row r="41" spans="1:2">
      <c r="A41" s="538" t="s">
        <v>993</v>
      </c>
      <c r="B41" s="538" t="s">
        <v>994</v>
      </c>
    </row>
    <row r="42" spans="1:2">
      <c r="A42" s="538" t="s">
        <v>995</v>
      </c>
      <c r="B42" s="538"/>
    </row>
    <row r="43" spans="1:2">
      <c r="A43" s="538" t="s">
        <v>996</v>
      </c>
      <c r="B43" s="538"/>
    </row>
    <row r="44" spans="1:2">
      <c r="A44" s="538" t="s">
        <v>997</v>
      </c>
      <c r="B44" s="538" t="s">
        <v>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255B6-14A9-49DA-B2D6-D3DF2594BBBD}">
  <dimension ref="A1:A13"/>
  <sheetViews>
    <sheetView workbookViewId="0"/>
  </sheetViews>
  <sheetFormatPr defaultRowHeight="13.2"/>
  <cols>
    <col min="1" max="1" width="28.5546875" customWidth="1"/>
  </cols>
  <sheetData>
    <row r="1" spans="1:1">
      <c r="A1" s="538" t="s">
        <v>999</v>
      </c>
    </row>
    <row r="2" spans="1:1">
      <c r="A2" s="538" t="s">
        <v>1000</v>
      </c>
    </row>
    <row r="3" spans="1:1">
      <c r="A3" s="538" t="s">
        <v>1001</v>
      </c>
    </row>
    <row r="4" spans="1:1">
      <c r="A4" s="538" t="s">
        <v>1002</v>
      </c>
    </row>
    <row r="5" spans="1:1">
      <c r="A5" s="538" t="s">
        <v>1003</v>
      </c>
    </row>
    <row r="6" spans="1:1">
      <c r="A6" s="538" t="s">
        <v>1004</v>
      </c>
    </row>
    <row r="7" spans="1:1">
      <c r="A7" s="538" t="s">
        <v>1005</v>
      </c>
    </row>
    <row r="8" spans="1:1">
      <c r="A8" s="538" t="s">
        <v>1006</v>
      </c>
    </row>
    <row r="9" spans="1:1">
      <c r="A9" s="538" t="s">
        <v>1007</v>
      </c>
    </row>
    <row r="10" spans="1:1">
      <c r="A10" s="538" t="s">
        <v>1008</v>
      </c>
    </row>
    <row r="11" spans="1:1">
      <c r="A11" s="538" t="s">
        <v>1009</v>
      </c>
    </row>
    <row r="12" spans="1:1">
      <c r="A12" s="538" t="s">
        <v>1010</v>
      </c>
    </row>
    <row r="13" spans="1:1">
      <c r="A13" s="538" t="s">
        <v>1011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14451111"><![CDATA[{"AUDUSD^FG_PRICE(45107)":0.66565,"AUDUSD^FG_PRICE(45077)":0.64715,"AUDUSD^FG_PRICE(45046)":0.66085,"AUDUSD^FG_PRICE(45016)":0.66975,"AUDUSD^FG_PRICE(44985)":0.67435,"AUDUSD^FG_PRICE(44957)":0.70465,"AUDUSD^FG_PRICE(44926)":0.67815,"AUDUSD^FG_PRICE(44895)":0.6697,"AUDUSD^FG_PRICE(44865)":0.63945,"AUDUSD^FG_PRICE(44834)":0.64295,"AUDUSD^FG_PRICE(44804)":0.68555003,"AUDUSD^FG_PRICE(44773)":0.6978,"AUDUSD^FG_PRICE(44742)":0.68765,"AUDUSD^FG_PRICE(44712)":0.71735,"AUDUSD^FG_PRICE(44681)":0.71065,"AUDUSD^FG_PRICE(44651)":0.75095004,"AUDUSD^FG_PRICE(44620)":0.72564995,"AUDUSD^FG_PRICE(44592)":0.70454997,"AUDUSD^FG_PRICE(44561)":0.72705,"AUDUSD^FG_PRICE(44530)":0.70905,"AUDUSD^FG_PRICE(44500)":0.7511,"AUDUSD^FG_PRICE(44469)":0.72235,"AUDUSD^FG_PRICE(44439)":0.73085004,"AUDUSD^FG_PRICE(44408)":0.73504996,"AUDUSD^FG_PRICE(44377)":0.75075,"AUDUSD^FG_PRICE(44347)":0.77405,"AUDUSD^FG_PRICE(44316)":0.77245003,"AUDUSD^FG_PRICE(44286)":0.76164997,"AUDUSD^FG_PRICE(44255)":0.7742}]]></FdsFormulaCache>
</file>

<file path=customXml/itemProps1.xml><?xml version="1.0" encoding="utf-8"?>
<ds:datastoreItem xmlns:ds="http://schemas.openxmlformats.org/officeDocument/2006/customXml" ds:itemID="{315B43AD-8DFF-40F0-83EB-43EE04287D83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CircularReferenceAlert</vt:lpstr>
      <vt:lpstr>ImportantDisclosures</vt:lpstr>
      <vt:lpstr>Fin Sum</vt:lpstr>
      <vt:lpstr>Valuation</vt:lpstr>
      <vt:lpstr>BS, CF and P&amp;L</vt:lpstr>
      <vt:lpstr>Market Drivers</vt:lpstr>
      <vt:lpstr>ANZ</vt:lpstr>
      <vt:lpstr>USA</vt:lpstr>
      <vt:lpstr>IndexInformation</vt:lpstr>
      <vt:lpstr>ModPubIndex</vt:lpstr>
      <vt:lpstr>InterestExpenseCopy</vt:lpstr>
      <vt:lpstr>InterestExpensePaste</vt:lpstr>
      <vt:lpstr>InterestIncomeCopy</vt:lpstr>
      <vt:lpstr>InterestIncomePaste</vt:lpstr>
      <vt:lpstr>Linking_1</vt:lpstr>
      <vt:lpstr>Linking_2</vt:lpstr>
      <vt:lpstr>Linking_3</vt:lpstr>
      <vt:lpstr>Linking_32</vt:lpstr>
      <vt:lpstr>Linking_34</vt:lpstr>
      <vt:lpstr>Linking_37</vt:lpstr>
      <vt:lpstr>Linking_38</vt:lpstr>
      <vt:lpstr>Linking_4</vt:lpstr>
      <vt:lpstr>Linking_40</vt:lpstr>
      <vt:lpstr>Linking_42</vt:lpstr>
      <vt:lpstr>Linking_43</vt:lpstr>
      <vt:lpstr>Linking_44</vt:lpstr>
      <vt:lpstr>Linking_46</vt:lpstr>
      <vt:lpstr>Linking_47</vt:lpstr>
      <vt:lpstr>Linking_48</vt:lpstr>
      <vt:lpstr>Linking_49</vt:lpstr>
      <vt:lpstr>Linking_50</vt:lpstr>
      <vt:lpstr>Linking_51</vt:lpstr>
      <vt:lpstr>Linking_60</vt:lpstr>
      <vt:lpstr>Linking_61</vt:lpstr>
      <vt:lpstr>Linking_65</vt:lpstr>
      <vt:lpstr>Linking_66</vt:lpstr>
      <vt:lpstr>ANZ!Print_Area</vt:lpstr>
      <vt:lpstr>'BS, CF and P&amp;L'!Print_Area</vt:lpstr>
      <vt:lpstr>'Fin Sum'!Print_Area</vt:lpstr>
      <vt:lpstr>'Market Drivers'!Print_Area</vt:lpstr>
      <vt:lpstr>Valuation!Print_Area</vt:lpstr>
      <vt:lpstr>'BS, CF and P&amp;L'!Print_Titles</vt:lpstr>
    </vt:vector>
  </TitlesOfParts>
  <Company>ABN AMRO BANK N.V.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Dinesh.Shenoy@morganstanley.com</dc:creator>
  <cp:lastModifiedBy>Sick, Julianna C (Research)</cp:lastModifiedBy>
  <cp:lastPrinted>2026-01-27T02:45:59Z</cp:lastPrinted>
  <dcterms:created xsi:type="dcterms:W3CDTF">2003-02-25T20:39:45Z</dcterms:created>
  <dcterms:modified xsi:type="dcterms:W3CDTF">2026-01-28T23:51:45Z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T_EQUIP" linkTarget="PROP_PLANT_EQUIP">
    <vt:lpwstr>#REF!</vt:lpwstr>
  </property>
  <property fmtid="{D5CDD505-2E9C-101B-9397-08002B2CF9AE}" pid="3" name="MSIP_Label_07f119e6-c6cd-44b0-a5ee-ac1aff68c56e_Enabled">
    <vt:lpwstr>true</vt:lpwstr>
  </property>
  <property fmtid="{D5CDD505-2E9C-101B-9397-08002B2CF9AE}" pid="4" name="MSIP_Label_07f119e6-c6cd-44b0-a5ee-ac1aff68c56e_SetDate">
    <vt:lpwstr>2021-05-27T03:53:16Z</vt:lpwstr>
  </property>
  <property fmtid="{D5CDD505-2E9C-101B-9397-08002B2CF9AE}" pid="5" name="MSIP_Label_07f119e6-c6cd-44b0-a5ee-ac1aff68c56e_Method">
    <vt:lpwstr>Standard</vt:lpwstr>
  </property>
  <property fmtid="{D5CDD505-2E9C-101B-9397-08002B2CF9AE}" pid="6" name="MSIP_Label_07f119e6-c6cd-44b0-a5ee-ac1aff68c56e_Name">
    <vt:lpwstr>Confidential v1</vt:lpwstr>
  </property>
  <property fmtid="{D5CDD505-2E9C-101B-9397-08002B2CF9AE}" pid="7" name="MSIP_Label_07f119e6-c6cd-44b0-a5ee-ac1aff68c56e_SiteId">
    <vt:lpwstr>e29b8111-49f8-418d-ac2a-935335a52614</vt:lpwstr>
  </property>
  <property fmtid="{D5CDD505-2E9C-101B-9397-08002B2CF9AE}" pid="8" name="MSIP_Label_07f119e6-c6cd-44b0-a5ee-ac1aff68c56e_ActionId">
    <vt:lpwstr>47797ac1-9f00-4bc4-b59b-8828639a16f9</vt:lpwstr>
  </property>
  <property fmtid="{D5CDD505-2E9C-101B-9397-08002B2CF9AE}" pid="9" name="MSIP_Label_07f119e6-c6cd-44b0-a5ee-ac1aff68c56e_ContentBits">
    <vt:lpwstr>0</vt:lpwstr>
  </property>
  <property fmtid="{D5CDD505-2E9C-101B-9397-08002B2CF9AE}" pid="10" name="IsInternalOnly">
    <vt:lpwstr>True</vt:lpwstr>
  </property>
  <property fmtid="{D5CDD505-2E9C-101B-9397-08002B2CF9AE}" pid="11" name="ERModPubTicket">
    <vt:lpwstr>NA</vt:lpwstr>
  </property>
  <property fmtid="{D5CDD505-2E9C-101B-9397-08002B2CF9AE}" pid="12" name="ERModPubConfirmEmail">
    <vt:bool>false</vt:bool>
  </property>
  <property fmtid="{D5CDD505-2E9C-101B-9397-08002B2CF9AE}" pid="13" name="ERModPubUserEmail">
    <vt:lpwstr>sickjul@ms.com</vt:lpwstr>
  </property>
  <property fmtid="{D5CDD505-2E9C-101B-9397-08002B2CF9AE}" pid="14" name="ERModPubGCIMTagged">
    <vt:bool>true</vt:bool>
  </property>
  <property fmtid="{D5CDD505-2E9C-101B-9397-08002B2CF9AE}" pid="15" name="ERCompanyUploadState">
    <vt:lpwstr>P</vt:lpwstr>
  </property>
  <property fmtid="{D5CDD505-2E9C-101B-9397-08002B2CF9AE}" pid="16" name="ERModPubCurrentYear">
    <vt:i4>2026</vt:i4>
  </property>
  <property fmtid="{D5CDD505-2E9C-101B-9397-08002B2CF9AE}" pid="17" name="ModelId">
    <vt:lpwstr>9779036</vt:lpwstr>
  </property>
  <property fmtid="{D5CDD505-2E9C-101B-9397-08002B2CF9AE}" pid="18" name="ERModPubCompanyName">
    <vt:lpwstr>Reece Ltd</vt:lpwstr>
  </property>
</Properties>
</file>